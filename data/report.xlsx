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ANK\Downloads\"/>
    </mc:Choice>
  </mc:AlternateContent>
  <xr:revisionPtr revIDLastSave="0" documentId="8_{247911EF-7E93-42D1-9759-6F50A7C368B8}" xr6:coauthVersionLast="36" xr6:coauthVersionMax="36" xr10:uidLastSave="{00000000-0000-0000-0000-000000000000}"/>
  <bookViews>
    <workbookView xWindow="240" yWindow="12" windowWidth="16092" windowHeight="9660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</workbook>
</file>

<file path=xl/calcChain.xml><?xml version="1.0" encoding="utf-8"?>
<calcChain xmlns="http://schemas.openxmlformats.org/spreadsheetml/2006/main">
  <c r="D229" i="7" l="1"/>
  <c r="C229" i="7"/>
  <c r="E229" i="7" s="1"/>
  <c r="E228" i="7"/>
  <c r="E227" i="7"/>
  <c r="E226" i="7"/>
  <c r="E225" i="7"/>
  <c r="E224" i="7"/>
  <c r="D214" i="7"/>
  <c r="C214" i="7"/>
  <c r="E214" i="7" s="1"/>
  <c r="E213" i="7"/>
  <c r="E212" i="7"/>
  <c r="E211" i="7"/>
  <c r="E210" i="7"/>
  <c r="E209" i="7"/>
  <c r="D199" i="7"/>
  <c r="C199" i="7"/>
  <c r="E199" i="7" s="1"/>
  <c r="E198" i="7"/>
  <c r="E197" i="7"/>
  <c r="E196" i="7"/>
  <c r="E195" i="7"/>
  <c r="E194" i="7"/>
  <c r="D184" i="7"/>
  <c r="C184" i="7"/>
  <c r="E184" i="7" s="1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D49" i="7"/>
  <c r="C49" i="7"/>
  <c r="E49" i="7" s="1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D11" i="7"/>
  <c r="C11" i="7"/>
  <c r="E11" i="7" s="1"/>
  <c r="E10" i="7"/>
  <c r="E9" i="7"/>
  <c r="E8" i="7"/>
  <c r="E7" i="7"/>
  <c r="E6" i="7"/>
  <c r="X228" i="5"/>
  <c r="Y225" i="5"/>
  <c r="X225" i="5"/>
  <c r="Y226" i="5"/>
  <c r="X224" i="5"/>
  <c r="W229" i="5"/>
  <c r="V229" i="5"/>
  <c r="U229" i="5"/>
  <c r="T229" i="5"/>
  <c r="S229" i="5"/>
  <c r="P229" i="5"/>
  <c r="O229" i="5"/>
  <c r="N229" i="5"/>
  <c r="M229" i="5"/>
  <c r="L229" i="5"/>
  <c r="K229" i="5"/>
  <c r="H229" i="5"/>
  <c r="G229" i="5"/>
  <c r="J229" i="5" s="1"/>
  <c r="F229" i="5"/>
  <c r="E229" i="5"/>
  <c r="D229" i="5"/>
  <c r="C229" i="5"/>
  <c r="R228" i="5"/>
  <c r="Q228" i="5"/>
  <c r="N228" i="5"/>
  <c r="M228" i="5"/>
  <c r="J228" i="5"/>
  <c r="I228" i="5"/>
  <c r="F228" i="5"/>
  <c r="Y228" i="5" s="1"/>
  <c r="E228" i="5"/>
  <c r="R225" i="5"/>
  <c r="Q225" i="5"/>
  <c r="N225" i="5"/>
  <c r="M225" i="5"/>
  <c r="J225" i="5"/>
  <c r="I225" i="5"/>
  <c r="F225" i="5"/>
  <c r="E225" i="5"/>
  <c r="R226" i="5"/>
  <c r="Q226" i="5"/>
  <c r="N226" i="5"/>
  <c r="M226" i="5"/>
  <c r="J226" i="5"/>
  <c r="I226" i="5"/>
  <c r="F226" i="5"/>
  <c r="X226" i="5" s="1"/>
  <c r="E226" i="5"/>
  <c r="R227" i="5"/>
  <c r="Q227" i="5"/>
  <c r="N227" i="5"/>
  <c r="M227" i="5"/>
  <c r="J227" i="5"/>
  <c r="I227" i="5"/>
  <c r="F227" i="5"/>
  <c r="Y227" i="5" s="1"/>
  <c r="E227" i="5"/>
  <c r="R224" i="5"/>
  <c r="Q224" i="5"/>
  <c r="N224" i="5"/>
  <c r="M224" i="5"/>
  <c r="J224" i="5"/>
  <c r="I224" i="5"/>
  <c r="F224" i="5"/>
  <c r="Y224" i="5" s="1"/>
  <c r="E224" i="5"/>
  <c r="W214" i="5"/>
  <c r="V214" i="5"/>
  <c r="U214" i="5"/>
  <c r="T214" i="5"/>
  <c r="S214" i="5"/>
  <c r="P214" i="5"/>
  <c r="O214" i="5"/>
  <c r="L214" i="5"/>
  <c r="K214" i="5"/>
  <c r="H214" i="5"/>
  <c r="G214" i="5"/>
  <c r="D214" i="5"/>
  <c r="C214" i="5"/>
  <c r="R213" i="5"/>
  <c r="Q213" i="5"/>
  <c r="N213" i="5"/>
  <c r="M213" i="5"/>
  <c r="J213" i="5"/>
  <c r="I213" i="5"/>
  <c r="F213" i="5"/>
  <c r="E213" i="5"/>
  <c r="R212" i="5"/>
  <c r="Q212" i="5"/>
  <c r="N212" i="5"/>
  <c r="M212" i="5"/>
  <c r="J212" i="5"/>
  <c r="I212" i="5"/>
  <c r="F212" i="5"/>
  <c r="E212" i="5"/>
  <c r="R211" i="5"/>
  <c r="Q211" i="5"/>
  <c r="N211" i="5"/>
  <c r="M211" i="5"/>
  <c r="J211" i="5"/>
  <c r="I211" i="5"/>
  <c r="F211" i="5"/>
  <c r="E211" i="5"/>
  <c r="R210" i="5"/>
  <c r="Q210" i="5"/>
  <c r="N210" i="5"/>
  <c r="M210" i="5"/>
  <c r="J210" i="5"/>
  <c r="I210" i="5"/>
  <c r="F210" i="5"/>
  <c r="E210" i="5"/>
  <c r="R209" i="5"/>
  <c r="Q209" i="5"/>
  <c r="N209" i="5"/>
  <c r="M209" i="5"/>
  <c r="J209" i="5"/>
  <c r="I209" i="5"/>
  <c r="F209" i="5"/>
  <c r="E209" i="5"/>
  <c r="X198" i="5"/>
  <c r="W199" i="5"/>
  <c r="V199" i="5"/>
  <c r="U199" i="5"/>
  <c r="T199" i="5"/>
  <c r="S199" i="5"/>
  <c r="P199" i="5"/>
  <c r="O199" i="5"/>
  <c r="R199" i="5" s="1"/>
  <c r="L199" i="5"/>
  <c r="K199" i="5"/>
  <c r="M199" i="5" s="1"/>
  <c r="H199" i="5"/>
  <c r="G199" i="5"/>
  <c r="J199" i="5" s="1"/>
  <c r="F199" i="5"/>
  <c r="Y195" i="5" s="1"/>
  <c r="D199" i="5"/>
  <c r="C199" i="5"/>
  <c r="E199" i="5" s="1"/>
  <c r="R197" i="5"/>
  <c r="Q197" i="5"/>
  <c r="N197" i="5"/>
  <c r="M197" i="5"/>
  <c r="J197" i="5"/>
  <c r="I197" i="5"/>
  <c r="F197" i="5"/>
  <c r="E197" i="5"/>
  <c r="R198" i="5"/>
  <c r="Q198" i="5"/>
  <c r="N198" i="5"/>
  <c r="M198" i="5"/>
  <c r="J198" i="5"/>
  <c r="I198" i="5"/>
  <c r="F198" i="5"/>
  <c r="E198" i="5"/>
  <c r="R195" i="5"/>
  <c r="Q195" i="5"/>
  <c r="N195" i="5"/>
  <c r="M195" i="5"/>
  <c r="J195" i="5"/>
  <c r="I195" i="5"/>
  <c r="F195" i="5"/>
  <c r="X195" i="5" s="1"/>
  <c r="E195" i="5"/>
  <c r="R196" i="5"/>
  <c r="Q196" i="5"/>
  <c r="N196" i="5"/>
  <c r="M196" i="5"/>
  <c r="J196" i="5"/>
  <c r="I196" i="5"/>
  <c r="F196" i="5"/>
  <c r="X196" i="5" s="1"/>
  <c r="E196" i="5"/>
  <c r="R194" i="5"/>
  <c r="Q194" i="5"/>
  <c r="N194" i="5"/>
  <c r="M194" i="5"/>
  <c r="J194" i="5"/>
  <c r="I194" i="5"/>
  <c r="F194" i="5"/>
  <c r="E194" i="5"/>
  <c r="X61" i="5"/>
  <c r="X139" i="5"/>
  <c r="X127" i="5"/>
  <c r="X84" i="5"/>
  <c r="X80" i="5"/>
  <c r="X170" i="5"/>
  <c r="X160" i="5"/>
  <c r="X138" i="5"/>
  <c r="X136" i="5"/>
  <c r="X88" i="5"/>
  <c r="X59" i="5"/>
  <c r="X89" i="5"/>
  <c r="X120" i="5"/>
  <c r="X57" i="5"/>
  <c r="X71" i="5"/>
  <c r="X147" i="5"/>
  <c r="X176" i="5"/>
  <c r="X169" i="5"/>
  <c r="X94" i="5"/>
  <c r="X155" i="5"/>
  <c r="X104" i="5"/>
  <c r="X90" i="5"/>
  <c r="X161" i="5"/>
  <c r="X63" i="5"/>
  <c r="X92" i="5"/>
  <c r="X75" i="5"/>
  <c r="X145" i="5"/>
  <c r="X132" i="5"/>
  <c r="X183" i="5"/>
  <c r="X60" i="5"/>
  <c r="Y69" i="5"/>
  <c r="X69" i="5"/>
  <c r="X141" i="5"/>
  <c r="X114" i="5"/>
  <c r="X62" i="5"/>
  <c r="X177" i="5"/>
  <c r="X100" i="5"/>
  <c r="X174" i="5"/>
  <c r="X172" i="5"/>
  <c r="X70" i="5"/>
  <c r="X148" i="5"/>
  <c r="X175" i="5"/>
  <c r="X140" i="5"/>
  <c r="X95" i="5"/>
  <c r="X129" i="5"/>
  <c r="X108" i="5"/>
  <c r="X99" i="5"/>
  <c r="X182" i="5"/>
  <c r="X107" i="5"/>
  <c r="X137" i="5"/>
  <c r="X96" i="5"/>
  <c r="X164" i="5"/>
  <c r="X130" i="5"/>
  <c r="X58" i="5"/>
  <c r="X115" i="5"/>
  <c r="X72" i="5"/>
  <c r="X97" i="5"/>
  <c r="X112" i="5"/>
  <c r="X158" i="5"/>
  <c r="X159" i="5"/>
  <c r="X101" i="5"/>
  <c r="X171" i="5"/>
  <c r="X124" i="5"/>
  <c r="Y133" i="5"/>
  <c r="X133" i="5"/>
  <c r="W184" i="5"/>
  <c r="V184" i="5"/>
  <c r="U184" i="5"/>
  <c r="T184" i="5"/>
  <c r="S184" i="5"/>
  <c r="Q184" i="5"/>
  <c r="P184" i="5"/>
  <c r="O184" i="5"/>
  <c r="R184" i="5" s="1"/>
  <c r="N184" i="5"/>
  <c r="L184" i="5"/>
  <c r="K184" i="5"/>
  <c r="M184" i="5" s="1"/>
  <c r="I184" i="5"/>
  <c r="H184" i="5"/>
  <c r="G184" i="5"/>
  <c r="J184" i="5" s="1"/>
  <c r="F184" i="5"/>
  <c r="Y80" i="5" s="1"/>
  <c r="D184" i="5"/>
  <c r="C184" i="5"/>
  <c r="E184" i="5" s="1"/>
  <c r="R180" i="5"/>
  <c r="Q180" i="5"/>
  <c r="N180" i="5"/>
  <c r="M180" i="5"/>
  <c r="J180" i="5"/>
  <c r="I180" i="5"/>
  <c r="F180" i="5"/>
  <c r="E180" i="5"/>
  <c r="R85" i="5"/>
  <c r="Q85" i="5"/>
  <c r="N85" i="5"/>
  <c r="M85" i="5"/>
  <c r="J85" i="5"/>
  <c r="I85" i="5"/>
  <c r="F85" i="5"/>
  <c r="E85" i="5"/>
  <c r="R61" i="5"/>
  <c r="Q61" i="5"/>
  <c r="N61" i="5"/>
  <c r="M61" i="5"/>
  <c r="J61" i="5"/>
  <c r="I61" i="5"/>
  <c r="F61" i="5"/>
  <c r="E61" i="5"/>
  <c r="R139" i="5"/>
  <c r="Q139" i="5"/>
  <c r="N139" i="5"/>
  <c r="M139" i="5"/>
  <c r="J139" i="5"/>
  <c r="I139" i="5"/>
  <c r="F139" i="5"/>
  <c r="E139" i="5"/>
  <c r="R122" i="5"/>
  <c r="Q122" i="5"/>
  <c r="N122" i="5"/>
  <c r="M122" i="5"/>
  <c r="J122" i="5"/>
  <c r="I122" i="5"/>
  <c r="F122" i="5"/>
  <c r="E122" i="5"/>
  <c r="R167" i="5"/>
  <c r="Q167" i="5"/>
  <c r="N167" i="5"/>
  <c r="M167" i="5"/>
  <c r="J167" i="5"/>
  <c r="I167" i="5"/>
  <c r="F167" i="5"/>
  <c r="E167" i="5"/>
  <c r="R127" i="5"/>
  <c r="Q127" i="5"/>
  <c r="N127" i="5"/>
  <c r="M127" i="5"/>
  <c r="J127" i="5"/>
  <c r="I127" i="5"/>
  <c r="F127" i="5"/>
  <c r="E127" i="5"/>
  <c r="R84" i="5"/>
  <c r="Q84" i="5"/>
  <c r="N84" i="5"/>
  <c r="M84" i="5"/>
  <c r="J84" i="5"/>
  <c r="I84" i="5"/>
  <c r="F84" i="5"/>
  <c r="E84" i="5"/>
  <c r="R105" i="5"/>
  <c r="Q105" i="5"/>
  <c r="N105" i="5"/>
  <c r="M105" i="5"/>
  <c r="J105" i="5"/>
  <c r="I105" i="5"/>
  <c r="F105" i="5"/>
  <c r="E105" i="5"/>
  <c r="R181" i="5"/>
  <c r="Q181" i="5"/>
  <c r="N181" i="5"/>
  <c r="M181" i="5"/>
  <c r="J181" i="5"/>
  <c r="I181" i="5"/>
  <c r="F181" i="5"/>
  <c r="E181" i="5"/>
  <c r="R80" i="5"/>
  <c r="Q80" i="5"/>
  <c r="N80" i="5"/>
  <c r="M80" i="5"/>
  <c r="J80" i="5"/>
  <c r="I80" i="5"/>
  <c r="F80" i="5"/>
  <c r="E80" i="5"/>
  <c r="R170" i="5"/>
  <c r="Q170" i="5"/>
  <c r="N170" i="5"/>
  <c r="M170" i="5"/>
  <c r="J170" i="5"/>
  <c r="I170" i="5"/>
  <c r="F170" i="5"/>
  <c r="E170" i="5"/>
  <c r="R144" i="5"/>
  <c r="Q144" i="5"/>
  <c r="N144" i="5"/>
  <c r="M144" i="5"/>
  <c r="J144" i="5"/>
  <c r="I144" i="5"/>
  <c r="F144" i="5"/>
  <c r="E144" i="5"/>
  <c r="R79" i="5"/>
  <c r="Q79" i="5"/>
  <c r="N79" i="5"/>
  <c r="M79" i="5"/>
  <c r="J79" i="5"/>
  <c r="I79" i="5"/>
  <c r="F79" i="5"/>
  <c r="E79" i="5"/>
  <c r="R160" i="5"/>
  <c r="Q160" i="5"/>
  <c r="N160" i="5"/>
  <c r="M160" i="5"/>
  <c r="J160" i="5"/>
  <c r="I160" i="5"/>
  <c r="F160" i="5"/>
  <c r="E160" i="5"/>
  <c r="R138" i="5"/>
  <c r="Q138" i="5"/>
  <c r="N138" i="5"/>
  <c r="M138" i="5"/>
  <c r="J138" i="5"/>
  <c r="I138" i="5"/>
  <c r="F138" i="5"/>
  <c r="E138" i="5"/>
  <c r="R162" i="5"/>
  <c r="Q162" i="5"/>
  <c r="N162" i="5"/>
  <c r="M162" i="5"/>
  <c r="J162" i="5"/>
  <c r="I162" i="5"/>
  <c r="F162" i="5"/>
  <c r="E162" i="5"/>
  <c r="R135" i="5"/>
  <c r="Q135" i="5"/>
  <c r="N135" i="5"/>
  <c r="M135" i="5"/>
  <c r="J135" i="5"/>
  <c r="I135" i="5"/>
  <c r="F135" i="5"/>
  <c r="E135" i="5"/>
  <c r="R136" i="5"/>
  <c r="Q136" i="5"/>
  <c r="N136" i="5"/>
  <c r="M136" i="5"/>
  <c r="J136" i="5"/>
  <c r="I136" i="5"/>
  <c r="F136" i="5"/>
  <c r="E136" i="5"/>
  <c r="R88" i="5"/>
  <c r="Q88" i="5"/>
  <c r="N88" i="5"/>
  <c r="M88" i="5"/>
  <c r="J88" i="5"/>
  <c r="I88" i="5"/>
  <c r="F88" i="5"/>
  <c r="E88" i="5"/>
  <c r="R163" i="5"/>
  <c r="Q163" i="5"/>
  <c r="N163" i="5"/>
  <c r="M163" i="5"/>
  <c r="J163" i="5"/>
  <c r="I163" i="5"/>
  <c r="F163" i="5"/>
  <c r="E163" i="5"/>
  <c r="R68" i="5"/>
  <c r="Q68" i="5"/>
  <c r="N68" i="5"/>
  <c r="M68" i="5"/>
  <c r="J68" i="5"/>
  <c r="I68" i="5"/>
  <c r="F68" i="5"/>
  <c r="E68" i="5"/>
  <c r="R59" i="5"/>
  <c r="Q59" i="5"/>
  <c r="N59" i="5"/>
  <c r="M59" i="5"/>
  <c r="J59" i="5"/>
  <c r="I59" i="5"/>
  <c r="F59" i="5"/>
  <c r="E59" i="5"/>
  <c r="R89" i="5"/>
  <c r="Q89" i="5"/>
  <c r="N89" i="5"/>
  <c r="M89" i="5"/>
  <c r="J89" i="5"/>
  <c r="I89" i="5"/>
  <c r="F89" i="5"/>
  <c r="E89" i="5"/>
  <c r="R119" i="5"/>
  <c r="Q119" i="5"/>
  <c r="N119" i="5"/>
  <c r="M119" i="5"/>
  <c r="J119" i="5"/>
  <c r="I119" i="5"/>
  <c r="F119" i="5"/>
  <c r="E119" i="5"/>
  <c r="R113" i="5"/>
  <c r="Q113" i="5"/>
  <c r="N113" i="5"/>
  <c r="M113" i="5"/>
  <c r="J113" i="5"/>
  <c r="I113" i="5"/>
  <c r="F113" i="5"/>
  <c r="E113" i="5"/>
  <c r="R120" i="5"/>
  <c r="Q120" i="5"/>
  <c r="N120" i="5"/>
  <c r="M120" i="5"/>
  <c r="J120" i="5"/>
  <c r="I120" i="5"/>
  <c r="F120" i="5"/>
  <c r="E120" i="5"/>
  <c r="R57" i="5"/>
  <c r="Q57" i="5"/>
  <c r="N57" i="5"/>
  <c r="M57" i="5"/>
  <c r="J57" i="5"/>
  <c r="I57" i="5"/>
  <c r="F57" i="5"/>
  <c r="E57" i="5"/>
  <c r="R103" i="5"/>
  <c r="Q103" i="5"/>
  <c r="N103" i="5"/>
  <c r="M103" i="5"/>
  <c r="J103" i="5"/>
  <c r="I103" i="5"/>
  <c r="F103" i="5"/>
  <c r="E103" i="5"/>
  <c r="R83" i="5"/>
  <c r="Q83" i="5"/>
  <c r="N83" i="5"/>
  <c r="M83" i="5"/>
  <c r="J83" i="5"/>
  <c r="I83" i="5"/>
  <c r="F83" i="5"/>
  <c r="E83" i="5"/>
  <c r="R71" i="5"/>
  <c r="Q71" i="5"/>
  <c r="N71" i="5"/>
  <c r="M71" i="5"/>
  <c r="J71" i="5"/>
  <c r="I71" i="5"/>
  <c r="F71" i="5"/>
  <c r="E71" i="5"/>
  <c r="R147" i="5"/>
  <c r="Q147" i="5"/>
  <c r="N147" i="5"/>
  <c r="M147" i="5"/>
  <c r="J147" i="5"/>
  <c r="I147" i="5"/>
  <c r="F147" i="5"/>
  <c r="E147" i="5"/>
  <c r="R125" i="5"/>
  <c r="Q125" i="5"/>
  <c r="N125" i="5"/>
  <c r="M125" i="5"/>
  <c r="J125" i="5"/>
  <c r="I125" i="5"/>
  <c r="F125" i="5"/>
  <c r="E125" i="5"/>
  <c r="R117" i="5"/>
  <c r="Q117" i="5"/>
  <c r="N117" i="5"/>
  <c r="M117" i="5"/>
  <c r="J117" i="5"/>
  <c r="I117" i="5"/>
  <c r="F117" i="5"/>
  <c r="E117" i="5"/>
  <c r="R176" i="5"/>
  <c r="Q176" i="5"/>
  <c r="N176" i="5"/>
  <c r="M176" i="5"/>
  <c r="J176" i="5"/>
  <c r="I176" i="5"/>
  <c r="F176" i="5"/>
  <c r="E176" i="5"/>
  <c r="R169" i="5"/>
  <c r="Q169" i="5"/>
  <c r="N169" i="5"/>
  <c r="M169" i="5"/>
  <c r="J169" i="5"/>
  <c r="I169" i="5"/>
  <c r="F169" i="5"/>
  <c r="E169" i="5"/>
  <c r="R154" i="5"/>
  <c r="Q154" i="5"/>
  <c r="N154" i="5"/>
  <c r="M154" i="5"/>
  <c r="J154" i="5"/>
  <c r="I154" i="5"/>
  <c r="F154" i="5"/>
  <c r="E154" i="5"/>
  <c r="R156" i="5"/>
  <c r="Q156" i="5"/>
  <c r="N156" i="5"/>
  <c r="M156" i="5"/>
  <c r="J156" i="5"/>
  <c r="I156" i="5"/>
  <c r="F156" i="5"/>
  <c r="E156" i="5"/>
  <c r="R94" i="5"/>
  <c r="Q94" i="5"/>
  <c r="N94" i="5"/>
  <c r="M94" i="5"/>
  <c r="J94" i="5"/>
  <c r="I94" i="5"/>
  <c r="F94" i="5"/>
  <c r="E94" i="5"/>
  <c r="R155" i="5"/>
  <c r="Q155" i="5"/>
  <c r="N155" i="5"/>
  <c r="M155" i="5"/>
  <c r="J155" i="5"/>
  <c r="I155" i="5"/>
  <c r="F155" i="5"/>
  <c r="E155" i="5"/>
  <c r="R111" i="5"/>
  <c r="Q111" i="5"/>
  <c r="N111" i="5"/>
  <c r="M111" i="5"/>
  <c r="J111" i="5"/>
  <c r="I111" i="5"/>
  <c r="F111" i="5"/>
  <c r="E111" i="5"/>
  <c r="R116" i="5"/>
  <c r="Q116" i="5"/>
  <c r="N116" i="5"/>
  <c r="M116" i="5"/>
  <c r="J116" i="5"/>
  <c r="I116" i="5"/>
  <c r="F116" i="5"/>
  <c r="E116" i="5"/>
  <c r="R104" i="5"/>
  <c r="Q104" i="5"/>
  <c r="N104" i="5"/>
  <c r="M104" i="5"/>
  <c r="J104" i="5"/>
  <c r="I104" i="5"/>
  <c r="F104" i="5"/>
  <c r="E104" i="5"/>
  <c r="R90" i="5"/>
  <c r="Q90" i="5"/>
  <c r="N90" i="5"/>
  <c r="M90" i="5"/>
  <c r="J90" i="5"/>
  <c r="I90" i="5"/>
  <c r="F90" i="5"/>
  <c r="E90" i="5"/>
  <c r="R128" i="5"/>
  <c r="Q128" i="5"/>
  <c r="N128" i="5"/>
  <c r="M128" i="5"/>
  <c r="J128" i="5"/>
  <c r="I128" i="5"/>
  <c r="F128" i="5"/>
  <c r="E128" i="5"/>
  <c r="R67" i="5"/>
  <c r="Q67" i="5"/>
  <c r="N67" i="5"/>
  <c r="M67" i="5"/>
  <c r="J67" i="5"/>
  <c r="I67" i="5"/>
  <c r="F67" i="5"/>
  <c r="E67" i="5"/>
  <c r="R161" i="5"/>
  <c r="Q161" i="5"/>
  <c r="N161" i="5"/>
  <c r="M161" i="5"/>
  <c r="J161" i="5"/>
  <c r="I161" i="5"/>
  <c r="F161" i="5"/>
  <c r="E161" i="5"/>
  <c r="R63" i="5"/>
  <c r="Q63" i="5"/>
  <c r="N63" i="5"/>
  <c r="M63" i="5"/>
  <c r="J63" i="5"/>
  <c r="I63" i="5"/>
  <c r="F63" i="5"/>
  <c r="E63" i="5"/>
  <c r="R178" i="5"/>
  <c r="Q178" i="5"/>
  <c r="N178" i="5"/>
  <c r="M178" i="5"/>
  <c r="J178" i="5"/>
  <c r="I178" i="5"/>
  <c r="F178" i="5"/>
  <c r="E178" i="5"/>
  <c r="R179" i="5"/>
  <c r="Q179" i="5"/>
  <c r="N179" i="5"/>
  <c r="M179" i="5"/>
  <c r="J179" i="5"/>
  <c r="I179" i="5"/>
  <c r="F179" i="5"/>
  <c r="E179" i="5"/>
  <c r="R92" i="5"/>
  <c r="Q92" i="5"/>
  <c r="N92" i="5"/>
  <c r="M92" i="5"/>
  <c r="J92" i="5"/>
  <c r="I92" i="5"/>
  <c r="F92" i="5"/>
  <c r="E92" i="5"/>
  <c r="R75" i="5"/>
  <c r="Q75" i="5"/>
  <c r="N75" i="5"/>
  <c r="M75" i="5"/>
  <c r="J75" i="5"/>
  <c r="I75" i="5"/>
  <c r="F75" i="5"/>
  <c r="E75" i="5"/>
  <c r="R166" i="5"/>
  <c r="Q166" i="5"/>
  <c r="N166" i="5"/>
  <c r="M166" i="5"/>
  <c r="J166" i="5"/>
  <c r="I166" i="5"/>
  <c r="F166" i="5"/>
  <c r="E166" i="5"/>
  <c r="R98" i="5"/>
  <c r="Q98" i="5"/>
  <c r="N98" i="5"/>
  <c r="M98" i="5"/>
  <c r="J98" i="5"/>
  <c r="I98" i="5"/>
  <c r="F98" i="5"/>
  <c r="E98" i="5"/>
  <c r="R145" i="5"/>
  <c r="Q145" i="5"/>
  <c r="N145" i="5"/>
  <c r="M145" i="5"/>
  <c r="J145" i="5"/>
  <c r="I145" i="5"/>
  <c r="F145" i="5"/>
  <c r="E145" i="5"/>
  <c r="R132" i="5"/>
  <c r="Q132" i="5"/>
  <c r="N132" i="5"/>
  <c r="M132" i="5"/>
  <c r="J132" i="5"/>
  <c r="I132" i="5"/>
  <c r="F132" i="5"/>
  <c r="E132" i="5"/>
  <c r="R157" i="5"/>
  <c r="Q157" i="5"/>
  <c r="N157" i="5"/>
  <c r="M157" i="5"/>
  <c r="J157" i="5"/>
  <c r="I157" i="5"/>
  <c r="F157" i="5"/>
  <c r="E157" i="5"/>
  <c r="R93" i="5"/>
  <c r="Q93" i="5"/>
  <c r="N93" i="5"/>
  <c r="M93" i="5"/>
  <c r="J93" i="5"/>
  <c r="I93" i="5"/>
  <c r="F93" i="5"/>
  <c r="E93" i="5"/>
  <c r="R183" i="5"/>
  <c r="Q183" i="5"/>
  <c r="N183" i="5"/>
  <c r="M183" i="5"/>
  <c r="J183" i="5"/>
  <c r="I183" i="5"/>
  <c r="F183" i="5"/>
  <c r="E183" i="5"/>
  <c r="R60" i="5"/>
  <c r="Q60" i="5"/>
  <c r="N60" i="5"/>
  <c r="M60" i="5"/>
  <c r="J60" i="5"/>
  <c r="I60" i="5"/>
  <c r="F60" i="5"/>
  <c r="E60" i="5"/>
  <c r="R65" i="5"/>
  <c r="Q65" i="5"/>
  <c r="N65" i="5"/>
  <c r="M65" i="5"/>
  <c r="J65" i="5"/>
  <c r="I65" i="5"/>
  <c r="F65" i="5"/>
  <c r="E65" i="5"/>
  <c r="R123" i="5"/>
  <c r="Q123" i="5"/>
  <c r="N123" i="5"/>
  <c r="M123" i="5"/>
  <c r="J123" i="5"/>
  <c r="I123" i="5"/>
  <c r="F123" i="5"/>
  <c r="E123" i="5"/>
  <c r="R69" i="5"/>
  <c r="Q69" i="5"/>
  <c r="N69" i="5"/>
  <c r="M69" i="5"/>
  <c r="J69" i="5"/>
  <c r="I69" i="5"/>
  <c r="F69" i="5"/>
  <c r="E69" i="5"/>
  <c r="R141" i="5"/>
  <c r="Q141" i="5"/>
  <c r="N141" i="5"/>
  <c r="M141" i="5"/>
  <c r="J141" i="5"/>
  <c r="I141" i="5"/>
  <c r="F141" i="5"/>
  <c r="E141" i="5"/>
  <c r="R126" i="5"/>
  <c r="Q126" i="5"/>
  <c r="N126" i="5"/>
  <c r="M126" i="5"/>
  <c r="J126" i="5"/>
  <c r="I126" i="5"/>
  <c r="F126" i="5"/>
  <c r="E126" i="5"/>
  <c r="R149" i="5"/>
  <c r="Q149" i="5"/>
  <c r="N149" i="5"/>
  <c r="M149" i="5"/>
  <c r="J149" i="5"/>
  <c r="I149" i="5"/>
  <c r="F149" i="5"/>
  <c r="E149" i="5"/>
  <c r="R114" i="5"/>
  <c r="Q114" i="5"/>
  <c r="N114" i="5"/>
  <c r="M114" i="5"/>
  <c r="J114" i="5"/>
  <c r="I114" i="5"/>
  <c r="F114" i="5"/>
  <c r="E114" i="5"/>
  <c r="R62" i="5"/>
  <c r="Q62" i="5"/>
  <c r="N62" i="5"/>
  <c r="M62" i="5"/>
  <c r="J62" i="5"/>
  <c r="I62" i="5"/>
  <c r="F62" i="5"/>
  <c r="E62" i="5"/>
  <c r="R74" i="5"/>
  <c r="Q74" i="5"/>
  <c r="N74" i="5"/>
  <c r="M74" i="5"/>
  <c r="J74" i="5"/>
  <c r="I74" i="5"/>
  <c r="F74" i="5"/>
  <c r="E74" i="5"/>
  <c r="R66" i="5"/>
  <c r="Q66" i="5"/>
  <c r="N66" i="5"/>
  <c r="M66" i="5"/>
  <c r="J66" i="5"/>
  <c r="I66" i="5"/>
  <c r="F66" i="5"/>
  <c r="E66" i="5"/>
  <c r="R177" i="5"/>
  <c r="Q177" i="5"/>
  <c r="N177" i="5"/>
  <c r="M177" i="5"/>
  <c r="J177" i="5"/>
  <c r="I177" i="5"/>
  <c r="F177" i="5"/>
  <c r="E177" i="5"/>
  <c r="R100" i="5"/>
  <c r="Q100" i="5"/>
  <c r="N100" i="5"/>
  <c r="M100" i="5"/>
  <c r="J100" i="5"/>
  <c r="I100" i="5"/>
  <c r="F100" i="5"/>
  <c r="E100" i="5"/>
  <c r="R106" i="5"/>
  <c r="Q106" i="5"/>
  <c r="N106" i="5"/>
  <c r="M106" i="5"/>
  <c r="J106" i="5"/>
  <c r="I106" i="5"/>
  <c r="F106" i="5"/>
  <c r="E106" i="5"/>
  <c r="R118" i="5"/>
  <c r="Q118" i="5"/>
  <c r="N118" i="5"/>
  <c r="M118" i="5"/>
  <c r="J118" i="5"/>
  <c r="I118" i="5"/>
  <c r="F118" i="5"/>
  <c r="E118" i="5"/>
  <c r="R174" i="5"/>
  <c r="Q174" i="5"/>
  <c r="N174" i="5"/>
  <c r="M174" i="5"/>
  <c r="J174" i="5"/>
  <c r="I174" i="5"/>
  <c r="F174" i="5"/>
  <c r="E174" i="5"/>
  <c r="R172" i="5"/>
  <c r="Q172" i="5"/>
  <c r="N172" i="5"/>
  <c r="M172" i="5"/>
  <c r="J172" i="5"/>
  <c r="I172" i="5"/>
  <c r="F172" i="5"/>
  <c r="E172" i="5"/>
  <c r="R110" i="5"/>
  <c r="Q110" i="5"/>
  <c r="N110" i="5"/>
  <c r="M110" i="5"/>
  <c r="J110" i="5"/>
  <c r="I110" i="5"/>
  <c r="F110" i="5"/>
  <c r="E110" i="5"/>
  <c r="R134" i="5"/>
  <c r="Q134" i="5"/>
  <c r="N134" i="5"/>
  <c r="M134" i="5"/>
  <c r="J134" i="5"/>
  <c r="I134" i="5"/>
  <c r="F134" i="5"/>
  <c r="E134" i="5"/>
  <c r="R70" i="5"/>
  <c r="Q70" i="5"/>
  <c r="N70" i="5"/>
  <c r="M70" i="5"/>
  <c r="J70" i="5"/>
  <c r="I70" i="5"/>
  <c r="F70" i="5"/>
  <c r="E70" i="5"/>
  <c r="R148" i="5"/>
  <c r="Q148" i="5"/>
  <c r="N148" i="5"/>
  <c r="M148" i="5"/>
  <c r="J148" i="5"/>
  <c r="I148" i="5"/>
  <c r="F148" i="5"/>
  <c r="E148" i="5"/>
  <c r="R151" i="5"/>
  <c r="Q151" i="5"/>
  <c r="N151" i="5"/>
  <c r="M151" i="5"/>
  <c r="J151" i="5"/>
  <c r="I151" i="5"/>
  <c r="F151" i="5"/>
  <c r="E151" i="5"/>
  <c r="R153" i="5"/>
  <c r="Q153" i="5"/>
  <c r="N153" i="5"/>
  <c r="M153" i="5"/>
  <c r="J153" i="5"/>
  <c r="I153" i="5"/>
  <c r="F153" i="5"/>
  <c r="E153" i="5"/>
  <c r="R175" i="5"/>
  <c r="Q175" i="5"/>
  <c r="N175" i="5"/>
  <c r="M175" i="5"/>
  <c r="J175" i="5"/>
  <c r="I175" i="5"/>
  <c r="F175" i="5"/>
  <c r="E175" i="5"/>
  <c r="R140" i="5"/>
  <c r="Q140" i="5"/>
  <c r="N140" i="5"/>
  <c r="M140" i="5"/>
  <c r="J140" i="5"/>
  <c r="I140" i="5"/>
  <c r="F140" i="5"/>
  <c r="E140" i="5"/>
  <c r="R168" i="5"/>
  <c r="Q168" i="5"/>
  <c r="N168" i="5"/>
  <c r="M168" i="5"/>
  <c r="J168" i="5"/>
  <c r="I168" i="5"/>
  <c r="F168" i="5"/>
  <c r="E168" i="5"/>
  <c r="R81" i="5"/>
  <c r="Q81" i="5"/>
  <c r="N81" i="5"/>
  <c r="M81" i="5"/>
  <c r="J81" i="5"/>
  <c r="I81" i="5"/>
  <c r="F81" i="5"/>
  <c r="E81" i="5"/>
  <c r="R95" i="5"/>
  <c r="Q95" i="5"/>
  <c r="N95" i="5"/>
  <c r="M95" i="5"/>
  <c r="J95" i="5"/>
  <c r="I95" i="5"/>
  <c r="F95" i="5"/>
  <c r="E95" i="5"/>
  <c r="R129" i="5"/>
  <c r="Q129" i="5"/>
  <c r="N129" i="5"/>
  <c r="M129" i="5"/>
  <c r="J129" i="5"/>
  <c r="I129" i="5"/>
  <c r="F129" i="5"/>
  <c r="E129" i="5"/>
  <c r="R77" i="5"/>
  <c r="Q77" i="5"/>
  <c r="N77" i="5"/>
  <c r="M77" i="5"/>
  <c r="J77" i="5"/>
  <c r="I77" i="5"/>
  <c r="F77" i="5"/>
  <c r="E77" i="5"/>
  <c r="R109" i="5"/>
  <c r="Q109" i="5"/>
  <c r="N109" i="5"/>
  <c r="M109" i="5"/>
  <c r="J109" i="5"/>
  <c r="I109" i="5"/>
  <c r="F109" i="5"/>
  <c r="E109" i="5"/>
  <c r="R108" i="5"/>
  <c r="Q108" i="5"/>
  <c r="N108" i="5"/>
  <c r="M108" i="5"/>
  <c r="J108" i="5"/>
  <c r="I108" i="5"/>
  <c r="F108" i="5"/>
  <c r="E108" i="5"/>
  <c r="R99" i="5"/>
  <c r="Q99" i="5"/>
  <c r="N99" i="5"/>
  <c r="M99" i="5"/>
  <c r="J99" i="5"/>
  <c r="I99" i="5"/>
  <c r="F99" i="5"/>
  <c r="E99" i="5"/>
  <c r="R165" i="5"/>
  <c r="Q165" i="5"/>
  <c r="N165" i="5"/>
  <c r="M165" i="5"/>
  <c r="J165" i="5"/>
  <c r="I165" i="5"/>
  <c r="F165" i="5"/>
  <c r="E165" i="5"/>
  <c r="R150" i="5"/>
  <c r="Q150" i="5"/>
  <c r="N150" i="5"/>
  <c r="M150" i="5"/>
  <c r="J150" i="5"/>
  <c r="I150" i="5"/>
  <c r="F150" i="5"/>
  <c r="E150" i="5"/>
  <c r="R182" i="5"/>
  <c r="Q182" i="5"/>
  <c r="N182" i="5"/>
  <c r="M182" i="5"/>
  <c r="J182" i="5"/>
  <c r="I182" i="5"/>
  <c r="F182" i="5"/>
  <c r="E182" i="5"/>
  <c r="R107" i="5"/>
  <c r="Q107" i="5"/>
  <c r="N107" i="5"/>
  <c r="M107" i="5"/>
  <c r="J107" i="5"/>
  <c r="I107" i="5"/>
  <c r="F107" i="5"/>
  <c r="E107" i="5"/>
  <c r="R91" i="5"/>
  <c r="Q91" i="5"/>
  <c r="N91" i="5"/>
  <c r="M91" i="5"/>
  <c r="J91" i="5"/>
  <c r="I91" i="5"/>
  <c r="F91" i="5"/>
  <c r="E91" i="5"/>
  <c r="R142" i="5"/>
  <c r="Q142" i="5"/>
  <c r="N142" i="5"/>
  <c r="M142" i="5"/>
  <c r="J142" i="5"/>
  <c r="I142" i="5"/>
  <c r="F142" i="5"/>
  <c r="E142" i="5"/>
  <c r="R137" i="5"/>
  <c r="Q137" i="5"/>
  <c r="N137" i="5"/>
  <c r="M137" i="5"/>
  <c r="J137" i="5"/>
  <c r="I137" i="5"/>
  <c r="F137" i="5"/>
  <c r="E137" i="5"/>
  <c r="R96" i="5"/>
  <c r="Q96" i="5"/>
  <c r="N96" i="5"/>
  <c r="M96" i="5"/>
  <c r="J96" i="5"/>
  <c r="I96" i="5"/>
  <c r="F96" i="5"/>
  <c r="E96" i="5"/>
  <c r="R131" i="5"/>
  <c r="Q131" i="5"/>
  <c r="N131" i="5"/>
  <c r="M131" i="5"/>
  <c r="J131" i="5"/>
  <c r="I131" i="5"/>
  <c r="F131" i="5"/>
  <c r="E131" i="5"/>
  <c r="R121" i="5"/>
  <c r="Q121" i="5"/>
  <c r="N121" i="5"/>
  <c r="M121" i="5"/>
  <c r="J121" i="5"/>
  <c r="I121" i="5"/>
  <c r="F121" i="5"/>
  <c r="E121" i="5"/>
  <c r="R164" i="5"/>
  <c r="Q164" i="5"/>
  <c r="N164" i="5"/>
  <c r="M164" i="5"/>
  <c r="J164" i="5"/>
  <c r="I164" i="5"/>
  <c r="F164" i="5"/>
  <c r="E164" i="5"/>
  <c r="R130" i="5"/>
  <c r="Q130" i="5"/>
  <c r="N130" i="5"/>
  <c r="M130" i="5"/>
  <c r="J130" i="5"/>
  <c r="I130" i="5"/>
  <c r="F130" i="5"/>
  <c r="E130" i="5"/>
  <c r="R64" i="5"/>
  <c r="Q64" i="5"/>
  <c r="N64" i="5"/>
  <c r="M64" i="5"/>
  <c r="J64" i="5"/>
  <c r="I64" i="5"/>
  <c r="F64" i="5"/>
  <c r="E64" i="5"/>
  <c r="R173" i="5"/>
  <c r="Q173" i="5"/>
  <c r="N173" i="5"/>
  <c r="M173" i="5"/>
  <c r="J173" i="5"/>
  <c r="I173" i="5"/>
  <c r="F173" i="5"/>
  <c r="E173" i="5"/>
  <c r="R58" i="5"/>
  <c r="Q58" i="5"/>
  <c r="N58" i="5"/>
  <c r="M58" i="5"/>
  <c r="J58" i="5"/>
  <c r="I58" i="5"/>
  <c r="F58" i="5"/>
  <c r="E58" i="5"/>
  <c r="R115" i="5"/>
  <c r="Q115" i="5"/>
  <c r="N115" i="5"/>
  <c r="M115" i="5"/>
  <c r="J115" i="5"/>
  <c r="I115" i="5"/>
  <c r="F115" i="5"/>
  <c r="E115" i="5"/>
  <c r="R82" i="5"/>
  <c r="Q82" i="5"/>
  <c r="N82" i="5"/>
  <c r="M82" i="5"/>
  <c r="J82" i="5"/>
  <c r="I82" i="5"/>
  <c r="F82" i="5"/>
  <c r="E82" i="5"/>
  <c r="R152" i="5"/>
  <c r="Q152" i="5"/>
  <c r="N152" i="5"/>
  <c r="M152" i="5"/>
  <c r="J152" i="5"/>
  <c r="I152" i="5"/>
  <c r="F152" i="5"/>
  <c r="E152" i="5"/>
  <c r="R72" i="5"/>
  <c r="Q72" i="5"/>
  <c r="N72" i="5"/>
  <c r="M72" i="5"/>
  <c r="J72" i="5"/>
  <c r="I72" i="5"/>
  <c r="F72" i="5"/>
  <c r="E72" i="5"/>
  <c r="R97" i="5"/>
  <c r="Q97" i="5"/>
  <c r="N97" i="5"/>
  <c r="M97" i="5"/>
  <c r="J97" i="5"/>
  <c r="I97" i="5"/>
  <c r="F97" i="5"/>
  <c r="E97" i="5"/>
  <c r="R143" i="5"/>
  <c r="Q143" i="5"/>
  <c r="N143" i="5"/>
  <c r="M143" i="5"/>
  <c r="J143" i="5"/>
  <c r="I143" i="5"/>
  <c r="F143" i="5"/>
  <c r="E143" i="5"/>
  <c r="R76" i="5"/>
  <c r="Q76" i="5"/>
  <c r="N76" i="5"/>
  <c r="M76" i="5"/>
  <c r="J76" i="5"/>
  <c r="I76" i="5"/>
  <c r="F76" i="5"/>
  <c r="E76" i="5"/>
  <c r="R112" i="5"/>
  <c r="Q112" i="5"/>
  <c r="N112" i="5"/>
  <c r="M112" i="5"/>
  <c r="J112" i="5"/>
  <c r="I112" i="5"/>
  <c r="F112" i="5"/>
  <c r="E112" i="5"/>
  <c r="R158" i="5"/>
  <c r="Q158" i="5"/>
  <c r="N158" i="5"/>
  <c r="M158" i="5"/>
  <c r="J158" i="5"/>
  <c r="I158" i="5"/>
  <c r="F158" i="5"/>
  <c r="E158" i="5"/>
  <c r="R73" i="5"/>
  <c r="Q73" i="5"/>
  <c r="N73" i="5"/>
  <c r="M73" i="5"/>
  <c r="J73" i="5"/>
  <c r="I73" i="5"/>
  <c r="F73" i="5"/>
  <c r="E73" i="5"/>
  <c r="R86" i="5"/>
  <c r="Q86" i="5"/>
  <c r="N86" i="5"/>
  <c r="M86" i="5"/>
  <c r="J86" i="5"/>
  <c r="I86" i="5"/>
  <c r="F86" i="5"/>
  <c r="E86" i="5"/>
  <c r="R159" i="5"/>
  <c r="Q159" i="5"/>
  <c r="N159" i="5"/>
  <c r="M159" i="5"/>
  <c r="J159" i="5"/>
  <c r="I159" i="5"/>
  <c r="F159" i="5"/>
  <c r="E159" i="5"/>
  <c r="R101" i="5"/>
  <c r="Q101" i="5"/>
  <c r="N101" i="5"/>
  <c r="M101" i="5"/>
  <c r="J101" i="5"/>
  <c r="I101" i="5"/>
  <c r="F101" i="5"/>
  <c r="E101" i="5"/>
  <c r="R102" i="5"/>
  <c r="Q102" i="5"/>
  <c r="N102" i="5"/>
  <c r="M102" i="5"/>
  <c r="J102" i="5"/>
  <c r="I102" i="5"/>
  <c r="F102" i="5"/>
  <c r="E102" i="5"/>
  <c r="R87" i="5"/>
  <c r="Q87" i="5"/>
  <c r="N87" i="5"/>
  <c r="M87" i="5"/>
  <c r="J87" i="5"/>
  <c r="I87" i="5"/>
  <c r="F87" i="5"/>
  <c r="E87" i="5"/>
  <c r="R171" i="5"/>
  <c r="Q171" i="5"/>
  <c r="N171" i="5"/>
  <c r="M171" i="5"/>
  <c r="J171" i="5"/>
  <c r="I171" i="5"/>
  <c r="F171" i="5"/>
  <c r="E171" i="5"/>
  <c r="R124" i="5"/>
  <c r="Q124" i="5"/>
  <c r="N124" i="5"/>
  <c r="M124" i="5"/>
  <c r="J124" i="5"/>
  <c r="I124" i="5"/>
  <c r="F124" i="5"/>
  <c r="E124" i="5"/>
  <c r="R78" i="5"/>
  <c r="Q78" i="5"/>
  <c r="N78" i="5"/>
  <c r="M78" i="5"/>
  <c r="J78" i="5"/>
  <c r="I78" i="5"/>
  <c r="F78" i="5"/>
  <c r="E78" i="5"/>
  <c r="R146" i="5"/>
  <c r="Q146" i="5"/>
  <c r="N146" i="5"/>
  <c r="M146" i="5"/>
  <c r="J146" i="5"/>
  <c r="I146" i="5"/>
  <c r="F146" i="5"/>
  <c r="E146" i="5"/>
  <c r="R133" i="5"/>
  <c r="Q133" i="5"/>
  <c r="N133" i="5"/>
  <c r="M133" i="5"/>
  <c r="J133" i="5"/>
  <c r="I133" i="5"/>
  <c r="F133" i="5"/>
  <c r="E133" i="5"/>
  <c r="X32" i="5"/>
  <c r="X36" i="5"/>
  <c r="Y40" i="5"/>
  <c r="X40" i="5"/>
  <c r="X35" i="5"/>
  <c r="X46" i="5"/>
  <c r="X47" i="5"/>
  <c r="X21" i="5"/>
  <c r="Y26" i="5"/>
  <c r="X26" i="5"/>
  <c r="Y44" i="5"/>
  <c r="X44" i="5"/>
  <c r="X45" i="5"/>
  <c r="X20" i="5"/>
  <c r="Y31" i="5"/>
  <c r="X31" i="5"/>
  <c r="X41" i="5"/>
  <c r="Y24" i="5"/>
  <c r="X24" i="5"/>
  <c r="X33" i="5"/>
  <c r="X38" i="5"/>
  <c r="Y37" i="5"/>
  <c r="X37" i="5"/>
  <c r="Y25" i="5"/>
  <c r="X25" i="5"/>
  <c r="X27" i="5"/>
  <c r="X28" i="5"/>
  <c r="X34" i="5"/>
  <c r="X22" i="5"/>
  <c r="Y19" i="5"/>
  <c r="X19" i="5"/>
  <c r="W49" i="5"/>
  <c r="V49" i="5"/>
  <c r="U49" i="5"/>
  <c r="T49" i="5"/>
  <c r="S49" i="5"/>
  <c r="R49" i="5"/>
  <c r="Q49" i="5"/>
  <c r="P49" i="5"/>
  <c r="O49" i="5"/>
  <c r="L49" i="5"/>
  <c r="K49" i="5"/>
  <c r="N49" i="5" s="1"/>
  <c r="H49" i="5"/>
  <c r="G49" i="5"/>
  <c r="J49" i="5" s="1"/>
  <c r="D49" i="5"/>
  <c r="C49" i="5"/>
  <c r="F49" i="5" s="1"/>
  <c r="Y33" i="5" s="1"/>
  <c r="R32" i="5"/>
  <c r="Q32" i="5"/>
  <c r="N32" i="5"/>
  <c r="M32" i="5"/>
  <c r="J32" i="5"/>
  <c r="I32" i="5"/>
  <c r="F32" i="5"/>
  <c r="E32" i="5"/>
  <c r="R36" i="5"/>
  <c r="Q36" i="5"/>
  <c r="N36" i="5"/>
  <c r="M36" i="5"/>
  <c r="J36" i="5"/>
  <c r="I36" i="5"/>
  <c r="F36" i="5"/>
  <c r="E36" i="5"/>
  <c r="R40" i="5"/>
  <c r="Q40" i="5"/>
  <c r="N40" i="5"/>
  <c r="M40" i="5"/>
  <c r="J40" i="5"/>
  <c r="I40" i="5"/>
  <c r="F40" i="5"/>
  <c r="E40" i="5"/>
  <c r="R42" i="5"/>
  <c r="Q42" i="5"/>
  <c r="N42" i="5"/>
  <c r="M42" i="5"/>
  <c r="J42" i="5"/>
  <c r="I42" i="5"/>
  <c r="F42" i="5"/>
  <c r="Y42" i="5" s="1"/>
  <c r="E42" i="5"/>
  <c r="R35" i="5"/>
  <c r="Q35" i="5"/>
  <c r="N35" i="5"/>
  <c r="M35" i="5"/>
  <c r="J35" i="5"/>
  <c r="I35" i="5"/>
  <c r="F35" i="5"/>
  <c r="E35" i="5"/>
  <c r="R46" i="5"/>
  <c r="Q46" i="5"/>
  <c r="N46" i="5"/>
  <c r="M46" i="5"/>
  <c r="J46" i="5"/>
  <c r="I46" i="5"/>
  <c r="F46" i="5"/>
  <c r="E46" i="5"/>
  <c r="R47" i="5"/>
  <c r="Q47" i="5"/>
  <c r="N47" i="5"/>
  <c r="M47" i="5"/>
  <c r="J47" i="5"/>
  <c r="I47" i="5"/>
  <c r="F47" i="5"/>
  <c r="E47" i="5"/>
  <c r="R39" i="5"/>
  <c r="Q39" i="5"/>
  <c r="N39" i="5"/>
  <c r="M39" i="5"/>
  <c r="J39" i="5"/>
  <c r="I39" i="5"/>
  <c r="F39" i="5"/>
  <c r="Y39" i="5" s="1"/>
  <c r="E39" i="5"/>
  <c r="R21" i="5"/>
  <c r="Q21" i="5"/>
  <c r="N21" i="5"/>
  <c r="M21" i="5"/>
  <c r="J21" i="5"/>
  <c r="I21" i="5"/>
  <c r="F21" i="5"/>
  <c r="E21" i="5"/>
  <c r="R26" i="5"/>
  <c r="Q26" i="5"/>
  <c r="N26" i="5"/>
  <c r="M26" i="5"/>
  <c r="J26" i="5"/>
  <c r="I26" i="5"/>
  <c r="F26" i="5"/>
  <c r="E26" i="5"/>
  <c r="R44" i="5"/>
  <c r="Q44" i="5"/>
  <c r="N44" i="5"/>
  <c r="M44" i="5"/>
  <c r="J44" i="5"/>
  <c r="I44" i="5"/>
  <c r="F44" i="5"/>
  <c r="E44" i="5"/>
  <c r="R30" i="5"/>
  <c r="Q30" i="5"/>
  <c r="N30" i="5"/>
  <c r="M30" i="5"/>
  <c r="J30" i="5"/>
  <c r="I30" i="5"/>
  <c r="F30" i="5"/>
  <c r="Y30" i="5" s="1"/>
  <c r="E30" i="5"/>
  <c r="R45" i="5"/>
  <c r="Q45" i="5"/>
  <c r="N45" i="5"/>
  <c r="M45" i="5"/>
  <c r="J45" i="5"/>
  <c r="I45" i="5"/>
  <c r="F45" i="5"/>
  <c r="E45" i="5"/>
  <c r="R20" i="5"/>
  <c r="Q20" i="5"/>
  <c r="N20" i="5"/>
  <c r="M20" i="5"/>
  <c r="J20" i="5"/>
  <c r="I20" i="5"/>
  <c r="F20" i="5"/>
  <c r="E20" i="5"/>
  <c r="R31" i="5"/>
  <c r="Q31" i="5"/>
  <c r="N31" i="5"/>
  <c r="M31" i="5"/>
  <c r="J31" i="5"/>
  <c r="I31" i="5"/>
  <c r="F31" i="5"/>
  <c r="E31" i="5"/>
  <c r="R23" i="5"/>
  <c r="Q23" i="5"/>
  <c r="N23" i="5"/>
  <c r="M23" i="5"/>
  <c r="J23" i="5"/>
  <c r="I23" i="5"/>
  <c r="F23" i="5"/>
  <c r="Y23" i="5" s="1"/>
  <c r="E23" i="5"/>
  <c r="R41" i="5"/>
  <c r="Q41" i="5"/>
  <c r="N41" i="5"/>
  <c r="M41" i="5"/>
  <c r="J41" i="5"/>
  <c r="I41" i="5"/>
  <c r="F41" i="5"/>
  <c r="E41" i="5"/>
  <c r="R24" i="5"/>
  <c r="Q24" i="5"/>
  <c r="N24" i="5"/>
  <c r="M24" i="5"/>
  <c r="J24" i="5"/>
  <c r="I24" i="5"/>
  <c r="F24" i="5"/>
  <c r="E24" i="5"/>
  <c r="R33" i="5"/>
  <c r="Q33" i="5"/>
  <c r="N33" i="5"/>
  <c r="M33" i="5"/>
  <c r="J33" i="5"/>
  <c r="I33" i="5"/>
  <c r="F33" i="5"/>
  <c r="E33" i="5"/>
  <c r="R48" i="5"/>
  <c r="Q48" i="5"/>
  <c r="N48" i="5"/>
  <c r="M48" i="5"/>
  <c r="J48" i="5"/>
  <c r="I48" i="5"/>
  <c r="F48" i="5"/>
  <c r="Y48" i="5" s="1"/>
  <c r="E48" i="5"/>
  <c r="R38" i="5"/>
  <c r="Q38" i="5"/>
  <c r="N38" i="5"/>
  <c r="M38" i="5"/>
  <c r="J38" i="5"/>
  <c r="I38" i="5"/>
  <c r="F38" i="5"/>
  <c r="E38" i="5"/>
  <c r="R37" i="5"/>
  <c r="Q37" i="5"/>
  <c r="N37" i="5"/>
  <c r="M37" i="5"/>
  <c r="J37" i="5"/>
  <c r="I37" i="5"/>
  <c r="F37" i="5"/>
  <c r="E37" i="5"/>
  <c r="R25" i="5"/>
  <c r="Q25" i="5"/>
  <c r="N25" i="5"/>
  <c r="M25" i="5"/>
  <c r="J25" i="5"/>
  <c r="I25" i="5"/>
  <c r="F25" i="5"/>
  <c r="E25" i="5"/>
  <c r="R43" i="5"/>
  <c r="Q43" i="5"/>
  <c r="N43" i="5"/>
  <c r="M43" i="5"/>
  <c r="J43" i="5"/>
  <c r="I43" i="5"/>
  <c r="F43" i="5"/>
  <c r="Y43" i="5" s="1"/>
  <c r="E43" i="5"/>
  <c r="R27" i="5"/>
  <c r="Q27" i="5"/>
  <c r="N27" i="5"/>
  <c r="M27" i="5"/>
  <c r="J27" i="5"/>
  <c r="I27" i="5"/>
  <c r="F27" i="5"/>
  <c r="E27" i="5"/>
  <c r="R28" i="5"/>
  <c r="Q28" i="5"/>
  <c r="N28" i="5"/>
  <c r="M28" i="5"/>
  <c r="J28" i="5"/>
  <c r="I28" i="5"/>
  <c r="F28" i="5"/>
  <c r="E28" i="5"/>
  <c r="R34" i="5"/>
  <c r="Q34" i="5"/>
  <c r="N34" i="5"/>
  <c r="M34" i="5"/>
  <c r="J34" i="5"/>
  <c r="I34" i="5"/>
  <c r="F34" i="5"/>
  <c r="E34" i="5"/>
  <c r="R29" i="5"/>
  <c r="Q29" i="5"/>
  <c r="N29" i="5"/>
  <c r="M29" i="5"/>
  <c r="J29" i="5"/>
  <c r="I29" i="5"/>
  <c r="F29" i="5"/>
  <c r="Y29" i="5" s="1"/>
  <c r="E29" i="5"/>
  <c r="R22" i="5"/>
  <c r="Q22" i="5"/>
  <c r="N22" i="5"/>
  <c r="M22" i="5"/>
  <c r="J22" i="5"/>
  <c r="I22" i="5"/>
  <c r="F22" i="5"/>
  <c r="E22" i="5"/>
  <c r="R19" i="5"/>
  <c r="Q19" i="5"/>
  <c r="N19" i="5"/>
  <c r="M19" i="5"/>
  <c r="J19" i="5"/>
  <c r="I19" i="5"/>
  <c r="F19" i="5"/>
  <c r="E19" i="5"/>
  <c r="X9" i="5"/>
  <c r="X10" i="5"/>
  <c r="X8" i="5"/>
  <c r="Y6" i="5"/>
  <c r="X6" i="5"/>
  <c r="W11" i="5"/>
  <c r="V11" i="5"/>
  <c r="U11" i="5"/>
  <c r="T11" i="5"/>
  <c r="S11" i="5"/>
  <c r="P11" i="5"/>
  <c r="R11" i="5" s="1"/>
  <c r="O11" i="5"/>
  <c r="N11" i="5"/>
  <c r="M11" i="5"/>
  <c r="L11" i="5"/>
  <c r="K11" i="5"/>
  <c r="H11" i="5"/>
  <c r="J11" i="5" s="1"/>
  <c r="G11" i="5"/>
  <c r="F11" i="5"/>
  <c r="Y10" i="5" s="1"/>
  <c r="E11" i="5"/>
  <c r="D11" i="5"/>
  <c r="C11" i="5"/>
  <c r="R9" i="5"/>
  <c r="Q9" i="5"/>
  <c r="N9" i="5"/>
  <c r="M9" i="5"/>
  <c r="J9" i="5"/>
  <c r="I9" i="5"/>
  <c r="F9" i="5"/>
  <c r="E9" i="5"/>
  <c r="R10" i="5"/>
  <c r="Q10" i="5"/>
  <c r="N10" i="5"/>
  <c r="M10" i="5"/>
  <c r="J10" i="5"/>
  <c r="I10" i="5"/>
  <c r="F10" i="5"/>
  <c r="E10" i="5"/>
  <c r="R7" i="5"/>
  <c r="Q7" i="5"/>
  <c r="N7" i="5"/>
  <c r="M7" i="5"/>
  <c r="J7" i="5"/>
  <c r="I7" i="5"/>
  <c r="F7" i="5"/>
  <c r="X7" i="5" s="1"/>
  <c r="E7" i="5"/>
  <c r="R8" i="5"/>
  <c r="Q8" i="5"/>
  <c r="N8" i="5"/>
  <c r="M8" i="5"/>
  <c r="J8" i="5"/>
  <c r="I8" i="5"/>
  <c r="F8" i="5"/>
  <c r="E8" i="5"/>
  <c r="R6" i="5"/>
  <c r="Q6" i="5"/>
  <c r="N6" i="5"/>
  <c r="M6" i="5"/>
  <c r="J6" i="5"/>
  <c r="I6" i="5"/>
  <c r="F6" i="5"/>
  <c r="E6" i="5"/>
  <c r="D229" i="4"/>
  <c r="C229" i="4"/>
  <c r="E229" i="4" s="1"/>
  <c r="E228" i="4"/>
  <c r="E227" i="4"/>
  <c r="E226" i="4"/>
  <c r="E225" i="4"/>
  <c r="E224" i="4"/>
  <c r="D214" i="4"/>
  <c r="C214" i="4"/>
  <c r="E214" i="4" s="1"/>
  <c r="E213" i="4"/>
  <c r="E212" i="4"/>
  <c r="E211" i="4"/>
  <c r="E210" i="4"/>
  <c r="E209" i="4"/>
  <c r="D199" i="4"/>
  <c r="C199" i="4"/>
  <c r="E199" i="4" s="1"/>
  <c r="E198" i="4"/>
  <c r="E197" i="4"/>
  <c r="E196" i="4"/>
  <c r="E195" i="4"/>
  <c r="E194" i="4"/>
  <c r="D184" i="4"/>
  <c r="C184" i="4"/>
  <c r="E184" i="4" s="1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49" i="4"/>
  <c r="D49" i="4"/>
  <c r="C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1" i="4"/>
  <c r="D11" i="4"/>
  <c r="C11" i="4"/>
  <c r="E10" i="4"/>
  <c r="E9" i="4"/>
  <c r="E8" i="4"/>
  <c r="E7" i="4"/>
  <c r="E6" i="4"/>
  <c r="W229" i="2"/>
  <c r="V229" i="2"/>
  <c r="U229" i="2"/>
  <c r="T229" i="2"/>
  <c r="S229" i="2"/>
  <c r="P229" i="2"/>
  <c r="Q229" i="2" s="1"/>
  <c r="O229" i="2"/>
  <c r="L229" i="2"/>
  <c r="K229" i="2"/>
  <c r="H229" i="2"/>
  <c r="G229" i="2"/>
  <c r="J229" i="2" s="1"/>
  <c r="D229" i="2"/>
  <c r="C229" i="2"/>
  <c r="R227" i="2"/>
  <c r="Q227" i="2"/>
  <c r="N227" i="2"/>
  <c r="M227" i="2"/>
  <c r="J227" i="2"/>
  <c r="I227" i="2"/>
  <c r="F227" i="2"/>
  <c r="E227" i="2"/>
  <c r="R225" i="2"/>
  <c r="Q225" i="2"/>
  <c r="N225" i="2"/>
  <c r="M225" i="2"/>
  <c r="J225" i="2"/>
  <c r="I225" i="2"/>
  <c r="F225" i="2"/>
  <c r="X225" i="2" s="1"/>
  <c r="E225" i="2"/>
  <c r="R226" i="2"/>
  <c r="Q226" i="2"/>
  <c r="N226" i="2"/>
  <c r="M226" i="2"/>
  <c r="J226" i="2"/>
  <c r="I226" i="2"/>
  <c r="F226" i="2"/>
  <c r="E226" i="2"/>
  <c r="R228" i="2"/>
  <c r="Q228" i="2"/>
  <c r="N228" i="2"/>
  <c r="M228" i="2"/>
  <c r="J228" i="2"/>
  <c r="I228" i="2"/>
  <c r="F228" i="2"/>
  <c r="E228" i="2"/>
  <c r="R224" i="2"/>
  <c r="Q224" i="2"/>
  <c r="N224" i="2"/>
  <c r="M224" i="2"/>
  <c r="J224" i="2"/>
  <c r="I224" i="2"/>
  <c r="F224" i="2"/>
  <c r="E224" i="2"/>
  <c r="X212" i="2"/>
  <c r="X213" i="2"/>
  <c r="Y210" i="2"/>
  <c r="X210" i="2"/>
  <c r="Y209" i="2"/>
  <c r="X209" i="2"/>
  <c r="W214" i="2"/>
  <c r="V214" i="2"/>
  <c r="U214" i="2"/>
  <c r="T214" i="2"/>
  <c r="S214" i="2"/>
  <c r="R214" i="2"/>
  <c r="Q214" i="2"/>
  <c r="P214" i="2"/>
  <c r="O214" i="2"/>
  <c r="L214" i="2"/>
  <c r="K214" i="2"/>
  <c r="M214" i="2" s="1"/>
  <c r="H214" i="2"/>
  <c r="J214" i="2" s="1"/>
  <c r="G214" i="2"/>
  <c r="F214" i="2"/>
  <c r="Y212" i="2" s="1"/>
  <c r="D214" i="2"/>
  <c r="C214" i="2"/>
  <c r="E214" i="2" s="1"/>
  <c r="R212" i="2"/>
  <c r="Q212" i="2"/>
  <c r="N212" i="2"/>
  <c r="M212" i="2"/>
  <c r="J212" i="2"/>
  <c r="I212" i="2"/>
  <c r="F212" i="2"/>
  <c r="E212" i="2"/>
  <c r="R213" i="2"/>
  <c r="Q213" i="2"/>
  <c r="N213" i="2"/>
  <c r="M213" i="2"/>
  <c r="J213" i="2"/>
  <c r="I213" i="2"/>
  <c r="F213" i="2"/>
  <c r="E213" i="2"/>
  <c r="R211" i="2"/>
  <c r="Q211" i="2"/>
  <c r="N211" i="2"/>
  <c r="M211" i="2"/>
  <c r="J211" i="2"/>
  <c r="I211" i="2"/>
  <c r="F211" i="2"/>
  <c r="E211" i="2"/>
  <c r="R210" i="2"/>
  <c r="Q210" i="2"/>
  <c r="N210" i="2"/>
  <c r="M210" i="2"/>
  <c r="J210" i="2"/>
  <c r="I210" i="2"/>
  <c r="F210" i="2"/>
  <c r="E210" i="2"/>
  <c r="R209" i="2"/>
  <c r="Q209" i="2"/>
  <c r="N209" i="2"/>
  <c r="M209" i="2"/>
  <c r="J209" i="2"/>
  <c r="I209" i="2"/>
  <c r="F209" i="2"/>
  <c r="E209" i="2"/>
  <c r="X195" i="2"/>
  <c r="Y198" i="2"/>
  <c r="X198" i="2"/>
  <c r="X196" i="2"/>
  <c r="X197" i="2"/>
  <c r="W199" i="2"/>
  <c r="V199" i="2"/>
  <c r="U199" i="2"/>
  <c r="T199" i="2"/>
  <c r="S199" i="2"/>
  <c r="P199" i="2"/>
  <c r="O199" i="2"/>
  <c r="R199" i="2" s="1"/>
  <c r="N199" i="2"/>
  <c r="M199" i="2"/>
  <c r="L199" i="2"/>
  <c r="K199" i="2"/>
  <c r="H199" i="2"/>
  <c r="G199" i="2"/>
  <c r="J199" i="2" s="1"/>
  <c r="F199" i="2"/>
  <c r="Y194" i="2" s="1"/>
  <c r="E199" i="2"/>
  <c r="D199" i="2"/>
  <c r="C199" i="2"/>
  <c r="R195" i="2"/>
  <c r="Q195" i="2"/>
  <c r="N195" i="2"/>
  <c r="M195" i="2"/>
  <c r="J195" i="2"/>
  <c r="I195" i="2"/>
  <c r="F195" i="2"/>
  <c r="E195" i="2"/>
  <c r="R198" i="2"/>
  <c r="Q198" i="2"/>
  <c r="N198" i="2"/>
  <c r="M198" i="2"/>
  <c r="J198" i="2"/>
  <c r="I198" i="2"/>
  <c r="F198" i="2"/>
  <c r="E198" i="2"/>
  <c r="R194" i="2"/>
  <c r="Q194" i="2"/>
  <c r="N194" i="2"/>
  <c r="M194" i="2"/>
  <c r="J194" i="2"/>
  <c r="I194" i="2"/>
  <c r="F194" i="2"/>
  <c r="X194" i="2" s="1"/>
  <c r="E194" i="2"/>
  <c r="R196" i="2"/>
  <c r="Q196" i="2"/>
  <c r="N196" i="2"/>
  <c r="M196" i="2"/>
  <c r="J196" i="2"/>
  <c r="I196" i="2"/>
  <c r="F196" i="2"/>
  <c r="Y196" i="2" s="1"/>
  <c r="E196" i="2"/>
  <c r="R197" i="2"/>
  <c r="Q197" i="2"/>
  <c r="N197" i="2"/>
  <c r="M197" i="2"/>
  <c r="J197" i="2"/>
  <c r="I197" i="2"/>
  <c r="F197" i="2"/>
  <c r="E197" i="2"/>
  <c r="W184" i="2"/>
  <c r="V184" i="2"/>
  <c r="U184" i="2"/>
  <c r="T184" i="2"/>
  <c r="S184" i="2"/>
  <c r="P184" i="2"/>
  <c r="O184" i="2"/>
  <c r="R184" i="2" s="1"/>
  <c r="N184" i="2"/>
  <c r="M184" i="2"/>
  <c r="L184" i="2"/>
  <c r="K184" i="2"/>
  <c r="H184" i="2"/>
  <c r="G184" i="2"/>
  <c r="I184" i="2" s="1"/>
  <c r="F184" i="2"/>
  <c r="Y88" i="2" s="1"/>
  <c r="E184" i="2"/>
  <c r="D184" i="2"/>
  <c r="C184" i="2"/>
  <c r="R181" i="2"/>
  <c r="Q181" i="2"/>
  <c r="N181" i="2"/>
  <c r="M181" i="2"/>
  <c r="J181" i="2"/>
  <c r="I181" i="2"/>
  <c r="F181" i="2"/>
  <c r="E181" i="2"/>
  <c r="R103" i="2"/>
  <c r="Q103" i="2"/>
  <c r="N103" i="2"/>
  <c r="M103" i="2"/>
  <c r="J103" i="2"/>
  <c r="I103" i="2"/>
  <c r="F103" i="2"/>
  <c r="E103" i="2"/>
  <c r="R68" i="2"/>
  <c r="Q68" i="2"/>
  <c r="N68" i="2"/>
  <c r="M68" i="2"/>
  <c r="J68" i="2"/>
  <c r="I68" i="2"/>
  <c r="F68" i="2"/>
  <c r="E68" i="2"/>
  <c r="R110" i="2"/>
  <c r="Q110" i="2"/>
  <c r="N110" i="2"/>
  <c r="M110" i="2"/>
  <c r="J110" i="2"/>
  <c r="I110" i="2"/>
  <c r="F110" i="2"/>
  <c r="E110" i="2"/>
  <c r="R101" i="2"/>
  <c r="Q101" i="2"/>
  <c r="N101" i="2"/>
  <c r="M101" i="2"/>
  <c r="J101" i="2"/>
  <c r="I101" i="2"/>
  <c r="F101" i="2"/>
  <c r="E101" i="2"/>
  <c r="R164" i="2"/>
  <c r="Q164" i="2"/>
  <c r="N164" i="2"/>
  <c r="M164" i="2"/>
  <c r="J164" i="2"/>
  <c r="I164" i="2"/>
  <c r="F164" i="2"/>
  <c r="E164" i="2"/>
  <c r="R77" i="2"/>
  <c r="Q77" i="2"/>
  <c r="N77" i="2"/>
  <c r="M77" i="2"/>
  <c r="J77" i="2"/>
  <c r="I77" i="2"/>
  <c r="F77" i="2"/>
  <c r="E77" i="2"/>
  <c r="R93" i="2"/>
  <c r="Q93" i="2"/>
  <c r="N93" i="2"/>
  <c r="M93" i="2"/>
  <c r="J93" i="2"/>
  <c r="I93" i="2"/>
  <c r="F93" i="2"/>
  <c r="E93" i="2"/>
  <c r="R121" i="2"/>
  <c r="Q121" i="2"/>
  <c r="N121" i="2"/>
  <c r="M121" i="2"/>
  <c r="J121" i="2"/>
  <c r="I121" i="2"/>
  <c r="F121" i="2"/>
  <c r="E121" i="2"/>
  <c r="R180" i="2"/>
  <c r="Q180" i="2"/>
  <c r="N180" i="2"/>
  <c r="M180" i="2"/>
  <c r="J180" i="2"/>
  <c r="I180" i="2"/>
  <c r="F180" i="2"/>
  <c r="E180" i="2"/>
  <c r="R79" i="2"/>
  <c r="Q79" i="2"/>
  <c r="N79" i="2"/>
  <c r="M79" i="2"/>
  <c r="J79" i="2"/>
  <c r="I79" i="2"/>
  <c r="F79" i="2"/>
  <c r="E79" i="2"/>
  <c r="R176" i="2"/>
  <c r="Q176" i="2"/>
  <c r="N176" i="2"/>
  <c r="M176" i="2"/>
  <c r="J176" i="2"/>
  <c r="I176" i="2"/>
  <c r="F176" i="2"/>
  <c r="E176" i="2"/>
  <c r="R129" i="2"/>
  <c r="Q129" i="2"/>
  <c r="N129" i="2"/>
  <c r="M129" i="2"/>
  <c r="J129" i="2"/>
  <c r="I129" i="2"/>
  <c r="F129" i="2"/>
  <c r="E129" i="2"/>
  <c r="R63" i="2"/>
  <c r="Q63" i="2"/>
  <c r="N63" i="2"/>
  <c r="M63" i="2"/>
  <c r="J63" i="2"/>
  <c r="I63" i="2"/>
  <c r="F63" i="2"/>
  <c r="E63" i="2"/>
  <c r="R147" i="2"/>
  <c r="Q147" i="2"/>
  <c r="N147" i="2"/>
  <c r="M147" i="2"/>
  <c r="J147" i="2"/>
  <c r="I147" i="2"/>
  <c r="F147" i="2"/>
  <c r="E147" i="2"/>
  <c r="R138" i="2"/>
  <c r="Q138" i="2"/>
  <c r="N138" i="2"/>
  <c r="M138" i="2"/>
  <c r="J138" i="2"/>
  <c r="I138" i="2"/>
  <c r="F138" i="2"/>
  <c r="E138" i="2"/>
  <c r="R136" i="2"/>
  <c r="Q136" i="2"/>
  <c r="N136" i="2"/>
  <c r="M136" i="2"/>
  <c r="J136" i="2"/>
  <c r="I136" i="2"/>
  <c r="F136" i="2"/>
  <c r="E136" i="2"/>
  <c r="R143" i="2"/>
  <c r="Q143" i="2"/>
  <c r="N143" i="2"/>
  <c r="M143" i="2"/>
  <c r="J143" i="2"/>
  <c r="I143" i="2"/>
  <c r="F143" i="2"/>
  <c r="E143" i="2"/>
  <c r="R124" i="2"/>
  <c r="Q124" i="2"/>
  <c r="N124" i="2"/>
  <c r="M124" i="2"/>
  <c r="J124" i="2"/>
  <c r="I124" i="2"/>
  <c r="F124" i="2"/>
  <c r="E124" i="2"/>
  <c r="R113" i="2"/>
  <c r="Q113" i="2"/>
  <c r="N113" i="2"/>
  <c r="M113" i="2"/>
  <c r="J113" i="2"/>
  <c r="I113" i="2"/>
  <c r="F113" i="2"/>
  <c r="E113" i="2"/>
  <c r="R179" i="2"/>
  <c r="Q179" i="2"/>
  <c r="N179" i="2"/>
  <c r="M179" i="2"/>
  <c r="J179" i="2"/>
  <c r="I179" i="2"/>
  <c r="F179" i="2"/>
  <c r="E179" i="2"/>
  <c r="R74" i="2"/>
  <c r="Q74" i="2"/>
  <c r="N74" i="2"/>
  <c r="M74" i="2"/>
  <c r="J74" i="2"/>
  <c r="I74" i="2"/>
  <c r="F74" i="2"/>
  <c r="E74" i="2"/>
  <c r="R72" i="2"/>
  <c r="Q72" i="2"/>
  <c r="N72" i="2"/>
  <c r="M72" i="2"/>
  <c r="J72" i="2"/>
  <c r="I72" i="2"/>
  <c r="F72" i="2"/>
  <c r="E72" i="2"/>
  <c r="R87" i="2"/>
  <c r="Q87" i="2"/>
  <c r="N87" i="2"/>
  <c r="M87" i="2"/>
  <c r="J87" i="2"/>
  <c r="I87" i="2"/>
  <c r="F87" i="2"/>
  <c r="E87" i="2"/>
  <c r="R159" i="2"/>
  <c r="Q159" i="2"/>
  <c r="N159" i="2"/>
  <c r="M159" i="2"/>
  <c r="J159" i="2"/>
  <c r="I159" i="2"/>
  <c r="F159" i="2"/>
  <c r="E159" i="2"/>
  <c r="R127" i="2"/>
  <c r="Q127" i="2"/>
  <c r="N127" i="2"/>
  <c r="M127" i="2"/>
  <c r="J127" i="2"/>
  <c r="I127" i="2"/>
  <c r="F127" i="2"/>
  <c r="E127" i="2"/>
  <c r="R134" i="2"/>
  <c r="Q134" i="2"/>
  <c r="N134" i="2"/>
  <c r="M134" i="2"/>
  <c r="J134" i="2"/>
  <c r="I134" i="2"/>
  <c r="F134" i="2"/>
  <c r="E134" i="2"/>
  <c r="R57" i="2"/>
  <c r="Q57" i="2"/>
  <c r="N57" i="2"/>
  <c r="M57" i="2"/>
  <c r="J57" i="2"/>
  <c r="I57" i="2"/>
  <c r="F57" i="2"/>
  <c r="E57" i="2"/>
  <c r="R123" i="2"/>
  <c r="Q123" i="2"/>
  <c r="N123" i="2"/>
  <c r="M123" i="2"/>
  <c r="J123" i="2"/>
  <c r="I123" i="2"/>
  <c r="F123" i="2"/>
  <c r="E123" i="2"/>
  <c r="R80" i="2"/>
  <c r="Q80" i="2"/>
  <c r="N80" i="2"/>
  <c r="M80" i="2"/>
  <c r="J80" i="2"/>
  <c r="I80" i="2"/>
  <c r="F80" i="2"/>
  <c r="E80" i="2"/>
  <c r="R61" i="2"/>
  <c r="Q61" i="2"/>
  <c r="N61" i="2"/>
  <c r="M61" i="2"/>
  <c r="J61" i="2"/>
  <c r="I61" i="2"/>
  <c r="F61" i="2"/>
  <c r="E61" i="2"/>
  <c r="R177" i="2"/>
  <c r="Q177" i="2"/>
  <c r="N177" i="2"/>
  <c r="M177" i="2"/>
  <c r="J177" i="2"/>
  <c r="I177" i="2"/>
  <c r="F177" i="2"/>
  <c r="E177" i="2"/>
  <c r="R89" i="2"/>
  <c r="Q89" i="2"/>
  <c r="N89" i="2"/>
  <c r="M89" i="2"/>
  <c r="J89" i="2"/>
  <c r="I89" i="2"/>
  <c r="F89" i="2"/>
  <c r="E89" i="2"/>
  <c r="R107" i="2"/>
  <c r="Q107" i="2"/>
  <c r="N107" i="2"/>
  <c r="M107" i="2"/>
  <c r="J107" i="2"/>
  <c r="I107" i="2"/>
  <c r="F107" i="2"/>
  <c r="E107" i="2"/>
  <c r="R166" i="2"/>
  <c r="Q166" i="2"/>
  <c r="N166" i="2"/>
  <c r="M166" i="2"/>
  <c r="J166" i="2"/>
  <c r="I166" i="2"/>
  <c r="F166" i="2"/>
  <c r="E166" i="2"/>
  <c r="R151" i="2"/>
  <c r="Q151" i="2"/>
  <c r="N151" i="2"/>
  <c r="M151" i="2"/>
  <c r="J151" i="2"/>
  <c r="I151" i="2"/>
  <c r="F151" i="2"/>
  <c r="E151" i="2"/>
  <c r="R173" i="2"/>
  <c r="Q173" i="2"/>
  <c r="N173" i="2"/>
  <c r="M173" i="2"/>
  <c r="J173" i="2"/>
  <c r="I173" i="2"/>
  <c r="F173" i="2"/>
  <c r="E173" i="2"/>
  <c r="R149" i="2"/>
  <c r="Q149" i="2"/>
  <c r="N149" i="2"/>
  <c r="M149" i="2"/>
  <c r="J149" i="2"/>
  <c r="I149" i="2"/>
  <c r="F149" i="2"/>
  <c r="E149" i="2"/>
  <c r="R132" i="2"/>
  <c r="Q132" i="2"/>
  <c r="N132" i="2"/>
  <c r="M132" i="2"/>
  <c r="J132" i="2"/>
  <c r="I132" i="2"/>
  <c r="F132" i="2"/>
  <c r="E132" i="2"/>
  <c r="R131" i="2"/>
  <c r="Q131" i="2"/>
  <c r="N131" i="2"/>
  <c r="M131" i="2"/>
  <c r="J131" i="2"/>
  <c r="I131" i="2"/>
  <c r="F131" i="2"/>
  <c r="E131" i="2"/>
  <c r="R128" i="2"/>
  <c r="Q128" i="2"/>
  <c r="N128" i="2"/>
  <c r="M128" i="2"/>
  <c r="J128" i="2"/>
  <c r="I128" i="2"/>
  <c r="F128" i="2"/>
  <c r="E128" i="2"/>
  <c r="R150" i="2"/>
  <c r="Q150" i="2"/>
  <c r="N150" i="2"/>
  <c r="M150" i="2"/>
  <c r="J150" i="2"/>
  <c r="I150" i="2"/>
  <c r="F150" i="2"/>
  <c r="E150" i="2"/>
  <c r="R86" i="2"/>
  <c r="Q86" i="2"/>
  <c r="N86" i="2"/>
  <c r="M86" i="2"/>
  <c r="J86" i="2"/>
  <c r="I86" i="2"/>
  <c r="F86" i="2"/>
  <c r="E86" i="2"/>
  <c r="R117" i="2"/>
  <c r="Q117" i="2"/>
  <c r="N117" i="2"/>
  <c r="M117" i="2"/>
  <c r="J117" i="2"/>
  <c r="I117" i="2"/>
  <c r="F117" i="2"/>
  <c r="E117" i="2"/>
  <c r="R104" i="2"/>
  <c r="Q104" i="2"/>
  <c r="N104" i="2"/>
  <c r="M104" i="2"/>
  <c r="J104" i="2"/>
  <c r="I104" i="2"/>
  <c r="F104" i="2"/>
  <c r="E104" i="2"/>
  <c r="R92" i="2"/>
  <c r="Q92" i="2"/>
  <c r="N92" i="2"/>
  <c r="M92" i="2"/>
  <c r="J92" i="2"/>
  <c r="I92" i="2"/>
  <c r="F92" i="2"/>
  <c r="E92" i="2"/>
  <c r="R145" i="2"/>
  <c r="Q145" i="2"/>
  <c r="N145" i="2"/>
  <c r="M145" i="2"/>
  <c r="J145" i="2"/>
  <c r="I145" i="2"/>
  <c r="F145" i="2"/>
  <c r="E145" i="2"/>
  <c r="R84" i="2"/>
  <c r="Q84" i="2"/>
  <c r="N84" i="2"/>
  <c r="M84" i="2"/>
  <c r="J84" i="2"/>
  <c r="I84" i="2"/>
  <c r="F84" i="2"/>
  <c r="E84" i="2"/>
  <c r="R171" i="2"/>
  <c r="Q171" i="2"/>
  <c r="N171" i="2"/>
  <c r="M171" i="2"/>
  <c r="J171" i="2"/>
  <c r="I171" i="2"/>
  <c r="F171" i="2"/>
  <c r="E171" i="2"/>
  <c r="R182" i="2"/>
  <c r="Q182" i="2"/>
  <c r="N182" i="2"/>
  <c r="M182" i="2"/>
  <c r="J182" i="2"/>
  <c r="I182" i="2"/>
  <c r="F182" i="2"/>
  <c r="E182" i="2"/>
  <c r="R168" i="2"/>
  <c r="Q168" i="2"/>
  <c r="N168" i="2"/>
  <c r="M168" i="2"/>
  <c r="J168" i="2"/>
  <c r="I168" i="2"/>
  <c r="F168" i="2"/>
  <c r="E168" i="2"/>
  <c r="R83" i="2"/>
  <c r="Q83" i="2"/>
  <c r="N83" i="2"/>
  <c r="M83" i="2"/>
  <c r="J83" i="2"/>
  <c r="I83" i="2"/>
  <c r="F83" i="2"/>
  <c r="E83" i="2"/>
  <c r="R140" i="2"/>
  <c r="Q140" i="2"/>
  <c r="N140" i="2"/>
  <c r="M140" i="2"/>
  <c r="J140" i="2"/>
  <c r="I140" i="2"/>
  <c r="F140" i="2"/>
  <c r="E140" i="2"/>
  <c r="R139" i="2"/>
  <c r="Q139" i="2"/>
  <c r="N139" i="2"/>
  <c r="M139" i="2"/>
  <c r="J139" i="2"/>
  <c r="I139" i="2"/>
  <c r="F139" i="2"/>
  <c r="E139" i="2"/>
  <c r="R144" i="2"/>
  <c r="Q144" i="2"/>
  <c r="N144" i="2"/>
  <c r="M144" i="2"/>
  <c r="J144" i="2"/>
  <c r="I144" i="2"/>
  <c r="F144" i="2"/>
  <c r="E144" i="2"/>
  <c r="R85" i="2"/>
  <c r="Q85" i="2"/>
  <c r="N85" i="2"/>
  <c r="M85" i="2"/>
  <c r="J85" i="2"/>
  <c r="I85" i="2"/>
  <c r="F85" i="2"/>
  <c r="E85" i="2"/>
  <c r="R152" i="2"/>
  <c r="Q152" i="2"/>
  <c r="N152" i="2"/>
  <c r="M152" i="2"/>
  <c r="J152" i="2"/>
  <c r="I152" i="2"/>
  <c r="F152" i="2"/>
  <c r="E152" i="2"/>
  <c r="R69" i="2"/>
  <c r="Q69" i="2"/>
  <c r="N69" i="2"/>
  <c r="M69" i="2"/>
  <c r="J69" i="2"/>
  <c r="I69" i="2"/>
  <c r="F69" i="2"/>
  <c r="E69" i="2"/>
  <c r="R178" i="2"/>
  <c r="Q178" i="2"/>
  <c r="N178" i="2"/>
  <c r="M178" i="2"/>
  <c r="J178" i="2"/>
  <c r="I178" i="2"/>
  <c r="F178" i="2"/>
  <c r="E178" i="2"/>
  <c r="R100" i="2"/>
  <c r="Q100" i="2"/>
  <c r="N100" i="2"/>
  <c r="M100" i="2"/>
  <c r="J100" i="2"/>
  <c r="I100" i="2"/>
  <c r="F100" i="2"/>
  <c r="E100" i="2"/>
  <c r="R97" i="2"/>
  <c r="Q97" i="2"/>
  <c r="N97" i="2"/>
  <c r="M97" i="2"/>
  <c r="J97" i="2"/>
  <c r="I97" i="2"/>
  <c r="F97" i="2"/>
  <c r="E97" i="2"/>
  <c r="R94" i="2"/>
  <c r="Q94" i="2"/>
  <c r="N94" i="2"/>
  <c r="M94" i="2"/>
  <c r="J94" i="2"/>
  <c r="I94" i="2"/>
  <c r="F94" i="2"/>
  <c r="E94" i="2"/>
  <c r="R112" i="2"/>
  <c r="Q112" i="2"/>
  <c r="N112" i="2"/>
  <c r="M112" i="2"/>
  <c r="J112" i="2"/>
  <c r="I112" i="2"/>
  <c r="F112" i="2"/>
  <c r="E112" i="2"/>
  <c r="R162" i="2"/>
  <c r="Q162" i="2"/>
  <c r="N162" i="2"/>
  <c r="M162" i="2"/>
  <c r="J162" i="2"/>
  <c r="I162" i="2"/>
  <c r="F162" i="2"/>
  <c r="E162" i="2"/>
  <c r="R82" i="2"/>
  <c r="Q82" i="2"/>
  <c r="N82" i="2"/>
  <c r="M82" i="2"/>
  <c r="J82" i="2"/>
  <c r="I82" i="2"/>
  <c r="F82" i="2"/>
  <c r="E82" i="2"/>
  <c r="R90" i="2"/>
  <c r="Q90" i="2"/>
  <c r="N90" i="2"/>
  <c r="M90" i="2"/>
  <c r="J90" i="2"/>
  <c r="I90" i="2"/>
  <c r="F90" i="2"/>
  <c r="E90" i="2"/>
  <c r="R116" i="2"/>
  <c r="Q116" i="2"/>
  <c r="N116" i="2"/>
  <c r="M116" i="2"/>
  <c r="J116" i="2"/>
  <c r="I116" i="2"/>
  <c r="F116" i="2"/>
  <c r="E116" i="2"/>
  <c r="R64" i="2"/>
  <c r="Q64" i="2"/>
  <c r="N64" i="2"/>
  <c r="M64" i="2"/>
  <c r="J64" i="2"/>
  <c r="I64" i="2"/>
  <c r="F64" i="2"/>
  <c r="E64" i="2"/>
  <c r="R81" i="2"/>
  <c r="Q81" i="2"/>
  <c r="N81" i="2"/>
  <c r="M81" i="2"/>
  <c r="J81" i="2"/>
  <c r="I81" i="2"/>
  <c r="F81" i="2"/>
  <c r="E81" i="2"/>
  <c r="R169" i="2"/>
  <c r="Q169" i="2"/>
  <c r="N169" i="2"/>
  <c r="M169" i="2"/>
  <c r="J169" i="2"/>
  <c r="I169" i="2"/>
  <c r="F169" i="2"/>
  <c r="E169" i="2"/>
  <c r="R160" i="2"/>
  <c r="Q160" i="2"/>
  <c r="N160" i="2"/>
  <c r="M160" i="2"/>
  <c r="J160" i="2"/>
  <c r="I160" i="2"/>
  <c r="F160" i="2"/>
  <c r="E160" i="2"/>
  <c r="R130" i="2"/>
  <c r="Q130" i="2"/>
  <c r="N130" i="2"/>
  <c r="M130" i="2"/>
  <c r="J130" i="2"/>
  <c r="I130" i="2"/>
  <c r="F130" i="2"/>
  <c r="E130" i="2"/>
  <c r="R156" i="2"/>
  <c r="Q156" i="2"/>
  <c r="N156" i="2"/>
  <c r="M156" i="2"/>
  <c r="J156" i="2"/>
  <c r="I156" i="2"/>
  <c r="F156" i="2"/>
  <c r="E156" i="2"/>
  <c r="R135" i="2"/>
  <c r="Q135" i="2"/>
  <c r="N135" i="2"/>
  <c r="M135" i="2"/>
  <c r="J135" i="2"/>
  <c r="I135" i="2"/>
  <c r="F135" i="2"/>
  <c r="E135" i="2"/>
  <c r="R163" i="2"/>
  <c r="Q163" i="2"/>
  <c r="N163" i="2"/>
  <c r="M163" i="2"/>
  <c r="J163" i="2"/>
  <c r="I163" i="2"/>
  <c r="F163" i="2"/>
  <c r="E163" i="2"/>
  <c r="R172" i="2"/>
  <c r="Q172" i="2"/>
  <c r="N172" i="2"/>
  <c r="M172" i="2"/>
  <c r="J172" i="2"/>
  <c r="I172" i="2"/>
  <c r="F172" i="2"/>
  <c r="E172" i="2"/>
  <c r="R109" i="2"/>
  <c r="Q109" i="2"/>
  <c r="N109" i="2"/>
  <c r="M109" i="2"/>
  <c r="J109" i="2"/>
  <c r="I109" i="2"/>
  <c r="F109" i="2"/>
  <c r="E109" i="2"/>
  <c r="R146" i="2"/>
  <c r="Q146" i="2"/>
  <c r="N146" i="2"/>
  <c r="M146" i="2"/>
  <c r="J146" i="2"/>
  <c r="I146" i="2"/>
  <c r="F146" i="2"/>
  <c r="E146" i="2"/>
  <c r="R60" i="2"/>
  <c r="Q60" i="2"/>
  <c r="N60" i="2"/>
  <c r="M60" i="2"/>
  <c r="J60" i="2"/>
  <c r="I60" i="2"/>
  <c r="F60" i="2"/>
  <c r="E60" i="2"/>
  <c r="R161" i="2"/>
  <c r="Q161" i="2"/>
  <c r="N161" i="2"/>
  <c r="M161" i="2"/>
  <c r="J161" i="2"/>
  <c r="I161" i="2"/>
  <c r="F161" i="2"/>
  <c r="E161" i="2"/>
  <c r="R114" i="2"/>
  <c r="Q114" i="2"/>
  <c r="N114" i="2"/>
  <c r="M114" i="2"/>
  <c r="J114" i="2"/>
  <c r="I114" i="2"/>
  <c r="F114" i="2"/>
  <c r="E114" i="2"/>
  <c r="R125" i="2"/>
  <c r="Q125" i="2"/>
  <c r="N125" i="2"/>
  <c r="M125" i="2"/>
  <c r="J125" i="2"/>
  <c r="I125" i="2"/>
  <c r="F125" i="2"/>
  <c r="E125" i="2"/>
  <c r="R155" i="2"/>
  <c r="Q155" i="2"/>
  <c r="N155" i="2"/>
  <c r="M155" i="2"/>
  <c r="J155" i="2"/>
  <c r="I155" i="2"/>
  <c r="F155" i="2"/>
  <c r="E155" i="2"/>
  <c r="R119" i="2"/>
  <c r="Q119" i="2"/>
  <c r="N119" i="2"/>
  <c r="M119" i="2"/>
  <c r="J119" i="2"/>
  <c r="I119" i="2"/>
  <c r="F119" i="2"/>
  <c r="E119" i="2"/>
  <c r="R174" i="2"/>
  <c r="Q174" i="2"/>
  <c r="N174" i="2"/>
  <c r="M174" i="2"/>
  <c r="J174" i="2"/>
  <c r="I174" i="2"/>
  <c r="F174" i="2"/>
  <c r="E174" i="2"/>
  <c r="R67" i="2"/>
  <c r="Q67" i="2"/>
  <c r="N67" i="2"/>
  <c r="M67" i="2"/>
  <c r="J67" i="2"/>
  <c r="I67" i="2"/>
  <c r="F67" i="2"/>
  <c r="E67" i="2"/>
  <c r="R108" i="2"/>
  <c r="Q108" i="2"/>
  <c r="N108" i="2"/>
  <c r="M108" i="2"/>
  <c r="J108" i="2"/>
  <c r="I108" i="2"/>
  <c r="F108" i="2"/>
  <c r="E108" i="2"/>
  <c r="R153" i="2"/>
  <c r="Q153" i="2"/>
  <c r="N153" i="2"/>
  <c r="M153" i="2"/>
  <c r="J153" i="2"/>
  <c r="I153" i="2"/>
  <c r="F153" i="2"/>
  <c r="E153" i="2"/>
  <c r="R105" i="2"/>
  <c r="Q105" i="2"/>
  <c r="N105" i="2"/>
  <c r="M105" i="2"/>
  <c r="J105" i="2"/>
  <c r="I105" i="2"/>
  <c r="F105" i="2"/>
  <c r="E105" i="2"/>
  <c r="R65" i="2"/>
  <c r="Q65" i="2"/>
  <c r="N65" i="2"/>
  <c r="M65" i="2"/>
  <c r="J65" i="2"/>
  <c r="I65" i="2"/>
  <c r="F65" i="2"/>
  <c r="E65" i="2"/>
  <c r="R137" i="2"/>
  <c r="Q137" i="2"/>
  <c r="N137" i="2"/>
  <c r="M137" i="2"/>
  <c r="J137" i="2"/>
  <c r="I137" i="2"/>
  <c r="F137" i="2"/>
  <c r="E137" i="2"/>
  <c r="R167" i="2"/>
  <c r="Q167" i="2"/>
  <c r="N167" i="2"/>
  <c r="M167" i="2"/>
  <c r="J167" i="2"/>
  <c r="I167" i="2"/>
  <c r="F167" i="2"/>
  <c r="E167" i="2"/>
  <c r="R175" i="2"/>
  <c r="Q175" i="2"/>
  <c r="N175" i="2"/>
  <c r="M175" i="2"/>
  <c r="J175" i="2"/>
  <c r="I175" i="2"/>
  <c r="F175" i="2"/>
  <c r="E175" i="2"/>
  <c r="R118" i="2"/>
  <c r="Q118" i="2"/>
  <c r="N118" i="2"/>
  <c r="M118" i="2"/>
  <c r="J118" i="2"/>
  <c r="I118" i="2"/>
  <c r="F118" i="2"/>
  <c r="E118" i="2"/>
  <c r="R183" i="2"/>
  <c r="Q183" i="2"/>
  <c r="N183" i="2"/>
  <c r="M183" i="2"/>
  <c r="J183" i="2"/>
  <c r="I183" i="2"/>
  <c r="F183" i="2"/>
  <c r="E183" i="2"/>
  <c r="R78" i="2"/>
  <c r="Q78" i="2"/>
  <c r="N78" i="2"/>
  <c r="M78" i="2"/>
  <c r="J78" i="2"/>
  <c r="I78" i="2"/>
  <c r="F78" i="2"/>
  <c r="E78" i="2"/>
  <c r="R122" i="2"/>
  <c r="Q122" i="2"/>
  <c r="N122" i="2"/>
  <c r="M122" i="2"/>
  <c r="J122" i="2"/>
  <c r="I122" i="2"/>
  <c r="F122" i="2"/>
  <c r="E122" i="2"/>
  <c r="R115" i="2"/>
  <c r="Q115" i="2"/>
  <c r="N115" i="2"/>
  <c r="M115" i="2"/>
  <c r="J115" i="2"/>
  <c r="I115" i="2"/>
  <c r="F115" i="2"/>
  <c r="E115" i="2"/>
  <c r="R111" i="2"/>
  <c r="Q111" i="2"/>
  <c r="N111" i="2"/>
  <c r="M111" i="2"/>
  <c r="J111" i="2"/>
  <c r="I111" i="2"/>
  <c r="F111" i="2"/>
  <c r="E111" i="2"/>
  <c r="R126" i="2"/>
  <c r="Q126" i="2"/>
  <c r="N126" i="2"/>
  <c r="M126" i="2"/>
  <c r="J126" i="2"/>
  <c r="I126" i="2"/>
  <c r="F126" i="2"/>
  <c r="E126" i="2"/>
  <c r="R88" i="2"/>
  <c r="Q88" i="2"/>
  <c r="N88" i="2"/>
  <c r="M88" i="2"/>
  <c r="J88" i="2"/>
  <c r="I88" i="2"/>
  <c r="F88" i="2"/>
  <c r="E88" i="2"/>
  <c r="R75" i="2"/>
  <c r="Q75" i="2"/>
  <c r="N75" i="2"/>
  <c r="M75" i="2"/>
  <c r="J75" i="2"/>
  <c r="I75" i="2"/>
  <c r="F75" i="2"/>
  <c r="E75" i="2"/>
  <c r="R157" i="2"/>
  <c r="Q157" i="2"/>
  <c r="N157" i="2"/>
  <c r="M157" i="2"/>
  <c r="J157" i="2"/>
  <c r="I157" i="2"/>
  <c r="F157" i="2"/>
  <c r="E157" i="2"/>
  <c r="R91" i="2"/>
  <c r="Q91" i="2"/>
  <c r="N91" i="2"/>
  <c r="M91" i="2"/>
  <c r="J91" i="2"/>
  <c r="I91" i="2"/>
  <c r="F91" i="2"/>
  <c r="E91" i="2"/>
  <c r="R102" i="2"/>
  <c r="Q102" i="2"/>
  <c r="N102" i="2"/>
  <c r="M102" i="2"/>
  <c r="J102" i="2"/>
  <c r="I102" i="2"/>
  <c r="F102" i="2"/>
  <c r="E102" i="2"/>
  <c r="R170" i="2"/>
  <c r="Q170" i="2"/>
  <c r="N170" i="2"/>
  <c r="M170" i="2"/>
  <c r="J170" i="2"/>
  <c r="I170" i="2"/>
  <c r="F170" i="2"/>
  <c r="E170" i="2"/>
  <c r="R59" i="2"/>
  <c r="Q59" i="2"/>
  <c r="N59" i="2"/>
  <c r="M59" i="2"/>
  <c r="J59" i="2"/>
  <c r="I59" i="2"/>
  <c r="F59" i="2"/>
  <c r="E59" i="2"/>
  <c r="R106" i="2"/>
  <c r="Q106" i="2"/>
  <c r="N106" i="2"/>
  <c r="M106" i="2"/>
  <c r="J106" i="2"/>
  <c r="I106" i="2"/>
  <c r="F106" i="2"/>
  <c r="E106" i="2"/>
  <c r="R95" i="2"/>
  <c r="Q95" i="2"/>
  <c r="N95" i="2"/>
  <c r="M95" i="2"/>
  <c r="J95" i="2"/>
  <c r="I95" i="2"/>
  <c r="F95" i="2"/>
  <c r="E95" i="2"/>
  <c r="R141" i="2"/>
  <c r="Q141" i="2"/>
  <c r="N141" i="2"/>
  <c r="M141" i="2"/>
  <c r="J141" i="2"/>
  <c r="I141" i="2"/>
  <c r="F141" i="2"/>
  <c r="E141" i="2"/>
  <c r="R71" i="2"/>
  <c r="Q71" i="2"/>
  <c r="N71" i="2"/>
  <c r="M71" i="2"/>
  <c r="J71" i="2"/>
  <c r="I71" i="2"/>
  <c r="F71" i="2"/>
  <c r="E71" i="2"/>
  <c r="R66" i="2"/>
  <c r="Q66" i="2"/>
  <c r="N66" i="2"/>
  <c r="M66" i="2"/>
  <c r="J66" i="2"/>
  <c r="I66" i="2"/>
  <c r="F66" i="2"/>
  <c r="E66" i="2"/>
  <c r="R133" i="2"/>
  <c r="Q133" i="2"/>
  <c r="N133" i="2"/>
  <c r="M133" i="2"/>
  <c r="J133" i="2"/>
  <c r="I133" i="2"/>
  <c r="F133" i="2"/>
  <c r="E133" i="2"/>
  <c r="R120" i="2"/>
  <c r="Q120" i="2"/>
  <c r="N120" i="2"/>
  <c r="M120" i="2"/>
  <c r="J120" i="2"/>
  <c r="I120" i="2"/>
  <c r="F120" i="2"/>
  <c r="E120" i="2"/>
  <c r="R73" i="2"/>
  <c r="Q73" i="2"/>
  <c r="N73" i="2"/>
  <c r="M73" i="2"/>
  <c r="J73" i="2"/>
  <c r="I73" i="2"/>
  <c r="F73" i="2"/>
  <c r="E73" i="2"/>
  <c r="R154" i="2"/>
  <c r="Q154" i="2"/>
  <c r="N154" i="2"/>
  <c r="M154" i="2"/>
  <c r="J154" i="2"/>
  <c r="I154" i="2"/>
  <c r="F154" i="2"/>
  <c r="E154" i="2"/>
  <c r="R62" i="2"/>
  <c r="Q62" i="2"/>
  <c r="N62" i="2"/>
  <c r="M62" i="2"/>
  <c r="J62" i="2"/>
  <c r="I62" i="2"/>
  <c r="F62" i="2"/>
  <c r="E62" i="2"/>
  <c r="R165" i="2"/>
  <c r="Q165" i="2"/>
  <c r="N165" i="2"/>
  <c r="M165" i="2"/>
  <c r="J165" i="2"/>
  <c r="I165" i="2"/>
  <c r="F165" i="2"/>
  <c r="E165" i="2"/>
  <c r="R99" i="2"/>
  <c r="Q99" i="2"/>
  <c r="N99" i="2"/>
  <c r="M99" i="2"/>
  <c r="J99" i="2"/>
  <c r="I99" i="2"/>
  <c r="F99" i="2"/>
  <c r="E99" i="2"/>
  <c r="R148" i="2"/>
  <c r="Q148" i="2"/>
  <c r="N148" i="2"/>
  <c r="M148" i="2"/>
  <c r="J148" i="2"/>
  <c r="I148" i="2"/>
  <c r="F148" i="2"/>
  <c r="E148" i="2"/>
  <c r="R76" i="2"/>
  <c r="Q76" i="2"/>
  <c r="N76" i="2"/>
  <c r="M76" i="2"/>
  <c r="J76" i="2"/>
  <c r="I76" i="2"/>
  <c r="F76" i="2"/>
  <c r="E76" i="2"/>
  <c r="R98" i="2"/>
  <c r="Q98" i="2"/>
  <c r="N98" i="2"/>
  <c r="M98" i="2"/>
  <c r="J98" i="2"/>
  <c r="I98" i="2"/>
  <c r="F98" i="2"/>
  <c r="E98" i="2"/>
  <c r="R158" i="2"/>
  <c r="Q158" i="2"/>
  <c r="N158" i="2"/>
  <c r="M158" i="2"/>
  <c r="J158" i="2"/>
  <c r="I158" i="2"/>
  <c r="F158" i="2"/>
  <c r="E158" i="2"/>
  <c r="R142" i="2"/>
  <c r="Q142" i="2"/>
  <c r="N142" i="2"/>
  <c r="M142" i="2"/>
  <c r="J142" i="2"/>
  <c r="I142" i="2"/>
  <c r="F142" i="2"/>
  <c r="E142" i="2"/>
  <c r="R58" i="2"/>
  <c r="Q58" i="2"/>
  <c r="N58" i="2"/>
  <c r="M58" i="2"/>
  <c r="J58" i="2"/>
  <c r="I58" i="2"/>
  <c r="F58" i="2"/>
  <c r="E58" i="2"/>
  <c r="R96" i="2"/>
  <c r="Q96" i="2"/>
  <c r="N96" i="2"/>
  <c r="M96" i="2"/>
  <c r="J96" i="2"/>
  <c r="I96" i="2"/>
  <c r="F96" i="2"/>
  <c r="E96" i="2"/>
  <c r="R70" i="2"/>
  <c r="Q70" i="2"/>
  <c r="N70" i="2"/>
  <c r="M70" i="2"/>
  <c r="J70" i="2"/>
  <c r="I70" i="2"/>
  <c r="F70" i="2"/>
  <c r="E70" i="2"/>
  <c r="X34" i="2"/>
  <c r="X35" i="2"/>
  <c r="Y40" i="2"/>
  <c r="X40" i="2"/>
  <c r="Y31" i="2"/>
  <c r="X32" i="2"/>
  <c r="X47" i="2"/>
  <c r="Y46" i="2"/>
  <c r="X46" i="2"/>
  <c r="Y36" i="2"/>
  <c r="X30" i="2"/>
  <c r="X27" i="2"/>
  <c r="Y43" i="2"/>
  <c r="X43" i="2"/>
  <c r="Y21" i="2"/>
  <c r="X45" i="2"/>
  <c r="X33" i="2"/>
  <c r="Y23" i="2"/>
  <c r="X23" i="2"/>
  <c r="Y29" i="2"/>
  <c r="X37" i="2"/>
  <c r="X28" i="2"/>
  <c r="Y39" i="2"/>
  <c r="X39" i="2"/>
  <c r="Y48" i="2"/>
  <c r="X44" i="2"/>
  <c r="X38" i="2"/>
  <c r="Y20" i="2"/>
  <c r="X20" i="2"/>
  <c r="Y42" i="2"/>
  <c r="X26" i="2"/>
  <c r="X22" i="2"/>
  <c r="Y24" i="2"/>
  <c r="X24" i="2"/>
  <c r="Y41" i="2"/>
  <c r="X19" i="2"/>
  <c r="X25" i="2"/>
  <c r="W49" i="2"/>
  <c r="V49" i="2"/>
  <c r="U49" i="2"/>
  <c r="T49" i="2"/>
  <c r="S49" i="2"/>
  <c r="P49" i="2"/>
  <c r="O49" i="2"/>
  <c r="N49" i="2"/>
  <c r="M49" i="2"/>
  <c r="L49" i="2"/>
  <c r="K49" i="2"/>
  <c r="H49" i="2"/>
  <c r="G49" i="2"/>
  <c r="F49" i="2"/>
  <c r="Y34" i="2" s="1"/>
  <c r="E49" i="2"/>
  <c r="D49" i="2"/>
  <c r="C49" i="2"/>
  <c r="R34" i="2"/>
  <c r="Q34" i="2"/>
  <c r="N34" i="2"/>
  <c r="M34" i="2"/>
  <c r="J34" i="2"/>
  <c r="I34" i="2"/>
  <c r="F34" i="2"/>
  <c r="E34" i="2"/>
  <c r="R35" i="2"/>
  <c r="Q35" i="2"/>
  <c r="N35" i="2"/>
  <c r="M35" i="2"/>
  <c r="J35" i="2"/>
  <c r="I35" i="2"/>
  <c r="F35" i="2"/>
  <c r="E35" i="2"/>
  <c r="R40" i="2"/>
  <c r="Q40" i="2"/>
  <c r="N40" i="2"/>
  <c r="M40" i="2"/>
  <c r="J40" i="2"/>
  <c r="I40" i="2"/>
  <c r="F40" i="2"/>
  <c r="E40" i="2"/>
  <c r="R31" i="2"/>
  <c r="Q31" i="2"/>
  <c r="N31" i="2"/>
  <c r="M31" i="2"/>
  <c r="J31" i="2"/>
  <c r="I31" i="2"/>
  <c r="F31" i="2"/>
  <c r="X31" i="2" s="1"/>
  <c r="E31" i="2"/>
  <c r="R32" i="2"/>
  <c r="Q32" i="2"/>
  <c r="N32" i="2"/>
  <c r="M32" i="2"/>
  <c r="J32" i="2"/>
  <c r="I32" i="2"/>
  <c r="F32" i="2"/>
  <c r="E32" i="2"/>
  <c r="R47" i="2"/>
  <c r="Q47" i="2"/>
  <c r="N47" i="2"/>
  <c r="M47" i="2"/>
  <c r="J47" i="2"/>
  <c r="I47" i="2"/>
  <c r="F47" i="2"/>
  <c r="E47" i="2"/>
  <c r="R46" i="2"/>
  <c r="Q46" i="2"/>
  <c r="N46" i="2"/>
  <c r="M46" i="2"/>
  <c r="J46" i="2"/>
  <c r="I46" i="2"/>
  <c r="F46" i="2"/>
  <c r="E46" i="2"/>
  <c r="R36" i="2"/>
  <c r="Q36" i="2"/>
  <c r="N36" i="2"/>
  <c r="M36" i="2"/>
  <c r="J36" i="2"/>
  <c r="I36" i="2"/>
  <c r="F36" i="2"/>
  <c r="X36" i="2" s="1"/>
  <c r="E36" i="2"/>
  <c r="R30" i="2"/>
  <c r="Q30" i="2"/>
  <c r="N30" i="2"/>
  <c r="M30" i="2"/>
  <c r="J30" i="2"/>
  <c r="I30" i="2"/>
  <c r="F30" i="2"/>
  <c r="E30" i="2"/>
  <c r="R27" i="2"/>
  <c r="Q27" i="2"/>
  <c r="N27" i="2"/>
  <c r="M27" i="2"/>
  <c r="J27" i="2"/>
  <c r="I27" i="2"/>
  <c r="F27" i="2"/>
  <c r="E27" i="2"/>
  <c r="R43" i="2"/>
  <c r="Q43" i="2"/>
  <c r="N43" i="2"/>
  <c r="M43" i="2"/>
  <c r="J43" i="2"/>
  <c r="I43" i="2"/>
  <c r="F43" i="2"/>
  <c r="E43" i="2"/>
  <c r="R21" i="2"/>
  <c r="Q21" i="2"/>
  <c r="N21" i="2"/>
  <c r="M21" i="2"/>
  <c r="J21" i="2"/>
  <c r="I21" i="2"/>
  <c r="F21" i="2"/>
  <c r="X21" i="2" s="1"/>
  <c r="E21" i="2"/>
  <c r="R45" i="2"/>
  <c r="Q45" i="2"/>
  <c r="N45" i="2"/>
  <c r="M45" i="2"/>
  <c r="J45" i="2"/>
  <c r="I45" i="2"/>
  <c r="F45" i="2"/>
  <c r="E45" i="2"/>
  <c r="R33" i="2"/>
  <c r="Q33" i="2"/>
  <c r="N33" i="2"/>
  <c r="M33" i="2"/>
  <c r="J33" i="2"/>
  <c r="I33" i="2"/>
  <c r="F33" i="2"/>
  <c r="E33" i="2"/>
  <c r="R23" i="2"/>
  <c r="Q23" i="2"/>
  <c r="N23" i="2"/>
  <c r="M23" i="2"/>
  <c r="J23" i="2"/>
  <c r="I23" i="2"/>
  <c r="F23" i="2"/>
  <c r="E23" i="2"/>
  <c r="R29" i="2"/>
  <c r="Q29" i="2"/>
  <c r="N29" i="2"/>
  <c r="M29" i="2"/>
  <c r="J29" i="2"/>
  <c r="I29" i="2"/>
  <c r="F29" i="2"/>
  <c r="X29" i="2" s="1"/>
  <c r="E29" i="2"/>
  <c r="R37" i="2"/>
  <c r="Q37" i="2"/>
  <c r="N37" i="2"/>
  <c r="M37" i="2"/>
  <c r="J37" i="2"/>
  <c r="I37" i="2"/>
  <c r="F37" i="2"/>
  <c r="E37" i="2"/>
  <c r="R28" i="2"/>
  <c r="Q28" i="2"/>
  <c r="N28" i="2"/>
  <c r="M28" i="2"/>
  <c r="J28" i="2"/>
  <c r="I28" i="2"/>
  <c r="F28" i="2"/>
  <c r="E28" i="2"/>
  <c r="R39" i="2"/>
  <c r="Q39" i="2"/>
  <c r="N39" i="2"/>
  <c r="M39" i="2"/>
  <c r="J39" i="2"/>
  <c r="I39" i="2"/>
  <c r="F39" i="2"/>
  <c r="E39" i="2"/>
  <c r="R48" i="2"/>
  <c r="Q48" i="2"/>
  <c r="N48" i="2"/>
  <c r="M48" i="2"/>
  <c r="J48" i="2"/>
  <c r="I48" i="2"/>
  <c r="F48" i="2"/>
  <c r="X48" i="2" s="1"/>
  <c r="E48" i="2"/>
  <c r="R44" i="2"/>
  <c r="Q44" i="2"/>
  <c r="N44" i="2"/>
  <c r="M44" i="2"/>
  <c r="J44" i="2"/>
  <c r="I44" i="2"/>
  <c r="F44" i="2"/>
  <c r="E44" i="2"/>
  <c r="R38" i="2"/>
  <c r="Q38" i="2"/>
  <c r="N38" i="2"/>
  <c r="M38" i="2"/>
  <c r="J38" i="2"/>
  <c r="I38" i="2"/>
  <c r="F38" i="2"/>
  <c r="E38" i="2"/>
  <c r="R20" i="2"/>
  <c r="Q20" i="2"/>
  <c r="N20" i="2"/>
  <c r="M20" i="2"/>
  <c r="J20" i="2"/>
  <c r="I20" i="2"/>
  <c r="F20" i="2"/>
  <c r="E20" i="2"/>
  <c r="R42" i="2"/>
  <c r="Q42" i="2"/>
  <c r="N42" i="2"/>
  <c r="M42" i="2"/>
  <c r="J42" i="2"/>
  <c r="I42" i="2"/>
  <c r="F42" i="2"/>
  <c r="X42" i="2" s="1"/>
  <c r="E42" i="2"/>
  <c r="R26" i="2"/>
  <c r="Q26" i="2"/>
  <c r="N26" i="2"/>
  <c r="M26" i="2"/>
  <c r="J26" i="2"/>
  <c r="I26" i="2"/>
  <c r="F26" i="2"/>
  <c r="E26" i="2"/>
  <c r="R22" i="2"/>
  <c r="Q22" i="2"/>
  <c r="N22" i="2"/>
  <c r="M22" i="2"/>
  <c r="J22" i="2"/>
  <c r="I22" i="2"/>
  <c r="F22" i="2"/>
  <c r="E22" i="2"/>
  <c r="R24" i="2"/>
  <c r="Q24" i="2"/>
  <c r="N24" i="2"/>
  <c r="M24" i="2"/>
  <c r="J24" i="2"/>
  <c r="I24" i="2"/>
  <c r="F24" i="2"/>
  <c r="E24" i="2"/>
  <c r="R41" i="2"/>
  <c r="Q41" i="2"/>
  <c r="N41" i="2"/>
  <c r="M41" i="2"/>
  <c r="J41" i="2"/>
  <c r="I41" i="2"/>
  <c r="F41" i="2"/>
  <c r="X41" i="2" s="1"/>
  <c r="E41" i="2"/>
  <c r="R19" i="2"/>
  <c r="Q19" i="2"/>
  <c r="N19" i="2"/>
  <c r="M19" i="2"/>
  <c r="J19" i="2"/>
  <c r="I19" i="2"/>
  <c r="F19" i="2"/>
  <c r="E19" i="2"/>
  <c r="R25" i="2"/>
  <c r="Q25" i="2"/>
  <c r="N25" i="2"/>
  <c r="M25" i="2"/>
  <c r="J25" i="2"/>
  <c r="I25" i="2"/>
  <c r="F25" i="2"/>
  <c r="E25" i="2"/>
  <c r="X10" i="2"/>
  <c r="W11" i="2"/>
  <c r="V11" i="2"/>
  <c r="U11" i="2"/>
  <c r="T11" i="2"/>
  <c r="S11" i="2"/>
  <c r="P11" i="2"/>
  <c r="O11" i="2"/>
  <c r="R11" i="2" s="1"/>
  <c r="L11" i="2"/>
  <c r="M11" i="2" s="1"/>
  <c r="K11" i="2"/>
  <c r="H11" i="2"/>
  <c r="G11" i="2"/>
  <c r="I11" i="2" s="1"/>
  <c r="F11" i="2"/>
  <c r="D11" i="2"/>
  <c r="E11" i="2" s="1"/>
  <c r="C11" i="2"/>
  <c r="R9" i="2"/>
  <c r="Q9" i="2"/>
  <c r="N9" i="2"/>
  <c r="M9" i="2"/>
  <c r="J9" i="2"/>
  <c r="I9" i="2"/>
  <c r="F9" i="2"/>
  <c r="E9" i="2"/>
  <c r="R10" i="2"/>
  <c r="Q10" i="2"/>
  <c r="N10" i="2"/>
  <c r="M10" i="2"/>
  <c r="J10" i="2"/>
  <c r="I10" i="2"/>
  <c r="F10" i="2"/>
  <c r="E10" i="2"/>
  <c r="R6" i="2"/>
  <c r="Q6" i="2"/>
  <c r="N6" i="2"/>
  <c r="M6" i="2"/>
  <c r="J6" i="2"/>
  <c r="I6" i="2"/>
  <c r="F6" i="2"/>
  <c r="Y6" i="2" s="1"/>
  <c r="E6" i="2"/>
  <c r="R8" i="2"/>
  <c r="Q8" i="2"/>
  <c r="N8" i="2"/>
  <c r="M8" i="2"/>
  <c r="J8" i="2"/>
  <c r="I8" i="2"/>
  <c r="F8" i="2"/>
  <c r="E8" i="2"/>
  <c r="R7" i="2"/>
  <c r="Q7" i="2"/>
  <c r="N7" i="2"/>
  <c r="M7" i="2"/>
  <c r="J7" i="2"/>
  <c r="I7" i="2"/>
  <c r="F7" i="2"/>
  <c r="E7" i="2"/>
  <c r="Y170" i="2" l="1"/>
  <c r="Y112" i="2"/>
  <c r="Y154" i="2"/>
  <c r="R49" i="2"/>
  <c r="Q49" i="2"/>
  <c r="J49" i="2"/>
  <c r="I49" i="2"/>
  <c r="Y147" i="2"/>
  <c r="Y173" i="2"/>
  <c r="Y179" i="2"/>
  <c r="Y150" i="2"/>
  <c r="Y145" i="2"/>
  <c r="Y68" i="2"/>
  <c r="Y121" i="2"/>
  <c r="Y63" i="2"/>
  <c r="Y124" i="2"/>
  <c r="Y159" i="2"/>
  <c r="Y80" i="2"/>
  <c r="Y166" i="2"/>
  <c r="Y128" i="2"/>
  <c r="Y92" i="2"/>
  <c r="Y168" i="2"/>
  <c r="Y152" i="2"/>
  <c r="Y94" i="2"/>
  <c r="Y116" i="2"/>
  <c r="Y156" i="2"/>
  <c r="Y146" i="2"/>
  <c r="Y155" i="2"/>
  <c r="Y105" i="2"/>
  <c r="Y118" i="2"/>
  <c r="Y111" i="2"/>
  <c r="Y102" i="2"/>
  <c r="Y141" i="2"/>
  <c r="Y73" i="2"/>
  <c r="Y101" i="2"/>
  <c r="Y127" i="2"/>
  <c r="Y140" i="2"/>
  <c r="Y180" i="2"/>
  <c r="Y61" i="2"/>
  <c r="Y69" i="2"/>
  <c r="Y7" i="2"/>
  <c r="X7" i="2"/>
  <c r="Y8" i="2"/>
  <c r="X8" i="2"/>
  <c r="Y10" i="2"/>
  <c r="Y9" i="2"/>
  <c r="X9" i="2"/>
  <c r="N11" i="2"/>
  <c r="X6" i="2"/>
  <c r="Y183" i="2"/>
  <c r="Y65" i="2"/>
  <c r="Y135" i="2"/>
  <c r="Y71" i="2"/>
  <c r="Y212" i="5"/>
  <c r="Y142" i="2"/>
  <c r="Y158" i="2"/>
  <c r="X158" i="2"/>
  <c r="Y98" i="2"/>
  <c r="X98" i="2"/>
  <c r="Y76" i="2"/>
  <c r="X76" i="2"/>
  <c r="Y99" i="2"/>
  <c r="X99" i="2"/>
  <c r="Y165" i="2"/>
  <c r="X165" i="2"/>
  <c r="Y133" i="2"/>
  <c r="Y95" i="2"/>
  <c r="Y157" i="2"/>
  <c r="Y115" i="2"/>
  <c r="Y175" i="2"/>
  <c r="Y108" i="2"/>
  <c r="Y125" i="2"/>
  <c r="Y109" i="2"/>
  <c r="Y160" i="2"/>
  <c r="Y90" i="2"/>
  <c r="Y97" i="2"/>
  <c r="Y144" i="2"/>
  <c r="Y182" i="2"/>
  <c r="Y104" i="2"/>
  <c r="Y132" i="2"/>
  <c r="Y107" i="2"/>
  <c r="Y123" i="2"/>
  <c r="Y72" i="2"/>
  <c r="Y143" i="2"/>
  <c r="Y136" i="2"/>
  <c r="Y129" i="2"/>
  <c r="Y79" i="2"/>
  <c r="Y77" i="2"/>
  <c r="Y164" i="2"/>
  <c r="Y103" i="2"/>
  <c r="Y181" i="2"/>
  <c r="X142" i="2"/>
  <c r="Y174" i="2"/>
  <c r="Y227" i="2"/>
  <c r="Y81" i="2"/>
  <c r="Y70" i="2"/>
  <c r="X70" i="2"/>
  <c r="Y96" i="2"/>
  <c r="X96" i="2"/>
  <c r="X101" i="2"/>
  <c r="X180" i="2"/>
  <c r="X147" i="2"/>
  <c r="X179" i="2"/>
  <c r="X127" i="2"/>
  <c r="X61" i="2"/>
  <c r="X173" i="2"/>
  <c r="X150" i="2"/>
  <c r="X145" i="2"/>
  <c r="X140" i="2"/>
  <c r="X69" i="2"/>
  <c r="X112" i="2"/>
  <c r="X81" i="2"/>
  <c r="X135" i="2"/>
  <c r="X60" i="2"/>
  <c r="X174" i="2"/>
  <c r="X65" i="2"/>
  <c r="X183" i="2"/>
  <c r="X88" i="2"/>
  <c r="X170" i="2"/>
  <c r="X71" i="2"/>
  <c r="Y58" i="2"/>
  <c r="X58" i="2"/>
  <c r="X129" i="2"/>
  <c r="X143" i="2"/>
  <c r="X123" i="2"/>
  <c r="X132" i="2"/>
  <c r="X182" i="2"/>
  <c r="X144" i="2"/>
  <c r="X90" i="2"/>
  <c r="X109" i="2"/>
  <c r="X108" i="2"/>
  <c r="X115" i="2"/>
  <c r="X95" i="2"/>
  <c r="X159" i="2"/>
  <c r="X166" i="2"/>
  <c r="X152" i="2"/>
  <c r="X146" i="2"/>
  <c r="X102" i="2"/>
  <c r="X77" i="2"/>
  <c r="X72" i="2"/>
  <c r="X107" i="2"/>
  <c r="X104" i="2"/>
  <c r="X97" i="2"/>
  <c r="X160" i="2"/>
  <c r="X125" i="2"/>
  <c r="X175" i="2"/>
  <c r="X157" i="2"/>
  <c r="X120" i="2"/>
  <c r="X68" i="2"/>
  <c r="X80" i="2"/>
  <c r="X92" i="2"/>
  <c r="X156" i="2"/>
  <c r="X118" i="2"/>
  <c r="X141" i="2"/>
  <c r="X103" i="2"/>
  <c r="X124" i="2"/>
  <c r="X116" i="2"/>
  <c r="X111" i="2"/>
  <c r="X63" i="2"/>
  <c r="X128" i="2"/>
  <c r="X94" i="2"/>
  <c r="X105" i="2"/>
  <c r="X73" i="2"/>
  <c r="X121" i="2"/>
  <c r="X168" i="2"/>
  <c r="X155" i="2"/>
  <c r="Y148" i="2"/>
  <c r="Y62" i="2"/>
  <c r="X62" i="2"/>
  <c r="Y120" i="2"/>
  <c r="Y59" i="2"/>
  <c r="Y75" i="2"/>
  <c r="Y122" i="2"/>
  <c r="Y137" i="2"/>
  <c r="Y67" i="2"/>
  <c r="Y114" i="2"/>
  <c r="Y163" i="2"/>
  <c r="Y169" i="2"/>
  <c r="Y82" i="2"/>
  <c r="Y178" i="2"/>
  <c r="Y139" i="2"/>
  <c r="Y171" i="2"/>
  <c r="Y86" i="2"/>
  <c r="Y149" i="2"/>
  <c r="Y89" i="2"/>
  <c r="Y134" i="2"/>
  <c r="Y74" i="2"/>
  <c r="X148" i="2"/>
  <c r="Y60" i="2"/>
  <c r="X224" i="2"/>
  <c r="Y71" i="5"/>
  <c r="I11" i="5"/>
  <c r="Q11" i="5"/>
  <c r="Y112" i="5"/>
  <c r="Y175" i="5"/>
  <c r="Y92" i="5"/>
  <c r="Y136" i="5"/>
  <c r="J214" i="5"/>
  <c r="I214" i="5"/>
  <c r="I214" i="2"/>
  <c r="Y38" i="2"/>
  <c r="Y33" i="2"/>
  <c r="R229" i="2"/>
  <c r="X228" i="2"/>
  <c r="Y164" i="5"/>
  <c r="Y177" i="5"/>
  <c r="Y94" i="5"/>
  <c r="Y127" i="5"/>
  <c r="X209" i="5"/>
  <c r="Y47" i="2"/>
  <c r="Q11" i="2"/>
  <c r="Y171" i="5"/>
  <c r="Y108" i="5"/>
  <c r="Y183" i="5"/>
  <c r="Y120" i="5"/>
  <c r="Y25" i="2"/>
  <c r="Y28" i="2"/>
  <c r="Y35" i="2"/>
  <c r="Q184" i="2"/>
  <c r="Y195" i="2"/>
  <c r="I229" i="2"/>
  <c r="I49" i="5"/>
  <c r="J11" i="2"/>
  <c r="Y26" i="2"/>
  <c r="Y37" i="2"/>
  <c r="Y30" i="2"/>
  <c r="Y32" i="2"/>
  <c r="J184" i="2"/>
  <c r="Y213" i="2"/>
  <c r="X226" i="2"/>
  <c r="Y34" i="5"/>
  <c r="Y36" i="5"/>
  <c r="Y72" i="5"/>
  <c r="Y70" i="5"/>
  <c r="Y161" i="5"/>
  <c r="Y160" i="5"/>
  <c r="N214" i="5"/>
  <c r="M214" i="5"/>
  <c r="X211" i="5"/>
  <c r="Y182" i="5"/>
  <c r="X210" i="5"/>
  <c r="Y22" i="2"/>
  <c r="Y27" i="2"/>
  <c r="Y19" i="2"/>
  <c r="Y44" i="2"/>
  <c r="Y45" i="2"/>
  <c r="X133" i="2"/>
  <c r="X59" i="2"/>
  <c r="X75" i="2"/>
  <c r="X122" i="2"/>
  <c r="X137" i="2"/>
  <c r="X67" i="2"/>
  <c r="X114" i="2"/>
  <c r="X163" i="2"/>
  <c r="X169" i="2"/>
  <c r="X82" i="2"/>
  <c r="X178" i="2"/>
  <c r="X139" i="2"/>
  <c r="X171" i="2"/>
  <c r="X86" i="2"/>
  <c r="X149" i="2"/>
  <c r="X89" i="2"/>
  <c r="X134" i="2"/>
  <c r="X74" i="2"/>
  <c r="X136" i="2"/>
  <c r="X79" i="2"/>
  <c r="X164" i="2"/>
  <c r="X181" i="2"/>
  <c r="I199" i="2"/>
  <c r="Q199" i="2"/>
  <c r="Y197" i="2"/>
  <c r="Y211" i="2"/>
  <c r="N214" i="2"/>
  <c r="N229" i="2"/>
  <c r="M229" i="2"/>
  <c r="Y20" i="5"/>
  <c r="Y47" i="5"/>
  <c r="Y137" i="5"/>
  <c r="Y114" i="5"/>
  <c r="Y176" i="5"/>
  <c r="Y61" i="5"/>
  <c r="N199" i="5"/>
  <c r="Y196" i="5"/>
  <c r="R214" i="5"/>
  <c r="Q214" i="5"/>
  <c r="X154" i="2"/>
  <c r="Y66" i="2"/>
  <c r="X66" i="2"/>
  <c r="Y106" i="2"/>
  <c r="X106" i="2"/>
  <c r="Y91" i="2"/>
  <c r="X91" i="2"/>
  <c r="Y126" i="2"/>
  <c r="X126" i="2"/>
  <c r="Y78" i="2"/>
  <c r="X78" i="2"/>
  <c r="Y167" i="2"/>
  <c r="X167" i="2"/>
  <c r="Y153" i="2"/>
  <c r="X153" i="2"/>
  <c r="Y119" i="2"/>
  <c r="X119" i="2"/>
  <c r="Y161" i="2"/>
  <c r="X161" i="2"/>
  <c r="Y172" i="2"/>
  <c r="X172" i="2"/>
  <c r="Y130" i="2"/>
  <c r="X130" i="2"/>
  <c r="Y64" i="2"/>
  <c r="X64" i="2"/>
  <c r="Y162" i="2"/>
  <c r="X162" i="2"/>
  <c r="Y100" i="2"/>
  <c r="X100" i="2"/>
  <c r="Y85" i="2"/>
  <c r="X85" i="2"/>
  <c r="Y83" i="2"/>
  <c r="X83" i="2"/>
  <c r="Y84" i="2"/>
  <c r="X84" i="2"/>
  <c r="Y117" i="2"/>
  <c r="X117" i="2"/>
  <c r="Y131" i="2"/>
  <c r="X131" i="2"/>
  <c r="Y151" i="2"/>
  <c r="X151" i="2"/>
  <c r="Y177" i="2"/>
  <c r="X177" i="2"/>
  <c r="Y57" i="2"/>
  <c r="X57" i="2"/>
  <c r="Y87" i="2"/>
  <c r="X87" i="2"/>
  <c r="Y113" i="2"/>
  <c r="X113" i="2"/>
  <c r="Y138" i="2"/>
  <c r="X138" i="2"/>
  <c r="Y176" i="2"/>
  <c r="X176" i="2"/>
  <c r="Y93" i="2"/>
  <c r="X93" i="2"/>
  <c r="Y110" i="2"/>
  <c r="X110" i="2"/>
  <c r="X227" i="2"/>
  <c r="Y7" i="5"/>
  <c r="Y8" i="5"/>
  <c r="Y9" i="5"/>
  <c r="Y28" i="5"/>
  <c r="Y159" i="5"/>
  <c r="Y95" i="5"/>
  <c r="Y145" i="5"/>
  <c r="Y59" i="5"/>
  <c r="F229" i="2"/>
  <c r="Y226" i="2" s="1"/>
  <c r="E229" i="2"/>
  <c r="Y32" i="5"/>
  <c r="Y35" i="5"/>
  <c r="Y21" i="5"/>
  <c r="Y45" i="5"/>
  <c r="Y41" i="5"/>
  <c r="Y38" i="5"/>
  <c r="Y27" i="5"/>
  <c r="Y22" i="5"/>
  <c r="Y46" i="5"/>
  <c r="Y146" i="5"/>
  <c r="Y78" i="5"/>
  <c r="Y124" i="5"/>
  <c r="Y87" i="5"/>
  <c r="Y102" i="5"/>
  <c r="Y101" i="5"/>
  <c r="Y86" i="5"/>
  <c r="Y73" i="5"/>
  <c r="Y158" i="5"/>
  <c r="Y76" i="5"/>
  <c r="Y143" i="5"/>
  <c r="Y97" i="5"/>
  <c r="Y152" i="5"/>
  <c r="Y82" i="5"/>
  <c r="Y115" i="5"/>
  <c r="Y173" i="5"/>
  <c r="Y64" i="5"/>
  <c r="Y130" i="5"/>
  <c r="Y121" i="5"/>
  <c r="Y131" i="5"/>
  <c r="Y96" i="5"/>
  <c r="Y142" i="5"/>
  <c r="Y91" i="5"/>
  <c r="Y107" i="5"/>
  <c r="Y150" i="5"/>
  <c r="Y165" i="5"/>
  <c r="Y99" i="5"/>
  <c r="Y109" i="5"/>
  <c r="Y77" i="5"/>
  <c r="Y129" i="5"/>
  <c r="Y81" i="5"/>
  <c r="Y168" i="5"/>
  <c r="Y140" i="5"/>
  <c r="Y153" i="5"/>
  <c r="Y151" i="5"/>
  <c r="Y148" i="5"/>
  <c r="Y134" i="5"/>
  <c r="Y110" i="5"/>
  <c r="Y172" i="5"/>
  <c r="Y118" i="5"/>
  <c r="Y106" i="5"/>
  <c r="Y100" i="5"/>
  <c r="Y66" i="5"/>
  <c r="Y74" i="5"/>
  <c r="Y62" i="5"/>
  <c r="Y149" i="5"/>
  <c r="Y126" i="5"/>
  <c r="Y141" i="5"/>
  <c r="Y123" i="5"/>
  <c r="Y65" i="5"/>
  <c r="Y60" i="5"/>
  <c r="Y93" i="5"/>
  <c r="Y157" i="5"/>
  <c r="Y132" i="5"/>
  <c r="Y98" i="5"/>
  <c r="Y166" i="5"/>
  <c r="Y75" i="5"/>
  <c r="Y179" i="5"/>
  <c r="Y178" i="5"/>
  <c r="Y63" i="5"/>
  <c r="Y67" i="5"/>
  <c r="Y128" i="5"/>
  <c r="Y90" i="5"/>
  <c r="Y116" i="5"/>
  <c r="Y111" i="5"/>
  <c r="Y155" i="5"/>
  <c r="Y156" i="5"/>
  <c r="Y154" i="5"/>
  <c r="Y169" i="5"/>
  <c r="Y117" i="5"/>
  <c r="Y125" i="5"/>
  <c r="Y147" i="5"/>
  <c r="Y83" i="5"/>
  <c r="Y103" i="5"/>
  <c r="Y57" i="5"/>
  <c r="Y113" i="5"/>
  <c r="Y119" i="5"/>
  <c r="Y89" i="5"/>
  <c r="Y68" i="5"/>
  <c r="Y163" i="5"/>
  <c r="Y88" i="5"/>
  <c r="Y135" i="5"/>
  <c r="Y162" i="5"/>
  <c r="Y138" i="5"/>
  <c r="Y79" i="5"/>
  <c r="Y144" i="5"/>
  <c r="Y170" i="5"/>
  <c r="Y181" i="5"/>
  <c r="Y105" i="5"/>
  <c r="Y84" i="5"/>
  <c r="Y167" i="5"/>
  <c r="Y122" i="5"/>
  <c r="Y139" i="5"/>
  <c r="Y85" i="5"/>
  <c r="Y180" i="5"/>
  <c r="Y58" i="5"/>
  <c r="Y174" i="5"/>
  <c r="Y104" i="5"/>
  <c r="Y194" i="5"/>
  <c r="Y198" i="5"/>
  <c r="Y197" i="5"/>
  <c r="X212" i="5"/>
  <c r="Y213" i="5"/>
  <c r="X213" i="5"/>
  <c r="F214" i="5"/>
  <c r="Y209" i="5" s="1"/>
  <c r="E214" i="5"/>
  <c r="R229" i="5"/>
  <c r="X146" i="5"/>
  <c r="X87" i="5"/>
  <c r="X86" i="5"/>
  <c r="X76" i="5"/>
  <c r="X152" i="5"/>
  <c r="X173" i="5"/>
  <c r="X121" i="5"/>
  <c r="X142" i="5"/>
  <c r="X150" i="5"/>
  <c r="X109" i="5"/>
  <c r="X81" i="5"/>
  <c r="X153" i="5"/>
  <c r="X134" i="5"/>
  <c r="X118" i="5"/>
  <c r="X66" i="5"/>
  <c r="X149" i="5"/>
  <c r="X123" i="5"/>
  <c r="X93" i="5"/>
  <c r="X98" i="5"/>
  <c r="X179" i="5"/>
  <c r="X67" i="5"/>
  <c r="X116" i="5"/>
  <c r="X156" i="5"/>
  <c r="X117" i="5"/>
  <c r="X83" i="5"/>
  <c r="X113" i="5"/>
  <c r="X68" i="5"/>
  <c r="X135" i="5"/>
  <c r="X79" i="5"/>
  <c r="X181" i="5"/>
  <c r="X167" i="5"/>
  <c r="X85" i="5"/>
  <c r="I229" i="5"/>
  <c r="Q229" i="5"/>
  <c r="X211" i="2"/>
  <c r="X29" i="5"/>
  <c r="X43" i="5"/>
  <c r="X48" i="5"/>
  <c r="X23" i="5"/>
  <c r="X30" i="5"/>
  <c r="X39" i="5"/>
  <c r="X42" i="5"/>
  <c r="X194" i="5"/>
  <c r="X197" i="5"/>
  <c r="X227" i="5"/>
  <c r="E49" i="5"/>
  <c r="M49" i="5"/>
  <c r="X78" i="5"/>
  <c r="X102" i="5"/>
  <c r="X73" i="5"/>
  <c r="X143" i="5"/>
  <c r="X82" i="5"/>
  <c r="X64" i="5"/>
  <c r="X131" i="5"/>
  <c r="X91" i="5"/>
  <c r="X165" i="5"/>
  <c r="X77" i="5"/>
  <c r="X168" i="5"/>
  <c r="X151" i="5"/>
  <c r="X110" i="5"/>
  <c r="X106" i="5"/>
  <c r="X74" i="5"/>
  <c r="X126" i="5"/>
  <c r="X65" i="5"/>
  <c r="X157" i="5"/>
  <c r="X166" i="5"/>
  <c r="X178" i="5"/>
  <c r="X128" i="5"/>
  <c r="X111" i="5"/>
  <c r="X154" i="5"/>
  <c r="X125" i="5"/>
  <c r="X103" i="5"/>
  <c r="X119" i="5"/>
  <c r="X163" i="5"/>
  <c r="X162" i="5"/>
  <c r="X144" i="5"/>
  <c r="X105" i="5"/>
  <c r="X122" i="5"/>
  <c r="X180" i="5"/>
  <c r="I199" i="5"/>
  <c r="Q199" i="5"/>
  <c r="Y210" i="5" l="1"/>
  <c r="Y224" i="2"/>
  <c r="Y228" i="2"/>
  <c r="Y211" i="5"/>
  <c r="Y225" i="2"/>
</calcChain>
</file>

<file path=xl/sharedStrings.xml><?xml version="1.0" encoding="utf-8"?>
<sst xmlns="http://schemas.openxmlformats.org/spreadsheetml/2006/main" count="5965" uniqueCount="189">
  <si>
    <t>TELANGANA</t>
  </si>
  <si>
    <t>TUMKUR</t>
  </si>
  <si>
    <t>ANDRA PRADESH</t>
  </si>
  <si>
    <t>HOLALKERE</t>
  </si>
  <si>
    <t>HUMNABAD</t>
  </si>
  <si>
    <t>SEDAM</t>
  </si>
  <si>
    <t>KADUR</t>
  </si>
  <si>
    <t>KALBURGI</t>
  </si>
  <si>
    <t>KOLAR</t>
  </si>
  <si>
    <t>KUDLIGI</t>
  </si>
  <si>
    <t>INDI</t>
  </si>
  <si>
    <t>VIJAYAPURA</t>
  </si>
  <si>
    <t>BIDAR</t>
  </si>
  <si>
    <t>CHIKKAMAGALURU</t>
  </si>
  <si>
    <t>LINGSUGUR</t>
  </si>
  <si>
    <t>DAVANAGERE</t>
  </si>
  <si>
    <t>BALLARI</t>
  </si>
  <si>
    <t>BENGALORE -URBAN</t>
  </si>
  <si>
    <t>CHIKKABALLAPUR</t>
  </si>
  <si>
    <t>BELAGAVI</t>
  </si>
  <si>
    <t>CHIKKODI</t>
  </si>
  <si>
    <t>DHARWAD</t>
  </si>
  <si>
    <t>TIPTUR</t>
  </si>
  <si>
    <t>GADAG</t>
  </si>
  <si>
    <t>CHITRADURGA</t>
  </si>
  <si>
    <t>KUSHTAGI</t>
  </si>
  <si>
    <t>KADAPA</t>
  </si>
  <si>
    <t>VIJAYANAGARA</t>
  </si>
  <si>
    <t>SANGAREDDY</t>
  </si>
  <si>
    <t>MAHABOOBNAGAR</t>
  </si>
  <si>
    <t>BADAMI</t>
  </si>
  <si>
    <t>CHANNAGIRI</t>
  </si>
  <si>
    <t>BASAVAKALYAN</t>
  </si>
  <si>
    <t>KORATAGERE</t>
  </si>
  <si>
    <t>SHAHAPUR</t>
  </si>
  <si>
    <t>HOLAKERE</t>
  </si>
  <si>
    <t>HULSOOR</t>
  </si>
  <si>
    <t>YADGIR</t>
  </si>
  <si>
    <t>JEVARGI</t>
  </si>
  <si>
    <t>KUNIGAL</t>
  </si>
  <si>
    <t>MADHUGIRI</t>
  </si>
  <si>
    <t>TARIKERE</t>
  </si>
  <si>
    <t>KALABURAGI</t>
  </si>
  <si>
    <t>SIRA</t>
  </si>
  <si>
    <t>AJJAMPURA</t>
  </si>
  <si>
    <t>PANCHANHALLI</t>
  </si>
  <si>
    <t>KALBURGI-2</t>
  </si>
  <si>
    <t>MALUR</t>
  </si>
  <si>
    <t>KHANAHOSAHALLI</t>
  </si>
  <si>
    <t>ALAND</t>
  </si>
  <si>
    <t>BANGARPET</t>
  </si>
  <si>
    <t>CHADCHAN</t>
  </si>
  <si>
    <t>HARAPANAHALLI</t>
  </si>
  <si>
    <t>BETHAMANGALA</t>
  </si>
  <si>
    <t>KOTTURU</t>
  </si>
  <si>
    <t>KAMALAPURA</t>
  </si>
  <si>
    <t>MUDDEBIHAL</t>
  </si>
  <si>
    <t>KALAGI</t>
  </si>
  <si>
    <t>BIDAR-2</t>
  </si>
  <si>
    <t>VIJAYAPUR</t>
  </si>
  <si>
    <t>MUDIGERE</t>
  </si>
  <si>
    <t>MANVI</t>
  </si>
  <si>
    <t>RAICHUR</t>
  </si>
  <si>
    <t>NR PURA</t>
  </si>
  <si>
    <t>SINDHNUR</t>
  </si>
  <si>
    <t>HONNALI</t>
  </si>
  <si>
    <t>HARIHARA</t>
  </si>
  <si>
    <t>SIRWAR</t>
  </si>
  <si>
    <t>SIRUGUPPA</t>
  </si>
  <si>
    <t>CHINCHOLI</t>
  </si>
  <si>
    <t>SANDURU</t>
  </si>
  <si>
    <t>KUDATHINI</t>
  </si>
  <si>
    <t>AFZALPUR</t>
  </si>
  <si>
    <t>HEBBAL</t>
  </si>
  <si>
    <t>SINDAGI</t>
  </si>
  <si>
    <t>TALIKOTI</t>
  </si>
  <si>
    <t>J P NAGAR</t>
  </si>
  <si>
    <t>ALMEL</t>
  </si>
  <si>
    <t>KENGERI</t>
  </si>
  <si>
    <t>SRINIVASPURA</t>
  </si>
  <si>
    <t>BHALKI</t>
  </si>
  <si>
    <t>DEVANAHALLI</t>
  </si>
  <si>
    <t>AURAD</t>
  </si>
  <si>
    <t>CHIKBALLAPURA</t>
  </si>
  <si>
    <t>SANTHEBENNURU</t>
  </si>
  <si>
    <t>GOKAK</t>
  </si>
  <si>
    <t>YARAGATTI</t>
  </si>
  <si>
    <t>CHINTAMANI</t>
  </si>
  <si>
    <t>KITTUR</t>
  </si>
  <si>
    <t>BAGEPALLI</t>
  </si>
  <si>
    <t>ATHANI</t>
  </si>
  <si>
    <t>HUBLI-2</t>
  </si>
  <si>
    <t>MUDALAGI</t>
  </si>
  <si>
    <t>BAILHONGAL</t>
  </si>
  <si>
    <t>HULIYAR</t>
  </si>
  <si>
    <t>GUBBI</t>
  </si>
  <si>
    <t>NIPPANI</t>
  </si>
  <si>
    <t>HUBLI</t>
  </si>
  <si>
    <t>KALGHATGI</t>
  </si>
  <si>
    <t>TUREVEKERE</t>
  </si>
  <si>
    <t>CHIKKANAYAKANAHALLI</t>
  </si>
  <si>
    <t>CHANDAPURA</t>
  </si>
  <si>
    <t>LAXMESHWAR</t>
  </si>
  <si>
    <t>HIRIYUR</t>
  </si>
  <si>
    <t>MUNDARAGI</t>
  </si>
  <si>
    <t>JAGALORE</t>
  </si>
  <si>
    <t>CHALLAKERE</t>
  </si>
  <si>
    <t>KOPPAL</t>
  </si>
  <si>
    <t>GANGAVATHI</t>
  </si>
  <si>
    <t>HUNGUND</t>
  </si>
  <si>
    <t>BUDWAL</t>
  </si>
  <si>
    <t>KADIRI</t>
  </si>
  <si>
    <t>DHARMAVARAM</t>
  </si>
  <si>
    <t>HAGARIBOMMANAHALLI</t>
  </si>
  <si>
    <t>DEVADURGA</t>
  </si>
  <si>
    <t>ZAHEERABAD</t>
  </si>
  <si>
    <t>NARAYANKHED</t>
  </si>
  <si>
    <t>KODANGAL</t>
  </si>
  <si>
    <t>TANDUR</t>
  </si>
  <si>
    <t>JAMAKHANDI</t>
  </si>
  <si>
    <t>HOSPET</t>
  </si>
  <si>
    <t>BAGALKOT</t>
  </si>
  <si>
    <t>HUVENAHADAGALLI</t>
  </si>
  <si>
    <t>GADWAL</t>
  </si>
  <si>
    <t>TIKOTA</t>
  </si>
  <si>
    <t>LOKAPUR</t>
  </si>
  <si>
    <t>MAHABUB NAGAR</t>
  </si>
  <si>
    <t>MARIKAL</t>
  </si>
  <si>
    <t>DABUSPET</t>
  </si>
  <si>
    <t>DODDABALLAPURA</t>
  </si>
  <si>
    <t>GOWRIBIDANUR</t>
  </si>
  <si>
    <t>BILAGI</t>
  </si>
  <si>
    <t>RAMDURGA</t>
  </si>
  <si>
    <t>HOSADURGA</t>
  </si>
  <si>
    <t>GAJENDRAGAD</t>
  </si>
  <si>
    <t>NARAGUNDA</t>
  </si>
  <si>
    <t>NPA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</si>
  <si>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</si>
  <si>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</si>
  <si>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</si>
  <si>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</si>
  <si>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</si>
  <si>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</si>
  <si>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</si>
  <si>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</si>
  <si>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</si>
  <si>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</si>
  <si>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</si>
  <si>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</si>
  <si>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</si>
  <si>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</si>
  <si>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ON DATE DEMAND</t>
  </si>
  <si>
    <t>REGION - WISE COLLECTION REPORT - as on 19-02-2026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</si>
  <si>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</si>
  <si>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</si>
  <si>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</si>
  <si>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</si>
  <si>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</si>
  <si>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</si>
  <si>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</si>
  <si>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</si>
  <si>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</si>
  <si>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19-02-2026 (OverAll)</t>
  </si>
  <si>
    <t>BRANCH - WISE COLLECTION REPORT - as on 19-02-2026 (OverAll)</t>
  </si>
  <si>
    <t>REGION WISE - IGL REPORT</t>
  </si>
  <si>
    <t>REGION WISE - FIG REPORT</t>
  </si>
  <si>
    <t>REGION WISE - IL REPORT</t>
  </si>
  <si>
    <t>OverAll On-Date Report</t>
  </si>
  <si>
    <t>REGION_NEXT_DAY</t>
  </si>
  <si>
    <t>DISTRICT_NEXT_DAY</t>
  </si>
  <si>
    <t>BRANCH_NEXT_DAY</t>
  </si>
  <si>
    <t>IGL_NEXT_DAY</t>
  </si>
  <si>
    <t>FIG_NEXT_DAY</t>
  </si>
  <si>
    <t>IL_NEXT_DAY</t>
  </si>
  <si>
    <t>REGION - WISE COLLECTION REPORT - as on 20-02-2026 (OverAll)</t>
  </si>
  <si>
    <t>DISTRICT - WISE COLLECTION REPORT - as on 20-02-2026 (OverAll)</t>
  </si>
  <si>
    <t>BRANCH - WISE COLLECTION REPORT - as on 20-02-2026 (OverAll)</t>
  </si>
  <si>
    <t>Tomorrow On-Date Demand Report (20-02-2026)</t>
  </si>
  <si>
    <t>REGION - WISE COLLECTION REPORT - as on 19-02-2026 (FY_25-26)</t>
  </si>
  <si>
    <t>DISTRICT - WISE COLLECTION REPORT - as on 19-02-2026 (FY_25-26)</t>
  </si>
  <si>
    <t>BRANCH - WISE COLLECTION REPORT - as on 19-02-2026 (FY_25-26)</t>
  </si>
  <si>
    <t>FY OverAll On-Date Report</t>
  </si>
  <si>
    <t>REGION - WISE COLLECTION REPORT - as on 20-02-2026 (FY_25-26)</t>
  </si>
  <si>
    <t>DISTRICT - WISE COLLECTION REPORT - as on 20-02-2026 (FY_25-26)</t>
  </si>
  <si>
    <t>BRANCH - WISE COLLECTION REPORT - as on 20-02-2026 (FY_25-26)</t>
  </si>
  <si>
    <t>FY Tomorrow On-Date Demand Report (20-02-2026)</t>
  </si>
  <si>
    <t>ACCOUNT_ID_NEXT_DAY</t>
  </si>
  <si>
    <t>REGULAR_DEMAND</t>
  </si>
  <si>
    <t>1001-1500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</si>
</sst>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65E47-08B4-4EDE-AA27-D3533A2723F2}">
  <sheetPr codeName="Sheet2"/>
  <dimension ref="B2:Y229"/>
  <sheetViews>
    <sheetView workbookViewId="0"/>
  </sheetViews>
  <sheetFormatPr defaultRowHeight="14.4" x14ac:dyDescent="0.3"/>
  <cols>
    <col min="1" max="1" width="2.77734375" customWidth="1"/>
    <col min="2" max="2" width="21.6640625" bestFit="1" customWidth="1"/>
    <col min="3" max="4" width="11.6640625" bestFit="1" customWidth="1"/>
    <col min="5" max="5" width="10.6640625" bestFit="1" customWidth="1"/>
    <col min="6" max="6" width="10.77734375" bestFit="1" customWidth="1"/>
    <col min="7" max="7" width="10.6640625" bestFit="1" customWidth="1"/>
    <col min="8" max="8" width="9.21875" bestFit="1" customWidth="1"/>
    <col min="9" max="9" width="10.6640625" bestFit="1" customWidth="1"/>
    <col min="10" max="10" width="10.77734375" bestFit="1" customWidth="1"/>
    <col min="11" max="11" width="10.6640625" bestFit="1" customWidth="1"/>
    <col min="12" max="12" width="9.21875" bestFit="1" customWidth="1"/>
    <col min="13" max="13" width="10.6640625" bestFit="1" customWidth="1"/>
    <col min="14" max="14" width="10.77734375" bestFit="1" customWidth="1"/>
    <col min="15" max="15" width="10.6640625" bestFit="1" customWidth="1"/>
    <col min="16" max="16" width="9.21875" bestFit="1" customWidth="1"/>
    <col min="17" max="17" width="10.6640625" bestFit="1" customWidth="1"/>
    <col min="18" max="18" width="10.77734375" bestFit="1" customWidth="1"/>
    <col min="19" max="19" width="8.109375" bestFit="1" customWidth="1"/>
    <col min="20" max="20" width="9.44140625" bestFit="1" customWidth="1"/>
    <col min="21" max="21" width="9" bestFit="1" customWidth="1"/>
    <col min="22" max="22" width="9.44140625" bestFit="1" customWidth="1"/>
    <col min="23" max="23" width="9" bestFit="1" customWidth="1"/>
    <col min="24" max="24" width="5.77734375" bestFit="1" customWidth="1"/>
    <col min="25" max="25" width="15.6640625" bestFit="1" customWidth="1"/>
  </cols>
  <sheetData>
    <row r="2" spans="2:25" x14ac:dyDescent="0.3">
      <c r="B2" s="2" t="s">
        <v>152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3">
      <c r="B3" s="4" t="s">
        <v>144</v>
      </c>
      <c r="C3" s="2" t="s">
        <v>154</v>
      </c>
      <c r="D3" s="2"/>
      <c r="E3" s="2"/>
      <c r="F3" s="2"/>
      <c r="G3" s="2" t="s">
        <v>155</v>
      </c>
      <c r="H3" s="2"/>
      <c r="I3" s="2"/>
      <c r="J3" s="2"/>
      <c r="K3" s="2" t="s">
        <v>156</v>
      </c>
      <c r="L3" s="2"/>
      <c r="M3" s="2"/>
      <c r="N3" s="2"/>
      <c r="O3" s="2" t="s">
        <v>145</v>
      </c>
      <c r="P3" s="2"/>
      <c r="Q3" s="2"/>
      <c r="R3" s="2"/>
      <c r="S3" s="2" t="s">
        <v>136</v>
      </c>
      <c r="T3" s="2"/>
      <c r="U3" s="2"/>
      <c r="V3" s="2"/>
      <c r="W3" s="2"/>
      <c r="X3" s="5" t="s">
        <v>157</v>
      </c>
      <c r="Y3" s="5"/>
    </row>
    <row r="4" spans="2:25" x14ac:dyDescent="0.3">
      <c r="B4" s="4"/>
      <c r="C4" s="6" t="s">
        <v>146</v>
      </c>
      <c r="D4" s="7" t="s">
        <v>158</v>
      </c>
      <c r="E4" s="6" t="s">
        <v>140</v>
      </c>
      <c r="F4" s="8" t="s">
        <v>141</v>
      </c>
      <c r="G4" s="6" t="s">
        <v>146</v>
      </c>
      <c r="H4" s="7" t="s">
        <v>158</v>
      </c>
      <c r="I4" s="6" t="s">
        <v>159</v>
      </c>
      <c r="J4" s="8" t="s">
        <v>141</v>
      </c>
      <c r="K4" s="6" t="s">
        <v>146</v>
      </c>
      <c r="L4" s="7" t="s">
        <v>158</v>
      </c>
      <c r="M4" s="6" t="s">
        <v>159</v>
      </c>
      <c r="N4" s="8" t="s">
        <v>141</v>
      </c>
      <c r="O4" s="6" t="s">
        <v>146</v>
      </c>
      <c r="P4" s="7" t="s">
        <v>158</v>
      </c>
      <c r="Q4" s="6" t="s">
        <v>159</v>
      </c>
      <c r="R4" s="8" t="s">
        <v>141</v>
      </c>
      <c r="S4" s="6" t="s">
        <v>146</v>
      </c>
      <c r="T4" s="2" t="s">
        <v>147</v>
      </c>
      <c r="U4" s="2"/>
      <c r="V4" s="2" t="s">
        <v>148</v>
      </c>
      <c r="W4" s="2"/>
      <c r="X4" s="19" t="s">
        <v>160</v>
      </c>
      <c r="Y4" s="20" t="s">
        <v>161</v>
      </c>
    </row>
    <row r="5" spans="2:25" x14ac:dyDescent="0.3">
      <c r="C5" s="6"/>
      <c r="D5" s="7"/>
      <c r="E5" s="6"/>
      <c r="F5" s="8"/>
      <c r="G5" s="6"/>
      <c r="H5" s="7"/>
      <c r="I5" s="6"/>
      <c r="J5" s="8"/>
      <c r="K5" s="6"/>
      <c r="L5" s="7"/>
      <c r="M5" s="6"/>
      <c r="N5" s="8"/>
      <c r="O5" s="6"/>
      <c r="P5" s="7"/>
      <c r="Q5" s="6"/>
      <c r="R5" s="8"/>
      <c r="S5" s="6"/>
      <c r="T5" s="9" t="s">
        <v>149</v>
      </c>
      <c r="U5" s="9" t="s">
        <v>150</v>
      </c>
      <c r="V5" s="9" t="s">
        <v>149</v>
      </c>
      <c r="W5" s="9" t="s">
        <v>150</v>
      </c>
      <c r="X5" s="10"/>
      <c r="Y5" s="11"/>
    </row>
    <row r="6" spans="2:25" x14ac:dyDescent="0.3">
      <c r="B6" s="14" t="s">
        <v>7</v>
      </c>
      <c r="C6" s="15">
        <v>42830</v>
      </c>
      <c r="D6" s="16">
        <v>41594</v>
      </c>
      <c r="E6" s="15">
        <f>IF(OR(D6="-",D6="",D6=0),IF(C6="-","-",C6),C6-D6)</f>
        <v>1236</v>
      </c>
      <c r="F6" s="17">
        <f>IFERROR(IF(C6&gt;0, D6/C6, 0),"-")</f>
        <v>0.9711417230912911</v>
      </c>
      <c r="G6" s="15">
        <v>440</v>
      </c>
      <c r="H6" s="16" t="s">
        <v>142</v>
      </c>
      <c r="I6" s="15">
        <f>IF(OR(H6="-",H6="",H6=0),IF(G6="-","-",G6),G6-H6)</f>
        <v>440</v>
      </c>
      <c r="J6" s="17" t="str">
        <f>IFERROR(IF(G6&gt;0, H6/G6, 0),"-")</f>
        <v>-</v>
      </c>
      <c r="K6" s="15">
        <v>486</v>
      </c>
      <c r="L6" s="16" t="s">
        <v>142</v>
      </c>
      <c r="M6" s="15">
        <f>IF(OR(L6="-",L6="",L6=0),IF(K6="-","-",K6),K6-L6)</f>
        <v>486</v>
      </c>
      <c r="N6" s="17" t="str">
        <f>IFERROR(IF(K6&gt;0, L6/K6, 0),"-")</f>
        <v>-</v>
      </c>
      <c r="O6" s="15">
        <v>772</v>
      </c>
      <c r="P6" s="16" t="s">
        <v>142</v>
      </c>
      <c r="Q6" s="15">
        <f>IF(OR(P6="-",P6="",P6=0),IF(O6="-","-",O6),O6-P6)</f>
        <v>772</v>
      </c>
      <c r="R6" s="17" t="str">
        <f>IFERROR(IF(O6&gt;0, P6/O6, 0),"-")</f>
        <v>-</v>
      </c>
      <c r="S6" s="15">
        <v>34729</v>
      </c>
      <c r="T6" s="15" t="s">
        <v>142</v>
      </c>
      <c r="U6" s="15" t="s">
        <v>142</v>
      </c>
      <c r="V6" s="16" t="s">
        <v>142</v>
      </c>
      <c r="W6" s="16" t="s">
        <v>142</v>
      </c>
      <c r="X6" s="21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3">
      <c r="B7" s="14" t="s">
        <v>2</v>
      </c>
      <c r="C7" s="15">
        <v>4227</v>
      </c>
      <c r="D7" s="16">
        <v>4086</v>
      </c>
      <c r="E7" s="15">
        <f>IF(OR(D7="-",D7="",D7=0),IF(C7="-","-",C7),C7-D7)</f>
        <v>141</v>
      </c>
      <c r="F7" s="17">
        <f>IFERROR(IF(C7&gt;0, D7/C7, 0),"-")</f>
        <v>0.96664300922640167</v>
      </c>
      <c r="G7" s="15">
        <v>55</v>
      </c>
      <c r="H7" s="16" t="s">
        <v>142</v>
      </c>
      <c r="I7" s="15">
        <f>IF(OR(H7="-",H7="",H7=0),IF(G7="-","-",G7),G7-H7)</f>
        <v>55</v>
      </c>
      <c r="J7" s="17" t="str">
        <f>IFERROR(IF(G7&gt;0, H7/G7, 0),"-")</f>
        <v>-</v>
      </c>
      <c r="K7" s="15">
        <v>39</v>
      </c>
      <c r="L7" s="16" t="s">
        <v>142</v>
      </c>
      <c r="M7" s="15">
        <f>IF(OR(L7="-",L7="",L7=0),IF(K7="-","-",K7),K7-L7)</f>
        <v>39</v>
      </c>
      <c r="N7" s="17" t="str">
        <f>IFERROR(IF(K7&gt;0, L7/K7, 0),"-")</f>
        <v>-</v>
      </c>
      <c r="O7" s="15">
        <v>44</v>
      </c>
      <c r="P7" s="16" t="s">
        <v>142</v>
      </c>
      <c r="Q7" s="15">
        <f>IF(OR(P7="-",P7="",P7=0),IF(O7="-","-",O7),O7-P7)</f>
        <v>44</v>
      </c>
      <c r="R7" s="17" t="str">
        <f>IFERROR(IF(O7&gt;0, P7/O7, 0),"-")</f>
        <v>-</v>
      </c>
      <c r="S7" s="15">
        <v>147</v>
      </c>
      <c r="T7" s="15" t="s">
        <v>142</v>
      </c>
      <c r="U7" s="15" t="s">
        <v>142</v>
      </c>
      <c r="V7" s="16" t="s">
        <v>142</v>
      </c>
      <c r="W7" s="16" t="s">
        <v>142</v>
      </c>
      <c r="X7" s="21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3">
      <c r="B8" s="14" t="s">
        <v>21</v>
      </c>
      <c r="C8" s="15">
        <v>40995</v>
      </c>
      <c r="D8" s="16">
        <v>39530</v>
      </c>
      <c r="E8" s="15">
        <f>IF(OR(D8="-",D8="",D8=0),IF(C8="-","-",C8),C8-D8)</f>
        <v>1465</v>
      </c>
      <c r="F8" s="17">
        <f>IFERROR(IF(C8&gt;0, D8/C8, 0),"-")</f>
        <v>0.96426393462617388</v>
      </c>
      <c r="G8" s="15">
        <v>449</v>
      </c>
      <c r="H8" s="16" t="s">
        <v>142</v>
      </c>
      <c r="I8" s="15">
        <f>IF(OR(H8="-",H8="",H8=0),IF(G8="-","-",G8),G8-H8)</f>
        <v>449</v>
      </c>
      <c r="J8" s="17" t="str">
        <f>IFERROR(IF(G8&gt;0, H8/G8, 0),"-")</f>
        <v>-</v>
      </c>
      <c r="K8" s="15">
        <v>404</v>
      </c>
      <c r="L8" s="16" t="s">
        <v>142</v>
      </c>
      <c r="M8" s="15">
        <f>IF(OR(L8="-",L8="",L8=0),IF(K8="-","-",K8),K8-L8)</f>
        <v>404</v>
      </c>
      <c r="N8" s="17" t="str">
        <f>IFERROR(IF(K8&gt;0, L8/K8, 0),"-")</f>
        <v>-</v>
      </c>
      <c r="O8" s="15">
        <v>622</v>
      </c>
      <c r="P8" s="16" t="s">
        <v>142</v>
      </c>
      <c r="Q8" s="15">
        <f>IF(OR(P8="-",P8="",P8=0),IF(O8="-","-",O8),O8-P8)</f>
        <v>622</v>
      </c>
      <c r="R8" s="17" t="str">
        <f>IFERROR(IF(O8&gt;0, P8/O8, 0),"-")</f>
        <v>-</v>
      </c>
      <c r="S8" s="15">
        <v>38129</v>
      </c>
      <c r="T8" s="15" t="s">
        <v>142</v>
      </c>
      <c r="U8" s="15" t="s">
        <v>142</v>
      </c>
      <c r="V8" s="16" t="s">
        <v>142</v>
      </c>
      <c r="W8" s="16" t="s">
        <v>142</v>
      </c>
      <c r="X8" s="21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3">
      <c r="B9" s="14" t="s">
        <v>1</v>
      </c>
      <c r="C9" s="15">
        <v>48738</v>
      </c>
      <c r="D9" s="16">
        <v>46950</v>
      </c>
      <c r="E9" s="15">
        <f>IF(OR(D9="-",D9="",D9=0),IF(C9="-","-",C9),C9-D9)</f>
        <v>1788</v>
      </c>
      <c r="F9" s="17">
        <f>IFERROR(IF(C9&gt;0, D9/C9, 0),"-")</f>
        <v>0.96331404653453157</v>
      </c>
      <c r="G9" s="15">
        <v>700</v>
      </c>
      <c r="H9" s="16" t="s">
        <v>142</v>
      </c>
      <c r="I9" s="15">
        <f>IF(OR(H9="-",H9="",H9=0),IF(G9="-","-",G9),G9-H9)</f>
        <v>700</v>
      </c>
      <c r="J9" s="17" t="str">
        <f>IFERROR(IF(G9&gt;0, H9/G9, 0),"-")</f>
        <v>-</v>
      </c>
      <c r="K9" s="15">
        <v>644</v>
      </c>
      <c r="L9" s="16" t="s">
        <v>142</v>
      </c>
      <c r="M9" s="15">
        <f>IF(OR(L9="-",L9="",L9=0),IF(K9="-","-",K9),K9-L9)</f>
        <v>644</v>
      </c>
      <c r="N9" s="17" t="str">
        <f>IFERROR(IF(K9&gt;0, L9/K9, 0),"-")</f>
        <v>-</v>
      </c>
      <c r="O9" s="15">
        <v>772</v>
      </c>
      <c r="P9" s="16" t="s">
        <v>142</v>
      </c>
      <c r="Q9" s="15">
        <f>IF(OR(P9="-",P9="",P9=0),IF(O9="-","-",O9),O9-P9)</f>
        <v>772</v>
      </c>
      <c r="R9" s="17" t="str">
        <f>IFERROR(IF(O9&gt;0, P9/O9, 0),"-")</f>
        <v>-</v>
      </c>
      <c r="S9" s="15">
        <v>45230</v>
      </c>
      <c r="T9" s="15" t="s">
        <v>142</v>
      </c>
      <c r="U9" s="15" t="s">
        <v>142</v>
      </c>
      <c r="V9" s="16" t="s">
        <v>142</v>
      </c>
      <c r="W9" s="16" t="s">
        <v>142</v>
      </c>
      <c r="X9" s="21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3">
      <c r="B10" s="14" t="s">
        <v>0</v>
      </c>
      <c r="C10" s="15">
        <v>4911</v>
      </c>
      <c r="D10" s="16">
        <v>4585</v>
      </c>
      <c r="E10" s="15">
        <f>IF(OR(D10="-",D10="",D10=0),IF(C10="-","-",C10),C10-D10)</f>
        <v>326</v>
      </c>
      <c r="F10" s="17">
        <f>IFERROR(IF(C10&gt;0, D10/C10, 0),"-")</f>
        <v>0.93361840765628179</v>
      </c>
      <c r="G10" s="15">
        <v>153</v>
      </c>
      <c r="H10" s="16" t="s">
        <v>142</v>
      </c>
      <c r="I10" s="15">
        <f>IF(OR(H10="-",H10="",H10=0),IF(G10="-","-",G10),G10-H10)</f>
        <v>153</v>
      </c>
      <c r="J10" s="17" t="str">
        <f>IFERROR(IF(G10&gt;0, H10/G10, 0),"-")</f>
        <v>-</v>
      </c>
      <c r="K10" s="15">
        <v>54</v>
      </c>
      <c r="L10" s="16" t="s">
        <v>142</v>
      </c>
      <c r="M10" s="15">
        <f>IF(OR(L10="-",L10="",L10=0),IF(K10="-","-",K10),K10-L10)</f>
        <v>54</v>
      </c>
      <c r="N10" s="17" t="str">
        <f>IFERROR(IF(K10&gt;0, L10/K10, 0),"-")</f>
        <v>-</v>
      </c>
      <c r="O10" s="15">
        <v>48</v>
      </c>
      <c r="P10" s="16" t="s">
        <v>142</v>
      </c>
      <c r="Q10" s="15">
        <f>IF(OR(P10="-",P10="",P10=0),IF(O10="-","-",O10),O10-P10)</f>
        <v>48</v>
      </c>
      <c r="R10" s="17" t="str">
        <f>IFERROR(IF(O10&gt;0, P10/O10, 0),"-")</f>
        <v>-</v>
      </c>
      <c r="S10" s="15">
        <v>70</v>
      </c>
      <c r="T10" s="15" t="s">
        <v>142</v>
      </c>
      <c r="U10" s="15" t="s">
        <v>142</v>
      </c>
      <c r="V10" s="16" t="s">
        <v>142</v>
      </c>
      <c r="W10" s="16" t="s">
        <v>142</v>
      </c>
      <c r="X10" s="21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3">
      <c r="B11" s="12" t="s">
        <v>138</v>
      </c>
      <c r="C11" s="13">
        <f>SUM(C6:C10)</f>
        <v>141701</v>
      </c>
      <c r="D11" s="13">
        <f>SUM(D6:D10)</f>
        <v>136745</v>
      </c>
      <c r="E11" s="13">
        <f>C11-D11</f>
        <v>4956</v>
      </c>
      <c r="F11" s="18">
        <f>IF(C11&gt;0, D11/C11, 0)</f>
        <v>0.965024946895223</v>
      </c>
      <c r="G11" s="13">
        <f>SUM(G6:G10)</f>
        <v>1797</v>
      </c>
      <c r="H11" s="13">
        <f>SUM(H6:H10)</f>
        <v>0</v>
      </c>
      <c r="I11" s="13">
        <f>G11-H11</f>
        <v>1797</v>
      </c>
      <c r="J11" s="18">
        <f>IF(G11&gt;0, H11/G11, 0)</f>
        <v>0</v>
      </c>
      <c r="K11" s="13">
        <f>SUM(K6:K10)</f>
        <v>1627</v>
      </c>
      <c r="L11" s="13">
        <f>SUM(L6:L10)</f>
        <v>0</v>
      </c>
      <c r="M11" s="13">
        <f>K11-L11</f>
        <v>1627</v>
      </c>
      <c r="N11" s="18">
        <f>IF(K11&gt;0, L11/K11, 0)</f>
        <v>0</v>
      </c>
      <c r="O11" s="13">
        <f>SUM(O6:O10)</f>
        <v>2258</v>
      </c>
      <c r="P11" s="13">
        <f>SUM(P6:P10)</f>
        <v>0</v>
      </c>
      <c r="Q11" s="13">
        <f>O11-P11</f>
        <v>2258</v>
      </c>
      <c r="R11" s="18">
        <f>IF(O11&gt;0, P11/O11, 0)</f>
        <v>0</v>
      </c>
      <c r="S11" s="13">
        <f>SUM(S6:S10)</f>
        <v>118305</v>
      </c>
      <c r="T11" s="13">
        <f>SUM(T6:T10)</f>
        <v>0</v>
      </c>
      <c r="U11" s="13">
        <f>SUM(U6:U10)</f>
        <v>0</v>
      </c>
      <c r="V11" s="13">
        <f>SUM(V6:V10)</f>
        <v>0</v>
      </c>
      <c r="W11" s="13">
        <f>SUM(W6:W10)</f>
        <v>0</v>
      </c>
      <c r="X11" s="22" t="s">
        <v>142</v>
      </c>
      <c r="Y11" s="22" t="s">
        <v>142</v>
      </c>
    </row>
    <row r="15" spans="2:25" x14ac:dyDescent="0.3">
      <c r="B15" s="2" t="s">
        <v>162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3">
      <c r="B16" s="4" t="s">
        <v>143</v>
      </c>
      <c r="C16" s="2" t="s">
        <v>154</v>
      </c>
      <c r="D16" s="2"/>
      <c r="E16" s="2"/>
      <c r="F16" s="2"/>
      <c r="G16" s="2" t="s">
        <v>155</v>
      </c>
      <c r="H16" s="2"/>
      <c r="I16" s="2"/>
      <c r="J16" s="2"/>
      <c r="K16" s="2" t="s">
        <v>156</v>
      </c>
      <c r="L16" s="2"/>
      <c r="M16" s="2"/>
      <c r="N16" s="2"/>
      <c r="O16" s="2" t="s">
        <v>145</v>
      </c>
      <c r="P16" s="2"/>
      <c r="Q16" s="2"/>
      <c r="R16" s="2"/>
      <c r="S16" s="2" t="s">
        <v>136</v>
      </c>
      <c r="T16" s="2"/>
      <c r="U16" s="2"/>
      <c r="V16" s="2"/>
      <c r="W16" s="2"/>
      <c r="X16" s="5" t="s">
        <v>157</v>
      </c>
      <c r="Y16" s="5"/>
    </row>
    <row r="17" spans="2:25" x14ac:dyDescent="0.3">
      <c r="B17" s="4"/>
      <c r="C17" s="6" t="s">
        <v>146</v>
      </c>
      <c r="D17" s="7" t="s">
        <v>158</v>
      </c>
      <c r="E17" s="6" t="s">
        <v>140</v>
      </c>
      <c r="F17" s="8" t="s">
        <v>141</v>
      </c>
      <c r="G17" s="6" t="s">
        <v>146</v>
      </c>
      <c r="H17" s="7" t="s">
        <v>158</v>
      </c>
      <c r="I17" s="6" t="s">
        <v>159</v>
      </c>
      <c r="J17" s="8" t="s">
        <v>141</v>
      </c>
      <c r="K17" s="6" t="s">
        <v>146</v>
      </c>
      <c r="L17" s="7" t="s">
        <v>158</v>
      </c>
      <c r="M17" s="6" t="s">
        <v>159</v>
      </c>
      <c r="N17" s="8" t="s">
        <v>141</v>
      </c>
      <c r="O17" s="6" t="s">
        <v>146</v>
      </c>
      <c r="P17" s="7" t="s">
        <v>158</v>
      </c>
      <c r="Q17" s="6" t="s">
        <v>159</v>
      </c>
      <c r="R17" s="8" t="s">
        <v>141</v>
      </c>
      <c r="S17" s="6" t="s">
        <v>146</v>
      </c>
      <c r="T17" s="2" t="s">
        <v>147</v>
      </c>
      <c r="U17" s="2"/>
      <c r="V17" s="2" t="s">
        <v>148</v>
      </c>
      <c r="W17" s="2"/>
      <c r="X17" s="19" t="s">
        <v>160</v>
      </c>
      <c r="Y17" s="20" t="s">
        <v>161</v>
      </c>
    </row>
    <row r="18" spans="2:25" x14ac:dyDescent="0.3">
      <c r="C18" s="6"/>
      <c r="D18" s="7"/>
      <c r="E18" s="6"/>
      <c r="F18" s="8"/>
      <c r="G18" s="6"/>
      <c r="H18" s="7"/>
      <c r="I18" s="6"/>
      <c r="J18" s="8"/>
      <c r="K18" s="6"/>
      <c r="L18" s="7"/>
      <c r="M18" s="6"/>
      <c r="N18" s="8"/>
      <c r="O18" s="6"/>
      <c r="P18" s="7"/>
      <c r="Q18" s="6"/>
      <c r="R18" s="8"/>
      <c r="S18" s="6"/>
      <c r="T18" s="9" t="s">
        <v>149</v>
      </c>
      <c r="U18" s="9" t="s">
        <v>150</v>
      </c>
      <c r="V18" s="9" t="s">
        <v>149</v>
      </c>
      <c r="W18" s="9" t="s">
        <v>150</v>
      </c>
      <c r="X18" s="10"/>
      <c r="Y18" s="11"/>
    </row>
    <row r="19" spans="2:25" x14ac:dyDescent="0.3">
      <c r="B19" s="14" t="s">
        <v>16</v>
      </c>
      <c r="C19" s="15">
        <v>3788</v>
      </c>
      <c r="D19" s="16">
        <v>3716</v>
      </c>
      <c r="E19" s="15">
        <f>IF(OR(D19="-",D19="",D19=0),IF(C19="-","-",C19),C19-D19)</f>
        <v>72</v>
      </c>
      <c r="F19" s="17">
        <f>IFERROR(IF(C19&gt;0, D19/C19, 0),"-")</f>
        <v>0.98099260823653645</v>
      </c>
      <c r="G19" s="15">
        <v>31</v>
      </c>
      <c r="H19" s="16" t="s">
        <v>142</v>
      </c>
      <c r="I19" s="15">
        <f>IF(OR(H19="-",H19="",H19=0),IF(G19="-","-",G19),G19-H19)</f>
        <v>31</v>
      </c>
      <c r="J19" s="17" t="str">
        <f>IFERROR(IF(G19&gt;0, H19/G19, 0),"-")</f>
        <v>-</v>
      </c>
      <c r="K19" s="15">
        <v>26</v>
      </c>
      <c r="L19" s="16" t="s">
        <v>142</v>
      </c>
      <c r="M19" s="15">
        <f>IF(OR(L19="-",L19="",L19=0),IF(K19="-","-",K19),K19-L19)</f>
        <v>26</v>
      </c>
      <c r="N19" s="17" t="str">
        <f>IFERROR(IF(K19&gt;0, L19/K19, 0),"-")</f>
        <v>-</v>
      </c>
      <c r="O19" s="15">
        <v>35</v>
      </c>
      <c r="P19" s="16" t="s">
        <v>142</v>
      </c>
      <c r="Q19" s="15">
        <f>IF(OR(P19="-",P19="",P19=0),IF(O19="-","-",O19),O19-P19)</f>
        <v>35</v>
      </c>
      <c r="R19" s="17" t="str">
        <f>IFERROR(IF(O19&gt;0, P19/O19, 0),"-")</f>
        <v>-</v>
      </c>
      <c r="S19" s="15">
        <v>3553</v>
      </c>
      <c r="T19" s="15" t="s">
        <v>142</v>
      </c>
      <c r="U19" s="15" t="s">
        <v>142</v>
      </c>
      <c r="V19" s="16" t="s">
        <v>142</v>
      </c>
      <c r="W19" s="16" t="s">
        <v>142</v>
      </c>
      <c r="X19" s="21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3">
      <c r="B20" s="14" t="s">
        <v>13</v>
      </c>
      <c r="C20" s="15">
        <v>3919</v>
      </c>
      <c r="D20" s="16">
        <v>3842</v>
      </c>
      <c r="E20" s="15">
        <f>IF(OR(D20="-",D20="",D20=0),IF(C20="-","-",C20),C20-D20)</f>
        <v>77</v>
      </c>
      <c r="F20" s="17">
        <f>IFERROR(IF(C20&gt;0, D20/C20, 0),"-")</f>
        <v>0.98035213064557281</v>
      </c>
      <c r="G20" s="15">
        <v>57</v>
      </c>
      <c r="H20" s="16" t="s">
        <v>142</v>
      </c>
      <c r="I20" s="15">
        <f>IF(OR(H20="-",H20="",H20=0),IF(G20="-","-",G20),G20-H20)</f>
        <v>57</v>
      </c>
      <c r="J20" s="17" t="str">
        <f>IFERROR(IF(G20&gt;0, H20/G20, 0),"-")</f>
        <v>-</v>
      </c>
      <c r="K20" s="15">
        <v>46</v>
      </c>
      <c r="L20" s="16" t="s">
        <v>142</v>
      </c>
      <c r="M20" s="15">
        <f>IF(OR(L20="-",L20="",L20=0),IF(K20="-","-",K20),K20-L20)</f>
        <v>46</v>
      </c>
      <c r="N20" s="17" t="str">
        <f>IFERROR(IF(K20&gt;0, L20/K20, 0),"-")</f>
        <v>-</v>
      </c>
      <c r="O20" s="15">
        <v>57</v>
      </c>
      <c r="P20" s="16" t="s">
        <v>142</v>
      </c>
      <c r="Q20" s="15">
        <f>IF(OR(P20="-",P20="",P20=0),IF(O20="-","-",O20),O20-P20)</f>
        <v>57</v>
      </c>
      <c r="R20" s="17" t="str">
        <f>IFERROR(IF(O20&gt;0, P20/O20, 0),"-")</f>
        <v>-</v>
      </c>
      <c r="S20" s="15">
        <v>2048</v>
      </c>
      <c r="T20" s="15" t="s">
        <v>142</v>
      </c>
      <c r="U20" s="15" t="s">
        <v>142</v>
      </c>
      <c r="V20" s="16" t="s">
        <v>142</v>
      </c>
      <c r="W20" s="16" t="s">
        <v>142</v>
      </c>
      <c r="X20" s="21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3">
      <c r="B21" s="14" t="s">
        <v>7</v>
      </c>
      <c r="C21" s="15">
        <v>6047</v>
      </c>
      <c r="D21" s="16">
        <v>5926</v>
      </c>
      <c r="E21" s="15">
        <f>IF(OR(D21="-",D21="",D21=0),IF(C21="-","-",C21),C21-D21)</f>
        <v>121</v>
      </c>
      <c r="F21" s="17">
        <f>IFERROR(IF(C21&gt;0, D21/C21, 0),"-")</f>
        <v>0.97999007772449154</v>
      </c>
      <c r="G21" s="15">
        <v>73</v>
      </c>
      <c r="H21" s="16" t="s">
        <v>142</v>
      </c>
      <c r="I21" s="15">
        <f>IF(OR(H21="-",H21="",H21=0),IF(G21="-","-",G21),G21-H21)</f>
        <v>73</v>
      </c>
      <c r="J21" s="17" t="str">
        <f>IFERROR(IF(G21&gt;0, H21/G21, 0),"-")</f>
        <v>-</v>
      </c>
      <c r="K21" s="15">
        <v>87</v>
      </c>
      <c r="L21" s="16" t="s">
        <v>142</v>
      </c>
      <c r="M21" s="15">
        <f>IF(OR(L21="-",L21="",L21=0),IF(K21="-","-",K21),K21-L21)</f>
        <v>87</v>
      </c>
      <c r="N21" s="17" t="str">
        <f>IFERROR(IF(K21&gt;0, L21/K21, 0),"-")</f>
        <v>-</v>
      </c>
      <c r="O21" s="15">
        <v>120</v>
      </c>
      <c r="P21" s="16" t="s">
        <v>142</v>
      </c>
      <c r="Q21" s="15">
        <f>IF(OR(P21="-",P21="",P21=0),IF(O21="-","-",O21),O21-P21)</f>
        <v>120</v>
      </c>
      <c r="R21" s="17" t="str">
        <f>IFERROR(IF(O21&gt;0, P21/O21, 0),"-")</f>
        <v>-</v>
      </c>
      <c r="S21" s="15">
        <v>6452</v>
      </c>
      <c r="T21" s="15" t="s">
        <v>142</v>
      </c>
      <c r="U21" s="15" t="s">
        <v>142</v>
      </c>
      <c r="V21" s="16" t="s">
        <v>142</v>
      </c>
      <c r="W21" s="16" t="s">
        <v>142</v>
      </c>
      <c r="X21" s="21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3">
      <c r="B22" s="14" t="s">
        <v>17</v>
      </c>
      <c r="C22" s="15">
        <v>3224</v>
      </c>
      <c r="D22" s="16">
        <v>3156</v>
      </c>
      <c r="E22" s="15">
        <f>IF(OR(D22="-",D22="",D22=0),IF(C22="-","-",C22),C22-D22)</f>
        <v>68</v>
      </c>
      <c r="F22" s="17">
        <f>IFERROR(IF(C22&gt;0, D22/C22, 0),"-")</f>
        <v>0.97890818858560791</v>
      </c>
      <c r="G22" s="15">
        <v>68</v>
      </c>
      <c r="H22" s="16" t="s">
        <v>142</v>
      </c>
      <c r="I22" s="15">
        <f>IF(OR(H22="-",H22="",H22=0),IF(G22="-","-",G22),G22-H22)</f>
        <v>68</v>
      </c>
      <c r="J22" s="17" t="str">
        <f>IFERROR(IF(G22&gt;0, H22/G22, 0),"-")</f>
        <v>-</v>
      </c>
      <c r="K22" s="15">
        <v>77</v>
      </c>
      <c r="L22" s="16" t="s">
        <v>142</v>
      </c>
      <c r="M22" s="15">
        <f>IF(OR(L22="-",L22="",L22=0),IF(K22="-","-",K22),K22-L22)</f>
        <v>77</v>
      </c>
      <c r="N22" s="17" t="str">
        <f>IFERROR(IF(K22&gt;0, L22/K22, 0),"-")</f>
        <v>-</v>
      </c>
      <c r="O22" s="15">
        <v>74</v>
      </c>
      <c r="P22" s="16" t="s">
        <v>142</v>
      </c>
      <c r="Q22" s="15">
        <f>IF(OR(P22="-",P22="",P22=0),IF(O22="-","-",O22),O22-P22)</f>
        <v>74</v>
      </c>
      <c r="R22" s="17" t="str">
        <f>IFERROR(IF(O22&gt;0, P22/O22, 0),"-")</f>
        <v>-</v>
      </c>
      <c r="S22" s="15">
        <v>3682</v>
      </c>
      <c r="T22" s="15" t="s">
        <v>142</v>
      </c>
      <c r="U22" s="15" t="s">
        <v>142</v>
      </c>
      <c r="V22" s="16" t="s">
        <v>142</v>
      </c>
      <c r="W22" s="16" t="s">
        <v>142</v>
      </c>
      <c r="X22" s="21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3">
      <c r="B23" s="14" t="s">
        <v>10</v>
      </c>
      <c r="C23" s="15">
        <v>4196</v>
      </c>
      <c r="D23" s="16">
        <v>4103</v>
      </c>
      <c r="E23" s="15">
        <f>IF(OR(D23="-",D23="",D23=0),IF(C23="-","-",C23),C23-D23)</f>
        <v>93</v>
      </c>
      <c r="F23" s="17">
        <f>IFERROR(IF(C23&gt;0, D23/C23, 0),"-")</f>
        <v>0.97783603431839849</v>
      </c>
      <c r="G23" s="15">
        <v>46</v>
      </c>
      <c r="H23" s="16" t="s">
        <v>142</v>
      </c>
      <c r="I23" s="15">
        <f>IF(OR(H23="-",H23="",H23=0),IF(G23="-","-",G23),G23-H23)</f>
        <v>46</v>
      </c>
      <c r="J23" s="17" t="str">
        <f>IFERROR(IF(G23&gt;0, H23/G23, 0),"-")</f>
        <v>-</v>
      </c>
      <c r="K23" s="15">
        <v>47</v>
      </c>
      <c r="L23" s="16" t="s">
        <v>142</v>
      </c>
      <c r="M23" s="15">
        <f>IF(OR(L23="-",L23="",L23=0),IF(K23="-","-",K23),K23-L23)</f>
        <v>47</v>
      </c>
      <c r="N23" s="17" t="str">
        <f>IFERROR(IF(K23&gt;0, L23/K23, 0),"-")</f>
        <v>-</v>
      </c>
      <c r="O23" s="15">
        <v>82</v>
      </c>
      <c r="P23" s="16" t="s">
        <v>142</v>
      </c>
      <c r="Q23" s="15">
        <f>IF(OR(P23="-",P23="",P23=0),IF(O23="-","-",O23),O23-P23)</f>
        <v>82</v>
      </c>
      <c r="R23" s="17" t="str">
        <f>IFERROR(IF(O23&gt;0, P23/O23, 0),"-")</f>
        <v>-</v>
      </c>
      <c r="S23" s="15">
        <v>2041</v>
      </c>
      <c r="T23" s="15" t="s">
        <v>142</v>
      </c>
      <c r="U23" s="15" t="s">
        <v>142</v>
      </c>
      <c r="V23" s="16" t="s">
        <v>142</v>
      </c>
      <c r="W23" s="16" t="s">
        <v>142</v>
      </c>
      <c r="X23" s="21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3">
      <c r="B24" s="14" t="s">
        <v>137</v>
      </c>
      <c r="C24" s="15">
        <v>4457</v>
      </c>
      <c r="D24" s="16">
        <v>4351</v>
      </c>
      <c r="E24" s="15">
        <f>IF(OR(D24="-",D24="",D24=0),IF(C24="-","-",C24),C24-D24)</f>
        <v>106</v>
      </c>
      <c r="F24" s="17">
        <f>IFERROR(IF(C24&gt;0, D24/C24, 0),"-")</f>
        <v>0.97621718644828359</v>
      </c>
      <c r="G24" s="15">
        <v>54</v>
      </c>
      <c r="H24" s="16" t="s">
        <v>142</v>
      </c>
      <c r="I24" s="15">
        <f>IF(OR(H24="-",H24="",H24=0),IF(G24="-","-",G24),G24-H24)</f>
        <v>54</v>
      </c>
      <c r="J24" s="17" t="str">
        <f>IFERROR(IF(G24&gt;0, H24/G24, 0),"-")</f>
        <v>-</v>
      </c>
      <c r="K24" s="15">
        <v>47</v>
      </c>
      <c r="L24" s="16" t="s">
        <v>142</v>
      </c>
      <c r="M24" s="15">
        <f>IF(OR(L24="-",L24="",L24=0),IF(K24="-","-",K24),K24-L24)</f>
        <v>47</v>
      </c>
      <c r="N24" s="17" t="str">
        <f>IFERROR(IF(K24&gt;0, L24/K24, 0),"-")</f>
        <v>-</v>
      </c>
      <c r="O24" s="15">
        <v>71</v>
      </c>
      <c r="P24" s="16" t="s">
        <v>142</v>
      </c>
      <c r="Q24" s="15">
        <f>IF(OR(P24="-",P24="",P24=0),IF(O24="-","-",O24),O24-P24)</f>
        <v>71</v>
      </c>
      <c r="R24" s="17" t="str">
        <f>IFERROR(IF(O24&gt;0, P24/O24, 0),"-")</f>
        <v>-</v>
      </c>
      <c r="S24" s="15">
        <v>3167</v>
      </c>
      <c r="T24" s="15" t="s">
        <v>142</v>
      </c>
      <c r="U24" s="15" t="s">
        <v>142</v>
      </c>
      <c r="V24" s="16" t="s">
        <v>142</v>
      </c>
      <c r="W24" s="16" t="s">
        <v>142</v>
      </c>
      <c r="X24" s="21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3">
      <c r="B25" s="14" t="s">
        <v>30</v>
      </c>
      <c r="C25" s="15">
        <v>5132</v>
      </c>
      <c r="D25" s="16">
        <v>5006</v>
      </c>
      <c r="E25" s="15">
        <f>IF(OR(D25="-",D25="",D25=0),IF(C25="-","-",C25),C25-D25)</f>
        <v>126</v>
      </c>
      <c r="F25" s="17">
        <f>IFERROR(IF(C25&gt;0, D25/C25, 0),"-")</f>
        <v>0.97544816835541703</v>
      </c>
      <c r="G25" s="15">
        <v>47</v>
      </c>
      <c r="H25" s="16" t="s">
        <v>142</v>
      </c>
      <c r="I25" s="15">
        <f>IF(OR(H25="-",H25="",H25=0),IF(G25="-","-",G25),G25-H25)</f>
        <v>47</v>
      </c>
      <c r="J25" s="17" t="str">
        <f>IFERROR(IF(G25&gt;0, H25/G25, 0),"-")</f>
        <v>-</v>
      </c>
      <c r="K25" s="15">
        <v>50</v>
      </c>
      <c r="L25" s="16" t="s">
        <v>142</v>
      </c>
      <c r="M25" s="15">
        <f>IF(OR(L25="-",L25="",L25=0),IF(K25="-","-",K25),K25-L25)</f>
        <v>50</v>
      </c>
      <c r="N25" s="17" t="str">
        <f>IFERROR(IF(K25&gt;0, L25/K25, 0),"-")</f>
        <v>-</v>
      </c>
      <c r="O25" s="15">
        <v>84</v>
      </c>
      <c r="P25" s="16" t="s">
        <v>142</v>
      </c>
      <c r="Q25" s="15">
        <f>IF(OR(P25="-",P25="",P25=0),IF(O25="-","-",O25),O25-P25)</f>
        <v>84</v>
      </c>
      <c r="R25" s="17" t="str">
        <f>IFERROR(IF(O25&gt;0, P25/O25, 0),"-")</f>
        <v>-</v>
      </c>
      <c r="S25" s="15">
        <v>4099</v>
      </c>
      <c r="T25" s="15" t="s">
        <v>142</v>
      </c>
      <c r="U25" s="15" t="s">
        <v>142</v>
      </c>
      <c r="V25" s="16" t="s">
        <v>142</v>
      </c>
      <c r="W25" s="16" t="s">
        <v>142</v>
      </c>
      <c r="X25" s="21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3">
      <c r="B26" s="14" t="s">
        <v>12</v>
      </c>
      <c r="C26" s="15">
        <v>4044</v>
      </c>
      <c r="D26" s="16">
        <v>3941</v>
      </c>
      <c r="E26" s="15">
        <f>IF(OR(D26="-",D26="",D26=0),IF(C26="-","-",C26),C26-D26)</f>
        <v>103</v>
      </c>
      <c r="F26" s="17">
        <f>IFERROR(IF(C26&gt;0, D26/C26, 0),"-")</f>
        <v>0.97453016815034621</v>
      </c>
      <c r="G26" s="15">
        <v>52</v>
      </c>
      <c r="H26" s="16" t="s">
        <v>142</v>
      </c>
      <c r="I26" s="15">
        <f>IF(OR(H26="-",H26="",H26=0),IF(G26="-","-",G26),G26-H26)</f>
        <v>52</v>
      </c>
      <c r="J26" s="17" t="str">
        <f>IFERROR(IF(G26&gt;0, H26/G26, 0),"-")</f>
        <v>-</v>
      </c>
      <c r="K26" s="15">
        <v>50</v>
      </c>
      <c r="L26" s="16" t="s">
        <v>142</v>
      </c>
      <c r="M26" s="15">
        <f>IF(OR(L26="-",L26="",L26=0),IF(K26="-","-",K26),K26-L26)</f>
        <v>50</v>
      </c>
      <c r="N26" s="17" t="str">
        <f>IFERROR(IF(K26&gt;0, L26/K26, 0),"-")</f>
        <v>-</v>
      </c>
      <c r="O26" s="15">
        <v>85</v>
      </c>
      <c r="P26" s="16" t="s">
        <v>142</v>
      </c>
      <c r="Q26" s="15">
        <f>IF(OR(P26="-",P26="",P26=0),IF(O26="-","-",O26),O26-P26)</f>
        <v>85</v>
      </c>
      <c r="R26" s="17" t="str">
        <f>IFERROR(IF(O26&gt;0, P26/O26, 0),"-")</f>
        <v>-</v>
      </c>
      <c r="S26" s="15">
        <v>2969</v>
      </c>
      <c r="T26" s="15" t="s">
        <v>142</v>
      </c>
      <c r="U26" s="15" t="s">
        <v>142</v>
      </c>
      <c r="V26" s="16" t="s">
        <v>142</v>
      </c>
      <c r="W26" s="16" t="s">
        <v>142</v>
      </c>
      <c r="X26" s="21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3">
      <c r="B27" s="14" t="s">
        <v>9</v>
      </c>
      <c r="C27" s="15">
        <v>4786</v>
      </c>
      <c r="D27" s="16">
        <v>4656</v>
      </c>
      <c r="E27" s="15">
        <f>IF(OR(D27="-",D27="",D27=0),IF(C27="-","-",C27),C27-D27)</f>
        <v>130</v>
      </c>
      <c r="F27" s="17">
        <f>IFERROR(IF(C27&gt;0, D27/C27, 0),"-")</f>
        <v>0.97283744254074389</v>
      </c>
      <c r="G27" s="15">
        <v>75</v>
      </c>
      <c r="H27" s="16" t="s">
        <v>142</v>
      </c>
      <c r="I27" s="15">
        <f>IF(OR(H27="-",H27="",H27=0),IF(G27="-","-",G27),G27-H27)</f>
        <v>75</v>
      </c>
      <c r="J27" s="17" t="str">
        <f>IFERROR(IF(G27&gt;0, H27/G27, 0),"-")</f>
        <v>-</v>
      </c>
      <c r="K27" s="15">
        <v>70</v>
      </c>
      <c r="L27" s="16" t="s">
        <v>142</v>
      </c>
      <c r="M27" s="15">
        <f>IF(OR(L27="-",L27="",L27=0),IF(K27="-","-",K27),K27-L27)</f>
        <v>70</v>
      </c>
      <c r="N27" s="17" t="str">
        <f>IFERROR(IF(K27&gt;0, L27/K27, 0),"-")</f>
        <v>-</v>
      </c>
      <c r="O27" s="15">
        <v>78</v>
      </c>
      <c r="P27" s="16" t="s">
        <v>142</v>
      </c>
      <c r="Q27" s="15">
        <f>IF(OR(P27="-",P27="",P27=0),IF(O27="-","-",O27),O27-P27)</f>
        <v>78</v>
      </c>
      <c r="R27" s="17" t="str">
        <f>IFERROR(IF(O27&gt;0, P27/O27, 0),"-")</f>
        <v>-</v>
      </c>
      <c r="S27" s="15">
        <v>4809</v>
      </c>
      <c r="T27" s="15" t="s">
        <v>142</v>
      </c>
      <c r="U27" s="15" t="s">
        <v>142</v>
      </c>
      <c r="V27" s="16" t="s">
        <v>142</v>
      </c>
      <c r="W27" s="16" t="s">
        <v>142</v>
      </c>
      <c r="X27" s="21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3">
      <c r="B28" s="14" t="s">
        <v>23</v>
      </c>
      <c r="C28" s="15">
        <v>3115</v>
      </c>
      <c r="D28" s="16">
        <v>3029</v>
      </c>
      <c r="E28" s="15">
        <f>IF(OR(D28="-",D28="",D28=0),IF(C28="-","-",C28),C28-D28)</f>
        <v>86</v>
      </c>
      <c r="F28" s="17">
        <f>IFERROR(IF(C28&gt;0, D28/C28, 0),"-")</f>
        <v>0.97239165329052968</v>
      </c>
      <c r="G28" s="15">
        <v>36</v>
      </c>
      <c r="H28" s="16" t="s">
        <v>142</v>
      </c>
      <c r="I28" s="15">
        <f>IF(OR(H28="-",H28="",H28=0),IF(G28="-","-",G28),G28-H28)</f>
        <v>36</v>
      </c>
      <c r="J28" s="17" t="str">
        <f>IFERROR(IF(G28&gt;0, H28/G28, 0),"-")</f>
        <v>-</v>
      </c>
      <c r="K28" s="15">
        <v>36</v>
      </c>
      <c r="L28" s="16" t="s">
        <v>142</v>
      </c>
      <c r="M28" s="15">
        <f>IF(OR(L28="-",L28="",L28=0),IF(K28="-","-",K28),K28-L28)</f>
        <v>36</v>
      </c>
      <c r="N28" s="17" t="str">
        <f>IFERROR(IF(K28&gt;0, L28/K28, 0),"-")</f>
        <v>-</v>
      </c>
      <c r="O28" s="15">
        <v>76</v>
      </c>
      <c r="P28" s="16" t="s">
        <v>142</v>
      </c>
      <c r="Q28" s="15">
        <f>IF(OR(P28="-",P28="",P28=0),IF(O28="-","-",O28),O28-P28)</f>
        <v>76</v>
      </c>
      <c r="R28" s="17" t="str">
        <f>IFERROR(IF(O28&gt;0, P28/O28, 0),"-")</f>
        <v>-</v>
      </c>
      <c r="S28" s="15">
        <v>2711</v>
      </c>
      <c r="T28" s="15" t="s">
        <v>142</v>
      </c>
      <c r="U28" s="15" t="s">
        <v>142</v>
      </c>
      <c r="V28" s="16" t="s">
        <v>142</v>
      </c>
      <c r="W28" s="16" t="s">
        <v>142</v>
      </c>
      <c r="X28" s="21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3">
      <c r="B29" s="14" t="s">
        <v>4</v>
      </c>
      <c r="C29" s="15">
        <v>3458</v>
      </c>
      <c r="D29" s="16">
        <v>3358</v>
      </c>
      <c r="E29" s="15">
        <f>IF(OR(D29="-",D29="",D29=0),IF(C29="-","-",C29),C29-D29)</f>
        <v>100</v>
      </c>
      <c r="F29" s="17">
        <f>IFERROR(IF(C29&gt;0, D29/C29, 0),"-")</f>
        <v>0.97108155002891849</v>
      </c>
      <c r="G29" s="15">
        <v>25</v>
      </c>
      <c r="H29" s="16" t="s">
        <v>142</v>
      </c>
      <c r="I29" s="15">
        <f>IF(OR(H29="-",H29="",H29=0),IF(G29="-","-",G29),G29-H29)</f>
        <v>25</v>
      </c>
      <c r="J29" s="17" t="str">
        <f>IFERROR(IF(G29&gt;0, H29/G29, 0),"-")</f>
        <v>-</v>
      </c>
      <c r="K29" s="15">
        <v>35</v>
      </c>
      <c r="L29" s="16" t="s">
        <v>142</v>
      </c>
      <c r="M29" s="15">
        <f>IF(OR(L29="-",L29="",L29=0),IF(K29="-","-",K29),K29-L29)</f>
        <v>35</v>
      </c>
      <c r="N29" s="17" t="str">
        <f>IFERROR(IF(K29&gt;0, L29/K29, 0),"-")</f>
        <v>-</v>
      </c>
      <c r="O29" s="15">
        <v>54</v>
      </c>
      <c r="P29" s="16" t="s">
        <v>142</v>
      </c>
      <c r="Q29" s="15">
        <f>IF(OR(P29="-",P29="",P29=0),IF(O29="-","-",O29),O29-P29)</f>
        <v>54</v>
      </c>
      <c r="R29" s="17" t="str">
        <f>IFERROR(IF(O29&gt;0, P29/O29, 0),"-")</f>
        <v>-</v>
      </c>
      <c r="S29" s="15">
        <v>2872</v>
      </c>
      <c r="T29" s="15" t="s">
        <v>142</v>
      </c>
      <c r="U29" s="15" t="s">
        <v>142</v>
      </c>
      <c r="V29" s="16" t="s">
        <v>142</v>
      </c>
      <c r="W29" s="16" t="s">
        <v>142</v>
      </c>
      <c r="X29" s="21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3">
      <c r="B30" s="14" t="s">
        <v>25</v>
      </c>
      <c r="C30" s="15">
        <v>4929</v>
      </c>
      <c r="D30" s="16">
        <v>4781</v>
      </c>
      <c r="E30" s="15">
        <f>IF(OR(D30="-",D30="",D30=0),IF(C30="-","-",C30),C30-D30)</f>
        <v>148</v>
      </c>
      <c r="F30" s="17">
        <f>IFERROR(IF(C30&gt;0, D30/C30, 0),"-")</f>
        <v>0.96997362548184218</v>
      </c>
      <c r="G30" s="15">
        <v>63</v>
      </c>
      <c r="H30" s="16" t="s">
        <v>142</v>
      </c>
      <c r="I30" s="15">
        <f>IF(OR(H30="-",H30="",H30=0),IF(G30="-","-",G30),G30-H30)</f>
        <v>63</v>
      </c>
      <c r="J30" s="17" t="str">
        <f>IFERROR(IF(G30&gt;0, H30/G30, 0),"-")</f>
        <v>-</v>
      </c>
      <c r="K30" s="15">
        <v>48</v>
      </c>
      <c r="L30" s="16" t="s">
        <v>142</v>
      </c>
      <c r="M30" s="15">
        <f>IF(OR(L30="-",L30="",L30=0),IF(K30="-","-",K30),K30-L30)</f>
        <v>48</v>
      </c>
      <c r="N30" s="17" t="str">
        <f>IFERROR(IF(K30&gt;0, L30/K30, 0),"-")</f>
        <v>-</v>
      </c>
      <c r="O30" s="15">
        <v>103</v>
      </c>
      <c r="P30" s="16" t="s">
        <v>142</v>
      </c>
      <c r="Q30" s="15">
        <f>IF(OR(P30="-",P30="",P30=0),IF(O30="-","-",O30),O30-P30)</f>
        <v>103</v>
      </c>
      <c r="R30" s="17" t="str">
        <f>IFERROR(IF(O30&gt;0, P30/O30, 0),"-")</f>
        <v>-</v>
      </c>
      <c r="S30" s="15">
        <v>4800</v>
      </c>
      <c r="T30" s="15" t="s">
        <v>142</v>
      </c>
      <c r="U30" s="15" t="s">
        <v>142</v>
      </c>
      <c r="V30" s="16" t="s">
        <v>142</v>
      </c>
      <c r="W30" s="16" t="s">
        <v>142</v>
      </c>
      <c r="X30" s="21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3">
      <c r="B31" s="14" t="s">
        <v>22</v>
      </c>
      <c r="C31" s="15">
        <v>5404</v>
      </c>
      <c r="D31" s="16">
        <v>5231</v>
      </c>
      <c r="E31" s="15">
        <f>IF(OR(D31="-",D31="",D31=0),IF(C31="-","-",C31),C31-D31)</f>
        <v>173</v>
      </c>
      <c r="F31" s="17">
        <f>IFERROR(IF(C31&gt;0, D31/C31, 0),"-")</f>
        <v>0.96798667653589932</v>
      </c>
      <c r="G31" s="15">
        <v>58</v>
      </c>
      <c r="H31" s="16" t="s">
        <v>142</v>
      </c>
      <c r="I31" s="15">
        <f>IF(OR(H31="-",H31="",H31=0),IF(G31="-","-",G31),G31-H31)</f>
        <v>58</v>
      </c>
      <c r="J31" s="17" t="str">
        <f>IFERROR(IF(G31&gt;0, H31/G31, 0),"-")</f>
        <v>-</v>
      </c>
      <c r="K31" s="15">
        <v>65</v>
      </c>
      <c r="L31" s="16" t="s">
        <v>142</v>
      </c>
      <c r="M31" s="15">
        <f>IF(OR(L31="-",L31="",L31=0),IF(K31="-","-",K31),K31-L31)</f>
        <v>65</v>
      </c>
      <c r="N31" s="17" t="str">
        <f>IFERROR(IF(K31&gt;0, L31/K31, 0),"-")</f>
        <v>-</v>
      </c>
      <c r="O31" s="15">
        <v>79</v>
      </c>
      <c r="P31" s="16" t="s">
        <v>142</v>
      </c>
      <c r="Q31" s="15">
        <f>IF(OR(P31="-",P31="",P31=0),IF(O31="-","-",O31),O31-P31)</f>
        <v>79</v>
      </c>
      <c r="R31" s="17" t="str">
        <f>IFERROR(IF(O31&gt;0, P31/O31, 0),"-")</f>
        <v>-</v>
      </c>
      <c r="S31" s="15">
        <v>6268</v>
      </c>
      <c r="T31" s="15" t="s">
        <v>142</v>
      </c>
      <c r="U31" s="15" t="s">
        <v>142</v>
      </c>
      <c r="V31" s="16" t="s">
        <v>142</v>
      </c>
      <c r="W31" s="16" t="s">
        <v>142</v>
      </c>
      <c r="X31" s="21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3">
      <c r="B32" s="14" t="s">
        <v>5</v>
      </c>
      <c r="C32" s="15">
        <v>5183</v>
      </c>
      <c r="D32" s="16">
        <v>5016</v>
      </c>
      <c r="E32" s="15">
        <f>IF(OR(D32="-",D32="",D32=0),IF(C32="-","-",C32),C32-D32)</f>
        <v>167</v>
      </c>
      <c r="F32" s="17">
        <f>IFERROR(IF(C32&gt;0, D32/C32, 0),"-")</f>
        <v>0.96777927841018718</v>
      </c>
      <c r="G32" s="15">
        <v>37</v>
      </c>
      <c r="H32" s="16" t="s">
        <v>142</v>
      </c>
      <c r="I32" s="15">
        <f>IF(OR(H32="-",H32="",H32=0),IF(G32="-","-",G32),G32-H32)</f>
        <v>37</v>
      </c>
      <c r="J32" s="17" t="str">
        <f>IFERROR(IF(G32&gt;0, H32/G32, 0),"-")</f>
        <v>-</v>
      </c>
      <c r="K32" s="15">
        <v>57</v>
      </c>
      <c r="L32" s="16" t="s">
        <v>142</v>
      </c>
      <c r="M32" s="15">
        <f>IF(OR(L32="-",L32="",L32=0),IF(K32="-","-",K32),K32-L32)</f>
        <v>57</v>
      </c>
      <c r="N32" s="17" t="str">
        <f>IFERROR(IF(K32&gt;0, L32/K32, 0),"-")</f>
        <v>-</v>
      </c>
      <c r="O32" s="15">
        <v>76</v>
      </c>
      <c r="P32" s="16" t="s">
        <v>142</v>
      </c>
      <c r="Q32" s="15">
        <f>IF(OR(P32="-",P32="",P32=0),IF(O32="-","-",O32),O32-P32)</f>
        <v>76</v>
      </c>
      <c r="R32" s="17" t="str">
        <f>IFERROR(IF(O32&gt;0, P32/O32, 0),"-")</f>
        <v>-</v>
      </c>
      <c r="S32" s="15">
        <v>3476</v>
      </c>
      <c r="T32" s="15" t="s">
        <v>142</v>
      </c>
      <c r="U32" s="15" t="s">
        <v>142</v>
      </c>
      <c r="V32" s="16" t="s">
        <v>142</v>
      </c>
      <c r="W32" s="16" t="s">
        <v>142</v>
      </c>
      <c r="X32" s="21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3">
      <c r="B33" s="14" t="s">
        <v>26</v>
      </c>
      <c r="C33" s="15">
        <v>4227</v>
      </c>
      <c r="D33" s="16">
        <v>4086</v>
      </c>
      <c r="E33" s="15">
        <f>IF(OR(D33="-",D33="",D33=0),IF(C33="-","-",C33),C33-D33)</f>
        <v>141</v>
      </c>
      <c r="F33" s="17">
        <f>IFERROR(IF(C33&gt;0, D33/C33, 0),"-")</f>
        <v>0.96664300922640167</v>
      </c>
      <c r="G33" s="15">
        <v>55</v>
      </c>
      <c r="H33" s="16" t="s">
        <v>142</v>
      </c>
      <c r="I33" s="15">
        <f>IF(OR(H33="-",H33="",H33=0),IF(G33="-","-",G33),G33-H33)</f>
        <v>55</v>
      </c>
      <c r="J33" s="17" t="str">
        <f>IFERROR(IF(G33&gt;0, H33/G33, 0),"-")</f>
        <v>-</v>
      </c>
      <c r="K33" s="15">
        <v>39</v>
      </c>
      <c r="L33" s="16" t="s">
        <v>142</v>
      </c>
      <c r="M33" s="15">
        <f>IF(OR(L33="-",L33="",L33=0),IF(K33="-","-",K33),K33-L33)</f>
        <v>39</v>
      </c>
      <c r="N33" s="17" t="str">
        <f>IFERROR(IF(K33&gt;0, L33/K33, 0),"-")</f>
        <v>-</v>
      </c>
      <c r="O33" s="15">
        <v>44</v>
      </c>
      <c r="P33" s="16" t="s">
        <v>142</v>
      </c>
      <c r="Q33" s="15">
        <f>IF(OR(P33="-",P33="",P33=0),IF(O33="-","-",O33),O33-P33)</f>
        <v>44</v>
      </c>
      <c r="R33" s="17" t="str">
        <f>IFERROR(IF(O33&gt;0, P33/O33, 0),"-")</f>
        <v>-</v>
      </c>
      <c r="S33" s="15">
        <v>147</v>
      </c>
      <c r="T33" s="15" t="s">
        <v>142</v>
      </c>
      <c r="U33" s="15" t="s">
        <v>142</v>
      </c>
      <c r="V33" s="16" t="s">
        <v>142</v>
      </c>
      <c r="W33" s="16" t="s">
        <v>142</v>
      </c>
      <c r="X33" s="21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3">
      <c r="B34" s="14" t="s">
        <v>11</v>
      </c>
      <c r="C34" s="15">
        <v>9035</v>
      </c>
      <c r="D34" s="16">
        <v>8733</v>
      </c>
      <c r="E34" s="15">
        <f>IF(OR(D34="-",D34="",D34=0),IF(C34="-","-",C34),C34-D34)</f>
        <v>302</v>
      </c>
      <c r="F34" s="17">
        <f>IFERROR(IF(C34&gt;0, D34/C34, 0),"-")</f>
        <v>0.96657443276148314</v>
      </c>
      <c r="G34" s="15">
        <v>111</v>
      </c>
      <c r="H34" s="16" t="s">
        <v>142</v>
      </c>
      <c r="I34" s="15">
        <f>IF(OR(H34="-",H34="",H34=0),IF(G34="-","-",G34),G34-H34)</f>
        <v>111</v>
      </c>
      <c r="J34" s="17" t="str">
        <f>IFERROR(IF(G34&gt;0, H34/G34, 0),"-")</f>
        <v>-</v>
      </c>
      <c r="K34" s="15">
        <v>136</v>
      </c>
      <c r="L34" s="16" t="s">
        <v>142</v>
      </c>
      <c r="M34" s="15">
        <f>IF(OR(L34="-",L34="",L34=0),IF(K34="-","-",K34),K34-L34)</f>
        <v>136</v>
      </c>
      <c r="N34" s="17" t="str">
        <f>IFERROR(IF(K34&gt;0, L34/K34, 0),"-")</f>
        <v>-</v>
      </c>
      <c r="O34" s="15">
        <v>185</v>
      </c>
      <c r="P34" s="16" t="s">
        <v>142</v>
      </c>
      <c r="Q34" s="15">
        <f>IF(OR(P34="-",P34="",P34=0),IF(O34="-","-",O34),O34-P34)</f>
        <v>185</v>
      </c>
      <c r="R34" s="17" t="str">
        <f>IFERROR(IF(O34&gt;0, P34/O34, 0),"-")</f>
        <v>-</v>
      </c>
      <c r="S34" s="15">
        <v>6975</v>
      </c>
      <c r="T34" s="15" t="s">
        <v>142</v>
      </c>
      <c r="U34" s="15" t="s">
        <v>142</v>
      </c>
      <c r="V34" s="16" t="s">
        <v>142</v>
      </c>
      <c r="W34" s="16" t="s">
        <v>142</v>
      </c>
      <c r="X34" s="21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3">
      <c r="B35" s="14" t="s">
        <v>27</v>
      </c>
      <c r="C35" s="15">
        <v>2921</v>
      </c>
      <c r="D35" s="16">
        <v>2822</v>
      </c>
      <c r="E35" s="15">
        <f>IF(OR(D35="-",D35="",D35=0),IF(C35="-","-",C35),C35-D35)</f>
        <v>99</v>
      </c>
      <c r="F35" s="17">
        <f>IFERROR(IF(C35&gt;0, D35/C35, 0),"-")</f>
        <v>0.96610749743238622</v>
      </c>
      <c r="G35" s="15">
        <v>26</v>
      </c>
      <c r="H35" s="16" t="s">
        <v>142</v>
      </c>
      <c r="I35" s="15">
        <f>IF(OR(H35="-",H35="",H35=0),IF(G35="-","-",G35),G35-H35)</f>
        <v>26</v>
      </c>
      <c r="J35" s="17" t="str">
        <f>IFERROR(IF(G35&gt;0, H35/G35, 0),"-")</f>
        <v>-</v>
      </c>
      <c r="K35" s="15">
        <v>17</v>
      </c>
      <c r="L35" s="16" t="s">
        <v>142</v>
      </c>
      <c r="M35" s="15">
        <f>IF(OR(L35="-",L35="",L35=0),IF(K35="-","-",K35),K35-L35)</f>
        <v>17</v>
      </c>
      <c r="N35" s="17" t="str">
        <f>IFERROR(IF(K35&gt;0, L35/K35, 0),"-")</f>
        <v>-</v>
      </c>
      <c r="O35" s="15">
        <v>44</v>
      </c>
      <c r="P35" s="16" t="s">
        <v>142</v>
      </c>
      <c r="Q35" s="15">
        <f>IF(OR(P35="-",P35="",P35=0),IF(O35="-","-",O35),O35-P35)</f>
        <v>44</v>
      </c>
      <c r="R35" s="17" t="str">
        <f>IFERROR(IF(O35&gt;0, P35/O35, 0),"-")</f>
        <v>-</v>
      </c>
      <c r="S35" s="15">
        <v>2509</v>
      </c>
      <c r="T35" s="15" t="s">
        <v>142</v>
      </c>
      <c r="U35" s="15" t="s">
        <v>142</v>
      </c>
      <c r="V35" s="16" t="s">
        <v>142</v>
      </c>
      <c r="W35" s="16" t="s">
        <v>142</v>
      </c>
      <c r="X35" s="21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3">
      <c r="B36" s="14" t="s">
        <v>14</v>
      </c>
      <c r="C36" s="15">
        <v>5938</v>
      </c>
      <c r="D36" s="16">
        <v>5736</v>
      </c>
      <c r="E36" s="15">
        <f>IF(OR(D36="-",D36="",D36=0),IF(C36="-","-",C36),C36-D36)</f>
        <v>202</v>
      </c>
      <c r="F36" s="17">
        <f>IFERROR(IF(C36&gt;0, D36/C36, 0),"-")</f>
        <v>0.96598181205793199</v>
      </c>
      <c r="G36" s="15">
        <v>33</v>
      </c>
      <c r="H36" s="16" t="s">
        <v>142</v>
      </c>
      <c r="I36" s="15">
        <f>IF(OR(H36="-",H36="",H36=0),IF(G36="-","-",G36),G36-H36)</f>
        <v>33</v>
      </c>
      <c r="J36" s="17" t="str">
        <f>IFERROR(IF(G36&gt;0, H36/G36, 0),"-")</f>
        <v>-</v>
      </c>
      <c r="K36" s="15">
        <v>26</v>
      </c>
      <c r="L36" s="16" t="s">
        <v>142</v>
      </c>
      <c r="M36" s="15">
        <f>IF(OR(L36="-",L36="",L36=0),IF(K36="-","-",K36),K36-L36)</f>
        <v>26</v>
      </c>
      <c r="N36" s="17" t="str">
        <f>IFERROR(IF(K36&gt;0, L36/K36, 0),"-")</f>
        <v>-</v>
      </c>
      <c r="O36" s="15">
        <v>67</v>
      </c>
      <c r="P36" s="16" t="s">
        <v>142</v>
      </c>
      <c r="Q36" s="15">
        <f>IF(OR(P36="-",P36="",P36=0),IF(O36="-","-",O36),O36-P36)</f>
        <v>67</v>
      </c>
      <c r="R36" s="17" t="str">
        <f>IFERROR(IF(O36&gt;0, P36/O36, 0),"-")</f>
        <v>-</v>
      </c>
      <c r="S36" s="15">
        <v>5144</v>
      </c>
      <c r="T36" s="15" t="s">
        <v>142</v>
      </c>
      <c r="U36" s="15" t="s">
        <v>142</v>
      </c>
      <c r="V36" s="16" t="s">
        <v>142</v>
      </c>
      <c r="W36" s="16" t="s">
        <v>142</v>
      </c>
      <c r="X36" s="21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3">
      <c r="B37" s="14" t="s">
        <v>3</v>
      </c>
      <c r="C37" s="15">
        <v>3141</v>
      </c>
      <c r="D37" s="16">
        <v>3032</v>
      </c>
      <c r="E37" s="15">
        <f>IF(OR(D37="-",D37="",D37=0),IF(C37="-","-",C37),C37-D37)</f>
        <v>109</v>
      </c>
      <c r="F37" s="17">
        <f>IFERROR(IF(C37&gt;0, D37/C37, 0),"-")</f>
        <v>0.96529767589939508</v>
      </c>
      <c r="G37" s="15">
        <v>44</v>
      </c>
      <c r="H37" s="16" t="s">
        <v>142</v>
      </c>
      <c r="I37" s="15">
        <f>IF(OR(H37="-",H37="",H37=0),IF(G37="-","-",G37),G37-H37)</f>
        <v>44</v>
      </c>
      <c r="J37" s="17" t="str">
        <f>IFERROR(IF(G37&gt;0, H37/G37, 0),"-")</f>
        <v>-</v>
      </c>
      <c r="K37" s="15">
        <v>21</v>
      </c>
      <c r="L37" s="16" t="s">
        <v>142</v>
      </c>
      <c r="M37" s="15">
        <f>IF(OR(L37="-",L37="",L37=0),IF(K37="-","-",K37),K37-L37)</f>
        <v>21</v>
      </c>
      <c r="N37" s="17" t="str">
        <f>IFERROR(IF(K37&gt;0, L37/K37, 0),"-")</f>
        <v>-</v>
      </c>
      <c r="O37" s="15">
        <v>20</v>
      </c>
      <c r="P37" s="16" t="s">
        <v>142</v>
      </c>
      <c r="Q37" s="15">
        <f>IF(OR(P37="-",P37="",P37=0),IF(O37="-","-",O37),O37-P37)</f>
        <v>20</v>
      </c>
      <c r="R37" s="17" t="str">
        <f>IFERROR(IF(O37&gt;0, P37/O37, 0),"-")</f>
        <v>-</v>
      </c>
      <c r="S37" s="15">
        <v>3482</v>
      </c>
      <c r="T37" s="15" t="s">
        <v>142</v>
      </c>
      <c r="U37" s="15" t="s">
        <v>142</v>
      </c>
      <c r="V37" s="16" t="s">
        <v>142</v>
      </c>
      <c r="W37" s="16" t="s">
        <v>142</v>
      </c>
      <c r="X37" s="21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3">
      <c r="B38" s="14" t="s">
        <v>20</v>
      </c>
      <c r="C38" s="15">
        <v>5335</v>
      </c>
      <c r="D38" s="16">
        <v>5145</v>
      </c>
      <c r="E38" s="15">
        <f>IF(OR(D38="-",D38="",D38=0),IF(C38="-","-",C38),C38-D38)</f>
        <v>190</v>
      </c>
      <c r="F38" s="17">
        <f>IFERROR(IF(C38&gt;0, D38/C38, 0),"-")</f>
        <v>0.9643861293345829</v>
      </c>
      <c r="G38" s="15">
        <v>59</v>
      </c>
      <c r="H38" s="16" t="s">
        <v>142</v>
      </c>
      <c r="I38" s="15">
        <f>IF(OR(H38="-",H38="",H38=0),IF(G38="-","-",G38),G38-H38)</f>
        <v>59</v>
      </c>
      <c r="J38" s="17" t="str">
        <f>IFERROR(IF(G38&gt;0, H38/G38, 0),"-")</f>
        <v>-</v>
      </c>
      <c r="K38" s="15">
        <v>38</v>
      </c>
      <c r="L38" s="16" t="s">
        <v>142</v>
      </c>
      <c r="M38" s="15">
        <f>IF(OR(L38="-",L38="",L38=0),IF(K38="-","-",K38),K38-L38)</f>
        <v>38</v>
      </c>
      <c r="N38" s="17" t="str">
        <f>IFERROR(IF(K38&gt;0, L38/K38, 0),"-")</f>
        <v>-</v>
      </c>
      <c r="O38" s="15">
        <v>59</v>
      </c>
      <c r="P38" s="16" t="s">
        <v>142</v>
      </c>
      <c r="Q38" s="15">
        <f>IF(OR(P38="-",P38="",P38=0),IF(O38="-","-",O38),O38-P38)</f>
        <v>59</v>
      </c>
      <c r="R38" s="17" t="str">
        <f>IFERROR(IF(O38&gt;0, P38/O38, 0),"-")</f>
        <v>-</v>
      </c>
      <c r="S38" s="15">
        <v>4977</v>
      </c>
      <c r="T38" s="15" t="s">
        <v>142</v>
      </c>
      <c r="U38" s="15" t="s">
        <v>142</v>
      </c>
      <c r="V38" s="16" t="s">
        <v>142</v>
      </c>
      <c r="W38" s="16" t="s">
        <v>142</v>
      </c>
      <c r="X38" s="21">
        <f>RANK(F38,$F$19:$F$48,0)</f>
        <v>20</v>
      </c>
      <c r="Y38" s="3" t="str">
        <f>IF(OR(ISERROR(F38),F38="-",NOT(ISNUMBER(F38))),"● N/A",IF(ROUND(F38, 4) &gt;= ROUND($F$49, 4),"▲ Above Average","▼ Below Average"))</f>
        <v>▼ Below Average</v>
      </c>
    </row>
    <row r="39" spans="2:25" x14ac:dyDescent="0.3">
      <c r="B39" s="14" t="s">
        <v>21</v>
      </c>
      <c r="C39" s="15">
        <v>5596</v>
      </c>
      <c r="D39" s="16">
        <v>5377</v>
      </c>
      <c r="E39" s="15">
        <f>IF(OR(D39="-",D39="",D39=0),IF(C39="-","-",C39),C39-D39)</f>
        <v>219</v>
      </c>
      <c r="F39" s="17">
        <f>IFERROR(IF(C39&gt;0, D39/C39, 0),"-")</f>
        <v>0.96086490350250175</v>
      </c>
      <c r="G39" s="15">
        <v>52</v>
      </c>
      <c r="H39" s="16" t="s">
        <v>142</v>
      </c>
      <c r="I39" s="15">
        <f>IF(OR(H39="-",H39="",H39=0),IF(G39="-","-",G39),G39-H39)</f>
        <v>52</v>
      </c>
      <c r="J39" s="17" t="str">
        <f>IFERROR(IF(G39&gt;0, H39/G39, 0),"-")</f>
        <v>-</v>
      </c>
      <c r="K39" s="15">
        <v>72</v>
      </c>
      <c r="L39" s="16" t="s">
        <v>142</v>
      </c>
      <c r="M39" s="15">
        <f>IF(OR(L39="-",L39="",L39=0),IF(K39="-","-",K39),K39-L39)</f>
        <v>72</v>
      </c>
      <c r="N39" s="17" t="str">
        <f>IFERROR(IF(K39&gt;0, L39/K39, 0),"-")</f>
        <v>-</v>
      </c>
      <c r="O39" s="15">
        <v>98</v>
      </c>
      <c r="P39" s="16" t="s">
        <v>142</v>
      </c>
      <c r="Q39" s="15">
        <f>IF(OR(P39="-",P39="",P39=0),IF(O39="-","-",O39),O39-P39)</f>
        <v>98</v>
      </c>
      <c r="R39" s="17" t="str">
        <f>IFERROR(IF(O39&gt;0, P39/O39, 0),"-")</f>
        <v>-</v>
      </c>
      <c r="S39" s="15">
        <v>4259</v>
      </c>
      <c r="T39" s="15" t="s">
        <v>142</v>
      </c>
      <c r="U39" s="15" t="s">
        <v>142</v>
      </c>
      <c r="V39" s="16" t="s">
        <v>142</v>
      </c>
      <c r="W39" s="16" t="s">
        <v>142</v>
      </c>
      <c r="X39" s="21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3">
      <c r="B40" s="14" t="s">
        <v>1</v>
      </c>
      <c r="C40" s="15">
        <v>6162</v>
      </c>
      <c r="D40" s="16">
        <v>5913</v>
      </c>
      <c r="E40" s="15">
        <f>IF(OR(D40="-",D40="",D40=0),IF(C40="-","-",C40),C40-D40)</f>
        <v>249</v>
      </c>
      <c r="F40" s="17">
        <f>IFERROR(IF(C40&gt;0, D40/C40, 0),"-")</f>
        <v>0.95959104186952293</v>
      </c>
      <c r="G40" s="15">
        <v>116</v>
      </c>
      <c r="H40" s="16" t="s">
        <v>142</v>
      </c>
      <c r="I40" s="15">
        <f>IF(OR(H40="-",H40="",H40=0),IF(G40="-","-",G40),G40-H40)</f>
        <v>116</v>
      </c>
      <c r="J40" s="17" t="str">
        <f>IFERROR(IF(G40&gt;0, H40/G40, 0),"-")</f>
        <v>-</v>
      </c>
      <c r="K40" s="15">
        <v>88</v>
      </c>
      <c r="L40" s="16" t="s">
        <v>142</v>
      </c>
      <c r="M40" s="15">
        <f>IF(OR(L40="-",L40="",L40=0),IF(K40="-","-",K40),K40-L40)</f>
        <v>88</v>
      </c>
      <c r="N40" s="17" t="str">
        <f>IFERROR(IF(K40&gt;0, L40/K40, 0),"-")</f>
        <v>-</v>
      </c>
      <c r="O40" s="15">
        <v>105</v>
      </c>
      <c r="P40" s="16" t="s">
        <v>142</v>
      </c>
      <c r="Q40" s="15">
        <f>IF(OR(P40="-",P40="",P40=0),IF(O40="-","-",O40),O40-P40)</f>
        <v>105</v>
      </c>
      <c r="R40" s="17" t="str">
        <f>IFERROR(IF(O40&gt;0, P40/O40, 0),"-")</f>
        <v>-</v>
      </c>
      <c r="S40" s="15">
        <v>6142</v>
      </c>
      <c r="T40" s="15" t="s">
        <v>142</v>
      </c>
      <c r="U40" s="15" t="s">
        <v>142</v>
      </c>
      <c r="V40" s="16" t="s">
        <v>142</v>
      </c>
      <c r="W40" s="16" t="s">
        <v>142</v>
      </c>
      <c r="X40" s="21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3">
      <c r="B41" s="14" t="s">
        <v>19</v>
      </c>
      <c r="C41" s="15">
        <v>6198</v>
      </c>
      <c r="D41" s="16">
        <v>5939</v>
      </c>
      <c r="E41" s="15">
        <f>IF(OR(D41="-",D41="",D41=0),IF(C41="-","-",C41),C41-D41)</f>
        <v>259</v>
      </c>
      <c r="F41" s="17">
        <f>IFERROR(IF(C41&gt;0, D41/C41, 0),"-")</f>
        <v>0.95821232655695388</v>
      </c>
      <c r="G41" s="15">
        <v>66</v>
      </c>
      <c r="H41" s="16" t="s">
        <v>142</v>
      </c>
      <c r="I41" s="15">
        <f>IF(OR(H41="-",H41="",H41=0),IF(G41="-","-",G41),G41-H41)</f>
        <v>66</v>
      </c>
      <c r="J41" s="17" t="str">
        <f>IFERROR(IF(G41&gt;0, H41/G41, 0),"-")</f>
        <v>-</v>
      </c>
      <c r="K41" s="15">
        <v>79</v>
      </c>
      <c r="L41" s="16" t="s">
        <v>142</v>
      </c>
      <c r="M41" s="15">
        <f>IF(OR(L41="-",L41="",L41=0),IF(K41="-","-",K41),K41-L41)</f>
        <v>79</v>
      </c>
      <c r="N41" s="17" t="str">
        <f>IFERROR(IF(K41&gt;0, L41/K41, 0),"-")</f>
        <v>-</v>
      </c>
      <c r="O41" s="15">
        <v>112</v>
      </c>
      <c r="P41" s="16" t="s">
        <v>142</v>
      </c>
      <c r="Q41" s="15">
        <f>IF(OR(P41="-",P41="",P41=0),IF(O41="-","-",O41),O41-P41)</f>
        <v>112</v>
      </c>
      <c r="R41" s="17" t="str">
        <f>IFERROR(IF(O41&gt;0, P41/O41, 0),"-")</f>
        <v>-</v>
      </c>
      <c r="S41" s="15">
        <v>7973</v>
      </c>
      <c r="T41" s="15" t="s">
        <v>142</v>
      </c>
      <c r="U41" s="15" t="s">
        <v>142</v>
      </c>
      <c r="V41" s="16" t="s">
        <v>142</v>
      </c>
      <c r="W41" s="16" t="s">
        <v>142</v>
      </c>
      <c r="X41" s="21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3">
      <c r="B42" s="14" t="s">
        <v>18</v>
      </c>
      <c r="C42" s="15">
        <v>5871</v>
      </c>
      <c r="D42" s="16">
        <v>5610</v>
      </c>
      <c r="E42" s="15">
        <f>IF(OR(D42="-",D42="",D42=0),IF(C42="-","-",C42),C42-D42)</f>
        <v>261</v>
      </c>
      <c r="F42" s="17">
        <f>IFERROR(IF(C42&gt;0, D42/C42, 0),"-")</f>
        <v>0.95554420030659171</v>
      </c>
      <c r="G42" s="15">
        <v>92</v>
      </c>
      <c r="H42" s="16" t="s">
        <v>142</v>
      </c>
      <c r="I42" s="15">
        <f>IF(OR(H42="-",H42="",H42=0),IF(G42="-","-",G42),G42-H42)</f>
        <v>92</v>
      </c>
      <c r="J42" s="17" t="str">
        <f>IFERROR(IF(G42&gt;0, H42/G42, 0),"-")</f>
        <v>-</v>
      </c>
      <c r="K42" s="15">
        <v>85</v>
      </c>
      <c r="L42" s="16" t="s">
        <v>142</v>
      </c>
      <c r="M42" s="15">
        <f>IF(OR(L42="-",L42="",L42=0),IF(K42="-","-",K42),K42-L42)</f>
        <v>85</v>
      </c>
      <c r="N42" s="17" t="str">
        <f>IFERROR(IF(K42&gt;0, L42/K42, 0),"-")</f>
        <v>-</v>
      </c>
      <c r="O42" s="15">
        <v>94</v>
      </c>
      <c r="P42" s="16" t="s">
        <v>142</v>
      </c>
      <c r="Q42" s="15">
        <f>IF(OR(P42="-",P42="",P42=0),IF(O42="-","-",O42),O42-P42)</f>
        <v>94</v>
      </c>
      <c r="R42" s="17" t="str">
        <f>IFERROR(IF(O42&gt;0, P42/O42, 0),"-")</f>
        <v>-</v>
      </c>
      <c r="S42" s="15">
        <v>5902</v>
      </c>
      <c r="T42" s="15" t="s">
        <v>142</v>
      </c>
      <c r="U42" s="15" t="s">
        <v>142</v>
      </c>
      <c r="V42" s="16" t="s">
        <v>142</v>
      </c>
      <c r="W42" s="16" t="s">
        <v>142</v>
      </c>
      <c r="X42" s="21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3">
      <c r="B43" s="14" t="s">
        <v>8</v>
      </c>
      <c r="C43" s="15">
        <v>6594</v>
      </c>
      <c r="D43" s="16">
        <v>6299</v>
      </c>
      <c r="E43" s="15">
        <f>IF(OR(D43="-",D43="",D43=0),IF(C43="-","-",C43),C43-D43)</f>
        <v>295</v>
      </c>
      <c r="F43" s="17">
        <f>IFERROR(IF(C43&gt;0, D43/C43, 0),"-")</f>
        <v>0.95526235972095841</v>
      </c>
      <c r="G43" s="15">
        <v>66</v>
      </c>
      <c r="H43" s="16" t="s">
        <v>142</v>
      </c>
      <c r="I43" s="15">
        <f>IF(OR(H43="-",H43="",H43=0),IF(G43="-","-",G43),G43-H43)</f>
        <v>66</v>
      </c>
      <c r="J43" s="17" t="str">
        <f>IFERROR(IF(G43&gt;0, H43/G43, 0),"-")</f>
        <v>-</v>
      </c>
      <c r="K43" s="15">
        <v>76</v>
      </c>
      <c r="L43" s="16" t="s">
        <v>142</v>
      </c>
      <c r="M43" s="15">
        <f>IF(OR(L43="-",L43="",L43=0),IF(K43="-","-",K43),K43-L43)</f>
        <v>76</v>
      </c>
      <c r="N43" s="17" t="str">
        <f>IFERROR(IF(K43&gt;0, L43/K43, 0),"-")</f>
        <v>-</v>
      </c>
      <c r="O43" s="15">
        <v>100</v>
      </c>
      <c r="P43" s="16" t="s">
        <v>142</v>
      </c>
      <c r="Q43" s="15">
        <f>IF(OR(P43="-",P43="",P43=0),IF(O43="-","-",O43),O43-P43)</f>
        <v>100</v>
      </c>
      <c r="R43" s="17" t="str">
        <f>IFERROR(IF(O43&gt;0, P43/O43, 0),"-")</f>
        <v>-</v>
      </c>
      <c r="S43" s="15">
        <v>4742</v>
      </c>
      <c r="T43" s="15" t="s">
        <v>142</v>
      </c>
      <c r="U43" s="15" t="s">
        <v>142</v>
      </c>
      <c r="V43" s="16" t="s">
        <v>142</v>
      </c>
      <c r="W43" s="16" t="s">
        <v>142</v>
      </c>
      <c r="X43" s="21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3">
      <c r="B44" s="14" t="s">
        <v>24</v>
      </c>
      <c r="C44" s="15">
        <v>4940</v>
      </c>
      <c r="D44" s="16">
        <v>4718</v>
      </c>
      <c r="E44" s="15">
        <f>IF(OR(D44="-",D44="",D44=0),IF(C44="-","-",C44),C44-D44)</f>
        <v>222</v>
      </c>
      <c r="F44" s="17">
        <f>IFERROR(IF(C44&gt;0, D44/C44, 0),"-")</f>
        <v>0.9550607287449393</v>
      </c>
      <c r="G44" s="15">
        <v>61</v>
      </c>
      <c r="H44" s="16" t="s">
        <v>142</v>
      </c>
      <c r="I44" s="15">
        <f>IF(OR(H44="-",H44="",H44=0),IF(G44="-","-",G44),G44-H44)</f>
        <v>61</v>
      </c>
      <c r="J44" s="17" t="str">
        <f>IFERROR(IF(G44&gt;0, H44/G44, 0),"-")</f>
        <v>-</v>
      </c>
      <c r="K44" s="15">
        <v>53</v>
      </c>
      <c r="L44" s="16" t="s">
        <v>142</v>
      </c>
      <c r="M44" s="15">
        <f>IF(OR(L44="-",L44="",L44=0),IF(K44="-","-",K44),K44-L44)</f>
        <v>53</v>
      </c>
      <c r="N44" s="17" t="str">
        <f>IFERROR(IF(K44&gt;0, L44/K44, 0),"-")</f>
        <v>-</v>
      </c>
      <c r="O44" s="15">
        <v>75</v>
      </c>
      <c r="P44" s="16" t="s">
        <v>142</v>
      </c>
      <c r="Q44" s="15">
        <f>IF(OR(P44="-",P44="",P44=0),IF(O44="-","-",O44),O44-P44)</f>
        <v>75</v>
      </c>
      <c r="R44" s="17" t="str">
        <f>IFERROR(IF(O44&gt;0, P44/O44, 0),"-")</f>
        <v>-</v>
      </c>
      <c r="S44" s="15">
        <v>6045</v>
      </c>
      <c r="T44" s="15" t="s">
        <v>142</v>
      </c>
      <c r="U44" s="15" t="s">
        <v>142</v>
      </c>
      <c r="V44" s="16" t="s">
        <v>142</v>
      </c>
      <c r="W44" s="16" t="s">
        <v>142</v>
      </c>
      <c r="X44" s="21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3">
      <c r="B45" s="14" t="s">
        <v>6</v>
      </c>
      <c r="C45" s="15">
        <v>5026</v>
      </c>
      <c r="D45" s="16">
        <v>4798</v>
      </c>
      <c r="E45" s="15">
        <f>IF(OR(D45="-",D45="",D45=0),IF(C45="-","-",C45),C45-D45)</f>
        <v>228</v>
      </c>
      <c r="F45" s="17">
        <f>IFERROR(IF(C45&gt;0, D45/C45, 0),"-")</f>
        <v>0.95463589335455634</v>
      </c>
      <c r="G45" s="15">
        <v>84</v>
      </c>
      <c r="H45" s="16" t="s">
        <v>142</v>
      </c>
      <c r="I45" s="15">
        <f>IF(OR(H45="-",H45="",H45=0),IF(G45="-","-",G45),G45-H45)</f>
        <v>84</v>
      </c>
      <c r="J45" s="17" t="str">
        <f>IFERROR(IF(G45&gt;0, H45/G45, 0),"-")</f>
        <v>-</v>
      </c>
      <c r="K45" s="15">
        <v>86</v>
      </c>
      <c r="L45" s="16" t="s">
        <v>142</v>
      </c>
      <c r="M45" s="15">
        <f>IF(OR(L45="-",L45="",L45=0),IF(K45="-","-",K45),K45-L45)</f>
        <v>86</v>
      </c>
      <c r="N45" s="17" t="str">
        <f>IFERROR(IF(K45&gt;0, L45/K45, 0),"-")</f>
        <v>-</v>
      </c>
      <c r="O45" s="15">
        <v>97</v>
      </c>
      <c r="P45" s="16" t="s">
        <v>142</v>
      </c>
      <c r="Q45" s="15">
        <f>IF(OR(P45="-",P45="",P45=0),IF(O45="-","-",O45),O45-P45)</f>
        <v>97</v>
      </c>
      <c r="R45" s="17" t="str">
        <f>IFERROR(IF(O45&gt;0, P45/O45, 0),"-")</f>
        <v>-</v>
      </c>
      <c r="S45" s="15">
        <v>3752</v>
      </c>
      <c r="T45" s="15" t="s">
        <v>142</v>
      </c>
      <c r="U45" s="15" t="s">
        <v>142</v>
      </c>
      <c r="V45" s="16" t="s">
        <v>142</v>
      </c>
      <c r="W45" s="16" t="s">
        <v>142</v>
      </c>
      <c r="X45" s="21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3">
      <c r="B46" s="14" t="s">
        <v>29</v>
      </c>
      <c r="C46" s="15">
        <v>2314</v>
      </c>
      <c r="D46" s="16">
        <v>2165</v>
      </c>
      <c r="E46" s="15">
        <f>IF(OR(D46="-",D46="",D46=0),IF(C46="-","-",C46),C46-D46)</f>
        <v>149</v>
      </c>
      <c r="F46" s="17">
        <f>IFERROR(IF(C46&gt;0, D46/C46, 0),"-")</f>
        <v>0.93560933448573902</v>
      </c>
      <c r="G46" s="15">
        <v>61</v>
      </c>
      <c r="H46" s="16" t="s">
        <v>142</v>
      </c>
      <c r="I46" s="15">
        <f>IF(OR(H46="-",H46="",H46=0),IF(G46="-","-",G46),G46-H46)</f>
        <v>61</v>
      </c>
      <c r="J46" s="17" t="str">
        <f>IFERROR(IF(G46&gt;0, H46/G46, 0),"-")</f>
        <v>-</v>
      </c>
      <c r="K46" s="15">
        <v>24</v>
      </c>
      <c r="L46" s="16" t="s">
        <v>142</v>
      </c>
      <c r="M46" s="15">
        <f>IF(OR(L46="-",L46="",L46=0),IF(K46="-","-",K46),K46-L46)</f>
        <v>24</v>
      </c>
      <c r="N46" s="17" t="str">
        <f>IFERROR(IF(K46&gt;0, L46/K46, 0),"-")</f>
        <v>-</v>
      </c>
      <c r="O46" s="15">
        <v>19</v>
      </c>
      <c r="P46" s="16" t="s">
        <v>142</v>
      </c>
      <c r="Q46" s="15">
        <f>IF(OR(P46="-",P46="",P46=0),IF(O46="-","-",O46),O46-P46)</f>
        <v>19</v>
      </c>
      <c r="R46" s="17" t="str">
        <f>IFERROR(IF(O46&gt;0, P46/O46, 0),"-")</f>
        <v>-</v>
      </c>
      <c r="S46" s="15">
        <v>32</v>
      </c>
      <c r="T46" s="15" t="s">
        <v>142</v>
      </c>
      <c r="U46" s="15" t="s">
        <v>142</v>
      </c>
      <c r="V46" s="16" t="s">
        <v>142</v>
      </c>
      <c r="W46" s="16" t="s">
        <v>142</v>
      </c>
      <c r="X46" s="21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3">
      <c r="B47" s="14" t="s">
        <v>28</v>
      </c>
      <c r="C47" s="15">
        <v>2597</v>
      </c>
      <c r="D47" s="16">
        <v>2420</v>
      </c>
      <c r="E47" s="15">
        <f>IF(OR(D47="-",D47="",D47=0),IF(C47="-","-",C47),C47-D47)</f>
        <v>177</v>
      </c>
      <c r="F47" s="17">
        <f>IFERROR(IF(C47&gt;0, D47/C47, 0),"-")</f>
        <v>0.93184443588756261</v>
      </c>
      <c r="G47" s="15">
        <v>92</v>
      </c>
      <c r="H47" s="16" t="s">
        <v>142</v>
      </c>
      <c r="I47" s="15">
        <f>IF(OR(H47="-",H47="",H47=0),IF(G47="-","-",G47),G47-H47)</f>
        <v>92</v>
      </c>
      <c r="J47" s="17" t="str">
        <f>IFERROR(IF(G47&gt;0, H47/G47, 0),"-")</f>
        <v>-</v>
      </c>
      <c r="K47" s="15">
        <v>30</v>
      </c>
      <c r="L47" s="16" t="s">
        <v>142</v>
      </c>
      <c r="M47" s="15">
        <f>IF(OR(L47="-",L47="",L47=0),IF(K47="-","-",K47),K47-L47)</f>
        <v>30</v>
      </c>
      <c r="N47" s="17" t="str">
        <f>IFERROR(IF(K47&gt;0, L47/K47, 0),"-")</f>
        <v>-</v>
      </c>
      <c r="O47" s="15">
        <v>29</v>
      </c>
      <c r="P47" s="16" t="s">
        <v>142</v>
      </c>
      <c r="Q47" s="15">
        <f>IF(OR(P47="-",P47="",P47=0),IF(O47="-","-",O47),O47-P47)</f>
        <v>29</v>
      </c>
      <c r="R47" s="17" t="str">
        <f>IFERROR(IF(O47&gt;0, P47/O47, 0),"-")</f>
        <v>-</v>
      </c>
      <c r="S47" s="15">
        <v>38</v>
      </c>
      <c r="T47" s="15" t="s">
        <v>142</v>
      </c>
      <c r="U47" s="15" t="s">
        <v>142</v>
      </c>
      <c r="V47" s="16" t="s">
        <v>142</v>
      </c>
      <c r="W47" s="16" t="s">
        <v>142</v>
      </c>
      <c r="X47" s="21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3">
      <c r="B48" s="14" t="s">
        <v>15</v>
      </c>
      <c r="C48" s="15">
        <v>4124</v>
      </c>
      <c r="D48" s="16">
        <v>3840</v>
      </c>
      <c r="E48" s="15">
        <f>IF(OR(D48="-",D48="",D48=0),IF(C48="-","-",C48),C48-D48)</f>
        <v>284</v>
      </c>
      <c r="F48" s="17">
        <f>IFERROR(IF(C48&gt;0, D48/C48, 0),"-")</f>
        <v>0.93113482056256058</v>
      </c>
      <c r="G48" s="15">
        <v>57</v>
      </c>
      <c r="H48" s="16" t="s">
        <v>142</v>
      </c>
      <c r="I48" s="15">
        <f>IF(OR(H48="-",H48="",H48=0),IF(G48="-","-",G48),G48-H48)</f>
        <v>57</v>
      </c>
      <c r="J48" s="17" t="str">
        <f>IFERROR(IF(G48&gt;0, H48/G48, 0),"-")</f>
        <v>-</v>
      </c>
      <c r="K48" s="15">
        <v>16</v>
      </c>
      <c r="L48" s="16" t="s">
        <v>142</v>
      </c>
      <c r="M48" s="15">
        <f>IF(OR(L48="-",L48="",L48=0),IF(K48="-","-",K48),K48-L48)</f>
        <v>16</v>
      </c>
      <c r="N48" s="17" t="str">
        <f>IFERROR(IF(K48&gt;0, L48/K48, 0),"-")</f>
        <v>-</v>
      </c>
      <c r="O48" s="15">
        <v>36</v>
      </c>
      <c r="P48" s="16" t="s">
        <v>142</v>
      </c>
      <c r="Q48" s="15">
        <f>IF(OR(P48="-",P48="",P48=0),IF(O48="-","-",O48),O48-P48)</f>
        <v>36</v>
      </c>
      <c r="R48" s="17" t="str">
        <f>IFERROR(IF(O48&gt;0, P48/O48, 0),"-")</f>
        <v>-</v>
      </c>
      <c r="S48" s="15">
        <v>3239</v>
      </c>
      <c r="T48" s="15" t="s">
        <v>142</v>
      </c>
      <c r="U48" s="15" t="s">
        <v>142</v>
      </c>
      <c r="V48" s="16" t="s">
        <v>142</v>
      </c>
      <c r="W48" s="16" t="s">
        <v>142</v>
      </c>
      <c r="X48" s="21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3">
      <c r="B49" s="12" t="s">
        <v>138</v>
      </c>
      <c r="C49" s="13">
        <f>SUM(C19:C48)</f>
        <v>141701</v>
      </c>
      <c r="D49" s="13">
        <f>SUM(D19:D48)</f>
        <v>136745</v>
      </c>
      <c r="E49" s="13">
        <f>C49-D49</f>
        <v>4956</v>
      </c>
      <c r="F49" s="18">
        <f>IF(C49&gt;0, D49/C49, 0)</f>
        <v>0.965024946895223</v>
      </c>
      <c r="G49" s="13">
        <f>SUM(G19:G48)</f>
        <v>1797</v>
      </c>
      <c r="H49" s="13">
        <f>SUM(H19:H48)</f>
        <v>0</v>
      </c>
      <c r="I49" s="13">
        <f>G49-H49</f>
        <v>1797</v>
      </c>
      <c r="J49" s="18">
        <f>IF(G49&gt;0, H49/G49, 0)</f>
        <v>0</v>
      </c>
      <c r="K49" s="13">
        <f>SUM(K19:K48)</f>
        <v>1627</v>
      </c>
      <c r="L49" s="13">
        <f>SUM(L19:L48)</f>
        <v>0</v>
      </c>
      <c r="M49" s="13">
        <f>K49-L49</f>
        <v>1627</v>
      </c>
      <c r="N49" s="18">
        <f>IF(K49&gt;0, L49/K49, 0)</f>
        <v>0</v>
      </c>
      <c r="O49" s="13">
        <f>SUM(O19:O48)</f>
        <v>2258</v>
      </c>
      <c r="P49" s="13">
        <f>SUM(P19:P48)</f>
        <v>0</v>
      </c>
      <c r="Q49" s="13">
        <f>O49-P49</f>
        <v>2258</v>
      </c>
      <c r="R49" s="18">
        <f>IF(O49&gt;0, P49/O49, 0)</f>
        <v>0</v>
      </c>
      <c r="S49" s="13">
        <f>SUM(S19:S48)</f>
        <v>118305</v>
      </c>
      <c r="T49" s="13">
        <f>SUM(T19:T48)</f>
        <v>0</v>
      </c>
      <c r="U49" s="13">
        <f>SUM(U19:U48)</f>
        <v>0</v>
      </c>
      <c r="V49" s="13">
        <f>SUM(V19:V48)</f>
        <v>0</v>
      </c>
      <c r="W49" s="13">
        <f>SUM(W19:W48)</f>
        <v>0</v>
      </c>
      <c r="X49" s="22" t="s">
        <v>142</v>
      </c>
      <c r="Y49" s="22" t="s">
        <v>142</v>
      </c>
    </row>
    <row r="53" spans="2:25" x14ac:dyDescent="0.3">
      <c r="B53" s="2" t="s">
        <v>163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3">
      <c r="B54" s="4" t="s">
        <v>139</v>
      </c>
      <c r="C54" s="2" t="s">
        <v>154</v>
      </c>
      <c r="D54" s="2"/>
      <c r="E54" s="2"/>
      <c r="F54" s="2"/>
      <c r="G54" s="2" t="s">
        <v>155</v>
      </c>
      <c r="H54" s="2"/>
      <c r="I54" s="2"/>
      <c r="J54" s="2"/>
      <c r="K54" s="2" t="s">
        <v>156</v>
      </c>
      <c r="L54" s="2"/>
      <c r="M54" s="2"/>
      <c r="N54" s="2"/>
      <c r="O54" s="2" t="s">
        <v>145</v>
      </c>
      <c r="P54" s="2"/>
      <c r="Q54" s="2"/>
      <c r="R54" s="2"/>
      <c r="S54" s="2" t="s">
        <v>136</v>
      </c>
      <c r="T54" s="2"/>
      <c r="U54" s="2"/>
      <c r="V54" s="2"/>
      <c r="W54" s="2"/>
      <c r="X54" s="5" t="s">
        <v>157</v>
      </c>
      <c r="Y54" s="5"/>
    </row>
    <row r="55" spans="2:25" x14ac:dyDescent="0.3">
      <c r="B55" s="4"/>
      <c r="C55" s="6" t="s">
        <v>146</v>
      </c>
      <c r="D55" s="7" t="s">
        <v>158</v>
      </c>
      <c r="E55" s="6" t="s">
        <v>140</v>
      </c>
      <c r="F55" s="8" t="s">
        <v>141</v>
      </c>
      <c r="G55" s="6" t="s">
        <v>146</v>
      </c>
      <c r="H55" s="7" t="s">
        <v>158</v>
      </c>
      <c r="I55" s="6" t="s">
        <v>159</v>
      </c>
      <c r="J55" s="8" t="s">
        <v>141</v>
      </c>
      <c r="K55" s="6" t="s">
        <v>146</v>
      </c>
      <c r="L55" s="7" t="s">
        <v>158</v>
      </c>
      <c r="M55" s="6" t="s">
        <v>159</v>
      </c>
      <c r="N55" s="8" t="s">
        <v>141</v>
      </c>
      <c r="O55" s="6" t="s">
        <v>146</v>
      </c>
      <c r="P55" s="7" t="s">
        <v>158</v>
      </c>
      <c r="Q55" s="6" t="s">
        <v>159</v>
      </c>
      <c r="R55" s="8" t="s">
        <v>141</v>
      </c>
      <c r="S55" s="6" t="s">
        <v>146</v>
      </c>
      <c r="T55" s="2" t="s">
        <v>147</v>
      </c>
      <c r="U55" s="2"/>
      <c r="V55" s="2" t="s">
        <v>148</v>
      </c>
      <c r="W55" s="2"/>
      <c r="X55" s="19" t="s">
        <v>160</v>
      </c>
      <c r="Y55" s="20" t="s">
        <v>161</v>
      </c>
    </row>
    <row r="56" spans="2:25" x14ac:dyDescent="0.3">
      <c r="C56" s="6"/>
      <c r="D56" s="7"/>
      <c r="E56" s="6"/>
      <c r="F56" s="8"/>
      <c r="G56" s="6"/>
      <c r="H56" s="7"/>
      <c r="I56" s="6"/>
      <c r="J56" s="8"/>
      <c r="K56" s="6"/>
      <c r="L56" s="7"/>
      <c r="M56" s="6"/>
      <c r="N56" s="8"/>
      <c r="O56" s="6"/>
      <c r="P56" s="7"/>
      <c r="Q56" s="6"/>
      <c r="R56" s="8"/>
      <c r="S56" s="6"/>
      <c r="T56" s="9" t="s">
        <v>149</v>
      </c>
      <c r="U56" s="9" t="s">
        <v>150</v>
      </c>
      <c r="V56" s="9" t="s">
        <v>149</v>
      </c>
      <c r="W56" s="9" t="s">
        <v>150</v>
      </c>
      <c r="X56" s="10"/>
      <c r="Y56" s="11"/>
    </row>
    <row r="57" spans="2:25" x14ac:dyDescent="0.3">
      <c r="B57" s="14" t="s">
        <v>116</v>
      </c>
      <c r="C57" s="15">
        <v>710</v>
      </c>
      <c r="D57" s="16">
        <v>705</v>
      </c>
      <c r="E57" s="15">
        <f>IF(OR(D57="-",D57="",D57=0),IF(C57="-","-",C57),C57-D57)</f>
        <v>5</v>
      </c>
      <c r="F57" s="17">
        <f>IFERROR(IF(C57&gt;0, D57/C57, 0),"-")</f>
        <v>0.99295774647887325</v>
      </c>
      <c r="G57" s="15">
        <v>4</v>
      </c>
      <c r="H57" s="16" t="s">
        <v>142</v>
      </c>
      <c r="I57" s="15">
        <f>IF(OR(H57="-",H57="",H57=0),IF(G57="-","-",G57),G57-H57)</f>
        <v>4</v>
      </c>
      <c r="J57" s="17" t="str">
        <f>IFERROR(IF(G57&gt;0, H57/G57, 0),"-")</f>
        <v>-</v>
      </c>
      <c r="K57" s="15" t="s">
        <v>142</v>
      </c>
      <c r="L57" s="16" t="s">
        <v>142</v>
      </c>
      <c r="M57" s="15" t="str">
        <f>IF(OR(L57="-",L57="",L57=0),IF(K57="-","-",K57),K57-L57)</f>
        <v>-</v>
      </c>
      <c r="N57" s="17" t="str">
        <f>IFERROR(IF(K57&gt;0, L57/K57, 0),"-")</f>
        <v>-</v>
      </c>
      <c r="O57" s="15">
        <v>2</v>
      </c>
      <c r="P57" s="16" t="s">
        <v>142</v>
      </c>
      <c r="Q57" s="15">
        <f>IF(OR(P57="-",P57="",P57=0),IF(O57="-","-",O57),O57-P57)</f>
        <v>2</v>
      </c>
      <c r="R57" s="17" t="str">
        <f>IFERROR(IF(O57&gt;0, P57/O57, 0),"-")</f>
        <v>-</v>
      </c>
      <c r="S57" s="15" t="s">
        <v>142</v>
      </c>
      <c r="T57" s="15" t="s">
        <v>142</v>
      </c>
      <c r="U57" s="15" t="s">
        <v>142</v>
      </c>
      <c r="V57" s="16" t="s">
        <v>142</v>
      </c>
      <c r="W57" s="16" t="s">
        <v>142</v>
      </c>
      <c r="X57" s="21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3">
      <c r="B58" s="14" t="s">
        <v>49</v>
      </c>
      <c r="C58" s="15">
        <v>992</v>
      </c>
      <c r="D58" s="16">
        <v>982</v>
      </c>
      <c r="E58" s="15">
        <f>IF(OR(D58="-",D58="",D58=0),IF(C58="-","-",C58),C58-D58)</f>
        <v>10</v>
      </c>
      <c r="F58" s="17">
        <f>IFERROR(IF(C58&gt;0, D58/C58, 0),"-")</f>
        <v>0.98991935483870963</v>
      </c>
      <c r="G58" s="15">
        <v>11</v>
      </c>
      <c r="H58" s="16" t="s">
        <v>142</v>
      </c>
      <c r="I58" s="15">
        <f>IF(OR(H58="-",H58="",H58=0),IF(G58="-","-",G58),G58-H58)</f>
        <v>11</v>
      </c>
      <c r="J58" s="17" t="str">
        <f>IFERROR(IF(G58&gt;0, H58/G58, 0),"-")</f>
        <v>-</v>
      </c>
      <c r="K58" s="15">
        <v>12</v>
      </c>
      <c r="L58" s="16" t="s">
        <v>142</v>
      </c>
      <c r="M58" s="15">
        <f>IF(OR(L58="-",L58="",L58=0),IF(K58="-","-",K58),K58-L58)</f>
        <v>12</v>
      </c>
      <c r="N58" s="17" t="str">
        <f>IFERROR(IF(K58&gt;0, L58/K58, 0),"-")</f>
        <v>-</v>
      </c>
      <c r="O58" s="15">
        <v>21</v>
      </c>
      <c r="P58" s="16" t="s">
        <v>142</v>
      </c>
      <c r="Q58" s="15">
        <f>IF(OR(P58="-",P58="",P58=0),IF(O58="-","-",O58),O58-P58)</f>
        <v>21</v>
      </c>
      <c r="R58" s="17" t="str">
        <f>IFERROR(IF(O58&gt;0, P58/O58, 0),"-")</f>
        <v>-</v>
      </c>
      <c r="S58" s="15">
        <v>1349</v>
      </c>
      <c r="T58" s="15" t="s">
        <v>142</v>
      </c>
      <c r="U58" s="15" t="s">
        <v>142</v>
      </c>
      <c r="V58" s="16" t="s">
        <v>142</v>
      </c>
      <c r="W58" s="16" t="s">
        <v>142</v>
      </c>
      <c r="X58" s="21">
        <f>RANK(F58,$F$57:$F$183,0)</f>
        <v>2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3">
      <c r="B59" s="14" t="s">
        <v>51</v>
      </c>
      <c r="C59" s="15">
        <v>1574</v>
      </c>
      <c r="D59" s="16">
        <v>1558</v>
      </c>
      <c r="E59" s="15">
        <f>IF(OR(D59="-",D59="",D59=0),IF(C59="-","-",C59),C59-D59)</f>
        <v>16</v>
      </c>
      <c r="F59" s="17">
        <f>IFERROR(IF(C59&gt;0, D59/C59, 0),"-")</f>
        <v>0.9898348157560356</v>
      </c>
      <c r="G59" s="15">
        <v>11</v>
      </c>
      <c r="H59" s="16" t="s">
        <v>142</v>
      </c>
      <c r="I59" s="15">
        <f>IF(OR(H59="-",H59="",H59=0),IF(G59="-","-",G59),G59-H59)</f>
        <v>11</v>
      </c>
      <c r="J59" s="17" t="str">
        <f>IFERROR(IF(G59&gt;0, H59/G59, 0),"-")</f>
        <v>-</v>
      </c>
      <c r="K59" s="15">
        <v>16</v>
      </c>
      <c r="L59" s="16" t="s">
        <v>142</v>
      </c>
      <c r="M59" s="15">
        <f>IF(OR(L59="-",L59="",L59=0),IF(K59="-","-",K59),K59-L59)</f>
        <v>16</v>
      </c>
      <c r="N59" s="17" t="str">
        <f>IFERROR(IF(K59&gt;0, L59/K59, 0),"-")</f>
        <v>-</v>
      </c>
      <c r="O59" s="15">
        <v>38</v>
      </c>
      <c r="P59" s="16" t="s">
        <v>142</v>
      </c>
      <c r="Q59" s="15">
        <f>IF(OR(P59="-",P59="",P59=0),IF(O59="-","-",O59),O59-P59)</f>
        <v>38</v>
      </c>
      <c r="R59" s="17" t="str">
        <f>IFERROR(IF(O59&gt;0, P59/O59, 0),"-")</f>
        <v>-</v>
      </c>
      <c r="S59" s="15">
        <v>819</v>
      </c>
      <c r="T59" s="15" t="s">
        <v>142</v>
      </c>
      <c r="U59" s="15" t="s">
        <v>142</v>
      </c>
      <c r="V59" s="16" t="s">
        <v>142</v>
      </c>
      <c r="W59" s="16" t="s">
        <v>142</v>
      </c>
      <c r="X59" s="21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3">
      <c r="B60" s="14" t="s">
        <v>73</v>
      </c>
      <c r="C60" s="15">
        <v>1073</v>
      </c>
      <c r="D60" s="16">
        <v>1062</v>
      </c>
      <c r="E60" s="15">
        <f>IF(OR(D60="-",D60="",D60=0),IF(C60="-","-",C60),C60-D60)</f>
        <v>11</v>
      </c>
      <c r="F60" s="17">
        <f>IFERROR(IF(C60&gt;0, D60/C60, 0),"-")</f>
        <v>0.98974836905871388</v>
      </c>
      <c r="G60" s="15">
        <v>11</v>
      </c>
      <c r="H60" s="16" t="s">
        <v>142</v>
      </c>
      <c r="I60" s="15">
        <f>IF(OR(H60="-",H60="",H60=0),IF(G60="-","-",G60),G60-H60)</f>
        <v>11</v>
      </c>
      <c r="J60" s="17" t="str">
        <f>IFERROR(IF(G60&gt;0, H60/G60, 0),"-")</f>
        <v>-</v>
      </c>
      <c r="K60" s="15">
        <v>9</v>
      </c>
      <c r="L60" s="16" t="s">
        <v>142</v>
      </c>
      <c r="M60" s="15">
        <f>IF(OR(L60="-",L60="",L60=0),IF(K60="-","-",K60),K60-L60)</f>
        <v>9</v>
      </c>
      <c r="N60" s="17" t="str">
        <f>IFERROR(IF(K60&gt;0, L60/K60, 0),"-")</f>
        <v>-</v>
      </c>
      <c r="O60" s="15">
        <v>15</v>
      </c>
      <c r="P60" s="16" t="s">
        <v>142</v>
      </c>
      <c r="Q60" s="15">
        <f>IF(OR(P60="-",P60="",P60=0),IF(O60="-","-",O60),O60-P60)</f>
        <v>15</v>
      </c>
      <c r="R60" s="17" t="str">
        <f>IFERROR(IF(O60&gt;0, P60/O60, 0),"-")</f>
        <v>-</v>
      </c>
      <c r="S60" s="15">
        <v>1269</v>
      </c>
      <c r="T60" s="15" t="s">
        <v>142</v>
      </c>
      <c r="U60" s="15" t="s">
        <v>142</v>
      </c>
      <c r="V60" s="16" t="s">
        <v>142</v>
      </c>
      <c r="W60" s="16" t="s">
        <v>142</v>
      </c>
      <c r="X60" s="21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3">
      <c r="B61" s="14" t="s">
        <v>60</v>
      </c>
      <c r="C61" s="15">
        <v>1753</v>
      </c>
      <c r="D61" s="16">
        <v>1729</v>
      </c>
      <c r="E61" s="15">
        <f>IF(OR(D61="-",D61="",D61=0),IF(C61="-","-",C61),C61-D61)</f>
        <v>24</v>
      </c>
      <c r="F61" s="17">
        <f>IFERROR(IF(C61&gt;0, D61/C61, 0),"-")</f>
        <v>0.98630918425556191</v>
      </c>
      <c r="G61" s="15">
        <v>33</v>
      </c>
      <c r="H61" s="16" t="s">
        <v>142</v>
      </c>
      <c r="I61" s="15">
        <f>IF(OR(H61="-",H61="",H61=0),IF(G61="-","-",G61),G61-H61)</f>
        <v>33</v>
      </c>
      <c r="J61" s="17" t="str">
        <f>IFERROR(IF(G61&gt;0, H61/G61, 0),"-")</f>
        <v>-</v>
      </c>
      <c r="K61" s="15">
        <v>25</v>
      </c>
      <c r="L61" s="16" t="s">
        <v>142</v>
      </c>
      <c r="M61" s="15">
        <f>IF(OR(L61="-",L61="",L61=0),IF(K61="-","-",K61),K61-L61)</f>
        <v>25</v>
      </c>
      <c r="N61" s="17" t="str">
        <f>IFERROR(IF(K61&gt;0, L61/K61, 0),"-")</f>
        <v>-</v>
      </c>
      <c r="O61" s="15">
        <v>26</v>
      </c>
      <c r="P61" s="16" t="s">
        <v>142</v>
      </c>
      <c r="Q61" s="15">
        <f>IF(OR(P61="-",P61="",P61=0),IF(O61="-","-",O61),O61-P61)</f>
        <v>26</v>
      </c>
      <c r="R61" s="17" t="str">
        <f>IFERROR(IF(O61&gt;0, P61/O61, 0),"-")</f>
        <v>-</v>
      </c>
      <c r="S61" s="15">
        <v>936</v>
      </c>
      <c r="T61" s="15" t="s">
        <v>142</v>
      </c>
      <c r="U61" s="15" t="s">
        <v>142</v>
      </c>
      <c r="V61" s="16" t="s">
        <v>142</v>
      </c>
      <c r="W61" s="16" t="s">
        <v>142</v>
      </c>
      <c r="X61" s="21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3">
      <c r="B62" s="14" t="s">
        <v>16</v>
      </c>
      <c r="C62" s="15">
        <v>871</v>
      </c>
      <c r="D62" s="16">
        <v>859</v>
      </c>
      <c r="E62" s="15">
        <f>IF(OR(D62="-",D62="",D62=0),IF(C62="-","-",C62),C62-D62)</f>
        <v>12</v>
      </c>
      <c r="F62" s="17">
        <f>IFERROR(IF(C62&gt;0, D62/C62, 0),"-")</f>
        <v>0.98622273249138925</v>
      </c>
      <c r="G62" s="15">
        <v>6</v>
      </c>
      <c r="H62" s="16" t="s">
        <v>142</v>
      </c>
      <c r="I62" s="15">
        <f>IF(OR(H62="-",H62="",H62=0),IF(G62="-","-",G62),G62-H62)</f>
        <v>6</v>
      </c>
      <c r="J62" s="17" t="str">
        <f>IFERROR(IF(G62&gt;0, H62/G62, 0),"-")</f>
        <v>-</v>
      </c>
      <c r="K62" s="15">
        <v>5</v>
      </c>
      <c r="L62" s="16" t="s">
        <v>142</v>
      </c>
      <c r="M62" s="15">
        <f>IF(OR(L62="-",L62="",L62=0),IF(K62="-","-",K62),K62-L62)</f>
        <v>5</v>
      </c>
      <c r="N62" s="17" t="str">
        <f>IFERROR(IF(K62&gt;0, L62/K62, 0),"-")</f>
        <v>-</v>
      </c>
      <c r="O62" s="15">
        <v>1</v>
      </c>
      <c r="P62" s="16" t="s">
        <v>142</v>
      </c>
      <c r="Q62" s="15">
        <f>IF(OR(P62="-",P62="",P62=0),IF(O62="-","-",O62),O62-P62)</f>
        <v>1</v>
      </c>
      <c r="R62" s="17" t="str">
        <f>IFERROR(IF(O62&gt;0, P62/O62, 0),"-")</f>
        <v>-</v>
      </c>
      <c r="S62" s="15">
        <v>1418</v>
      </c>
      <c r="T62" s="15" t="s">
        <v>142</v>
      </c>
      <c r="U62" s="15" t="s">
        <v>142</v>
      </c>
      <c r="V62" s="16" t="s">
        <v>142</v>
      </c>
      <c r="W62" s="16" t="s">
        <v>142</v>
      </c>
      <c r="X62" s="21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3">
      <c r="B63" s="14" t="s">
        <v>68</v>
      </c>
      <c r="C63" s="15">
        <v>861</v>
      </c>
      <c r="D63" s="16">
        <v>849</v>
      </c>
      <c r="E63" s="15">
        <f>IF(OR(D63="-",D63="",D63=0),IF(C63="-","-",C63),C63-D63)</f>
        <v>12</v>
      </c>
      <c r="F63" s="17">
        <f>IFERROR(IF(C63&gt;0, D63/C63, 0),"-")</f>
        <v>0.98606271777003485</v>
      </c>
      <c r="G63" s="15">
        <v>8</v>
      </c>
      <c r="H63" s="16" t="s">
        <v>142</v>
      </c>
      <c r="I63" s="15">
        <f>IF(OR(H63="-",H63="",H63=0),IF(G63="-","-",G63),G63-H63)</f>
        <v>8</v>
      </c>
      <c r="J63" s="17" t="str">
        <f>IFERROR(IF(G63&gt;0, H63/G63, 0),"-")</f>
        <v>-</v>
      </c>
      <c r="K63" s="15">
        <v>9</v>
      </c>
      <c r="L63" s="16" t="s">
        <v>142</v>
      </c>
      <c r="M63" s="15">
        <f>IF(OR(L63="-",L63="",L63=0),IF(K63="-","-",K63),K63-L63)</f>
        <v>9</v>
      </c>
      <c r="N63" s="17" t="str">
        <f>IFERROR(IF(K63&gt;0, L63/K63, 0),"-")</f>
        <v>-</v>
      </c>
      <c r="O63" s="15">
        <v>10</v>
      </c>
      <c r="P63" s="16" t="s">
        <v>142</v>
      </c>
      <c r="Q63" s="15">
        <f>IF(OR(P63="-",P63="",P63=0),IF(O63="-","-",O63),O63-P63)</f>
        <v>10</v>
      </c>
      <c r="R63" s="17" t="str">
        <f>IFERROR(IF(O63&gt;0, P63/O63, 0),"-")</f>
        <v>-</v>
      </c>
      <c r="S63" s="15">
        <v>878</v>
      </c>
      <c r="T63" s="15" t="s">
        <v>142</v>
      </c>
      <c r="U63" s="15" t="s">
        <v>142</v>
      </c>
      <c r="V63" s="16" t="s">
        <v>142</v>
      </c>
      <c r="W63" s="16" t="s">
        <v>142</v>
      </c>
      <c r="X63" s="21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3">
      <c r="B64" s="14" t="s">
        <v>109</v>
      </c>
      <c r="C64" s="15">
        <v>629</v>
      </c>
      <c r="D64" s="16">
        <v>619</v>
      </c>
      <c r="E64" s="15">
        <f>IF(OR(D64="-",D64="",D64=0),IF(C64="-","-",C64),C64-D64)</f>
        <v>10</v>
      </c>
      <c r="F64" s="17">
        <f>IFERROR(IF(C64&gt;0, D64/C64, 0),"-")</f>
        <v>0.98410174880763113</v>
      </c>
      <c r="G64" s="15">
        <v>6</v>
      </c>
      <c r="H64" s="16" t="s">
        <v>142</v>
      </c>
      <c r="I64" s="15">
        <f>IF(OR(H64="-",H64="",H64=0),IF(G64="-","-",G64),G64-H64)</f>
        <v>6</v>
      </c>
      <c r="J64" s="17" t="str">
        <f>IFERROR(IF(G64&gt;0, H64/G64, 0),"-")</f>
        <v>-</v>
      </c>
      <c r="K64" s="15">
        <v>8</v>
      </c>
      <c r="L64" s="16" t="s">
        <v>142</v>
      </c>
      <c r="M64" s="15">
        <f>IF(OR(L64="-",L64="",L64=0),IF(K64="-","-",K64),K64-L64)</f>
        <v>8</v>
      </c>
      <c r="N64" s="17" t="str">
        <f>IFERROR(IF(K64&gt;0, L64/K64, 0),"-")</f>
        <v>-</v>
      </c>
      <c r="O64" s="15">
        <v>8</v>
      </c>
      <c r="P64" s="16" t="s">
        <v>142</v>
      </c>
      <c r="Q64" s="15">
        <f>IF(OR(P64="-",P64="",P64=0),IF(O64="-","-",O64),O64-P64)</f>
        <v>8</v>
      </c>
      <c r="R64" s="17" t="str">
        <f>IFERROR(IF(O64&gt;0, P64/O64, 0),"-")</f>
        <v>-</v>
      </c>
      <c r="S64" s="15">
        <v>1091</v>
      </c>
      <c r="T64" s="15" t="s">
        <v>142</v>
      </c>
      <c r="U64" s="15" t="s">
        <v>142</v>
      </c>
      <c r="V64" s="16" t="s">
        <v>142</v>
      </c>
      <c r="W64" s="16" t="s">
        <v>142</v>
      </c>
      <c r="X64" s="21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3">
      <c r="B65" s="14" t="s">
        <v>129</v>
      </c>
      <c r="C65" s="15">
        <v>1313</v>
      </c>
      <c r="D65" s="16">
        <v>1292</v>
      </c>
      <c r="E65" s="15">
        <f>IF(OR(D65="-",D65="",D65=0),IF(C65="-","-",C65),C65-D65)</f>
        <v>21</v>
      </c>
      <c r="F65" s="17">
        <f>IFERROR(IF(C65&gt;0, D65/C65, 0),"-")</f>
        <v>0.98400609291698404</v>
      </c>
      <c r="G65" s="15">
        <v>15</v>
      </c>
      <c r="H65" s="16" t="s">
        <v>142</v>
      </c>
      <c r="I65" s="15">
        <f>IF(OR(H65="-",H65="",H65=0),IF(G65="-","-",G65),G65-H65)</f>
        <v>15</v>
      </c>
      <c r="J65" s="17" t="str">
        <f>IFERROR(IF(G65&gt;0, H65/G65, 0),"-")</f>
        <v>-</v>
      </c>
      <c r="K65" s="15">
        <v>12</v>
      </c>
      <c r="L65" s="16" t="s">
        <v>142</v>
      </c>
      <c r="M65" s="15">
        <f>IF(OR(L65="-",L65="",L65=0),IF(K65="-","-",K65),K65-L65)</f>
        <v>12</v>
      </c>
      <c r="N65" s="17" t="str">
        <f>IFERROR(IF(K65&gt;0, L65/K65, 0),"-")</f>
        <v>-</v>
      </c>
      <c r="O65" s="15">
        <v>12</v>
      </c>
      <c r="P65" s="16" t="s">
        <v>142</v>
      </c>
      <c r="Q65" s="15">
        <f>IF(OR(P65="-",P65="",P65=0),IF(O65="-","-",O65),O65-P65)</f>
        <v>12</v>
      </c>
      <c r="R65" s="17" t="str">
        <f>IFERROR(IF(O65&gt;0, P65/O65, 0),"-")</f>
        <v>-</v>
      </c>
      <c r="S65" s="15">
        <v>607</v>
      </c>
      <c r="T65" s="15" t="s">
        <v>142</v>
      </c>
      <c r="U65" s="15" t="s">
        <v>142</v>
      </c>
      <c r="V65" s="16" t="s">
        <v>142</v>
      </c>
      <c r="W65" s="16" t="s">
        <v>142</v>
      </c>
      <c r="X65" s="21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3">
      <c r="B66" s="14" t="s">
        <v>80</v>
      </c>
      <c r="C66" s="15">
        <v>774</v>
      </c>
      <c r="D66" s="16">
        <v>761</v>
      </c>
      <c r="E66" s="15">
        <f>IF(OR(D66="-",D66="",D66=0),IF(C66="-","-",C66),C66-D66)</f>
        <v>13</v>
      </c>
      <c r="F66" s="17">
        <f>IFERROR(IF(C66&gt;0, D66/C66, 0),"-")</f>
        <v>0.98320413436692511</v>
      </c>
      <c r="G66" s="15">
        <v>9</v>
      </c>
      <c r="H66" s="16" t="s">
        <v>142</v>
      </c>
      <c r="I66" s="15">
        <f>IF(OR(H66="-",H66="",H66=0),IF(G66="-","-",G66),G66-H66)</f>
        <v>9</v>
      </c>
      <c r="J66" s="17" t="str">
        <f>IFERROR(IF(G66&gt;0, H66/G66, 0),"-")</f>
        <v>-</v>
      </c>
      <c r="K66" s="15">
        <v>16</v>
      </c>
      <c r="L66" s="16" t="s">
        <v>142</v>
      </c>
      <c r="M66" s="15">
        <f>IF(OR(L66="-",L66="",L66=0),IF(K66="-","-",K66),K66-L66)</f>
        <v>16</v>
      </c>
      <c r="N66" s="17" t="str">
        <f>IFERROR(IF(K66&gt;0, L66/K66, 0),"-")</f>
        <v>-</v>
      </c>
      <c r="O66" s="15">
        <v>13</v>
      </c>
      <c r="P66" s="16" t="s">
        <v>142</v>
      </c>
      <c r="Q66" s="15">
        <f>IF(OR(P66="-",P66="",P66=0),IF(O66="-","-",O66),O66-P66)</f>
        <v>13</v>
      </c>
      <c r="R66" s="17" t="str">
        <f>IFERROR(IF(O66&gt;0, P66/O66, 0),"-")</f>
        <v>-</v>
      </c>
      <c r="S66" s="15">
        <v>918</v>
      </c>
      <c r="T66" s="15" t="s">
        <v>142</v>
      </c>
      <c r="U66" s="15" t="s">
        <v>142</v>
      </c>
      <c r="V66" s="16" t="s">
        <v>142</v>
      </c>
      <c r="W66" s="16" t="s">
        <v>142</v>
      </c>
      <c r="X66" s="21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3">
      <c r="B67" s="14" t="s">
        <v>108</v>
      </c>
      <c r="C67" s="15">
        <v>1233</v>
      </c>
      <c r="D67" s="16">
        <v>1211</v>
      </c>
      <c r="E67" s="15">
        <f>IF(OR(D67="-",D67="",D67=0),IF(C67="-","-",C67),C67-D67)</f>
        <v>22</v>
      </c>
      <c r="F67" s="17">
        <f>IFERROR(IF(C67&gt;0, D67/C67, 0),"-")</f>
        <v>0.98215733982157338</v>
      </c>
      <c r="G67" s="15">
        <v>7</v>
      </c>
      <c r="H67" s="16" t="s">
        <v>142</v>
      </c>
      <c r="I67" s="15">
        <f>IF(OR(H67="-",H67="",H67=0),IF(G67="-","-",G67),G67-H67)</f>
        <v>7</v>
      </c>
      <c r="J67" s="17" t="str">
        <f>IFERROR(IF(G67&gt;0, H67/G67, 0),"-")</f>
        <v>-</v>
      </c>
      <c r="K67" s="15">
        <v>10</v>
      </c>
      <c r="L67" s="16" t="s">
        <v>142</v>
      </c>
      <c r="M67" s="15">
        <f>IF(OR(L67="-",L67="",L67=0),IF(K67="-","-",K67),K67-L67)</f>
        <v>10</v>
      </c>
      <c r="N67" s="17" t="str">
        <f>IFERROR(IF(K67&gt;0, L67/K67, 0),"-")</f>
        <v>-</v>
      </c>
      <c r="O67" s="15">
        <v>23</v>
      </c>
      <c r="P67" s="16" t="s">
        <v>142</v>
      </c>
      <c r="Q67" s="15">
        <f>IF(OR(P67="-",P67="",P67=0),IF(O67="-","-",O67),O67-P67)</f>
        <v>23</v>
      </c>
      <c r="R67" s="17" t="str">
        <f>IFERROR(IF(O67&gt;0, P67/O67, 0),"-")</f>
        <v>-</v>
      </c>
      <c r="S67" s="15">
        <v>829</v>
      </c>
      <c r="T67" s="15" t="s">
        <v>142</v>
      </c>
      <c r="U67" s="15" t="s">
        <v>142</v>
      </c>
      <c r="V67" s="16" t="s">
        <v>142</v>
      </c>
      <c r="W67" s="16" t="s">
        <v>142</v>
      </c>
      <c r="X67" s="21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3">
      <c r="B68" s="14" t="s">
        <v>37</v>
      </c>
      <c r="C68" s="15">
        <v>1283</v>
      </c>
      <c r="D68" s="16">
        <v>1259</v>
      </c>
      <c r="E68" s="15">
        <f>IF(OR(D68="-",D68="",D68=0),IF(C68="-","-",C68),C68-D68)</f>
        <v>24</v>
      </c>
      <c r="F68" s="17">
        <f>IFERROR(IF(C68&gt;0, D68/C68, 0),"-")</f>
        <v>0.9812938425565082</v>
      </c>
      <c r="G68" s="15" t="s">
        <v>142</v>
      </c>
      <c r="H68" s="16" t="s">
        <v>142</v>
      </c>
      <c r="I68" s="15" t="str">
        <f>IF(OR(H68="-",H68="",H68=0),IF(G68="-","-",G68),G68-H68)</f>
        <v>-</v>
      </c>
      <c r="J68" s="17" t="str">
        <f>IFERROR(IF(G68&gt;0, H68/G68, 0),"-")</f>
        <v>-</v>
      </c>
      <c r="K68" s="15">
        <v>9</v>
      </c>
      <c r="L68" s="16" t="s">
        <v>142</v>
      </c>
      <c r="M68" s="15">
        <f>IF(OR(L68="-",L68="",L68=0),IF(K68="-","-",K68),K68-L68)</f>
        <v>9</v>
      </c>
      <c r="N68" s="17" t="str">
        <f>IFERROR(IF(K68&gt;0, L68/K68, 0),"-")</f>
        <v>-</v>
      </c>
      <c r="O68" s="15">
        <v>6</v>
      </c>
      <c r="P68" s="16" t="s">
        <v>142</v>
      </c>
      <c r="Q68" s="15">
        <f>IF(OR(P68="-",P68="",P68=0),IF(O68="-","-",O68),O68-P68)</f>
        <v>6</v>
      </c>
      <c r="R68" s="17" t="str">
        <f>IFERROR(IF(O68&gt;0, P68/O68, 0),"-")</f>
        <v>-</v>
      </c>
      <c r="S68" s="15">
        <v>357</v>
      </c>
      <c r="T68" s="15" t="s">
        <v>142</v>
      </c>
      <c r="U68" s="15" t="s">
        <v>142</v>
      </c>
      <c r="V68" s="16" t="s">
        <v>142</v>
      </c>
      <c r="W68" s="16" t="s">
        <v>142</v>
      </c>
      <c r="X68" s="21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3">
      <c r="B69" s="14" t="s">
        <v>42</v>
      </c>
      <c r="C69" s="15">
        <v>1469</v>
      </c>
      <c r="D69" s="16">
        <v>1441</v>
      </c>
      <c r="E69" s="15">
        <f>IF(OR(D69="-",D69="",D69=0),IF(C69="-","-",C69),C69-D69)</f>
        <v>28</v>
      </c>
      <c r="F69" s="17">
        <f>IFERROR(IF(C69&gt;0, D69/C69, 0),"-")</f>
        <v>0.98093941456773315</v>
      </c>
      <c r="G69" s="15">
        <v>16</v>
      </c>
      <c r="H69" s="16" t="s">
        <v>142</v>
      </c>
      <c r="I69" s="15">
        <f>IF(OR(H69="-",H69="",H69=0),IF(G69="-","-",G69),G69-H69)</f>
        <v>16</v>
      </c>
      <c r="J69" s="17" t="str">
        <f>IFERROR(IF(G69&gt;0, H69/G69, 0),"-")</f>
        <v>-</v>
      </c>
      <c r="K69" s="15">
        <v>10</v>
      </c>
      <c r="L69" s="16" t="s">
        <v>142</v>
      </c>
      <c r="M69" s="15">
        <f>IF(OR(L69="-",L69="",L69=0),IF(K69="-","-",K69),K69-L69)</f>
        <v>10</v>
      </c>
      <c r="N69" s="17" t="str">
        <f>IFERROR(IF(K69&gt;0, L69/K69, 0),"-")</f>
        <v>-</v>
      </c>
      <c r="O69" s="15">
        <v>15</v>
      </c>
      <c r="P69" s="16" t="s">
        <v>142</v>
      </c>
      <c r="Q69" s="15">
        <f>IF(OR(P69="-",P69="",P69=0),IF(O69="-","-",O69),O69-P69)</f>
        <v>15</v>
      </c>
      <c r="R69" s="17" t="str">
        <f>IFERROR(IF(O69&gt;0, P69/O69, 0),"-")</f>
        <v>-</v>
      </c>
      <c r="S69" s="15">
        <v>2149</v>
      </c>
      <c r="T69" s="15" t="s">
        <v>142</v>
      </c>
      <c r="U69" s="15" t="s">
        <v>142</v>
      </c>
      <c r="V69" s="16" t="s">
        <v>142</v>
      </c>
      <c r="W69" s="16" t="s">
        <v>142</v>
      </c>
      <c r="X69" s="21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3">
      <c r="B70" s="14" t="s">
        <v>72</v>
      </c>
      <c r="C70" s="15">
        <v>1145</v>
      </c>
      <c r="D70" s="16">
        <v>1123</v>
      </c>
      <c r="E70" s="15">
        <f>IF(OR(D70="-",D70="",D70=0),IF(C70="-","-",C70),C70-D70)</f>
        <v>22</v>
      </c>
      <c r="F70" s="17">
        <f>IFERROR(IF(C70&gt;0, D70/C70, 0),"-")</f>
        <v>0.98078602620087341</v>
      </c>
      <c r="G70" s="15">
        <v>21</v>
      </c>
      <c r="H70" s="16" t="s">
        <v>142</v>
      </c>
      <c r="I70" s="15">
        <f>IF(OR(H70="-",H70="",H70=0),IF(G70="-","-",G70),G70-H70)</f>
        <v>21</v>
      </c>
      <c r="J70" s="17" t="str">
        <f>IFERROR(IF(G70&gt;0, H70/G70, 0),"-")</f>
        <v>-</v>
      </c>
      <c r="K70" s="15">
        <v>33</v>
      </c>
      <c r="L70" s="16" t="s">
        <v>142</v>
      </c>
      <c r="M70" s="15">
        <f>IF(OR(L70="-",L70="",L70=0),IF(K70="-","-",K70),K70-L70)</f>
        <v>33</v>
      </c>
      <c r="N70" s="17" t="str">
        <f>IFERROR(IF(K70&gt;0, L70/K70, 0),"-")</f>
        <v>-</v>
      </c>
      <c r="O70" s="15">
        <v>44</v>
      </c>
      <c r="P70" s="16" t="s">
        <v>142</v>
      </c>
      <c r="Q70" s="15">
        <f>IF(OR(P70="-",P70="",P70=0),IF(O70="-","-",O70),O70-P70)</f>
        <v>44</v>
      </c>
      <c r="R70" s="17" t="str">
        <f>IFERROR(IF(O70&gt;0, P70/O70, 0),"-")</f>
        <v>-</v>
      </c>
      <c r="S70" s="15">
        <v>1308</v>
      </c>
      <c r="T70" s="15" t="s">
        <v>142</v>
      </c>
      <c r="U70" s="15" t="s">
        <v>142</v>
      </c>
      <c r="V70" s="16" t="s">
        <v>142</v>
      </c>
      <c r="W70" s="16" t="s">
        <v>142</v>
      </c>
      <c r="X70" s="21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3">
      <c r="B71" s="14" t="s">
        <v>12</v>
      </c>
      <c r="C71" s="15">
        <v>1170</v>
      </c>
      <c r="D71" s="16">
        <v>1147</v>
      </c>
      <c r="E71" s="15">
        <f>IF(OR(D71="-",D71="",D71=0),IF(C71="-","-",C71),C71-D71)</f>
        <v>23</v>
      </c>
      <c r="F71" s="17">
        <f>IFERROR(IF(C71&gt;0, D71/C71, 0),"-")</f>
        <v>0.9803418803418803</v>
      </c>
      <c r="G71" s="15">
        <v>15</v>
      </c>
      <c r="H71" s="16" t="s">
        <v>142</v>
      </c>
      <c r="I71" s="15">
        <f>IF(OR(H71="-",H71="",H71=0),IF(G71="-","-",G71),G71-H71)</f>
        <v>15</v>
      </c>
      <c r="J71" s="17" t="str">
        <f>IFERROR(IF(G71&gt;0, H71/G71, 0),"-")</f>
        <v>-</v>
      </c>
      <c r="K71" s="15">
        <v>11</v>
      </c>
      <c r="L71" s="16" t="s">
        <v>142</v>
      </c>
      <c r="M71" s="15">
        <f>IF(OR(L71="-",L71="",L71=0),IF(K71="-","-",K71),K71-L71)</f>
        <v>11</v>
      </c>
      <c r="N71" s="17" t="str">
        <f>IFERROR(IF(K71&gt;0, L71/K71, 0),"-")</f>
        <v>-</v>
      </c>
      <c r="O71" s="15">
        <v>26</v>
      </c>
      <c r="P71" s="16" t="s">
        <v>142</v>
      </c>
      <c r="Q71" s="15">
        <f>IF(OR(P71="-",P71="",P71=0),IF(O71="-","-",O71),O71-P71)</f>
        <v>26</v>
      </c>
      <c r="R71" s="17" t="str">
        <f>IFERROR(IF(O71&gt;0, P71/O71, 0),"-")</f>
        <v>-</v>
      </c>
      <c r="S71" s="15">
        <v>852</v>
      </c>
      <c r="T71" s="15" t="s">
        <v>142</v>
      </c>
      <c r="U71" s="15" t="s">
        <v>142</v>
      </c>
      <c r="V71" s="16" t="s">
        <v>142</v>
      </c>
      <c r="W71" s="16" t="s">
        <v>142</v>
      </c>
      <c r="X71" s="21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3">
      <c r="B72" s="14" t="s">
        <v>132</v>
      </c>
      <c r="C72" s="15">
        <v>1880</v>
      </c>
      <c r="D72" s="16">
        <v>1843</v>
      </c>
      <c r="E72" s="15">
        <f>IF(OR(D72="-",D72="",D72=0),IF(C72="-","-",C72),C72-D72)</f>
        <v>37</v>
      </c>
      <c r="F72" s="17">
        <f>IFERROR(IF(C72&gt;0, D72/C72, 0),"-")</f>
        <v>0.98031914893617023</v>
      </c>
      <c r="G72" s="15">
        <v>16</v>
      </c>
      <c r="H72" s="16" t="s">
        <v>142</v>
      </c>
      <c r="I72" s="15">
        <f>IF(OR(H72="-",H72="",H72=0),IF(G72="-","-",G72),G72-H72)</f>
        <v>16</v>
      </c>
      <c r="J72" s="17" t="str">
        <f>IFERROR(IF(G72&gt;0, H72/G72, 0),"-")</f>
        <v>-</v>
      </c>
      <c r="K72" s="15">
        <v>12</v>
      </c>
      <c r="L72" s="16" t="s">
        <v>142</v>
      </c>
      <c r="M72" s="15">
        <f>IF(OR(L72="-",L72="",L72=0),IF(K72="-","-",K72),K72-L72)</f>
        <v>12</v>
      </c>
      <c r="N72" s="17" t="str">
        <f>IFERROR(IF(K72&gt;0, L72/K72, 0),"-")</f>
        <v>-</v>
      </c>
      <c r="O72" s="15">
        <v>17</v>
      </c>
      <c r="P72" s="16" t="s">
        <v>142</v>
      </c>
      <c r="Q72" s="15">
        <f>IF(OR(P72="-",P72="",P72=0),IF(O72="-","-",O72),O72-P72)</f>
        <v>17</v>
      </c>
      <c r="R72" s="17" t="str">
        <f>IFERROR(IF(O72&gt;0, P72/O72, 0),"-")</f>
        <v>-</v>
      </c>
      <c r="S72" s="15">
        <v>1042</v>
      </c>
      <c r="T72" s="15" t="s">
        <v>142</v>
      </c>
      <c r="U72" s="15" t="s">
        <v>142</v>
      </c>
      <c r="V72" s="16" t="s">
        <v>142</v>
      </c>
      <c r="W72" s="16" t="s">
        <v>142</v>
      </c>
      <c r="X72" s="21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3">
      <c r="B73" s="14" t="s">
        <v>32</v>
      </c>
      <c r="C73" s="15">
        <v>1060</v>
      </c>
      <c r="D73" s="16">
        <v>1039</v>
      </c>
      <c r="E73" s="15">
        <f>IF(OR(D73="-",D73="",D73=0),IF(C73="-","-",C73),C73-D73)</f>
        <v>21</v>
      </c>
      <c r="F73" s="17">
        <f>IFERROR(IF(C73&gt;0, D73/C73, 0),"-")</f>
        <v>0.98018867924528297</v>
      </c>
      <c r="G73" s="15">
        <v>6</v>
      </c>
      <c r="H73" s="16" t="s">
        <v>142</v>
      </c>
      <c r="I73" s="15">
        <f>IF(OR(H73="-",H73="",H73=0),IF(G73="-","-",G73),G73-H73)</f>
        <v>6</v>
      </c>
      <c r="J73" s="17" t="str">
        <f>IFERROR(IF(G73&gt;0, H73/G73, 0),"-")</f>
        <v>-</v>
      </c>
      <c r="K73" s="15">
        <v>8</v>
      </c>
      <c r="L73" s="16" t="s">
        <v>142</v>
      </c>
      <c r="M73" s="15">
        <f>IF(OR(L73="-",L73="",L73=0),IF(K73="-","-",K73),K73-L73)</f>
        <v>8</v>
      </c>
      <c r="N73" s="17" t="str">
        <f>IFERROR(IF(K73&gt;0, L73/K73, 0),"-")</f>
        <v>-</v>
      </c>
      <c r="O73" s="15">
        <v>19</v>
      </c>
      <c r="P73" s="16" t="s">
        <v>142</v>
      </c>
      <c r="Q73" s="15">
        <f>IF(OR(P73="-",P73="",P73=0),IF(O73="-","-",O73),O73-P73)</f>
        <v>19</v>
      </c>
      <c r="R73" s="17" t="str">
        <f>IFERROR(IF(O73&gt;0, P73/O73, 0),"-")</f>
        <v>-</v>
      </c>
      <c r="S73" s="15">
        <v>1038</v>
      </c>
      <c r="T73" s="15" t="s">
        <v>142</v>
      </c>
      <c r="U73" s="15" t="s">
        <v>142</v>
      </c>
      <c r="V73" s="16" t="s">
        <v>142</v>
      </c>
      <c r="W73" s="16" t="s">
        <v>142</v>
      </c>
      <c r="X73" s="21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3">
      <c r="B74" s="14" t="s">
        <v>70</v>
      </c>
      <c r="C74" s="15">
        <v>1204</v>
      </c>
      <c r="D74" s="16">
        <v>1180</v>
      </c>
      <c r="E74" s="15">
        <f>IF(OR(D74="-",D74="",D74=0),IF(C74="-","-",C74),C74-D74)</f>
        <v>24</v>
      </c>
      <c r="F74" s="17">
        <f>IFERROR(IF(C74&gt;0, D74/C74, 0),"-")</f>
        <v>0.98006644518272423</v>
      </c>
      <c r="G74" s="15">
        <v>12</v>
      </c>
      <c r="H74" s="16" t="s">
        <v>142</v>
      </c>
      <c r="I74" s="15">
        <f>IF(OR(H74="-",H74="",H74=0),IF(G74="-","-",G74),G74-H74)</f>
        <v>12</v>
      </c>
      <c r="J74" s="17" t="str">
        <f>IFERROR(IF(G74&gt;0, H74/G74, 0),"-")</f>
        <v>-</v>
      </c>
      <c r="K74" s="15">
        <v>9</v>
      </c>
      <c r="L74" s="16" t="s">
        <v>142</v>
      </c>
      <c r="M74" s="15">
        <f>IF(OR(L74="-",L74="",L74=0),IF(K74="-","-",K74),K74-L74)</f>
        <v>9</v>
      </c>
      <c r="N74" s="17" t="str">
        <f>IFERROR(IF(K74&gt;0, L74/K74, 0),"-")</f>
        <v>-</v>
      </c>
      <c r="O74" s="15">
        <v>20</v>
      </c>
      <c r="P74" s="16" t="s">
        <v>142</v>
      </c>
      <c r="Q74" s="15">
        <f>IF(OR(P74="-",P74="",P74=0),IF(O74="-","-",O74),O74-P74)</f>
        <v>20</v>
      </c>
      <c r="R74" s="17" t="str">
        <f>IFERROR(IF(O74&gt;0, P74/O74, 0),"-")</f>
        <v>-</v>
      </c>
      <c r="S74" s="15">
        <v>958</v>
      </c>
      <c r="T74" s="15" t="s">
        <v>142</v>
      </c>
      <c r="U74" s="15" t="s">
        <v>142</v>
      </c>
      <c r="V74" s="16" t="s">
        <v>142</v>
      </c>
      <c r="W74" s="16" t="s">
        <v>142</v>
      </c>
      <c r="X74" s="21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3">
      <c r="B75" s="14" t="s">
        <v>13</v>
      </c>
      <c r="C75" s="15">
        <v>1502</v>
      </c>
      <c r="D75" s="16">
        <v>1472</v>
      </c>
      <c r="E75" s="15">
        <f>IF(OR(D75="-",D75="",D75=0),IF(C75="-","-",C75),C75-D75)</f>
        <v>30</v>
      </c>
      <c r="F75" s="17">
        <f>IFERROR(IF(C75&gt;0, D75/C75, 0),"-")</f>
        <v>0.98002663115845534</v>
      </c>
      <c r="G75" s="15">
        <v>20</v>
      </c>
      <c r="H75" s="16" t="s">
        <v>142</v>
      </c>
      <c r="I75" s="15">
        <f>IF(OR(H75="-",H75="",H75=0),IF(G75="-","-",G75),G75-H75)</f>
        <v>20</v>
      </c>
      <c r="J75" s="17" t="str">
        <f>IFERROR(IF(G75&gt;0, H75/G75, 0),"-")</f>
        <v>-</v>
      </c>
      <c r="K75" s="15">
        <v>13</v>
      </c>
      <c r="L75" s="16" t="s">
        <v>142</v>
      </c>
      <c r="M75" s="15">
        <f>IF(OR(L75="-",L75="",L75=0),IF(K75="-","-",K75),K75-L75)</f>
        <v>13</v>
      </c>
      <c r="N75" s="17" t="str">
        <f>IFERROR(IF(K75&gt;0, L75/K75, 0),"-")</f>
        <v>-</v>
      </c>
      <c r="O75" s="15">
        <v>13</v>
      </c>
      <c r="P75" s="16" t="s">
        <v>142</v>
      </c>
      <c r="Q75" s="15">
        <f>IF(OR(P75="-",P75="",P75=0),IF(O75="-","-",O75),O75-P75)</f>
        <v>13</v>
      </c>
      <c r="R75" s="17" t="str">
        <f>IFERROR(IF(O75&gt;0, P75/O75, 0),"-")</f>
        <v>-</v>
      </c>
      <c r="S75" s="15">
        <v>907</v>
      </c>
      <c r="T75" s="15" t="s">
        <v>142</v>
      </c>
      <c r="U75" s="15" t="s">
        <v>142</v>
      </c>
      <c r="V75" s="16" t="s">
        <v>142</v>
      </c>
      <c r="W75" s="16" t="s">
        <v>142</v>
      </c>
      <c r="X75" s="21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3">
      <c r="B76" s="14" t="s">
        <v>30</v>
      </c>
      <c r="C76" s="15">
        <v>1051</v>
      </c>
      <c r="D76" s="16">
        <v>1030</v>
      </c>
      <c r="E76" s="15">
        <f>IF(OR(D76="-",D76="",D76=0),IF(C76="-","-",C76),C76-D76)</f>
        <v>21</v>
      </c>
      <c r="F76" s="17">
        <f>IFERROR(IF(C76&gt;0, D76/C76, 0),"-")</f>
        <v>0.9800190294957184</v>
      </c>
      <c r="G76" s="15">
        <v>10</v>
      </c>
      <c r="H76" s="16" t="s">
        <v>142</v>
      </c>
      <c r="I76" s="15">
        <f>IF(OR(H76="-",H76="",H76=0),IF(G76="-","-",G76),G76-H76)</f>
        <v>10</v>
      </c>
      <c r="J76" s="17" t="str">
        <f>IFERROR(IF(G76&gt;0, H76/G76, 0),"-")</f>
        <v>-</v>
      </c>
      <c r="K76" s="15">
        <v>11</v>
      </c>
      <c r="L76" s="16" t="s">
        <v>142</v>
      </c>
      <c r="M76" s="15">
        <f>IF(OR(L76="-",L76="",L76=0),IF(K76="-","-",K76),K76-L76)</f>
        <v>11</v>
      </c>
      <c r="N76" s="17" t="str">
        <f>IFERROR(IF(K76&gt;0, L76/K76, 0),"-")</f>
        <v>-</v>
      </c>
      <c r="O76" s="15">
        <v>17</v>
      </c>
      <c r="P76" s="16" t="s">
        <v>142</v>
      </c>
      <c r="Q76" s="15">
        <f>IF(OR(P76="-",P76="",P76=0),IF(O76="-","-",O76),O76-P76)</f>
        <v>17</v>
      </c>
      <c r="R76" s="17" t="str">
        <f>IFERROR(IF(O76&gt;0, P76/O76, 0),"-")</f>
        <v>-</v>
      </c>
      <c r="S76" s="15">
        <v>1105</v>
      </c>
      <c r="T76" s="15" t="s">
        <v>142</v>
      </c>
      <c r="U76" s="15" t="s">
        <v>142</v>
      </c>
      <c r="V76" s="16" t="s">
        <v>142</v>
      </c>
      <c r="W76" s="16" t="s">
        <v>142</v>
      </c>
      <c r="X76" s="21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3">
      <c r="B77" s="14" t="s">
        <v>22</v>
      </c>
      <c r="C77" s="15">
        <v>1392</v>
      </c>
      <c r="D77" s="16">
        <v>1364</v>
      </c>
      <c r="E77" s="15">
        <f>IF(OR(D77="-",D77="",D77=0),IF(C77="-","-",C77),C77-D77)</f>
        <v>28</v>
      </c>
      <c r="F77" s="17">
        <f>IFERROR(IF(C77&gt;0, D77/C77, 0),"-")</f>
        <v>0.97988505747126442</v>
      </c>
      <c r="G77" s="15">
        <v>15</v>
      </c>
      <c r="H77" s="16" t="s">
        <v>142</v>
      </c>
      <c r="I77" s="15">
        <f>IF(OR(H77="-",H77="",H77=0),IF(G77="-","-",G77),G77-H77)</f>
        <v>15</v>
      </c>
      <c r="J77" s="17" t="str">
        <f>IFERROR(IF(G77&gt;0, H77/G77, 0),"-")</f>
        <v>-</v>
      </c>
      <c r="K77" s="15">
        <v>15</v>
      </c>
      <c r="L77" s="16" t="s">
        <v>142</v>
      </c>
      <c r="M77" s="15">
        <f>IF(OR(L77="-",L77="",L77=0),IF(K77="-","-",K77),K77-L77)</f>
        <v>15</v>
      </c>
      <c r="N77" s="17" t="str">
        <f>IFERROR(IF(K77&gt;0, L77/K77, 0),"-")</f>
        <v>-</v>
      </c>
      <c r="O77" s="15">
        <v>14</v>
      </c>
      <c r="P77" s="16" t="s">
        <v>142</v>
      </c>
      <c r="Q77" s="15">
        <f>IF(OR(P77="-",P77="",P77=0),IF(O77="-","-",O77),O77-P77)</f>
        <v>14</v>
      </c>
      <c r="R77" s="17" t="str">
        <f>IFERROR(IF(O77&gt;0, P77/O77, 0),"-")</f>
        <v>-</v>
      </c>
      <c r="S77" s="15">
        <v>1308</v>
      </c>
      <c r="T77" s="15" t="s">
        <v>142</v>
      </c>
      <c r="U77" s="15" t="s">
        <v>142</v>
      </c>
      <c r="V77" s="16" t="s">
        <v>142</v>
      </c>
      <c r="W77" s="16" t="s">
        <v>142</v>
      </c>
      <c r="X77" s="21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3">
      <c r="B78" s="14" t="s">
        <v>128</v>
      </c>
      <c r="C78" s="15">
        <v>1411</v>
      </c>
      <c r="D78" s="16">
        <v>1382</v>
      </c>
      <c r="E78" s="15">
        <f>IF(OR(D78="-",D78="",D78=0),IF(C78="-","-",C78),C78-D78)</f>
        <v>29</v>
      </c>
      <c r="F78" s="17">
        <f>IFERROR(IF(C78&gt;0, D78/C78, 0),"-")</f>
        <v>0.97944720056697376</v>
      </c>
      <c r="G78" s="15">
        <v>17</v>
      </c>
      <c r="H78" s="16" t="s">
        <v>142</v>
      </c>
      <c r="I78" s="15">
        <f>IF(OR(H78="-",H78="",H78=0),IF(G78="-","-",G78),G78-H78)</f>
        <v>17</v>
      </c>
      <c r="J78" s="17" t="str">
        <f>IFERROR(IF(G78&gt;0, H78/G78, 0),"-")</f>
        <v>-</v>
      </c>
      <c r="K78" s="15">
        <v>10</v>
      </c>
      <c r="L78" s="16" t="s">
        <v>142</v>
      </c>
      <c r="M78" s="15">
        <f>IF(OR(L78="-",L78="",L78=0),IF(K78="-","-",K78),K78-L78)</f>
        <v>10</v>
      </c>
      <c r="N78" s="17" t="str">
        <f>IFERROR(IF(K78&gt;0, L78/K78, 0),"-")</f>
        <v>-</v>
      </c>
      <c r="O78" s="15">
        <v>22</v>
      </c>
      <c r="P78" s="16" t="s">
        <v>142</v>
      </c>
      <c r="Q78" s="15">
        <f>IF(OR(P78="-",P78="",P78=0),IF(O78="-","-",O78),O78-P78)</f>
        <v>22</v>
      </c>
      <c r="R78" s="17" t="str">
        <f>IFERROR(IF(O78&gt;0, P78/O78, 0),"-")</f>
        <v>-</v>
      </c>
      <c r="S78" s="15">
        <v>837</v>
      </c>
      <c r="T78" s="15" t="s">
        <v>142</v>
      </c>
      <c r="U78" s="15" t="s">
        <v>142</v>
      </c>
      <c r="V78" s="16" t="s">
        <v>142</v>
      </c>
      <c r="W78" s="16" t="s">
        <v>142</v>
      </c>
      <c r="X78" s="21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3">
      <c r="B79" s="14" t="s">
        <v>75</v>
      </c>
      <c r="C79" s="15">
        <v>1198</v>
      </c>
      <c r="D79" s="16">
        <v>1172</v>
      </c>
      <c r="E79" s="15">
        <f>IF(OR(D79="-",D79="",D79=0),IF(C79="-","-",C79),C79-D79)</f>
        <v>26</v>
      </c>
      <c r="F79" s="17">
        <f>IFERROR(IF(C79&gt;0, D79/C79, 0),"-")</f>
        <v>0.97829716193656091</v>
      </c>
      <c r="G79" s="15">
        <v>6</v>
      </c>
      <c r="H79" s="16" t="s">
        <v>142</v>
      </c>
      <c r="I79" s="15">
        <f>IF(OR(H79="-",H79="",H79=0),IF(G79="-","-",G79),G79-H79)</f>
        <v>6</v>
      </c>
      <c r="J79" s="17" t="str">
        <f>IFERROR(IF(G79&gt;0, H79/G79, 0),"-")</f>
        <v>-</v>
      </c>
      <c r="K79" s="15">
        <v>11</v>
      </c>
      <c r="L79" s="16" t="s">
        <v>142</v>
      </c>
      <c r="M79" s="15">
        <f>IF(OR(L79="-",L79="",L79=0),IF(K79="-","-",K79),K79-L79)</f>
        <v>11</v>
      </c>
      <c r="N79" s="17" t="str">
        <f>IFERROR(IF(K79&gt;0, L79/K79, 0),"-")</f>
        <v>-</v>
      </c>
      <c r="O79" s="15">
        <v>21</v>
      </c>
      <c r="P79" s="16" t="s">
        <v>142</v>
      </c>
      <c r="Q79" s="15">
        <f>IF(OR(P79="-",P79="",P79=0),IF(O79="-","-",O79),O79-P79)</f>
        <v>21</v>
      </c>
      <c r="R79" s="17" t="str">
        <f>IFERROR(IF(O79&gt;0, P79/O79, 0),"-")</f>
        <v>-</v>
      </c>
      <c r="S79" s="15">
        <v>859</v>
      </c>
      <c r="T79" s="15" t="s">
        <v>142</v>
      </c>
      <c r="U79" s="15" t="s">
        <v>142</v>
      </c>
      <c r="V79" s="16" t="s">
        <v>142</v>
      </c>
      <c r="W79" s="16" t="s">
        <v>142</v>
      </c>
      <c r="X79" s="21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3">
      <c r="B80" s="14" t="s">
        <v>104</v>
      </c>
      <c r="C80" s="15">
        <v>1126</v>
      </c>
      <c r="D80" s="16">
        <v>1101</v>
      </c>
      <c r="E80" s="15">
        <f>IF(OR(D80="-",D80="",D80=0),IF(C80="-","-",C80),C80-D80)</f>
        <v>25</v>
      </c>
      <c r="F80" s="17">
        <f>IFERROR(IF(C80&gt;0, D80/C80, 0),"-")</f>
        <v>0.97779751332149201</v>
      </c>
      <c r="G80" s="15">
        <v>14</v>
      </c>
      <c r="H80" s="16" t="s">
        <v>142</v>
      </c>
      <c r="I80" s="15">
        <f>IF(OR(H80="-",H80="",H80=0),IF(G80="-","-",G80),G80-H80)</f>
        <v>14</v>
      </c>
      <c r="J80" s="17" t="str">
        <f>IFERROR(IF(G80&gt;0, H80/G80, 0),"-")</f>
        <v>-</v>
      </c>
      <c r="K80" s="15">
        <v>13</v>
      </c>
      <c r="L80" s="16" t="s">
        <v>142</v>
      </c>
      <c r="M80" s="15">
        <f>IF(OR(L80="-",L80="",L80=0),IF(K80="-","-",K80),K80-L80)</f>
        <v>13</v>
      </c>
      <c r="N80" s="17" t="str">
        <f>IFERROR(IF(K80&gt;0, L80/K80, 0),"-")</f>
        <v>-</v>
      </c>
      <c r="O80" s="15">
        <v>34</v>
      </c>
      <c r="P80" s="16" t="s">
        <v>142</v>
      </c>
      <c r="Q80" s="15">
        <f>IF(OR(P80="-",P80="",P80=0),IF(O80="-","-",O80),O80-P80)</f>
        <v>34</v>
      </c>
      <c r="R80" s="17" t="str">
        <f>IFERROR(IF(O80&gt;0, P80/O80, 0),"-")</f>
        <v>-</v>
      </c>
      <c r="S80" s="15">
        <v>866</v>
      </c>
      <c r="T80" s="15" t="s">
        <v>142</v>
      </c>
      <c r="U80" s="15" t="s">
        <v>142</v>
      </c>
      <c r="V80" s="16" t="s">
        <v>142</v>
      </c>
      <c r="W80" s="16" t="s">
        <v>142</v>
      </c>
      <c r="X80" s="21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3">
      <c r="B81" s="14" t="s">
        <v>4</v>
      </c>
      <c r="C81" s="15">
        <v>1202</v>
      </c>
      <c r="D81" s="16">
        <v>1175</v>
      </c>
      <c r="E81" s="15">
        <f>IF(OR(D81="-",D81="",D81=0),IF(C81="-","-",C81),C81-D81)</f>
        <v>27</v>
      </c>
      <c r="F81" s="17">
        <f>IFERROR(IF(C81&gt;0, D81/C81, 0),"-")</f>
        <v>0.97753743760399336</v>
      </c>
      <c r="G81" s="15">
        <v>10</v>
      </c>
      <c r="H81" s="16" t="s">
        <v>142</v>
      </c>
      <c r="I81" s="15">
        <f>IF(OR(H81="-",H81="",H81=0),IF(G81="-","-",G81),G81-H81)</f>
        <v>10</v>
      </c>
      <c r="J81" s="17" t="str">
        <f>IFERROR(IF(G81&gt;0, H81/G81, 0),"-")</f>
        <v>-</v>
      </c>
      <c r="K81" s="15">
        <v>15</v>
      </c>
      <c r="L81" s="16" t="s">
        <v>142</v>
      </c>
      <c r="M81" s="15">
        <f>IF(OR(L81="-",L81="",L81=0),IF(K81="-","-",K81),K81-L81)</f>
        <v>15</v>
      </c>
      <c r="N81" s="17" t="str">
        <f>IFERROR(IF(K81&gt;0, L81/K81, 0),"-")</f>
        <v>-</v>
      </c>
      <c r="O81" s="15">
        <v>23</v>
      </c>
      <c r="P81" s="16" t="s">
        <v>142</v>
      </c>
      <c r="Q81" s="15">
        <f>IF(OR(P81="-",P81="",P81=0),IF(O81="-","-",O81),O81-P81)</f>
        <v>23</v>
      </c>
      <c r="R81" s="17" t="str">
        <f>IFERROR(IF(O81&gt;0, P81/O81, 0),"-")</f>
        <v>-</v>
      </c>
      <c r="S81" s="15">
        <v>1358</v>
      </c>
      <c r="T81" s="15" t="s">
        <v>142</v>
      </c>
      <c r="U81" s="15" t="s">
        <v>142</v>
      </c>
      <c r="V81" s="16" t="s">
        <v>142</v>
      </c>
      <c r="W81" s="16" t="s">
        <v>142</v>
      </c>
      <c r="X81" s="21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3">
      <c r="B82" s="14" t="s">
        <v>76</v>
      </c>
      <c r="C82" s="15">
        <v>1141</v>
      </c>
      <c r="D82" s="16">
        <v>1115</v>
      </c>
      <c r="E82" s="15">
        <f>IF(OR(D82="-",D82="",D82=0),IF(C82="-","-",C82),C82-D82)</f>
        <v>26</v>
      </c>
      <c r="F82" s="17">
        <f>IFERROR(IF(C82&gt;0, D82/C82, 0),"-")</f>
        <v>0.97721297107800176</v>
      </c>
      <c r="G82" s="15">
        <v>20</v>
      </c>
      <c r="H82" s="16" t="s">
        <v>142</v>
      </c>
      <c r="I82" s="15">
        <f>IF(OR(H82="-",H82="",H82=0),IF(G82="-","-",G82),G82-H82)</f>
        <v>20</v>
      </c>
      <c r="J82" s="17" t="str">
        <f>IFERROR(IF(G82&gt;0, H82/G82, 0),"-")</f>
        <v>-</v>
      </c>
      <c r="K82" s="15">
        <v>19</v>
      </c>
      <c r="L82" s="16" t="s">
        <v>142</v>
      </c>
      <c r="M82" s="15">
        <f>IF(OR(L82="-",L82="",L82=0),IF(K82="-","-",K82),K82-L82)</f>
        <v>19</v>
      </c>
      <c r="N82" s="17" t="str">
        <f>IFERROR(IF(K82&gt;0, L82/K82, 0),"-")</f>
        <v>-</v>
      </c>
      <c r="O82" s="15">
        <v>25</v>
      </c>
      <c r="P82" s="16" t="s">
        <v>142</v>
      </c>
      <c r="Q82" s="15">
        <f>IF(OR(P82="-",P82="",P82=0),IF(O82="-","-",O82),O82-P82)</f>
        <v>25</v>
      </c>
      <c r="R82" s="17" t="str">
        <f>IFERROR(IF(O82&gt;0, P82/O82, 0),"-")</f>
        <v>-</v>
      </c>
      <c r="S82" s="15">
        <v>842</v>
      </c>
      <c r="T82" s="15" t="s">
        <v>142</v>
      </c>
      <c r="U82" s="15" t="s">
        <v>142</v>
      </c>
      <c r="V82" s="16" t="s">
        <v>142</v>
      </c>
      <c r="W82" s="16" t="s">
        <v>142</v>
      </c>
      <c r="X82" s="21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3">
      <c r="B83" s="14" t="s">
        <v>48</v>
      </c>
      <c r="C83" s="15">
        <v>1420</v>
      </c>
      <c r="D83" s="16">
        <v>1387</v>
      </c>
      <c r="E83" s="15">
        <f>IF(OR(D83="-",D83="",D83=0),IF(C83="-","-",C83),C83-D83)</f>
        <v>33</v>
      </c>
      <c r="F83" s="17">
        <f>IFERROR(IF(C83&gt;0, D83/C83, 0),"-")</f>
        <v>0.97676056338028172</v>
      </c>
      <c r="G83" s="15">
        <v>24</v>
      </c>
      <c r="H83" s="16" t="s">
        <v>142</v>
      </c>
      <c r="I83" s="15">
        <f>IF(OR(H83="-",H83="",H83=0),IF(G83="-","-",G83),G83-H83)</f>
        <v>24</v>
      </c>
      <c r="J83" s="17" t="str">
        <f>IFERROR(IF(G83&gt;0, H83/G83, 0),"-")</f>
        <v>-</v>
      </c>
      <c r="K83" s="15">
        <v>27</v>
      </c>
      <c r="L83" s="16" t="s">
        <v>142</v>
      </c>
      <c r="M83" s="15">
        <f>IF(OR(L83="-",L83="",L83=0),IF(K83="-","-",K83),K83-L83)</f>
        <v>27</v>
      </c>
      <c r="N83" s="17" t="str">
        <f>IFERROR(IF(K83&gt;0, L83/K83, 0),"-")</f>
        <v>-</v>
      </c>
      <c r="O83" s="15">
        <v>32</v>
      </c>
      <c r="P83" s="16" t="s">
        <v>142</v>
      </c>
      <c r="Q83" s="15">
        <f>IF(OR(P83="-",P83="",P83=0),IF(O83="-","-",O83),O83-P83)</f>
        <v>32</v>
      </c>
      <c r="R83" s="17" t="str">
        <f>IFERROR(IF(O83&gt;0, P83/O83, 0),"-")</f>
        <v>-</v>
      </c>
      <c r="S83" s="15">
        <v>1574</v>
      </c>
      <c r="T83" s="15" t="s">
        <v>142</v>
      </c>
      <c r="U83" s="15" t="s">
        <v>142</v>
      </c>
      <c r="V83" s="16" t="s">
        <v>142</v>
      </c>
      <c r="W83" s="16" t="s">
        <v>142</v>
      </c>
      <c r="X83" s="21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3">
      <c r="B84" s="14" t="s">
        <v>107</v>
      </c>
      <c r="C84" s="15">
        <v>720</v>
      </c>
      <c r="D84" s="16">
        <v>703</v>
      </c>
      <c r="E84" s="15">
        <f>IF(OR(D84="-",D84="",D84=0),IF(C84="-","-",C84),C84-D84)</f>
        <v>17</v>
      </c>
      <c r="F84" s="17">
        <f>IFERROR(IF(C84&gt;0, D84/C84, 0),"-")</f>
        <v>0.97638888888888886</v>
      </c>
      <c r="G84" s="15">
        <v>7</v>
      </c>
      <c r="H84" s="16" t="s">
        <v>142</v>
      </c>
      <c r="I84" s="15">
        <f>IF(OR(H84="-",H84="",H84=0),IF(G84="-","-",G84),G84-H84)</f>
        <v>7</v>
      </c>
      <c r="J84" s="17" t="str">
        <f>IFERROR(IF(G84&gt;0, H84/G84, 0),"-")</f>
        <v>-</v>
      </c>
      <c r="K84" s="15">
        <v>1</v>
      </c>
      <c r="L84" s="16" t="s">
        <v>142</v>
      </c>
      <c r="M84" s="15">
        <f>IF(OR(L84="-",L84="",L84=0),IF(K84="-","-",K84),K84-L84)</f>
        <v>1</v>
      </c>
      <c r="N84" s="17" t="str">
        <f>IFERROR(IF(K84&gt;0, L84/K84, 0),"-")</f>
        <v>-</v>
      </c>
      <c r="O84" s="15">
        <v>18</v>
      </c>
      <c r="P84" s="16" t="s">
        <v>142</v>
      </c>
      <c r="Q84" s="15">
        <f>IF(OR(P84="-",P84="",P84=0),IF(O84="-","-",O84),O84-P84)</f>
        <v>18</v>
      </c>
      <c r="R84" s="17" t="str">
        <f>IFERROR(IF(O84&gt;0, P84/O84, 0),"-")</f>
        <v>-</v>
      </c>
      <c r="S84" s="15">
        <v>1027</v>
      </c>
      <c r="T84" s="15" t="s">
        <v>142</v>
      </c>
      <c r="U84" s="15" t="s">
        <v>142</v>
      </c>
      <c r="V84" s="16" t="s">
        <v>142</v>
      </c>
      <c r="W84" s="16" t="s">
        <v>142</v>
      </c>
      <c r="X84" s="21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3">
      <c r="B85" s="14" t="s">
        <v>46</v>
      </c>
      <c r="C85" s="15">
        <v>1182</v>
      </c>
      <c r="D85" s="16">
        <v>1154</v>
      </c>
      <c r="E85" s="15">
        <f>IF(OR(D85="-",D85="",D85=0),IF(C85="-","-",C85),C85-D85)</f>
        <v>28</v>
      </c>
      <c r="F85" s="17">
        <f>IFERROR(IF(C85&gt;0, D85/C85, 0),"-")</f>
        <v>0.97631133671742809</v>
      </c>
      <c r="G85" s="15">
        <v>13</v>
      </c>
      <c r="H85" s="16" t="s">
        <v>142</v>
      </c>
      <c r="I85" s="15">
        <f>IF(OR(H85="-",H85="",H85=0),IF(G85="-","-",G85),G85-H85)</f>
        <v>13</v>
      </c>
      <c r="J85" s="17" t="str">
        <f>IFERROR(IF(G85&gt;0, H85/G85, 0),"-")</f>
        <v>-</v>
      </c>
      <c r="K85" s="15">
        <v>7</v>
      </c>
      <c r="L85" s="16" t="s">
        <v>142</v>
      </c>
      <c r="M85" s="15">
        <f>IF(OR(L85="-",L85="",L85=0),IF(K85="-","-",K85),K85-L85)</f>
        <v>7</v>
      </c>
      <c r="N85" s="17" t="str">
        <f>IFERROR(IF(K85&gt;0, L85/K85, 0),"-")</f>
        <v>-</v>
      </c>
      <c r="O85" s="15">
        <v>15</v>
      </c>
      <c r="P85" s="16" t="s">
        <v>142</v>
      </c>
      <c r="Q85" s="15">
        <f>IF(OR(P85="-",P85="",P85=0),IF(O85="-","-",O85),O85-P85)</f>
        <v>15</v>
      </c>
      <c r="R85" s="17" t="str">
        <f>IFERROR(IF(O85&gt;0, P85/O85, 0),"-")</f>
        <v>-</v>
      </c>
      <c r="S85" s="15">
        <v>1089</v>
      </c>
      <c r="T85" s="15" t="s">
        <v>142</v>
      </c>
      <c r="U85" s="15" t="s">
        <v>142</v>
      </c>
      <c r="V85" s="16" t="s">
        <v>142</v>
      </c>
      <c r="W85" s="16" t="s">
        <v>142</v>
      </c>
      <c r="X85" s="21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3">
      <c r="B86" s="14" t="s">
        <v>39</v>
      </c>
      <c r="C86" s="15">
        <v>796</v>
      </c>
      <c r="D86" s="16">
        <v>777</v>
      </c>
      <c r="E86" s="15">
        <f>IF(OR(D86="-",D86="",D86=0),IF(C86="-","-",C86),C86-D86)</f>
        <v>19</v>
      </c>
      <c r="F86" s="17">
        <f>IFERROR(IF(C86&gt;0, D86/C86, 0),"-")</f>
        <v>0.97613065326633164</v>
      </c>
      <c r="G86" s="15">
        <v>5</v>
      </c>
      <c r="H86" s="16" t="s">
        <v>142</v>
      </c>
      <c r="I86" s="15">
        <f>IF(OR(H86="-",H86="",H86=0),IF(G86="-","-",G86),G86-H86)</f>
        <v>5</v>
      </c>
      <c r="J86" s="17" t="str">
        <f>IFERROR(IF(G86&gt;0, H86/G86, 0),"-")</f>
        <v>-</v>
      </c>
      <c r="K86" s="15">
        <v>5</v>
      </c>
      <c r="L86" s="16" t="s">
        <v>142</v>
      </c>
      <c r="M86" s="15">
        <f>IF(OR(L86="-",L86="",L86=0),IF(K86="-","-",K86),K86-L86)</f>
        <v>5</v>
      </c>
      <c r="N86" s="17" t="str">
        <f>IFERROR(IF(K86&gt;0, L86/K86, 0),"-")</f>
        <v>-</v>
      </c>
      <c r="O86" s="15">
        <v>7</v>
      </c>
      <c r="P86" s="16" t="s">
        <v>142</v>
      </c>
      <c r="Q86" s="15">
        <f>IF(OR(P86="-",P86="",P86=0),IF(O86="-","-",O86),O86-P86)</f>
        <v>7</v>
      </c>
      <c r="R86" s="17" t="str">
        <f>IFERROR(IF(O86&gt;0, P86/O86, 0),"-")</f>
        <v>-</v>
      </c>
      <c r="S86" s="15">
        <v>904</v>
      </c>
      <c r="T86" s="15" t="s">
        <v>142</v>
      </c>
      <c r="U86" s="15" t="s">
        <v>142</v>
      </c>
      <c r="V86" s="16" t="s">
        <v>142</v>
      </c>
      <c r="W86" s="16" t="s">
        <v>142</v>
      </c>
      <c r="X86" s="21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3">
      <c r="B87" s="14" t="s">
        <v>62</v>
      </c>
      <c r="C87" s="15">
        <v>1107</v>
      </c>
      <c r="D87" s="16">
        <v>1080</v>
      </c>
      <c r="E87" s="15">
        <f>IF(OR(D87="-",D87="",D87=0),IF(C87="-","-",C87),C87-D87)</f>
        <v>27</v>
      </c>
      <c r="F87" s="17">
        <f>IFERROR(IF(C87&gt;0, D87/C87, 0),"-")</f>
        <v>0.97560975609756095</v>
      </c>
      <c r="G87" s="15">
        <v>3</v>
      </c>
      <c r="H87" s="16" t="s">
        <v>142</v>
      </c>
      <c r="I87" s="15">
        <f>IF(OR(H87="-",H87="",H87=0),IF(G87="-","-",G87),G87-H87)</f>
        <v>3</v>
      </c>
      <c r="J87" s="17" t="str">
        <f>IFERROR(IF(G87&gt;0, H87/G87, 0),"-")</f>
        <v>-</v>
      </c>
      <c r="K87" s="15">
        <v>5</v>
      </c>
      <c r="L87" s="16" t="s">
        <v>142</v>
      </c>
      <c r="M87" s="15">
        <f>IF(OR(L87="-",L87="",L87=0),IF(K87="-","-",K87),K87-L87)</f>
        <v>5</v>
      </c>
      <c r="N87" s="17" t="str">
        <f>IFERROR(IF(K87&gt;0, L87/K87, 0),"-")</f>
        <v>-</v>
      </c>
      <c r="O87" s="15">
        <v>11</v>
      </c>
      <c r="P87" s="16" t="s">
        <v>142</v>
      </c>
      <c r="Q87" s="15">
        <f>IF(OR(P87="-",P87="",P87=0),IF(O87="-","-",O87),O87-P87)</f>
        <v>11</v>
      </c>
      <c r="R87" s="17" t="str">
        <f>IFERROR(IF(O87&gt;0, P87/O87, 0),"-")</f>
        <v>-</v>
      </c>
      <c r="S87" s="15">
        <v>946</v>
      </c>
      <c r="T87" s="15" t="s">
        <v>142</v>
      </c>
      <c r="U87" s="15" t="s">
        <v>142</v>
      </c>
      <c r="V87" s="16" t="s">
        <v>142</v>
      </c>
      <c r="W87" s="16" t="s">
        <v>142</v>
      </c>
      <c r="X87" s="21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3">
      <c r="B88" s="14" t="s">
        <v>100</v>
      </c>
      <c r="C88" s="15">
        <v>772</v>
      </c>
      <c r="D88" s="16">
        <v>753</v>
      </c>
      <c r="E88" s="15">
        <f>IF(OR(D88="-",D88="",D88=0),IF(C88="-","-",C88),C88-D88)</f>
        <v>19</v>
      </c>
      <c r="F88" s="17">
        <f>IFERROR(IF(C88&gt;0, D88/C88, 0),"-")</f>
        <v>0.97538860103626945</v>
      </c>
      <c r="G88" s="15">
        <v>7</v>
      </c>
      <c r="H88" s="16" t="s">
        <v>142</v>
      </c>
      <c r="I88" s="15">
        <f>IF(OR(H88="-",H88="",H88=0),IF(G88="-","-",G88),G88-H88)</f>
        <v>7</v>
      </c>
      <c r="J88" s="17" t="str">
        <f>IFERROR(IF(G88&gt;0, H88/G88, 0),"-")</f>
        <v>-</v>
      </c>
      <c r="K88" s="15">
        <v>4</v>
      </c>
      <c r="L88" s="16" t="s">
        <v>142</v>
      </c>
      <c r="M88" s="15">
        <f>IF(OR(L88="-",L88="",L88=0),IF(K88="-","-",K88),K88-L88)</f>
        <v>4</v>
      </c>
      <c r="N88" s="17" t="str">
        <f>IFERROR(IF(K88&gt;0, L88/K88, 0),"-")</f>
        <v>-</v>
      </c>
      <c r="O88" s="15">
        <v>14</v>
      </c>
      <c r="P88" s="16" t="s">
        <v>142</v>
      </c>
      <c r="Q88" s="15">
        <f>IF(OR(P88="-",P88="",P88=0),IF(O88="-","-",O88),O88-P88)</f>
        <v>14</v>
      </c>
      <c r="R88" s="17" t="str">
        <f>IFERROR(IF(O88&gt;0, P88/O88, 0),"-")</f>
        <v>-</v>
      </c>
      <c r="S88" s="15">
        <v>703</v>
      </c>
      <c r="T88" s="15" t="s">
        <v>142</v>
      </c>
      <c r="U88" s="15" t="s">
        <v>142</v>
      </c>
      <c r="V88" s="16" t="s">
        <v>142</v>
      </c>
      <c r="W88" s="16" t="s">
        <v>142</v>
      </c>
      <c r="X88" s="21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3">
      <c r="B89" s="14" t="s">
        <v>92</v>
      </c>
      <c r="C89" s="15">
        <v>1130</v>
      </c>
      <c r="D89" s="16">
        <v>1102</v>
      </c>
      <c r="E89" s="15">
        <f>IF(OR(D89="-",D89="",D89=0),IF(C89="-","-",C89),C89-D89)</f>
        <v>28</v>
      </c>
      <c r="F89" s="17">
        <f>IFERROR(IF(C89&gt;0, D89/C89, 0),"-")</f>
        <v>0.97522123893805313</v>
      </c>
      <c r="G89" s="15">
        <v>8</v>
      </c>
      <c r="H89" s="16" t="s">
        <v>142</v>
      </c>
      <c r="I89" s="15">
        <f>IF(OR(H89="-",H89="",H89=0),IF(G89="-","-",G89),G89-H89)</f>
        <v>8</v>
      </c>
      <c r="J89" s="17" t="str">
        <f>IFERROR(IF(G89&gt;0, H89/G89, 0),"-")</f>
        <v>-</v>
      </c>
      <c r="K89" s="15">
        <v>6</v>
      </c>
      <c r="L89" s="16" t="s">
        <v>142</v>
      </c>
      <c r="M89" s="15">
        <f>IF(OR(L89="-",L89="",L89=0),IF(K89="-","-",K89),K89-L89)</f>
        <v>6</v>
      </c>
      <c r="N89" s="17" t="str">
        <f>IFERROR(IF(K89&gt;0, L89/K89, 0),"-")</f>
        <v>-</v>
      </c>
      <c r="O89" s="15">
        <v>14</v>
      </c>
      <c r="P89" s="16" t="s">
        <v>142</v>
      </c>
      <c r="Q89" s="15">
        <f>IF(OR(P89="-",P89="",P89=0),IF(O89="-","-",O89),O89-P89)</f>
        <v>14</v>
      </c>
      <c r="R89" s="17" t="str">
        <f>IFERROR(IF(O89&gt;0, P89/O89, 0),"-")</f>
        <v>-</v>
      </c>
      <c r="S89" s="15">
        <v>1214</v>
      </c>
      <c r="T89" s="15" t="s">
        <v>142</v>
      </c>
      <c r="U89" s="15" t="s">
        <v>142</v>
      </c>
      <c r="V89" s="16" t="s">
        <v>142</v>
      </c>
      <c r="W89" s="16" t="s">
        <v>142</v>
      </c>
      <c r="X89" s="21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3">
      <c r="B90" s="14" t="s">
        <v>10</v>
      </c>
      <c r="C90" s="15">
        <v>1767</v>
      </c>
      <c r="D90" s="16">
        <v>1723</v>
      </c>
      <c r="E90" s="15">
        <f>IF(OR(D90="-",D90="",D90=0),IF(C90="-","-",C90),C90-D90)</f>
        <v>44</v>
      </c>
      <c r="F90" s="17">
        <f>IFERROR(IF(C90&gt;0, D90/C90, 0),"-")</f>
        <v>0.97509903791737407</v>
      </c>
      <c r="G90" s="15">
        <v>25</v>
      </c>
      <c r="H90" s="16" t="s">
        <v>142</v>
      </c>
      <c r="I90" s="15">
        <f>IF(OR(H90="-",H90="",H90=0),IF(G90="-","-",G90),G90-H90)</f>
        <v>25</v>
      </c>
      <c r="J90" s="17" t="str">
        <f>IFERROR(IF(G90&gt;0, H90/G90, 0),"-")</f>
        <v>-</v>
      </c>
      <c r="K90" s="15">
        <v>25</v>
      </c>
      <c r="L90" s="16" t="s">
        <v>142</v>
      </c>
      <c r="M90" s="15">
        <f>IF(OR(L90="-",L90="",L90=0),IF(K90="-","-",K90),K90-L90)</f>
        <v>25</v>
      </c>
      <c r="N90" s="17" t="str">
        <f>IFERROR(IF(K90&gt;0, L90/K90, 0),"-")</f>
        <v>-</v>
      </c>
      <c r="O90" s="15">
        <v>37</v>
      </c>
      <c r="P90" s="16" t="s">
        <v>142</v>
      </c>
      <c r="Q90" s="15">
        <f>IF(OR(P90="-",P90="",P90=0),IF(O90="-","-",O90),O90-P90)</f>
        <v>37</v>
      </c>
      <c r="R90" s="17" t="str">
        <f>IFERROR(IF(O90&gt;0, P90/O90, 0),"-")</f>
        <v>-</v>
      </c>
      <c r="S90" s="15">
        <v>858</v>
      </c>
      <c r="T90" s="15" t="s">
        <v>142</v>
      </c>
      <c r="U90" s="15" t="s">
        <v>142</v>
      </c>
      <c r="V90" s="16" t="s">
        <v>142</v>
      </c>
      <c r="W90" s="16" t="s">
        <v>142</v>
      </c>
      <c r="X90" s="21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3">
      <c r="B91" s="14" t="s">
        <v>31</v>
      </c>
      <c r="C91" s="15">
        <v>1157</v>
      </c>
      <c r="D91" s="16">
        <v>1128</v>
      </c>
      <c r="E91" s="15">
        <f>IF(OR(D91="-",D91="",D91=0),IF(C91="-","-",C91),C91-D91)</f>
        <v>29</v>
      </c>
      <c r="F91" s="17">
        <f>IFERROR(IF(C91&gt;0, D91/C91, 0),"-")</f>
        <v>0.97493517718236822</v>
      </c>
      <c r="G91" s="15">
        <v>16</v>
      </c>
      <c r="H91" s="16" t="s">
        <v>142</v>
      </c>
      <c r="I91" s="15">
        <f>IF(OR(H91="-",H91="",H91=0),IF(G91="-","-",G91),G91-H91)</f>
        <v>16</v>
      </c>
      <c r="J91" s="17" t="str">
        <f>IFERROR(IF(G91&gt;0, H91/G91, 0),"-")</f>
        <v>-</v>
      </c>
      <c r="K91" s="15">
        <v>10</v>
      </c>
      <c r="L91" s="16" t="s">
        <v>142</v>
      </c>
      <c r="M91" s="15">
        <f>IF(OR(L91="-",L91="",L91=0),IF(K91="-","-",K91),K91-L91)</f>
        <v>10</v>
      </c>
      <c r="N91" s="17" t="str">
        <f>IFERROR(IF(K91&gt;0, L91/K91, 0),"-")</f>
        <v>-</v>
      </c>
      <c r="O91" s="15">
        <v>4</v>
      </c>
      <c r="P91" s="16" t="s">
        <v>142</v>
      </c>
      <c r="Q91" s="15">
        <f>IF(OR(P91="-",P91="",P91=0),IF(O91="-","-",O91),O91-P91)</f>
        <v>4</v>
      </c>
      <c r="R91" s="17" t="str">
        <f>IFERROR(IF(O91&gt;0, P91/O91, 0),"-")</f>
        <v>-</v>
      </c>
      <c r="S91" s="15">
        <v>1629</v>
      </c>
      <c r="T91" s="15" t="s">
        <v>142</v>
      </c>
      <c r="U91" s="15" t="s">
        <v>142</v>
      </c>
      <c r="V91" s="16" t="s">
        <v>142</v>
      </c>
      <c r="W91" s="16" t="s">
        <v>142</v>
      </c>
      <c r="X91" s="21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3">
      <c r="B92" s="14" t="s">
        <v>54</v>
      </c>
      <c r="C92" s="15">
        <v>1070</v>
      </c>
      <c r="D92" s="16">
        <v>1043</v>
      </c>
      <c r="E92" s="15">
        <f>IF(OR(D92="-",D92="",D92=0),IF(C92="-","-",C92),C92-D92)</f>
        <v>27</v>
      </c>
      <c r="F92" s="17">
        <f>IFERROR(IF(C92&gt;0, D92/C92, 0),"-")</f>
        <v>0.97476635514018695</v>
      </c>
      <c r="G92" s="15">
        <v>14</v>
      </c>
      <c r="H92" s="16" t="s">
        <v>142</v>
      </c>
      <c r="I92" s="15">
        <f>IF(OR(H92="-",H92="",H92=0),IF(G92="-","-",G92),G92-H92)</f>
        <v>14</v>
      </c>
      <c r="J92" s="17" t="str">
        <f>IFERROR(IF(G92&gt;0, H92/G92, 0),"-")</f>
        <v>-</v>
      </c>
      <c r="K92" s="15">
        <v>13</v>
      </c>
      <c r="L92" s="16" t="s">
        <v>142</v>
      </c>
      <c r="M92" s="15">
        <f>IF(OR(L92="-",L92="",L92=0),IF(K92="-","-",K92),K92-L92)</f>
        <v>13</v>
      </c>
      <c r="N92" s="17" t="str">
        <f>IFERROR(IF(K92&gt;0, L92/K92, 0),"-")</f>
        <v>-</v>
      </c>
      <c r="O92" s="15">
        <v>13</v>
      </c>
      <c r="P92" s="16" t="s">
        <v>142</v>
      </c>
      <c r="Q92" s="15">
        <f>IF(OR(P92="-",P92="",P92=0),IF(O92="-","-",O92),O92-P92)</f>
        <v>13</v>
      </c>
      <c r="R92" s="17" t="str">
        <f>IFERROR(IF(O92&gt;0, P92/O92, 0),"-")</f>
        <v>-</v>
      </c>
      <c r="S92" s="15">
        <v>709</v>
      </c>
      <c r="T92" s="15" t="s">
        <v>142</v>
      </c>
      <c r="U92" s="15" t="s">
        <v>142</v>
      </c>
      <c r="V92" s="16" t="s">
        <v>142</v>
      </c>
      <c r="W92" s="16" t="s">
        <v>142</v>
      </c>
      <c r="X92" s="21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3">
      <c r="B93" s="14" t="s">
        <v>124</v>
      </c>
      <c r="C93" s="15">
        <v>1145</v>
      </c>
      <c r="D93" s="16">
        <v>1115</v>
      </c>
      <c r="E93" s="15">
        <f>IF(OR(D93="-",D93="",D93=0),IF(C93="-","-",C93),C93-D93)</f>
        <v>30</v>
      </c>
      <c r="F93" s="17">
        <f>IFERROR(IF(C93&gt;0, D93/C93, 0),"-")</f>
        <v>0.97379912663755464</v>
      </c>
      <c r="G93" s="15">
        <v>6</v>
      </c>
      <c r="H93" s="16" t="s">
        <v>142</v>
      </c>
      <c r="I93" s="15">
        <f>IF(OR(H93="-",H93="",H93=0),IF(G93="-","-",G93),G93-H93)</f>
        <v>6</v>
      </c>
      <c r="J93" s="17" t="str">
        <f>IFERROR(IF(G93&gt;0, H93/G93, 0),"-")</f>
        <v>-</v>
      </c>
      <c r="K93" s="15">
        <v>8</v>
      </c>
      <c r="L93" s="16" t="s">
        <v>142</v>
      </c>
      <c r="M93" s="15">
        <f>IF(OR(L93="-",L93="",L93=0),IF(K93="-","-",K93),K93-L93)</f>
        <v>8</v>
      </c>
      <c r="N93" s="17" t="str">
        <f>IFERROR(IF(K93&gt;0, L93/K93, 0),"-")</f>
        <v>-</v>
      </c>
      <c r="O93" s="15">
        <v>24</v>
      </c>
      <c r="P93" s="16" t="s">
        <v>142</v>
      </c>
      <c r="Q93" s="15">
        <f>IF(OR(P93="-",P93="",P93=0),IF(O93="-","-",O93),O93-P93)</f>
        <v>24</v>
      </c>
      <c r="R93" s="17" t="str">
        <f>IFERROR(IF(O93&gt;0, P93/O93, 0),"-")</f>
        <v>-</v>
      </c>
      <c r="S93" s="15">
        <v>187</v>
      </c>
      <c r="T93" s="15" t="s">
        <v>142</v>
      </c>
      <c r="U93" s="15" t="s">
        <v>142</v>
      </c>
      <c r="V93" s="16" t="s">
        <v>142</v>
      </c>
      <c r="W93" s="16" t="s">
        <v>142</v>
      </c>
      <c r="X93" s="21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3">
      <c r="B94" s="14" t="s">
        <v>38</v>
      </c>
      <c r="C94" s="15">
        <v>1259</v>
      </c>
      <c r="D94" s="16">
        <v>1226</v>
      </c>
      <c r="E94" s="15">
        <f>IF(OR(D94="-",D94="",D94=0),IF(C94="-","-",C94),C94-D94)</f>
        <v>33</v>
      </c>
      <c r="F94" s="17">
        <f>IFERROR(IF(C94&gt;0, D94/C94, 0),"-")</f>
        <v>0.97378872120730742</v>
      </c>
      <c r="G94" s="15">
        <v>12</v>
      </c>
      <c r="H94" s="16" t="s">
        <v>142</v>
      </c>
      <c r="I94" s="15">
        <f>IF(OR(H94="-",H94="",H94=0),IF(G94="-","-",G94),G94-H94)</f>
        <v>12</v>
      </c>
      <c r="J94" s="17" t="str">
        <f>IFERROR(IF(G94&gt;0, H94/G94, 0),"-")</f>
        <v>-</v>
      </c>
      <c r="K94" s="15">
        <v>25</v>
      </c>
      <c r="L94" s="16" t="s">
        <v>142</v>
      </c>
      <c r="M94" s="15">
        <f>IF(OR(L94="-",L94="",L94=0),IF(K94="-","-",K94),K94-L94)</f>
        <v>25</v>
      </c>
      <c r="N94" s="17" t="str">
        <f>IFERROR(IF(K94&gt;0, L94/K94, 0),"-")</f>
        <v>-</v>
      </c>
      <c r="O94" s="15">
        <v>25</v>
      </c>
      <c r="P94" s="16" t="s">
        <v>142</v>
      </c>
      <c r="Q94" s="15">
        <f>IF(OR(P94="-",P94="",P94=0),IF(O94="-","-",O94),O94-P94)</f>
        <v>25</v>
      </c>
      <c r="R94" s="17" t="str">
        <f>IFERROR(IF(O94&gt;0, P94/O94, 0),"-")</f>
        <v>-</v>
      </c>
      <c r="S94" s="15">
        <v>557</v>
      </c>
      <c r="T94" s="15" t="s">
        <v>142</v>
      </c>
      <c r="U94" s="15" t="s">
        <v>142</v>
      </c>
      <c r="V94" s="16" t="s">
        <v>142</v>
      </c>
      <c r="W94" s="16" t="s">
        <v>142</v>
      </c>
      <c r="X94" s="21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3">
      <c r="B95" s="14" t="s">
        <v>131</v>
      </c>
      <c r="C95" s="15">
        <v>682</v>
      </c>
      <c r="D95" s="16">
        <v>664</v>
      </c>
      <c r="E95" s="15">
        <f>IF(OR(D95="-",D95="",D95=0),IF(C95="-","-",C95),C95-D95)</f>
        <v>18</v>
      </c>
      <c r="F95" s="17">
        <f>IFERROR(IF(C95&gt;0, D95/C95, 0),"-")</f>
        <v>0.97360703812316718</v>
      </c>
      <c r="G95" s="15">
        <v>6</v>
      </c>
      <c r="H95" s="16" t="s">
        <v>142</v>
      </c>
      <c r="I95" s="15">
        <f>IF(OR(H95="-",H95="",H95=0),IF(G95="-","-",G95),G95-H95)</f>
        <v>6</v>
      </c>
      <c r="J95" s="17" t="str">
        <f>IFERROR(IF(G95&gt;0, H95/G95, 0),"-")</f>
        <v>-</v>
      </c>
      <c r="K95" s="15">
        <v>6</v>
      </c>
      <c r="L95" s="16" t="s">
        <v>142</v>
      </c>
      <c r="M95" s="15">
        <f>IF(OR(L95="-",L95="",L95=0),IF(K95="-","-",K95),K95-L95)</f>
        <v>6</v>
      </c>
      <c r="N95" s="17" t="str">
        <f>IFERROR(IF(K95&gt;0, L95/K95, 0),"-")</f>
        <v>-</v>
      </c>
      <c r="O95" s="15">
        <v>7</v>
      </c>
      <c r="P95" s="16" t="s">
        <v>142</v>
      </c>
      <c r="Q95" s="15">
        <f>IF(OR(P95="-",P95="",P95=0),IF(O95="-","-",O95),O95-P95)</f>
        <v>7</v>
      </c>
      <c r="R95" s="17" t="str">
        <f>IFERROR(IF(O95&gt;0, P95/O95, 0),"-")</f>
        <v>-</v>
      </c>
      <c r="S95" s="15">
        <v>643</v>
      </c>
      <c r="T95" s="15" t="s">
        <v>142</v>
      </c>
      <c r="U95" s="15" t="s">
        <v>142</v>
      </c>
      <c r="V95" s="16" t="s">
        <v>142</v>
      </c>
      <c r="W95" s="16" t="s">
        <v>142</v>
      </c>
      <c r="X95" s="21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3">
      <c r="B96" s="14" t="s">
        <v>44</v>
      </c>
      <c r="C96" s="15">
        <v>1246</v>
      </c>
      <c r="D96" s="16">
        <v>1213</v>
      </c>
      <c r="E96" s="15">
        <f>IF(OR(D96="-",D96="",D96=0),IF(C96="-","-",C96),C96-D96)</f>
        <v>33</v>
      </c>
      <c r="F96" s="17">
        <f>IFERROR(IF(C96&gt;0, D96/C96, 0),"-")</f>
        <v>0.9735152487961477</v>
      </c>
      <c r="G96" s="15">
        <v>17</v>
      </c>
      <c r="H96" s="16" t="s">
        <v>142</v>
      </c>
      <c r="I96" s="15">
        <f>IF(OR(H96="-",H96="",H96=0),IF(G96="-","-",G96),G96-H96)</f>
        <v>17</v>
      </c>
      <c r="J96" s="17" t="str">
        <f>IFERROR(IF(G96&gt;0, H96/G96, 0),"-")</f>
        <v>-</v>
      </c>
      <c r="K96" s="15">
        <v>12</v>
      </c>
      <c r="L96" s="16" t="s">
        <v>142</v>
      </c>
      <c r="M96" s="15">
        <f>IF(OR(L96="-",L96="",L96=0),IF(K96="-","-",K96),K96-L96)</f>
        <v>12</v>
      </c>
      <c r="N96" s="17" t="str">
        <f>IFERROR(IF(K96&gt;0, L96/K96, 0),"-")</f>
        <v>-</v>
      </c>
      <c r="O96" s="15">
        <v>20</v>
      </c>
      <c r="P96" s="16" t="s">
        <v>142</v>
      </c>
      <c r="Q96" s="15">
        <f>IF(OR(P96="-",P96="",P96=0),IF(O96="-","-",O96),O96-P96)</f>
        <v>20</v>
      </c>
      <c r="R96" s="17" t="str">
        <f>IFERROR(IF(O96&gt;0, P96/O96, 0),"-")</f>
        <v>-</v>
      </c>
      <c r="S96" s="15">
        <v>537</v>
      </c>
      <c r="T96" s="15" t="s">
        <v>142</v>
      </c>
      <c r="U96" s="15" t="s">
        <v>142</v>
      </c>
      <c r="V96" s="16" t="s">
        <v>142</v>
      </c>
      <c r="W96" s="16" t="s">
        <v>142</v>
      </c>
      <c r="X96" s="21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3">
      <c r="B97" s="14" t="s">
        <v>26</v>
      </c>
      <c r="C97" s="15">
        <v>709</v>
      </c>
      <c r="D97" s="16">
        <v>690</v>
      </c>
      <c r="E97" s="15">
        <f>IF(OR(D97="-",D97="",D97=0),IF(C97="-","-",C97),C97-D97)</f>
        <v>19</v>
      </c>
      <c r="F97" s="17">
        <f>IFERROR(IF(C97&gt;0, D97/C97, 0),"-")</f>
        <v>0.97320169252468269</v>
      </c>
      <c r="G97" s="15">
        <v>2</v>
      </c>
      <c r="H97" s="16" t="s">
        <v>142</v>
      </c>
      <c r="I97" s="15">
        <f>IF(OR(H97="-",H97="",H97=0),IF(G97="-","-",G97),G97-H97)</f>
        <v>2</v>
      </c>
      <c r="J97" s="17" t="str">
        <f>IFERROR(IF(G97&gt;0, H97/G97, 0),"-")</f>
        <v>-</v>
      </c>
      <c r="K97" s="15">
        <v>5</v>
      </c>
      <c r="L97" s="16" t="s">
        <v>142</v>
      </c>
      <c r="M97" s="15">
        <f>IF(OR(L97="-",L97="",L97=0),IF(K97="-","-",K97),K97-L97)</f>
        <v>5</v>
      </c>
      <c r="N97" s="17" t="str">
        <f>IFERROR(IF(K97&gt;0, L97/K97, 0),"-")</f>
        <v>-</v>
      </c>
      <c r="O97" s="15">
        <v>1</v>
      </c>
      <c r="P97" s="16" t="s">
        <v>142</v>
      </c>
      <c r="Q97" s="15">
        <f>IF(OR(P97="-",P97="",P97=0),IF(O97="-","-",O97),O97-P97)</f>
        <v>1</v>
      </c>
      <c r="R97" s="17" t="str">
        <f>IFERROR(IF(O97&gt;0, P97/O97, 0),"-")</f>
        <v>-</v>
      </c>
      <c r="S97" s="15">
        <v>2</v>
      </c>
      <c r="T97" s="15" t="s">
        <v>142</v>
      </c>
      <c r="U97" s="15" t="s">
        <v>142</v>
      </c>
      <c r="V97" s="16" t="s">
        <v>142</v>
      </c>
      <c r="W97" s="16" t="s">
        <v>142</v>
      </c>
      <c r="X97" s="21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3">
      <c r="B98" s="14" t="s">
        <v>82</v>
      </c>
      <c r="C98" s="15">
        <v>1153</v>
      </c>
      <c r="D98" s="16">
        <v>1122</v>
      </c>
      <c r="E98" s="15">
        <f>IF(OR(D98="-",D98="",D98=0),IF(C98="-","-",C98),C98-D98)</f>
        <v>31</v>
      </c>
      <c r="F98" s="17">
        <f>IFERROR(IF(C98&gt;0, D98/C98, 0),"-")</f>
        <v>0.97311361665221163</v>
      </c>
      <c r="G98" s="15">
        <v>16</v>
      </c>
      <c r="H98" s="16" t="s">
        <v>142</v>
      </c>
      <c r="I98" s="15">
        <f>IF(OR(H98="-",H98="",H98=0),IF(G98="-","-",G98),G98-H98)</f>
        <v>16</v>
      </c>
      <c r="J98" s="17" t="str">
        <f>IFERROR(IF(G98&gt;0, H98/G98, 0),"-")</f>
        <v>-</v>
      </c>
      <c r="K98" s="15">
        <v>17</v>
      </c>
      <c r="L98" s="16" t="s">
        <v>142</v>
      </c>
      <c r="M98" s="15">
        <f>IF(OR(L98="-",L98="",L98=0),IF(K98="-","-",K98),K98-L98)</f>
        <v>17</v>
      </c>
      <c r="N98" s="17" t="str">
        <f>IFERROR(IF(K98&gt;0, L98/K98, 0),"-")</f>
        <v>-</v>
      </c>
      <c r="O98" s="15">
        <v>33</v>
      </c>
      <c r="P98" s="16" t="s">
        <v>142</v>
      </c>
      <c r="Q98" s="15">
        <f>IF(OR(P98="-",P98="",P98=0),IF(O98="-","-",O98),O98-P98)</f>
        <v>33</v>
      </c>
      <c r="R98" s="17" t="str">
        <f>IFERROR(IF(O98&gt;0, P98/O98, 0),"-")</f>
        <v>-</v>
      </c>
      <c r="S98" s="15">
        <v>865</v>
      </c>
      <c r="T98" s="15" t="s">
        <v>142</v>
      </c>
      <c r="U98" s="15" t="s">
        <v>142</v>
      </c>
      <c r="V98" s="16" t="s">
        <v>142</v>
      </c>
      <c r="W98" s="16" t="s">
        <v>142</v>
      </c>
      <c r="X98" s="21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3">
      <c r="B99" s="14" t="s">
        <v>89</v>
      </c>
      <c r="C99" s="15">
        <v>1561</v>
      </c>
      <c r="D99" s="16">
        <v>1519</v>
      </c>
      <c r="E99" s="15">
        <f>IF(OR(D99="-",D99="",D99=0),IF(C99="-","-",C99),C99-D99)</f>
        <v>42</v>
      </c>
      <c r="F99" s="17">
        <f>IFERROR(IF(C99&gt;0, D99/C99, 0),"-")</f>
        <v>0.97309417040358748</v>
      </c>
      <c r="G99" s="15">
        <v>31</v>
      </c>
      <c r="H99" s="16" t="s">
        <v>142</v>
      </c>
      <c r="I99" s="15">
        <f>IF(OR(H99="-",H99="",H99=0),IF(G99="-","-",G99),G99-H99)</f>
        <v>31</v>
      </c>
      <c r="J99" s="17" t="str">
        <f>IFERROR(IF(G99&gt;0, H99/G99, 0),"-")</f>
        <v>-</v>
      </c>
      <c r="K99" s="15">
        <v>33</v>
      </c>
      <c r="L99" s="16" t="s">
        <v>142</v>
      </c>
      <c r="M99" s="15">
        <f>IF(OR(L99="-",L99="",L99=0),IF(K99="-","-",K99),K99-L99)</f>
        <v>33</v>
      </c>
      <c r="N99" s="17" t="str">
        <f>IFERROR(IF(K99&gt;0, L99/K99, 0),"-")</f>
        <v>-</v>
      </c>
      <c r="O99" s="15">
        <v>23</v>
      </c>
      <c r="P99" s="16" t="s">
        <v>142</v>
      </c>
      <c r="Q99" s="15">
        <f>IF(OR(P99="-",P99="",P99=0),IF(O99="-","-",O99),O99-P99)</f>
        <v>23</v>
      </c>
      <c r="R99" s="17" t="str">
        <f>IFERROR(IF(O99&gt;0, P99/O99, 0),"-")</f>
        <v>-</v>
      </c>
      <c r="S99" s="15">
        <v>1160</v>
      </c>
      <c r="T99" s="15" t="s">
        <v>142</v>
      </c>
      <c r="U99" s="15" t="s">
        <v>142</v>
      </c>
      <c r="V99" s="16" t="s">
        <v>142</v>
      </c>
      <c r="W99" s="16" t="s">
        <v>142</v>
      </c>
      <c r="X99" s="21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3">
      <c r="B100" s="14" t="s">
        <v>111</v>
      </c>
      <c r="C100" s="15">
        <v>816</v>
      </c>
      <c r="D100" s="16">
        <v>794</v>
      </c>
      <c r="E100" s="15">
        <f>IF(OR(D100="-",D100="",D100=0),IF(C100="-","-",C100),C100-D100)</f>
        <v>22</v>
      </c>
      <c r="F100" s="17">
        <f>IFERROR(IF(C100&gt;0, D100/C100, 0),"-")</f>
        <v>0.97303921568627449</v>
      </c>
      <c r="G100" s="15">
        <v>19</v>
      </c>
      <c r="H100" s="16" t="s">
        <v>142</v>
      </c>
      <c r="I100" s="15">
        <f>IF(OR(H100="-",H100="",H100=0),IF(G100="-","-",G100),G100-H100)</f>
        <v>19</v>
      </c>
      <c r="J100" s="17" t="str">
        <f>IFERROR(IF(G100&gt;0, H100/G100, 0),"-")</f>
        <v>-</v>
      </c>
      <c r="K100" s="15" t="s">
        <v>142</v>
      </c>
      <c r="L100" s="16" t="s">
        <v>142</v>
      </c>
      <c r="M100" s="15" t="str">
        <f>IF(OR(L100="-",L100="",L100=0),IF(K100="-","-",K100),K100-L100)</f>
        <v>-</v>
      </c>
      <c r="N100" s="17" t="str">
        <f>IFERROR(IF(K100&gt;0, L100/K100, 0),"-")</f>
        <v>-</v>
      </c>
      <c r="O100" s="15">
        <v>19</v>
      </c>
      <c r="P100" s="16" t="s">
        <v>142</v>
      </c>
      <c r="Q100" s="15">
        <f>IF(OR(P100="-",P100="",P100=0),IF(O100="-","-",O100),O100-P100)</f>
        <v>19</v>
      </c>
      <c r="R100" s="17" t="str">
        <f>IFERROR(IF(O100&gt;0, P100/O100, 0),"-")</f>
        <v>-</v>
      </c>
      <c r="S100" s="15">
        <v>76</v>
      </c>
      <c r="T100" s="15" t="s">
        <v>142</v>
      </c>
      <c r="U100" s="15" t="s">
        <v>142</v>
      </c>
      <c r="V100" s="16" t="s">
        <v>142</v>
      </c>
      <c r="W100" s="16" t="s">
        <v>142</v>
      </c>
      <c r="X100" s="21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3">
      <c r="B101" s="14" t="s">
        <v>99</v>
      </c>
      <c r="C101" s="15">
        <v>1179</v>
      </c>
      <c r="D101" s="16">
        <v>1147</v>
      </c>
      <c r="E101" s="15">
        <f>IF(OR(D101="-",D101="",D101=0),IF(C101="-","-",C101),C101-D101)</f>
        <v>32</v>
      </c>
      <c r="F101" s="17">
        <f>IFERROR(IF(C101&gt;0, D101/C101, 0),"-")</f>
        <v>0.97285835453774383</v>
      </c>
      <c r="G101" s="15">
        <v>9</v>
      </c>
      <c r="H101" s="16" t="s">
        <v>142</v>
      </c>
      <c r="I101" s="15">
        <f>IF(OR(H101="-",H101="",H101=0),IF(G101="-","-",G101),G101-H101)</f>
        <v>9</v>
      </c>
      <c r="J101" s="17" t="str">
        <f>IFERROR(IF(G101&gt;0, H101/G101, 0),"-")</f>
        <v>-</v>
      </c>
      <c r="K101" s="15">
        <v>13</v>
      </c>
      <c r="L101" s="16" t="s">
        <v>142</v>
      </c>
      <c r="M101" s="15">
        <f>IF(OR(L101="-",L101="",L101=0),IF(K101="-","-",K101),K101-L101)</f>
        <v>13</v>
      </c>
      <c r="N101" s="17" t="str">
        <f>IFERROR(IF(K101&gt;0, L101/K101, 0),"-")</f>
        <v>-</v>
      </c>
      <c r="O101" s="15">
        <v>17</v>
      </c>
      <c r="P101" s="16" t="s">
        <v>142</v>
      </c>
      <c r="Q101" s="15">
        <f>IF(OR(P101="-",P101="",P101=0),IF(O101="-","-",O101),O101-P101)</f>
        <v>17</v>
      </c>
      <c r="R101" s="17" t="str">
        <f>IFERROR(IF(O101&gt;0, P101/O101, 0),"-")</f>
        <v>-</v>
      </c>
      <c r="S101" s="15">
        <v>1069</v>
      </c>
      <c r="T101" s="15" t="s">
        <v>142</v>
      </c>
      <c r="U101" s="15" t="s">
        <v>142</v>
      </c>
      <c r="V101" s="16" t="s">
        <v>142</v>
      </c>
      <c r="W101" s="16" t="s">
        <v>142</v>
      </c>
      <c r="X101" s="21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3">
      <c r="B102" s="14" t="s">
        <v>101</v>
      </c>
      <c r="C102" s="15">
        <v>694</v>
      </c>
      <c r="D102" s="16">
        <v>675</v>
      </c>
      <c r="E102" s="15">
        <f>IF(OR(D102="-",D102="",D102=0),IF(C102="-","-",C102),C102-D102)</f>
        <v>19</v>
      </c>
      <c r="F102" s="17">
        <f>IFERROR(IF(C102&gt;0, D102/C102, 0),"-")</f>
        <v>0.97262247838616711</v>
      </c>
      <c r="G102" s="15">
        <v>29</v>
      </c>
      <c r="H102" s="16" t="s">
        <v>142</v>
      </c>
      <c r="I102" s="15">
        <f>IF(OR(H102="-",H102="",H102=0),IF(G102="-","-",G102),G102-H102)</f>
        <v>29</v>
      </c>
      <c r="J102" s="17" t="str">
        <f>IFERROR(IF(G102&gt;0, H102/G102, 0),"-")</f>
        <v>-</v>
      </c>
      <c r="K102" s="15">
        <v>39</v>
      </c>
      <c r="L102" s="16" t="s">
        <v>142</v>
      </c>
      <c r="M102" s="15">
        <f>IF(OR(L102="-",L102="",L102=0),IF(K102="-","-",K102),K102-L102)</f>
        <v>39</v>
      </c>
      <c r="N102" s="17" t="str">
        <f>IFERROR(IF(K102&gt;0, L102/K102, 0),"-")</f>
        <v>-</v>
      </c>
      <c r="O102" s="15">
        <v>29</v>
      </c>
      <c r="P102" s="16" t="s">
        <v>142</v>
      </c>
      <c r="Q102" s="15">
        <f>IF(OR(P102="-",P102="",P102=0),IF(O102="-","-",O102),O102-P102)</f>
        <v>29</v>
      </c>
      <c r="R102" s="17" t="str">
        <f>IFERROR(IF(O102&gt;0, P102/O102, 0),"-")</f>
        <v>-</v>
      </c>
      <c r="S102" s="15">
        <v>1559</v>
      </c>
      <c r="T102" s="15" t="s">
        <v>142</v>
      </c>
      <c r="U102" s="15" t="s">
        <v>142</v>
      </c>
      <c r="V102" s="16" t="s">
        <v>142</v>
      </c>
      <c r="W102" s="16" t="s">
        <v>142</v>
      </c>
      <c r="X102" s="21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3">
      <c r="B103" s="14" t="s">
        <v>86</v>
      </c>
      <c r="C103" s="15">
        <v>1890</v>
      </c>
      <c r="D103" s="16">
        <v>1838</v>
      </c>
      <c r="E103" s="15">
        <f>IF(OR(D103="-",D103="",D103=0),IF(C103="-","-",C103),C103-D103)</f>
        <v>52</v>
      </c>
      <c r="F103" s="17">
        <f>IFERROR(IF(C103&gt;0, D103/C103, 0),"-")</f>
        <v>0.97248677248677251</v>
      </c>
      <c r="G103" s="15">
        <v>17</v>
      </c>
      <c r="H103" s="16" t="s">
        <v>142</v>
      </c>
      <c r="I103" s="15">
        <f>IF(OR(H103="-",H103="",H103=0),IF(G103="-","-",G103),G103-H103)</f>
        <v>17</v>
      </c>
      <c r="J103" s="17" t="str">
        <f>IFERROR(IF(G103&gt;0, H103/G103, 0),"-")</f>
        <v>-</v>
      </c>
      <c r="K103" s="15">
        <v>16</v>
      </c>
      <c r="L103" s="16" t="s">
        <v>142</v>
      </c>
      <c r="M103" s="15">
        <f>IF(OR(L103="-",L103="",L103=0),IF(K103="-","-",K103),K103-L103)</f>
        <v>16</v>
      </c>
      <c r="N103" s="17" t="str">
        <f>IFERROR(IF(K103&gt;0, L103/K103, 0),"-")</f>
        <v>-</v>
      </c>
      <c r="O103" s="15">
        <v>18</v>
      </c>
      <c r="P103" s="16" t="s">
        <v>142</v>
      </c>
      <c r="Q103" s="15">
        <f>IF(OR(P103="-",P103="",P103=0),IF(O103="-","-",O103),O103-P103)</f>
        <v>18</v>
      </c>
      <c r="R103" s="17" t="str">
        <f>IFERROR(IF(O103&gt;0, P103/O103, 0),"-")</f>
        <v>-</v>
      </c>
      <c r="S103" s="15">
        <v>617</v>
      </c>
      <c r="T103" s="15" t="s">
        <v>142</v>
      </c>
      <c r="U103" s="15" t="s">
        <v>142</v>
      </c>
      <c r="V103" s="16" t="s">
        <v>142</v>
      </c>
      <c r="W103" s="16" t="s">
        <v>142</v>
      </c>
      <c r="X103" s="21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3">
      <c r="B104" s="14" t="s">
        <v>71</v>
      </c>
      <c r="C104" s="15">
        <v>852</v>
      </c>
      <c r="D104" s="16">
        <v>828</v>
      </c>
      <c r="E104" s="15">
        <f>IF(OR(D104="-",D104="",D104=0),IF(C104="-","-",C104),C104-D104)</f>
        <v>24</v>
      </c>
      <c r="F104" s="17">
        <f>IFERROR(IF(C104&gt;0, D104/C104, 0),"-")</f>
        <v>0.971830985915493</v>
      </c>
      <c r="G104" s="15">
        <v>5</v>
      </c>
      <c r="H104" s="16" t="s">
        <v>142</v>
      </c>
      <c r="I104" s="15">
        <f>IF(OR(H104="-",H104="",H104=0),IF(G104="-","-",G104),G104-H104)</f>
        <v>5</v>
      </c>
      <c r="J104" s="17" t="str">
        <f>IFERROR(IF(G104&gt;0, H104/G104, 0),"-")</f>
        <v>-</v>
      </c>
      <c r="K104" s="15">
        <v>3</v>
      </c>
      <c r="L104" s="16" t="s">
        <v>142</v>
      </c>
      <c r="M104" s="15">
        <f>IF(OR(L104="-",L104="",L104=0),IF(K104="-","-",K104),K104-L104)</f>
        <v>3</v>
      </c>
      <c r="N104" s="17" t="str">
        <f>IFERROR(IF(K104&gt;0, L104/K104, 0),"-")</f>
        <v>-</v>
      </c>
      <c r="O104" s="15">
        <v>4</v>
      </c>
      <c r="P104" s="16" t="s">
        <v>142</v>
      </c>
      <c r="Q104" s="15">
        <f>IF(OR(P104="-",P104="",P104=0),IF(O104="-","-",O104),O104-P104)</f>
        <v>4</v>
      </c>
      <c r="R104" s="17" t="str">
        <f>IFERROR(IF(O104&gt;0, P104/O104, 0),"-")</f>
        <v>-</v>
      </c>
      <c r="S104" s="15">
        <v>299</v>
      </c>
      <c r="T104" s="15" t="s">
        <v>142</v>
      </c>
      <c r="U104" s="15" t="s">
        <v>142</v>
      </c>
      <c r="V104" s="16" t="s">
        <v>142</v>
      </c>
      <c r="W104" s="16" t="s">
        <v>142</v>
      </c>
      <c r="X104" s="21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3">
      <c r="B105" s="14" t="s">
        <v>23</v>
      </c>
      <c r="C105" s="15">
        <v>1240</v>
      </c>
      <c r="D105" s="16">
        <v>1205</v>
      </c>
      <c r="E105" s="15">
        <f>IF(OR(D105="-",D105="",D105=0),IF(C105="-","-",C105),C105-D105)</f>
        <v>35</v>
      </c>
      <c r="F105" s="17">
        <f>IFERROR(IF(C105&gt;0, D105/C105, 0),"-")</f>
        <v>0.97177419354838712</v>
      </c>
      <c r="G105" s="15">
        <v>14</v>
      </c>
      <c r="H105" s="16" t="s">
        <v>142</v>
      </c>
      <c r="I105" s="15">
        <f>IF(OR(H105="-",H105="",H105=0),IF(G105="-","-",G105),G105-H105)</f>
        <v>14</v>
      </c>
      <c r="J105" s="17" t="str">
        <f>IFERROR(IF(G105&gt;0, H105/G105, 0),"-")</f>
        <v>-</v>
      </c>
      <c r="K105" s="15">
        <v>13</v>
      </c>
      <c r="L105" s="16" t="s">
        <v>142</v>
      </c>
      <c r="M105" s="15">
        <f>IF(OR(L105="-",L105="",L105=0),IF(K105="-","-",K105),K105-L105)</f>
        <v>13</v>
      </c>
      <c r="N105" s="17" t="str">
        <f>IFERROR(IF(K105&gt;0, L105/K105, 0),"-")</f>
        <v>-</v>
      </c>
      <c r="O105" s="15">
        <v>25</v>
      </c>
      <c r="P105" s="16" t="s">
        <v>142</v>
      </c>
      <c r="Q105" s="15">
        <f>IF(OR(P105="-",P105="",P105=0),IF(O105="-","-",O105),O105-P105)</f>
        <v>25</v>
      </c>
      <c r="R105" s="17" t="str">
        <f>IFERROR(IF(O105&gt;0, P105/O105, 0),"-")</f>
        <v>-</v>
      </c>
      <c r="S105" s="15">
        <v>1078</v>
      </c>
      <c r="T105" s="15" t="s">
        <v>142</v>
      </c>
      <c r="U105" s="15" t="s">
        <v>142</v>
      </c>
      <c r="V105" s="16" t="s">
        <v>142</v>
      </c>
      <c r="W105" s="16" t="s">
        <v>142</v>
      </c>
      <c r="X105" s="21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3">
      <c r="B106" s="14" t="s">
        <v>110</v>
      </c>
      <c r="C106" s="15">
        <v>1637</v>
      </c>
      <c r="D106" s="16">
        <v>1590</v>
      </c>
      <c r="E106" s="15">
        <f>IF(OR(D106="-",D106="",D106=0),IF(C106="-","-",C106),C106-D106)</f>
        <v>47</v>
      </c>
      <c r="F106" s="17">
        <f>IFERROR(IF(C106&gt;0, D106/C106, 0),"-")</f>
        <v>0.97128894318875991</v>
      </c>
      <c r="G106" s="15">
        <v>14</v>
      </c>
      <c r="H106" s="16" t="s">
        <v>142</v>
      </c>
      <c r="I106" s="15">
        <f>IF(OR(H106="-",H106="",H106=0),IF(G106="-","-",G106),G106-H106)</f>
        <v>14</v>
      </c>
      <c r="J106" s="17" t="str">
        <f>IFERROR(IF(G106&gt;0, H106/G106, 0),"-")</f>
        <v>-</v>
      </c>
      <c r="K106" s="15">
        <v>13</v>
      </c>
      <c r="L106" s="16" t="s">
        <v>142</v>
      </c>
      <c r="M106" s="15">
        <f>IF(OR(L106="-",L106="",L106=0),IF(K106="-","-",K106),K106-L106)</f>
        <v>13</v>
      </c>
      <c r="N106" s="17" t="str">
        <f>IFERROR(IF(K106&gt;0, L106/K106, 0),"-")</f>
        <v>-</v>
      </c>
      <c r="O106" s="15">
        <v>12</v>
      </c>
      <c r="P106" s="16" t="s">
        <v>142</v>
      </c>
      <c r="Q106" s="15">
        <f>IF(OR(P106="-",P106="",P106=0),IF(O106="-","-",O106),O106-P106)</f>
        <v>12</v>
      </c>
      <c r="R106" s="17" t="str">
        <f>IFERROR(IF(O106&gt;0, P106/O106, 0),"-")</f>
        <v>-</v>
      </c>
      <c r="S106" s="15">
        <v>24</v>
      </c>
      <c r="T106" s="15" t="s">
        <v>142</v>
      </c>
      <c r="U106" s="15" t="s">
        <v>142</v>
      </c>
      <c r="V106" s="16" t="s">
        <v>142</v>
      </c>
      <c r="W106" s="16" t="s">
        <v>142</v>
      </c>
      <c r="X106" s="21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3">
      <c r="B107" s="14" t="s">
        <v>127</v>
      </c>
      <c r="C107" s="15">
        <v>348</v>
      </c>
      <c r="D107" s="16">
        <v>338</v>
      </c>
      <c r="E107" s="15">
        <f>IF(OR(D107="-",D107="",D107=0),IF(C107="-","-",C107),C107-D107)</f>
        <v>10</v>
      </c>
      <c r="F107" s="17">
        <f>IFERROR(IF(C107&gt;0, D107/C107, 0),"-")</f>
        <v>0.97126436781609193</v>
      </c>
      <c r="G107" s="15">
        <v>4</v>
      </c>
      <c r="H107" s="16" t="s">
        <v>142</v>
      </c>
      <c r="I107" s="15">
        <f>IF(OR(H107="-",H107="",H107=0),IF(G107="-","-",G107),G107-H107)</f>
        <v>4</v>
      </c>
      <c r="J107" s="17" t="str">
        <f>IFERROR(IF(G107&gt;0, H107/G107, 0),"-")</f>
        <v>-</v>
      </c>
      <c r="K107" s="15">
        <v>1</v>
      </c>
      <c r="L107" s="16" t="s">
        <v>142</v>
      </c>
      <c r="M107" s="15">
        <f>IF(OR(L107="-",L107="",L107=0),IF(K107="-","-",K107),K107-L107)</f>
        <v>1</v>
      </c>
      <c r="N107" s="17" t="str">
        <f>IFERROR(IF(K107&gt;0, L107/K107, 0),"-")</f>
        <v>-</v>
      </c>
      <c r="O107" s="15">
        <v>2</v>
      </c>
      <c r="P107" s="16" t="s">
        <v>142</v>
      </c>
      <c r="Q107" s="15">
        <f>IF(OR(P107="-",P107="",P107=0),IF(O107="-","-",O107),O107-P107)</f>
        <v>2</v>
      </c>
      <c r="R107" s="17" t="str">
        <f>IFERROR(IF(O107&gt;0, P107/O107, 0),"-")</f>
        <v>-</v>
      </c>
      <c r="S107" s="15" t="s">
        <v>142</v>
      </c>
      <c r="T107" s="15" t="s">
        <v>142</v>
      </c>
      <c r="U107" s="15" t="s">
        <v>142</v>
      </c>
      <c r="V107" s="16" t="s">
        <v>142</v>
      </c>
      <c r="W107" s="16" t="s">
        <v>142</v>
      </c>
      <c r="X107" s="21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3">
      <c r="B108" s="14" t="s">
        <v>134</v>
      </c>
      <c r="C108" s="15">
        <v>1113</v>
      </c>
      <c r="D108" s="16">
        <v>1081</v>
      </c>
      <c r="E108" s="15">
        <f>IF(OR(D108="-",D108="",D108=0),IF(C108="-","-",C108),C108-D108)</f>
        <v>32</v>
      </c>
      <c r="F108" s="17">
        <f>IFERROR(IF(C108&gt;0, D108/C108, 0),"-")</f>
        <v>0.97124887690925432</v>
      </c>
      <c r="G108" s="15">
        <v>15</v>
      </c>
      <c r="H108" s="16" t="s">
        <v>142</v>
      </c>
      <c r="I108" s="15">
        <f>IF(OR(H108="-",H108="",H108=0),IF(G108="-","-",G108),G108-H108)</f>
        <v>15</v>
      </c>
      <c r="J108" s="17" t="str">
        <f>IFERROR(IF(G108&gt;0, H108/G108, 0),"-")</f>
        <v>-</v>
      </c>
      <c r="K108" s="15">
        <v>14</v>
      </c>
      <c r="L108" s="16" t="s">
        <v>142</v>
      </c>
      <c r="M108" s="15">
        <f>IF(OR(L108="-",L108="",L108=0),IF(K108="-","-",K108),K108-L108)</f>
        <v>14</v>
      </c>
      <c r="N108" s="17" t="str">
        <f>IFERROR(IF(K108&gt;0, L108/K108, 0),"-")</f>
        <v>-</v>
      </c>
      <c r="O108" s="15">
        <v>28</v>
      </c>
      <c r="P108" s="16" t="s">
        <v>142</v>
      </c>
      <c r="Q108" s="15">
        <f>IF(OR(P108="-",P108="",P108=0),IF(O108="-","-",O108),O108-P108)</f>
        <v>28</v>
      </c>
      <c r="R108" s="17" t="str">
        <f>IFERROR(IF(O108&gt;0, P108/O108, 0),"-")</f>
        <v>-</v>
      </c>
      <c r="S108" s="15">
        <v>1178</v>
      </c>
      <c r="T108" s="15" t="s">
        <v>142</v>
      </c>
      <c r="U108" s="15" t="s">
        <v>142</v>
      </c>
      <c r="V108" s="16" t="s">
        <v>142</v>
      </c>
      <c r="W108" s="16" t="s">
        <v>142</v>
      </c>
      <c r="X108" s="21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3">
      <c r="B109" s="14" t="s">
        <v>35</v>
      </c>
      <c r="C109" s="15">
        <v>760</v>
      </c>
      <c r="D109" s="16">
        <v>738</v>
      </c>
      <c r="E109" s="15">
        <f>IF(OR(D109="-",D109="",D109=0),IF(C109="-","-",C109),C109-D109)</f>
        <v>22</v>
      </c>
      <c r="F109" s="17">
        <f>IFERROR(IF(C109&gt;0, D109/C109, 0),"-")</f>
        <v>0.97105263157894739</v>
      </c>
      <c r="G109" s="15">
        <v>8</v>
      </c>
      <c r="H109" s="16" t="s">
        <v>142</v>
      </c>
      <c r="I109" s="15">
        <f>IF(OR(H109="-",H109="",H109=0),IF(G109="-","-",G109),G109-H109)</f>
        <v>8</v>
      </c>
      <c r="J109" s="17" t="str">
        <f>IFERROR(IF(G109&gt;0, H109/G109, 0),"-")</f>
        <v>-</v>
      </c>
      <c r="K109" s="15">
        <v>4</v>
      </c>
      <c r="L109" s="16" t="s">
        <v>142</v>
      </c>
      <c r="M109" s="15">
        <f>IF(OR(L109="-",L109="",L109=0),IF(K109="-","-",K109),K109-L109)</f>
        <v>4</v>
      </c>
      <c r="N109" s="17" t="str">
        <f>IFERROR(IF(K109&gt;0, L109/K109, 0),"-")</f>
        <v>-</v>
      </c>
      <c r="O109" s="15">
        <v>7</v>
      </c>
      <c r="P109" s="16" t="s">
        <v>142</v>
      </c>
      <c r="Q109" s="15">
        <f>IF(OR(P109="-",P109="",P109=0),IF(O109="-","-",O109),O109-P109)</f>
        <v>7</v>
      </c>
      <c r="R109" s="17" t="str">
        <f>IFERROR(IF(O109&gt;0, P109/O109, 0),"-")</f>
        <v>-</v>
      </c>
      <c r="S109" s="15">
        <v>163</v>
      </c>
      <c r="T109" s="15" t="s">
        <v>142</v>
      </c>
      <c r="U109" s="15" t="s">
        <v>142</v>
      </c>
      <c r="V109" s="16" t="s">
        <v>142</v>
      </c>
      <c r="W109" s="16" t="s">
        <v>142</v>
      </c>
      <c r="X109" s="21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3">
      <c r="B110" s="14" t="s">
        <v>59</v>
      </c>
      <c r="C110" s="15">
        <v>1888</v>
      </c>
      <c r="D110" s="16">
        <v>1833</v>
      </c>
      <c r="E110" s="15">
        <f>IF(OR(D110="-",D110="",D110=0),IF(C110="-","-",C110),C110-D110)</f>
        <v>55</v>
      </c>
      <c r="F110" s="17">
        <f>IFERROR(IF(C110&gt;0, D110/C110, 0),"-")</f>
        <v>0.9708686440677966</v>
      </c>
      <c r="G110" s="15">
        <v>29</v>
      </c>
      <c r="H110" s="16" t="s">
        <v>142</v>
      </c>
      <c r="I110" s="15">
        <f>IF(OR(H110="-",H110="",H110=0),IF(G110="-","-",G110),G110-H110)</f>
        <v>29</v>
      </c>
      <c r="J110" s="17" t="str">
        <f>IFERROR(IF(G110&gt;0, H110/G110, 0),"-")</f>
        <v>-</v>
      </c>
      <c r="K110" s="15">
        <v>30</v>
      </c>
      <c r="L110" s="16" t="s">
        <v>142</v>
      </c>
      <c r="M110" s="15">
        <f>IF(OR(L110="-",L110="",L110=0),IF(K110="-","-",K110),K110-L110)</f>
        <v>30</v>
      </c>
      <c r="N110" s="17" t="str">
        <f>IFERROR(IF(K110&gt;0, L110/K110, 0),"-")</f>
        <v>-</v>
      </c>
      <c r="O110" s="15">
        <v>29</v>
      </c>
      <c r="P110" s="16" t="s">
        <v>142</v>
      </c>
      <c r="Q110" s="15">
        <f>IF(OR(P110="-",P110="",P110=0),IF(O110="-","-",O110),O110-P110)</f>
        <v>29</v>
      </c>
      <c r="R110" s="17" t="str">
        <f>IFERROR(IF(O110&gt;0, P110/O110, 0),"-")</f>
        <v>-</v>
      </c>
      <c r="S110" s="15">
        <v>927</v>
      </c>
      <c r="T110" s="15" t="s">
        <v>142</v>
      </c>
      <c r="U110" s="15" t="s">
        <v>142</v>
      </c>
      <c r="V110" s="16" t="s">
        <v>142</v>
      </c>
      <c r="W110" s="16" t="s">
        <v>142</v>
      </c>
      <c r="X110" s="21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3">
      <c r="B111" s="14" t="s">
        <v>69</v>
      </c>
      <c r="C111" s="15">
        <v>853</v>
      </c>
      <c r="D111" s="16">
        <v>828</v>
      </c>
      <c r="E111" s="15">
        <f>IF(OR(D111="-",D111="",D111=0),IF(C111="-","-",C111),C111-D111)</f>
        <v>25</v>
      </c>
      <c r="F111" s="17">
        <f>IFERROR(IF(C111&gt;0, D111/C111, 0),"-")</f>
        <v>0.97069167643610788</v>
      </c>
      <c r="G111" s="15">
        <v>8</v>
      </c>
      <c r="H111" s="16" t="s">
        <v>142</v>
      </c>
      <c r="I111" s="15">
        <f>IF(OR(H111="-",H111="",H111=0),IF(G111="-","-",G111),G111-H111)</f>
        <v>8</v>
      </c>
      <c r="J111" s="17" t="str">
        <f>IFERROR(IF(G111&gt;0, H111/G111, 0),"-")</f>
        <v>-</v>
      </c>
      <c r="K111" s="15">
        <v>11</v>
      </c>
      <c r="L111" s="16" t="s">
        <v>142</v>
      </c>
      <c r="M111" s="15">
        <f>IF(OR(L111="-",L111="",L111=0),IF(K111="-","-",K111),K111-L111)</f>
        <v>11</v>
      </c>
      <c r="N111" s="17" t="str">
        <f>IFERROR(IF(K111&gt;0, L111/K111, 0),"-")</f>
        <v>-</v>
      </c>
      <c r="O111" s="15">
        <v>13</v>
      </c>
      <c r="P111" s="16" t="s">
        <v>142</v>
      </c>
      <c r="Q111" s="15">
        <f>IF(OR(P111="-",P111="",P111=0),IF(O111="-","-",O111),O111-P111)</f>
        <v>13</v>
      </c>
      <c r="R111" s="17" t="str">
        <f>IFERROR(IF(O111&gt;0, P111/O111, 0),"-")</f>
        <v>-</v>
      </c>
      <c r="S111" s="15">
        <v>873</v>
      </c>
      <c r="T111" s="15" t="s">
        <v>142</v>
      </c>
      <c r="U111" s="15" t="s">
        <v>142</v>
      </c>
      <c r="V111" s="16" t="s">
        <v>142</v>
      </c>
      <c r="W111" s="16" t="s">
        <v>142</v>
      </c>
      <c r="X111" s="21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3">
      <c r="B112" s="14" t="s">
        <v>119</v>
      </c>
      <c r="C112" s="15">
        <v>1361</v>
      </c>
      <c r="D112" s="16">
        <v>1321</v>
      </c>
      <c r="E112" s="15">
        <f>IF(OR(D112="-",D112="",D112=0),IF(C112="-","-",C112),C112-D112)</f>
        <v>40</v>
      </c>
      <c r="F112" s="17">
        <f>IFERROR(IF(C112&gt;0, D112/C112, 0),"-")</f>
        <v>0.97060984570168995</v>
      </c>
      <c r="G112" s="15">
        <v>21</v>
      </c>
      <c r="H112" s="16" t="s">
        <v>142</v>
      </c>
      <c r="I112" s="15">
        <f>IF(OR(H112="-",H112="",H112=0),IF(G112="-","-",G112),G112-H112)</f>
        <v>21</v>
      </c>
      <c r="J112" s="17" t="str">
        <f>IFERROR(IF(G112&gt;0, H112/G112, 0),"-")</f>
        <v>-</v>
      </c>
      <c r="K112" s="15">
        <v>29</v>
      </c>
      <c r="L112" s="16" t="s">
        <v>142</v>
      </c>
      <c r="M112" s="15">
        <f>IF(OR(L112="-",L112="",L112=0),IF(K112="-","-",K112),K112-L112)</f>
        <v>29</v>
      </c>
      <c r="N112" s="17" t="str">
        <f>IFERROR(IF(K112&gt;0, L112/K112, 0),"-")</f>
        <v>-</v>
      </c>
      <c r="O112" s="15">
        <v>30</v>
      </c>
      <c r="P112" s="16" t="s">
        <v>142</v>
      </c>
      <c r="Q112" s="15">
        <f>IF(OR(P112="-",P112="",P112=0),IF(O112="-","-",O112),O112-P112)</f>
        <v>30</v>
      </c>
      <c r="R112" s="17" t="str">
        <f>IFERROR(IF(O112&gt;0, P112/O112, 0),"-")</f>
        <v>-</v>
      </c>
      <c r="S112" s="15">
        <v>1797</v>
      </c>
      <c r="T112" s="15" t="s">
        <v>142</v>
      </c>
      <c r="U112" s="15" t="s">
        <v>142</v>
      </c>
      <c r="V112" s="16" t="s">
        <v>142</v>
      </c>
      <c r="W112" s="16" t="s">
        <v>142</v>
      </c>
      <c r="X112" s="21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3">
      <c r="B113" s="14" t="s">
        <v>84</v>
      </c>
      <c r="C113" s="15">
        <v>740</v>
      </c>
      <c r="D113" s="16">
        <v>718</v>
      </c>
      <c r="E113" s="15">
        <f>IF(OR(D113="-",D113="",D113=0),IF(C113="-","-",C113),C113-D113)</f>
        <v>22</v>
      </c>
      <c r="F113" s="17">
        <f>IFERROR(IF(C113&gt;0, D113/C113, 0),"-")</f>
        <v>0.97027027027027024</v>
      </c>
      <c r="G113" s="15">
        <v>17</v>
      </c>
      <c r="H113" s="16" t="s">
        <v>142</v>
      </c>
      <c r="I113" s="15">
        <f>IF(OR(H113="-",H113="",H113=0),IF(G113="-","-",G113),G113-H113)</f>
        <v>17</v>
      </c>
      <c r="J113" s="17" t="str">
        <f>IFERROR(IF(G113&gt;0, H113/G113, 0),"-")</f>
        <v>-</v>
      </c>
      <c r="K113" s="15">
        <v>3</v>
      </c>
      <c r="L113" s="16" t="s">
        <v>142</v>
      </c>
      <c r="M113" s="15">
        <f>IF(OR(L113="-",L113="",L113=0),IF(K113="-","-",K113),K113-L113)</f>
        <v>3</v>
      </c>
      <c r="N113" s="17" t="str">
        <f>IFERROR(IF(K113&gt;0, L113/K113, 0),"-")</f>
        <v>-</v>
      </c>
      <c r="O113" s="15">
        <v>5</v>
      </c>
      <c r="P113" s="16" t="s">
        <v>142</v>
      </c>
      <c r="Q113" s="15">
        <f>IF(OR(P113="-",P113="",P113=0),IF(O113="-","-",O113),O113-P113)</f>
        <v>5</v>
      </c>
      <c r="R113" s="17" t="str">
        <f>IFERROR(IF(O113&gt;0, P113/O113, 0),"-")</f>
        <v>-</v>
      </c>
      <c r="S113" s="15">
        <v>61</v>
      </c>
      <c r="T113" s="15" t="s">
        <v>142</v>
      </c>
      <c r="U113" s="15" t="s">
        <v>142</v>
      </c>
      <c r="V113" s="16" t="s">
        <v>142</v>
      </c>
      <c r="W113" s="16" t="s">
        <v>142</v>
      </c>
      <c r="X113" s="21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3">
      <c r="B114" s="14" t="s">
        <v>52</v>
      </c>
      <c r="C114" s="15">
        <v>1323</v>
      </c>
      <c r="D114" s="16">
        <v>1283</v>
      </c>
      <c r="E114" s="15">
        <f>IF(OR(D114="-",D114="",D114=0),IF(C114="-","-",C114),C114-D114)</f>
        <v>40</v>
      </c>
      <c r="F114" s="17">
        <f>IFERROR(IF(C114&gt;0, D114/C114, 0),"-")</f>
        <v>0.96976568405139829</v>
      </c>
      <c r="G114" s="15">
        <v>15</v>
      </c>
      <c r="H114" s="16" t="s">
        <v>142</v>
      </c>
      <c r="I114" s="15">
        <f>IF(OR(H114="-",H114="",H114=0),IF(G114="-","-",G114),G114-H114)</f>
        <v>15</v>
      </c>
      <c r="J114" s="17" t="str">
        <f>IFERROR(IF(G114&gt;0, H114/G114, 0),"-")</f>
        <v>-</v>
      </c>
      <c r="K114" s="15">
        <v>17</v>
      </c>
      <c r="L114" s="16" t="s">
        <v>142</v>
      </c>
      <c r="M114" s="15">
        <f>IF(OR(L114="-",L114="",L114=0),IF(K114="-","-",K114),K114-L114)</f>
        <v>17</v>
      </c>
      <c r="N114" s="17" t="str">
        <f>IFERROR(IF(K114&gt;0, L114/K114, 0),"-")</f>
        <v>-</v>
      </c>
      <c r="O114" s="15">
        <v>12</v>
      </c>
      <c r="P114" s="16" t="s">
        <v>142</v>
      </c>
      <c r="Q114" s="15">
        <f>IF(OR(P114="-",P114="",P114=0),IF(O114="-","-",O114),O114-P114)</f>
        <v>12</v>
      </c>
      <c r="R114" s="17" t="str">
        <f>IFERROR(IF(O114&gt;0, P114/O114, 0),"-")</f>
        <v>-</v>
      </c>
      <c r="S114" s="15">
        <v>1316</v>
      </c>
      <c r="T114" s="15" t="s">
        <v>142</v>
      </c>
      <c r="U114" s="15" t="s">
        <v>142</v>
      </c>
      <c r="V114" s="16" t="s">
        <v>142</v>
      </c>
      <c r="W114" s="16" t="s">
        <v>142</v>
      </c>
      <c r="X114" s="21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3">
      <c r="B115" s="14" t="s">
        <v>87</v>
      </c>
      <c r="C115" s="15">
        <v>1091</v>
      </c>
      <c r="D115" s="16">
        <v>1058</v>
      </c>
      <c r="E115" s="15">
        <f>IF(OR(D115="-",D115="",D115=0),IF(C115="-","-",C115),C115-D115)</f>
        <v>33</v>
      </c>
      <c r="F115" s="17">
        <f>IFERROR(IF(C115&gt;0, D115/C115, 0),"-")</f>
        <v>0.96975252062328143</v>
      </c>
      <c r="G115" s="15">
        <v>15</v>
      </c>
      <c r="H115" s="16" t="s">
        <v>142</v>
      </c>
      <c r="I115" s="15">
        <f>IF(OR(H115="-",H115="",H115=0),IF(G115="-","-",G115),G115-H115)</f>
        <v>15</v>
      </c>
      <c r="J115" s="17" t="str">
        <f>IFERROR(IF(G115&gt;0, H115/G115, 0),"-")</f>
        <v>-</v>
      </c>
      <c r="K115" s="15">
        <v>13</v>
      </c>
      <c r="L115" s="16" t="s">
        <v>142</v>
      </c>
      <c r="M115" s="15">
        <f>IF(OR(L115="-",L115="",L115=0),IF(K115="-","-",K115),K115-L115)</f>
        <v>13</v>
      </c>
      <c r="N115" s="17" t="str">
        <f>IFERROR(IF(K115&gt;0, L115/K115, 0),"-")</f>
        <v>-</v>
      </c>
      <c r="O115" s="15">
        <v>14</v>
      </c>
      <c r="P115" s="16" t="s">
        <v>142</v>
      </c>
      <c r="Q115" s="15">
        <f>IF(OR(P115="-",P115="",P115=0),IF(O115="-","-",O115),O115-P115)</f>
        <v>14</v>
      </c>
      <c r="R115" s="17" t="str">
        <f>IFERROR(IF(O115&gt;0, P115/O115, 0),"-")</f>
        <v>-</v>
      </c>
      <c r="S115" s="15">
        <v>1352</v>
      </c>
      <c r="T115" s="15" t="s">
        <v>142</v>
      </c>
      <c r="U115" s="15" t="s">
        <v>142</v>
      </c>
      <c r="V115" s="16" t="s">
        <v>142</v>
      </c>
      <c r="W115" s="16" t="s">
        <v>142</v>
      </c>
      <c r="X115" s="21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3">
      <c r="B116" s="14" t="s">
        <v>122</v>
      </c>
      <c r="C116" s="15">
        <v>818</v>
      </c>
      <c r="D116" s="16">
        <v>793</v>
      </c>
      <c r="E116" s="15">
        <f>IF(OR(D116="-",D116="",D116=0),IF(C116="-","-",C116),C116-D116)</f>
        <v>25</v>
      </c>
      <c r="F116" s="17">
        <f>IFERROR(IF(C116&gt;0, D116/C116, 0),"-")</f>
        <v>0.96943765281173599</v>
      </c>
      <c r="G116" s="15">
        <v>9</v>
      </c>
      <c r="H116" s="16" t="s">
        <v>142</v>
      </c>
      <c r="I116" s="15">
        <f>IF(OR(H116="-",H116="",H116=0),IF(G116="-","-",G116),G116-H116)</f>
        <v>9</v>
      </c>
      <c r="J116" s="17" t="str">
        <f>IFERROR(IF(G116&gt;0, H116/G116, 0),"-")</f>
        <v>-</v>
      </c>
      <c r="K116" s="15" t="s">
        <v>142</v>
      </c>
      <c r="L116" s="16" t="s">
        <v>142</v>
      </c>
      <c r="M116" s="15" t="str">
        <f>IF(OR(L116="-",L116="",L116=0),IF(K116="-","-",K116),K116-L116)</f>
        <v>-</v>
      </c>
      <c r="N116" s="17" t="str">
        <f>IFERROR(IF(K116&gt;0, L116/K116, 0),"-")</f>
        <v>-</v>
      </c>
      <c r="O116" s="15">
        <v>10</v>
      </c>
      <c r="P116" s="16" t="s">
        <v>142</v>
      </c>
      <c r="Q116" s="15">
        <f>IF(OR(P116="-",P116="",P116=0),IF(O116="-","-",O116),O116-P116)</f>
        <v>10</v>
      </c>
      <c r="R116" s="17" t="str">
        <f>IFERROR(IF(O116&gt;0, P116/O116, 0),"-")</f>
        <v>-</v>
      </c>
      <c r="S116" s="15">
        <v>74</v>
      </c>
      <c r="T116" s="15" t="s">
        <v>142</v>
      </c>
      <c r="U116" s="15" t="s">
        <v>142</v>
      </c>
      <c r="V116" s="16" t="s">
        <v>142</v>
      </c>
      <c r="W116" s="16" t="s">
        <v>142</v>
      </c>
      <c r="X116" s="21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3">
      <c r="B117" s="14" t="s">
        <v>9</v>
      </c>
      <c r="C117" s="15">
        <v>973</v>
      </c>
      <c r="D117" s="16">
        <v>943</v>
      </c>
      <c r="E117" s="15">
        <f>IF(OR(D117="-",D117="",D117=0),IF(C117="-","-",C117),C117-D117)</f>
        <v>30</v>
      </c>
      <c r="F117" s="17">
        <f>IFERROR(IF(C117&gt;0, D117/C117, 0),"-")</f>
        <v>0.96916752312435761</v>
      </c>
      <c r="G117" s="15">
        <v>22</v>
      </c>
      <c r="H117" s="16" t="s">
        <v>142</v>
      </c>
      <c r="I117" s="15">
        <f>IF(OR(H117="-",H117="",H117=0),IF(G117="-","-",G117),G117-H117)</f>
        <v>22</v>
      </c>
      <c r="J117" s="17" t="str">
        <f>IFERROR(IF(G117&gt;0, H117/G117, 0),"-")</f>
        <v>-</v>
      </c>
      <c r="K117" s="15">
        <v>13</v>
      </c>
      <c r="L117" s="16" t="s">
        <v>142</v>
      </c>
      <c r="M117" s="15">
        <f>IF(OR(L117="-",L117="",L117=0),IF(K117="-","-",K117),K117-L117)</f>
        <v>13</v>
      </c>
      <c r="N117" s="17" t="str">
        <f>IFERROR(IF(K117&gt;0, L117/K117, 0),"-")</f>
        <v>-</v>
      </c>
      <c r="O117" s="15">
        <v>21</v>
      </c>
      <c r="P117" s="16" t="s">
        <v>142</v>
      </c>
      <c r="Q117" s="15">
        <f>IF(OR(P117="-",P117="",P117=0),IF(O117="-","-",O117),O117-P117)</f>
        <v>21</v>
      </c>
      <c r="R117" s="17" t="str">
        <f>IFERROR(IF(O117&gt;0, P117/O117, 0),"-")</f>
        <v>-</v>
      </c>
      <c r="S117" s="15">
        <v>1210</v>
      </c>
      <c r="T117" s="15" t="s">
        <v>142</v>
      </c>
      <c r="U117" s="15" t="s">
        <v>142</v>
      </c>
      <c r="V117" s="16" t="s">
        <v>142</v>
      </c>
      <c r="W117" s="16" t="s">
        <v>142</v>
      </c>
      <c r="X117" s="21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3">
      <c r="B118" s="14" t="s">
        <v>114</v>
      </c>
      <c r="C118" s="15">
        <v>1158</v>
      </c>
      <c r="D118" s="16">
        <v>1122</v>
      </c>
      <c r="E118" s="15">
        <f>IF(OR(D118="-",D118="",D118=0),IF(C118="-","-",C118),C118-D118)</f>
        <v>36</v>
      </c>
      <c r="F118" s="17">
        <f>IFERROR(IF(C118&gt;0, D118/C118, 0),"-")</f>
        <v>0.9689119170984456</v>
      </c>
      <c r="G118" s="15">
        <v>4</v>
      </c>
      <c r="H118" s="16" t="s">
        <v>142</v>
      </c>
      <c r="I118" s="15">
        <f>IF(OR(H118="-",H118="",H118=0),IF(G118="-","-",G118),G118-H118)</f>
        <v>4</v>
      </c>
      <c r="J118" s="17" t="str">
        <f>IFERROR(IF(G118&gt;0, H118/G118, 0),"-")</f>
        <v>-</v>
      </c>
      <c r="K118" s="15">
        <v>6</v>
      </c>
      <c r="L118" s="16" t="s">
        <v>142</v>
      </c>
      <c r="M118" s="15">
        <f>IF(OR(L118="-",L118="",L118=0),IF(K118="-","-",K118),K118-L118)</f>
        <v>6</v>
      </c>
      <c r="N118" s="17" t="str">
        <f>IFERROR(IF(K118&gt;0, L118/K118, 0),"-")</f>
        <v>-</v>
      </c>
      <c r="O118" s="15">
        <v>16</v>
      </c>
      <c r="P118" s="16" t="s">
        <v>142</v>
      </c>
      <c r="Q118" s="15">
        <f>IF(OR(P118="-",P118="",P118=0),IF(O118="-","-",O118),O118-P118)</f>
        <v>16</v>
      </c>
      <c r="R118" s="17" t="str">
        <f>IFERROR(IF(O118&gt;0, P118/O118, 0),"-")</f>
        <v>-</v>
      </c>
      <c r="S118" s="15">
        <v>460</v>
      </c>
      <c r="T118" s="15" t="s">
        <v>142</v>
      </c>
      <c r="U118" s="15" t="s">
        <v>142</v>
      </c>
      <c r="V118" s="16" t="s">
        <v>142</v>
      </c>
      <c r="W118" s="16" t="s">
        <v>142</v>
      </c>
      <c r="X118" s="21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3">
      <c r="B119" s="14" t="s">
        <v>130</v>
      </c>
      <c r="C119" s="15">
        <v>1733</v>
      </c>
      <c r="D119" s="16">
        <v>1677</v>
      </c>
      <c r="E119" s="15">
        <f>IF(OR(D119="-",D119="",D119=0),IF(C119="-","-",C119),C119-D119)</f>
        <v>56</v>
      </c>
      <c r="F119" s="17">
        <f>IFERROR(IF(C119&gt;0, D119/C119, 0),"-")</f>
        <v>0.96768609347951529</v>
      </c>
      <c r="G119" s="15">
        <v>22</v>
      </c>
      <c r="H119" s="16" t="s">
        <v>142</v>
      </c>
      <c r="I119" s="15">
        <f>IF(OR(H119="-",H119="",H119=0),IF(G119="-","-",G119),G119-H119)</f>
        <v>22</v>
      </c>
      <c r="J119" s="17" t="str">
        <f>IFERROR(IF(G119&gt;0, H119/G119, 0),"-")</f>
        <v>-</v>
      </c>
      <c r="K119" s="15">
        <v>25</v>
      </c>
      <c r="L119" s="16" t="s">
        <v>142</v>
      </c>
      <c r="M119" s="15">
        <f>IF(OR(L119="-",L119="",L119=0),IF(K119="-","-",K119),K119-L119)</f>
        <v>25</v>
      </c>
      <c r="N119" s="17" t="str">
        <f>IFERROR(IF(K119&gt;0, L119/K119, 0),"-")</f>
        <v>-</v>
      </c>
      <c r="O119" s="15">
        <v>37</v>
      </c>
      <c r="P119" s="16" t="s">
        <v>142</v>
      </c>
      <c r="Q119" s="15">
        <f>IF(OR(P119="-",P119="",P119=0),IF(O119="-","-",O119),O119-P119)</f>
        <v>37</v>
      </c>
      <c r="R119" s="17" t="str">
        <f>IFERROR(IF(O119&gt;0, P119/O119, 0),"-")</f>
        <v>-</v>
      </c>
      <c r="S119" s="15">
        <v>1723</v>
      </c>
      <c r="T119" s="15" t="s">
        <v>142</v>
      </c>
      <c r="U119" s="15" t="s">
        <v>142</v>
      </c>
      <c r="V119" s="16" t="s">
        <v>142</v>
      </c>
      <c r="W119" s="16" t="s">
        <v>142</v>
      </c>
      <c r="X119" s="21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3">
      <c r="B120" s="14" t="s">
        <v>19</v>
      </c>
      <c r="C120" s="15">
        <v>1079</v>
      </c>
      <c r="D120" s="16">
        <v>1044</v>
      </c>
      <c r="E120" s="15">
        <f>IF(OR(D120="-",D120="",D120=0),IF(C120="-","-",C120),C120-D120)</f>
        <v>35</v>
      </c>
      <c r="F120" s="17">
        <f>IFERROR(IF(C120&gt;0, D120/C120, 0),"-")</f>
        <v>0.9675625579240037</v>
      </c>
      <c r="G120" s="15">
        <v>7</v>
      </c>
      <c r="H120" s="16" t="s">
        <v>142</v>
      </c>
      <c r="I120" s="15">
        <f>IF(OR(H120="-",H120="",H120=0),IF(G120="-","-",G120),G120-H120)</f>
        <v>7</v>
      </c>
      <c r="J120" s="17" t="str">
        <f>IFERROR(IF(G120&gt;0, H120/G120, 0),"-")</f>
        <v>-</v>
      </c>
      <c r="K120" s="15">
        <v>5</v>
      </c>
      <c r="L120" s="16" t="s">
        <v>142</v>
      </c>
      <c r="M120" s="15">
        <f>IF(OR(L120="-",L120="",L120=0),IF(K120="-","-",K120),K120-L120)</f>
        <v>5</v>
      </c>
      <c r="N120" s="17" t="str">
        <f>IFERROR(IF(K120&gt;0, L120/K120, 0),"-")</f>
        <v>-</v>
      </c>
      <c r="O120" s="15">
        <v>14</v>
      </c>
      <c r="P120" s="16" t="s">
        <v>142</v>
      </c>
      <c r="Q120" s="15">
        <f>IF(OR(P120="-",P120="",P120=0),IF(O120="-","-",O120),O120-P120)</f>
        <v>14</v>
      </c>
      <c r="R120" s="17" t="str">
        <f>IFERROR(IF(O120&gt;0, P120/O120, 0),"-")</f>
        <v>-</v>
      </c>
      <c r="S120" s="15">
        <v>3068</v>
      </c>
      <c r="T120" s="15" t="s">
        <v>142</v>
      </c>
      <c r="U120" s="15" t="s">
        <v>142</v>
      </c>
      <c r="V120" s="16" t="s">
        <v>142</v>
      </c>
      <c r="W120" s="16" t="s">
        <v>142</v>
      </c>
      <c r="X120" s="21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3">
      <c r="B121" s="14" t="s">
        <v>41</v>
      </c>
      <c r="C121" s="15">
        <v>1196</v>
      </c>
      <c r="D121" s="16">
        <v>1157</v>
      </c>
      <c r="E121" s="15">
        <f>IF(OR(D121="-",D121="",D121=0),IF(C121="-","-",C121),C121-D121)</f>
        <v>39</v>
      </c>
      <c r="F121" s="17">
        <f>IFERROR(IF(C121&gt;0, D121/C121, 0),"-")</f>
        <v>0.96739130434782605</v>
      </c>
      <c r="G121" s="15">
        <v>16</v>
      </c>
      <c r="H121" s="16" t="s">
        <v>142</v>
      </c>
      <c r="I121" s="15">
        <f>IF(OR(H121="-",H121="",H121=0),IF(G121="-","-",G121),G121-H121)</f>
        <v>16</v>
      </c>
      <c r="J121" s="17" t="str">
        <f>IFERROR(IF(G121&gt;0, H121/G121, 0),"-")</f>
        <v>-</v>
      </c>
      <c r="K121" s="15">
        <v>24</v>
      </c>
      <c r="L121" s="16" t="s">
        <v>142</v>
      </c>
      <c r="M121" s="15">
        <f>IF(OR(L121="-",L121="",L121=0),IF(K121="-","-",K121),K121-L121)</f>
        <v>24</v>
      </c>
      <c r="N121" s="17" t="str">
        <f>IFERROR(IF(K121&gt;0, L121/K121, 0),"-")</f>
        <v>-</v>
      </c>
      <c r="O121" s="15">
        <v>20</v>
      </c>
      <c r="P121" s="16" t="s">
        <v>142</v>
      </c>
      <c r="Q121" s="15">
        <f>IF(OR(P121="-",P121="",P121=0),IF(O121="-","-",O121),O121-P121)</f>
        <v>20</v>
      </c>
      <c r="R121" s="17" t="str">
        <f>IFERROR(IF(O121&gt;0, P121/O121, 0),"-")</f>
        <v>-</v>
      </c>
      <c r="S121" s="15">
        <v>1323</v>
      </c>
      <c r="T121" s="15" t="s">
        <v>142</v>
      </c>
      <c r="U121" s="15" t="s">
        <v>142</v>
      </c>
      <c r="V121" s="16" t="s">
        <v>142</v>
      </c>
      <c r="W121" s="16" t="s">
        <v>142</v>
      </c>
      <c r="X121" s="21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3">
      <c r="B122" s="14" t="s">
        <v>24</v>
      </c>
      <c r="C122" s="15">
        <v>1125</v>
      </c>
      <c r="D122" s="16">
        <v>1088</v>
      </c>
      <c r="E122" s="15">
        <f>IF(OR(D122="-",D122="",D122=0),IF(C122="-","-",C122),C122-D122)</f>
        <v>37</v>
      </c>
      <c r="F122" s="17">
        <f>IFERROR(IF(C122&gt;0, D122/C122, 0),"-")</f>
        <v>0.96711111111111114</v>
      </c>
      <c r="G122" s="15">
        <v>11</v>
      </c>
      <c r="H122" s="16" t="s">
        <v>142</v>
      </c>
      <c r="I122" s="15">
        <f>IF(OR(H122="-",H122="",H122=0),IF(G122="-","-",G122),G122-H122)</f>
        <v>11</v>
      </c>
      <c r="J122" s="17" t="str">
        <f>IFERROR(IF(G122&gt;0, H122/G122, 0),"-")</f>
        <v>-</v>
      </c>
      <c r="K122" s="15">
        <v>13</v>
      </c>
      <c r="L122" s="16" t="s">
        <v>142</v>
      </c>
      <c r="M122" s="15">
        <f>IF(OR(L122="-",L122="",L122=0),IF(K122="-","-",K122),K122-L122)</f>
        <v>13</v>
      </c>
      <c r="N122" s="17" t="str">
        <f>IFERROR(IF(K122&gt;0, L122/K122, 0),"-")</f>
        <v>-</v>
      </c>
      <c r="O122" s="15">
        <v>13</v>
      </c>
      <c r="P122" s="16" t="s">
        <v>142</v>
      </c>
      <c r="Q122" s="15">
        <f>IF(OR(P122="-",P122="",P122=0),IF(O122="-","-",O122),O122-P122)</f>
        <v>13</v>
      </c>
      <c r="R122" s="17" t="str">
        <f>IFERROR(IF(O122&gt;0, P122/O122, 0),"-")</f>
        <v>-</v>
      </c>
      <c r="S122" s="15">
        <v>2260</v>
      </c>
      <c r="T122" s="15" t="s">
        <v>142</v>
      </c>
      <c r="U122" s="15" t="s">
        <v>142</v>
      </c>
      <c r="V122" s="16" t="s">
        <v>142</v>
      </c>
      <c r="W122" s="16" t="s">
        <v>142</v>
      </c>
      <c r="X122" s="21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3">
      <c r="B123" s="14" t="s">
        <v>135</v>
      </c>
      <c r="C123" s="15">
        <v>1088</v>
      </c>
      <c r="D123" s="16">
        <v>1052</v>
      </c>
      <c r="E123" s="15">
        <f>IF(OR(D123="-",D123="",D123=0),IF(C123="-","-",C123),C123-D123)</f>
        <v>36</v>
      </c>
      <c r="F123" s="17">
        <f>IFERROR(IF(C123&gt;0, D123/C123, 0),"-")</f>
        <v>0.96691176470588236</v>
      </c>
      <c r="G123" s="15">
        <v>6</v>
      </c>
      <c r="H123" s="16" t="s">
        <v>142</v>
      </c>
      <c r="I123" s="15">
        <f>IF(OR(H123="-",H123="",H123=0),IF(G123="-","-",G123),G123-H123)</f>
        <v>6</v>
      </c>
      <c r="J123" s="17" t="str">
        <f>IFERROR(IF(G123&gt;0, H123/G123, 0),"-")</f>
        <v>-</v>
      </c>
      <c r="K123" s="15">
        <v>13</v>
      </c>
      <c r="L123" s="16" t="s">
        <v>142</v>
      </c>
      <c r="M123" s="15">
        <f>IF(OR(L123="-",L123="",L123=0),IF(K123="-","-",K123),K123-L123)</f>
        <v>13</v>
      </c>
      <c r="N123" s="17" t="str">
        <f>IFERROR(IF(K123&gt;0, L123/K123, 0),"-")</f>
        <v>-</v>
      </c>
      <c r="O123" s="15">
        <v>22</v>
      </c>
      <c r="P123" s="16" t="s">
        <v>142</v>
      </c>
      <c r="Q123" s="15">
        <f>IF(OR(P123="-",P123="",P123=0),IF(O123="-","-",O123),O123-P123)</f>
        <v>22</v>
      </c>
      <c r="R123" s="17" t="str">
        <f>IFERROR(IF(O123&gt;0, P123/O123, 0),"-")</f>
        <v>-</v>
      </c>
      <c r="S123" s="15">
        <v>774</v>
      </c>
      <c r="T123" s="15" t="s">
        <v>142</v>
      </c>
      <c r="U123" s="15" t="s">
        <v>142</v>
      </c>
      <c r="V123" s="16" t="s">
        <v>142</v>
      </c>
      <c r="W123" s="16" t="s">
        <v>142</v>
      </c>
      <c r="X123" s="21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3">
      <c r="B124" s="14" t="s">
        <v>5</v>
      </c>
      <c r="C124" s="15">
        <v>980</v>
      </c>
      <c r="D124" s="16">
        <v>947</v>
      </c>
      <c r="E124" s="15">
        <f>IF(OR(D124="-",D124="",D124=0),IF(C124="-","-",C124),C124-D124)</f>
        <v>33</v>
      </c>
      <c r="F124" s="17">
        <f>IFERROR(IF(C124&gt;0, D124/C124, 0),"-")</f>
        <v>0.96632653061224494</v>
      </c>
      <c r="G124" s="15">
        <v>8</v>
      </c>
      <c r="H124" s="16" t="s">
        <v>142</v>
      </c>
      <c r="I124" s="15">
        <f>IF(OR(H124="-",H124="",H124=0),IF(G124="-","-",G124),G124-H124)</f>
        <v>8</v>
      </c>
      <c r="J124" s="17" t="str">
        <f>IFERROR(IF(G124&gt;0, H124/G124, 0),"-")</f>
        <v>-</v>
      </c>
      <c r="K124" s="15">
        <v>10</v>
      </c>
      <c r="L124" s="16" t="s">
        <v>142</v>
      </c>
      <c r="M124" s="15">
        <f>IF(OR(L124="-",L124="",L124=0),IF(K124="-","-",K124),K124-L124)</f>
        <v>10</v>
      </c>
      <c r="N124" s="17" t="str">
        <f>IFERROR(IF(K124&gt;0, L124/K124, 0),"-")</f>
        <v>-</v>
      </c>
      <c r="O124" s="15">
        <v>15</v>
      </c>
      <c r="P124" s="16" t="s">
        <v>142</v>
      </c>
      <c r="Q124" s="15">
        <f>IF(OR(P124="-",P124="",P124=0),IF(O124="-","-",O124),O124-P124)</f>
        <v>15</v>
      </c>
      <c r="R124" s="17" t="str">
        <f>IFERROR(IF(O124&gt;0, P124/O124, 0),"-")</f>
        <v>-</v>
      </c>
      <c r="S124" s="15">
        <v>966</v>
      </c>
      <c r="T124" s="15" t="s">
        <v>142</v>
      </c>
      <c r="U124" s="15" t="s">
        <v>142</v>
      </c>
      <c r="V124" s="16" t="s">
        <v>142</v>
      </c>
      <c r="W124" s="16" t="s">
        <v>142</v>
      </c>
      <c r="X124" s="21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3">
      <c r="B125" s="14" t="s">
        <v>113</v>
      </c>
      <c r="C125" s="15">
        <v>1074</v>
      </c>
      <c r="D125" s="16">
        <v>1037</v>
      </c>
      <c r="E125" s="15">
        <f>IF(OR(D125="-",D125="",D125=0),IF(C125="-","-",C125),C125-D125)</f>
        <v>37</v>
      </c>
      <c r="F125" s="17">
        <f>IFERROR(IF(C125&gt;0, D125/C125, 0),"-")</f>
        <v>0.96554934823091243</v>
      </c>
      <c r="G125" s="15">
        <v>7</v>
      </c>
      <c r="H125" s="16" t="s">
        <v>142</v>
      </c>
      <c r="I125" s="15">
        <f>IF(OR(H125="-",H125="",H125=0),IF(G125="-","-",G125),G125-H125)</f>
        <v>7</v>
      </c>
      <c r="J125" s="17" t="str">
        <f>IFERROR(IF(G125&gt;0, H125/G125, 0),"-")</f>
        <v>-</v>
      </c>
      <c r="K125" s="15">
        <v>8</v>
      </c>
      <c r="L125" s="16" t="s">
        <v>142</v>
      </c>
      <c r="M125" s="15">
        <f>IF(OR(L125="-",L125="",L125=0),IF(K125="-","-",K125),K125-L125)</f>
        <v>8</v>
      </c>
      <c r="N125" s="17" t="str">
        <f>IFERROR(IF(K125&gt;0, L125/K125, 0),"-")</f>
        <v>-</v>
      </c>
      <c r="O125" s="15">
        <v>16</v>
      </c>
      <c r="P125" s="16" t="s">
        <v>142</v>
      </c>
      <c r="Q125" s="15">
        <f>IF(OR(P125="-",P125="",P125=0),IF(O125="-","-",O125),O125-P125)</f>
        <v>16</v>
      </c>
      <c r="R125" s="17" t="str">
        <f>IFERROR(IF(O125&gt;0, P125/O125, 0),"-")</f>
        <v>-</v>
      </c>
      <c r="S125" s="15">
        <v>1088</v>
      </c>
      <c r="T125" s="15" t="s">
        <v>142</v>
      </c>
      <c r="U125" s="15" t="s">
        <v>142</v>
      </c>
      <c r="V125" s="16" t="s">
        <v>142</v>
      </c>
      <c r="W125" s="16" t="s">
        <v>142</v>
      </c>
      <c r="X125" s="21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3">
      <c r="B126" s="14" t="s">
        <v>20</v>
      </c>
      <c r="C126" s="15">
        <v>1588</v>
      </c>
      <c r="D126" s="16">
        <v>1533</v>
      </c>
      <c r="E126" s="15">
        <f>IF(OR(D126="-",D126="",D126=0),IF(C126="-","-",C126),C126-D126)</f>
        <v>55</v>
      </c>
      <c r="F126" s="17">
        <f>IFERROR(IF(C126&gt;0, D126/C126, 0),"-")</f>
        <v>0.9653652392947103</v>
      </c>
      <c r="G126" s="15">
        <v>12</v>
      </c>
      <c r="H126" s="16" t="s">
        <v>142</v>
      </c>
      <c r="I126" s="15">
        <f>IF(OR(H126="-",H126="",H126=0),IF(G126="-","-",G126),G126-H126)</f>
        <v>12</v>
      </c>
      <c r="J126" s="17" t="str">
        <f>IFERROR(IF(G126&gt;0, H126/G126, 0),"-")</f>
        <v>-</v>
      </c>
      <c r="K126" s="15">
        <v>6</v>
      </c>
      <c r="L126" s="16" t="s">
        <v>142</v>
      </c>
      <c r="M126" s="15">
        <f>IF(OR(L126="-",L126="",L126=0),IF(K126="-","-",K126),K126-L126)</f>
        <v>6</v>
      </c>
      <c r="N126" s="17" t="str">
        <f>IFERROR(IF(K126&gt;0, L126/K126, 0),"-")</f>
        <v>-</v>
      </c>
      <c r="O126" s="15">
        <v>9</v>
      </c>
      <c r="P126" s="16" t="s">
        <v>142</v>
      </c>
      <c r="Q126" s="15">
        <f>IF(OR(P126="-",P126="",P126=0),IF(O126="-","-",O126),O126-P126)</f>
        <v>9</v>
      </c>
      <c r="R126" s="17" t="str">
        <f>IFERROR(IF(O126&gt;0, P126/O126, 0),"-")</f>
        <v>-</v>
      </c>
      <c r="S126" s="15">
        <v>1496</v>
      </c>
      <c r="T126" s="15" t="s">
        <v>142</v>
      </c>
      <c r="U126" s="15" t="s">
        <v>142</v>
      </c>
      <c r="V126" s="16" t="s">
        <v>142</v>
      </c>
      <c r="W126" s="16" t="s">
        <v>142</v>
      </c>
      <c r="X126" s="21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3">
      <c r="B127" s="14" t="s">
        <v>63</v>
      </c>
      <c r="C127" s="15">
        <v>664</v>
      </c>
      <c r="D127" s="16">
        <v>641</v>
      </c>
      <c r="E127" s="15">
        <f>IF(OR(D127="-",D127="",D127=0),IF(C127="-","-",C127),C127-D127)</f>
        <v>23</v>
      </c>
      <c r="F127" s="17">
        <f>IFERROR(IF(C127&gt;0, D127/C127, 0),"-")</f>
        <v>0.96536144578313254</v>
      </c>
      <c r="G127" s="15">
        <v>4</v>
      </c>
      <c r="H127" s="16" t="s">
        <v>142</v>
      </c>
      <c r="I127" s="15">
        <f>IF(OR(H127="-",H127="",H127=0),IF(G127="-","-",G127),G127-H127)</f>
        <v>4</v>
      </c>
      <c r="J127" s="17" t="str">
        <f>IFERROR(IF(G127&gt;0, H127/G127, 0),"-")</f>
        <v>-</v>
      </c>
      <c r="K127" s="15">
        <v>8</v>
      </c>
      <c r="L127" s="16" t="s">
        <v>142</v>
      </c>
      <c r="M127" s="15">
        <f>IF(OR(L127="-",L127="",L127=0),IF(K127="-","-",K127),K127-L127)</f>
        <v>8</v>
      </c>
      <c r="N127" s="17" t="str">
        <f>IFERROR(IF(K127&gt;0, L127/K127, 0),"-")</f>
        <v>-</v>
      </c>
      <c r="O127" s="15">
        <v>18</v>
      </c>
      <c r="P127" s="16" t="s">
        <v>142</v>
      </c>
      <c r="Q127" s="15">
        <f>IF(OR(P127="-",P127="",P127=0),IF(O127="-","-",O127),O127-P127)</f>
        <v>18</v>
      </c>
      <c r="R127" s="17" t="str">
        <f>IFERROR(IF(O127&gt;0, P127/O127, 0),"-")</f>
        <v>-</v>
      </c>
      <c r="S127" s="15">
        <v>205</v>
      </c>
      <c r="T127" s="15" t="s">
        <v>142</v>
      </c>
      <c r="U127" s="15" t="s">
        <v>142</v>
      </c>
      <c r="V127" s="16" t="s">
        <v>142</v>
      </c>
      <c r="W127" s="16" t="s">
        <v>142</v>
      </c>
      <c r="X127" s="21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3">
      <c r="B128" s="14" t="s">
        <v>102</v>
      </c>
      <c r="C128" s="15">
        <v>749</v>
      </c>
      <c r="D128" s="16">
        <v>723</v>
      </c>
      <c r="E128" s="15">
        <f>IF(OR(D128="-",D128="",D128=0),IF(C128="-","-",C128),C128-D128)</f>
        <v>26</v>
      </c>
      <c r="F128" s="17">
        <f>IFERROR(IF(C128&gt;0, D128/C128, 0),"-")</f>
        <v>0.96528704939919896</v>
      </c>
      <c r="G128" s="15">
        <v>8</v>
      </c>
      <c r="H128" s="16" t="s">
        <v>142</v>
      </c>
      <c r="I128" s="15">
        <f>IF(OR(H128="-",H128="",H128=0),IF(G128="-","-",G128),G128-H128)</f>
        <v>8</v>
      </c>
      <c r="J128" s="17" t="str">
        <f>IFERROR(IF(G128&gt;0, H128/G128, 0),"-")</f>
        <v>-</v>
      </c>
      <c r="K128" s="15">
        <v>10</v>
      </c>
      <c r="L128" s="16" t="s">
        <v>142</v>
      </c>
      <c r="M128" s="15">
        <f>IF(OR(L128="-",L128="",L128=0),IF(K128="-","-",K128),K128-L128)</f>
        <v>10</v>
      </c>
      <c r="N128" s="17" t="str">
        <f>IFERROR(IF(K128&gt;0, L128/K128, 0),"-")</f>
        <v>-</v>
      </c>
      <c r="O128" s="15">
        <v>17</v>
      </c>
      <c r="P128" s="16" t="s">
        <v>142</v>
      </c>
      <c r="Q128" s="15">
        <f>IF(OR(P128="-",P128="",P128=0),IF(O128="-","-",O128),O128-P128)</f>
        <v>17</v>
      </c>
      <c r="R128" s="17" t="str">
        <f>IFERROR(IF(O128&gt;0, P128/O128, 0),"-")</f>
        <v>-</v>
      </c>
      <c r="S128" s="15">
        <v>767</v>
      </c>
      <c r="T128" s="15" t="s">
        <v>142</v>
      </c>
      <c r="U128" s="15" t="s">
        <v>142</v>
      </c>
      <c r="V128" s="16" t="s">
        <v>142</v>
      </c>
      <c r="W128" s="16" t="s">
        <v>142</v>
      </c>
      <c r="X128" s="21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3">
      <c r="B129" s="14" t="s">
        <v>67</v>
      </c>
      <c r="C129" s="15">
        <v>966</v>
      </c>
      <c r="D129" s="16">
        <v>932</v>
      </c>
      <c r="E129" s="15">
        <f>IF(OR(D129="-",D129="",D129=0),IF(C129="-","-",C129),C129-D129)</f>
        <v>34</v>
      </c>
      <c r="F129" s="17">
        <f>IFERROR(IF(C129&gt;0, D129/C129, 0),"-")</f>
        <v>0.96480331262939956</v>
      </c>
      <c r="G129" s="15" t="s">
        <v>142</v>
      </c>
      <c r="H129" s="16" t="s">
        <v>142</v>
      </c>
      <c r="I129" s="15" t="str">
        <f>IF(OR(H129="-",H129="",H129=0),IF(G129="-","-",G129),G129-H129)</f>
        <v>-</v>
      </c>
      <c r="J129" s="17" t="str">
        <f>IFERROR(IF(G129&gt;0, H129/G129, 0),"-")</f>
        <v>-</v>
      </c>
      <c r="K129" s="15">
        <v>1</v>
      </c>
      <c r="L129" s="16" t="s">
        <v>142</v>
      </c>
      <c r="M129" s="15">
        <f>IF(OR(L129="-",L129="",L129=0),IF(K129="-","-",K129),K129-L129)</f>
        <v>1</v>
      </c>
      <c r="N129" s="17" t="str">
        <f>IFERROR(IF(K129&gt;0, L129/K129, 0),"-")</f>
        <v>-</v>
      </c>
      <c r="O129" s="15">
        <v>9</v>
      </c>
      <c r="P129" s="16" t="s">
        <v>142</v>
      </c>
      <c r="Q129" s="15">
        <f>IF(OR(P129="-",P129="",P129=0),IF(O129="-","-",O129),O129-P129)</f>
        <v>9</v>
      </c>
      <c r="R129" s="17" t="str">
        <f>IFERROR(IF(O129&gt;0, P129/O129, 0),"-")</f>
        <v>-</v>
      </c>
      <c r="S129" s="15">
        <v>374</v>
      </c>
      <c r="T129" s="15" t="s">
        <v>142</v>
      </c>
      <c r="U129" s="15" t="s">
        <v>142</v>
      </c>
      <c r="V129" s="16" t="s">
        <v>142</v>
      </c>
      <c r="W129" s="16" t="s">
        <v>142</v>
      </c>
      <c r="X129" s="21">
        <f>RANK(F129,$F$57:$F$183,0)</f>
        <v>73</v>
      </c>
      <c r="Y129" s="3" t="str">
        <f>IF(OR(ISERROR(F129),F129="-",NOT(ISNUMBER(F129))),"● N/A",IF(ROUND(F129, 4) &gt;= ROUND($F$184, 4),"▲ Above Average","▼ Below Average"))</f>
        <v>▼ Below Average</v>
      </c>
    </row>
    <row r="130" spans="2:25" x14ac:dyDescent="0.3">
      <c r="B130" s="14" t="s">
        <v>91</v>
      </c>
      <c r="C130" s="15">
        <v>710</v>
      </c>
      <c r="D130" s="16">
        <v>685</v>
      </c>
      <c r="E130" s="15">
        <f>IF(OR(D130="-",D130="",D130=0),IF(C130="-","-",C130),C130-D130)</f>
        <v>25</v>
      </c>
      <c r="F130" s="17">
        <f>IFERROR(IF(C130&gt;0, D130/C130, 0),"-")</f>
        <v>0.96478873239436624</v>
      </c>
      <c r="G130" s="15">
        <v>6</v>
      </c>
      <c r="H130" s="16" t="s">
        <v>142</v>
      </c>
      <c r="I130" s="15">
        <f>IF(OR(H130="-",H130="",H130=0),IF(G130="-","-",G130),G130-H130)</f>
        <v>6</v>
      </c>
      <c r="J130" s="17" t="str">
        <f>IFERROR(IF(G130&gt;0, H130/G130, 0),"-")</f>
        <v>-</v>
      </c>
      <c r="K130" s="15">
        <v>6</v>
      </c>
      <c r="L130" s="16" t="s">
        <v>142</v>
      </c>
      <c r="M130" s="15">
        <f>IF(OR(L130="-",L130="",L130=0),IF(K130="-","-",K130),K130-L130)</f>
        <v>6</v>
      </c>
      <c r="N130" s="17" t="str">
        <f>IFERROR(IF(K130&gt;0, L130/K130, 0),"-")</f>
        <v>-</v>
      </c>
      <c r="O130" s="15">
        <v>16</v>
      </c>
      <c r="P130" s="16" t="s">
        <v>142</v>
      </c>
      <c r="Q130" s="15">
        <f>IF(OR(P130="-",P130="",P130=0),IF(O130="-","-",O130),O130-P130)</f>
        <v>16</v>
      </c>
      <c r="R130" s="17" t="str">
        <f>IFERROR(IF(O130&gt;0, P130/O130, 0),"-")</f>
        <v>-</v>
      </c>
      <c r="S130" s="15">
        <v>370</v>
      </c>
      <c r="T130" s="15" t="s">
        <v>142</v>
      </c>
      <c r="U130" s="15" t="s">
        <v>142</v>
      </c>
      <c r="V130" s="16" t="s">
        <v>142</v>
      </c>
      <c r="W130" s="16" t="s">
        <v>142</v>
      </c>
      <c r="X130" s="21">
        <f>RANK(F130,$F$57:$F$183,0)</f>
        <v>74</v>
      </c>
      <c r="Y130" s="3" t="str">
        <f>IF(OR(ISERROR(F130),F130="-",NOT(ISNUMBER(F130))),"● N/A",IF(ROUND(F130, 4) &gt;= ROUND($F$184, 4),"▲ Above Average","▼ Below Average"))</f>
        <v>▼ Below Average</v>
      </c>
    </row>
    <row r="131" spans="2:25" x14ac:dyDescent="0.3">
      <c r="B131" s="14" t="s">
        <v>14</v>
      </c>
      <c r="C131" s="15">
        <v>993</v>
      </c>
      <c r="D131" s="16">
        <v>958</v>
      </c>
      <c r="E131" s="15">
        <f>IF(OR(D131="-",D131="",D131=0),IF(C131="-","-",C131),C131-D131)</f>
        <v>35</v>
      </c>
      <c r="F131" s="17">
        <f>IFERROR(IF(C131&gt;0, D131/C131, 0),"-")</f>
        <v>0.96475327291037261</v>
      </c>
      <c r="G131" s="15">
        <v>10</v>
      </c>
      <c r="H131" s="16" t="s">
        <v>142</v>
      </c>
      <c r="I131" s="15">
        <f>IF(OR(H131="-",H131="",H131=0),IF(G131="-","-",G131),G131-H131)</f>
        <v>10</v>
      </c>
      <c r="J131" s="17" t="str">
        <f>IFERROR(IF(G131&gt;0, H131/G131, 0),"-")</f>
        <v>-</v>
      </c>
      <c r="K131" s="15">
        <v>3</v>
      </c>
      <c r="L131" s="16" t="s">
        <v>142</v>
      </c>
      <c r="M131" s="15">
        <f>IF(OR(L131="-",L131="",L131=0),IF(K131="-","-",K131),K131-L131)</f>
        <v>3</v>
      </c>
      <c r="N131" s="17" t="str">
        <f>IFERROR(IF(K131&gt;0, L131/K131, 0),"-")</f>
        <v>-</v>
      </c>
      <c r="O131" s="15">
        <v>11</v>
      </c>
      <c r="P131" s="16" t="s">
        <v>142</v>
      </c>
      <c r="Q131" s="15">
        <f>IF(OR(P131="-",P131="",P131=0),IF(O131="-","-",O131),O131-P131)</f>
        <v>11</v>
      </c>
      <c r="R131" s="17" t="str">
        <f>IFERROR(IF(O131&gt;0, P131/O131, 0),"-")</f>
        <v>-</v>
      </c>
      <c r="S131" s="15">
        <v>812</v>
      </c>
      <c r="T131" s="15" t="s">
        <v>142</v>
      </c>
      <c r="U131" s="15" t="s">
        <v>142</v>
      </c>
      <c r="V131" s="16" t="s">
        <v>142</v>
      </c>
      <c r="W131" s="16" t="s">
        <v>142</v>
      </c>
      <c r="X131" s="21">
        <f>RANK(F131,$F$57:$F$183,0)</f>
        <v>75</v>
      </c>
      <c r="Y131" s="3" t="str">
        <f>IF(OR(ISERROR(F131),F131="-",NOT(ISNUMBER(F131))),"● N/A",IF(ROUND(F131, 4) &gt;= ROUND($F$184, 4),"▲ Above Average","▼ Below Average"))</f>
        <v>▼ Below Average</v>
      </c>
    </row>
    <row r="132" spans="2:25" x14ac:dyDescent="0.3">
      <c r="B132" s="14" t="s">
        <v>125</v>
      </c>
      <c r="C132" s="15">
        <v>678</v>
      </c>
      <c r="D132" s="16">
        <v>654</v>
      </c>
      <c r="E132" s="15">
        <f>IF(OR(D132="-",D132="",D132=0),IF(C132="-","-",C132),C132-D132)</f>
        <v>24</v>
      </c>
      <c r="F132" s="17">
        <f>IFERROR(IF(C132&gt;0, D132/C132, 0),"-")</f>
        <v>0.96460176991150437</v>
      </c>
      <c r="G132" s="15">
        <v>10</v>
      </c>
      <c r="H132" s="16" t="s">
        <v>142</v>
      </c>
      <c r="I132" s="15">
        <f>IF(OR(H132="-",H132="",H132=0),IF(G132="-","-",G132),G132-H132)</f>
        <v>10</v>
      </c>
      <c r="J132" s="17" t="str">
        <f>IFERROR(IF(G132&gt;0, H132/G132, 0),"-")</f>
        <v>-</v>
      </c>
      <c r="K132" s="15">
        <v>29</v>
      </c>
      <c r="L132" s="16" t="s">
        <v>142</v>
      </c>
      <c r="M132" s="15">
        <f>IF(OR(L132="-",L132="",L132=0),IF(K132="-","-",K132),K132-L132)</f>
        <v>29</v>
      </c>
      <c r="N132" s="17" t="str">
        <f>IFERROR(IF(K132&gt;0, L132/K132, 0),"-")</f>
        <v>-</v>
      </c>
      <c r="O132" s="15">
        <v>39</v>
      </c>
      <c r="P132" s="16" t="s">
        <v>142</v>
      </c>
      <c r="Q132" s="15">
        <f>IF(OR(P132="-",P132="",P132=0),IF(O132="-","-",O132),O132-P132)</f>
        <v>39</v>
      </c>
      <c r="R132" s="17" t="str">
        <f>IFERROR(IF(O132&gt;0, P132/O132, 0),"-")</f>
        <v>-</v>
      </c>
      <c r="S132" s="15">
        <v>955</v>
      </c>
      <c r="T132" s="15" t="s">
        <v>142</v>
      </c>
      <c r="U132" s="15" t="s">
        <v>142</v>
      </c>
      <c r="V132" s="16" t="s">
        <v>142</v>
      </c>
      <c r="W132" s="16" t="s">
        <v>142</v>
      </c>
      <c r="X132" s="21">
        <f>RANK(F132,$F$57:$F$183,0)</f>
        <v>76</v>
      </c>
      <c r="Y132" s="3" t="str">
        <f>IF(OR(ISERROR(F132),F132="-",NOT(ISNUMBER(F132))),"● N/A",IF(ROUND(F132, 4) &gt;= ROUND($F$184, 4),"▲ Above Average","▼ Below Average"))</f>
        <v>▼ Below Average</v>
      </c>
    </row>
    <row r="133" spans="2:25" x14ac:dyDescent="0.3">
      <c r="B133" s="14" t="s">
        <v>53</v>
      </c>
      <c r="C133" s="15">
        <v>1801</v>
      </c>
      <c r="D133" s="16">
        <v>1737</v>
      </c>
      <c r="E133" s="15">
        <f>IF(OR(D133="-",D133="",D133=0),IF(C133="-","-",C133),C133-D133)</f>
        <v>64</v>
      </c>
      <c r="F133" s="17">
        <f>IFERROR(IF(C133&gt;0, D133/C133, 0),"-")</f>
        <v>0.96446418656302058</v>
      </c>
      <c r="G133" s="15">
        <v>17</v>
      </c>
      <c r="H133" s="16" t="s">
        <v>142</v>
      </c>
      <c r="I133" s="15">
        <f>IF(OR(H133="-",H133="",H133=0),IF(G133="-","-",G133),G133-H133)</f>
        <v>17</v>
      </c>
      <c r="J133" s="17" t="str">
        <f>IFERROR(IF(G133&gt;0, H133/G133, 0),"-")</f>
        <v>-</v>
      </c>
      <c r="K133" s="15">
        <v>21</v>
      </c>
      <c r="L133" s="16" t="s">
        <v>142</v>
      </c>
      <c r="M133" s="15">
        <f>IF(OR(L133="-",L133="",L133=0),IF(K133="-","-",K133),K133-L133)</f>
        <v>21</v>
      </c>
      <c r="N133" s="17" t="str">
        <f>IFERROR(IF(K133&gt;0, L133/K133, 0),"-")</f>
        <v>-</v>
      </c>
      <c r="O133" s="15">
        <v>45</v>
      </c>
      <c r="P133" s="16" t="s">
        <v>142</v>
      </c>
      <c r="Q133" s="15">
        <f>IF(OR(P133="-",P133="",P133=0),IF(O133="-","-",O133),O133-P133)</f>
        <v>45</v>
      </c>
      <c r="R133" s="17" t="str">
        <f>IFERROR(IF(O133&gt;0, P133/O133, 0),"-")</f>
        <v>-</v>
      </c>
      <c r="S133" s="15">
        <v>1250</v>
      </c>
      <c r="T133" s="15" t="s">
        <v>142</v>
      </c>
      <c r="U133" s="15" t="s">
        <v>142</v>
      </c>
      <c r="V133" s="16" t="s">
        <v>142</v>
      </c>
      <c r="W133" s="16" t="s">
        <v>142</v>
      </c>
      <c r="X133" s="21">
        <f>RANK(F133,$F$57:$F$183,0)</f>
        <v>77</v>
      </c>
      <c r="Y133" s="3" t="str">
        <f>IF(OR(ISERROR(F133),F133="-",NOT(ISNUMBER(F133))),"● N/A",IF(ROUND(F133, 4) &gt;= ROUND($F$184, 4),"▲ Above Average","▼ Below Average"))</f>
        <v>▼ Below Average</v>
      </c>
    </row>
    <row r="134" spans="2:25" x14ac:dyDescent="0.3">
      <c r="B134" s="14" t="s">
        <v>96</v>
      </c>
      <c r="C134" s="15">
        <v>1348</v>
      </c>
      <c r="D134" s="16">
        <v>1300</v>
      </c>
      <c r="E134" s="15">
        <f>IF(OR(D134="-",D134="",D134=0),IF(C134="-","-",C134),C134-D134)</f>
        <v>48</v>
      </c>
      <c r="F134" s="17">
        <f>IFERROR(IF(C134&gt;0, D134/C134, 0),"-")</f>
        <v>0.96439169139465875</v>
      </c>
      <c r="G134" s="15">
        <v>14</v>
      </c>
      <c r="H134" s="16" t="s">
        <v>142</v>
      </c>
      <c r="I134" s="15">
        <f>IF(OR(H134="-",H134="",H134=0),IF(G134="-","-",G134),G134-H134)</f>
        <v>14</v>
      </c>
      <c r="J134" s="17" t="str">
        <f>IFERROR(IF(G134&gt;0, H134/G134, 0),"-")</f>
        <v>-</v>
      </c>
      <c r="K134" s="15">
        <v>8</v>
      </c>
      <c r="L134" s="16" t="s">
        <v>142</v>
      </c>
      <c r="M134" s="15">
        <f>IF(OR(L134="-",L134="",L134=0),IF(K134="-","-",K134),K134-L134)</f>
        <v>8</v>
      </c>
      <c r="N134" s="17" t="str">
        <f>IFERROR(IF(K134&gt;0, L134/K134, 0),"-")</f>
        <v>-</v>
      </c>
      <c r="O134" s="15">
        <v>15</v>
      </c>
      <c r="P134" s="16" t="s">
        <v>142</v>
      </c>
      <c r="Q134" s="15">
        <f>IF(OR(P134="-",P134="",P134=0),IF(O134="-","-",O134),O134-P134)</f>
        <v>15</v>
      </c>
      <c r="R134" s="17" t="str">
        <f>IFERROR(IF(O134&gt;0, P134/O134, 0),"-")</f>
        <v>-</v>
      </c>
      <c r="S134" s="15">
        <v>1211</v>
      </c>
      <c r="T134" s="15" t="s">
        <v>142</v>
      </c>
      <c r="U134" s="15" t="s">
        <v>142</v>
      </c>
      <c r="V134" s="16" t="s">
        <v>142</v>
      </c>
      <c r="W134" s="16" t="s">
        <v>142</v>
      </c>
      <c r="X134" s="21">
        <f>RANK(F134,$F$57:$F$183,0)</f>
        <v>78</v>
      </c>
      <c r="Y134" s="3" t="str">
        <f>IF(OR(ISERROR(F134),F134="-",NOT(ISNUMBER(F134))),"● N/A",IF(ROUND(F134, 4) &gt;= ROUND($F$184, 4),"▲ Above Average","▼ Below Average"))</f>
        <v>▼ Below Average</v>
      </c>
    </row>
    <row r="135" spans="2:25" x14ac:dyDescent="0.3">
      <c r="B135" s="14" t="s">
        <v>120</v>
      </c>
      <c r="C135" s="15">
        <v>1029</v>
      </c>
      <c r="D135" s="16">
        <v>992</v>
      </c>
      <c r="E135" s="15">
        <f>IF(OR(D135="-",D135="",D135=0),IF(C135="-","-",C135),C135-D135)</f>
        <v>37</v>
      </c>
      <c r="F135" s="17">
        <f>IFERROR(IF(C135&gt;0, D135/C135, 0),"-")</f>
        <v>0.96404275996112732</v>
      </c>
      <c r="G135" s="15">
        <v>10</v>
      </c>
      <c r="H135" s="16" t="s">
        <v>142</v>
      </c>
      <c r="I135" s="15">
        <f>IF(OR(H135="-",H135="",H135=0),IF(G135="-","-",G135),G135-H135)</f>
        <v>10</v>
      </c>
      <c r="J135" s="17" t="str">
        <f>IFERROR(IF(G135&gt;0, H135/G135, 0),"-")</f>
        <v>-</v>
      </c>
      <c r="K135" s="15">
        <v>9</v>
      </c>
      <c r="L135" s="16" t="s">
        <v>142</v>
      </c>
      <c r="M135" s="15">
        <f>IF(OR(L135="-",L135="",L135=0),IF(K135="-","-",K135),K135-L135)</f>
        <v>9</v>
      </c>
      <c r="N135" s="17" t="str">
        <f>IFERROR(IF(K135&gt;0, L135/K135, 0),"-")</f>
        <v>-</v>
      </c>
      <c r="O135" s="15">
        <v>18</v>
      </c>
      <c r="P135" s="16" t="s">
        <v>142</v>
      </c>
      <c r="Q135" s="15">
        <f>IF(OR(P135="-",P135="",P135=0),IF(O135="-","-",O135),O135-P135)</f>
        <v>18</v>
      </c>
      <c r="R135" s="17" t="str">
        <f>IFERROR(IF(O135&gt;0, P135/O135, 0),"-")</f>
        <v>-</v>
      </c>
      <c r="S135" s="15">
        <v>1347</v>
      </c>
      <c r="T135" s="15" t="s">
        <v>142</v>
      </c>
      <c r="U135" s="15" t="s">
        <v>142</v>
      </c>
      <c r="V135" s="16" t="s">
        <v>142</v>
      </c>
      <c r="W135" s="16" t="s">
        <v>142</v>
      </c>
      <c r="X135" s="21">
        <f>RANK(F135,$F$57:$F$183,0)</f>
        <v>79</v>
      </c>
      <c r="Y135" s="3" t="str">
        <f>IF(OR(ISERROR(F135),F135="-",NOT(ISNUMBER(F135))),"● N/A",IF(ROUND(F135, 4) &gt;= ROUND($F$184, 4),"▲ Above Average","▼ Below Average"))</f>
        <v>▼ Below Average</v>
      </c>
    </row>
    <row r="136" spans="2:25" x14ac:dyDescent="0.3">
      <c r="B136" s="14" t="s">
        <v>74</v>
      </c>
      <c r="C136" s="15">
        <v>1054</v>
      </c>
      <c r="D136" s="16">
        <v>1016</v>
      </c>
      <c r="E136" s="15">
        <f>IF(OR(D136="-",D136="",D136=0),IF(C136="-","-",C136),C136-D136)</f>
        <v>38</v>
      </c>
      <c r="F136" s="17">
        <f>IFERROR(IF(C136&gt;0, D136/C136, 0),"-")</f>
        <v>0.96394686907020877</v>
      </c>
      <c r="G136" s="15">
        <v>8</v>
      </c>
      <c r="H136" s="16" t="s">
        <v>142</v>
      </c>
      <c r="I136" s="15">
        <f>IF(OR(H136="-",H136="",H136=0),IF(G136="-","-",G136),G136-H136)</f>
        <v>8</v>
      </c>
      <c r="J136" s="17" t="str">
        <f>IFERROR(IF(G136&gt;0, H136/G136, 0),"-")</f>
        <v>-</v>
      </c>
      <c r="K136" s="15">
        <v>6</v>
      </c>
      <c r="L136" s="16" t="s">
        <v>142</v>
      </c>
      <c r="M136" s="15">
        <f>IF(OR(L136="-",L136="",L136=0),IF(K136="-","-",K136),K136-L136)</f>
        <v>6</v>
      </c>
      <c r="N136" s="17" t="str">
        <f>IFERROR(IF(K136&gt;0, L136/K136, 0),"-")</f>
        <v>-</v>
      </c>
      <c r="O136" s="15">
        <v>8</v>
      </c>
      <c r="P136" s="16" t="s">
        <v>142</v>
      </c>
      <c r="Q136" s="15">
        <f>IF(OR(P136="-",P136="",P136=0),IF(O136="-","-",O136),O136-P136)</f>
        <v>8</v>
      </c>
      <c r="R136" s="17" t="str">
        <f>IFERROR(IF(O136&gt;0, P136/O136, 0),"-")</f>
        <v>-</v>
      </c>
      <c r="S136" s="15">
        <v>819</v>
      </c>
      <c r="T136" s="15" t="s">
        <v>142</v>
      </c>
      <c r="U136" s="15" t="s">
        <v>142</v>
      </c>
      <c r="V136" s="16" t="s">
        <v>142</v>
      </c>
      <c r="W136" s="16" t="s">
        <v>142</v>
      </c>
      <c r="X136" s="21">
        <f>RANK(F136,$F$57:$F$183,0)</f>
        <v>80</v>
      </c>
      <c r="Y136" s="3" t="str">
        <f>IF(OR(ISERROR(F136),F136="-",NOT(ISNUMBER(F136))),"● N/A",IF(ROUND(F136, 4) &gt;= ROUND($F$184, 4),"▲ Above Average","▼ Below Average"))</f>
        <v>▼ Below Average</v>
      </c>
    </row>
    <row r="137" spans="2:25" x14ac:dyDescent="0.3">
      <c r="B137" s="14" t="s">
        <v>21</v>
      </c>
      <c r="C137" s="15">
        <v>1901</v>
      </c>
      <c r="D137" s="16">
        <v>1832</v>
      </c>
      <c r="E137" s="15">
        <f>IF(OR(D137="-",D137="",D137=0),IF(C137="-","-",C137),C137-D137)</f>
        <v>69</v>
      </c>
      <c r="F137" s="17">
        <f>IFERROR(IF(C137&gt;0, D137/C137, 0),"-")</f>
        <v>0.96370331404523935</v>
      </c>
      <c r="G137" s="15">
        <v>15</v>
      </c>
      <c r="H137" s="16" t="s">
        <v>142</v>
      </c>
      <c r="I137" s="15">
        <f>IF(OR(H137="-",H137="",H137=0),IF(G137="-","-",G137),G137-H137)</f>
        <v>15</v>
      </c>
      <c r="J137" s="17" t="str">
        <f>IFERROR(IF(G137&gt;0, H137/G137, 0),"-")</f>
        <v>-</v>
      </c>
      <c r="K137" s="15">
        <v>21</v>
      </c>
      <c r="L137" s="16" t="s">
        <v>142</v>
      </c>
      <c r="M137" s="15">
        <f>IF(OR(L137="-",L137="",L137=0),IF(K137="-","-",K137),K137-L137)</f>
        <v>21</v>
      </c>
      <c r="N137" s="17" t="str">
        <f>IFERROR(IF(K137&gt;0, L137/K137, 0),"-")</f>
        <v>-</v>
      </c>
      <c r="O137" s="15">
        <v>26</v>
      </c>
      <c r="P137" s="16" t="s">
        <v>142</v>
      </c>
      <c r="Q137" s="15">
        <f>IF(OR(P137="-",P137="",P137=0),IF(O137="-","-",O137),O137-P137)</f>
        <v>26</v>
      </c>
      <c r="R137" s="17" t="str">
        <f>IFERROR(IF(O137&gt;0, P137/O137, 0),"-")</f>
        <v>-</v>
      </c>
      <c r="S137" s="15">
        <v>1190</v>
      </c>
      <c r="T137" s="15" t="s">
        <v>142</v>
      </c>
      <c r="U137" s="15" t="s">
        <v>142</v>
      </c>
      <c r="V137" s="16" t="s">
        <v>142</v>
      </c>
      <c r="W137" s="16" t="s">
        <v>142</v>
      </c>
      <c r="X137" s="21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3">
      <c r="B138" s="14" t="s">
        <v>64</v>
      </c>
      <c r="C138" s="15">
        <v>1144</v>
      </c>
      <c r="D138" s="16">
        <v>1102</v>
      </c>
      <c r="E138" s="15">
        <f>IF(OR(D138="-",D138="",D138=0),IF(C138="-","-",C138),C138-D138)</f>
        <v>42</v>
      </c>
      <c r="F138" s="17">
        <f>IFERROR(IF(C138&gt;0, D138/C138, 0),"-")</f>
        <v>0.96328671328671334</v>
      </c>
      <c r="G138" s="15">
        <v>13</v>
      </c>
      <c r="H138" s="16" t="s">
        <v>142</v>
      </c>
      <c r="I138" s="15">
        <f>IF(OR(H138="-",H138="",H138=0),IF(G138="-","-",G138),G138-H138)</f>
        <v>13</v>
      </c>
      <c r="J138" s="17" t="str">
        <f>IFERROR(IF(G138&gt;0, H138/G138, 0),"-")</f>
        <v>-</v>
      </c>
      <c r="K138" s="15">
        <v>9</v>
      </c>
      <c r="L138" s="16" t="s">
        <v>142</v>
      </c>
      <c r="M138" s="15">
        <f>IF(OR(L138="-",L138="",L138=0),IF(K138="-","-",K138),K138-L138)</f>
        <v>9</v>
      </c>
      <c r="N138" s="17" t="str">
        <f>IFERROR(IF(K138&gt;0, L138/K138, 0),"-")</f>
        <v>-</v>
      </c>
      <c r="O138" s="15">
        <v>10</v>
      </c>
      <c r="P138" s="16" t="s">
        <v>142</v>
      </c>
      <c r="Q138" s="15">
        <f>IF(OR(P138="-",P138="",P138=0),IF(O138="-","-",O138),O138-P138)</f>
        <v>10</v>
      </c>
      <c r="R138" s="17" t="str">
        <f>IFERROR(IF(O138&gt;0, P138/O138, 0),"-")</f>
        <v>-</v>
      </c>
      <c r="S138" s="15">
        <v>1115</v>
      </c>
      <c r="T138" s="15" t="s">
        <v>142</v>
      </c>
      <c r="U138" s="15" t="s">
        <v>142</v>
      </c>
      <c r="V138" s="16" t="s">
        <v>142</v>
      </c>
      <c r="W138" s="16" t="s">
        <v>142</v>
      </c>
      <c r="X138" s="21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3">
      <c r="B139" s="14" t="s">
        <v>55</v>
      </c>
      <c r="C139" s="15">
        <v>740</v>
      </c>
      <c r="D139" s="16">
        <v>712</v>
      </c>
      <c r="E139" s="15">
        <f>IF(OR(D139="-",D139="",D139=0),IF(C139="-","-",C139),C139-D139)</f>
        <v>28</v>
      </c>
      <c r="F139" s="17">
        <f>IFERROR(IF(C139&gt;0, D139/C139, 0),"-")</f>
        <v>0.96216216216216222</v>
      </c>
      <c r="G139" s="15">
        <v>5</v>
      </c>
      <c r="H139" s="16" t="s">
        <v>142</v>
      </c>
      <c r="I139" s="15">
        <f>IF(OR(H139="-",H139="",H139=0),IF(G139="-","-",G139),G139-H139)</f>
        <v>5</v>
      </c>
      <c r="J139" s="17" t="str">
        <f>IFERROR(IF(G139&gt;0, H139/G139, 0),"-")</f>
        <v>-</v>
      </c>
      <c r="K139" s="15">
        <v>8</v>
      </c>
      <c r="L139" s="16" t="s">
        <v>142</v>
      </c>
      <c r="M139" s="15">
        <f>IF(OR(L139="-",L139="",L139=0),IF(K139="-","-",K139),K139-L139)</f>
        <v>8</v>
      </c>
      <c r="N139" s="17" t="str">
        <f>IFERROR(IF(K139&gt;0, L139/K139, 0),"-")</f>
        <v>-</v>
      </c>
      <c r="O139" s="15">
        <v>8</v>
      </c>
      <c r="P139" s="16" t="s">
        <v>142</v>
      </c>
      <c r="Q139" s="15">
        <f>IF(OR(P139="-",P139="",P139=0),IF(O139="-","-",O139),O139-P139)</f>
        <v>8</v>
      </c>
      <c r="R139" s="17" t="str">
        <f>IFERROR(IF(O139&gt;0, P139/O139, 0),"-")</f>
        <v>-</v>
      </c>
      <c r="S139" s="15">
        <v>218</v>
      </c>
      <c r="T139" s="15" t="s">
        <v>142</v>
      </c>
      <c r="U139" s="15" t="s">
        <v>142</v>
      </c>
      <c r="V139" s="16" t="s">
        <v>142</v>
      </c>
      <c r="W139" s="16" t="s">
        <v>142</v>
      </c>
      <c r="X139" s="21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3">
      <c r="B140" s="14" t="s">
        <v>78</v>
      </c>
      <c r="C140" s="15">
        <v>316</v>
      </c>
      <c r="D140" s="16">
        <v>304</v>
      </c>
      <c r="E140" s="15">
        <f>IF(OR(D140="-",D140="",D140=0),IF(C140="-","-",C140),C140-D140)</f>
        <v>12</v>
      </c>
      <c r="F140" s="17">
        <f>IFERROR(IF(C140&gt;0, D140/C140, 0),"-")</f>
        <v>0.96202531645569622</v>
      </c>
      <c r="G140" s="15">
        <v>8</v>
      </c>
      <c r="H140" s="16" t="s">
        <v>142</v>
      </c>
      <c r="I140" s="15">
        <f>IF(OR(H140="-",H140="",H140=0),IF(G140="-","-",G140),G140-H140)</f>
        <v>8</v>
      </c>
      <c r="J140" s="17" t="str">
        <f>IFERROR(IF(G140&gt;0, H140/G140, 0),"-")</f>
        <v>-</v>
      </c>
      <c r="K140" s="15">
        <v>10</v>
      </c>
      <c r="L140" s="16" t="s">
        <v>142</v>
      </c>
      <c r="M140" s="15">
        <f>IF(OR(L140="-",L140="",L140=0),IF(K140="-","-",K140),K140-L140)</f>
        <v>10</v>
      </c>
      <c r="N140" s="17" t="str">
        <f>IFERROR(IF(K140&gt;0, L140/K140, 0),"-")</f>
        <v>-</v>
      </c>
      <c r="O140" s="15">
        <v>5</v>
      </c>
      <c r="P140" s="16" t="s">
        <v>142</v>
      </c>
      <c r="Q140" s="15">
        <f>IF(OR(P140="-",P140="",P140=0),IF(O140="-","-",O140),O140-P140)</f>
        <v>5</v>
      </c>
      <c r="R140" s="17" t="str">
        <f>IFERROR(IF(O140&gt;0, P140/O140, 0),"-")</f>
        <v>-</v>
      </c>
      <c r="S140" s="15">
        <v>12</v>
      </c>
      <c r="T140" s="15" t="s">
        <v>142</v>
      </c>
      <c r="U140" s="15" t="s">
        <v>142</v>
      </c>
      <c r="V140" s="16" t="s">
        <v>142</v>
      </c>
      <c r="W140" s="16" t="s">
        <v>142</v>
      </c>
      <c r="X140" s="21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3">
      <c r="B141" s="14" t="s">
        <v>58</v>
      </c>
      <c r="C141" s="15">
        <v>947</v>
      </c>
      <c r="D141" s="16">
        <v>911</v>
      </c>
      <c r="E141" s="15">
        <f>IF(OR(D141="-",D141="",D141=0),IF(C141="-","-",C141),C141-D141)</f>
        <v>36</v>
      </c>
      <c r="F141" s="17">
        <f>IFERROR(IF(C141&gt;0, D141/C141, 0),"-")</f>
        <v>0.96198521647307289</v>
      </c>
      <c r="G141" s="15">
        <v>12</v>
      </c>
      <c r="H141" s="16" t="s">
        <v>142</v>
      </c>
      <c r="I141" s="15">
        <f>IF(OR(H141="-",H141="",H141=0),IF(G141="-","-",G141),G141-H141)</f>
        <v>12</v>
      </c>
      <c r="J141" s="17" t="str">
        <f>IFERROR(IF(G141&gt;0, H141/G141, 0),"-")</f>
        <v>-</v>
      </c>
      <c r="K141" s="15">
        <v>6</v>
      </c>
      <c r="L141" s="16" t="s">
        <v>142</v>
      </c>
      <c r="M141" s="15">
        <f>IF(OR(L141="-",L141="",L141=0),IF(K141="-","-",K141),K141-L141)</f>
        <v>6</v>
      </c>
      <c r="N141" s="17" t="str">
        <f>IFERROR(IF(K141&gt;0, L141/K141, 0),"-")</f>
        <v>-</v>
      </c>
      <c r="O141" s="15">
        <v>13</v>
      </c>
      <c r="P141" s="16" t="s">
        <v>142</v>
      </c>
      <c r="Q141" s="15">
        <f>IF(OR(P141="-",P141="",P141=0),IF(O141="-","-",O141),O141-P141)</f>
        <v>13</v>
      </c>
      <c r="R141" s="17" t="str">
        <f>IFERROR(IF(O141&gt;0, P141/O141, 0),"-")</f>
        <v>-</v>
      </c>
      <c r="S141" s="15">
        <v>334</v>
      </c>
      <c r="T141" s="15" t="s">
        <v>142</v>
      </c>
      <c r="U141" s="15" t="s">
        <v>142</v>
      </c>
      <c r="V141" s="16" t="s">
        <v>142</v>
      </c>
      <c r="W141" s="16" t="s">
        <v>142</v>
      </c>
      <c r="X141" s="21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3">
      <c r="B142" s="14" t="s">
        <v>77</v>
      </c>
      <c r="C142" s="15">
        <v>855</v>
      </c>
      <c r="D142" s="16">
        <v>822</v>
      </c>
      <c r="E142" s="15">
        <f>IF(OR(D142="-",D142="",D142=0),IF(C142="-","-",C142),C142-D142)</f>
        <v>33</v>
      </c>
      <c r="F142" s="17">
        <f>IFERROR(IF(C142&gt;0, D142/C142, 0),"-")</f>
        <v>0.96140350877192982</v>
      </c>
      <c r="G142" s="15">
        <v>10</v>
      </c>
      <c r="H142" s="16" t="s">
        <v>142</v>
      </c>
      <c r="I142" s="15">
        <f>IF(OR(H142="-",H142="",H142=0),IF(G142="-","-",G142),G142-H142)</f>
        <v>10</v>
      </c>
      <c r="J142" s="17" t="str">
        <f>IFERROR(IF(G142&gt;0, H142/G142, 0),"-")</f>
        <v>-</v>
      </c>
      <c r="K142" s="15">
        <v>6</v>
      </c>
      <c r="L142" s="16" t="s">
        <v>142</v>
      </c>
      <c r="M142" s="15">
        <f>IF(OR(L142="-",L142="",L142=0),IF(K142="-","-",K142),K142-L142)</f>
        <v>6</v>
      </c>
      <c r="N142" s="17" t="str">
        <f>IFERROR(IF(K142&gt;0, L142/K142, 0),"-")</f>
        <v>-</v>
      </c>
      <c r="O142" s="15">
        <v>7</v>
      </c>
      <c r="P142" s="16" t="s">
        <v>142</v>
      </c>
      <c r="Q142" s="15">
        <f>IF(OR(P142="-",P142="",P142=0),IF(O142="-","-",O142),O142-P142)</f>
        <v>7</v>
      </c>
      <c r="R142" s="17" t="str">
        <f>IFERROR(IF(O142&gt;0, P142/O142, 0),"-")</f>
        <v>-</v>
      </c>
      <c r="S142" s="15">
        <v>364</v>
      </c>
      <c r="T142" s="15" t="s">
        <v>142</v>
      </c>
      <c r="U142" s="15" t="s">
        <v>142</v>
      </c>
      <c r="V142" s="16" t="s">
        <v>142</v>
      </c>
      <c r="W142" s="16" t="s">
        <v>142</v>
      </c>
      <c r="X142" s="21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3">
      <c r="B143" s="14" t="s">
        <v>34</v>
      </c>
      <c r="C143" s="15">
        <v>1304</v>
      </c>
      <c r="D143" s="16">
        <v>1252</v>
      </c>
      <c r="E143" s="15">
        <f>IF(OR(D143="-",D143="",D143=0),IF(C143="-","-",C143),C143-D143)</f>
        <v>52</v>
      </c>
      <c r="F143" s="17">
        <f>IFERROR(IF(C143&gt;0, D143/C143, 0),"-")</f>
        <v>0.96012269938650308</v>
      </c>
      <c r="G143" s="15">
        <v>14</v>
      </c>
      <c r="H143" s="16" t="s">
        <v>142</v>
      </c>
      <c r="I143" s="15">
        <f>IF(OR(H143="-",H143="",H143=0),IF(G143="-","-",G143),G143-H143)</f>
        <v>14</v>
      </c>
      <c r="J143" s="17" t="str">
        <f>IFERROR(IF(G143&gt;0, H143/G143, 0),"-")</f>
        <v>-</v>
      </c>
      <c r="K143" s="15">
        <v>21</v>
      </c>
      <c r="L143" s="16" t="s">
        <v>142</v>
      </c>
      <c r="M143" s="15">
        <f>IF(OR(L143="-",L143="",L143=0),IF(K143="-","-",K143),K143-L143)</f>
        <v>21</v>
      </c>
      <c r="N143" s="17" t="str">
        <f>IFERROR(IF(K143&gt;0, L143/K143, 0),"-")</f>
        <v>-</v>
      </c>
      <c r="O143" s="15">
        <v>38</v>
      </c>
      <c r="P143" s="16" t="s">
        <v>142</v>
      </c>
      <c r="Q143" s="15">
        <f>IF(OR(P143="-",P143="",P143=0),IF(O143="-","-",O143),O143-P143)</f>
        <v>38</v>
      </c>
      <c r="R143" s="17" t="str">
        <f>IFERROR(IF(O143&gt;0, P143/O143, 0),"-")</f>
        <v>-</v>
      </c>
      <c r="S143" s="15">
        <v>790</v>
      </c>
      <c r="T143" s="15" t="s">
        <v>142</v>
      </c>
      <c r="U143" s="15" t="s">
        <v>142</v>
      </c>
      <c r="V143" s="16" t="s">
        <v>142</v>
      </c>
      <c r="W143" s="16" t="s">
        <v>142</v>
      </c>
      <c r="X143" s="21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3">
      <c r="B144" s="14" t="s">
        <v>98</v>
      </c>
      <c r="C144" s="15">
        <v>1878</v>
      </c>
      <c r="D144" s="16">
        <v>1803</v>
      </c>
      <c r="E144" s="15">
        <f>IF(OR(D144="-",D144="",D144=0),IF(C144="-","-",C144),C144-D144)</f>
        <v>75</v>
      </c>
      <c r="F144" s="17">
        <f>IFERROR(IF(C144&gt;0, D144/C144, 0),"-")</f>
        <v>0.96006389776357826</v>
      </c>
      <c r="G144" s="15">
        <v>19</v>
      </c>
      <c r="H144" s="16" t="s">
        <v>142</v>
      </c>
      <c r="I144" s="15">
        <f>IF(OR(H144="-",H144="",H144=0),IF(G144="-","-",G144),G144-H144)</f>
        <v>19</v>
      </c>
      <c r="J144" s="17" t="str">
        <f>IFERROR(IF(G144&gt;0, H144/G144, 0),"-")</f>
        <v>-</v>
      </c>
      <c r="K144" s="15">
        <v>27</v>
      </c>
      <c r="L144" s="16" t="s">
        <v>142</v>
      </c>
      <c r="M144" s="15">
        <f>IF(OR(L144="-",L144="",L144=0),IF(K144="-","-",K144),K144-L144)</f>
        <v>27</v>
      </c>
      <c r="N144" s="17" t="str">
        <f>IFERROR(IF(K144&gt;0, L144/K144, 0),"-")</f>
        <v>-</v>
      </c>
      <c r="O144" s="15">
        <v>32</v>
      </c>
      <c r="P144" s="16" t="s">
        <v>142</v>
      </c>
      <c r="Q144" s="15">
        <f>IF(OR(P144="-",P144="",P144=0),IF(O144="-","-",O144),O144-P144)</f>
        <v>32</v>
      </c>
      <c r="R144" s="17" t="str">
        <f>IFERROR(IF(O144&gt;0, P144/O144, 0),"-")</f>
        <v>-</v>
      </c>
      <c r="S144" s="15">
        <v>1047</v>
      </c>
      <c r="T144" s="15" t="s">
        <v>142</v>
      </c>
      <c r="U144" s="15" t="s">
        <v>142</v>
      </c>
      <c r="V144" s="16" t="s">
        <v>142</v>
      </c>
      <c r="W144" s="16" t="s">
        <v>142</v>
      </c>
      <c r="X144" s="21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3">
      <c r="B145" s="14" t="s">
        <v>33</v>
      </c>
      <c r="C145" s="15">
        <v>1738</v>
      </c>
      <c r="D145" s="16">
        <v>1667</v>
      </c>
      <c r="E145" s="15">
        <f>IF(OR(D145="-",D145="",D145=0),IF(C145="-","-",C145),C145-D145)</f>
        <v>71</v>
      </c>
      <c r="F145" s="17">
        <f>IFERROR(IF(C145&gt;0, D145/C145, 0),"-")</f>
        <v>0.95914844649021869</v>
      </c>
      <c r="G145" s="15">
        <v>20</v>
      </c>
      <c r="H145" s="16" t="s">
        <v>142</v>
      </c>
      <c r="I145" s="15">
        <f>IF(OR(H145="-",H145="",H145=0),IF(G145="-","-",G145),G145-H145)</f>
        <v>20</v>
      </c>
      <c r="J145" s="17" t="str">
        <f>IFERROR(IF(G145&gt;0, H145/G145, 0),"-")</f>
        <v>-</v>
      </c>
      <c r="K145" s="15">
        <v>9</v>
      </c>
      <c r="L145" s="16" t="s">
        <v>142</v>
      </c>
      <c r="M145" s="15">
        <f>IF(OR(L145="-",L145="",L145=0),IF(K145="-","-",K145),K145-L145)</f>
        <v>9</v>
      </c>
      <c r="N145" s="17" t="str">
        <f>IFERROR(IF(K145&gt;0, L145/K145, 0),"-")</f>
        <v>-</v>
      </c>
      <c r="O145" s="15">
        <v>24</v>
      </c>
      <c r="P145" s="16" t="s">
        <v>142</v>
      </c>
      <c r="Q145" s="15">
        <f>IF(OR(P145="-",P145="",P145=0),IF(O145="-","-",O145),O145-P145)</f>
        <v>24</v>
      </c>
      <c r="R145" s="17" t="str">
        <f>IFERROR(IF(O145&gt;0, P145/O145, 0),"-")</f>
        <v>-</v>
      </c>
      <c r="S145" s="15">
        <v>938</v>
      </c>
      <c r="T145" s="15" t="s">
        <v>142</v>
      </c>
      <c r="U145" s="15" t="s">
        <v>142</v>
      </c>
      <c r="V145" s="16" t="s">
        <v>142</v>
      </c>
      <c r="W145" s="16" t="s">
        <v>142</v>
      </c>
      <c r="X145" s="21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3">
      <c r="B146" s="14" t="s">
        <v>103</v>
      </c>
      <c r="C146" s="15">
        <v>1015</v>
      </c>
      <c r="D146" s="16">
        <v>973</v>
      </c>
      <c r="E146" s="15">
        <f>IF(OR(D146="-",D146="",D146=0),IF(C146="-","-",C146),C146-D146)</f>
        <v>42</v>
      </c>
      <c r="F146" s="17">
        <f>IFERROR(IF(C146&gt;0, D146/C146, 0),"-")</f>
        <v>0.95862068965517244</v>
      </c>
      <c r="G146" s="15">
        <v>16</v>
      </c>
      <c r="H146" s="16" t="s">
        <v>142</v>
      </c>
      <c r="I146" s="15">
        <f>IF(OR(H146="-",H146="",H146=0),IF(G146="-","-",G146),G146-H146)</f>
        <v>16</v>
      </c>
      <c r="J146" s="17" t="str">
        <f>IFERROR(IF(G146&gt;0, H146/G146, 0),"-")</f>
        <v>-</v>
      </c>
      <c r="K146" s="15">
        <v>7</v>
      </c>
      <c r="L146" s="16" t="s">
        <v>142</v>
      </c>
      <c r="M146" s="15">
        <f>IF(OR(L146="-",L146="",L146=0),IF(K146="-","-",K146),K146-L146)</f>
        <v>7</v>
      </c>
      <c r="N146" s="17" t="str">
        <f>IFERROR(IF(K146&gt;0, L146/K146, 0),"-")</f>
        <v>-</v>
      </c>
      <c r="O146" s="15">
        <v>23</v>
      </c>
      <c r="P146" s="16" t="s">
        <v>142</v>
      </c>
      <c r="Q146" s="15">
        <f>IF(OR(P146="-",P146="",P146=0),IF(O146="-","-",O146),O146-P146)</f>
        <v>23</v>
      </c>
      <c r="R146" s="17" t="str">
        <f>IFERROR(IF(O146&gt;0, P146/O146, 0),"-")</f>
        <v>-</v>
      </c>
      <c r="S146" s="15">
        <v>1596</v>
      </c>
      <c r="T146" s="15" t="s">
        <v>142</v>
      </c>
      <c r="U146" s="15" t="s">
        <v>142</v>
      </c>
      <c r="V146" s="16" t="s">
        <v>142</v>
      </c>
      <c r="W146" s="16" t="s">
        <v>142</v>
      </c>
      <c r="X146" s="21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3">
      <c r="B147" s="14" t="s">
        <v>43</v>
      </c>
      <c r="C147" s="15">
        <v>985</v>
      </c>
      <c r="D147" s="16">
        <v>944</v>
      </c>
      <c r="E147" s="15">
        <f>IF(OR(D147="-",D147="",D147=0),IF(C147="-","-",C147),C147-D147)</f>
        <v>41</v>
      </c>
      <c r="F147" s="17">
        <f>IFERROR(IF(C147&gt;0, D147/C147, 0),"-")</f>
        <v>0.95837563451776653</v>
      </c>
      <c r="G147" s="15">
        <v>14</v>
      </c>
      <c r="H147" s="16" t="s">
        <v>142</v>
      </c>
      <c r="I147" s="15">
        <f>IF(OR(H147="-",H147="",H147=0),IF(G147="-","-",G147),G147-H147)</f>
        <v>14</v>
      </c>
      <c r="J147" s="17" t="str">
        <f>IFERROR(IF(G147&gt;0, H147/G147, 0),"-")</f>
        <v>-</v>
      </c>
      <c r="K147" s="15">
        <v>10</v>
      </c>
      <c r="L147" s="16" t="s">
        <v>142</v>
      </c>
      <c r="M147" s="15">
        <f>IF(OR(L147="-",L147="",L147=0),IF(K147="-","-",K147),K147-L147)</f>
        <v>10</v>
      </c>
      <c r="N147" s="17" t="str">
        <f>IFERROR(IF(K147&gt;0, L147/K147, 0),"-")</f>
        <v>-</v>
      </c>
      <c r="O147" s="15">
        <v>13</v>
      </c>
      <c r="P147" s="16" t="s">
        <v>142</v>
      </c>
      <c r="Q147" s="15">
        <f>IF(OR(P147="-",P147="",P147=0),IF(O147="-","-",O147),O147-P147)</f>
        <v>13</v>
      </c>
      <c r="R147" s="17" t="str">
        <f>IFERROR(IF(O147&gt;0, P147/O147, 0),"-")</f>
        <v>-</v>
      </c>
      <c r="S147" s="15">
        <v>1324</v>
      </c>
      <c r="T147" s="15" t="s">
        <v>142</v>
      </c>
      <c r="U147" s="15" t="s">
        <v>142</v>
      </c>
      <c r="V147" s="16" t="s">
        <v>142</v>
      </c>
      <c r="W147" s="16" t="s">
        <v>142</v>
      </c>
      <c r="X147" s="21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3">
      <c r="B148" s="14" t="s">
        <v>121</v>
      </c>
      <c r="C148" s="15">
        <v>1080</v>
      </c>
      <c r="D148" s="16">
        <v>1035</v>
      </c>
      <c r="E148" s="15">
        <f>IF(OR(D148="-",D148="",D148=0),IF(C148="-","-",C148),C148-D148)</f>
        <v>45</v>
      </c>
      <c r="F148" s="17">
        <f>IFERROR(IF(C148&gt;0, D148/C148, 0),"-")</f>
        <v>0.95833333333333337</v>
      </c>
      <c r="G148" s="15">
        <v>18</v>
      </c>
      <c r="H148" s="16" t="s">
        <v>142</v>
      </c>
      <c r="I148" s="15">
        <f>IF(OR(H148="-",H148="",H148=0),IF(G148="-","-",G148),G148-H148)</f>
        <v>18</v>
      </c>
      <c r="J148" s="17" t="str">
        <f>IFERROR(IF(G148&gt;0, H148/G148, 0),"-")</f>
        <v>-</v>
      </c>
      <c r="K148" s="15">
        <v>18</v>
      </c>
      <c r="L148" s="16" t="s">
        <v>142</v>
      </c>
      <c r="M148" s="15">
        <f>IF(OR(L148="-",L148="",L148=0),IF(K148="-","-",K148),K148-L148)</f>
        <v>18</v>
      </c>
      <c r="N148" s="17" t="str">
        <f>IFERROR(IF(K148&gt;0, L148/K148, 0),"-")</f>
        <v>-</v>
      </c>
      <c r="O148" s="15">
        <v>28</v>
      </c>
      <c r="P148" s="16" t="s">
        <v>142</v>
      </c>
      <c r="Q148" s="15">
        <f>IF(OR(P148="-",P148="",P148=0),IF(O148="-","-",O148),O148-P148)</f>
        <v>28</v>
      </c>
      <c r="R148" s="17" t="str">
        <f>IFERROR(IF(O148&gt;0, P148/O148, 0),"-")</f>
        <v>-</v>
      </c>
      <c r="S148" s="15">
        <v>830</v>
      </c>
      <c r="T148" s="15" t="s">
        <v>142</v>
      </c>
      <c r="U148" s="15" t="s">
        <v>142</v>
      </c>
      <c r="V148" s="16" t="s">
        <v>142</v>
      </c>
      <c r="W148" s="16" t="s">
        <v>142</v>
      </c>
      <c r="X148" s="21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3">
      <c r="B149" s="14" t="s">
        <v>40</v>
      </c>
      <c r="C149" s="15">
        <v>1360</v>
      </c>
      <c r="D149" s="16">
        <v>1303</v>
      </c>
      <c r="E149" s="15">
        <f>IF(OR(D149="-",D149="",D149=0),IF(C149="-","-",C149),C149-D149)</f>
        <v>57</v>
      </c>
      <c r="F149" s="17">
        <f>IFERROR(IF(C149&gt;0, D149/C149, 0),"-")</f>
        <v>0.95808823529411768</v>
      </c>
      <c r="G149" s="15">
        <v>37</v>
      </c>
      <c r="H149" s="16" t="s">
        <v>142</v>
      </c>
      <c r="I149" s="15">
        <f>IF(OR(H149="-",H149="",H149=0),IF(G149="-","-",G149),G149-H149)</f>
        <v>37</v>
      </c>
      <c r="J149" s="17" t="str">
        <f>IFERROR(IF(G149&gt;0, H149/G149, 0),"-")</f>
        <v>-</v>
      </c>
      <c r="K149" s="15">
        <v>36</v>
      </c>
      <c r="L149" s="16" t="s">
        <v>142</v>
      </c>
      <c r="M149" s="15">
        <f>IF(OR(L149="-",L149="",L149=0),IF(K149="-","-",K149),K149-L149)</f>
        <v>36</v>
      </c>
      <c r="N149" s="17" t="str">
        <f>IFERROR(IF(K149&gt;0, L149/K149, 0),"-")</f>
        <v>-</v>
      </c>
      <c r="O149" s="15">
        <v>34</v>
      </c>
      <c r="P149" s="16" t="s">
        <v>142</v>
      </c>
      <c r="Q149" s="15">
        <f>IF(OR(P149="-",P149="",P149=0),IF(O149="-","-",O149),O149-P149)</f>
        <v>34</v>
      </c>
      <c r="R149" s="17" t="str">
        <f>IFERROR(IF(O149&gt;0, P149/O149, 0),"-")</f>
        <v>-</v>
      </c>
      <c r="S149" s="15">
        <v>1552</v>
      </c>
      <c r="T149" s="15" t="s">
        <v>142</v>
      </c>
      <c r="U149" s="15" t="s">
        <v>142</v>
      </c>
      <c r="V149" s="16" t="s">
        <v>142</v>
      </c>
      <c r="W149" s="16" t="s">
        <v>142</v>
      </c>
      <c r="X149" s="21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3">
      <c r="B150" s="14" t="s">
        <v>25</v>
      </c>
      <c r="C150" s="15">
        <v>1267</v>
      </c>
      <c r="D150" s="16">
        <v>1213</v>
      </c>
      <c r="E150" s="15">
        <f>IF(OR(D150="-",D150="",D150=0),IF(C150="-","-",C150),C150-D150)</f>
        <v>54</v>
      </c>
      <c r="F150" s="17">
        <f>IFERROR(IF(C150&gt;0, D150/C150, 0),"-")</f>
        <v>0.95737963693764794</v>
      </c>
      <c r="G150" s="15">
        <v>25</v>
      </c>
      <c r="H150" s="16" t="s">
        <v>142</v>
      </c>
      <c r="I150" s="15">
        <f>IF(OR(H150="-",H150="",H150=0),IF(G150="-","-",G150),G150-H150)</f>
        <v>25</v>
      </c>
      <c r="J150" s="17" t="str">
        <f>IFERROR(IF(G150&gt;0, H150/G150, 0),"-")</f>
        <v>-</v>
      </c>
      <c r="K150" s="15">
        <v>11</v>
      </c>
      <c r="L150" s="16" t="s">
        <v>142</v>
      </c>
      <c r="M150" s="15">
        <f>IF(OR(L150="-",L150="",L150=0),IF(K150="-","-",K150),K150-L150)</f>
        <v>11</v>
      </c>
      <c r="N150" s="17" t="str">
        <f>IFERROR(IF(K150&gt;0, L150/K150, 0),"-")</f>
        <v>-</v>
      </c>
      <c r="O150" s="15">
        <v>26</v>
      </c>
      <c r="P150" s="16" t="s">
        <v>142</v>
      </c>
      <c r="Q150" s="15">
        <f>IF(OR(P150="-",P150="",P150=0),IF(O150="-","-",O150),O150-P150)</f>
        <v>26</v>
      </c>
      <c r="R150" s="17" t="str">
        <f>IFERROR(IF(O150&gt;0, P150/O150, 0),"-")</f>
        <v>-</v>
      </c>
      <c r="S150" s="15">
        <v>1023</v>
      </c>
      <c r="T150" s="15" t="s">
        <v>142</v>
      </c>
      <c r="U150" s="15" t="s">
        <v>142</v>
      </c>
      <c r="V150" s="16" t="s">
        <v>142</v>
      </c>
      <c r="W150" s="16" t="s">
        <v>142</v>
      </c>
      <c r="X150" s="21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3">
      <c r="B151" s="14" t="s">
        <v>47</v>
      </c>
      <c r="C151" s="15">
        <v>1595</v>
      </c>
      <c r="D151" s="16">
        <v>1527</v>
      </c>
      <c r="E151" s="15">
        <f>IF(OR(D151="-",D151="",D151=0),IF(C151="-","-",C151),C151-D151)</f>
        <v>68</v>
      </c>
      <c r="F151" s="17">
        <f>IFERROR(IF(C151&gt;0, D151/C151, 0),"-")</f>
        <v>0.95736677115987456</v>
      </c>
      <c r="G151" s="15">
        <v>16</v>
      </c>
      <c r="H151" s="16" t="s">
        <v>142</v>
      </c>
      <c r="I151" s="15">
        <f>IF(OR(H151="-",H151="",H151=0),IF(G151="-","-",G151),G151-H151)</f>
        <v>16</v>
      </c>
      <c r="J151" s="17" t="str">
        <f>IFERROR(IF(G151&gt;0, H151/G151, 0),"-")</f>
        <v>-</v>
      </c>
      <c r="K151" s="15">
        <v>15</v>
      </c>
      <c r="L151" s="16" t="s">
        <v>142</v>
      </c>
      <c r="M151" s="15">
        <f>IF(OR(L151="-",L151="",L151=0),IF(K151="-","-",K151),K151-L151)</f>
        <v>15</v>
      </c>
      <c r="N151" s="17" t="str">
        <f>IFERROR(IF(K151&gt;0, L151/K151, 0),"-")</f>
        <v>-</v>
      </c>
      <c r="O151" s="15">
        <v>16</v>
      </c>
      <c r="P151" s="16" t="s">
        <v>142</v>
      </c>
      <c r="Q151" s="15">
        <f>IF(OR(P151="-",P151="",P151=0),IF(O151="-","-",O151),O151-P151)</f>
        <v>16</v>
      </c>
      <c r="R151" s="17" t="str">
        <f>IFERROR(IF(O151&gt;0, P151/O151, 0),"-")</f>
        <v>-</v>
      </c>
      <c r="S151" s="15">
        <v>1086</v>
      </c>
      <c r="T151" s="15" t="s">
        <v>142</v>
      </c>
      <c r="U151" s="15" t="s">
        <v>142</v>
      </c>
      <c r="V151" s="16" t="s">
        <v>142</v>
      </c>
      <c r="W151" s="16" t="s">
        <v>142</v>
      </c>
      <c r="X151" s="21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3">
      <c r="B152" s="14" t="s">
        <v>57</v>
      </c>
      <c r="C152" s="15">
        <v>763</v>
      </c>
      <c r="D152" s="16">
        <v>730</v>
      </c>
      <c r="E152" s="15">
        <f>IF(OR(D152="-",D152="",D152=0),IF(C152="-","-",C152),C152-D152)</f>
        <v>33</v>
      </c>
      <c r="F152" s="17">
        <f>IFERROR(IF(C152&gt;0, D152/C152, 0),"-")</f>
        <v>0.95674967234600261</v>
      </c>
      <c r="G152" s="15">
        <v>7</v>
      </c>
      <c r="H152" s="16" t="s">
        <v>142</v>
      </c>
      <c r="I152" s="15">
        <f>IF(OR(H152="-",H152="",H152=0),IF(G152="-","-",G152),G152-H152)</f>
        <v>7</v>
      </c>
      <c r="J152" s="17" t="str">
        <f>IFERROR(IF(G152&gt;0, H152/G152, 0),"-")</f>
        <v>-</v>
      </c>
      <c r="K152" s="15">
        <v>6</v>
      </c>
      <c r="L152" s="16" t="s">
        <v>142</v>
      </c>
      <c r="M152" s="15">
        <f>IF(OR(L152="-",L152="",L152=0),IF(K152="-","-",K152),K152-L152)</f>
        <v>6</v>
      </c>
      <c r="N152" s="17" t="str">
        <f>IFERROR(IF(K152&gt;0, L152/K152, 0),"-")</f>
        <v>-</v>
      </c>
      <c r="O152" s="15">
        <v>4</v>
      </c>
      <c r="P152" s="16" t="s">
        <v>142</v>
      </c>
      <c r="Q152" s="15">
        <f>IF(OR(P152="-",P152="",P152=0),IF(O152="-","-",O152),O152-P152)</f>
        <v>4</v>
      </c>
      <c r="R152" s="17" t="str">
        <f>IFERROR(IF(O152&gt;0, P152/O152, 0),"-")</f>
        <v>-</v>
      </c>
      <c r="S152" s="15">
        <v>490</v>
      </c>
      <c r="T152" s="15" t="s">
        <v>142</v>
      </c>
      <c r="U152" s="15" t="s">
        <v>142</v>
      </c>
      <c r="V152" s="16" t="s">
        <v>142</v>
      </c>
      <c r="W152" s="16" t="s">
        <v>142</v>
      </c>
      <c r="X152" s="21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3">
      <c r="B153" s="14" t="s">
        <v>123</v>
      </c>
      <c r="C153" s="15">
        <v>369</v>
      </c>
      <c r="D153" s="16">
        <v>353</v>
      </c>
      <c r="E153" s="15">
        <f>IF(OR(D153="-",D153="",D153=0),IF(C153="-","-",C153),C153-D153)</f>
        <v>16</v>
      </c>
      <c r="F153" s="17">
        <f>IFERROR(IF(C153&gt;0, D153/C153, 0),"-")</f>
        <v>0.95663956639566394</v>
      </c>
      <c r="G153" s="15">
        <v>7</v>
      </c>
      <c r="H153" s="16" t="s">
        <v>142</v>
      </c>
      <c r="I153" s="15">
        <f>IF(OR(H153="-",H153="",H153=0),IF(G153="-","-",G153),G153-H153)</f>
        <v>7</v>
      </c>
      <c r="J153" s="17" t="str">
        <f>IFERROR(IF(G153&gt;0, H153/G153, 0),"-")</f>
        <v>-</v>
      </c>
      <c r="K153" s="15">
        <v>4</v>
      </c>
      <c r="L153" s="16" t="s">
        <v>142</v>
      </c>
      <c r="M153" s="15">
        <f>IF(OR(L153="-",L153="",L153=0),IF(K153="-","-",K153),K153-L153)</f>
        <v>4</v>
      </c>
      <c r="N153" s="17" t="str">
        <f>IFERROR(IF(K153&gt;0, L153/K153, 0),"-")</f>
        <v>-</v>
      </c>
      <c r="O153" s="15">
        <v>1</v>
      </c>
      <c r="P153" s="16" t="s">
        <v>142</v>
      </c>
      <c r="Q153" s="15">
        <f>IF(OR(P153="-",P153="",P153=0),IF(O153="-","-",O153),O153-P153)</f>
        <v>1</v>
      </c>
      <c r="R153" s="17" t="str">
        <f>IFERROR(IF(O153&gt;0, P153/O153, 0),"-")</f>
        <v>-</v>
      </c>
      <c r="S153" s="15">
        <v>5</v>
      </c>
      <c r="T153" s="15" t="s">
        <v>142</v>
      </c>
      <c r="U153" s="15" t="s">
        <v>142</v>
      </c>
      <c r="V153" s="16" t="s">
        <v>142</v>
      </c>
      <c r="W153" s="16" t="s">
        <v>142</v>
      </c>
      <c r="X153" s="21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3">
      <c r="B154" s="14" t="s">
        <v>50</v>
      </c>
      <c r="C154" s="15">
        <v>1660</v>
      </c>
      <c r="D154" s="16">
        <v>1588</v>
      </c>
      <c r="E154" s="15">
        <f>IF(OR(D154="-",D154="",D154=0),IF(C154="-","-",C154),C154-D154)</f>
        <v>72</v>
      </c>
      <c r="F154" s="17">
        <f>IFERROR(IF(C154&gt;0, D154/C154, 0),"-")</f>
        <v>0.95662650602409638</v>
      </c>
      <c r="G154" s="15">
        <v>19</v>
      </c>
      <c r="H154" s="16" t="s">
        <v>142</v>
      </c>
      <c r="I154" s="15">
        <f>IF(OR(H154="-",H154="",H154=0),IF(G154="-","-",G154),G154-H154)</f>
        <v>19</v>
      </c>
      <c r="J154" s="17" t="str">
        <f>IFERROR(IF(G154&gt;0, H154/G154, 0),"-")</f>
        <v>-</v>
      </c>
      <c r="K154" s="15">
        <v>22</v>
      </c>
      <c r="L154" s="16" t="s">
        <v>142</v>
      </c>
      <c r="M154" s="15">
        <f>IF(OR(L154="-",L154="",L154=0),IF(K154="-","-",K154),K154-L154)</f>
        <v>22</v>
      </c>
      <c r="N154" s="17" t="str">
        <f>IFERROR(IF(K154&gt;0, L154/K154, 0),"-")</f>
        <v>-</v>
      </c>
      <c r="O154" s="15">
        <v>19</v>
      </c>
      <c r="P154" s="16" t="s">
        <v>142</v>
      </c>
      <c r="Q154" s="15">
        <f>IF(OR(P154="-",P154="",P154=0),IF(O154="-","-",O154),O154-P154)</f>
        <v>19</v>
      </c>
      <c r="R154" s="17" t="str">
        <f>IFERROR(IF(O154&gt;0, P154/O154, 0),"-")</f>
        <v>-</v>
      </c>
      <c r="S154" s="15">
        <v>1248</v>
      </c>
      <c r="T154" s="15" t="s">
        <v>142</v>
      </c>
      <c r="U154" s="15" t="s">
        <v>142</v>
      </c>
      <c r="V154" s="16" t="s">
        <v>142</v>
      </c>
      <c r="W154" s="16" t="s">
        <v>142</v>
      </c>
      <c r="X154" s="21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3">
      <c r="B155" s="14" t="s">
        <v>95</v>
      </c>
      <c r="C155" s="15">
        <v>1061</v>
      </c>
      <c r="D155" s="16">
        <v>1014</v>
      </c>
      <c r="E155" s="15">
        <f>IF(OR(D155="-",D155="",D155=0),IF(C155="-","-",C155),C155-D155)</f>
        <v>47</v>
      </c>
      <c r="F155" s="17">
        <f>IFERROR(IF(C155&gt;0, D155/C155, 0),"-")</f>
        <v>0.95570216776625827</v>
      </c>
      <c r="G155" s="15">
        <v>14</v>
      </c>
      <c r="H155" s="16" t="s">
        <v>142</v>
      </c>
      <c r="I155" s="15">
        <f>IF(OR(H155="-",H155="",H155=0),IF(G155="-","-",G155),G155-H155)</f>
        <v>14</v>
      </c>
      <c r="J155" s="17" t="str">
        <f>IFERROR(IF(G155&gt;0, H155/G155, 0),"-")</f>
        <v>-</v>
      </c>
      <c r="K155" s="15">
        <v>9</v>
      </c>
      <c r="L155" s="16" t="s">
        <v>142</v>
      </c>
      <c r="M155" s="15">
        <f>IF(OR(L155="-",L155="",L155=0),IF(K155="-","-",K155),K155-L155)</f>
        <v>9</v>
      </c>
      <c r="N155" s="17" t="str">
        <f>IFERROR(IF(K155&gt;0, L155/K155, 0),"-")</f>
        <v>-</v>
      </c>
      <c r="O155" s="15">
        <v>15</v>
      </c>
      <c r="P155" s="16" t="s">
        <v>142</v>
      </c>
      <c r="Q155" s="15">
        <f>IF(OR(P155="-",P155="",P155=0),IF(O155="-","-",O155),O155-P155)</f>
        <v>15</v>
      </c>
      <c r="R155" s="17" t="str">
        <f>IFERROR(IF(O155&gt;0, P155/O155, 0),"-")</f>
        <v>-</v>
      </c>
      <c r="S155" s="15">
        <v>1317</v>
      </c>
      <c r="T155" s="15" t="s">
        <v>142</v>
      </c>
      <c r="U155" s="15" t="s">
        <v>142</v>
      </c>
      <c r="V155" s="16" t="s">
        <v>142</v>
      </c>
      <c r="W155" s="16" t="s">
        <v>142</v>
      </c>
      <c r="X155" s="21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3">
      <c r="B156" s="14" t="s">
        <v>97</v>
      </c>
      <c r="C156" s="15">
        <v>1107</v>
      </c>
      <c r="D156" s="16">
        <v>1057</v>
      </c>
      <c r="E156" s="15">
        <f>IF(OR(D156="-",D156="",D156=0),IF(C156="-","-",C156),C156-D156)</f>
        <v>50</v>
      </c>
      <c r="F156" s="17">
        <f>IFERROR(IF(C156&gt;0, D156/C156, 0),"-")</f>
        <v>0.95483288166214997</v>
      </c>
      <c r="G156" s="15">
        <v>12</v>
      </c>
      <c r="H156" s="16" t="s">
        <v>142</v>
      </c>
      <c r="I156" s="15">
        <f>IF(OR(H156="-",H156="",H156=0),IF(G156="-","-",G156),G156-H156)</f>
        <v>12</v>
      </c>
      <c r="J156" s="17" t="str">
        <f>IFERROR(IF(G156&gt;0, H156/G156, 0),"-")</f>
        <v>-</v>
      </c>
      <c r="K156" s="15">
        <v>18</v>
      </c>
      <c r="L156" s="16" t="s">
        <v>142</v>
      </c>
      <c r="M156" s="15">
        <f>IF(OR(L156="-",L156="",L156=0),IF(K156="-","-",K156),K156-L156)</f>
        <v>18</v>
      </c>
      <c r="N156" s="17" t="str">
        <f>IFERROR(IF(K156&gt;0, L156/K156, 0),"-")</f>
        <v>-</v>
      </c>
      <c r="O156" s="15">
        <v>24</v>
      </c>
      <c r="P156" s="16" t="s">
        <v>142</v>
      </c>
      <c r="Q156" s="15">
        <f>IF(OR(P156="-",P156="",P156=0),IF(O156="-","-",O156),O156-P156)</f>
        <v>24</v>
      </c>
      <c r="R156" s="17" t="str">
        <f>IFERROR(IF(O156&gt;0, P156/O156, 0),"-")</f>
        <v>-</v>
      </c>
      <c r="S156" s="15">
        <v>1652</v>
      </c>
      <c r="T156" s="15" t="s">
        <v>142</v>
      </c>
      <c r="U156" s="15" t="s">
        <v>142</v>
      </c>
      <c r="V156" s="16" t="s">
        <v>142</v>
      </c>
      <c r="W156" s="16" t="s">
        <v>142</v>
      </c>
      <c r="X156" s="21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3">
      <c r="B157" s="14" t="s">
        <v>83</v>
      </c>
      <c r="C157" s="15">
        <v>1371</v>
      </c>
      <c r="D157" s="16">
        <v>1308</v>
      </c>
      <c r="E157" s="15">
        <f>IF(OR(D157="-",D157="",D157=0),IF(C157="-","-",C157),C157-D157)</f>
        <v>63</v>
      </c>
      <c r="F157" s="17">
        <f>IFERROR(IF(C157&gt;0, D157/C157, 0),"-")</f>
        <v>0.9540481400437637</v>
      </c>
      <c r="G157" s="15">
        <v>16</v>
      </c>
      <c r="H157" s="16" t="s">
        <v>142</v>
      </c>
      <c r="I157" s="15">
        <f>IF(OR(H157="-",H157="",H157=0),IF(G157="-","-",G157),G157-H157)</f>
        <v>16</v>
      </c>
      <c r="J157" s="17" t="str">
        <f>IFERROR(IF(G157&gt;0, H157/G157, 0),"-")</f>
        <v>-</v>
      </c>
      <c r="K157" s="15">
        <v>18</v>
      </c>
      <c r="L157" s="16" t="s">
        <v>142</v>
      </c>
      <c r="M157" s="15">
        <f>IF(OR(L157="-",L157="",L157=0),IF(K157="-","-",K157),K157-L157)</f>
        <v>18</v>
      </c>
      <c r="N157" s="17" t="str">
        <f>IFERROR(IF(K157&gt;0, L157/K157, 0),"-")</f>
        <v>-</v>
      </c>
      <c r="O157" s="15">
        <v>17</v>
      </c>
      <c r="P157" s="16" t="s">
        <v>142</v>
      </c>
      <c r="Q157" s="15">
        <f>IF(OR(P157="-",P157="",P157=0),IF(O157="-","-",O157),O157-P157)</f>
        <v>17</v>
      </c>
      <c r="R157" s="17" t="str">
        <f>IFERROR(IF(O157&gt;0, P157/O157, 0),"-")</f>
        <v>-</v>
      </c>
      <c r="S157" s="15">
        <v>1336</v>
      </c>
      <c r="T157" s="15" t="s">
        <v>142</v>
      </c>
      <c r="U157" s="15" t="s">
        <v>142</v>
      </c>
      <c r="V157" s="16" t="s">
        <v>142</v>
      </c>
      <c r="W157" s="16" t="s">
        <v>142</v>
      </c>
      <c r="X157" s="21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3">
      <c r="B158" s="14" t="s">
        <v>90</v>
      </c>
      <c r="C158" s="15">
        <v>1269</v>
      </c>
      <c r="D158" s="16">
        <v>1210</v>
      </c>
      <c r="E158" s="15">
        <f>IF(OR(D158="-",D158="",D158=0),IF(C158="-","-",C158),C158-D158)</f>
        <v>59</v>
      </c>
      <c r="F158" s="17">
        <f>IFERROR(IF(C158&gt;0, D158/C158, 0),"-")</f>
        <v>0.9535066981875493</v>
      </c>
      <c r="G158" s="15">
        <v>25</v>
      </c>
      <c r="H158" s="16" t="s">
        <v>142</v>
      </c>
      <c r="I158" s="15">
        <f>IF(OR(H158="-",H158="",H158=0),IF(G158="-","-",G158),G158-H158)</f>
        <v>25</v>
      </c>
      <c r="J158" s="17" t="str">
        <f>IFERROR(IF(G158&gt;0, H158/G158, 0),"-")</f>
        <v>-</v>
      </c>
      <c r="K158" s="15">
        <v>18</v>
      </c>
      <c r="L158" s="16" t="s">
        <v>142</v>
      </c>
      <c r="M158" s="15">
        <f>IF(OR(L158="-",L158="",L158=0),IF(K158="-","-",K158),K158-L158)</f>
        <v>18</v>
      </c>
      <c r="N158" s="17" t="str">
        <f>IFERROR(IF(K158&gt;0, L158/K158, 0),"-")</f>
        <v>-</v>
      </c>
      <c r="O158" s="15">
        <v>21</v>
      </c>
      <c r="P158" s="16" t="s">
        <v>142</v>
      </c>
      <c r="Q158" s="15">
        <f>IF(OR(P158="-",P158="",P158=0),IF(O158="-","-",O158),O158-P158)</f>
        <v>21</v>
      </c>
      <c r="R158" s="17" t="str">
        <f>IFERROR(IF(O158&gt;0, P158/O158, 0),"-")</f>
        <v>-</v>
      </c>
      <c r="S158" s="15">
        <v>1056</v>
      </c>
      <c r="T158" s="15" t="s">
        <v>142</v>
      </c>
      <c r="U158" s="15" t="s">
        <v>142</v>
      </c>
      <c r="V158" s="16" t="s">
        <v>142</v>
      </c>
      <c r="W158" s="16" t="s">
        <v>142</v>
      </c>
      <c r="X158" s="21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3">
      <c r="B159" s="14" t="s">
        <v>45</v>
      </c>
      <c r="C159" s="15">
        <v>1066</v>
      </c>
      <c r="D159" s="16">
        <v>1016</v>
      </c>
      <c r="E159" s="15">
        <f>IF(OR(D159="-",D159="",D159=0),IF(C159="-","-",C159),C159-D159)</f>
        <v>50</v>
      </c>
      <c r="F159" s="17">
        <f>IFERROR(IF(C159&gt;0, D159/C159, 0),"-")</f>
        <v>0.95309568480300189</v>
      </c>
      <c r="G159" s="15">
        <v>12</v>
      </c>
      <c r="H159" s="16" t="s">
        <v>142</v>
      </c>
      <c r="I159" s="15">
        <f>IF(OR(H159="-",H159="",H159=0),IF(G159="-","-",G159),G159-H159)</f>
        <v>12</v>
      </c>
      <c r="J159" s="17" t="str">
        <f>IFERROR(IF(G159&gt;0, H159/G159, 0),"-")</f>
        <v>-</v>
      </c>
      <c r="K159" s="15">
        <v>15</v>
      </c>
      <c r="L159" s="16" t="s">
        <v>142</v>
      </c>
      <c r="M159" s="15">
        <f>IF(OR(L159="-",L159="",L159=0),IF(K159="-","-",K159),K159-L159)</f>
        <v>15</v>
      </c>
      <c r="N159" s="17" t="str">
        <f>IFERROR(IF(K159&gt;0, L159/K159, 0),"-")</f>
        <v>-</v>
      </c>
      <c r="O159" s="15">
        <v>24</v>
      </c>
      <c r="P159" s="16" t="s">
        <v>142</v>
      </c>
      <c r="Q159" s="15">
        <f>IF(OR(P159="-",P159="",P159=0),IF(O159="-","-",O159),O159-P159)</f>
        <v>24</v>
      </c>
      <c r="R159" s="17" t="str">
        <f>IFERROR(IF(O159&gt;0, P159/O159, 0),"-")</f>
        <v>-</v>
      </c>
      <c r="S159" s="15">
        <v>294</v>
      </c>
      <c r="T159" s="15" t="s">
        <v>142</v>
      </c>
      <c r="U159" s="15" t="s">
        <v>142</v>
      </c>
      <c r="V159" s="16" t="s">
        <v>142</v>
      </c>
      <c r="W159" s="16" t="s">
        <v>142</v>
      </c>
      <c r="X159" s="21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3">
      <c r="B160" s="14" t="s">
        <v>94</v>
      </c>
      <c r="C160" s="15">
        <v>1000</v>
      </c>
      <c r="D160" s="16">
        <v>953</v>
      </c>
      <c r="E160" s="15">
        <f>IF(OR(D160="-",D160="",D160=0),IF(C160="-","-",C160),C160-D160)</f>
        <v>47</v>
      </c>
      <c r="F160" s="17">
        <f>IFERROR(IF(C160&gt;0, D160/C160, 0),"-")</f>
        <v>0.95299999999999996</v>
      </c>
      <c r="G160" s="15">
        <v>13</v>
      </c>
      <c r="H160" s="16" t="s">
        <v>142</v>
      </c>
      <c r="I160" s="15">
        <f>IF(OR(H160="-",H160="",H160=0),IF(G160="-","-",G160),G160-H160)</f>
        <v>13</v>
      </c>
      <c r="J160" s="17" t="str">
        <f>IFERROR(IF(G160&gt;0, H160/G160, 0),"-")</f>
        <v>-</v>
      </c>
      <c r="K160" s="15">
        <v>24</v>
      </c>
      <c r="L160" s="16" t="s">
        <v>142</v>
      </c>
      <c r="M160" s="15">
        <f>IF(OR(L160="-",L160="",L160=0),IF(K160="-","-",K160),K160-L160)</f>
        <v>24</v>
      </c>
      <c r="N160" s="17" t="str">
        <f>IFERROR(IF(K160&gt;0, L160/K160, 0),"-")</f>
        <v>-</v>
      </c>
      <c r="O160" s="15">
        <v>19</v>
      </c>
      <c r="P160" s="16" t="s">
        <v>142</v>
      </c>
      <c r="Q160" s="15">
        <f>IF(OR(P160="-",P160="",P160=0),IF(O160="-","-",O160),O160-P160)</f>
        <v>19</v>
      </c>
      <c r="R160" s="17" t="str">
        <f>IFERROR(IF(O160&gt;0, P160/O160, 0),"-")</f>
        <v>-</v>
      </c>
      <c r="S160" s="15">
        <v>1871</v>
      </c>
      <c r="T160" s="15" t="s">
        <v>142</v>
      </c>
      <c r="U160" s="15" t="s">
        <v>142</v>
      </c>
      <c r="V160" s="16" t="s">
        <v>142</v>
      </c>
      <c r="W160" s="16" t="s">
        <v>142</v>
      </c>
      <c r="X160" s="21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3">
      <c r="B161" s="14" t="s">
        <v>66</v>
      </c>
      <c r="C161" s="15">
        <v>892</v>
      </c>
      <c r="D161" s="16">
        <v>850</v>
      </c>
      <c r="E161" s="15">
        <f>IF(OR(D161="-",D161="",D161=0),IF(C161="-","-",C161),C161-D161)</f>
        <v>42</v>
      </c>
      <c r="F161" s="17">
        <f>IFERROR(IF(C161&gt;0, D161/C161, 0),"-")</f>
        <v>0.952914798206278</v>
      </c>
      <c r="G161" s="15">
        <v>10</v>
      </c>
      <c r="H161" s="16" t="s">
        <v>142</v>
      </c>
      <c r="I161" s="15">
        <f>IF(OR(H161="-",H161="",H161=0),IF(G161="-","-",G161),G161-H161)</f>
        <v>10</v>
      </c>
      <c r="J161" s="17" t="str">
        <f>IFERROR(IF(G161&gt;0, H161/G161, 0),"-")</f>
        <v>-</v>
      </c>
      <c r="K161" s="15">
        <v>7</v>
      </c>
      <c r="L161" s="16" t="s">
        <v>142</v>
      </c>
      <c r="M161" s="15">
        <f>IF(OR(L161="-",L161="",L161=0),IF(K161="-","-",K161),K161-L161)</f>
        <v>7</v>
      </c>
      <c r="N161" s="17" t="str">
        <f>IFERROR(IF(K161&gt;0, L161/K161, 0),"-")</f>
        <v>-</v>
      </c>
      <c r="O161" s="15">
        <v>11</v>
      </c>
      <c r="P161" s="16" t="s">
        <v>142</v>
      </c>
      <c r="Q161" s="15">
        <f>IF(OR(P161="-",P161="",P161=0),IF(O161="-","-",O161),O161-P161)</f>
        <v>11</v>
      </c>
      <c r="R161" s="17" t="str">
        <f>IFERROR(IF(O161&gt;0, P161/O161, 0),"-")</f>
        <v>-</v>
      </c>
      <c r="S161" s="15">
        <v>547</v>
      </c>
      <c r="T161" s="15" t="s">
        <v>142</v>
      </c>
      <c r="U161" s="15" t="s">
        <v>142</v>
      </c>
      <c r="V161" s="16" t="s">
        <v>142</v>
      </c>
      <c r="W161" s="16" t="s">
        <v>142</v>
      </c>
      <c r="X161" s="21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3">
      <c r="B162" s="14" t="s">
        <v>105</v>
      </c>
      <c r="C162" s="15">
        <v>1712</v>
      </c>
      <c r="D162" s="16">
        <v>1631</v>
      </c>
      <c r="E162" s="15">
        <f>IF(OR(D162="-",D162="",D162=0),IF(C162="-","-",C162),C162-D162)</f>
        <v>81</v>
      </c>
      <c r="F162" s="17">
        <f>IFERROR(IF(C162&gt;0, D162/C162, 0),"-")</f>
        <v>0.95268691588785048</v>
      </c>
      <c r="G162" s="15">
        <v>26</v>
      </c>
      <c r="H162" s="16" t="s">
        <v>142</v>
      </c>
      <c r="I162" s="15">
        <f>IF(OR(H162="-",H162="",H162=0),IF(G162="-","-",G162),G162-H162)</f>
        <v>26</v>
      </c>
      <c r="J162" s="17" t="str">
        <f>IFERROR(IF(G162&gt;0, H162/G162, 0),"-")</f>
        <v>-</v>
      </c>
      <c r="K162" s="15">
        <v>23</v>
      </c>
      <c r="L162" s="16" t="s">
        <v>142</v>
      </c>
      <c r="M162" s="15">
        <f>IF(OR(L162="-",L162="",L162=0),IF(K162="-","-",K162),K162-L162)</f>
        <v>23</v>
      </c>
      <c r="N162" s="17" t="str">
        <f>IFERROR(IF(K162&gt;0, L162/K162, 0),"-")</f>
        <v>-</v>
      </c>
      <c r="O162" s="15">
        <v>25</v>
      </c>
      <c r="P162" s="16" t="s">
        <v>142</v>
      </c>
      <c r="Q162" s="15">
        <f>IF(OR(P162="-",P162="",P162=0),IF(O162="-","-",O162),O162-P162)</f>
        <v>25</v>
      </c>
      <c r="R162" s="17" t="str">
        <f>IFERROR(IF(O162&gt;0, P162/O162, 0),"-")</f>
        <v>-</v>
      </c>
      <c r="S162" s="15">
        <v>1412</v>
      </c>
      <c r="T162" s="15" t="s">
        <v>142</v>
      </c>
      <c r="U162" s="15" t="s">
        <v>142</v>
      </c>
      <c r="V162" s="16" t="s">
        <v>142</v>
      </c>
      <c r="W162" s="16" t="s">
        <v>142</v>
      </c>
      <c r="X162" s="21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3">
      <c r="B163" s="14" t="s">
        <v>133</v>
      </c>
      <c r="C163" s="15">
        <v>1224</v>
      </c>
      <c r="D163" s="16">
        <v>1166</v>
      </c>
      <c r="E163" s="15">
        <f>IF(OR(D163="-",D163="",D163=0),IF(C163="-","-",C163),C163-D163)</f>
        <v>58</v>
      </c>
      <c r="F163" s="17">
        <f>IFERROR(IF(C163&gt;0, D163/C163, 0),"-")</f>
        <v>0.95261437908496727</v>
      </c>
      <c r="G163" s="15">
        <v>20</v>
      </c>
      <c r="H163" s="16" t="s">
        <v>142</v>
      </c>
      <c r="I163" s="15">
        <f>IF(OR(H163="-",H163="",H163=0),IF(G163="-","-",G163),G163-H163)</f>
        <v>20</v>
      </c>
      <c r="J163" s="17" t="str">
        <f>IFERROR(IF(G163&gt;0, H163/G163, 0),"-")</f>
        <v>-</v>
      </c>
      <c r="K163" s="15">
        <v>7</v>
      </c>
      <c r="L163" s="16" t="s">
        <v>142</v>
      </c>
      <c r="M163" s="15">
        <f>IF(OR(L163="-",L163="",L163=0),IF(K163="-","-",K163),K163-L163)</f>
        <v>7</v>
      </c>
      <c r="N163" s="17" t="str">
        <f>IFERROR(IF(K163&gt;0, L163/K163, 0),"-")</f>
        <v>-</v>
      </c>
      <c r="O163" s="15">
        <v>9</v>
      </c>
      <c r="P163" s="16" t="s">
        <v>142</v>
      </c>
      <c r="Q163" s="15">
        <f>IF(OR(P163="-",P163="",P163=0),IF(O163="-","-",O163),O163-P163)</f>
        <v>9</v>
      </c>
      <c r="R163" s="17" t="str">
        <f>IFERROR(IF(O163&gt;0, P163/O163, 0),"-")</f>
        <v>-</v>
      </c>
      <c r="S163" s="15">
        <v>1690</v>
      </c>
      <c r="T163" s="15" t="s">
        <v>142</v>
      </c>
      <c r="U163" s="15" t="s">
        <v>142</v>
      </c>
      <c r="V163" s="16" t="s">
        <v>142</v>
      </c>
      <c r="W163" s="16" t="s">
        <v>142</v>
      </c>
      <c r="X163" s="21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3">
      <c r="B164" s="14" t="s">
        <v>1</v>
      </c>
      <c r="C164" s="15">
        <v>1283</v>
      </c>
      <c r="D164" s="16">
        <v>1222</v>
      </c>
      <c r="E164" s="15">
        <f>IF(OR(D164="-",D164="",D164=0),IF(C164="-","-",C164),C164-D164)</f>
        <v>61</v>
      </c>
      <c r="F164" s="17">
        <f>IFERROR(IF(C164&gt;0, D164/C164, 0),"-")</f>
        <v>0.95245518316445832</v>
      </c>
      <c r="G164" s="15">
        <v>40</v>
      </c>
      <c r="H164" s="16" t="s">
        <v>142</v>
      </c>
      <c r="I164" s="15">
        <f>IF(OR(H164="-",H164="",H164=0),IF(G164="-","-",G164),G164-H164)</f>
        <v>40</v>
      </c>
      <c r="J164" s="17" t="str">
        <f>IFERROR(IF(G164&gt;0, H164/G164, 0),"-")</f>
        <v>-</v>
      </c>
      <c r="K164" s="15">
        <v>28</v>
      </c>
      <c r="L164" s="16" t="s">
        <v>142</v>
      </c>
      <c r="M164" s="15">
        <f>IF(OR(L164="-",L164="",L164=0),IF(K164="-","-",K164),K164-L164)</f>
        <v>28</v>
      </c>
      <c r="N164" s="17" t="str">
        <f>IFERROR(IF(K164&gt;0, L164/K164, 0),"-")</f>
        <v>-</v>
      </c>
      <c r="O164" s="15">
        <v>27</v>
      </c>
      <c r="P164" s="16" t="s">
        <v>142</v>
      </c>
      <c r="Q164" s="15">
        <f>IF(OR(P164="-",P164="",P164=0),IF(O164="-","-",O164),O164-P164)</f>
        <v>27</v>
      </c>
      <c r="R164" s="17" t="str">
        <f>IFERROR(IF(O164&gt;0, P164/O164, 0),"-")</f>
        <v>-</v>
      </c>
      <c r="S164" s="15">
        <v>1424</v>
      </c>
      <c r="T164" s="15" t="s">
        <v>142</v>
      </c>
      <c r="U164" s="15" t="s">
        <v>142</v>
      </c>
      <c r="V164" s="16" t="s">
        <v>142</v>
      </c>
      <c r="W164" s="16" t="s">
        <v>142</v>
      </c>
      <c r="X164" s="21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3">
      <c r="B165" s="14" t="s">
        <v>93</v>
      </c>
      <c r="C165" s="15">
        <v>1043</v>
      </c>
      <c r="D165" s="16">
        <v>993</v>
      </c>
      <c r="E165" s="15">
        <f>IF(OR(D165="-",D165="",D165=0),IF(C165="-","-",C165),C165-D165)</f>
        <v>50</v>
      </c>
      <c r="F165" s="17">
        <f>IFERROR(IF(C165&gt;0, D165/C165, 0),"-")</f>
        <v>0.95206136145733467</v>
      </c>
      <c r="G165" s="15">
        <v>11</v>
      </c>
      <c r="H165" s="16" t="s">
        <v>142</v>
      </c>
      <c r="I165" s="15">
        <f>IF(OR(H165="-",H165="",H165=0),IF(G165="-","-",G165),G165-H165)</f>
        <v>11</v>
      </c>
      <c r="J165" s="17" t="str">
        <f>IFERROR(IF(G165&gt;0, H165/G165, 0),"-")</f>
        <v>-</v>
      </c>
      <c r="K165" s="15">
        <v>11</v>
      </c>
      <c r="L165" s="16" t="s">
        <v>142</v>
      </c>
      <c r="M165" s="15">
        <f>IF(OR(L165="-",L165="",L165=0),IF(K165="-","-",K165),K165-L165)</f>
        <v>11</v>
      </c>
      <c r="N165" s="17" t="str">
        <f>IFERROR(IF(K165&gt;0, L165/K165, 0),"-")</f>
        <v>-</v>
      </c>
      <c r="O165" s="15">
        <v>22</v>
      </c>
      <c r="P165" s="16" t="s">
        <v>142</v>
      </c>
      <c r="Q165" s="15">
        <f>IF(OR(P165="-",P165="",P165=0),IF(O165="-","-",O165),O165-P165)</f>
        <v>22</v>
      </c>
      <c r="R165" s="17" t="str">
        <f>IFERROR(IF(O165&gt;0, P165/O165, 0),"-")</f>
        <v>-</v>
      </c>
      <c r="S165" s="15">
        <v>740</v>
      </c>
      <c r="T165" s="15" t="s">
        <v>142</v>
      </c>
      <c r="U165" s="15" t="s">
        <v>142</v>
      </c>
      <c r="V165" s="16" t="s">
        <v>142</v>
      </c>
      <c r="W165" s="16" t="s">
        <v>142</v>
      </c>
      <c r="X165" s="21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3">
      <c r="B166" s="14" t="s">
        <v>61</v>
      </c>
      <c r="C166" s="15">
        <v>570</v>
      </c>
      <c r="D166" s="16">
        <v>542</v>
      </c>
      <c r="E166" s="15">
        <f>IF(OR(D166="-",D166="",D166=0),IF(C166="-","-",C166),C166-D166)</f>
        <v>28</v>
      </c>
      <c r="F166" s="17">
        <f>IFERROR(IF(C166&gt;0, D166/C166, 0),"-")</f>
        <v>0.9508771929824561</v>
      </c>
      <c r="G166" s="15">
        <v>3</v>
      </c>
      <c r="H166" s="16" t="s">
        <v>142</v>
      </c>
      <c r="I166" s="15">
        <f>IF(OR(H166="-",H166="",H166=0),IF(G166="-","-",G166),G166-H166)</f>
        <v>3</v>
      </c>
      <c r="J166" s="17" t="str">
        <f>IFERROR(IF(G166&gt;0, H166/G166, 0),"-")</f>
        <v>-</v>
      </c>
      <c r="K166" s="15">
        <v>2</v>
      </c>
      <c r="L166" s="16" t="s">
        <v>142</v>
      </c>
      <c r="M166" s="15">
        <f>IF(OR(L166="-",L166="",L166=0),IF(K166="-","-",K166),K166-L166)</f>
        <v>2</v>
      </c>
      <c r="N166" s="17" t="str">
        <f>IFERROR(IF(K166&gt;0, L166/K166, 0),"-")</f>
        <v>-</v>
      </c>
      <c r="O166" s="15">
        <v>10</v>
      </c>
      <c r="P166" s="16" t="s">
        <v>142</v>
      </c>
      <c r="Q166" s="15">
        <f>IF(OR(P166="-",P166="",P166=0),IF(O166="-","-",O166),O166-P166)</f>
        <v>10</v>
      </c>
      <c r="R166" s="17" t="str">
        <f>IFERROR(IF(O166&gt;0, P166/O166, 0),"-")</f>
        <v>-</v>
      </c>
      <c r="S166" s="15">
        <v>1437</v>
      </c>
      <c r="T166" s="15" t="s">
        <v>142</v>
      </c>
      <c r="U166" s="15" t="s">
        <v>142</v>
      </c>
      <c r="V166" s="16" t="s">
        <v>142</v>
      </c>
      <c r="W166" s="16" t="s">
        <v>142</v>
      </c>
      <c r="X166" s="21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3">
      <c r="B167" s="14" t="s">
        <v>112</v>
      </c>
      <c r="C167" s="15">
        <v>1065</v>
      </c>
      <c r="D167" s="16">
        <v>1012</v>
      </c>
      <c r="E167" s="15">
        <f>IF(OR(D167="-",D167="",D167=0),IF(C167="-","-",C167),C167-D167)</f>
        <v>53</v>
      </c>
      <c r="F167" s="17">
        <f>IFERROR(IF(C167&gt;0, D167/C167, 0),"-")</f>
        <v>0.95023474178403755</v>
      </c>
      <c r="G167" s="15">
        <v>20</v>
      </c>
      <c r="H167" s="16" t="s">
        <v>142</v>
      </c>
      <c r="I167" s="15">
        <f>IF(OR(H167="-",H167="",H167=0),IF(G167="-","-",G167),G167-H167)</f>
        <v>20</v>
      </c>
      <c r="J167" s="17" t="str">
        <f>IFERROR(IF(G167&gt;0, H167/G167, 0),"-")</f>
        <v>-</v>
      </c>
      <c r="K167" s="15">
        <v>21</v>
      </c>
      <c r="L167" s="16" t="s">
        <v>142</v>
      </c>
      <c r="M167" s="15">
        <f>IF(OR(L167="-",L167="",L167=0),IF(K167="-","-",K167),K167-L167)</f>
        <v>21</v>
      </c>
      <c r="N167" s="17" t="str">
        <f>IFERROR(IF(K167&gt;0, L167/K167, 0),"-")</f>
        <v>-</v>
      </c>
      <c r="O167" s="15">
        <v>12</v>
      </c>
      <c r="P167" s="16" t="s">
        <v>142</v>
      </c>
      <c r="Q167" s="15">
        <f>IF(OR(P167="-",P167="",P167=0),IF(O167="-","-",O167),O167-P167)</f>
        <v>12</v>
      </c>
      <c r="R167" s="17" t="str">
        <f>IFERROR(IF(O167&gt;0, P167/O167, 0),"-")</f>
        <v>-</v>
      </c>
      <c r="S167" s="15">
        <v>45</v>
      </c>
      <c r="T167" s="15" t="s">
        <v>142</v>
      </c>
      <c r="U167" s="15" t="s">
        <v>142</v>
      </c>
      <c r="V167" s="16" t="s">
        <v>142</v>
      </c>
      <c r="W167" s="16" t="s">
        <v>142</v>
      </c>
      <c r="X167" s="21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3">
      <c r="B168" s="14" t="s">
        <v>88</v>
      </c>
      <c r="C168" s="15">
        <v>1282</v>
      </c>
      <c r="D168" s="16">
        <v>1217</v>
      </c>
      <c r="E168" s="15">
        <f>IF(OR(D168="-",D168="",D168=0),IF(C168="-","-",C168),C168-D168)</f>
        <v>65</v>
      </c>
      <c r="F168" s="17">
        <f>IFERROR(IF(C168&gt;0, D168/C168, 0),"-")</f>
        <v>0.94929797191887677</v>
      </c>
      <c r="G168" s="15">
        <v>11</v>
      </c>
      <c r="H168" s="16" t="s">
        <v>142</v>
      </c>
      <c r="I168" s="15">
        <f>IF(OR(H168="-",H168="",H168=0),IF(G168="-","-",G168),G168-H168)</f>
        <v>11</v>
      </c>
      <c r="J168" s="17" t="str">
        <f>IFERROR(IF(G168&gt;0, H168/G168, 0),"-")</f>
        <v>-</v>
      </c>
      <c r="K168" s="15">
        <v>33</v>
      </c>
      <c r="L168" s="16" t="s">
        <v>142</v>
      </c>
      <c r="M168" s="15">
        <f>IF(OR(L168="-",L168="",L168=0),IF(K168="-","-",K168),K168-L168)</f>
        <v>33</v>
      </c>
      <c r="N168" s="17" t="str">
        <f>IFERROR(IF(K168&gt;0, L168/K168, 0),"-")</f>
        <v>-</v>
      </c>
      <c r="O168" s="15">
        <v>43</v>
      </c>
      <c r="P168" s="16" t="s">
        <v>142</v>
      </c>
      <c r="Q168" s="15">
        <f>IF(OR(P168="-",P168="",P168=0),IF(O168="-","-",O168),O168-P168)</f>
        <v>43</v>
      </c>
      <c r="R168" s="17" t="str">
        <f>IFERROR(IF(O168&gt;0, P168/O168, 0),"-")</f>
        <v>-</v>
      </c>
      <c r="S168" s="15">
        <v>1667</v>
      </c>
      <c r="T168" s="15" t="s">
        <v>142</v>
      </c>
      <c r="U168" s="15" t="s">
        <v>142</v>
      </c>
      <c r="V168" s="16" t="s">
        <v>142</v>
      </c>
      <c r="W168" s="16" t="s">
        <v>142</v>
      </c>
      <c r="X168" s="21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3">
      <c r="B169" s="14" t="s">
        <v>36</v>
      </c>
      <c r="C169" s="15">
        <v>456</v>
      </c>
      <c r="D169" s="16">
        <v>432</v>
      </c>
      <c r="E169" s="15">
        <f>IF(OR(D169="-",D169="",D169=0),IF(C169="-","-",C169),C169-D169)</f>
        <v>24</v>
      </c>
      <c r="F169" s="17">
        <f>IFERROR(IF(C169&gt;0, D169/C169, 0),"-")</f>
        <v>0.94736842105263153</v>
      </c>
      <c r="G169" s="15">
        <v>4</v>
      </c>
      <c r="H169" s="16" t="s">
        <v>142</v>
      </c>
      <c r="I169" s="15">
        <f>IF(OR(H169="-",H169="",H169=0),IF(G169="-","-",G169),G169-H169)</f>
        <v>4</v>
      </c>
      <c r="J169" s="17" t="str">
        <f>IFERROR(IF(G169&gt;0, H169/G169, 0),"-")</f>
        <v>-</v>
      </c>
      <c r="K169" s="15">
        <v>4</v>
      </c>
      <c r="L169" s="16" t="s">
        <v>142</v>
      </c>
      <c r="M169" s="15">
        <f>IF(OR(L169="-",L169="",L169=0),IF(K169="-","-",K169),K169-L169)</f>
        <v>4</v>
      </c>
      <c r="N169" s="17" t="str">
        <f>IFERROR(IF(K169&gt;0, L169/K169, 0),"-")</f>
        <v>-</v>
      </c>
      <c r="O169" s="15">
        <v>4</v>
      </c>
      <c r="P169" s="16" t="s">
        <v>142</v>
      </c>
      <c r="Q169" s="15">
        <f>IF(OR(P169="-",P169="",P169=0),IF(O169="-","-",O169),O169-P169)</f>
        <v>4</v>
      </c>
      <c r="R169" s="17" t="str">
        <f>IFERROR(IF(O169&gt;0, P169/O169, 0),"-")</f>
        <v>-</v>
      </c>
      <c r="S169" s="15">
        <v>258</v>
      </c>
      <c r="T169" s="15" t="s">
        <v>142</v>
      </c>
      <c r="U169" s="15" t="s">
        <v>142</v>
      </c>
      <c r="V169" s="16" t="s">
        <v>142</v>
      </c>
      <c r="W169" s="16" t="s">
        <v>142</v>
      </c>
      <c r="X169" s="21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3">
      <c r="B170" s="14" t="s">
        <v>106</v>
      </c>
      <c r="C170" s="15">
        <v>1088</v>
      </c>
      <c r="D170" s="16">
        <v>1026</v>
      </c>
      <c r="E170" s="15">
        <f>IF(OR(D170="-",D170="",D170=0),IF(C170="-","-",C170),C170-D170)</f>
        <v>62</v>
      </c>
      <c r="F170" s="17">
        <f>IFERROR(IF(C170&gt;0, D170/C170, 0),"-")</f>
        <v>0.94301470588235292</v>
      </c>
      <c r="G170" s="15">
        <v>8</v>
      </c>
      <c r="H170" s="16" t="s">
        <v>142</v>
      </c>
      <c r="I170" s="15">
        <f>IF(OR(H170="-",H170="",H170=0),IF(G170="-","-",G170),G170-H170)</f>
        <v>8</v>
      </c>
      <c r="J170" s="17" t="str">
        <f>IFERROR(IF(G170&gt;0, H170/G170, 0),"-")</f>
        <v>-</v>
      </c>
      <c r="K170" s="15">
        <v>10</v>
      </c>
      <c r="L170" s="16" t="s">
        <v>142</v>
      </c>
      <c r="M170" s="15">
        <f>IF(OR(L170="-",L170="",L170=0),IF(K170="-","-",K170),K170-L170)</f>
        <v>10</v>
      </c>
      <c r="N170" s="17" t="str">
        <f>IFERROR(IF(K170&gt;0, L170/K170, 0),"-")</f>
        <v>-</v>
      </c>
      <c r="O170" s="15">
        <v>14</v>
      </c>
      <c r="P170" s="16" t="s">
        <v>142</v>
      </c>
      <c r="Q170" s="15">
        <f>IF(OR(P170="-",P170="",P170=0),IF(O170="-","-",O170),O170-P170)</f>
        <v>14</v>
      </c>
      <c r="R170" s="17" t="str">
        <f>IFERROR(IF(O170&gt;0, P170/O170, 0),"-")</f>
        <v>-</v>
      </c>
      <c r="S170" s="15">
        <v>777</v>
      </c>
      <c r="T170" s="15" t="s">
        <v>142</v>
      </c>
      <c r="U170" s="15" t="s">
        <v>142</v>
      </c>
      <c r="V170" s="16" t="s">
        <v>142</v>
      </c>
      <c r="W170" s="16" t="s">
        <v>142</v>
      </c>
      <c r="X170" s="21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3">
      <c r="B171" s="14" t="s">
        <v>8</v>
      </c>
      <c r="C171" s="15">
        <v>1538</v>
      </c>
      <c r="D171" s="16">
        <v>1447</v>
      </c>
      <c r="E171" s="15">
        <f>IF(OR(D171="-",D171="",D171=0),IF(C171="-","-",C171),C171-D171)</f>
        <v>91</v>
      </c>
      <c r="F171" s="17">
        <f>IFERROR(IF(C171&gt;0, D171/C171, 0),"-")</f>
        <v>0.94083224967490242</v>
      </c>
      <c r="G171" s="15">
        <v>14</v>
      </c>
      <c r="H171" s="16" t="s">
        <v>142</v>
      </c>
      <c r="I171" s="15">
        <f>IF(OR(H171="-",H171="",H171=0),IF(G171="-","-",G171),G171-H171)</f>
        <v>14</v>
      </c>
      <c r="J171" s="17" t="str">
        <f>IFERROR(IF(G171&gt;0, H171/G171, 0),"-")</f>
        <v>-</v>
      </c>
      <c r="K171" s="15">
        <v>18</v>
      </c>
      <c r="L171" s="16" t="s">
        <v>142</v>
      </c>
      <c r="M171" s="15">
        <f>IF(OR(L171="-",L171="",L171=0),IF(K171="-","-",K171),K171-L171)</f>
        <v>18</v>
      </c>
      <c r="N171" s="17" t="str">
        <f>IFERROR(IF(K171&gt;0, L171/K171, 0),"-")</f>
        <v>-</v>
      </c>
      <c r="O171" s="15">
        <v>20</v>
      </c>
      <c r="P171" s="16" t="s">
        <v>142</v>
      </c>
      <c r="Q171" s="15">
        <f>IF(OR(P171="-",P171="",P171=0),IF(O171="-","-",O171),O171-P171)</f>
        <v>20</v>
      </c>
      <c r="R171" s="17" t="str">
        <f>IFERROR(IF(O171&gt;0, P171/O171, 0),"-")</f>
        <v>-</v>
      </c>
      <c r="S171" s="15">
        <v>1158</v>
      </c>
      <c r="T171" s="15" t="s">
        <v>142</v>
      </c>
      <c r="U171" s="15" t="s">
        <v>142</v>
      </c>
      <c r="V171" s="16" t="s">
        <v>142</v>
      </c>
      <c r="W171" s="16" t="s">
        <v>142</v>
      </c>
      <c r="X171" s="21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3">
      <c r="B172" s="14" t="s">
        <v>65</v>
      </c>
      <c r="C172" s="15">
        <v>1045</v>
      </c>
      <c r="D172" s="16">
        <v>982</v>
      </c>
      <c r="E172" s="15">
        <f>IF(OR(D172="-",D172="",D172=0),IF(C172="-","-",C172),C172-D172)</f>
        <v>63</v>
      </c>
      <c r="F172" s="17">
        <f>IFERROR(IF(C172&gt;0, D172/C172, 0),"-")</f>
        <v>0.93971291866028706</v>
      </c>
      <c r="G172" s="15">
        <v>14</v>
      </c>
      <c r="H172" s="16" t="s">
        <v>142</v>
      </c>
      <c r="I172" s="15">
        <f>IF(OR(H172="-",H172="",H172=0),IF(G172="-","-",G172),G172-H172)</f>
        <v>14</v>
      </c>
      <c r="J172" s="17" t="str">
        <f>IFERROR(IF(G172&gt;0, H172/G172, 0),"-")</f>
        <v>-</v>
      </c>
      <c r="K172" s="15">
        <v>2</v>
      </c>
      <c r="L172" s="16" t="s">
        <v>142</v>
      </c>
      <c r="M172" s="15">
        <f>IF(OR(L172="-",L172="",L172=0),IF(K172="-","-",K172),K172-L172)</f>
        <v>2</v>
      </c>
      <c r="N172" s="17" t="str">
        <f>IFERROR(IF(K172&gt;0, L172/K172, 0),"-")</f>
        <v>-</v>
      </c>
      <c r="O172" s="15">
        <v>6</v>
      </c>
      <c r="P172" s="16" t="s">
        <v>142</v>
      </c>
      <c r="Q172" s="15">
        <f>IF(OR(P172="-",P172="",P172=0),IF(O172="-","-",O172),O172-P172)</f>
        <v>6</v>
      </c>
      <c r="R172" s="17" t="str">
        <f>IFERROR(IF(O172&gt;0, P172/O172, 0),"-")</f>
        <v>-</v>
      </c>
      <c r="S172" s="15">
        <v>964</v>
      </c>
      <c r="T172" s="15" t="s">
        <v>142</v>
      </c>
      <c r="U172" s="15" t="s">
        <v>142</v>
      </c>
      <c r="V172" s="16" t="s">
        <v>142</v>
      </c>
      <c r="W172" s="16" t="s">
        <v>142</v>
      </c>
      <c r="X172" s="21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3">
      <c r="B173" s="14" t="s">
        <v>126</v>
      </c>
      <c r="C173" s="15">
        <v>726</v>
      </c>
      <c r="D173" s="16">
        <v>682</v>
      </c>
      <c r="E173" s="15">
        <f>IF(OR(D173="-",D173="",D173=0),IF(C173="-","-",C173),C173-D173)</f>
        <v>44</v>
      </c>
      <c r="F173" s="17">
        <f>IFERROR(IF(C173&gt;0, D173/C173, 0),"-")</f>
        <v>0.93939393939393945</v>
      </c>
      <c r="G173" s="15">
        <v>23</v>
      </c>
      <c r="H173" s="16" t="s">
        <v>142</v>
      </c>
      <c r="I173" s="15">
        <f>IF(OR(H173="-",H173="",H173=0),IF(G173="-","-",G173),G173-H173)</f>
        <v>23</v>
      </c>
      <c r="J173" s="17" t="str">
        <f>IFERROR(IF(G173&gt;0, H173/G173, 0),"-")</f>
        <v>-</v>
      </c>
      <c r="K173" s="15">
        <v>7</v>
      </c>
      <c r="L173" s="16" t="s">
        <v>142</v>
      </c>
      <c r="M173" s="15">
        <f>IF(OR(L173="-",L173="",L173=0),IF(K173="-","-",K173),K173-L173)</f>
        <v>7</v>
      </c>
      <c r="N173" s="17" t="str">
        <f>IFERROR(IF(K173&gt;0, L173/K173, 0),"-")</f>
        <v>-</v>
      </c>
      <c r="O173" s="15">
        <v>11</v>
      </c>
      <c r="P173" s="16" t="s">
        <v>142</v>
      </c>
      <c r="Q173" s="15">
        <f>IF(OR(P173="-",P173="",P173=0),IF(O173="-","-",O173),O173-P173)</f>
        <v>11</v>
      </c>
      <c r="R173" s="17" t="str">
        <f>IFERROR(IF(O173&gt;0, P173/O173, 0),"-")</f>
        <v>-</v>
      </c>
      <c r="S173" s="15">
        <v>24</v>
      </c>
      <c r="T173" s="15" t="s">
        <v>142</v>
      </c>
      <c r="U173" s="15" t="s">
        <v>142</v>
      </c>
      <c r="V173" s="16" t="s">
        <v>142</v>
      </c>
      <c r="W173" s="16" t="s">
        <v>142</v>
      </c>
      <c r="X173" s="21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3">
      <c r="B174" s="14" t="s">
        <v>85</v>
      </c>
      <c r="C174" s="15">
        <v>904</v>
      </c>
      <c r="D174" s="16">
        <v>847</v>
      </c>
      <c r="E174" s="15">
        <f>IF(OR(D174="-",D174="",D174=0),IF(C174="-","-",C174),C174-D174)</f>
        <v>57</v>
      </c>
      <c r="F174" s="17">
        <f>IFERROR(IF(C174&gt;0, D174/C174, 0),"-")</f>
        <v>0.93694690265486724</v>
      </c>
      <c r="G174" s="15">
        <v>20</v>
      </c>
      <c r="H174" s="16" t="s">
        <v>142</v>
      </c>
      <c r="I174" s="15">
        <f>IF(OR(H174="-",H174="",H174=0),IF(G174="-","-",G174),G174-H174)</f>
        <v>20</v>
      </c>
      <c r="J174" s="17" t="str">
        <f>IFERROR(IF(G174&gt;0, H174/G174, 0),"-")</f>
        <v>-</v>
      </c>
      <c r="K174" s="15">
        <v>14</v>
      </c>
      <c r="L174" s="16" t="s">
        <v>142</v>
      </c>
      <c r="M174" s="15">
        <f>IF(OR(L174="-",L174="",L174=0),IF(K174="-","-",K174),K174-L174)</f>
        <v>14</v>
      </c>
      <c r="N174" s="17" t="str">
        <f>IFERROR(IF(K174&gt;0, L174/K174, 0),"-")</f>
        <v>-</v>
      </c>
      <c r="O174" s="15">
        <v>15</v>
      </c>
      <c r="P174" s="16" t="s">
        <v>142</v>
      </c>
      <c r="Q174" s="15">
        <f>IF(OR(P174="-",P174="",P174=0),IF(O174="-","-",O174),O174-P174)</f>
        <v>15</v>
      </c>
      <c r="R174" s="17" t="str">
        <f>IFERROR(IF(O174&gt;0, P174/O174, 0),"-")</f>
        <v>-</v>
      </c>
      <c r="S174" s="15">
        <v>1881</v>
      </c>
      <c r="T174" s="15" t="s">
        <v>142</v>
      </c>
      <c r="U174" s="15" t="s">
        <v>142</v>
      </c>
      <c r="V174" s="16" t="s">
        <v>142</v>
      </c>
      <c r="W174" s="16" t="s">
        <v>142</v>
      </c>
      <c r="X174" s="21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3">
      <c r="B175" s="14" t="s">
        <v>81</v>
      </c>
      <c r="C175" s="15">
        <v>689</v>
      </c>
      <c r="D175" s="16">
        <v>644</v>
      </c>
      <c r="E175" s="15">
        <f>IF(OR(D175="-",D175="",D175=0),IF(C175="-","-",C175),C175-D175)</f>
        <v>45</v>
      </c>
      <c r="F175" s="17">
        <f>IFERROR(IF(C175&gt;0, D175/C175, 0),"-")</f>
        <v>0.93468795355587808</v>
      </c>
      <c r="G175" s="15">
        <v>14</v>
      </c>
      <c r="H175" s="16" t="s">
        <v>142</v>
      </c>
      <c r="I175" s="15">
        <f>IF(OR(H175="-",H175="",H175=0),IF(G175="-","-",G175),G175-H175)</f>
        <v>14</v>
      </c>
      <c r="J175" s="17" t="str">
        <f>IFERROR(IF(G175&gt;0, H175/G175, 0),"-")</f>
        <v>-</v>
      </c>
      <c r="K175" s="15">
        <v>3</v>
      </c>
      <c r="L175" s="16" t="s">
        <v>142</v>
      </c>
      <c r="M175" s="15">
        <f>IF(OR(L175="-",L175="",L175=0),IF(K175="-","-",K175),K175-L175)</f>
        <v>3</v>
      </c>
      <c r="N175" s="17" t="str">
        <f>IFERROR(IF(K175&gt;0, L175/K175, 0),"-")</f>
        <v>-</v>
      </c>
      <c r="O175" s="15">
        <v>13</v>
      </c>
      <c r="P175" s="16" t="s">
        <v>142</v>
      </c>
      <c r="Q175" s="15">
        <f>IF(OR(P175="-",P175="",P175=0),IF(O175="-","-",O175),O175-P175)</f>
        <v>13</v>
      </c>
      <c r="R175" s="17" t="str">
        <f>IFERROR(IF(O175&gt;0, P175/O175, 0),"-")</f>
        <v>-</v>
      </c>
      <c r="S175" s="15">
        <v>920</v>
      </c>
      <c r="T175" s="15" t="s">
        <v>142</v>
      </c>
      <c r="U175" s="15" t="s">
        <v>142</v>
      </c>
      <c r="V175" s="16" t="s">
        <v>142</v>
      </c>
      <c r="W175" s="16" t="s">
        <v>142</v>
      </c>
      <c r="X175" s="21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3">
      <c r="B176" s="14" t="s">
        <v>79</v>
      </c>
      <c r="C176" s="15">
        <v>1159</v>
      </c>
      <c r="D176" s="16">
        <v>1081</v>
      </c>
      <c r="E176" s="15">
        <f>IF(OR(D176="-",D176="",D176=0),IF(C176="-","-",C176),C176-D176)</f>
        <v>78</v>
      </c>
      <c r="F176" s="17">
        <f>IFERROR(IF(C176&gt;0, D176/C176, 0),"-")</f>
        <v>0.93270060396893872</v>
      </c>
      <c r="G176" s="15">
        <v>16</v>
      </c>
      <c r="H176" s="16" t="s">
        <v>142</v>
      </c>
      <c r="I176" s="15">
        <f>IF(OR(H176="-",H176="",H176=0),IF(G176="-","-",G176),G176-H176)</f>
        <v>16</v>
      </c>
      <c r="J176" s="17" t="str">
        <f>IFERROR(IF(G176&gt;0, H176/G176, 0),"-")</f>
        <v>-</v>
      </c>
      <c r="K176" s="15">
        <v>18</v>
      </c>
      <c r="L176" s="16" t="s">
        <v>142</v>
      </c>
      <c r="M176" s="15">
        <f>IF(OR(L176="-",L176="",L176=0),IF(K176="-","-",K176),K176-L176)</f>
        <v>18</v>
      </c>
      <c r="N176" s="17" t="str">
        <f>IFERROR(IF(K176&gt;0, L176/K176, 0),"-")</f>
        <v>-</v>
      </c>
      <c r="O176" s="15">
        <v>27</v>
      </c>
      <c r="P176" s="16" t="s">
        <v>142</v>
      </c>
      <c r="Q176" s="15">
        <f>IF(OR(P176="-",P176="",P176=0),IF(O176="-","-",O176),O176-P176)</f>
        <v>27</v>
      </c>
      <c r="R176" s="17" t="str">
        <f>IFERROR(IF(O176&gt;0, P176/O176, 0),"-")</f>
        <v>-</v>
      </c>
      <c r="S176" s="15">
        <v>1134</v>
      </c>
      <c r="T176" s="15" t="s">
        <v>142</v>
      </c>
      <c r="U176" s="15" t="s">
        <v>142</v>
      </c>
      <c r="V176" s="16" t="s">
        <v>142</v>
      </c>
      <c r="W176" s="16" t="s">
        <v>142</v>
      </c>
      <c r="X176" s="21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3">
      <c r="B177" s="14" t="s">
        <v>56</v>
      </c>
      <c r="C177" s="15">
        <v>1029</v>
      </c>
      <c r="D177" s="16">
        <v>958</v>
      </c>
      <c r="E177" s="15">
        <f>IF(OR(D177="-",D177="",D177=0),IF(C177="-","-",C177),C177-D177)</f>
        <v>71</v>
      </c>
      <c r="F177" s="17">
        <f>IFERROR(IF(C177&gt;0, D177/C177, 0),"-")</f>
        <v>0.93100097181729835</v>
      </c>
      <c r="G177" s="15">
        <v>25</v>
      </c>
      <c r="H177" s="16" t="s">
        <v>142</v>
      </c>
      <c r="I177" s="15">
        <f>IF(OR(H177="-",H177="",H177=0),IF(G177="-","-",G177),G177-H177)</f>
        <v>25</v>
      </c>
      <c r="J177" s="17" t="str">
        <f>IFERROR(IF(G177&gt;0, H177/G177, 0),"-")</f>
        <v>-</v>
      </c>
      <c r="K177" s="15">
        <v>17</v>
      </c>
      <c r="L177" s="16" t="s">
        <v>142</v>
      </c>
      <c r="M177" s="15">
        <f>IF(OR(L177="-",L177="",L177=0),IF(K177="-","-",K177),K177-L177)</f>
        <v>17</v>
      </c>
      <c r="N177" s="17" t="str">
        <f>IFERROR(IF(K177&gt;0, L177/K177, 0),"-")</f>
        <v>-</v>
      </c>
      <c r="O177" s="15">
        <v>27</v>
      </c>
      <c r="P177" s="16" t="s">
        <v>142</v>
      </c>
      <c r="Q177" s="15">
        <f>IF(OR(P177="-",P177="",P177=0),IF(O177="-","-",O177),O177-P177)</f>
        <v>27</v>
      </c>
      <c r="R177" s="17" t="str">
        <f>IFERROR(IF(O177&gt;0, P177/O177, 0),"-")</f>
        <v>-</v>
      </c>
      <c r="S177" s="15">
        <v>788</v>
      </c>
      <c r="T177" s="15" t="s">
        <v>142</v>
      </c>
      <c r="U177" s="15" t="s">
        <v>142</v>
      </c>
      <c r="V177" s="16" t="s">
        <v>142</v>
      </c>
      <c r="W177" s="16" t="s">
        <v>142</v>
      </c>
      <c r="X177" s="21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3">
      <c r="B178" s="14" t="s">
        <v>6</v>
      </c>
      <c r="C178" s="15">
        <v>1518</v>
      </c>
      <c r="D178" s="16">
        <v>1412</v>
      </c>
      <c r="E178" s="15">
        <f>IF(OR(D178="-",D178="",D178=0),IF(C178="-","-",C178),C178-D178)</f>
        <v>106</v>
      </c>
      <c r="F178" s="17">
        <f>IFERROR(IF(C178&gt;0, D178/C178, 0),"-")</f>
        <v>0.93017127799736499</v>
      </c>
      <c r="G178" s="15">
        <v>39</v>
      </c>
      <c r="H178" s="16" t="s">
        <v>142</v>
      </c>
      <c r="I178" s="15">
        <f>IF(OR(H178="-",H178="",H178=0),IF(G178="-","-",G178),G178-H178)</f>
        <v>39</v>
      </c>
      <c r="J178" s="17" t="str">
        <f>IFERROR(IF(G178&gt;0, H178/G178, 0),"-")</f>
        <v>-</v>
      </c>
      <c r="K178" s="15">
        <v>35</v>
      </c>
      <c r="L178" s="16" t="s">
        <v>142</v>
      </c>
      <c r="M178" s="15">
        <f>IF(OR(L178="-",L178="",L178=0),IF(K178="-","-",K178),K178-L178)</f>
        <v>35</v>
      </c>
      <c r="N178" s="17" t="str">
        <f>IFERROR(IF(K178&gt;0, L178/K178, 0),"-")</f>
        <v>-</v>
      </c>
      <c r="O178" s="15">
        <v>33</v>
      </c>
      <c r="P178" s="16" t="s">
        <v>142</v>
      </c>
      <c r="Q178" s="15">
        <f>IF(OR(P178="-",P178="",P178=0),IF(O178="-","-",O178),O178-P178)</f>
        <v>33</v>
      </c>
      <c r="R178" s="17" t="str">
        <f>IFERROR(IF(O178&gt;0, P178/O178, 0),"-")</f>
        <v>-</v>
      </c>
      <c r="S178" s="15">
        <v>1598</v>
      </c>
      <c r="T178" s="15" t="s">
        <v>142</v>
      </c>
      <c r="U178" s="15" t="s">
        <v>142</v>
      </c>
      <c r="V178" s="16" t="s">
        <v>142</v>
      </c>
      <c r="W178" s="16" t="s">
        <v>142</v>
      </c>
      <c r="X178" s="21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3">
      <c r="B179" s="14" t="s">
        <v>28</v>
      </c>
      <c r="C179" s="15">
        <v>386</v>
      </c>
      <c r="D179" s="16">
        <v>359</v>
      </c>
      <c r="E179" s="15">
        <f>IF(OR(D179="-",D179="",D179=0),IF(C179="-","-",C179),C179-D179)</f>
        <v>27</v>
      </c>
      <c r="F179" s="17">
        <f>IFERROR(IF(C179&gt;0, D179/C179, 0),"-")</f>
        <v>0.93005181347150256</v>
      </c>
      <c r="G179" s="15">
        <v>10</v>
      </c>
      <c r="H179" s="16" t="s">
        <v>142</v>
      </c>
      <c r="I179" s="15">
        <f>IF(OR(H179="-",H179="",H179=0),IF(G179="-","-",G179),G179-H179)</f>
        <v>10</v>
      </c>
      <c r="J179" s="17" t="str">
        <f>IFERROR(IF(G179&gt;0, H179/G179, 0),"-")</f>
        <v>-</v>
      </c>
      <c r="K179" s="15">
        <v>3</v>
      </c>
      <c r="L179" s="16" t="s">
        <v>142</v>
      </c>
      <c r="M179" s="15">
        <f>IF(OR(L179="-",L179="",L179=0),IF(K179="-","-",K179),K179-L179)</f>
        <v>3</v>
      </c>
      <c r="N179" s="17" t="str">
        <f>IFERROR(IF(K179&gt;0, L179/K179, 0),"-")</f>
        <v>-</v>
      </c>
      <c r="O179" s="15">
        <v>3</v>
      </c>
      <c r="P179" s="16" t="s">
        <v>142</v>
      </c>
      <c r="Q179" s="15">
        <f>IF(OR(P179="-",P179="",P179=0),IF(O179="-","-",O179),O179-P179)</f>
        <v>3</v>
      </c>
      <c r="R179" s="17" t="str">
        <f>IFERROR(IF(O179&gt;0, P179/O179, 0),"-")</f>
        <v>-</v>
      </c>
      <c r="S179" s="15">
        <v>10</v>
      </c>
      <c r="T179" s="15" t="s">
        <v>142</v>
      </c>
      <c r="U179" s="15" t="s">
        <v>142</v>
      </c>
      <c r="V179" s="16" t="s">
        <v>142</v>
      </c>
      <c r="W179" s="16" t="s">
        <v>142</v>
      </c>
      <c r="X179" s="21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3">
      <c r="B180" s="14" t="s">
        <v>118</v>
      </c>
      <c r="C180" s="15">
        <v>871</v>
      </c>
      <c r="D180" s="16">
        <v>792</v>
      </c>
      <c r="E180" s="15">
        <f>IF(OR(D180="-",D180="",D180=0),IF(C180="-","-",C180),C180-D180)</f>
        <v>79</v>
      </c>
      <c r="F180" s="17">
        <f>IFERROR(IF(C180&gt;0, D180/C180, 0),"-")</f>
        <v>0.90929965556831227</v>
      </c>
      <c r="G180" s="15">
        <v>27</v>
      </c>
      <c r="H180" s="16" t="s">
        <v>142</v>
      </c>
      <c r="I180" s="15">
        <f>IF(OR(H180="-",H180="",H180=0),IF(G180="-","-",G180),G180-H180)</f>
        <v>27</v>
      </c>
      <c r="J180" s="17" t="str">
        <f>IFERROR(IF(G180&gt;0, H180/G180, 0),"-")</f>
        <v>-</v>
      </c>
      <c r="K180" s="15">
        <v>12</v>
      </c>
      <c r="L180" s="16" t="s">
        <v>142</v>
      </c>
      <c r="M180" s="15">
        <f>IF(OR(L180="-",L180="",L180=0),IF(K180="-","-",K180),K180-L180)</f>
        <v>12</v>
      </c>
      <c r="N180" s="17" t="str">
        <f>IFERROR(IF(K180&gt;0, L180/K180, 0),"-")</f>
        <v>-</v>
      </c>
      <c r="O180" s="15">
        <v>5</v>
      </c>
      <c r="P180" s="16" t="s">
        <v>142</v>
      </c>
      <c r="Q180" s="15">
        <f>IF(OR(P180="-",P180="",P180=0),IF(O180="-","-",O180),O180-P180)</f>
        <v>5</v>
      </c>
      <c r="R180" s="17" t="str">
        <f>IFERROR(IF(O180&gt;0, P180/O180, 0),"-")</f>
        <v>-</v>
      </c>
      <c r="S180" s="15">
        <v>3</v>
      </c>
      <c r="T180" s="15" t="s">
        <v>142</v>
      </c>
      <c r="U180" s="15" t="s">
        <v>142</v>
      </c>
      <c r="V180" s="16" t="s">
        <v>142</v>
      </c>
      <c r="W180" s="16" t="s">
        <v>142</v>
      </c>
      <c r="X180" s="21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3">
      <c r="B181" s="14" t="s">
        <v>115</v>
      </c>
      <c r="C181" s="15">
        <v>902</v>
      </c>
      <c r="D181" s="16">
        <v>815</v>
      </c>
      <c r="E181" s="15">
        <f>IF(OR(D181="-",D181="",D181=0),IF(C181="-","-",C181),C181-D181)</f>
        <v>87</v>
      </c>
      <c r="F181" s="17">
        <f>IFERROR(IF(C181&gt;0, D181/C181, 0),"-")</f>
        <v>0.90354767184035478</v>
      </c>
      <c r="G181" s="15">
        <v>47</v>
      </c>
      <c r="H181" s="16" t="s">
        <v>142</v>
      </c>
      <c r="I181" s="15">
        <f>IF(OR(H181="-",H181="",H181=0),IF(G181="-","-",G181),G181-H181)</f>
        <v>47</v>
      </c>
      <c r="J181" s="17" t="str">
        <f>IFERROR(IF(G181&gt;0, H181/G181, 0),"-")</f>
        <v>-</v>
      </c>
      <c r="K181" s="15">
        <v>18</v>
      </c>
      <c r="L181" s="16" t="s">
        <v>142</v>
      </c>
      <c r="M181" s="15">
        <f>IF(OR(L181="-",L181="",L181=0),IF(K181="-","-",K181),K181-L181)</f>
        <v>18</v>
      </c>
      <c r="N181" s="17" t="str">
        <f>IFERROR(IF(K181&gt;0, L181/K181, 0),"-")</f>
        <v>-</v>
      </c>
      <c r="O181" s="15">
        <v>10</v>
      </c>
      <c r="P181" s="16" t="s">
        <v>142</v>
      </c>
      <c r="Q181" s="15">
        <f>IF(OR(P181="-",P181="",P181=0),IF(O181="-","-",O181),O181-P181)</f>
        <v>10</v>
      </c>
      <c r="R181" s="17" t="str">
        <f>IFERROR(IF(O181&gt;0, P181/O181, 0),"-")</f>
        <v>-</v>
      </c>
      <c r="S181" s="15">
        <v>20</v>
      </c>
      <c r="T181" s="15" t="s">
        <v>142</v>
      </c>
      <c r="U181" s="15" t="s">
        <v>142</v>
      </c>
      <c r="V181" s="16" t="s">
        <v>142</v>
      </c>
      <c r="W181" s="16" t="s">
        <v>142</v>
      </c>
      <c r="X181" s="21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3">
      <c r="B182" s="14" t="s">
        <v>117</v>
      </c>
      <c r="C182" s="15">
        <v>599</v>
      </c>
      <c r="D182" s="16">
        <v>541</v>
      </c>
      <c r="E182" s="15">
        <f>IF(OR(D182="-",D182="",D182=0),IF(C182="-","-",C182),C182-D182)</f>
        <v>58</v>
      </c>
      <c r="F182" s="17">
        <f>IFERROR(IF(C182&gt;0, D182/C182, 0),"-")</f>
        <v>0.90317195325542576</v>
      </c>
      <c r="G182" s="15">
        <v>31</v>
      </c>
      <c r="H182" s="16" t="s">
        <v>142</v>
      </c>
      <c r="I182" s="15">
        <f>IF(OR(H182="-",H182="",H182=0),IF(G182="-","-",G182),G182-H182)</f>
        <v>31</v>
      </c>
      <c r="J182" s="17" t="str">
        <f>IFERROR(IF(G182&gt;0, H182/G182, 0),"-")</f>
        <v>-</v>
      </c>
      <c r="K182" s="15">
        <v>9</v>
      </c>
      <c r="L182" s="16" t="s">
        <v>142</v>
      </c>
      <c r="M182" s="15">
        <f>IF(OR(L182="-",L182="",L182=0),IF(K182="-","-",K182),K182-L182)</f>
        <v>9</v>
      </c>
      <c r="N182" s="17" t="str">
        <f>IFERROR(IF(K182&gt;0, L182/K182, 0),"-")</f>
        <v>-</v>
      </c>
      <c r="O182" s="15">
        <v>14</v>
      </c>
      <c r="P182" s="16" t="s">
        <v>142</v>
      </c>
      <c r="Q182" s="15">
        <f>IF(OR(P182="-",P182="",P182=0),IF(O182="-","-",O182),O182-P182)</f>
        <v>14</v>
      </c>
      <c r="R182" s="17" t="str">
        <f>IFERROR(IF(O182&gt;0, P182/O182, 0),"-")</f>
        <v>-</v>
      </c>
      <c r="S182" s="15">
        <v>8</v>
      </c>
      <c r="T182" s="15" t="s">
        <v>142</v>
      </c>
      <c r="U182" s="15" t="s">
        <v>142</v>
      </c>
      <c r="V182" s="16" t="s">
        <v>142</v>
      </c>
      <c r="W182" s="16" t="s">
        <v>142</v>
      </c>
      <c r="X182" s="21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3">
      <c r="B183" s="14" t="s">
        <v>15</v>
      </c>
      <c r="C183" s="15">
        <v>1447</v>
      </c>
      <c r="D183" s="16">
        <v>1290</v>
      </c>
      <c r="E183" s="15">
        <f>IF(OR(D183="-",D183="",D183=0),IF(C183="-","-",C183),C183-D183)</f>
        <v>157</v>
      </c>
      <c r="F183" s="17">
        <f>IFERROR(IF(C183&gt;0, D183/C183, 0),"-")</f>
        <v>0.89149965445749824</v>
      </c>
      <c r="G183" s="15">
        <v>16</v>
      </c>
      <c r="H183" s="16" t="s">
        <v>142</v>
      </c>
      <c r="I183" s="15">
        <f>IF(OR(H183="-",H183="",H183=0),IF(G183="-","-",G183),G183-H183)</f>
        <v>16</v>
      </c>
      <c r="J183" s="17" t="str">
        <f>IFERROR(IF(G183&gt;0, H183/G183, 0),"-")</f>
        <v>-</v>
      </c>
      <c r="K183" s="15">
        <v>4</v>
      </c>
      <c r="L183" s="16" t="s">
        <v>142</v>
      </c>
      <c r="M183" s="15">
        <f>IF(OR(L183="-",L183="",L183=0),IF(K183="-","-",K183),K183-L183)</f>
        <v>4</v>
      </c>
      <c r="N183" s="17" t="str">
        <f>IFERROR(IF(K183&gt;0, L183/K183, 0),"-")</f>
        <v>-</v>
      </c>
      <c r="O183" s="15">
        <v>14</v>
      </c>
      <c r="P183" s="16" t="s">
        <v>142</v>
      </c>
      <c r="Q183" s="15">
        <f>IF(OR(P183="-",P183="",P183=0),IF(O183="-","-",O183),O183-P183)</f>
        <v>14</v>
      </c>
      <c r="R183" s="17" t="str">
        <f>IFERROR(IF(O183&gt;0, P183/O183, 0),"-")</f>
        <v>-</v>
      </c>
      <c r="S183" s="15">
        <v>1667</v>
      </c>
      <c r="T183" s="15" t="s">
        <v>142</v>
      </c>
      <c r="U183" s="15" t="s">
        <v>142</v>
      </c>
      <c r="V183" s="16" t="s">
        <v>142</v>
      </c>
      <c r="W183" s="16" t="s">
        <v>142</v>
      </c>
      <c r="X183" s="21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3">
      <c r="B184" s="12" t="s">
        <v>138</v>
      </c>
      <c r="C184" s="13">
        <f>SUM(C57:C183)</f>
        <v>141701</v>
      </c>
      <c r="D184" s="13">
        <f>SUM(D57:D183)</f>
        <v>136745</v>
      </c>
      <c r="E184" s="13">
        <f>C184-D184</f>
        <v>4956</v>
      </c>
      <c r="F184" s="18">
        <f>IF(C184&gt;0, D184/C184, 0)</f>
        <v>0.965024946895223</v>
      </c>
      <c r="G184" s="13">
        <f>SUM(G57:G183)</f>
        <v>1797</v>
      </c>
      <c r="H184" s="13">
        <f>SUM(H57:H183)</f>
        <v>0</v>
      </c>
      <c r="I184" s="13">
        <f>G184-H184</f>
        <v>1797</v>
      </c>
      <c r="J184" s="18">
        <f>IF(G184&gt;0, H184/G184, 0)</f>
        <v>0</v>
      </c>
      <c r="K184" s="13">
        <f>SUM(K57:K183)</f>
        <v>1627</v>
      </c>
      <c r="L184" s="13">
        <f>SUM(L57:L183)</f>
        <v>0</v>
      </c>
      <c r="M184" s="13">
        <f>K184-L184</f>
        <v>1627</v>
      </c>
      <c r="N184" s="18">
        <f>IF(K184&gt;0, L184/K184, 0)</f>
        <v>0</v>
      </c>
      <c r="O184" s="13">
        <f>SUM(O57:O183)</f>
        <v>2258</v>
      </c>
      <c r="P184" s="13">
        <f>SUM(P57:P183)</f>
        <v>0</v>
      </c>
      <c r="Q184" s="13">
        <f>O184-P184</f>
        <v>2258</v>
      </c>
      <c r="R184" s="18">
        <f>IF(O184&gt;0, P184/O184, 0)</f>
        <v>0</v>
      </c>
      <c r="S184" s="13">
        <f>SUM(S57:S183)</f>
        <v>118305</v>
      </c>
      <c r="T184" s="13">
        <f>SUM(T57:T183)</f>
        <v>0</v>
      </c>
      <c r="U184" s="13">
        <f>SUM(U57:U183)</f>
        <v>0</v>
      </c>
      <c r="V184" s="13">
        <f>SUM(V57:V183)</f>
        <v>0</v>
      </c>
      <c r="W184" s="13">
        <f>SUM(W57:W183)</f>
        <v>0</v>
      </c>
      <c r="X184" s="22" t="s">
        <v>142</v>
      </c>
      <c r="Y184" s="22" t="s">
        <v>142</v>
      </c>
    </row>
    <row r="188" spans="2:25" ht="18" x14ac:dyDescent="0.35">
      <c r="B188" s="23" t="s">
        <v>164</v>
      </c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90" spans="2:25" x14ac:dyDescent="0.3">
      <c r="B190" s="2" t="s">
        <v>152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3">
      <c r="B191" s="4" t="s">
        <v>144</v>
      </c>
      <c r="C191" s="2" t="s">
        <v>154</v>
      </c>
      <c r="D191" s="2"/>
      <c r="E191" s="2"/>
      <c r="F191" s="2"/>
      <c r="G191" s="2" t="s">
        <v>155</v>
      </c>
      <c r="H191" s="2"/>
      <c r="I191" s="2"/>
      <c r="J191" s="2"/>
      <c r="K191" s="2" t="s">
        <v>156</v>
      </c>
      <c r="L191" s="2"/>
      <c r="M191" s="2"/>
      <c r="N191" s="2"/>
      <c r="O191" s="2" t="s">
        <v>145</v>
      </c>
      <c r="P191" s="2"/>
      <c r="Q191" s="2"/>
      <c r="R191" s="2"/>
      <c r="S191" s="2" t="s">
        <v>136</v>
      </c>
      <c r="T191" s="2"/>
      <c r="U191" s="2"/>
      <c r="V191" s="2"/>
      <c r="W191" s="2"/>
      <c r="X191" s="5" t="s">
        <v>157</v>
      </c>
      <c r="Y191" s="5"/>
    </row>
    <row r="192" spans="2:25" x14ac:dyDescent="0.3">
      <c r="B192" s="4"/>
      <c r="C192" s="6" t="s">
        <v>146</v>
      </c>
      <c r="D192" s="7" t="s">
        <v>158</v>
      </c>
      <c r="E192" s="6" t="s">
        <v>140</v>
      </c>
      <c r="F192" s="8" t="s">
        <v>141</v>
      </c>
      <c r="G192" s="6" t="s">
        <v>146</v>
      </c>
      <c r="H192" s="7" t="s">
        <v>158</v>
      </c>
      <c r="I192" s="6" t="s">
        <v>159</v>
      </c>
      <c r="J192" s="8" t="s">
        <v>141</v>
      </c>
      <c r="K192" s="6" t="s">
        <v>146</v>
      </c>
      <c r="L192" s="7" t="s">
        <v>158</v>
      </c>
      <c r="M192" s="6" t="s">
        <v>159</v>
      </c>
      <c r="N192" s="8" t="s">
        <v>141</v>
      </c>
      <c r="O192" s="6" t="s">
        <v>146</v>
      </c>
      <c r="P192" s="7" t="s">
        <v>158</v>
      </c>
      <c r="Q192" s="6" t="s">
        <v>159</v>
      </c>
      <c r="R192" s="8" t="s">
        <v>141</v>
      </c>
      <c r="S192" s="6" t="s">
        <v>146</v>
      </c>
      <c r="T192" s="2" t="s">
        <v>147</v>
      </c>
      <c r="U192" s="2"/>
      <c r="V192" s="2" t="s">
        <v>148</v>
      </c>
      <c r="W192" s="2"/>
      <c r="X192" s="19" t="s">
        <v>160</v>
      </c>
      <c r="Y192" s="20" t="s">
        <v>161</v>
      </c>
    </row>
    <row r="193" spans="2:25" x14ac:dyDescent="0.3">
      <c r="C193" s="6"/>
      <c r="D193" s="7"/>
      <c r="E193" s="6"/>
      <c r="F193" s="8"/>
      <c r="G193" s="6"/>
      <c r="H193" s="7"/>
      <c r="I193" s="6"/>
      <c r="J193" s="8"/>
      <c r="K193" s="6"/>
      <c r="L193" s="7"/>
      <c r="M193" s="6"/>
      <c r="N193" s="8"/>
      <c r="O193" s="6"/>
      <c r="P193" s="7"/>
      <c r="Q193" s="6"/>
      <c r="R193" s="8"/>
      <c r="S193" s="6"/>
      <c r="T193" s="9" t="s">
        <v>149</v>
      </c>
      <c r="U193" s="9" t="s">
        <v>150</v>
      </c>
      <c r="V193" s="9" t="s">
        <v>149</v>
      </c>
      <c r="W193" s="9" t="s">
        <v>150</v>
      </c>
      <c r="X193" s="10"/>
      <c r="Y193" s="11"/>
    </row>
    <row r="194" spans="2:25" x14ac:dyDescent="0.3">
      <c r="B194" s="14" t="s">
        <v>7</v>
      </c>
      <c r="C194" s="15">
        <v>40240</v>
      </c>
      <c r="D194" s="16">
        <v>39174</v>
      </c>
      <c r="E194" s="15">
        <f>IF(OR(D194="-",D194="",D194=0),IF(C194="-","-",C194),C194-D194)</f>
        <v>1066</v>
      </c>
      <c r="F194" s="17">
        <f>IFERROR(IF(C194&gt;0, D194/C194, 0),"-")</f>
        <v>0.97350894632206764</v>
      </c>
      <c r="G194" s="15">
        <v>393</v>
      </c>
      <c r="H194" s="16" t="s">
        <v>142</v>
      </c>
      <c r="I194" s="15">
        <f>IF(OR(H194="-",H194="",H194=0),IF(G194="-","-",G194),G194-H194)</f>
        <v>393</v>
      </c>
      <c r="J194" s="17" t="str">
        <f>IFERROR(IF(G194&gt;0, H194/G194, 0),"-")</f>
        <v>-</v>
      </c>
      <c r="K194" s="15">
        <v>443</v>
      </c>
      <c r="L194" s="16" t="s">
        <v>142</v>
      </c>
      <c r="M194" s="15">
        <f>IF(OR(L194="-",L194="",L194=0),IF(K194="-","-",K194),K194-L194)</f>
        <v>443</v>
      </c>
      <c r="N194" s="17" t="str">
        <f>IFERROR(IF(K194&gt;0, L194/K194, 0),"-")</f>
        <v>-</v>
      </c>
      <c r="O194" s="15">
        <v>709</v>
      </c>
      <c r="P194" s="16" t="s">
        <v>142</v>
      </c>
      <c r="Q194" s="15">
        <f>IF(OR(P194="-",P194="",P194=0),IF(O194="-","-",O194),O194-P194)</f>
        <v>709</v>
      </c>
      <c r="R194" s="17" t="str">
        <f>IFERROR(IF(O194&gt;0, P194/O194, 0),"-")</f>
        <v>-</v>
      </c>
      <c r="S194" s="15">
        <v>34284</v>
      </c>
      <c r="T194" s="15" t="s">
        <v>142</v>
      </c>
      <c r="U194" s="15" t="s">
        <v>142</v>
      </c>
      <c r="V194" s="16" t="s">
        <v>142</v>
      </c>
      <c r="W194" s="16" t="s">
        <v>142</v>
      </c>
      <c r="X194" s="21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3">
      <c r="B195" s="14" t="s">
        <v>1</v>
      </c>
      <c r="C195" s="15">
        <v>41941</v>
      </c>
      <c r="D195" s="16">
        <v>40761</v>
      </c>
      <c r="E195" s="15">
        <f>IF(OR(D195="-",D195="",D195=0),IF(C195="-","-",C195),C195-D195)</f>
        <v>1180</v>
      </c>
      <c r="F195" s="17">
        <f>IFERROR(IF(C195&gt;0, D195/C195, 0),"-")</f>
        <v>0.97186523926468138</v>
      </c>
      <c r="G195" s="15">
        <v>491</v>
      </c>
      <c r="H195" s="16" t="s">
        <v>142</v>
      </c>
      <c r="I195" s="15">
        <f>IF(OR(H195="-",H195="",H195=0),IF(G195="-","-",G195),G195-H195)</f>
        <v>491</v>
      </c>
      <c r="J195" s="17" t="str">
        <f>IFERROR(IF(G195&gt;0, H195/G195, 0),"-")</f>
        <v>-</v>
      </c>
      <c r="K195" s="15">
        <v>503</v>
      </c>
      <c r="L195" s="16" t="s">
        <v>142</v>
      </c>
      <c r="M195" s="15">
        <f>IF(OR(L195="-",L195="",L195=0),IF(K195="-","-",K195),K195-L195)</f>
        <v>503</v>
      </c>
      <c r="N195" s="17" t="str">
        <f>IFERROR(IF(K195&gt;0, L195/K195, 0),"-")</f>
        <v>-</v>
      </c>
      <c r="O195" s="15">
        <v>631</v>
      </c>
      <c r="P195" s="16" t="s">
        <v>142</v>
      </c>
      <c r="Q195" s="15">
        <f>IF(OR(P195="-",P195="",P195=0),IF(O195="-","-",O195),O195-P195)</f>
        <v>631</v>
      </c>
      <c r="R195" s="17" t="str">
        <f>IFERROR(IF(O195&gt;0, P195/O195, 0),"-")</f>
        <v>-</v>
      </c>
      <c r="S195" s="15">
        <v>43000</v>
      </c>
      <c r="T195" s="15" t="s">
        <v>142</v>
      </c>
      <c r="U195" s="15" t="s">
        <v>142</v>
      </c>
      <c r="V195" s="16" t="s">
        <v>142</v>
      </c>
      <c r="W195" s="16" t="s">
        <v>142</v>
      </c>
      <c r="X195" s="21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3">
      <c r="B196" s="14" t="s">
        <v>21</v>
      </c>
      <c r="C196" s="15">
        <v>34016</v>
      </c>
      <c r="D196" s="16">
        <v>32989</v>
      </c>
      <c r="E196" s="15">
        <f>IF(OR(D196="-",D196="",D196=0),IF(C196="-","-",C196),C196-D196)</f>
        <v>1027</v>
      </c>
      <c r="F196" s="17">
        <f>IFERROR(IF(C196&gt;0, D196/C196, 0),"-")</f>
        <v>0.96980832549388518</v>
      </c>
      <c r="G196" s="15">
        <v>343</v>
      </c>
      <c r="H196" s="16" t="s">
        <v>142</v>
      </c>
      <c r="I196" s="15">
        <f>IF(OR(H196="-",H196="",H196=0),IF(G196="-","-",G196),G196-H196)</f>
        <v>343</v>
      </c>
      <c r="J196" s="17" t="str">
        <f>IFERROR(IF(G196&gt;0, H196/G196, 0),"-")</f>
        <v>-</v>
      </c>
      <c r="K196" s="15">
        <v>323</v>
      </c>
      <c r="L196" s="16" t="s">
        <v>142</v>
      </c>
      <c r="M196" s="15">
        <f>IF(OR(L196="-",L196="",L196=0),IF(K196="-","-",K196),K196-L196)</f>
        <v>323</v>
      </c>
      <c r="N196" s="17" t="str">
        <f>IFERROR(IF(K196&gt;0, L196/K196, 0),"-")</f>
        <v>-</v>
      </c>
      <c r="O196" s="15">
        <v>484</v>
      </c>
      <c r="P196" s="16" t="s">
        <v>142</v>
      </c>
      <c r="Q196" s="15">
        <f>IF(OR(P196="-",P196="",P196=0),IF(O196="-","-",O196),O196-P196)</f>
        <v>484</v>
      </c>
      <c r="R196" s="17" t="str">
        <f>IFERROR(IF(O196&gt;0, P196/O196, 0),"-")</f>
        <v>-</v>
      </c>
      <c r="S196" s="15">
        <v>35822</v>
      </c>
      <c r="T196" s="15" t="s">
        <v>142</v>
      </c>
      <c r="U196" s="15" t="s">
        <v>142</v>
      </c>
      <c r="V196" s="16" t="s">
        <v>142</v>
      </c>
      <c r="W196" s="16" t="s">
        <v>142</v>
      </c>
      <c r="X196" s="21">
        <f>RANK(F196,$F$194:$F$198,0)</f>
        <v>3</v>
      </c>
      <c r="Y196" s="3" t="str">
        <f>IF(OR(ISERROR(F196),F196="-",NOT(ISNUMBER(F196))),"● N/A",IF(ROUND(F196, 4) &gt;= ROUND($F$199, 4),"▲ Above Average","▼ Below Average"))</f>
        <v>▼ Below Average</v>
      </c>
    </row>
    <row r="197" spans="2:25" x14ac:dyDescent="0.3">
      <c r="B197" s="14" t="s">
        <v>2</v>
      </c>
      <c r="C197" s="15">
        <v>4221</v>
      </c>
      <c r="D197" s="16">
        <v>4080</v>
      </c>
      <c r="E197" s="15">
        <f>IF(OR(D197="-",D197="",D197=0),IF(C197="-","-",C197),C197-D197)</f>
        <v>141</v>
      </c>
      <c r="F197" s="17">
        <f>IFERROR(IF(C197&gt;0, D197/C197, 0),"-")</f>
        <v>0.96659559346126511</v>
      </c>
      <c r="G197" s="15">
        <v>55</v>
      </c>
      <c r="H197" s="16" t="s">
        <v>142</v>
      </c>
      <c r="I197" s="15">
        <f>IF(OR(H197="-",H197="",H197=0),IF(G197="-","-",G197),G197-H197)</f>
        <v>55</v>
      </c>
      <c r="J197" s="17" t="str">
        <f>IFERROR(IF(G197&gt;0, H197/G197, 0),"-")</f>
        <v>-</v>
      </c>
      <c r="K197" s="15">
        <v>39</v>
      </c>
      <c r="L197" s="16" t="s">
        <v>142</v>
      </c>
      <c r="M197" s="15">
        <f>IF(OR(L197="-",L197="",L197=0),IF(K197="-","-",K197),K197-L197)</f>
        <v>39</v>
      </c>
      <c r="N197" s="17" t="str">
        <f>IFERROR(IF(K197&gt;0, L197/K197, 0),"-")</f>
        <v>-</v>
      </c>
      <c r="O197" s="15">
        <v>44</v>
      </c>
      <c r="P197" s="16" t="s">
        <v>142</v>
      </c>
      <c r="Q197" s="15">
        <f>IF(OR(P197="-",P197="",P197=0),IF(O197="-","-",O197),O197-P197)</f>
        <v>44</v>
      </c>
      <c r="R197" s="17" t="str">
        <f>IFERROR(IF(O197&gt;0, P197/O197, 0),"-")</f>
        <v>-</v>
      </c>
      <c r="S197" s="15">
        <v>147</v>
      </c>
      <c r="T197" s="15" t="s">
        <v>142</v>
      </c>
      <c r="U197" s="15" t="s">
        <v>142</v>
      </c>
      <c r="V197" s="16" t="s">
        <v>142</v>
      </c>
      <c r="W197" s="16" t="s">
        <v>142</v>
      </c>
      <c r="X197" s="21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3">
      <c r="B198" s="14" t="s">
        <v>0</v>
      </c>
      <c r="C198" s="15">
        <v>4721</v>
      </c>
      <c r="D198" s="16">
        <v>4415</v>
      </c>
      <c r="E198" s="15">
        <f>IF(OR(D198="-",D198="",D198=0),IF(C198="-","-",C198),C198-D198)</f>
        <v>306</v>
      </c>
      <c r="F198" s="17">
        <f>IFERROR(IF(C198&gt;0, D198/C198, 0),"-")</f>
        <v>0.93518322389324293</v>
      </c>
      <c r="G198" s="15">
        <v>151</v>
      </c>
      <c r="H198" s="16" t="s">
        <v>142</v>
      </c>
      <c r="I198" s="15">
        <f>IF(OR(H198="-",H198="",H198=0),IF(G198="-","-",G198),G198-H198)</f>
        <v>151</v>
      </c>
      <c r="J198" s="17" t="str">
        <f>IFERROR(IF(G198&gt;0, H198/G198, 0),"-")</f>
        <v>-</v>
      </c>
      <c r="K198" s="15">
        <v>53</v>
      </c>
      <c r="L198" s="16" t="s">
        <v>142</v>
      </c>
      <c r="M198" s="15">
        <f>IF(OR(L198="-",L198="",L198=0),IF(K198="-","-",K198),K198-L198)</f>
        <v>53</v>
      </c>
      <c r="N198" s="17" t="str">
        <f>IFERROR(IF(K198&gt;0, L198/K198, 0),"-")</f>
        <v>-</v>
      </c>
      <c r="O198" s="15">
        <v>48</v>
      </c>
      <c r="P198" s="16" t="s">
        <v>142</v>
      </c>
      <c r="Q198" s="15">
        <f>IF(OR(P198="-",P198="",P198=0),IF(O198="-","-",O198),O198-P198)</f>
        <v>48</v>
      </c>
      <c r="R198" s="17" t="str">
        <f>IFERROR(IF(O198&gt;0, P198/O198, 0),"-")</f>
        <v>-</v>
      </c>
      <c r="S198" s="15">
        <v>70</v>
      </c>
      <c r="T198" s="15" t="s">
        <v>142</v>
      </c>
      <c r="U198" s="15" t="s">
        <v>142</v>
      </c>
      <c r="V198" s="16" t="s">
        <v>142</v>
      </c>
      <c r="W198" s="16" t="s">
        <v>142</v>
      </c>
      <c r="X198" s="21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3">
      <c r="B199" s="12" t="s">
        <v>138</v>
      </c>
      <c r="C199" s="13">
        <f>SUM(C194:C198)</f>
        <v>125139</v>
      </c>
      <c r="D199" s="13">
        <f>SUM(D194:D198)</f>
        <v>121419</v>
      </c>
      <c r="E199" s="13">
        <f>C199-D199</f>
        <v>3720</v>
      </c>
      <c r="F199" s="18">
        <f>IF(C199&gt;0, D199/C199, 0)</f>
        <v>0.97027305636132621</v>
      </c>
      <c r="G199" s="13">
        <f>SUM(G194:G198)</f>
        <v>1433</v>
      </c>
      <c r="H199" s="13">
        <f>SUM(H194:H198)</f>
        <v>0</v>
      </c>
      <c r="I199" s="13">
        <f>G199-H199</f>
        <v>1433</v>
      </c>
      <c r="J199" s="18">
        <f>IF(G199&gt;0, H199/G199, 0)</f>
        <v>0</v>
      </c>
      <c r="K199" s="13">
        <f>SUM(K194:K198)</f>
        <v>1361</v>
      </c>
      <c r="L199" s="13">
        <f>SUM(L194:L198)</f>
        <v>0</v>
      </c>
      <c r="M199" s="13">
        <f>K199-L199</f>
        <v>1361</v>
      </c>
      <c r="N199" s="18">
        <f>IF(K199&gt;0, L199/K199, 0)</f>
        <v>0</v>
      </c>
      <c r="O199" s="13">
        <f>SUM(O194:O198)</f>
        <v>1916</v>
      </c>
      <c r="P199" s="13">
        <f>SUM(P194:P198)</f>
        <v>0</v>
      </c>
      <c r="Q199" s="13">
        <f>O199-P199</f>
        <v>1916</v>
      </c>
      <c r="R199" s="18">
        <f>IF(O199&gt;0, P199/O199, 0)</f>
        <v>0</v>
      </c>
      <c r="S199" s="13">
        <f>SUM(S194:S198)</f>
        <v>113323</v>
      </c>
      <c r="T199" s="13">
        <f>SUM(T194:T198)</f>
        <v>0</v>
      </c>
      <c r="U199" s="13">
        <f>SUM(U194:U198)</f>
        <v>0</v>
      </c>
      <c r="V199" s="13">
        <f>SUM(V194:V198)</f>
        <v>0</v>
      </c>
      <c r="W199" s="13">
        <f>SUM(W194:W198)</f>
        <v>0</v>
      </c>
      <c r="X199" s="22" t="s">
        <v>142</v>
      </c>
      <c r="Y199" s="22" t="s">
        <v>142</v>
      </c>
    </row>
    <row r="203" spans="2:25" ht="18" x14ac:dyDescent="0.35">
      <c r="B203" s="23" t="s">
        <v>165</v>
      </c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5" spans="2:25" x14ac:dyDescent="0.3">
      <c r="B205" s="2" t="s">
        <v>152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3">
      <c r="B206" s="4" t="s">
        <v>144</v>
      </c>
      <c r="C206" s="2" t="s">
        <v>154</v>
      </c>
      <c r="D206" s="2"/>
      <c r="E206" s="2"/>
      <c r="F206" s="2"/>
      <c r="G206" s="2" t="s">
        <v>155</v>
      </c>
      <c r="H206" s="2"/>
      <c r="I206" s="2"/>
      <c r="J206" s="2"/>
      <c r="K206" s="2" t="s">
        <v>156</v>
      </c>
      <c r="L206" s="2"/>
      <c r="M206" s="2"/>
      <c r="N206" s="2"/>
      <c r="O206" s="2" t="s">
        <v>145</v>
      </c>
      <c r="P206" s="2"/>
      <c r="Q206" s="2"/>
      <c r="R206" s="2"/>
      <c r="S206" s="2" t="s">
        <v>136</v>
      </c>
      <c r="T206" s="2"/>
      <c r="U206" s="2"/>
      <c r="V206" s="2"/>
      <c r="W206" s="2"/>
      <c r="X206" s="5" t="s">
        <v>157</v>
      </c>
      <c r="Y206" s="5"/>
    </row>
    <row r="207" spans="2:25" x14ac:dyDescent="0.3">
      <c r="B207" s="4"/>
      <c r="C207" s="6" t="s">
        <v>146</v>
      </c>
      <c r="D207" s="7" t="s">
        <v>158</v>
      </c>
      <c r="E207" s="6" t="s">
        <v>140</v>
      </c>
      <c r="F207" s="8" t="s">
        <v>141</v>
      </c>
      <c r="G207" s="6" t="s">
        <v>146</v>
      </c>
      <c r="H207" s="7" t="s">
        <v>158</v>
      </c>
      <c r="I207" s="6" t="s">
        <v>159</v>
      </c>
      <c r="J207" s="8" t="s">
        <v>141</v>
      </c>
      <c r="K207" s="6" t="s">
        <v>146</v>
      </c>
      <c r="L207" s="7" t="s">
        <v>158</v>
      </c>
      <c r="M207" s="6" t="s">
        <v>159</v>
      </c>
      <c r="N207" s="8" t="s">
        <v>141</v>
      </c>
      <c r="O207" s="6" t="s">
        <v>146</v>
      </c>
      <c r="P207" s="7" t="s">
        <v>158</v>
      </c>
      <c r="Q207" s="6" t="s">
        <v>159</v>
      </c>
      <c r="R207" s="8" t="s">
        <v>141</v>
      </c>
      <c r="S207" s="6" t="s">
        <v>146</v>
      </c>
      <c r="T207" s="2" t="s">
        <v>147</v>
      </c>
      <c r="U207" s="2"/>
      <c r="V207" s="2" t="s">
        <v>148</v>
      </c>
      <c r="W207" s="2"/>
      <c r="X207" s="19" t="s">
        <v>160</v>
      </c>
      <c r="Y207" s="20" t="s">
        <v>161</v>
      </c>
    </row>
    <row r="208" spans="2:25" x14ac:dyDescent="0.3">
      <c r="C208" s="6"/>
      <c r="D208" s="7"/>
      <c r="E208" s="6"/>
      <c r="F208" s="8"/>
      <c r="G208" s="6"/>
      <c r="H208" s="7"/>
      <c r="I208" s="6"/>
      <c r="J208" s="8"/>
      <c r="K208" s="6"/>
      <c r="L208" s="7"/>
      <c r="M208" s="6"/>
      <c r="N208" s="8"/>
      <c r="O208" s="6"/>
      <c r="P208" s="7"/>
      <c r="Q208" s="6"/>
      <c r="R208" s="8"/>
      <c r="S208" s="6"/>
      <c r="T208" s="9" t="s">
        <v>149</v>
      </c>
      <c r="U208" s="9" t="s">
        <v>150</v>
      </c>
      <c r="V208" s="9" t="s">
        <v>149</v>
      </c>
      <c r="W208" s="9" t="s">
        <v>150</v>
      </c>
      <c r="X208" s="10"/>
      <c r="Y208" s="11"/>
    </row>
    <row r="209" spans="2:25" x14ac:dyDescent="0.3">
      <c r="B209" s="14" t="s">
        <v>2</v>
      </c>
      <c r="C209" s="15">
        <v>5</v>
      </c>
      <c r="D209" s="16">
        <v>5</v>
      </c>
      <c r="E209" s="15">
        <f>IF(OR(D209="-",D209="",D209=0),IF(C209="-","-",C209),C209-D209)</f>
        <v>0</v>
      </c>
      <c r="F209" s="17">
        <f>IFERROR(IF(C209&gt;0, D209/C209, 0),"-")</f>
        <v>1</v>
      </c>
      <c r="G209" s="15" t="s">
        <v>142</v>
      </c>
      <c r="H209" s="16" t="s">
        <v>142</v>
      </c>
      <c r="I209" s="15" t="str">
        <f>IF(OR(H209="-",H209="",H209=0),IF(G209="-","-",G209),G209-H209)</f>
        <v>-</v>
      </c>
      <c r="J209" s="17" t="str">
        <f>IFERROR(IF(G209&gt;0, H209/G209, 0),"-")</f>
        <v>-</v>
      </c>
      <c r="K209" s="15" t="s">
        <v>142</v>
      </c>
      <c r="L209" s="16" t="s">
        <v>142</v>
      </c>
      <c r="M209" s="15" t="str">
        <f>IF(OR(L209="-",L209="",L209=0),IF(K209="-","-",K209),K209-L209)</f>
        <v>-</v>
      </c>
      <c r="N209" s="17" t="str">
        <f>IFERROR(IF(K209&gt;0, L209/K209, 0),"-")</f>
        <v>-</v>
      </c>
      <c r="O209" s="15" t="s">
        <v>142</v>
      </c>
      <c r="P209" s="16" t="s">
        <v>142</v>
      </c>
      <c r="Q209" s="15" t="str">
        <f>IF(OR(P209="-",P209="",P209=0),IF(O209="-","-",O209),O209-P209)</f>
        <v>-</v>
      </c>
      <c r="R209" s="17" t="str">
        <f>IFERROR(IF(O209&gt;0, P209/O209, 0),"-")</f>
        <v>-</v>
      </c>
      <c r="S209" s="15" t="s">
        <v>142</v>
      </c>
      <c r="T209" s="15" t="s">
        <v>142</v>
      </c>
      <c r="U209" s="15" t="s">
        <v>142</v>
      </c>
      <c r="V209" s="16" t="s">
        <v>142</v>
      </c>
      <c r="W209" s="16" t="s">
        <v>142</v>
      </c>
      <c r="X209" s="21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3">
      <c r="B210" s="14" t="s">
        <v>21</v>
      </c>
      <c r="C210" s="15">
        <v>5339</v>
      </c>
      <c r="D210" s="16">
        <v>5059</v>
      </c>
      <c r="E210" s="15">
        <f>IF(OR(D210="-",D210="",D210=0),IF(C210="-","-",C210),C210-D210)</f>
        <v>280</v>
      </c>
      <c r="F210" s="17">
        <f>IFERROR(IF(C210&gt;0, D210/C210, 0),"-")</f>
        <v>0.94755572204532679</v>
      </c>
      <c r="G210" s="15">
        <v>65</v>
      </c>
      <c r="H210" s="16" t="s">
        <v>142</v>
      </c>
      <c r="I210" s="15">
        <f>IF(OR(H210="-",H210="",H210=0),IF(G210="-","-",G210),G210-H210)</f>
        <v>65</v>
      </c>
      <c r="J210" s="17" t="str">
        <f>IFERROR(IF(G210&gt;0, H210/G210, 0),"-")</f>
        <v>-</v>
      </c>
      <c r="K210" s="15">
        <v>59</v>
      </c>
      <c r="L210" s="16" t="s">
        <v>142</v>
      </c>
      <c r="M210" s="15">
        <f>IF(OR(L210="-",L210="",L210=0),IF(K210="-","-",K210),K210-L210)</f>
        <v>59</v>
      </c>
      <c r="N210" s="17" t="str">
        <f>IFERROR(IF(K210&gt;0, L210/K210, 0),"-")</f>
        <v>-</v>
      </c>
      <c r="O210" s="15">
        <v>95</v>
      </c>
      <c r="P210" s="16" t="s">
        <v>142</v>
      </c>
      <c r="Q210" s="15">
        <f>IF(OR(P210="-",P210="",P210=0),IF(O210="-","-",O210),O210-P210)</f>
        <v>95</v>
      </c>
      <c r="R210" s="17" t="str">
        <f>IFERROR(IF(O210&gt;0, P210/O210, 0),"-")</f>
        <v>-</v>
      </c>
      <c r="S210" s="15">
        <v>2180</v>
      </c>
      <c r="T210" s="15" t="s">
        <v>142</v>
      </c>
      <c r="U210" s="15" t="s">
        <v>142</v>
      </c>
      <c r="V210" s="16" t="s">
        <v>142</v>
      </c>
      <c r="W210" s="16" t="s">
        <v>142</v>
      </c>
      <c r="X210" s="21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3">
      <c r="B211" s="14" t="s">
        <v>7</v>
      </c>
      <c r="C211" s="15">
        <v>2212</v>
      </c>
      <c r="D211" s="16">
        <v>2064</v>
      </c>
      <c r="E211" s="15">
        <f>IF(OR(D211="-",D211="",D211=0),IF(C211="-","-",C211),C211-D211)</f>
        <v>148</v>
      </c>
      <c r="F211" s="17">
        <f>IFERROR(IF(C211&gt;0, D211/C211, 0),"-")</f>
        <v>0.93309222423146476</v>
      </c>
      <c r="G211" s="15">
        <v>35</v>
      </c>
      <c r="H211" s="16" t="s">
        <v>142</v>
      </c>
      <c r="I211" s="15">
        <f>IF(OR(H211="-",H211="",H211=0),IF(G211="-","-",G211),G211-H211)</f>
        <v>35</v>
      </c>
      <c r="J211" s="17" t="str">
        <f>IFERROR(IF(G211&gt;0, H211/G211, 0),"-")</f>
        <v>-</v>
      </c>
      <c r="K211" s="15">
        <v>29</v>
      </c>
      <c r="L211" s="16" t="s">
        <v>142</v>
      </c>
      <c r="M211" s="15">
        <f>IF(OR(L211="-",L211="",L211=0),IF(K211="-","-",K211),K211-L211)</f>
        <v>29</v>
      </c>
      <c r="N211" s="17" t="str">
        <f>IFERROR(IF(K211&gt;0, L211/K211, 0),"-")</f>
        <v>-</v>
      </c>
      <c r="O211" s="15">
        <v>50</v>
      </c>
      <c r="P211" s="16" t="s">
        <v>142</v>
      </c>
      <c r="Q211" s="15">
        <f>IF(OR(P211="-",P211="",P211=0),IF(O211="-","-",O211),O211-P211)</f>
        <v>50</v>
      </c>
      <c r="R211" s="17" t="str">
        <f>IFERROR(IF(O211&gt;0, P211/O211, 0),"-")</f>
        <v>-</v>
      </c>
      <c r="S211" s="15">
        <v>419</v>
      </c>
      <c r="T211" s="15" t="s">
        <v>142</v>
      </c>
      <c r="U211" s="15" t="s">
        <v>142</v>
      </c>
      <c r="V211" s="16" t="s">
        <v>142</v>
      </c>
      <c r="W211" s="16" t="s">
        <v>142</v>
      </c>
      <c r="X211" s="21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3">
      <c r="B212" s="14" t="s">
        <v>1</v>
      </c>
      <c r="C212" s="15">
        <v>5883</v>
      </c>
      <c r="D212" s="16">
        <v>5363</v>
      </c>
      <c r="E212" s="15">
        <f>IF(OR(D212="-",D212="",D212=0),IF(C212="-","-",C212),C212-D212)</f>
        <v>520</v>
      </c>
      <c r="F212" s="17">
        <f>IFERROR(IF(C212&gt;0, D212/C212, 0),"-")</f>
        <v>0.9116097229304776</v>
      </c>
      <c r="G212" s="15">
        <v>167</v>
      </c>
      <c r="H212" s="16" t="s">
        <v>142</v>
      </c>
      <c r="I212" s="15">
        <f>IF(OR(H212="-",H212="",H212=0),IF(G212="-","-",G212),G212-H212)</f>
        <v>167</v>
      </c>
      <c r="J212" s="17" t="str">
        <f>IFERROR(IF(G212&gt;0, H212/G212, 0),"-")</f>
        <v>-</v>
      </c>
      <c r="K212" s="15">
        <v>97</v>
      </c>
      <c r="L212" s="16" t="s">
        <v>142</v>
      </c>
      <c r="M212" s="15">
        <f>IF(OR(L212="-",L212="",L212=0),IF(K212="-","-",K212),K212-L212)</f>
        <v>97</v>
      </c>
      <c r="N212" s="17" t="str">
        <f>IFERROR(IF(K212&gt;0, L212/K212, 0),"-")</f>
        <v>-</v>
      </c>
      <c r="O212" s="15">
        <v>105</v>
      </c>
      <c r="P212" s="16" t="s">
        <v>142</v>
      </c>
      <c r="Q212" s="15">
        <f>IF(OR(P212="-",P212="",P212=0),IF(O212="-","-",O212),O212-P212)</f>
        <v>105</v>
      </c>
      <c r="R212" s="17" t="str">
        <f>IFERROR(IF(O212&gt;0, P212/O212, 0),"-")</f>
        <v>-</v>
      </c>
      <c r="S212" s="15">
        <v>2054</v>
      </c>
      <c r="T212" s="15" t="s">
        <v>142</v>
      </c>
      <c r="U212" s="15" t="s">
        <v>142</v>
      </c>
      <c r="V212" s="16" t="s">
        <v>142</v>
      </c>
      <c r="W212" s="16" t="s">
        <v>142</v>
      </c>
      <c r="X212" s="21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3">
      <c r="B213" s="14" t="s">
        <v>0</v>
      </c>
      <c r="C213" s="15">
        <v>189</v>
      </c>
      <c r="D213" s="16">
        <v>169</v>
      </c>
      <c r="E213" s="15">
        <f>IF(OR(D213="-",D213="",D213=0),IF(C213="-","-",C213),C213-D213)</f>
        <v>20</v>
      </c>
      <c r="F213" s="17">
        <f>IFERROR(IF(C213&gt;0, D213/C213, 0),"-")</f>
        <v>0.89417989417989419</v>
      </c>
      <c r="G213" s="15">
        <v>2</v>
      </c>
      <c r="H213" s="16" t="s">
        <v>142</v>
      </c>
      <c r="I213" s="15">
        <f>IF(OR(H213="-",H213="",H213=0),IF(G213="-","-",G213),G213-H213)</f>
        <v>2</v>
      </c>
      <c r="J213" s="17" t="str">
        <f>IFERROR(IF(G213&gt;0, H213/G213, 0),"-")</f>
        <v>-</v>
      </c>
      <c r="K213" s="15">
        <v>1</v>
      </c>
      <c r="L213" s="16" t="s">
        <v>142</v>
      </c>
      <c r="M213" s="15">
        <f>IF(OR(L213="-",L213="",L213=0),IF(K213="-","-",K213),K213-L213)</f>
        <v>1</v>
      </c>
      <c r="N213" s="17" t="str">
        <f>IFERROR(IF(K213&gt;0, L213/K213, 0),"-")</f>
        <v>-</v>
      </c>
      <c r="O213" s="15" t="s">
        <v>142</v>
      </c>
      <c r="P213" s="16" t="s">
        <v>142</v>
      </c>
      <c r="Q213" s="15" t="str">
        <f>IF(OR(P213="-",P213="",P213=0),IF(O213="-","-",O213),O213-P213)</f>
        <v>-</v>
      </c>
      <c r="R213" s="17" t="str">
        <f>IFERROR(IF(O213&gt;0, P213/O213, 0),"-")</f>
        <v>-</v>
      </c>
      <c r="S213" s="15" t="s">
        <v>142</v>
      </c>
      <c r="T213" s="15" t="s">
        <v>142</v>
      </c>
      <c r="U213" s="15" t="s">
        <v>142</v>
      </c>
      <c r="V213" s="16" t="s">
        <v>142</v>
      </c>
      <c r="W213" s="16" t="s">
        <v>142</v>
      </c>
      <c r="X213" s="21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3">
      <c r="B214" s="12" t="s">
        <v>138</v>
      </c>
      <c r="C214" s="13">
        <f>SUM(C209:C213)</f>
        <v>13628</v>
      </c>
      <c r="D214" s="13">
        <f>SUM(D209:D213)</f>
        <v>12660</v>
      </c>
      <c r="E214" s="13">
        <f>C214-D214</f>
        <v>968</v>
      </c>
      <c r="F214" s="18">
        <f>IF(C214&gt;0, D214/C214, 0)</f>
        <v>0.92896976812444965</v>
      </c>
      <c r="G214" s="13">
        <f>SUM(G209:G213)</f>
        <v>269</v>
      </c>
      <c r="H214" s="13">
        <f>SUM(H209:H213)</f>
        <v>0</v>
      </c>
      <c r="I214" s="13">
        <f>G214-H214</f>
        <v>269</v>
      </c>
      <c r="J214" s="18">
        <f>IF(G214&gt;0, H214/G214, 0)</f>
        <v>0</v>
      </c>
      <c r="K214" s="13">
        <f>SUM(K209:K213)</f>
        <v>186</v>
      </c>
      <c r="L214" s="13">
        <f>SUM(L209:L213)</f>
        <v>0</v>
      </c>
      <c r="M214" s="13">
        <f>K214-L214</f>
        <v>186</v>
      </c>
      <c r="N214" s="18">
        <f>IF(K214&gt;0, L214/K214, 0)</f>
        <v>0</v>
      </c>
      <c r="O214" s="13">
        <f>SUM(O209:O213)</f>
        <v>250</v>
      </c>
      <c r="P214" s="13">
        <f>SUM(P209:P213)</f>
        <v>0</v>
      </c>
      <c r="Q214" s="13">
        <f>O214-P214</f>
        <v>250</v>
      </c>
      <c r="R214" s="18">
        <f>IF(O214&gt;0, P214/O214, 0)</f>
        <v>0</v>
      </c>
      <c r="S214" s="13">
        <f>SUM(S209:S213)</f>
        <v>4653</v>
      </c>
      <c r="T214" s="13">
        <f>SUM(T209:T213)</f>
        <v>0</v>
      </c>
      <c r="U214" s="13">
        <f>SUM(U209:U213)</f>
        <v>0</v>
      </c>
      <c r="V214" s="13">
        <f>SUM(V209:V213)</f>
        <v>0</v>
      </c>
      <c r="W214" s="13">
        <f>SUM(W209:W213)</f>
        <v>0</v>
      </c>
      <c r="X214" s="22" t="s">
        <v>142</v>
      </c>
      <c r="Y214" s="22" t="s">
        <v>142</v>
      </c>
    </row>
    <row r="218" spans="2:25" ht="18" x14ac:dyDescent="0.35">
      <c r="B218" s="23" t="s">
        <v>166</v>
      </c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20" spans="2:25" x14ac:dyDescent="0.3">
      <c r="B220" s="2" t="s">
        <v>152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3">
      <c r="B221" s="4" t="s">
        <v>144</v>
      </c>
      <c r="C221" s="2" t="s">
        <v>154</v>
      </c>
      <c r="D221" s="2"/>
      <c r="E221" s="2"/>
      <c r="F221" s="2"/>
      <c r="G221" s="2" t="s">
        <v>155</v>
      </c>
      <c r="H221" s="2"/>
      <c r="I221" s="2"/>
      <c r="J221" s="2"/>
      <c r="K221" s="2" t="s">
        <v>156</v>
      </c>
      <c r="L221" s="2"/>
      <c r="M221" s="2"/>
      <c r="N221" s="2"/>
      <c r="O221" s="2" t="s">
        <v>145</v>
      </c>
      <c r="P221" s="2"/>
      <c r="Q221" s="2"/>
      <c r="R221" s="2"/>
      <c r="S221" s="2" t="s">
        <v>136</v>
      </c>
      <c r="T221" s="2"/>
      <c r="U221" s="2"/>
      <c r="V221" s="2"/>
      <c r="W221" s="2"/>
      <c r="X221" s="5" t="s">
        <v>157</v>
      </c>
      <c r="Y221" s="5"/>
    </row>
    <row r="222" spans="2:25" x14ac:dyDescent="0.3">
      <c r="B222" s="4"/>
      <c r="C222" s="6" t="s">
        <v>146</v>
      </c>
      <c r="D222" s="7" t="s">
        <v>158</v>
      </c>
      <c r="E222" s="6" t="s">
        <v>140</v>
      </c>
      <c r="F222" s="8" t="s">
        <v>141</v>
      </c>
      <c r="G222" s="6" t="s">
        <v>146</v>
      </c>
      <c r="H222" s="7" t="s">
        <v>158</v>
      </c>
      <c r="I222" s="6" t="s">
        <v>159</v>
      </c>
      <c r="J222" s="8" t="s">
        <v>141</v>
      </c>
      <c r="K222" s="6" t="s">
        <v>146</v>
      </c>
      <c r="L222" s="7" t="s">
        <v>158</v>
      </c>
      <c r="M222" s="6" t="s">
        <v>159</v>
      </c>
      <c r="N222" s="8" t="s">
        <v>141</v>
      </c>
      <c r="O222" s="6" t="s">
        <v>146</v>
      </c>
      <c r="P222" s="7" t="s">
        <v>158</v>
      </c>
      <c r="Q222" s="6" t="s">
        <v>159</v>
      </c>
      <c r="R222" s="8" t="s">
        <v>141</v>
      </c>
      <c r="S222" s="6" t="s">
        <v>146</v>
      </c>
      <c r="T222" s="2" t="s">
        <v>147</v>
      </c>
      <c r="U222" s="2"/>
      <c r="V222" s="2" t="s">
        <v>148</v>
      </c>
      <c r="W222" s="2"/>
      <c r="X222" s="19" t="s">
        <v>160</v>
      </c>
      <c r="Y222" s="20" t="s">
        <v>161</v>
      </c>
    </row>
    <row r="223" spans="2:25" x14ac:dyDescent="0.3">
      <c r="C223" s="6"/>
      <c r="D223" s="7"/>
      <c r="E223" s="6"/>
      <c r="F223" s="8"/>
      <c r="G223" s="6"/>
      <c r="H223" s="7"/>
      <c r="I223" s="6"/>
      <c r="J223" s="8"/>
      <c r="K223" s="6"/>
      <c r="L223" s="7"/>
      <c r="M223" s="6"/>
      <c r="N223" s="8"/>
      <c r="O223" s="6"/>
      <c r="P223" s="7"/>
      <c r="Q223" s="6"/>
      <c r="R223" s="8"/>
      <c r="S223" s="6"/>
      <c r="T223" s="9" t="s">
        <v>149</v>
      </c>
      <c r="U223" s="9" t="s">
        <v>150</v>
      </c>
      <c r="V223" s="9" t="s">
        <v>149</v>
      </c>
      <c r="W223" s="9" t="s">
        <v>150</v>
      </c>
      <c r="X223" s="10"/>
      <c r="Y223" s="11"/>
    </row>
    <row r="224" spans="2:25" x14ac:dyDescent="0.3">
      <c r="B224" s="14" t="s">
        <v>2</v>
      </c>
      <c r="C224" s="15">
        <v>1</v>
      </c>
      <c r="D224" s="16">
        <v>1</v>
      </c>
      <c r="E224" s="15">
        <f>IF(OR(D224="-",D224="",D224=0),IF(C224="-","-",C224),C224-D224)</f>
        <v>0</v>
      </c>
      <c r="F224" s="17">
        <f>IFERROR(IF(C224&gt;0, D224/C224, 0),"-")</f>
        <v>1</v>
      </c>
      <c r="G224" s="15" t="s">
        <v>142</v>
      </c>
      <c r="H224" s="16" t="s">
        <v>142</v>
      </c>
      <c r="I224" s="15" t="str">
        <f>IF(OR(H224="-",H224="",H224=0),IF(G224="-","-",G224),G224-H224)</f>
        <v>-</v>
      </c>
      <c r="J224" s="17" t="str">
        <f>IFERROR(IF(G224&gt;0, H224/G224, 0),"-")</f>
        <v>-</v>
      </c>
      <c r="K224" s="15" t="s">
        <v>142</v>
      </c>
      <c r="L224" s="16" t="s">
        <v>142</v>
      </c>
      <c r="M224" s="15" t="str">
        <f>IF(OR(L224="-",L224="",L224=0),IF(K224="-","-",K224),K224-L224)</f>
        <v>-</v>
      </c>
      <c r="N224" s="17" t="str">
        <f>IFERROR(IF(K224&gt;0, L224/K224, 0),"-")</f>
        <v>-</v>
      </c>
      <c r="O224" s="15" t="s">
        <v>142</v>
      </c>
      <c r="P224" s="16" t="s">
        <v>142</v>
      </c>
      <c r="Q224" s="15" t="str">
        <f>IF(OR(P224="-",P224="",P224=0),IF(O224="-","-",O224),O224-P224)</f>
        <v>-</v>
      </c>
      <c r="R224" s="17" t="str">
        <f>IFERROR(IF(O224&gt;0, P224/O224, 0),"-")</f>
        <v>-</v>
      </c>
      <c r="S224" s="15" t="s">
        <v>142</v>
      </c>
      <c r="T224" s="15" t="s">
        <v>142</v>
      </c>
      <c r="U224" s="15" t="s">
        <v>142</v>
      </c>
      <c r="V224" s="16" t="s">
        <v>142</v>
      </c>
      <c r="W224" s="16" t="s">
        <v>142</v>
      </c>
      <c r="X224" s="21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2:25" x14ac:dyDescent="0.3">
      <c r="B225" s="14" t="s">
        <v>0</v>
      </c>
      <c r="C225" s="15">
        <v>1</v>
      </c>
      <c r="D225" s="16">
        <v>1</v>
      </c>
      <c r="E225" s="15">
        <f>IF(OR(D225="-",D225="",D225=0),IF(C225="-","-",C225),C225-D225)</f>
        <v>0</v>
      </c>
      <c r="F225" s="17">
        <f>IFERROR(IF(C225&gt;0, D225/C225, 0),"-")</f>
        <v>1</v>
      </c>
      <c r="G225" s="15" t="s">
        <v>142</v>
      </c>
      <c r="H225" s="16" t="s">
        <v>142</v>
      </c>
      <c r="I225" s="15" t="str">
        <f>IF(OR(H225="-",H225="",H225=0),IF(G225="-","-",G225),G225-H225)</f>
        <v>-</v>
      </c>
      <c r="J225" s="17" t="str">
        <f>IFERROR(IF(G225&gt;0, H225/G225, 0),"-")</f>
        <v>-</v>
      </c>
      <c r="K225" s="15" t="s">
        <v>142</v>
      </c>
      <c r="L225" s="16" t="s">
        <v>142</v>
      </c>
      <c r="M225" s="15" t="str">
        <f>IF(OR(L225="-",L225="",L225=0),IF(K225="-","-",K225),K225-L225)</f>
        <v>-</v>
      </c>
      <c r="N225" s="17" t="str">
        <f>IFERROR(IF(K225&gt;0, L225/K225, 0),"-")</f>
        <v>-</v>
      </c>
      <c r="O225" s="15" t="s">
        <v>142</v>
      </c>
      <c r="P225" s="16" t="s">
        <v>142</v>
      </c>
      <c r="Q225" s="15" t="str">
        <f>IF(OR(P225="-",P225="",P225=0),IF(O225="-","-",O225),O225-P225)</f>
        <v>-</v>
      </c>
      <c r="R225" s="17" t="str">
        <f>IFERROR(IF(O225&gt;0, P225/O225, 0),"-")</f>
        <v>-</v>
      </c>
      <c r="S225" s="15" t="s">
        <v>142</v>
      </c>
      <c r="T225" s="15" t="s">
        <v>142</v>
      </c>
      <c r="U225" s="15" t="s">
        <v>142</v>
      </c>
      <c r="V225" s="16" t="s">
        <v>142</v>
      </c>
      <c r="W225" s="16" t="s">
        <v>142</v>
      </c>
      <c r="X225" s="21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2:25" x14ac:dyDescent="0.3">
      <c r="B226" s="14" t="s">
        <v>7</v>
      </c>
      <c r="C226" s="15">
        <v>378</v>
      </c>
      <c r="D226" s="16">
        <v>356</v>
      </c>
      <c r="E226" s="15">
        <f>IF(OR(D226="-",D226="",D226=0),IF(C226="-","-",C226),C226-D226)</f>
        <v>22</v>
      </c>
      <c r="F226" s="17">
        <f>IFERROR(IF(C226&gt;0, D226/C226, 0),"-")</f>
        <v>0.94179894179894175</v>
      </c>
      <c r="G226" s="15">
        <v>12</v>
      </c>
      <c r="H226" s="16" t="s">
        <v>142</v>
      </c>
      <c r="I226" s="15">
        <f>IF(OR(H226="-",H226="",H226=0),IF(G226="-","-",G226),G226-H226)</f>
        <v>12</v>
      </c>
      <c r="J226" s="17" t="str">
        <f>IFERROR(IF(G226&gt;0, H226/G226, 0),"-")</f>
        <v>-</v>
      </c>
      <c r="K226" s="15">
        <v>14</v>
      </c>
      <c r="L226" s="16" t="s">
        <v>142</v>
      </c>
      <c r="M226" s="15">
        <f>IF(OR(L226="-",L226="",L226=0),IF(K226="-","-",K226),K226-L226)</f>
        <v>14</v>
      </c>
      <c r="N226" s="17" t="str">
        <f>IFERROR(IF(K226&gt;0, L226/K226, 0),"-")</f>
        <v>-</v>
      </c>
      <c r="O226" s="15">
        <v>13</v>
      </c>
      <c r="P226" s="16" t="s">
        <v>142</v>
      </c>
      <c r="Q226" s="15">
        <f>IF(OR(P226="-",P226="",P226=0),IF(O226="-","-",O226),O226-P226)</f>
        <v>13</v>
      </c>
      <c r="R226" s="17" t="str">
        <f>IFERROR(IF(O226&gt;0, P226/O226, 0),"-")</f>
        <v>-</v>
      </c>
      <c r="S226" s="15">
        <v>26</v>
      </c>
      <c r="T226" s="15" t="s">
        <v>142</v>
      </c>
      <c r="U226" s="15" t="s">
        <v>142</v>
      </c>
      <c r="V226" s="16" t="s">
        <v>142</v>
      </c>
      <c r="W226" s="16" t="s">
        <v>142</v>
      </c>
      <c r="X226" s="21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2:25" x14ac:dyDescent="0.3">
      <c r="B227" s="14" t="s">
        <v>1</v>
      </c>
      <c r="C227" s="15">
        <v>914</v>
      </c>
      <c r="D227" s="16">
        <v>826</v>
      </c>
      <c r="E227" s="15">
        <f>IF(OR(D227="-",D227="",D227=0),IF(C227="-","-",C227),C227-D227)</f>
        <v>88</v>
      </c>
      <c r="F227" s="17">
        <f>IFERROR(IF(C227&gt;0, D227/C227, 0),"-")</f>
        <v>0.90371991247264771</v>
      </c>
      <c r="G227" s="15">
        <v>42</v>
      </c>
      <c r="H227" s="16" t="s">
        <v>142</v>
      </c>
      <c r="I227" s="15">
        <f>IF(OR(H227="-",H227="",H227=0),IF(G227="-","-",G227),G227-H227)</f>
        <v>42</v>
      </c>
      <c r="J227" s="17" t="str">
        <f>IFERROR(IF(G227&gt;0, H227/G227, 0),"-")</f>
        <v>-</v>
      </c>
      <c r="K227" s="15">
        <v>44</v>
      </c>
      <c r="L227" s="16" t="s">
        <v>142</v>
      </c>
      <c r="M227" s="15">
        <f>IF(OR(L227="-",L227="",L227=0),IF(K227="-","-",K227),K227-L227)</f>
        <v>44</v>
      </c>
      <c r="N227" s="17" t="str">
        <f>IFERROR(IF(K227&gt;0, L227/K227, 0),"-")</f>
        <v>-</v>
      </c>
      <c r="O227" s="15">
        <v>36</v>
      </c>
      <c r="P227" s="16" t="s">
        <v>142</v>
      </c>
      <c r="Q227" s="15">
        <f>IF(OR(P227="-",P227="",P227=0),IF(O227="-","-",O227),O227-P227)</f>
        <v>36</v>
      </c>
      <c r="R227" s="17" t="str">
        <f>IFERROR(IF(O227&gt;0, P227/O227, 0),"-")</f>
        <v>-</v>
      </c>
      <c r="S227" s="15">
        <v>176</v>
      </c>
      <c r="T227" s="15" t="s">
        <v>142</v>
      </c>
      <c r="U227" s="15" t="s">
        <v>142</v>
      </c>
      <c r="V227" s="16" t="s">
        <v>142</v>
      </c>
      <c r="W227" s="16" t="s">
        <v>142</v>
      </c>
      <c r="X227" s="21">
        <f>RANK(F227,$F$224:$F$228,0)</f>
        <v>4</v>
      </c>
      <c r="Y227" s="3" t="str">
        <f>IF(OR(ISERROR(F227),F227="-",NOT(ISNUMBER(F227))),"● N/A",IF(ROUND(F227, 4) &gt;= ROUND($F$229, 4),"▲ Above Average","▼ Below Average"))</f>
        <v>▼ Below Average</v>
      </c>
    </row>
    <row r="228" spans="2:25" x14ac:dyDescent="0.3">
      <c r="B228" s="14" t="s">
        <v>21</v>
      </c>
      <c r="C228" s="15">
        <v>1640</v>
      </c>
      <c r="D228" s="16">
        <v>1482</v>
      </c>
      <c r="E228" s="15">
        <f>IF(OR(D228="-",D228="",D228=0),IF(C228="-","-",C228),C228-D228)</f>
        <v>158</v>
      </c>
      <c r="F228" s="17">
        <f>IFERROR(IF(C228&gt;0, D228/C228, 0),"-")</f>
        <v>0.90365853658536588</v>
      </c>
      <c r="G228" s="15">
        <v>41</v>
      </c>
      <c r="H228" s="16" t="s">
        <v>142</v>
      </c>
      <c r="I228" s="15">
        <f>IF(OR(H228="-",H228="",H228=0),IF(G228="-","-",G228),G228-H228)</f>
        <v>41</v>
      </c>
      <c r="J228" s="17" t="str">
        <f>IFERROR(IF(G228&gt;0, H228/G228, 0),"-")</f>
        <v>-</v>
      </c>
      <c r="K228" s="15">
        <v>22</v>
      </c>
      <c r="L228" s="16" t="s">
        <v>142</v>
      </c>
      <c r="M228" s="15">
        <f>IF(OR(L228="-",L228="",L228=0),IF(K228="-","-",K228),K228-L228)</f>
        <v>22</v>
      </c>
      <c r="N228" s="17" t="str">
        <f>IFERROR(IF(K228&gt;0, L228/K228, 0),"-")</f>
        <v>-</v>
      </c>
      <c r="O228" s="15">
        <v>43</v>
      </c>
      <c r="P228" s="16" t="s">
        <v>142</v>
      </c>
      <c r="Q228" s="15">
        <f>IF(OR(P228="-",P228="",P228=0),IF(O228="-","-",O228),O228-P228)</f>
        <v>43</v>
      </c>
      <c r="R228" s="17" t="str">
        <f>IFERROR(IF(O228&gt;0, P228/O228, 0),"-")</f>
        <v>-</v>
      </c>
      <c r="S228" s="15">
        <v>127</v>
      </c>
      <c r="T228" s="15" t="s">
        <v>142</v>
      </c>
      <c r="U228" s="15" t="s">
        <v>142</v>
      </c>
      <c r="V228" s="16" t="s">
        <v>142</v>
      </c>
      <c r="W228" s="16" t="s">
        <v>142</v>
      </c>
      <c r="X228" s="21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2:25" x14ac:dyDescent="0.3">
      <c r="B229" s="12" t="s">
        <v>138</v>
      </c>
      <c r="C229" s="13">
        <f>SUM(C224:C228)</f>
        <v>2934</v>
      </c>
      <c r="D229" s="13">
        <f>SUM(D224:D228)</f>
        <v>2666</v>
      </c>
      <c r="E229" s="13">
        <f>C229-D229</f>
        <v>268</v>
      </c>
      <c r="F229" s="18">
        <f>IF(C229&gt;0, D229/C229, 0)</f>
        <v>0.90865712338104976</v>
      </c>
      <c r="G229" s="13">
        <f>SUM(G224:G228)</f>
        <v>95</v>
      </c>
      <c r="H229" s="13">
        <f>SUM(H224:H228)</f>
        <v>0</v>
      </c>
      <c r="I229" s="13">
        <f>G229-H229</f>
        <v>95</v>
      </c>
      <c r="J229" s="18">
        <f>IF(G229&gt;0, H229/G229, 0)</f>
        <v>0</v>
      </c>
      <c r="K229" s="13">
        <f>SUM(K224:K228)</f>
        <v>80</v>
      </c>
      <c r="L229" s="13">
        <f>SUM(L224:L228)</f>
        <v>0</v>
      </c>
      <c r="M229" s="13">
        <f>K229-L229</f>
        <v>80</v>
      </c>
      <c r="N229" s="18">
        <f>IF(K229&gt;0, L229/K229, 0)</f>
        <v>0</v>
      </c>
      <c r="O229" s="13">
        <f>SUM(O224:O228)</f>
        <v>92</v>
      </c>
      <c r="P229" s="13">
        <f>SUM(P224:P228)</f>
        <v>0</v>
      </c>
      <c r="Q229" s="13">
        <f>O229-P229</f>
        <v>92</v>
      </c>
      <c r="R229" s="18">
        <f>IF(O229&gt;0, P229/O229, 0)</f>
        <v>0</v>
      </c>
      <c r="S229" s="13">
        <f>SUM(S224:S228)</f>
        <v>329</v>
      </c>
      <c r="T229" s="13">
        <f>SUM(T224:T228)</f>
        <v>0</v>
      </c>
      <c r="U229" s="13">
        <f>SUM(U224:U228)</f>
        <v>0</v>
      </c>
      <c r="V229" s="13">
        <f>SUM(V224:V228)</f>
        <v>0</v>
      </c>
      <c r="W229" s="13">
        <f>SUM(W224:W228)</f>
        <v>0</v>
      </c>
      <c r="X229" s="22" t="s">
        <v>142</v>
      </c>
      <c r="Y229" s="22" t="s">
        <v>142</v>
      </c>
    </row>
  </sheetData>
  <sortState ref="B224:Y228">
    <sortCondition ref="X1"/>
  </sortState>
  <mergeCells count="177">
    <mergeCell ref="Q222:Q223"/>
    <mergeCell ref="R222:R223"/>
    <mergeCell ref="S222:S223"/>
    <mergeCell ref="X222:X223"/>
    <mergeCell ref="Y222:Y22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O207:O208"/>
    <mergeCell ref="P207:P208"/>
    <mergeCell ref="Q207:Q208"/>
    <mergeCell ref="R207:R208"/>
    <mergeCell ref="S207:S208"/>
    <mergeCell ref="X207:X208"/>
    <mergeCell ref="I207:I208"/>
    <mergeCell ref="J207:J208"/>
    <mergeCell ref="K207:K208"/>
    <mergeCell ref="L207:L208"/>
    <mergeCell ref="M207:M208"/>
    <mergeCell ref="N207:N208"/>
    <mergeCell ref="V207:W207"/>
    <mergeCell ref="C207:C208"/>
    <mergeCell ref="D207:D208"/>
    <mergeCell ref="E207:E208"/>
    <mergeCell ref="F207:F208"/>
    <mergeCell ref="G207:G208"/>
    <mergeCell ref="H207:H208"/>
    <mergeCell ref="B203:Y203"/>
    <mergeCell ref="B205:Y205"/>
    <mergeCell ref="B206:B207"/>
    <mergeCell ref="C206:F206"/>
    <mergeCell ref="G206:J206"/>
    <mergeCell ref="K206:N206"/>
    <mergeCell ref="R192:R193"/>
    <mergeCell ref="S192:S193"/>
    <mergeCell ref="X192:X193"/>
    <mergeCell ref="Y192:Y193"/>
    <mergeCell ref="O206:R206"/>
    <mergeCell ref="S206:W206"/>
    <mergeCell ref="X206:Y206"/>
    <mergeCell ref="T207:U207"/>
    <mergeCell ref="L192:L193"/>
    <mergeCell ref="M192:M193"/>
    <mergeCell ref="N192:N193"/>
    <mergeCell ref="O192:O193"/>
    <mergeCell ref="P192:P193"/>
    <mergeCell ref="Q192:Q193"/>
    <mergeCell ref="F192:F193"/>
    <mergeCell ref="G192:G193"/>
    <mergeCell ref="H192:H193"/>
    <mergeCell ref="I192:I193"/>
    <mergeCell ref="J192:J193"/>
    <mergeCell ref="K192:K193"/>
    <mergeCell ref="S191:W191"/>
    <mergeCell ref="X191:Y191"/>
    <mergeCell ref="T192:U192"/>
    <mergeCell ref="V192:W192"/>
    <mergeCell ref="C192:C193"/>
    <mergeCell ref="D192:D193"/>
    <mergeCell ref="E192:E193"/>
    <mergeCell ref="B188:Y188"/>
    <mergeCell ref="B190:Y190"/>
    <mergeCell ref="B191:B192"/>
    <mergeCell ref="C191:F191"/>
    <mergeCell ref="G191:J191"/>
    <mergeCell ref="K191:N191"/>
    <mergeCell ref="O191:R191"/>
    <mergeCell ref="X55:X56"/>
    <mergeCell ref="Y55:Y56"/>
    <mergeCell ref="Y207:Y208"/>
    <mergeCell ref="N55:N56"/>
    <mergeCell ref="O55:O56"/>
    <mergeCell ref="P55:P56"/>
    <mergeCell ref="Q55:Q56"/>
    <mergeCell ref="R55:R56"/>
    <mergeCell ref="S55:S56"/>
    <mergeCell ref="H55:H56"/>
    <mergeCell ref="I55:I56"/>
    <mergeCell ref="J55:J56"/>
    <mergeCell ref="K55:K56"/>
    <mergeCell ref="L55:L56"/>
    <mergeCell ref="M55:M56"/>
    <mergeCell ref="T55:U55"/>
    <mergeCell ref="V55:W55"/>
    <mergeCell ref="C55:C56"/>
    <mergeCell ref="D55:D56"/>
    <mergeCell ref="E55:E56"/>
    <mergeCell ref="F55:F56"/>
    <mergeCell ref="G55:G56"/>
    <mergeCell ref="Y17:Y18"/>
    <mergeCell ref="B53:Y53"/>
    <mergeCell ref="B54:B55"/>
    <mergeCell ref="C54:F54"/>
    <mergeCell ref="G54:J54"/>
    <mergeCell ref="K54:N54"/>
    <mergeCell ref="O54:R54"/>
    <mergeCell ref="S54:W54"/>
    <mergeCell ref="X54:Y54"/>
    <mergeCell ref="O17:O18"/>
    <mergeCell ref="P17:P18"/>
    <mergeCell ref="Q17:Q18"/>
    <mergeCell ref="R17:R18"/>
    <mergeCell ref="S17:S18"/>
    <mergeCell ref="X17:X18"/>
    <mergeCell ref="I17:I18"/>
    <mergeCell ref="J17:J18"/>
    <mergeCell ref="K17:K18"/>
    <mergeCell ref="L17:L18"/>
    <mergeCell ref="M17:M18"/>
    <mergeCell ref="N17:N18"/>
    <mergeCell ref="V17:W17"/>
    <mergeCell ref="C17:C18"/>
    <mergeCell ref="D17:D18"/>
    <mergeCell ref="E17:E18"/>
    <mergeCell ref="F17:F18"/>
    <mergeCell ref="G17:G18"/>
    <mergeCell ref="H17:H18"/>
    <mergeCell ref="B15:Y15"/>
    <mergeCell ref="B16:B17"/>
    <mergeCell ref="C16:F16"/>
    <mergeCell ref="G16:J16"/>
    <mergeCell ref="K16:N16"/>
    <mergeCell ref="O16:R16"/>
    <mergeCell ref="S16:W16"/>
    <mergeCell ref="X16:Y16"/>
    <mergeCell ref="T17:U17"/>
    <mergeCell ref="Q4:Q5"/>
    <mergeCell ref="R4:R5"/>
    <mergeCell ref="S4:S5"/>
    <mergeCell ref="X4:X5"/>
    <mergeCell ref="Y4:Y5"/>
    <mergeCell ref="K4:K5"/>
    <mergeCell ref="L4:L5"/>
    <mergeCell ref="M4:M5"/>
    <mergeCell ref="N4:N5"/>
    <mergeCell ref="O4:O5"/>
    <mergeCell ref="P4:P5"/>
    <mergeCell ref="E4:E5"/>
    <mergeCell ref="F4:F5"/>
    <mergeCell ref="G4:G5"/>
    <mergeCell ref="H4:H5"/>
    <mergeCell ref="I4:I5"/>
    <mergeCell ref="J4:J5"/>
    <mergeCell ref="O3:R3"/>
    <mergeCell ref="S3:W3"/>
    <mergeCell ref="X3:Y3"/>
    <mergeCell ref="T4:U4"/>
    <mergeCell ref="V4:W4"/>
    <mergeCell ref="C4:C5"/>
    <mergeCell ref="D4:D5"/>
    <mergeCell ref="B2:Y2"/>
    <mergeCell ref="B3:B4"/>
    <mergeCell ref="C3:F3"/>
    <mergeCell ref="G3:J3"/>
    <mergeCell ref="K3:N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128" priority="32" rank="3"/>
  </conditionalFormatting>
  <conditionalFormatting sqref="F19:F48">
    <cfRule type="top10" dxfId="127" priority="33" bottom="1" rank="3"/>
  </conditionalFormatting>
  <conditionalFormatting sqref="J19:J48">
    <cfRule type="top10" dxfId="126" priority="34" rank="3"/>
  </conditionalFormatting>
  <conditionalFormatting sqref="J19:J48">
    <cfRule type="top10" dxfId="125" priority="35" bottom="1" rank="3"/>
  </conditionalFormatting>
  <conditionalFormatting sqref="N19:N48">
    <cfRule type="top10" dxfId="124" priority="36" rank="3"/>
  </conditionalFormatting>
  <conditionalFormatting sqref="N19:N48">
    <cfRule type="top10" dxfId="123" priority="37" bottom="1" rank="3"/>
  </conditionalFormatting>
  <conditionalFormatting sqref="R19:R48">
    <cfRule type="top10" dxfId="122" priority="38" rank="3"/>
  </conditionalFormatting>
  <conditionalFormatting sqref="R19:R48">
    <cfRule type="top10" dxfId="121" priority="39" bottom="1" rank="3"/>
  </conditionalFormatting>
  <conditionalFormatting sqref="Y19:Y48">
    <cfRule type="containsText" dxfId="120" priority="40" stopIfTrue="1" operator="containsText" text="Above Average">
      <formula>NOT(ISERROR(SEARCH("Above Average",Y19)))</formula>
    </cfRule>
  </conditionalFormatting>
  <conditionalFormatting sqref="Y19:Y48">
    <cfRule type="containsText" dxfId="119" priority="41" stopIfTrue="1" operator="containsText" text="Below Average">
      <formula>NOT(ISERROR(SEARCH("Below Average",Y19)))</formula>
    </cfRule>
  </conditionalFormatting>
  <conditionalFormatting sqref="Y19:Y48">
    <cfRule type="containsText" dxfId="118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117" priority="47" rank="3"/>
  </conditionalFormatting>
  <conditionalFormatting sqref="F57:F183">
    <cfRule type="top10" dxfId="116" priority="48" bottom="1" rank="3"/>
  </conditionalFormatting>
  <conditionalFormatting sqref="J57:J183">
    <cfRule type="top10" dxfId="115" priority="49" rank="3"/>
  </conditionalFormatting>
  <conditionalFormatting sqref="J57:J183">
    <cfRule type="top10" dxfId="114" priority="50" bottom="1" rank="3"/>
  </conditionalFormatting>
  <conditionalFormatting sqref="N57:N183">
    <cfRule type="top10" dxfId="113" priority="51" rank="3"/>
  </conditionalFormatting>
  <conditionalFormatting sqref="N57:N183">
    <cfRule type="top10" dxfId="112" priority="52" bottom="1" rank="3"/>
  </conditionalFormatting>
  <conditionalFormatting sqref="R57:R183">
    <cfRule type="top10" dxfId="111" priority="53" rank="3"/>
  </conditionalFormatting>
  <conditionalFormatting sqref="R57:R183">
    <cfRule type="top10" dxfId="110" priority="54" bottom="1" rank="3"/>
  </conditionalFormatting>
  <conditionalFormatting sqref="Y57:Y183">
    <cfRule type="containsText" dxfId="109" priority="55" stopIfTrue="1" operator="containsText" text="Above Average">
      <formula>NOT(ISERROR(SEARCH("Above Average",Y57)))</formula>
    </cfRule>
    <cfRule type="containsText" dxfId="108" priority="56" stopIfTrue="1" operator="containsText" text="Below Average">
      <formula>NOT(ISERROR(SEARCH("Below Average",Y57)))</formula>
    </cfRule>
    <cfRule type="containsText" dxfId="107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106" priority="62" rank="3"/>
  </conditionalFormatting>
  <conditionalFormatting sqref="F194:F198">
    <cfRule type="top10" dxfId="105" priority="63" bottom="1" rank="3"/>
  </conditionalFormatting>
  <conditionalFormatting sqref="J194:J198">
    <cfRule type="top10" dxfId="104" priority="64" rank="3"/>
  </conditionalFormatting>
  <conditionalFormatting sqref="J194:J198">
    <cfRule type="top10" dxfId="103" priority="65" bottom="1" rank="3"/>
  </conditionalFormatting>
  <conditionalFormatting sqref="N194:N198">
    <cfRule type="top10" dxfId="102" priority="66" rank="3"/>
  </conditionalFormatting>
  <conditionalFormatting sqref="N194:N198">
    <cfRule type="top10" dxfId="101" priority="67" bottom="1" rank="3"/>
  </conditionalFormatting>
  <conditionalFormatting sqref="R194:R198">
    <cfRule type="top10" dxfId="100" priority="68" rank="3"/>
  </conditionalFormatting>
  <conditionalFormatting sqref="R194:R198">
    <cfRule type="top10" dxfId="99" priority="69" bottom="1" rank="3"/>
  </conditionalFormatting>
  <conditionalFormatting sqref="Y194:Y198">
    <cfRule type="containsText" dxfId="98" priority="70" stopIfTrue="1" operator="containsText" text="Above Average">
      <formula>NOT(ISERROR(SEARCH("Above Average",Y194)))</formula>
    </cfRule>
  </conditionalFormatting>
  <conditionalFormatting sqref="Y194:Y198">
    <cfRule type="containsText" dxfId="97" priority="71" stopIfTrue="1" operator="containsText" text="Below Average">
      <formula>NOT(ISERROR(SEARCH("Below Average",Y194)))</formula>
    </cfRule>
  </conditionalFormatting>
  <conditionalFormatting sqref="Y194:Y198">
    <cfRule type="containsText" dxfId="96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95" priority="77" rank="3"/>
  </conditionalFormatting>
  <conditionalFormatting sqref="F209:F213">
    <cfRule type="top10" dxfId="94" priority="78" bottom="1" rank="3"/>
  </conditionalFormatting>
  <conditionalFormatting sqref="J209:J213">
    <cfRule type="top10" dxfId="93" priority="79" rank="3"/>
  </conditionalFormatting>
  <conditionalFormatting sqref="J209:J213">
    <cfRule type="top10" dxfId="92" priority="80" bottom="1" rank="3"/>
  </conditionalFormatting>
  <conditionalFormatting sqref="N209:N213">
    <cfRule type="top10" dxfId="91" priority="81" rank="3"/>
  </conditionalFormatting>
  <conditionalFormatting sqref="N209:N213">
    <cfRule type="top10" dxfId="90" priority="82" bottom="1" rank="3"/>
  </conditionalFormatting>
  <conditionalFormatting sqref="R209:R213">
    <cfRule type="top10" dxfId="89" priority="83" rank="3"/>
  </conditionalFormatting>
  <conditionalFormatting sqref="R209:R213">
    <cfRule type="top10" dxfId="88" priority="84" bottom="1" rank="3"/>
  </conditionalFormatting>
  <conditionalFormatting sqref="Y209:Y213">
    <cfRule type="containsText" dxfId="87" priority="85" stopIfTrue="1" operator="containsText" text="Above Average">
      <formula>NOT(ISERROR(SEARCH("Above Average",Y209)))</formula>
    </cfRule>
  </conditionalFormatting>
  <conditionalFormatting sqref="Y209:Y213">
    <cfRule type="containsText" dxfId="86" priority="86" stopIfTrue="1" operator="containsText" text="Below Average">
      <formula>NOT(ISERROR(SEARCH("Below Average",Y209)))</formula>
    </cfRule>
  </conditionalFormatting>
  <conditionalFormatting sqref="Y209:Y213">
    <cfRule type="containsText" dxfId="85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84" priority="92" rank="3"/>
  </conditionalFormatting>
  <conditionalFormatting sqref="F224:F228">
    <cfRule type="top10" dxfId="83" priority="93" bottom="1" rank="3"/>
  </conditionalFormatting>
  <conditionalFormatting sqref="J224:J228">
    <cfRule type="top10" dxfId="82" priority="94" rank="3"/>
  </conditionalFormatting>
  <conditionalFormatting sqref="J224:J228">
    <cfRule type="top10" dxfId="81" priority="95" bottom="1" rank="3"/>
  </conditionalFormatting>
  <conditionalFormatting sqref="N224:N228">
    <cfRule type="top10" dxfId="80" priority="96" rank="3"/>
  </conditionalFormatting>
  <conditionalFormatting sqref="N224:N228">
    <cfRule type="top10" dxfId="79" priority="97" bottom="1" rank="3"/>
  </conditionalFormatting>
  <conditionalFormatting sqref="R224:R228">
    <cfRule type="top10" dxfId="78" priority="98" rank="3"/>
  </conditionalFormatting>
  <conditionalFormatting sqref="R224:R228">
    <cfRule type="top10" dxfId="77" priority="99" bottom="1" rank="3"/>
  </conditionalFormatting>
  <conditionalFormatting sqref="Y224:Y228">
    <cfRule type="containsText" dxfId="76" priority="100" stopIfTrue="1" operator="containsText" text="Above Average">
      <formula>NOT(ISERROR(SEARCH("Above Average",Y224)))</formula>
    </cfRule>
  </conditionalFormatting>
  <conditionalFormatting sqref="Y224:Y228">
    <cfRule type="containsText" dxfId="75" priority="101" stopIfTrue="1" operator="containsText" text="Below Average">
      <formula>NOT(ISERROR(SEARCH("Below Average",Y224)))</formula>
    </cfRule>
  </conditionalFormatting>
  <conditionalFormatting sqref="Y224:Y228">
    <cfRule type="containsText" dxfId="74" priority="102" stopIfTrue="1" operator="containsText" text="N/A">
      <formula>NOT(ISERROR(SEARCH("N/A",Y224)))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DB18C-F129-475A-BD7D-03FE078EC888}">
  <sheetPr codeName="Sheet3"/>
  <dimension ref="A1:E1603"/>
  <sheetViews>
    <sheetView workbookViewId="0">
      <selection activeCell="B1" sqref="B1:E242"/>
    </sheetView>
  </sheetViews>
  <sheetFormatPr defaultRowHeight="14.4" x14ac:dyDescent="0.3"/>
  <cols>
    <col min="1" max="1" width="26.88671875" bestFit="1" customWidth="1"/>
    <col min="2" max="2" width="21.6640625" bestFit="1" customWidth="1"/>
    <col min="3" max="5" width="10.77734375" customWidth="1"/>
  </cols>
  <sheetData>
    <row r="1" spans="1:5" ht="18" x14ac:dyDescent="0.35">
      <c r="A1" s="1" t="s">
        <v>167</v>
      </c>
    </row>
    <row r="2" spans="1:5" x14ac:dyDescent="0.3">
      <c r="B2" s="2" t="s">
        <v>152</v>
      </c>
      <c r="C2" s="2"/>
      <c r="D2" s="2"/>
      <c r="E2" s="2"/>
    </row>
    <row r="3" spans="1:5" x14ac:dyDescent="0.3">
      <c r="B3" s="4" t="s">
        <v>144</v>
      </c>
      <c r="C3" s="2" t="s">
        <v>153</v>
      </c>
      <c r="D3" s="2"/>
      <c r="E3" s="2"/>
    </row>
    <row r="4" spans="1:5" x14ac:dyDescent="0.3">
      <c r="B4" s="4"/>
      <c r="C4" s="6" t="s">
        <v>146</v>
      </c>
      <c r="D4" s="7" t="s">
        <v>158</v>
      </c>
      <c r="E4" s="8" t="s">
        <v>141</v>
      </c>
    </row>
    <row r="5" spans="1:5" x14ac:dyDescent="0.3">
      <c r="C5" s="6"/>
      <c r="D5" s="7"/>
      <c r="E5" s="8"/>
    </row>
    <row r="6" spans="1:5" x14ac:dyDescent="0.3">
      <c r="B6" s="14" t="s">
        <v>7</v>
      </c>
      <c r="C6" s="15">
        <v>265</v>
      </c>
      <c r="D6" s="16">
        <v>265</v>
      </c>
      <c r="E6" s="17">
        <v>1</v>
      </c>
    </row>
    <row r="7" spans="1:5" x14ac:dyDescent="0.3">
      <c r="B7" s="14" t="s">
        <v>2</v>
      </c>
      <c r="C7" s="15" t="s">
        <v>142</v>
      </c>
      <c r="D7" s="16" t="s">
        <v>142</v>
      </c>
      <c r="E7" s="17" t="s">
        <v>142</v>
      </c>
    </row>
    <row r="8" spans="1:5" x14ac:dyDescent="0.3">
      <c r="B8" s="14" t="s">
        <v>21</v>
      </c>
      <c r="C8" s="15">
        <v>121</v>
      </c>
      <c r="D8" s="16">
        <v>121</v>
      </c>
      <c r="E8" s="17">
        <v>1</v>
      </c>
    </row>
    <row r="9" spans="1:5" x14ac:dyDescent="0.3">
      <c r="B9" s="14" t="s">
        <v>1</v>
      </c>
      <c r="C9" s="15" t="s">
        <v>142</v>
      </c>
      <c r="D9" s="16" t="s">
        <v>142</v>
      </c>
      <c r="E9" s="17" t="s">
        <v>142</v>
      </c>
    </row>
    <row r="10" spans="1:5" x14ac:dyDescent="0.3">
      <c r="B10" s="14" t="s">
        <v>0</v>
      </c>
      <c r="C10" s="15">
        <v>3</v>
      </c>
      <c r="D10" s="16">
        <v>3</v>
      </c>
      <c r="E10" s="17">
        <v>1</v>
      </c>
    </row>
    <row r="11" spans="1:5" x14ac:dyDescent="0.3">
      <c r="B11" s="12" t="s">
        <v>138</v>
      </c>
      <c r="C11" s="13">
        <v>389</v>
      </c>
      <c r="D11" s="13">
        <v>389</v>
      </c>
      <c r="E11" s="18">
        <v>1</v>
      </c>
    </row>
    <row r="15" spans="1:5" x14ac:dyDescent="0.3">
      <c r="B15" s="2" t="s">
        <v>162</v>
      </c>
      <c r="C15" s="2"/>
      <c r="D15" s="2"/>
      <c r="E15" s="2"/>
    </row>
    <row r="16" spans="1:5" x14ac:dyDescent="0.3">
      <c r="B16" s="4" t="s">
        <v>143</v>
      </c>
      <c r="C16" s="2" t="s">
        <v>153</v>
      </c>
      <c r="D16" s="2"/>
      <c r="E16" s="2"/>
    </row>
    <row r="17" spans="2:5" x14ac:dyDescent="0.3">
      <c r="B17" s="4"/>
      <c r="C17" s="6" t="s">
        <v>146</v>
      </c>
      <c r="D17" s="7" t="s">
        <v>158</v>
      </c>
      <c r="E17" s="8" t="s">
        <v>141</v>
      </c>
    </row>
    <row r="18" spans="2:5" x14ac:dyDescent="0.3">
      <c r="C18" s="6"/>
      <c r="D18" s="7"/>
      <c r="E18" s="8"/>
    </row>
    <row r="19" spans="2:5" x14ac:dyDescent="0.3">
      <c r="B19" s="14" t="s">
        <v>16</v>
      </c>
      <c r="C19" s="15">
        <v>3</v>
      </c>
      <c r="D19" s="16">
        <v>3</v>
      </c>
      <c r="E19" s="17">
        <v>1</v>
      </c>
    </row>
    <row r="20" spans="2:5" x14ac:dyDescent="0.3">
      <c r="B20" s="14" t="s">
        <v>13</v>
      </c>
      <c r="C20" s="15" t="s">
        <v>142</v>
      </c>
      <c r="D20" s="16" t="s">
        <v>142</v>
      </c>
      <c r="E20" s="17" t="s">
        <v>142</v>
      </c>
    </row>
    <row r="21" spans="2:5" x14ac:dyDescent="0.3">
      <c r="B21" s="14" t="s">
        <v>7</v>
      </c>
      <c r="C21" s="15" t="s">
        <v>142</v>
      </c>
      <c r="D21" s="16" t="s">
        <v>142</v>
      </c>
      <c r="E21" s="17" t="s">
        <v>142</v>
      </c>
    </row>
    <row r="22" spans="2:5" x14ac:dyDescent="0.3">
      <c r="B22" s="14" t="s">
        <v>17</v>
      </c>
      <c r="C22" s="15" t="s">
        <v>142</v>
      </c>
      <c r="D22" s="16" t="s">
        <v>142</v>
      </c>
      <c r="E22" s="17" t="s">
        <v>142</v>
      </c>
    </row>
    <row r="23" spans="2:5" x14ac:dyDescent="0.3">
      <c r="B23" s="14" t="s">
        <v>10</v>
      </c>
      <c r="C23" s="15" t="s">
        <v>142</v>
      </c>
      <c r="D23" s="16" t="s">
        <v>142</v>
      </c>
      <c r="E23" s="17" t="s">
        <v>142</v>
      </c>
    </row>
    <row r="24" spans="2:5" x14ac:dyDescent="0.3">
      <c r="B24" s="14" t="s">
        <v>137</v>
      </c>
      <c r="C24" s="15" t="s">
        <v>142</v>
      </c>
      <c r="D24" s="16" t="s">
        <v>142</v>
      </c>
      <c r="E24" s="17" t="s">
        <v>142</v>
      </c>
    </row>
    <row r="25" spans="2:5" x14ac:dyDescent="0.3">
      <c r="B25" s="14" t="s">
        <v>30</v>
      </c>
      <c r="C25" s="15">
        <v>1</v>
      </c>
      <c r="D25" s="16">
        <v>1</v>
      </c>
      <c r="E25" s="17">
        <v>1</v>
      </c>
    </row>
    <row r="26" spans="2:5" x14ac:dyDescent="0.3">
      <c r="B26" s="14" t="s">
        <v>12</v>
      </c>
      <c r="C26" s="15" t="s">
        <v>142</v>
      </c>
      <c r="D26" s="16" t="s">
        <v>142</v>
      </c>
      <c r="E26" s="17" t="s">
        <v>142</v>
      </c>
    </row>
    <row r="27" spans="2:5" x14ac:dyDescent="0.3">
      <c r="B27" s="14" t="s">
        <v>9</v>
      </c>
      <c r="C27" s="15" t="s">
        <v>142</v>
      </c>
      <c r="D27" s="16" t="s">
        <v>142</v>
      </c>
      <c r="E27" s="17" t="s">
        <v>142</v>
      </c>
    </row>
    <row r="28" spans="2:5" x14ac:dyDescent="0.3">
      <c r="B28" s="14" t="s">
        <v>23</v>
      </c>
      <c r="C28" s="15">
        <v>4</v>
      </c>
      <c r="D28" s="16">
        <v>4</v>
      </c>
      <c r="E28" s="17">
        <v>1</v>
      </c>
    </row>
    <row r="29" spans="2:5" x14ac:dyDescent="0.3">
      <c r="B29" s="14" t="s">
        <v>4</v>
      </c>
      <c r="C29" s="15" t="s">
        <v>142</v>
      </c>
      <c r="D29" s="16" t="s">
        <v>142</v>
      </c>
      <c r="E29" s="17" t="s">
        <v>142</v>
      </c>
    </row>
    <row r="30" spans="2:5" x14ac:dyDescent="0.3">
      <c r="B30" s="14" t="s">
        <v>25</v>
      </c>
      <c r="C30" s="15" t="s">
        <v>142</v>
      </c>
      <c r="D30" s="16" t="s">
        <v>142</v>
      </c>
      <c r="E30" s="17" t="s">
        <v>142</v>
      </c>
    </row>
    <row r="31" spans="2:5" x14ac:dyDescent="0.3">
      <c r="B31" s="14" t="s">
        <v>22</v>
      </c>
      <c r="C31" s="15" t="s">
        <v>142</v>
      </c>
      <c r="D31" s="16" t="s">
        <v>142</v>
      </c>
      <c r="E31" s="17" t="s">
        <v>142</v>
      </c>
    </row>
    <row r="32" spans="2:5" x14ac:dyDescent="0.3">
      <c r="B32" s="14" t="s">
        <v>5</v>
      </c>
      <c r="C32" s="15" t="s">
        <v>142</v>
      </c>
      <c r="D32" s="16" t="s">
        <v>142</v>
      </c>
      <c r="E32" s="17" t="s">
        <v>142</v>
      </c>
    </row>
    <row r="33" spans="2:5" x14ac:dyDescent="0.3">
      <c r="B33" s="14" t="s">
        <v>26</v>
      </c>
      <c r="C33" s="15" t="s">
        <v>142</v>
      </c>
      <c r="D33" s="16" t="s">
        <v>142</v>
      </c>
      <c r="E33" s="17" t="s">
        <v>142</v>
      </c>
    </row>
    <row r="34" spans="2:5" x14ac:dyDescent="0.3">
      <c r="B34" s="14" t="s">
        <v>11</v>
      </c>
      <c r="C34" s="15">
        <v>265</v>
      </c>
      <c r="D34" s="16">
        <v>265</v>
      </c>
      <c r="E34" s="17">
        <v>1</v>
      </c>
    </row>
    <row r="35" spans="2:5" x14ac:dyDescent="0.3">
      <c r="B35" s="14" t="s">
        <v>27</v>
      </c>
      <c r="C35" s="15" t="s">
        <v>142</v>
      </c>
      <c r="D35" s="16" t="s">
        <v>142</v>
      </c>
      <c r="E35" s="17" t="s">
        <v>142</v>
      </c>
    </row>
    <row r="36" spans="2:5" x14ac:dyDescent="0.3">
      <c r="B36" s="14" t="s">
        <v>14</v>
      </c>
      <c r="C36" s="15" t="s">
        <v>142</v>
      </c>
      <c r="D36" s="16" t="s">
        <v>142</v>
      </c>
      <c r="E36" s="17" t="s">
        <v>142</v>
      </c>
    </row>
    <row r="37" spans="2:5" x14ac:dyDescent="0.3">
      <c r="B37" s="14" t="s">
        <v>3</v>
      </c>
      <c r="C37" s="15" t="s">
        <v>142</v>
      </c>
      <c r="D37" s="16" t="s">
        <v>142</v>
      </c>
      <c r="E37" s="17" t="s">
        <v>142</v>
      </c>
    </row>
    <row r="38" spans="2:5" x14ac:dyDescent="0.3">
      <c r="B38" s="14" t="s">
        <v>20</v>
      </c>
      <c r="C38" s="15" t="s">
        <v>142</v>
      </c>
      <c r="D38" s="16" t="s">
        <v>142</v>
      </c>
      <c r="E38" s="17" t="s">
        <v>142</v>
      </c>
    </row>
    <row r="39" spans="2:5" x14ac:dyDescent="0.3">
      <c r="B39" s="14" t="s">
        <v>21</v>
      </c>
      <c r="C39" s="15" t="s">
        <v>142</v>
      </c>
      <c r="D39" s="16" t="s">
        <v>142</v>
      </c>
      <c r="E39" s="17" t="s">
        <v>142</v>
      </c>
    </row>
    <row r="40" spans="2:5" x14ac:dyDescent="0.3">
      <c r="B40" s="14" t="s">
        <v>1</v>
      </c>
      <c r="C40" s="15" t="s">
        <v>142</v>
      </c>
      <c r="D40" s="16" t="s">
        <v>142</v>
      </c>
      <c r="E40" s="17" t="s">
        <v>142</v>
      </c>
    </row>
    <row r="41" spans="2:5" x14ac:dyDescent="0.3">
      <c r="B41" s="14" t="s">
        <v>19</v>
      </c>
      <c r="C41" s="15">
        <v>113</v>
      </c>
      <c r="D41" s="16">
        <v>113</v>
      </c>
      <c r="E41" s="17">
        <v>1</v>
      </c>
    </row>
    <row r="42" spans="2:5" x14ac:dyDescent="0.3">
      <c r="B42" s="14" t="s">
        <v>18</v>
      </c>
      <c r="C42" s="15" t="s">
        <v>142</v>
      </c>
      <c r="D42" s="16" t="s">
        <v>142</v>
      </c>
      <c r="E42" s="17" t="s">
        <v>142</v>
      </c>
    </row>
    <row r="43" spans="2:5" x14ac:dyDescent="0.3">
      <c r="B43" s="14" t="s">
        <v>8</v>
      </c>
      <c r="C43" s="15" t="s">
        <v>142</v>
      </c>
      <c r="D43" s="16" t="s">
        <v>142</v>
      </c>
      <c r="E43" s="17" t="s">
        <v>142</v>
      </c>
    </row>
    <row r="44" spans="2:5" x14ac:dyDescent="0.3">
      <c r="B44" s="14" t="s">
        <v>24</v>
      </c>
      <c r="C44" s="15" t="s">
        <v>142</v>
      </c>
      <c r="D44" s="16" t="s">
        <v>142</v>
      </c>
      <c r="E44" s="17" t="s">
        <v>142</v>
      </c>
    </row>
    <row r="45" spans="2:5" x14ac:dyDescent="0.3">
      <c r="B45" s="14" t="s">
        <v>6</v>
      </c>
      <c r="C45" s="15" t="s">
        <v>142</v>
      </c>
      <c r="D45" s="16" t="s">
        <v>142</v>
      </c>
      <c r="E45" s="17" t="s">
        <v>142</v>
      </c>
    </row>
    <row r="46" spans="2:5" x14ac:dyDescent="0.3">
      <c r="B46" s="14" t="s">
        <v>29</v>
      </c>
      <c r="C46" s="15" t="s">
        <v>142</v>
      </c>
      <c r="D46" s="16" t="s">
        <v>142</v>
      </c>
      <c r="E46" s="17" t="s">
        <v>142</v>
      </c>
    </row>
    <row r="47" spans="2:5" x14ac:dyDescent="0.3">
      <c r="B47" s="14" t="s">
        <v>28</v>
      </c>
      <c r="C47" s="15">
        <v>3</v>
      </c>
      <c r="D47" s="16">
        <v>3</v>
      </c>
      <c r="E47" s="17">
        <v>1</v>
      </c>
    </row>
    <row r="48" spans="2:5" x14ac:dyDescent="0.3">
      <c r="B48" s="14" t="s">
        <v>15</v>
      </c>
      <c r="C48" s="15" t="s">
        <v>142</v>
      </c>
      <c r="D48" s="16" t="s">
        <v>142</v>
      </c>
      <c r="E48" s="17" t="s">
        <v>142</v>
      </c>
    </row>
    <row r="49" spans="2:5" x14ac:dyDescent="0.3">
      <c r="B49" s="12" t="s">
        <v>138</v>
      </c>
      <c r="C49" s="13">
        <v>389</v>
      </c>
      <c r="D49" s="13">
        <v>389</v>
      </c>
      <c r="E49" s="18">
        <v>1</v>
      </c>
    </row>
    <row r="53" spans="2:5" x14ac:dyDescent="0.3">
      <c r="B53" s="2" t="s">
        <v>163</v>
      </c>
      <c r="C53" s="2"/>
      <c r="D53" s="2"/>
      <c r="E53" s="2"/>
    </row>
    <row r="54" spans="2:5" x14ac:dyDescent="0.3">
      <c r="B54" s="4" t="s">
        <v>139</v>
      </c>
      <c r="C54" s="2" t="s">
        <v>153</v>
      </c>
      <c r="D54" s="2"/>
      <c r="E54" s="2"/>
    </row>
    <row r="55" spans="2:5" x14ac:dyDescent="0.3">
      <c r="B55" s="4"/>
      <c r="C55" s="6" t="s">
        <v>146</v>
      </c>
      <c r="D55" s="7" t="s">
        <v>158</v>
      </c>
      <c r="E55" s="8" t="s">
        <v>141</v>
      </c>
    </row>
    <row r="56" spans="2:5" x14ac:dyDescent="0.3">
      <c r="C56" s="6"/>
      <c r="D56" s="7"/>
      <c r="E56" s="8"/>
    </row>
    <row r="57" spans="2:5" x14ac:dyDescent="0.3">
      <c r="B57" s="14" t="s">
        <v>116</v>
      </c>
      <c r="C57" s="15" t="s">
        <v>142</v>
      </c>
      <c r="D57" s="16" t="s">
        <v>142</v>
      </c>
      <c r="E57" s="17" t="s">
        <v>142</v>
      </c>
    </row>
    <row r="58" spans="2:5" x14ac:dyDescent="0.3">
      <c r="B58" s="14" t="s">
        <v>49</v>
      </c>
      <c r="C58" s="15" t="s">
        <v>142</v>
      </c>
      <c r="D58" s="16" t="s">
        <v>142</v>
      </c>
      <c r="E58" s="17" t="s">
        <v>142</v>
      </c>
    </row>
    <row r="59" spans="2:5" x14ac:dyDescent="0.3">
      <c r="B59" s="14" t="s">
        <v>51</v>
      </c>
      <c r="C59" s="15" t="s">
        <v>142</v>
      </c>
      <c r="D59" s="16" t="s">
        <v>142</v>
      </c>
      <c r="E59" s="17" t="s">
        <v>142</v>
      </c>
    </row>
    <row r="60" spans="2:5" x14ac:dyDescent="0.3">
      <c r="B60" s="14" t="s">
        <v>73</v>
      </c>
      <c r="C60" s="15" t="s">
        <v>142</v>
      </c>
      <c r="D60" s="16" t="s">
        <v>142</v>
      </c>
      <c r="E60" s="17" t="s">
        <v>142</v>
      </c>
    </row>
    <row r="61" spans="2:5" x14ac:dyDescent="0.3">
      <c r="B61" s="14" t="s">
        <v>60</v>
      </c>
      <c r="C61" s="15" t="s">
        <v>142</v>
      </c>
      <c r="D61" s="16" t="s">
        <v>142</v>
      </c>
      <c r="E61" s="17" t="s">
        <v>142</v>
      </c>
    </row>
    <row r="62" spans="2:5" x14ac:dyDescent="0.3">
      <c r="B62" s="14" t="s">
        <v>16</v>
      </c>
      <c r="C62" s="15">
        <v>3</v>
      </c>
      <c r="D62" s="16">
        <v>3</v>
      </c>
      <c r="E62" s="17">
        <v>1</v>
      </c>
    </row>
    <row r="63" spans="2:5" x14ac:dyDescent="0.3">
      <c r="B63" s="14" t="s">
        <v>68</v>
      </c>
      <c r="C63" s="15" t="s">
        <v>142</v>
      </c>
      <c r="D63" s="16" t="s">
        <v>142</v>
      </c>
      <c r="E63" s="17" t="s">
        <v>142</v>
      </c>
    </row>
    <row r="64" spans="2:5" x14ac:dyDescent="0.3">
      <c r="B64" s="14" t="s">
        <v>109</v>
      </c>
      <c r="C64" s="15" t="s">
        <v>142</v>
      </c>
      <c r="D64" s="16" t="s">
        <v>142</v>
      </c>
      <c r="E64" s="17" t="s">
        <v>142</v>
      </c>
    </row>
    <row r="65" spans="2:5" x14ac:dyDescent="0.3">
      <c r="B65" s="14" t="s">
        <v>129</v>
      </c>
      <c r="C65" s="15" t="s">
        <v>142</v>
      </c>
      <c r="D65" s="16" t="s">
        <v>142</v>
      </c>
      <c r="E65" s="17" t="s">
        <v>142</v>
      </c>
    </row>
    <row r="66" spans="2:5" x14ac:dyDescent="0.3">
      <c r="B66" s="14" t="s">
        <v>80</v>
      </c>
      <c r="C66" s="15" t="s">
        <v>142</v>
      </c>
      <c r="D66" s="16" t="s">
        <v>142</v>
      </c>
      <c r="E66" s="17" t="s">
        <v>142</v>
      </c>
    </row>
    <row r="67" spans="2:5" x14ac:dyDescent="0.3">
      <c r="B67" s="14" t="s">
        <v>108</v>
      </c>
      <c r="C67" s="15" t="s">
        <v>142</v>
      </c>
      <c r="D67" s="16" t="s">
        <v>142</v>
      </c>
      <c r="E67" s="17" t="s">
        <v>142</v>
      </c>
    </row>
    <row r="68" spans="2:5" x14ac:dyDescent="0.3">
      <c r="B68" s="14" t="s">
        <v>37</v>
      </c>
      <c r="C68" s="15" t="s">
        <v>142</v>
      </c>
      <c r="D68" s="16" t="s">
        <v>142</v>
      </c>
      <c r="E68" s="17" t="s">
        <v>142</v>
      </c>
    </row>
    <row r="69" spans="2:5" x14ac:dyDescent="0.3">
      <c r="B69" s="14" t="s">
        <v>42</v>
      </c>
      <c r="C69" s="15" t="s">
        <v>142</v>
      </c>
      <c r="D69" s="16" t="s">
        <v>142</v>
      </c>
      <c r="E69" s="17" t="s">
        <v>142</v>
      </c>
    </row>
    <row r="70" spans="2:5" x14ac:dyDescent="0.3">
      <c r="B70" s="14" t="s">
        <v>72</v>
      </c>
      <c r="C70" s="15" t="s">
        <v>142</v>
      </c>
      <c r="D70" s="16" t="s">
        <v>142</v>
      </c>
      <c r="E70" s="17" t="s">
        <v>142</v>
      </c>
    </row>
    <row r="71" spans="2:5" x14ac:dyDescent="0.3">
      <c r="B71" s="14" t="s">
        <v>12</v>
      </c>
      <c r="C71" s="15" t="s">
        <v>142</v>
      </c>
      <c r="D71" s="16" t="s">
        <v>142</v>
      </c>
      <c r="E71" s="17" t="s">
        <v>142</v>
      </c>
    </row>
    <row r="72" spans="2:5" x14ac:dyDescent="0.3">
      <c r="B72" s="14" t="s">
        <v>132</v>
      </c>
      <c r="C72" s="15" t="s">
        <v>142</v>
      </c>
      <c r="D72" s="16" t="s">
        <v>142</v>
      </c>
      <c r="E72" s="17" t="s">
        <v>142</v>
      </c>
    </row>
    <row r="73" spans="2:5" x14ac:dyDescent="0.3">
      <c r="B73" s="14" t="s">
        <v>32</v>
      </c>
      <c r="C73" s="15" t="s">
        <v>142</v>
      </c>
      <c r="D73" s="16" t="s">
        <v>142</v>
      </c>
      <c r="E73" s="17" t="s">
        <v>142</v>
      </c>
    </row>
    <row r="74" spans="2:5" x14ac:dyDescent="0.3">
      <c r="B74" s="14" t="s">
        <v>70</v>
      </c>
      <c r="C74" s="15" t="s">
        <v>142</v>
      </c>
      <c r="D74" s="16" t="s">
        <v>142</v>
      </c>
      <c r="E74" s="17" t="s">
        <v>142</v>
      </c>
    </row>
    <row r="75" spans="2:5" x14ac:dyDescent="0.3">
      <c r="B75" s="14" t="s">
        <v>13</v>
      </c>
      <c r="C75" s="15" t="s">
        <v>142</v>
      </c>
      <c r="D75" s="16" t="s">
        <v>142</v>
      </c>
      <c r="E75" s="17" t="s">
        <v>142</v>
      </c>
    </row>
    <row r="76" spans="2:5" x14ac:dyDescent="0.3">
      <c r="B76" s="14" t="s">
        <v>30</v>
      </c>
      <c r="C76" s="15" t="s">
        <v>142</v>
      </c>
      <c r="D76" s="16" t="s">
        <v>142</v>
      </c>
      <c r="E76" s="17" t="s">
        <v>142</v>
      </c>
    </row>
    <row r="77" spans="2:5" x14ac:dyDescent="0.3">
      <c r="B77" s="14" t="s">
        <v>22</v>
      </c>
      <c r="C77" s="15" t="s">
        <v>142</v>
      </c>
      <c r="D77" s="16" t="s">
        <v>142</v>
      </c>
      <c r="E77" s="17" t="s">
        <v>142</v>
      </c>
    </row>
    <row r="78" spans="2:5" x14ac:dyDescent="0.3">
      <c r="B78" s="14" t="s">
        <v>128</v>
      </c>
      <c r="C78" s="15" t="s">
        <v>142</v>
      </c>
      <c r="D78" s="16" t="s">
        <v>142</v>
      </c>
      <c r="E78" s="17" t="s">
        <v>142</v>
      </c>
    </row>
    <row r="79" spans="2:5" x14ac:dyDescent="0.3">
      <c r="B79" s="14" t="s">
        <v>75</v>
      </c>
      <c r="C79" s="15" t="s">
        <v>142</v>
      </c>
      <c r="D79" s="16" t="s">
        <v>142</v>
      </c>
      <c r="E79" s="17" t="s">
        <v>142</v>
      </c>
    </row>
    <row r="80" spans="2:5" x14ac:dyDescent="0.3">
      <c r="B80" s="14" t="s">
        <v>104</v>
      </c>
      <c r="C80" s="15" t="s">
        <v>142</v>
      </c>
      <c r="D80" s="16" t="s">
        <v>142</v>
      </c>
      <c r="E80" s="17" t="s">
        <v>142</v>
      </c>
    </row>
    <row r="81" spans="2:5" x14ac:dyDescent="0.3">
      <c r="B81" s="14" t="s">
        <v>4</v>
      </c>
      <c r="C81" s="15" t="s">
        <v>142</v>
      </c>
      <c r="D81" s="16" t="s">
        <v>142</v>
      </c>
      <c r="E81" s="17" t="s">
        <v>142</v>
      </c>
    </row>
    <row r="82" spans="2:5" x14ac:dyDescent="0.3">
      <c r="B82" s="14" t="s">
        <v>76</v>
      </c>
      <c r="C82" s="15" t="s">
        <v>142</v>
      </c>
      <c r="D82" s="16" t="s">
        <v>142</v>
      </c>
      <c r="E82" s="17" t="s">
        <v>142</v>
      </c>
    </row>
    <row r="83" spans="2:5" x14ac:dyDescent="0.3">
      <c r="B83" s="14" t="s">
        <v>48</v>
      </c>
      <c r="C83" s="15" t="s">
        <v>142</v>
      </c>
      <c r="D83" s="16" t="s">
        <v>142</v>
      </c>
      <c r="E83" s="17" t="s">
        <v>142</v>
      </c>
    </row>
    <row r="84" spans="2:5" x14ac:dyDescent="0.3">
      <c r="B84" s="14" t="s">
        <v>107</v>
      </c>
      <c r="C84" s="15" t="s">
        <v>142</v>
      </c>
      <c r="D84" s="16" t="s">
        <v>142</v>
      </c>
      <c r="E84" s="17" t="s">
        <v>142</v>
      </c>
    </row>
    <row r="85" spans="2:5" x14ac:dyDescent="0.3">
      <c r="B85" s="14" t="s">
        <v>46</v>
      </c>
      <c r="C85" s="15" t="s">
        <v>142</v>
      </c>
      <c r="D85" s="16" t="s">
        <v>142</v>
      </c>
      <c r="E85" s="17" t="s">
        <v>142</v>
      </c>
    </row>
    <row r="86" spans="2:5" x14ac:dyDescent="0.3">
      <c r="B86" s="14" t="s">
        <v>39</v>
      </c>
      <c r="C86" s="15" t="s">
        <v>142</v>
      </c>
      <c r="D86" s="16" t="s">
        <v>142</v>
      </c>
      <c r="E86" s="17" t="s">
        <v>142</v>
      </c>
    </row>
    <row r="87" spans="2:5" x14ac:dyDescent="0.3">
      <c r="B87" s="14" t="s">
        <v>62</v>
      </c>
      <c r="C87" s="15" t="s">
        <v>142</v>
      </c>
      <c r="D87" s="16" t="s">
        <v>142</v>
      </c>
      <c r="E87" s="17" t="s">
        <v>142</v>
      </c>
    </row>
    <row r="88" spans="2:5" x14ac:dyDescent="0.3">
      <c r="B88" s="14" t="s">
        <v>100</v>
      </c>
      <c r="C88" s="15" t="s">
        <v>142</v>
      </c>
      <c r="D88" s="16" t="s">
        <v>142</v>
      </c>
      <c r="E88" s="17" t="s">
        <v>142</v>
      </c>
    </row>
    <row r="89" spans="2:5" x14ac:dyDescent="0.3">
      <c r="B89" s="14" t="s">
        <v>92</v>
      </c>
      <c r="C89" s="15" t="s">
        <v>142</v>
      </c>
      <c r="D89" s="16" t="s">
        <v>142</v>
      </c>
      <c r="E89" s="17" t="s">
        <v>142</v>
      </c>
    </row>
    <row r="90" spans="2:5" x14ac:dyDescent="0.3">
      <c r="B90" s="14" t="s">
        <v>10</v>
      </c>
      <c r="C90" s="15" t="s">
        <v>142</v>
      </c>
      <c r="D90" s="16" t="s">
        <v>142</v>
      </c>
      <c r="E90" s="17" t="s">
        <v>142</v>
      </c>
    </row>
    <row r="91" spans="2:5" x14ac:dyDescent="0.3">
      <c r="B91" s="14" t="s">
        <v>31</v>
      </c>
      <c r="C91" s="15" t="s">
        <v>142</v>
      </c>
      <c r="D91" s="16" t="s">
        <v>142</v>
      </c>
      <c r="E91" s="17" t="s">
        <v>142</v>
      </c>
    </row>
    <row r="92" spans="2:5" x14ac:dyDescent="0.3">
      <c r="B92" s="14" t="s">
        <v>54</v>
      </c>
      <c r="C92" s="15" t="s">
        <v>142</v>
      </c>
      <c r="D92" s="16" t="s">
        <v>142</v>
      </c>
      <c r="E92" s="17" t="s">
        <v>142</v>
      </c>
    </row>
    <row r="93" spans="2:5" x14ac:dyDescent="0.3">
      <c r="B93" s="14" t="s">
        <v>124</v>
      </c>
      <c r="C93" s="15">
        <v>18</v>
      </c>
      <c r="D93" s="16">
        <v>18</v>
      </c>
      <c r="E93" s="17">
        <v>1</v>
      </c>
    </row>
    <row r="94" spans="2:5" x14ac:dyDescent="0.3">
      <c r="B94" s="14" t="s">
        <v>38</v>
      </c>
      <c r="C94" s="15" t="s">
        <v>142</v>
      </c>
      <c r="D94" s="16" t="s">
        <v>142</v>
      </c>
      <c r="E94" s="17" t="s">
        <v>142</v>
      </c>
    </row>
    <row r="95" spans="2:5" x14ac:dyDescent="0.3">
      <c r="B95" s="14" t="s">
        <v>131</v>
      </c>
      <c r="C95" s="15" t="s">
        <v>142</v>
      </c>
      <c r="D95" s="16" t="s">
        <v>142</v>
      </c>
      <c r="E95" s="17" t="s">
        <v>142</v>
      </c>
    </row>
    <row r="96" spans="2:5" x14ac:dyDescent="0.3">
      <c r="B96" s="14" t="s">
        <v>44</v>
      </c>
      <c r="C96" s="15" t="s">
        <v>142</v>
      </c>
      <c r="D96" s="16" t="s">
        <v>142</v>
      </c>
      <c r="E96" s="17" t="s">
        <v>142</v>
      </c>
    </row>
    <row r="97" spans="2:5" x14ac:dyDescent="0.3">
      <c r="B97" s="14" t="s">
        <v>26</v>
      </c>
      <c r="C97" s="15" t="s">
        <v>142</v>
      </c>
      <c r="D97" s="16" t="s">
        <v>142</v>
      </c>
      <c r="E97" s="17" t="s">
        <v>142</v>
      </c>
    </row>
    <row r="98" spans="2:5" x14ac:dyDescent="0.3">
      <c r="B98" s="14" t="s">
        <v>82</v>
      </c>
      <c r="C98" s="15" t="s">
        <v>142</v>
      </c>
      <c r="D98" s="16" t="s">
        <v>142</v>
      </c>
      <c r="E98" s="17" t="s">
        <v>142</v>
      </c>
    </row>
    <row r="99" spans="2:5" x14ac:dyDescent="0.3">
      <c r="B99" s="14" t="s">
        <v>89</v>
      </c>
      <c r="C99" s="15" t="s">
        <v>142</v>
      </c>
      <c r="D99" s="16" t="s">
        <v>142</v>
      </c>
      <c r="E99" s="17" t="s">
        <v>142</v>
      </c>
    </row>
    <row r="100" spans="2:5" x14ac:dyDescent="0.3">
      <c r="B100" s="14" t="s">
        <v>111</v>
      </c>
      <c r="C100" s="15" t="s">
        <v>142</v>
      </c>
      <c r="D100" s="16" t="s">
        <v>142</v>
      </c>
      <c r="E100" s="17" t="s">
        <v>142</v>
      </c>
    </row>
    <row r="101" spans="2:5" x14ac:dyDescent="0.3">
      <c r="B101" s="14" t="s">
        <v>99</v>
      </c>
      <c r="C101" s="15" t="s">
        <v>142</v>
      </c>
      <c r="D101" s="16" t="s">
        <v>142</v>
      </c>
      <c r="E101" s="17" t="s">
        <v>142</v>
      </c>
    </row>
    <row r="102" spans="2:5" x14ac:dyDescent="0.3">
      <c r="B102" s="14" t="s">
        <v>101</v>
      </c>
      <c r="C102" s="15" t="s">
        <v>142</v>
      </c>
      <c r="D102" s="16" t="s">
        <v>142</v>
      </c>
      <c r="E102" s="17" t="s">
        <v>142</v>
      </c>
    </row>
    <row r="103" spans="2:5" x14ac:dyDescent="0.3">
      <c r="B103" s="14" t="s">
        <v>86</v>
      </c>
      <c r="C103" s="15">
        <v>113</v>
      </c>
      <c r="D103" s="16">
        <v>113</v>
      </c>
      <c r="E103" s="17">
        <v>1</v>
      </c>
    </row>
    <row r="104" spans="2:5" x14ac:dyDescent="0.3">
      <c r="B104" s="14" t="s">
        <v>71</v>
      </c>
      <c r="C104" s="15" t="s">
        <v>142</v>
      </c>
      <c r="D104" s="16" t="s">
        <v>142</v>
      </c>
      <c r="E104" s="17" t="s">
        <v>142</v>
      </c>
    </row>
    <row r="105" spans="2:5" x14ac:dyDescent="0.3">
      <c r="B105" s="14" t="s">
        <v>23</v>
      </c>
      <c r="C105" s="15" t="s">
        <v>142</v>
      </c>
      <c r="D105" s="16" t="s">
        <v>142</v>
      </c>
      <c r="E105" s="17" t="s">
        <v>142</v>
      </c>
    </row>
    <row r="106" spans="2:5" x14ac:dyDescent="0.3">
      <c r="B106" s="14" t="s">
        <v>110</v>
      </c>
      <c r="C106" s="15" t="s">
        <v>142</v>
      </c>
      <c r="D106" s="16" t="s">
        <v>142</v>
      </c>
      <c r="E106" s="17" t="s">
        <v>142</v>
      </c>
    </row>
    <row r="107" spans="2:5" x14ac:dyDescent="0.3">
      <c r="B107" s="14" t="s">
        <v>127</v>
      </c>
      <c r="C107" s="15" t="s">
        <v>142</v>
      </c>
      <c r="D107" s="16" t="s">
        <v>142</v>
      </c>
      <c r="E107" s="17" t="s">
        <v>142</v>
      </c>
    </row>
    <row r="108" spans="2:5" x14ac:dyDescent="0.3">
      <c r="B108" s="14" t="s">
        <v>134</v>
      </c>
      <c r="C108" s="15">
        <v>1</v>
      </c>
      <c r="D108" s="16">
        <v>1</v>
      </c>
      <c r="E108" s="17">
        <v>1</v>
      </c>
    </row>
    <row r="109" spans="2:5" x14ac:dyDescent="0.3">
      <c r="B109" s="14" t="s">
        <v>35</v>
      </c>
      <c r="C109" s="15" t="s">
        <v>142</v>
      </c>
      <c r="D109" s="16" t="s">
        <v>142</v>
      </c>
      <c r="E109" s="17" t="s">
        <v>142</v>
      </c>
    </row>
    <row r="110" spans="2:5" x14ac:dyDescent="0.3">
      <c r="B110" s="14" t="s">
        <v>59</v>
      </c>
      <c r="C110" s="15">
        <v>177</v>
      </c>
      <c r="D110" s="16">
        <v>177</v>
      </c>
      <c r="E110" s="17">
        <v>1</v>
      </c>
    </row>
    <row r="111" spans="2:5" x14ac:dyDescent="0.3">
      <c r="B111" s="14" t="s">
        <v>69</v>
      </c>
      <c r="C111" s="15" t="s">
        <v>142</v>
      </c>
      <c r="D111" s="16" t="s">
        <v>142</v>
      </c>
      <c r="E111" s="17" t="s">
        <v>142</v>
      </c>
    </row>
    <row r="112" spans="2:5" x14ac:dyDescent="0.3">
      <c r="B112" s="14" t="s">
        <v>119</v>
      </c>
      <c r="C112" s="15" t="s">
        <v>142</v>
      </c>
      <c r="D112" s="16" t="s">
        <v>142</v>
      </c>
      <c r="E112" s="17" t="s">
        <v>142</v>
      </c>
    </row>
    <row r="113" spans="2:5" x14ac:dyDescent="0.3">
      <c r="B113" s="14" t="s">
        <v>84</v>
      </c>
      <c r="C113" s="15" t="s">
        <v>142</v>
      </c>
      <c r="D113" s="16" t="s">
        <v>142</v>
      </c>
      <c r="E113" s="17" t="s">
        <v>142</v>
      </c>
    </row>
    <row r="114" spans="2:5" x14ac:dyDescent="0.3">
      <c r="B114" s="14" t="s">
        <v>52</v>
      </c>
      <c r="C114" s="15" t="s">
        <v>142</v>
      </c>
      <c r="D114" s="16" t="s">
        <v>142</v>
      </c>
      <c r="E114" s="17" t="s">
        <v>142</v>
      </c>
    </row>
    <row r="115" spans="2:5" x14ac:dyDescent="0.3">
      <c r="B115" s="14" t="s">
        <v>87</v>
      </c>
      <c r="C115" s="15" t="s">
        <v>142</v>
      </c>
      <c r="D115" s="16" t="s">
        <v>142</v>
      </c>
      <c r="E115" s="17" t="s">
        <v>142</v>
      </c>
    </row>
    <row r="116" spans="2:5" x14ac:dyDescent="0.3">
      <c r="B116" s="14" t="s">
        <v>122</v>
      </c>
      <c r="C116" s="15" t="s">
        <v>142</v>
      </c>
      <c r="D116" s="16" t="s">
        <v>142</v>
      </c>
      <c r="E116" s="17" t="s">
        <v>142</v>
      </c>
    </row>
    <row r="117" spans="2:5" x14ac:dyDescent="0.3">
      <c r="B117" s="14" t="s">
        <v>9</v>
      </c>
      <c r="C117" s="15" t="s">
        <v>142</v>
      </c>
      <c r="D117" s="16" t="s">
        <v>142</v>
      </c>
      <c r="E117" s="17" t="s">
        <v>142</v>
      </c>
    </row>
    <row r="118" spans="2:5" x14ac:dyDescent="0.3">
      <c r="B118" s="14" t="s">
        <v>114</v>
      </c>
      <c r="C118" s="15" t="s">
        <v>142</v>
      </c>
      <c r="D118" s="16" t="s">
        <v>142</v>
      </c>
      <c r="E118" s="17" t="s">
        <v>142</v>
      </c>
    </row>
    <row r="119" spans="2:5" x14ac:dyDescent="0.3">
      <c r="B119" s="14" t="s">
        <v>130</v>
      </c>
      <c r="C119" s="15" t="s">
        <v>142</v>
      </c>
      <c r="D119" s="16" t="s">
        <v>142</v>
      </c>
      <c r="E119" s="17" t="s">
        <v>142</v>
      </c>
    </row>
    <row r="120" spans="2:5" x14ac:dyDescent="0.3">
      <c r="B120" s="14" t="s">
        <v>19</v>
      </c>
      <c r="C120" s="15" t="s">
        <v>142</v>
      </c>
      <c r="D120" s="16" t="s">
        <v>142</v>
      </c>
      <c r="E120" s="17" t="s">
        <v>142</v>
      </c>
    </row>
    <row r="121" spans="2:5" x14ac:dyDescent="0.3">
      <c r="B121" s="14" t="s">
        <v>41</v>
      </c>
      <c r="C121" s="15" t="s">
        <v>142</v>
      </c>
      <c r="D121" s="16" t="s">
        <v>142</v>
      </c>
      <c r="E121" s="17" t="s">
        <v>142</v>
      </c>
    </row>
    <row r="122" spans="2:5" x14ac:dyDescent="0.3">
      <c r="B122" s="14" t="s">
        <v>24</v>
      </c>
      <c r="C122" s="15" t="s">
        <v>142</v>
      </c>
      <c r="D122" s="16" t="s">
        <v>142</v>
      </c>
      <c r="E122" s="17" t="s">
        <v>142</v>
      </c>
    </row>
    <row r="123" spans="2:5" x14ac:dyDescent="0.3">
      <c r="B123" s="14" t="s">
        <v>135</v>
      </c>
      <c r="C123" s="15" t="s">
        <v>142</v>
      </c>
      <c r="D123" s="16" t="s">
        <v>142</v>
      </c>
      <c r="E123" s="17" t="s">
        <v>142</v>
      </c>
    </row>
    <row r="124" spans="2:5" x14ac:dyDescent="0.3">
      <c r="B124" s="14" t="s">
        <v>5</v>
      </c>
      <c r="C124" s="15" t="s">
        <v>142</v>
      </c>
      <c r="D124" s="16" t="s">
        <v>142</v>
      </c>
      <c r="E124" s="17" t="s">
        <v>142</v>
      </c>
    </row>
    <row r="125" spans="2:5" x14ac:dyDescent="0.3">
      <c r="B125" s="14" t="s">
        <v>113</v>
      </c>
      <c r="C125" s="15" t="s">
        <v>142</v>
      </c>
      <c r="D125" s="16" t="s">
        <v>142</v>
      </c>
      <c r="E125" s="17" t="s">
        <v>142</v>
      </c>
    </row>
    <row r="126" spans="2:5" x14ac:dyDescent="0.3">
      <c r="B126" s="14" t="s">
        <v>20</v>
      </c>
      <c r="C126" s="15" t="s">
        <v>142</v>
      </c>
      <c r="D126" s="16" t="s">
        <v>142</v>
      </c>
      <c r="E126" s="17" t="s">
        <v>142</v>
      </c>
    </row>
    <row r="127" spans="2:5" x14ac:dyDescent="0.3">
      <c r="B127" s="14" t="s">
        <v>63</v>
      </c>
      <c r="C127" s="15" t="s">
        <v>142</v>
      </c>
      <c r="D127" s="16" t="s">
        <v>142</v>
      </c>
      <c r="E127" s="17" t="s">
        <v>142</v>
      </c>
    </row>
    <row r="128" spans="2:5" x14ac:dyDescent="0.3">
      <c r="B128" s="14" t="s">
        <v>102</v>
      </c>
      <c r="C128" s="15">
        <v>4</v>
      </c>
      <c r="D128" s="16">
        <v>4</v>
      </c>
      <c r="E128" s="17">
        <v>1</v>
      </c>
    </row>
    <row r="129" spans="2:5" x14ac:dyDescent="0.3">
      <c r="B129" s="14" t="s">
        <v>67</v>
      </c>
      <c r="C129" s="15" t="s">
        <v>142</v>
      </c>
      <c r="D129" s="16" t="s">
        <v>142</v>
      </c>
      <c r="E129" s="17" t="s">
        <v>142</v>
      </c>
    </row>
    <row r="130" spans="2:5" x14ac:dyDescent="0.3">
      <c r="B130" s="14" t="s">
        <v>91</v>
      </c>
      <c r="C130" s="15" t="s">
        <v>142</v>
      </c>
      <c r="D130" s="16" t="s">
        <v>142</v>
      </c>
      <c r="E130" s="17" t="s">
        <v>142</v>
      </c>
    </row>
    <row r="131" spans="2:5" x14ac:dyDescent="0.3">
      <c r="B131" s="14" t="s">
        <v>14</v>
      </c>
      <c r="C131" s="15" t="s">
        <v>142</v>
      </c>
      <c r="D131" s="16" t="s">
        <v>142</v>
      </c>
      <c r="E131" s="17" t="s">
        <v>142</v>
      </c>
    </row>
    <row r="132" spans="2:5" x14ac:dyDescent="0.3">
      <c r="B132" s="14" t="s">
        <v>125</v>
      </c>
      <c r="C132" s="15" t="s">
        <v>142</v>
      </c>
      <c r="D132" s="16" t="s">
        <v>142</v>
      </c>
      <c r="E132" s="17" t="s">
        <v>142</v>
      </c>
    </row>
    <row r="133" spans="2:5" x14ac:dyDescent="0.3">
      <c r="B133" s="14" t="s">
        <v>53</v>
      </c>
      <c r="C133" s="15" t="s">
        <v>142</v>
      </c>
      <c r="D133" s="16" t="s">
        <v>142</v>
      </c>
      <c r="E133" s="17" t="s">
        <v>142</v>
      </c>
    </row>
    <row r="134" spans="2:5" x14ac:dyDescent="0.3">
      <c r="B134" s="14" t="s">
        <v>96</v>
      </c>
      <c r="C134" s="15" t="s">
        <v>142</v>
      </c>
      <c r="D134" s="16" t="s">
        <v>142</v>
      </c>
      <c r="E134" s="17" t="s">
        <v>142</v>
      </c>
    </row>
    <row r="135" spans="2:5" x14ac:dyDescent="0.3">
      <c r="B135" s="14" t="s">
        <v>120</v>
      </c>
      <c r="C135" s="15" t="s">
        <v>142</v>
      </c>
      <c r="D135" s="16" t="s">
        <v>142</v>
      </c>
      <c r="E135" s="17" t="s">
        <v>142</v>
      </c>
    </row>
    <row r="136" spans="2:5" x14ac:dyDescent="0.3">
      <c r="B136" s="14" t="s">
        <v>74</v>
      </c>
      <c r="C136" s="15" t="s">
        <v>142</v>
      </c>
      <c r="D136" s="16" t="s">
        <v>142</v>
      </c>
      <c r="E136" s="17" t="s">
        <v>142</v>
      </c>
    </row>
    <row r="137" spans="2:5" x14ac:dyDescent="0.3">
      <c r="B137" s="14" t="s">
        <v>21</v>
      </c>
      <c r="C137" s="15" t="s">
        <v>142</v>
      </c>
      <c r="D137" s="16" t="s">
        <v>142</v>
      </c>
      <c r="E137" s="17" t="s">
        <v>142</v>
      </c>
    </row>
    <row r="138" spans="2:5" x14ac:dyDescent="0.3">
      <c r="B138" s="14" t="s">
        <v>64</v>
      </c>
      <c r="C138" s="15" t="s">
        <v>142</v>
      </c>
      <c r="D138" s="16" t="s">
        <v>142</v>
      </c>
      <c r="E138" s="17" t="s">
        <v>142</v>
      </c>
    </row>
    <row r="139" spans="2:5" x14ac:dyDescent="0.3">
      <c r="B139" s="14" t="s">
        <v>55</v>
      </c>
      <c r="C139" s="15" t="s">
        <v>142</v>
      </c>
      <c r="D139" s="16" t="s">
        <v>142</v>
      </c>
      <c r="E139" s="17" t="s">
        <v>142</v>
      </c>
    </row>
    <row r="140" spans="2:5" x14ac:dyDescent="0.3">
      <c r="B140" s="14" t="s">
        <v>78</v>
      </c>
      <c r="C140" s="15" t="s">
        <v>142</v>
      </c>
      <c r="D140" s="16" t="s">
        <v>142</v>
      </c>
      <c r="E140" s="17" t="s">
        <v>142</v>
      </c>
    </row>
    <row r="141" spans="2:5" x14ac:dyDescent="0.3">
      <c r="B141" s="14" t="s">
        <v>58</v>
      </c>
      <c r="C141" s="15" t="s">
        <v>142</v>
      </c>
      <c r="D141" s="16" t="s">
        <v>142</v>
      </c>
      <c r="E141" s="17" t="s">
        <v>142</v>
      </c>
    </row>
    <row r="142" spans="2:5" x14ac:dyDescent="0.3">
      <c r="B142" s="14" t="s">
        <v>77</v>
      </c>
      <c r="C142" s="15" t="s">
        <v>142</v>
      </c>
      <c r="D142" s="16" t="s">
        <v>142</v>
      </c>
      <c r="E142" s="17" t="s">
        <v>142</v>
      </c>
    </row>
    <row r="143" spans="2:5" x14ac:dyDescent="0.3">
      <c r="B143" s="14" t="s">
        <v>34</v>
      </c>
      <c r="C143" s="15" t="s">
        <v>142</v>
      </c>
      <c r="D143" s="16" t="s">
        <v>142</v>
      </c>
      <c r="E143" s="17" t="s">
        <v>142</v>
      </c>
    </row>
    <row r="144" spans="2:5" x14ac:dyDescent="0.3">
      <c r="B144" s="14" t="s">
        <v>98</v>
      </c>
      <c r="C144" s="15" t="s">
        <v>142</v>
      </c>
      <c r="D144" s="16" t="s">
        <v>142</v>
      </c>
      <c r="E144" s="17" t="s">
        <v>142</v>
      </c>
    </row>
    <row r="145" spans="2:5" x14ac:dyDescent="0.3">
      <c r="B145" s="14" t="s">
        <v>33</v>
      </c>
      <c r="C145" s="15" t="s">
        <v>142</v>
      </c>
      <c r="D145" s="16" t="s">
        <v>142</v>
      </c>
      <c r="E145" s="17" t="s">
        <v>142</v>
      </c>
    </row>
    <row r="146" spans="2:5" x14ac:dyDescent="0.3">
      <c r="B146" s="14" t="s">
        <v>103</v>
      </c>
      <c r="C146" s="15" t="s">
        <v>142</v>
      </c>
      <c r="D146" s="16" t="s">
        <v>142</v>
      </c>
      <c r="E146" s="17" t="s">
        <v>142</v>
      </c>
    </row>
    <row r="147" spans="2:5" x14ac:dyDescent="0.3">
      <c r="B147" s="14" t="s">
        <v>43</v>
      </c>
      <c r="C147" s="15" t="s">
        <v>142</v>
      </c>
      <c r="D147" s="16" t="s">
        <v>142</v>
      </c>
      <c r="E147" s="17" t="s">
        <v>142</v>
      </c>
    </row>
    <row r="148" spans="2:5" x14ac:dyDescent="0.3">
      <c r="B148" s="14" t="s">
        <v>121</v>
      </c>
      <c r="C148" s="15" t="s">
        <v>142</v>
      </c>
      <c r="D148" s="16" t="s">
        <v>142</v>
      </c>
      <c r="E148" s="17" t="s">
        <v>142</v>
      </c>
    </row>
    <row r="149" spans="2:5" x14ac:dyDescent="0.3">
      <c r="B149" s="14" t="s">
        <v>40</v>
      </c>
      <c r="C149" s="15" t="s">
        <v>142</v>
      </c>
      <c r="D149" s="16" t="s">
        <v>142</v>
      </c>
      <c r="E149" s="17" t="s">
        <v>142</v>
      </c>
    </row>
    <row r="150" spans="2:5" x14ac:dyDescent="0.3">
      <c r="B150" s="14" t="s">
        <v>25</v>
      </c>
      <c r="C150" s="15" t="s">
        <v>142</v>
      </c>
      <c r="D150" s="16" t="s">
        <v>142</v>
      </c>
      <c r="E150" s="17" t="s">
        <v>142</v>
      </c>
    </row>
    <row r="151" spans="2:5" x14ac:dyDescent="0.3">
      <c r="B151" s="14" t="s">
        <v>47</v>
      </c>
      <c r="C151" s="15" t="s">
        <v>142</v>
      </c>
      <c r="D151" s="16" t="s">
        <v>142</v>
      </c>
      <c r="E151" s="17" t="s">
        <v>142</v>
      </c>
    </row>
    <row r="152" spans="2:5" x14ac:dyDescent="0.3">
      <c r="B152" s="14" t="s">
        <v>57</v>
      </c>
      <c r="C152" s="15" t="s">
        <v>142</v>
      </c>
      <c r="D152" s="16" t="s">
        <v>142</v>
      </c>
      <c r="E152" s="17" t="s">
        <v>142</v>
      </c>
    </row>
    <row r="153" spans="2:5" x14ac:dyDescent="0.3">
      <c r="B153" s="14" t="s">
        <v>123</v>
      </c>
      <c r="C153" s="15" t="s">
        <v>142</v>
      </c>
      <c r="D153" s="16" t="s">
        <v>142</v>
      </c>
      <c r="E153" s="17" t="s">
        <v>142</v>
      </c>
    </row>
    <row r="154" spans="2:5" x14ac:dyDescent="0.3">
      <c r="B154" s="14" t="s">
        <v>50</v>
      </c>
      <c r="C154" s="15" t="s">
        <v>142</v>
      </c>
      <c r="D154" s="16" t="s">
        <v>142</v>
      </c>
      <c r="E154" s="17" t="s">
        <v>142</v>
      </c>
    </row>
    <row r="155" spans="2:5" x14ac:dyDescent="0.3">
      <c r="B155" s="14" t="s">
        <v>95</v>
      </c>
      <c r="C155" s="15" t="s">
        <v>142</v>
      </c>
      <c r="D155" s="16" t="s">
        <v>142</v>
      </c>
      <c r="E155" s="17" t="s">
        <v>142</v>
      </c>
    </row>
    <row r="156" spans="2:5" x14ac:dyDescent="0.3">
      <c r="B156" s="14" t="s">
        <v>97</v>
      </c>
      <c r="C156" s="15" t="s">
        <v>142</v>
      </c>
      <c r="D156" s="16" t="s">
        <v>142</v>
      </c>
      <c r="E156" s="17" t="s">
        <v>142</v>
      </c>
    </row>
    <row r="157" spans="2:5" x14ac:dyDescent="0.3">
      <c r="B157" s="14" t="s">
        <v>83</v>
      </c>
      <c r="C157" s="15" t="s">
        <v>142</v>
      </c>
      <c r="D157" s="16" t="s">
        <v>142</v>
      </c>
      <c r="E157" s="17" t="s">
        <v>142</v>
      </c>
    </row>
    <row r="158" spans="2:5" x14ac:dyDescent="0.3">
      <c r="B158" s="14" t="s">
        <v>90</v>
      </c>
      <c r="C158" s="15" t="s">
        <v>142</v>
      </c>
      <c r="D158" s="16" t="s">
        <v>142</v>
      </c>
      <c r="E158" s="17" t="s">
        <v>142</v>
      </c>
    </row>
    <row r="159" spans="2:5" x14ac:dyDescent="0.3">
      <c r="B159" s="14" t="s">
        <v>45</v>
      </c>
      <c r="C159" s="15" t="s">
        <v>142</v>
      </c>
      <c r="D159" s="16" t="s">
        <v>142</v>
      </c>
      <c r="E159" s="17" t="s">
        <v>142</v>
      </c>
    </row>
    <row r="160" spans="2:5" x14ac:dyDescent="0.3">
      <c r="B160" s="14" t="s">
        <v>94</v>
      </c>
      <c r="C160" s="15" t="s">
        <v>142</v>
      </c>
      <c r="D160" s="16" t="s">
        <v>142</v>
      </c>
      <c r="E160" s="17" t="s">
        <v>142</v>
      </c>
    </row>
    <row r="161" spans="2:5" x14ac:dyDescent="0.3">
      <c r="B161" s="14" t="s">
        <v>66</v>
      </c>
      <c r="C161" s="15" t="s">
        <v>142</v>
      </c>
      <c r="D161" s="16" t="s">
        <v>142</v>
      </c>
      <c r="E161" s="17" t="s">
        <v>142</v>
      </c>
    </row>
    <row r="162" spans="2:5" x14ac:dyDescent="0.3">
      <c r="B162" s="14" t="s">
        <v>105</v>
      </c>
      <c r="C162" s="15" t="s">
        <v>142</v>
      </c>
      <c r="D162" s="16" t="s">
        <v>142</v>
      </c>
      <c r="E162" s="17" t="s">
        <v>142</v>
      </c>
    </row>
    <row r="163" spans="2:5" x14ac:dyDescent="0.3">
      <c r="B163" s="14" t="s">
        <v>133</v>
      </c>
      <c r="C163" s="15" t="s">
        <v>142</v>
      </c>
      <c r="D163" s="16" t="s">
        <v>142</v>
      </c>
      <c r="E163" s="17" t="s">
        <v>142</v>
      </c>
    </row>
    <row r="164" spans="2:5" x14ac:dyDescent="0.3">
      <c r="B164" s="14" t="s">
        <v>1</v>
      </c>
      <c r="C164" s="15" t="s">
        <v>142</v>
      </c>
      <c r="D164" s="16" t="s">
        <v>142</v>
      </c>
      <c r="E164" s="17" t="s">
        <v>142</v>
      </c>
    </row>
    <row r="165" spans="2:5" x14ac:dyDescent="0.3">
      <c r="B165" s="14" t="s">
        <v>93</v>
      </c>
      <c r="C165" s="15" t="s">
        <v>142</v>
      </c>
      <c r="D165" s="16" t="s">
        <v>142</v>
      </c>
      <c r="E165" s="17" t="s">
        <v>142</v>
      </c>
    </row>
    <row r="166" spans="2:5" x14ac:dyDescent="0.3">
      <c r="B166" s="14" t="s">
        <v>61</v>
      </c>
      <c r="C166" s="15" t="s">
        <v>142</v>
      </c>
      <c r="D166" s="16" t="s">
        <v>142</v>
      </c>
      <c r="E166" s="17" t="s">
        <v>142</v>
      </c>
    </row>
    <row r="167" spans="2:5" x14ac:dyDescent="0.3">
      <c r="B167" s="14" t="s">
        <v>112</v>
      </c>
      <c r="C167" s="15" t="s">
        <v>142</v>
      </c>
      <c r="D167" s="16" t="s">
        <v>142</v>
      </c>
      <c r="E167" s="17" t="s">
        <v>142</v>
      </c>
    </row>
    <row r="168" spans="2:5" x14ac:dyDescent="0.3">
      <c r="B168" s="14" t="s">
        <v>88</v>
      </c>
      <c r="C168" s="15" t="s">
        <v>142</v>
      </c>
      <c r="D168" s="16" t="s">
        <v>142</v>
      </c>
      <c r="E168" s="17" t="s">
        <v>142</v>
      </c>
    </row>
    <row r="169" spans="2:5" x14ac:dyDescent="0.3">
      <c r="B169" s="14" t="s">
        <v>36</v>
      </c>
      <c r="C169" s="15" t="s">
        <v>142</v>
      </c>
      <c r="D169" s="16" t="s">
        <v>142</v>
      </c>
      <c r="E169" s="17" t="s">
        <v>142</v>
      </c>
    </row>
    <row r="170" spans="2:5" x14ac:dyDescent="0.3">
      <c r="B170" s="14" t="s">
        <v>106</v>
      </c>
      <c r="C170" s="15" t="s">
        <v>142</v>
      </c>
      <c r="D170" s="16" t="s">
        <v>142</v>
      </c>
      <c r="E170" s="17" t="s">
        <v>142</v>
      </c>
    </row>
    <row r="171" spans="2:5" x14ac:dyDescent="0.3">
      <c r="B171" s="14" t="s">
        <v>8</v>
      </c>
      <c r="C171" s="15" t="s">
        <v>142</v>
      </c>
      <c r="D171" s="16" t="s">
        <v>142</v>
      </c>
      <c r="E171" s="17" t="s">
        <v>142</v>
      </c>
    </row>
    <row r="172" spans="2:5" x14ac:dyDescent="0.3">
      <c r="B172" s="14" t="s">
        <v>65</v>
      </c>
      <c r="C172" s="15" t="s">
        <v>142</v>
      </c>
      <c r="D172" s="16" t="s">
        <v>142</v>
      </c>
      <c r="E172" s="17" t="s">
        <v>142</v>
      </c>
    </row>
    <row r="173" spans="2:5" x14ac:dyDescent="0.3">
      <c r="B173" s="14" t="s">
        <v>126</v>
      </c>
      <c r="C173" s="15" t="s">
        <v>142</v>
      </c>
      <c r="D173" s="16" t="s">
        <v>142</v>
      </c>
      <c r="E173" s="17" t="s">
        <v>142</v>
      </c>
    </row>
    <row r="174" spans="2:5" x14ac:dyDescent="0.3">
      <c r="B174" s="14" t="s">
        <v>85</v>
      </c>
      <c r="C174" s="15" t="s">
        <v>142</v>
      </c>
      <c r="D174" s="16" t="s">
        <v>142</v>
      </c>
      <c r="E174" s="17" t="s">
        <v>142</v>
      </c>
    </row>
    <row r="175" spans="2:5" x14ac:dyDescent="0.3">
      <c r="B175" s="14" t="s">
        <v>81</v>
      </c>
      <c r="C175" s="15" t="s">
        <v>142</v>
      </c>
      <c r="D175" s="16" t="s">
        <v>142</v>
      </c>
      <c r="E175" s="17" t="s">
        <v>142</v>
      </c>
    </row>
    <row r="176" spans="2:5" x14ac:dyDescent="0.3">
      <c r="B176" s="14" t="s">
        <v>79</v>
      </c>
      <c r="C176" s="15" t="s">
        <v>142</v>
      </c>
      <c r="D176" s="16" t="s">
        <v>142</v>
      </c>
      <c r="E176" s="17" t="s">
        <v>142</v>
      </c>
    </row>
    <row r="177" spans="2:5" x14ac:dyDescent="0.3">
      <c r="B177" s="14" t="s">
        <v>56</v>
      </c>
      <c r="C177" s="15">
        <v>70</v>
      </c>
      <c r="D177" s="16">
        <v>70</v>
      </c>
      <c r="E177" s="17">
        <v>1</v>
      </c>
    </row>
    <row r="178" spans="2:5" x14ac:dyDescent="0.3">
      <c r="B178" s="14" t="s">
        <v>6</v>
      </c>
      <c r="C178" s="15" t="s">
        <v>142</v>
      </c>
      <c r="D178" s="16" t="s">
        <v>142</v>
      </c>
      <c r="E178" s="17" t="s">
        <v>142</v>
      </c>
    </row>
    <row r="179" spans="2:5" x14ac:dyDescent="0.3">
      <c r="B179" s="14" t="s">
        <v>28</v>
      </c>
      <c r="C179" s="15">
        <v>3</v>
      </c>
      <c r="D179" s="16">
        <v>3</v>
      </c>
      <c r="E179" s="17">
        <v>1</v>
      </c>
    </row>
    <row r="180" spans="2:5" x14ac:dyDescent="0.3">
      <c r="B180" s="14" t="s">
        <v>118</v>
      </c>
      <c r="C180" s="15" t="s">
        <v>142</v>
      </c>
      <c r="D180" s="16" t="s">
        <v>142</v>
      </c>
      <c r="E180" s="17" t="s">
        <v>142</v>
      </c>
    </row>
    <row r="181" spans="2:5" x14ac:dyDescent="0.3">
      <c r="B181" s="14" t="s">
        <v>115</v>
      </c>
      <c r="C181" s="15" t="s">
        <v>142</v>
      </c>
      <c r="D181" s="16" t="s">
        <v>142</v>
      </c>
      <c r="E181" s="17" t="s">
        <v>142</v>
      </c>
    </row>
    <row r="182" spans="2:5" x14ac:dyDescent="0.3">
      <c r="B182" s="14" t="s">
        <v>117</v>
      </c>
      <c r="C182" s="15" t="s">
        <v>142</v>
      </c>
      <c r="D182" s="16" t="s">
        <v>142</v>
      </c>
      <c r="E182" s="17" t="s">
        <v>142</v>
      </c>
    </row>
    <row r="183" spans="2:5" x14ac:dyDescent="0.3">
      <c r="B183" s="14" t="s">
        <v>15</v>
      </c>
      <c r="C183" s="15" t="s">
        <v>142</v>
      </c>
      <c r="D183" s="16" t="s">
        <v>142</v>
      </c>
      <c r="E183" s="17" t="s">
        <v>142</v>
      </c>
    </row>
    <row r="184" spans="2:5" x14ac:dyDescent="0.3">
      <c r="B184" s="12" t="s">
        <v>138</v>
      </c>
      <c r="C184" s="13">
        <v>389</v>
      </c>
      <c r="D184" s="13">
        <v>389</v>
      </c>
      <c r="E184" s="18">
        <v>1</v>
      </c>
    </row>
    <row r="188" spans="2:5" ht="18" x14ac:dyDescent="0.35">
      <c r="B188" s="23" t="s">
        <v>164</v>
      </c>
      <c r="C188" s="23"/>
      <c r="D188" s="23"/>
      <c r="E188" s="23"/>
    </row>
    <row r="190" spans="2:5" x14ac:dyDescent="0.3">
      <c r="B190" s="2" t="s">
        <v>152</v>
      </c>
      <c r="C190" s="2"/>
      <c r="D190" s="2"/>
      <c r="E190" s="2"/>
    </row>
    <row r="191" spans="2:5" x14ac:dyDescent="0.3">
      <c r="B191" s="4" t="s">
        <v>144</v>
      </c>
      <c r="C191" s="2" t="s">
        <v>153</v>
      </c>
      <c r="D191" s="2"/>
      <c r="E191" s="2"/>
    </row>
    <row r="192" spans="2:5" x14ac:dyDescent="0.3">
      <c r="B192" s="4"/>
      <c r="C192" s="6" t="s">
        <v>146</v>
      </c>
      <c r="D192" s="7" t="s">
        <v>158</v>
      </c>
      <c r="E192" s="8" t="s">
        <v>141</v>
      </c>
    </row>
    <row r="193" spans="2:5" x14ac:dyDescent="0.3">
      <c r="C193" s="6"/>
      <c r="D193" s="7"/>
      <c r="E193" s="8"/>
    </row>
    <row r="194" spans="2:5" x14ac:dyDescent="0.3">
      <c r="B194" s="14" t="s">
        <v>7</v>
      </c>
      <c r="C194" s="15">
        <v>265</v>
      </c>
      <c r="D194" s="16">
        <v>265</v>
      </c>
      <c r="E194" s="17">
        <v>1</v>
      </c>
    </row>
    <row r="195" spans="2:5" x14ac:dyDescent="0.3">
      <c r="B195" s="14" t="s">
        <v>1</v>
      </c>
      <c r="C195" s="15" t="s">
        <v>142</v>
      </c>
      <c r="D195" s="16" t="s">
        <v>142</v>
      </c>
      <c r="E195" s="17" t="s">
        <v>142</v>
      </c>
    </row>
    <row r="196" spans="2:5" x14ac:dyDescent="0.3">
      <c r="B196" s="14" t="s">
        <v>21</v>
      </c>
      <c r="C196" s="15">
        <v>119</v>
      </c>
      <c r="D196" s="16">
        <v>119</v>
      </c>
      <c r="E196" s="17">
        <v>1</v>
      </c>
    </row>
    <row r="197" spans="2:5" x14ac:dyDescent="0.3">
      <c r="B197" s="14" t="s">
        <v>2</v>
      </c>
      <c r="C197" s="15" t="s">
        <v>142</v>
      </c>
      <c r="D197" s="16" t="s">
        <v>142</v>
      </c>
      <c r="E197" s="17" t="s">
        <v>142</v>
      </c>
    </row>
    <row r="198" spans="2:5" x14ac:dyDescent="0.3">
      <c r="B198" s="14" t="s">
        <v>0</v>
      </c>
      <c r="C198" s="15">
        <v>3</v>
      </c>
      <c r="D198" s="16">
        <v>3</v>
      </c>
      <c r="E198" s="17">
        <v>1</v>
      </c>
    </row>
    <row r="199" spans="2:5" x14ac:dyDescent="0.3">
      <c r="B199" s="12" t="s">
        <v>138</v>
      </c>
      <c r="C199" s="13">
        <v>387</v>
      </c>
      <c r="D199" s="13">
        <v>387</v>
      </c>
      <c r="E199" s="18">
        <v>1</v>
      </c>
    </row>
    <row r="203" spans="2:5" ht="18" x14ac:dyDescent="0.35">
      <c r="B203" s="23" t="s">
        <v>165</v>
      </c>
      <c r="C203" s="23"/>
      <c r="D203" s="23"/>
      <c r="E203" s="23"/>
    </row>
    <row r="205" spans="2:5" x14ac:dyDescent="0.3">
      <c r="B205" s="2" t="s">
        <v>152</v>
      </c>
      <c r="C205" s="2"/>
      <c r="D205" s="2"/>
      <c r="E205" s="2"/>
    </row>
    <row r="206" spans="2:5" x14ac:dyDescent="0.3">
      <c r="B206" s="4" t="s">
        <v>144</v>
      </c>
      <c r="C206" s="2" t="s">
        <v>153</v>
      </c>
      <c r="D206" s="2"/>
      <c r="E206" s="2"/>
    </row>
    <row r="207" spans="2:5" x14ac:dyDescent="0.3">
      <c r="B207" s="4"/>
      <c r="C207" s="6" t="s">
        <v>146</v>
      </c>
      <c r="D207" s="7" t="s">
        <v>158</v>
      </c>
      <c r="E207" s="8" t="s">
        <v>141</v>
      </c>
    </row>
    <row r="208" spans="2:5" x14ac:dyDescent="0.3">
      <c r="C208" s="6"/>
      <c r="D208" s="7"/>
      <c r="E208" s="8"/>
    </row>
    <row r="209" spans="2:5" x14ac:dyDescent="0.3">
      <c r="B209" s="14" t="s">
        <v>2</v>
      </c>
      <c r="C209" s="15" t="s">
        <v>142</v>
      </c>
      <c r="D209" s="16" t="s">
        <v>142</v>
      </c>
      <c r="E209" s="17" t="s">
        <v>142</v>
      </c>
    </row>
    <row r="210" spans="2:5" x14ac:dyDescent="0.3">
      <c r="B210" s="14" t="s">
        <v>21</v>
      </c>
      <c r="C210" s="15">
        <v>1</v>
      </c>
      <c r="D210" s="16">
        <v>1</v>
      </c>
      <c r="E210" s="17">
        <v>1</v>
      </c>
    </row>
    <row r="211" spans="2:5" x14ac:dyDescent="0.3">
      <c r="B211" s="14" t="s">
        <v>7</v>
      </c>
      <c r="C211" s="15" t="s">
        <v>142</v>
      </c>
      <c r="D211" s="16" t="s">
        <v>142</v>
      </c>
      <c r="E211" s="17" t="s">
        <v>142</v>
      </c>
    </row>
    <row r="212" spans="2:5" x14ac:dyDescent="0.3">
      <c r="B212" s="14" t="s">
        <v>1</v>
      </c>
      <c r="C212" s="15" t="s">
        <v>142</v>
      </c>
      <c r="D212" s="16" t="s">
        <v>142</v>
      </c>
      <c r="E212" s="17" t="s">
        <v>142</v>
      </c>
    </row>
    <row r="213" spans="2:5" x14ac:dyDescent="0.3">
      <c r="B213" s="14" t="s">
        <v>0</v>
      </c>
      <c r="C213" s="15" t="s">
        <v>142</v>
      </c>
      <c r="D213" s="16" t="s">
        <v>142</v>
      </c>
      <c r="E213" s="17" t="s">
        <v>142</v>
      </c>
    </row>
    <row r="214" spans="2:5" x14ac:dyDescent="0.3">
      <c r="B214" s="12" t="s">
        <v>138</v>
      </c>
      <c r="C214" s="13">
        <v>1</v>
      </c>
      <c r="D214" s="13">
        <v>1</v>
      </c>
      <c r="E214" s="18">
        <v>1</v>
      </c>
    </row>
    <row r="218" spans="2:5" ht="18" x14ac:dyDescent="0.35">
      <c r="B218" s="23" t="s">
        <v>166</v>
      </c>
      <c r="C218" s="23"/>
      <c r="D218" s="23"/>
      <c r="E218" s="23"/>
    </row>
    <row r="220" spans="2:5" x14ac:dyDescent="0.3">
      <c r="B220" s="2" t="s">
        <v>152</v>
      </c>
      <c r="C220" s="2"/>
      <c r="D220" s="2"/>
      <c r="E220" s="2"/>
    </row>
    <row r="221" spans="2:5" x14ac:dyDescent="0.3">
      <c r="B221" s="4" t="s">
        <v>144</v>
      </c>
      <c r="C221" s="2" t="s">
        <v>153</v>
      </c>
      <c r="D221" s="2"/>
      <c r="E221" s="2"/>
    </row>
    <row r="222" spans="2:5" x14ac:dyDescent="0.3">
      <c r="B222" s="4"/>
      <c r="C222" s="6" t="s">
        <v>146</v>
      </c>
      <c r="D222" s="7" t="s">
        <v>158</v>
      </c>
      <c r="E222" s="8" t="s">
        <v>141</v>
      </c>
    </row>
    <row r="223" spans="2:5" x14ac:dyDescent="0.3">
      <c r="C223" s="6"/>
      <c r="D223" s="7"/>
      <c r="E223" s="8"/>
    </row>
    <row r="224" spans="2:5" x14ac:dyDescent="0.3">
      <c r="B224" s="14" t="s">
        <v>2</v>
      </c>
      <c r="C224" s="15" t="s">
        <v>142</v>
      </c>
      <c r="D224" s="16" t="s">
        <v>142</v>
      </c>
      <c r="E224" s="17" t="s">
        <v>142</v>
      </c>
    </row>
    <row r="225" spans="2:5" x14ac:dyDescent="0.3">
      <c r="B225" s="14" t="s">
        <v>0</v>
      </c>
      <c r="C225" s="15" t="s">
        <v>142</v>
      </c>
      <c r="D225" s="16" t="s">
        <v>142</v>
      </c>
      <c r="E225" s="17" t="s">
        <v>142</v>
      </c>
    </row>
    <row r="226" spans="2:5" x14ac:dyDescent="0.3">
      <c r="B226" s="14" t="s">
        <v>7</v>
      </c>
      <c r="C226" s="15" t="s">
        <v>142</v>
      </c>
      <c r="D226" s="16" t="s">
        <v>142</v>
      </c>
      <c r="E226" s="17" t="s">
        <v>142</v>
      </c>
    </row>
    <row r="227" spans="2:5" x14ac:dyDescent="0.3">
      <c r="B227" s="14" t="s">
        <v>1</v>
      </c>
      <c r="C227" s="15" t="s">
        <v>142</v>
      </c>
      <c r="D227" s="16" t="s">
        <v>142</v>
      </c>
      <c r="E227" s="17" t="s">
        <v>142</v>
      </c>
    </row>
    <row r="228" spans="2:5" x14ac:dyDescent="0.3">
      <c r="B228" s="14" t="s">
        <v>21</v>
      </c>
      <c r="C228" s="15">
        <v>1</v>
      </c>
      <c r="D228" s="16">
        <v>1</v>
      </c>
      <c r="E228" s="17">
        <v>1</v>
      </c>
    </row>
    <row r="229" spans="2:5" x14ac:dyDescent="0.3">
      <c r="B229" s="12" t="s">
        <v>138</v>
      </c>
      <c r="C229" s="13">
        <v>1</v>
      </c>
      <c r="D229" s="13">
        <v>1</v>
      </c>
      <c r="E229" s="18">
        <v>1</v>
      </c>
    </row>
    <row r="986" spans="2:4" x14ac:dyDescent="0.3">
      <c r="C986" t="s">
        <v>188</v>
      </c>
    </row>
    <row r="987" spans="2:4" x14ac:dyDescent="0.3">
      <c r="C987" t="s">
        <v>186</v>
      </c>
      <c r="D987" t="s">
        <v>187</v>
      </c>
    </row>
    <row r="988" spans="2:4" x14ac:dyDescent="0.3">
      <c r="B988" t="s">
        <v>151</v>
      </c>
      <c r="C988">
        <v>104010000851829</v>
      </c>
      <c r="D988">
        <v>2695</v>
      </c>
    </row>
    <row r="989" spans="2:4" x14ac:dyDescent="0.3">
      <c r="B989">
        <v>224</v>
      </c>
      <c r="C989">
        <v>104010000851467</v>
      </c>
      <c r="D989">
        <v>2695</v>
      </c>
    </row>
    <row r="990" spans="2:4" x14ac:dyDescent="0.3">
      <c r="B990">
        <v>271</v>
      </c>
      <c r="C990">
        <v>104010000851828</v>
      </c>
      <c r="D990">
        <v>2695</v>
      </c>
    </row>
    <row r="991" spans="2:4" x14ac:dyDescent="0.3">
      <c r="B991">
        <v>5</v>
      </c>
      <c r="C991">
        <v>104010000851830</v>
      </c>
      <c r="D991">
        <v>2695</v>
      </c>
    </row>
    <row r="992" spans="2:4" x14ac:dyDescent="0.3">
      <c r="B992">
        <v>500</v>
      </c>
      <c r="C992">
        <v>104010000995158</v>
      </c>
      <c r="D992">
        <v>2695</v>
      </c>
    </row>
    <row r="993" spans="1:4" x14ac:dyDescent="0.3">
      <c r="C993">
        <v>104010000995159</v>
      </c>
      <c r="D993">
        <v>2695</v>
      </c>
    </row>
    <row r="994" spans="1:4" x14ac:dyDescent="0.3">
      <c r="C994">
        <v>104010000877535</v>
      </c>
      <c r="D994">
        <v>2695</v>
      </c>
    </row>
    <row r="995" spans="1:4" x14ac:dyDescent="0.3">
      <c r="C995">
        <v>104010000877616</v>
      </c>
      <c r="D995">
        <v>2695</v>
      </c>
    </row>
    <row r="996" spans="1:4" x14ac:dyDescent="0.3">
      <c r="C996">
        <v>104010000877617</v>
      </c>
      <c r="D996">
        <v>2695</v>
      </c>
    </row>
    <row r="997" spans="1:4" x14ac:dyDescent="0.3">
      <c r="C997">
        <v>104010000877618</v>
      </c>
      <c r="D997">
        <v>2695</v>
      </c>
    </row>
    <row r="998" spans="1:4" x14ac:dyDescent="0.3">
      <c r="C998">
        <v>104010000877619</v>
      </c>
      <c r="D998">
        <v>2695</v>
      </c>
    </row>
    <row r="999" spans="1:4" x14ac:dyDescent="0.3">
      <c r="C999">
        <v>104010000889566</v>
      </c>
      <c r="D999">
        <v>2695</v>
      </c>
    </row>
    <row r="1000" spans="1:4" x14ac:dyDescent="0.3">
      <c r="A1000" t="s">
        <v>168</v>
      </c>
      <c r="C1000">
        <v>104010000889567</v>
      </c>
      <c r="D1000">
        <v>2695</v>
      </c>
    </row>
    <row r="1001" spans="1:4" x14ac:dyDescent="0.3">
      <c r="A1001" t="s">
        <v>144</v>
      </c>
      <c r="C1001">
        <v>104010000896845</v>
      </c>
      <c r="D1001">
        <v>2695</v>
      </c>
    </row>
    <row r="1002" spans="1:4" x14ac:dyDescent="0.3">
      <c r="A1002" t="s">
        <v>21</v>
      </c>
      <c r="C1002">
        <v>104010000956832</v>
      </c>
      <c r="D1002">
        <v>2695</v>
      </c>
    </row>
    <row r="1003" spans="1:4" x14ac:dyDescent="0.3">
      <c r="A1003" t="s">
        <v>7</v>
      </c>
      <c r="C1003">
        <v>104010000956833</v>
      </c>
      <c r="D1003">
        <v>2695</v>
      </c>
    </row>
    <row r="1004" spans="1:4" x14ac:dyDescent="0.3">
      <c r="A1004" t="s">
        <v>1</v>
      </c>
      <c r="C1004">
        <v>104010001005842</v>
      </c>
      <c r="D1004">
        <v>2695</v>
      </c>
    </row>
    <row r="1005" spans="1:4" x14ac:dyDescent="0.3">
      <c r="A1005" t="s">
        <v>138</v>
      </c>
      <c r="C1005">
        <v>104010001005843</v>
      </c>
      <c r="D1005">
        <v>2695</v>
      </c>
    </row>
    <row r="1006" spans="1:4" x14ac:dyDescent="0.3">
      <c r="C1006">
        <v>104010001005845</v>
      </c>
      <c r="D1006">
        <v>2695</v>
      </c>
    </row>
    <row r="1007" spans="1:4" x14ac:dyDescent="0.3">
      <c r="C1007">
        <v>104010001005847</v>
      </c>
      <c r="D1007">
        <v>2695</v>
      </c>
    </row>
    <row r="1008" spans="1:4" x14ac:dyDescent="0.3">
      <c r="C1008">
        <v>104010001012236</v>
      </c>
      <c r="D1008">
        <v>2695</v>
      </c>
    </row>
    <row r="1009" spans="3:4" x14ac:dyDescent="0.3">
      <c r="C1009">
        <v>104010001107535</v>
      </c>
      <c r="D1009">
        <v>2695</v>
      </c>
    </row>
    <row r="1010" spans="3:4" x14ac:dyDescent="0.3">
      <c r="C1010">
        <v>104010001107536</v>
      </c>
      <c r="D1010">
        <v>2695</v>
      </c>
    </row>
    <row r="1011" spans="3:4" x14ac:dyDescent="0.3">
      <c r="C1011">
        <v>104010001107537</v>
      </c>
      <c r="D1011">
        <v>2695</v>
      </c>
    </row>
    <row r="1012" spans="3:4" x14ac:dyDescent="0.3">
      <c r="C1012">
        <v>104010001107538</v>
      </c>
      <c r="D1012">
        <v>2695</v>
      </c>
    </row>
    <row r="1013" spans="3:4" x14ac:dyDescent="0.3">
      <c r="C1013">
        <v>104010001107539</v>
      </c>
      <c r="D1013">
        <v>2695</v>
      </c>
    </row>
    <row r="1014" spans="3:4" x14ac:dyDescent="0.3">
      <c r="C1014">
        <v>104010001107540</v>
      </c>
      <c r="D1014">
        <v>2695</v>
      </c>
    </row>
    <row r="1015" spans="3:4" x14ac:dyDescent="0.3">
      <c r="C1015">
        <v>104010001111089</v>
      </c>
      <c r="D1015">
        <v>2695</v>
      </c>
    </row>
    <row r="1016" spans="3:4" x14ac:dyDescent="0.3">
      <c r="C1016">
        <v>104010001149001</v>
      </c>
      <c r="D1016">
        <v>2695</v>
      </c>
    </row>
    <row r="1017" spans="3:4" x14ac:dyDescent="0.3">
      <c r="C1017">
        <v>104010001149003</v>
      </c>
      <c r="D1017">
        <v>2695</v>
      </c>
    </row>
    <row r="1018" spans="3:4" x14ac:dyDescent="0.3">
      <c r="C1018">
        <v>204010000470674</v>
      </c>
      <c r="D1018">
        <v>2695</v>
      </c>
    </row>
    <row r="1019" spans="3:4" x14ac:dyDescent="0.3">
      <c r="C1019">
        <v>104010001206147</v>
      </c>
      <c r="D1019">
        <v>2695</v>
      </c>
    </row>
    <row r="1020" spans="3:4" x14ac:dyDescent="0.3">
      <c r="C1020">
        <v>104010001206148</v>
      </c>
      <c r="D1020">
        <v>2695</v>
      </c>
    </row>
    <row r="1021" spans="3:4" x14ac:dyDescent="0.3">
      <c r="C1021">
        <v>104010001206149</v>
      </c>
      <c r="D1021">
        <v>2695</v>
      </c>
    </row>
    <row r="1022" spans="3:4" x14ac:dyDescent="0.3">
      <c r="C1022">
        <v>104010000910440</v>
      </c>
      <c r="D1022">
        <v>2695</v>
      </c>
    </row>
    <row r="1023" spans="3:4" x14ac:dyDescent="0.3">
      <c r="C1023">
        <v>104010001359422</v>
      </c>
      <c r="D1023">
        <v>2695</v>
      </c>
    </row>
    <row r="1024" spans="3:4" x14ac:dyDescent="0.3">
      <c r="C1024">
        <v>104010001357731</v>
      </c>
      <c r="D1024">
        <v>2695</v>
      </c>
    </row>
    <row r="1025" spans="3:4" x14ac:dyDescent="0.3">
      <c r="C1025">
        <v>104010001359423</v>
      </c>
      <c r="D1025">
        <v>2695</v>
      </c>
    </row>
    <row r="1026" spans="3:4" x14ac:dyDescent="0.3">
      <c r="C1026">
        <v>104010000905688</v>
      </c>
      <c r="D1026">
        <v>2695</v>
      </c>
    </row>
    <row r="1027" spans="3:4" x14ac:dyDescent="0.3">
      <c r="C1027">
        <v>104010000905748</v>
      </c>
      <c r="D1027">
        <v>2695</v>
      </c>
    </row>
    <row r="1028" spans="3:4" x14ac:dyDescent="0.3">
      <c r="C1028">
        <v>104010000906901</v>
      </c>
      <c r="D1028">
        <v>2695</v>
      </c>
    </row>
    <row r="1029" spans="3:4" x14ac:dyDescent="0.3">
      <c r="C1029">
        <v>104010001006898</v>
      </c>
      <c r="D1029">
        <v>2695</v>
      </c>
    </row>
    <row r="1030" spans="3:4" x14ac:dyDescent="0.3">
      <c r="C1030">
        <v>104010000931277</v>
      </c>
      <c r="D1030">
        <v>2695</v>
      </c>
    </row>
    <row r="1031" spans="3:4" x14ac:dyDescent="0.3">
      <c r="C1031">
        <v>104010000931278</v>
      </c>
      <c r="D1031">
        <v>2695</v>
      </c>
    </row>
    <row r="1032" spans="3:4" x14ac:dyDescent="0.3">
      <c r="C1032">
        <v>104010000931279</v>
      </c>
      <c r="D1032">
        <v>2695</v>
      </c>
    </row>
    <row r="1033" spans="3:4" x14ac:dyDescent="0.3">
      <c r="C1033">
        <v>104010000931280</v>
      </c>
      <c r="D1033">
        <v>2695</v>
      </c>
    </row>
    <row r="1034" spans="3:4" x14ac:dyDescent="0.3">
      <c r="C1034">
        <v>104010000937884</v>
      </c>
      <c r="D1034">
        <v>2695</v>
      </c>
    </row>
    <row r="1035" spans="3:4" x14ac:dyDescent="0.3">
      <c r="C1035">
        <v>104010000943935</v>
      </c>
      <c r="D1035">
        <v>2695</v>
      </c>
    </row>
    <row r="1036" spans="3:4" x14ac:dyDescent="0.3">
      <c r="C1036">
        <v>104010000943936</v>
      </c>
      <c r="D1036">
        <v>2695</v>
      </c>
    </row>
    <row r="1037" spans="3:4" x14ac:dyDescent="0.3">
      <c r="C1037">
        <v>104010000944254</v>
      </c>
      <c r="D1037">
        <v>2695</v>
      </c>
    </row>
    <row r="1038" spans="3:4" x14ac:dyDescent="0.3">
      <c r="C1038">
        <v>104010000955343</v>
      </c>
      <c r="D1038">
        <v>2695</v>
      </c>
    </row>
    <row r="1039" spans="3:4" x14ac:dyDescent="0.3">
      <c r="C1039">
        <v>104010000955344</v>
      </c>
      <c r="D1039">
        <v>2695</v>
      </c>
    </row>
    <row r="1040" spans="3:4" x14ac:dyDescent="0.3">
      <c r="C1040">
        <v>104010001102077</v>
      </c>
      <c r="D1040">
        <v>2695</v>
      </c>
    </row>
    <row r="1041" spans="3:4" x14ac:dyDescent="0.3">
      <c r="C1041">
        <v>104010001102078</v>
      </c>
      <c r="D1041">
        <v>2695</v>
      </c>
    </row>
    <row r="1042" spans="3:4" x14ac:dyDescent="0.3">
      <c r="C1042">
        <v>104010001102113</v>
      </c>
      <c r="D1042">
        <v>2695</v>
      </c>
    </row>
    <row r="1043" spans="3:4" x14ac:dyDescent="0.3">
      <c r="C1043">
        <v>104010001122987</v>
      </c>
      <c r="D1043">
        <v>2695</v>
      </c>
    </row>
    <row r="1044" spans="3:4" x14ac:dyDescent="0.3">
      <c r="C1044">
        <v>104010000944431</v>
      </c>
      <c r="D1044">
        <v>2695</v>
      </c>
    </row>
    <row r="1045" spans="3:4" x14ac:dyDescent="0.3">
      <c r="C1045">
        <v>104010000944432</v>
      </c>
      <c r="D1045">
        <v>2695</v>
      </c>
    </row>
    <row r="1046" spans="3:4" x14ac:dyDescent="0.3">
      <c r="C1046">
        <v>104010000944433</v>
      </c>
      <c r="D1046">
        <v>2695</v>
      </c>
    </row>
    <row r="1047" spans="3:4" x14ac:dyDescent="0.3">
      <c r="C1047">
        <v>104010001006605</v>
      </c>
      <c r="D1047">
        <v>2695</v>
      </c>
    </row>
    <row r="1048" spans="3:4" x14ac:dyDescent="0.3">
      <c r="C1048">
        <v>104010001033647</v>
      </c>
      <c r="D1048">
        <v>2695</v>
      </c>
    </row>
    <row r="1049" spans="3:4" x14ac:dyDescent="0.3">
      <c r="C1049">
        <v>104010001512391</v>
      </c>
      <c r="D1049">
        <v>3235</v>
      </c>
    </row>
    <row r="1050" spans="3:4" x14ac:dyDescent="0.3">
      <c r="C1050">
        <v>104010000958560</v>
      </c>
      <c r="D1050">
        <v>2695</v>
      </c>
    </row>
    <row r="1051" spans="3:4" x14ac:dyDescent="0.3">
      <c r="C1051">
        <v>104010001003967</v>
      </c>
      <c r="D1051">
        <v>2695</v>
      </c>
    </row>
    <row r="1052" spans="3:4" x14ac:dyDescent="0.3">
      <c r="C1052">
        <v>104010001003968</v>
      </c>
      <c r="D1052">
        <v>2695</v>
      </c>
    </row>
    <row r="1053" spans="3:4" x14ac:dyDescent="0.3">
      <c r="C1053">
        <v>104010001003969</v>
      </c>
      <c r="D1053">
        <v>2695</v>
      </c>
    </row>
    <row r="1054" spans="3:4" x14ac:dyDescent="0.3">
      <c r="C1054">
        <v>104010001107926</v>
      </c>
      <c r="D1054">
        <v>2695</v>
      </c>
    </row>
    <row r="1055" spans="3:4" x14ac:dyDescent="0.3">
      <c r="C1055">
        <v>104010001155072</v>
      </c>
      <c r="D1055">
        <v>2695</v>
      </c>
    </row>
    <row r="1056" spans="3:4" x14ac:dyDescent="0.3">
      <c r="C1056">
        <v>104010000981232</v>
      </c>
      <c r="D1056">
        <v>2695</v>
      </c>
    </row>
    <row r="1057" spans="3:4" x14ac:dyDescent="0.3">
      <c r="C1057">
        <v>104010000981233</v>
      </c>
      <c r="D1057">
        <v>2695</v>
      </c>
    </row>
    <row r="1058" spans="3:4" x14ac:dyDescent="0.3">
      <c r="C1058">
        <v>104010000981234</v>
      </c>
      <c r="D1058">
        <v>2695</v>
      </c>
    </row>
    <row r="1059" spans="3:4" x14ac:dyDescent="0.3">
      <c r="C1059">
        <v>104010000988135</v>
      </c>
      <c r="D1059">
        <v>2695</v>
      </c>
    </row>
    <row r="1060" spans="3:4" x14ac:dyDescent="0.3">
      <c r="C1060">
        <v>104010000988136</v>
      </c>
      <c r="D1060">
        <v>2695</v>
      </c>
    </row>
    <row r="1061" spans="3:4" x14ac:dyDescent="0.3">
      <c r="C1061">
        <v>104010000988137</v>
      </c>
      <c r="D1061">
        <v>2695</v>
      </c>
    </row>
    <row r="1062" spans="3:4" x14ac:dyDescent="0.3">
      <c r="C1062">
        <v>104010000988138</v>
      </c>
      <c r="D1062">
        <v>2695</v>
      </c>
    </row>
    <row r="1063" spans="3:4" x14ac:dyDescent="0.3">
      <c r="C1063">
        <v>104010000989499</v>
      </c>
      <c r="D1063">
        <v>2695</v>
      </c>
    </row>
    <row r="1064" spans="3:4" x14ac:dyDescent="0.3">
      <c r="C1064">
        <v>104010001007583</v>
      </c>
      <c r="D1064">
        <v>2695</v>
      </c>
    </row>
    <row r="1065" spans="3:4" x14ac:dyDescent="0.3">
      <c r="C1065">
        <v>104010001007584</v>
      </c>
      <c r="D1065">
        <v>2695</v>
      </c>
    </row>
    <row r="1066" spans="3:4" x14ac:dyDescent="0.3">
      <c r="C1066">
        <v>104010001008252</v>
      </c>
      <c r="D1066">
        <v>2695</v>
      </c>
    </row>
    <row r="1067" spans="3:4" x14ac:dyDescent="0.3">
      <c r="C1067">
        <v>104010001013436</v>
      </c>
      <c r="D1067">
        <v>2695</v>
      </c>
    </row>
    <row r="1068" spans="3:4" x14ac:dyDescent="0.3">
      <c r="C1068">
        <v>104010001013437</v>
      </c>
      <c r="D1068">
        <v>2695</v>
      </c>
    </row>
    <row r="1069" spans="3:4" x14ac:dyDescent="0.3">
      <c r="C1069">
        <v>104010001013438</v>
      </c>
      <c r="D1069">
        <v>2695</v>
      </c>
    </row>
    <row r="1070" spans="3:4" x14ac:dyDescent="0.3">
      <c r="C1070">
        <v>104010001013440</v>
      </c>
      <c r="D1070">
        <v>2695</v>
      </c>
    </row>
    <row r="1071" spans="3:4" x14ac:dyDescent="0.3">
      <c r="C1071">
        <v>104010001013441</v>
      </c>
      <c r="D1071">
        <v>2695</v>
      </c>
    </row>
    <row r="1072" spans="3:4" x14ac:dyDescent="0.3">
      <c r="C1072">
        <v>104010001031223</v>
      </c>
      <c r="D1072">
        <v>2695</v>
      </c>
    </row>
    <row r="1073" spans="2:4" x14ac:dyDescent="0.3">
      <c r="C1073">
        <v>104010000906902</v>
      </c>
      <c r="D1073">
        <v>2695</v>
      </c>
    </row>
    <row r="1074" spans="2:4" x14ac:dyDescent="0.3">
      <c r="C1074">
        <v>104010000955333</v>
      </c>
      <c r="D1074">
        <v>2695</v>
      </c>
    </row>
    <row r="1075" spans="2:4" x14ac:dyDescent="0.3">
      <c r="C1075">
        <v>104010000989502</v>
      </c>
      <c r="D1075">
        <v>2695</v>
      </c>
    </row>
    <row r="1076" spans="2:4" x14ac:dyDescent="0.3">
      <c r="C1076">
        <v>104010001031224</v>
      </c>
      <c r="D1076">
        <v>2695</v>
      </c>
    </row>
    <row r="1077" spans="2:4" x14ac:dyDescent="0.3">
      <c r="C1077">
        <v>104010001031226</v>
      </c>
      <c r="D1077">
        <v>2695</v>
      </c>
    </row>
    <row r="1078" spans="2:4" x14ac:dyDescent="0.3">
      <c r="C1078">
        <v>104010001040822</v>
      </c>
      <c r="D1078">
        <v>2695</v>
      </c>
    </row>
    <row r="1079" spans="2:4" x14ac:dyDescent="0.3">
      <c r="C1079">
        <v>104010001040821</v>
      </c>
      <c r="D1079">
        <v>2695</v>
      </c>
    </row>
    <row r="1080" spans="2:4" x14ac:dyDescent="0.3">
      <c r="C1080">
        <v>104010001040825</v>
      </c>
      <c r="D1080">
        <v>2695</v>
      </c>
    </row>
    <row r="1081" spans="2:4" x14ac:dyDescent="0.3">
      <c r="C1081">
        <v>104010001040824</v>
      </c>
      <c r="D1081">
        <v>2695</v>
      </c>
    </row>
    <row r="1082" spans="2:4" x14ac:dyDescent="0.3">
      <c r="C1082">
        <v>104010001055576</v>
      </c>
      <c r="D1082">
        <v>2695</v>
      </c>
    </row>
    <row r="1083" spans="2:4" x14ac:dyDescent="0.3">
      <c r="C1083">
        <v>104010001050311</v>
      </c>
      <c r="D1083">
        <v>2695</v>
      </c>
    </row>
    <row r="1084" spans="2:4" x14ac:dyDescent="0.3">
      <c r="C1084">
        <v>104010001050330</v>
      </c>
      <c r="D1084">
        <v>2695</v>
      </c>
    </row>
    <row r="1085" spans="2:4" x14ac:dyDescent="0.3">
      <c r="C1085">
        <v>104010001050331</v>
      </c>
      <c r="D1085">
        <v>2695</v>
      </c>
    </row>
    <row r="1086" spans="2:4" x14ac:dyDescent="0.3">
      <c r="C1086">
        <v>104010001304781</v>
      </c>
      <c r="D1086">
        <v>2695</v>
      </c>
    </row>
    <row r="1087" spans="2:4" x14ac:dyDescent="0.3">
      <c r="C1087">
        <v>104010001055014</v>
      </c>
      <c r="D1087">
        <v>2695</v>
      </c>
    </row>
    <row r="1088" spans="2:4" x14ac:dyDescent="0.3">
      <c r="B1088" t="s">
        <v>151</v>
      </c>
      <c r="C1088">
        <v>104010001055015</v>
      </c>
      <c r="D1088">
        <v>2695</v>
      </c>
    </row>
    <row r="1089" spans="1:4" x14ac:dyDescent="0.3">
      <c r="B1089">
        <v>133</v>
      </c>
      <c r="C1089">
        <v>104010001059319</v>
      </c>
      <c r="D1089">
        <v>2695</v>
      </c>
    </row>
    <row r="1090" spans="1:4" x14ac:dyDescent="0.3">
      <c r="B1090">
        <v>8</v>
      </c>
      <c r="C1090">
        <v>104010001059320</v>
      </c>
      <c r="D1090">
        <v>2695</v>
      </c>
    </row>
    <row r="1091" spans="1:4" x14ac:dyDescent="0.3">
      <c r="B1091">
        <v>27</v>
      </c>
      <c r="C1091">
        <v>104010001059322</v>
      </c>
      <c r="D1091">
        <v>2695</v>
      </c>
    </row>
    <row r="1092" spans="1:4" x14ac:dyDescent="0.3">
      <c r="B1092">
        <v>1</v>
      </c>
      <c r="C1092">
        <v>104010001059323</v>
      </c>
      <c r="D1092">
        <v>2695</v>
      </c>
    </row>
    <row r="1093" spans="1:4" x14ac:dyDescent="0.3">
      <c r="B1093">
        <v>1</v>
      </c>
      <c r="C1093">
        <v>104010001062842</v>
      </c>
      <c r="D1093">
        <v>2695</v>
      </c>
    </row>
    <row r="1094" spans="1:4" x14ac:dyDescent="0.3">
      <c r="B1094">
        <v>3</v>
      </c>
      <c r="C1094">
        <v>104010001062843</v>
      </c>
      <c r="D1094">
        <v>2695</v>
      </c>
    </row>
    <row r="1095" spans="1:4" x14ac:dyDescent="0.3">
      <c r="B1095">
        <v>13</v>
      </c>
      <c r="C1095">
        <v>104010001231808</v>
      </c>
      <c r="D1095">
        <v>2695</v>
      </c>
    </row>
    <row r="1096" spans="1:4" x14ac:dyDescent="0.3">
      <c r="B1096">
        <v>43</v>
      </c>
      <c r="C1096">
        <v>104010001240701</v>
      </c>
      <c r="D1096">
        <v>2695</v>
      </c>
    </row>
    <row r="1097" spans="1:4" x14ac:dyDescent="0.3">
      <c r="B1097">
        <v>3</v>
      </c>
      <c r="C1097">
        <v>104010001076833</v>
      </c>
      <c r="D1097">
        <v>2695</v>
      </c>
    </row>
    <row r="1098" spans="1:4" x14ac:dyDescent="0.3">
      <c r="B1098">
        <v>1</v>
      </c>
      <c r="C1098">
        <v>104010001093491</v>
      </c>
      <c r="D1098">
        <v>2695</v>
      </c>
    </row>
    <row r="1099" spans="1:4" x14ac:dyDescent="0.3">
      <c r="B1099">
        <v>267</v>
      </c>
      <c r="C1099">
        <v>104010001178967</v>
      </c>
      <c r="D1099">
        <v>2695</v>
      </c>
    </row>
    <row r="1100" spans="1:4" x14ac:dyDescent="0.3">
      <c r="A1100" t="s">
        <v>169</v>
      </c>
      <c r="B1100">
        <v>500</v>
      </c>
      <c r="C1100">
        <v>104010001178968</v>
      </c>
      <c r="D1100">
        <v>2695</v>
      </c>
    </row>
    <row r="1101" spans="1:4" x14ac:dyDescent="0.3">
      <c r="A1101" t="s">
        <v>143</v>
      </c>
      <c r="C1101">
        <v>104010001100155</v>
      </c>
      <c r="D1101">
        <v>2695</v>
      </c>
    </row>
    <row r="1102" spans="1:4" x14ac:dyDescent="0.3">
      <c r="A1102" t="s">
        <v>30</v>
      </c>
      <c r="C1102">
        <v>104010001100157</v>
      </c>
      <c r="D1102">
        <v>2695</v>
      </c>
    </row>
    <row r="1103" spans="1:4" x14ac:dyDescent="0.3">
      <c r="A1103" t="s">
        <v>16</v>
      </c>
      <c r="C1103">
        <v>104010001100158</v>
      </c>
      <c r="D1103">
        <v>2695</v>
      </c>
    </row>
    <row r="1104" spans="1:4" x14ac:dyDescent="0.3">
      <c r="A1104" t="s">
        <v>19</v>
      </c>
      <c r="C1104">
        <v>104010001100159</v>
      </c>
      <c r="D1104">
        <v>2695</v>
      </c>
    </row>
    <row r="1105" spans="1:4" x14ac:dyDescent="0.3">
      <c r="A1105" t="s">
        <v>12</v>
      </c>
      <c r="C1105">
        <v>104010001100160</v>
      </c>
      <c r="D1105">
        <v>2695</v>
      </c>
    </row>
    <row r="1106" spans="1:4" x14ac:dyDescent="0.3">
      <c r="A1106" t="s">
        <v>18</v>
      </c>
      <c r="C1106">
        <v>104010001101928</v>
      </c>
      <c r="D1106">
        <v>2695</v>
      </c>
    </row>
    <row r="1107" spans="1:4" x14ac:dyDescent="0.3">
      <c r="A1107" t="s">
        <v>13</v>
      </c>
      <c r="C1107">
        <v>104010001101929</v>
      </c>
      <c r="D1107">
        <v>2695</v>
      </c>
    </row>
    <row r="1108" spans="1:4" x14ac:dyDescent="0.3">
      <c r="A1108" t="s">
        <v>21</v>
      </c>
      <c r="C1108">
        <v>104010001103965</v>
      </c>
      <c r="D1108">
        <v>2695</v>
      </c>
    </row>
    <row r="1109" spans="1:4" x14ac:dyDescent="0.3">
      <c r="A1109" t="s">
        <v>23</v>
      </c>
      <c r="C1109">
        <v>104010001102066</v>
      </c>
      <c r="D1109">
        <v>2695</v>
      </c>
    </row>
    <row r="1110" spans="1:4" x14ac:dyDescent="0.3">
      <c r="A1110" t="s">
        <v>14</v>
      </c>
      <c r="C1110">
        <v>104010001102067</v>
      </c>
      <c r="D1110">
        <v>2695</v>
      </c>
    </row>
    <row r="1111" spans="1:4" x14ac:dyDescent="0.3">
      <c r="A1111" t="s">
        <v>22</v>
      </c>
      <c r="C1111">
        <v>104010001102068</v>
      </c>
      <c r="D1111">
        <v>2695</v>
      </c>
    </row>
    <row r="1112" spans="1:4" x14ac:dyDescent="0.3">
      <c r="A1112" t="s">
        <v>11</v>
      </c>
      <c r="C1112">
        <v>104010001105248</v>
      </c>
      <c r="D1112">
        <v>2695</v>
      </c>
    </row>
    <row r="1113" spans="1:4" x14ac:dyDescent="0.3">
      <c r="A1113" t="s">
        <v>138</v>
      </c>
      <c r="C1113">
        <v>104010001164158</v>
      </c>
      <c r="D1113">
        <v>2695</v>
      </c>
    </row>
    <row r="1114" spans="1:4" x14ac:dyDescent="0.3">
      <c r="C1114">
        <v>104010001276352</v>
      </c>
      <c r="D1114">
        <v>2695</v>
      </c>
    </row>
    <row r="1115" spans="1:4" x14ac:dyDescent="0.3">
      <c r="C1115">
        <v>104010001108493</v>
      </c>
      <c r="D1115">
        <v>2695</v>
      </c>
    </row>
    <row r="1116" spans="1:4" x14ac:dyDescent="0.3">
      <c r="C1116">
        <v>104010001108494</v>
      </c>
      <c r="D1116">
        <v>2695</v>
      </c>
    </row>
    <row r="1117" spans="1:4" x14ac:dyDescent="0.3">
      <c r="C1117">
        <v>104010001111503</v>
      </c>
      <c r="D1117">
        <v>2695</v>
      </c>
    </row>
    <row r="1118" spans="1:4" x14ac:dyDescent="0.3">
      <c r="C1118">
        <v>104010001111504</v>
      </c>
      <c r="D1118">
        <v>2695</v>
      </c>
    </row>
    <row r="1119" spans="1:4" x14ac:dyDescent="0.3">
      <c r="C1119">
        <v>104010001111506</v>
      </c>
      <c r="D1119">
        <v>2695</v>
      </c>
    </row>
    <row r="1120" spans="1:4" x14ac:dyDescent="0.3">
      <c r="C1120">
        <v>104010001117767</v>
      </c>
      <c r="D1120">
        <v>2695</v>
      </c>
    </row>
    <row r="1121" spans="3:4" x14ac:dyDescent="0.3">
      <c r="C1121">
        <v>104010001117768</v>
      </c>
      <c r="D1121">
        <v>2695</v>
      </c>
    </row>
    <row r="1122" spans="3:4" x14ac:dyDescent="0.3">
      <c r="C1122">
        <v>104010001117769</v>
      </c>
      <c r="D1122">
        <v>2695</v>
      </c>
    </row>
    <row r="1123" spans="3:4" x14ac:dyDescent="0.3">
      <c r="C1123">
        <v>104010001125701</v>
      </c>
      <c r="D1123">
        <v>2695</v>
      </c>
    </row>
    <row r="1124" spans="3:4" x14ac:dyDescent="0.3">
      <c r="C1124">
        <v>104010001148323</v>
      </c>
      <c r="D1124">
        <v>2695</v>
      </c>
    </row>
    <row r="1125" spans="3:4" x14ac:dyDescent="0.3">
      <c r="C1125">
        <v>104010001148324</v>
      </c>
      <c r="D1125">
        <v>2695</v>
      </c>
    </row>
    <row r="1126" spans="3:4" x14ac:dyDescent="0.3">
      <c r="C1126">
        <v>104010001148325</v>
      </c>
      <c r="D1126">
        <v>2695</v>
      </c>
    </row>
    <row r="1127" spans="3:4" x14ac:dyDescent="0.3">
      <c r="C1127">
        <v>104010001164159</v>
      </c>
      <c r="D1127">
        <v>2695</v>
      </c>
    </row>
    <row r="1128" spans="3:4" x14ac:dyDescent="0.3">
      <c r="C1128">
        <v>104010001165041</v>
      </c>
      <c r="D1128">
        <v>2695</v>
      </c>
    </row>
    <row r="1129" spans="3:4" x14ac:dyDescent="0.3">
      <c r="C1129">
        <v>104010001168251</v>
      </c>
      <c r="D1129">
        <v>2695</v>
      </c>
    </row>
    <row r="1130" spans="3:4" x14ac:dyDescent="0.3">
      <c r="C1130">
        <v>104010001518730</v>
      </c>
      <c r="D1130">
        <v>3235</v>
      </c>
    </row>
    <row r="1131" spans="3:4" x14ac:dyDescent="0.3">
      <c r="C1131">
        <v>104010001196696</v>
      </c>
      <c r="D1131">
        <v>2695</v>
      </c>
    </row>
    <row r="1132" spans="3:4" x14ac:dyDescent="0.3">
      <c r="C1132">
        <v>104010001196697</v>
      </c>
      <c r="D1132">
        <v>2695</v>
      </c>
    </row>
    <row r="1133" spans="3:4" x14ac:dyDescent="0.3">
      <c r="C1133">
        <v>104010001200205</v>
      </c>
      <c r="D1133">
        <v>2695</v>
      </c>
    </row>
    <row r="1134" spans="3:4" x14ac:dyDescent="0.3">
      <c r="C1134">
        <v>104010001248607</v>
      </c>
      <c r="D1134">
        <v>2695</v>
      </c>
    </row>
    <row r="1135" spans="3:4" x14ac:dyDescent="0.3">
      <c r="C1135">
        <v>104010001218213</v>
      </c>
      <c r="D1135">
        <v>2695</v>
      </c>
    </row>
    <row r="1136" spans="3:4" x14ac:dyDescent="0.3">
      <c r="C1136">
        <v>104010001218214</v>
      </c>
      <c r="D1136">
        <v>2695</v>
      </c>
    </row>
    <row r="1137" spans="3:4" x14ac:dyDescent="0.3">
      <c r="C1137">
        <v>104010001218215</v>
      </c>
      <c r="D1137">
        <v>2695</v>
      </c>
    </row>
    <row r="1138" spans="3:4" x14ac:dyDescent="0.3">
      <c r="C1138">
        <v>104010001218216</v>
      </c>
      <c r="D1138">
        <v>2695</v>
      </c>
    </row>
    <row r="1139" spans="3:4" x14ac:dyDescent="0.3">
      <c r="C1139">
        <v>104010001228110</v>
      </c>
      <c r="D1139">
        <v>2695</v>
      </c>
    </row>
    <row r="1140" spans="3:4" x14ac:dyDescent="0.3">
      <c r="C1140">
        <v>104010001228111</v>
      </c>
      <c r="D1140">
        <v>2695</v>
      </c>
    </row>
    <row r="1141" spans="3:4" x14ac:dyDescent="0.3">
      <c r="C1141">
        <v>104010001228112</v>
      </c>
      <c r="D1141">
        <v>2695</v>
      </c>
    </row>
    <row r="1142" spans="3:4" x14ac:dyDescent="0.3">
      <c r="C1142">
        <v>104010001240702</v>
      </c>
      <c r="D1142">
        <v>2695</v>
      </c>
    </row>
    <row r="1143" spans="3:4" x14ac:dyDescent="0.3">
      <c r="C1143">
        <v>104010001247833</v>
      </c>
      <c r="D1143">
        <v>2695</v>
      </c>
    </row>
    <row r="1144" spans="3:4" x14ac:dyDescent="0.3">
      <c r="C1144">
        <v>104010001362493</v>
      </c>
      <c r="D1144">
        <v>2695</v>
      </c>
    </row>
    <row r="1145" spans="3:4" x14ac:dyDescent="0.3">
      <c r="C1145">
        <v>104010001265624</v>
      </c>
      <c r="D1145">
        <v>2695</v>
      </c>
    </row>
    <row r="1146" spans="3:4" x14ac:dyDescent="0.3">
      <c r="C1146">
        <v>104010001265625</v>
      </c>
      <c r="D1146">
        <v>2695</v>
      </c>
    </row>
    <row r="1147" spans="3:4" x14ac:dyDescent="0.3">
      <c r="C1147">
        <v>104010001265626</v>
      </c>
      <c r="D1147">
        <v>2695</v>
      </c>
    </row>
    <row r="1148" spans="3:4" x14ac:dyDescent="0.3">
      <c r="C1148">
        <v>104010001265627</v>
      </c>
      <c r="D1148">
        <v>2695</v>
      </c>
    </row>
    <row r="1149" spans="3:4" x14ac:dyDescent="0.3">
      <c r="C1149">
        <v>104010001270134</v>
      </c>
      <c r="D1149">
        <v>2695</v>
      </c>
    </row>
    <row r="1150" spans="3:4" x14ac:dyDescent="0.3">
      <c r="C1150">
        <v>104010001267776</v>
      </c>
      <c r="D1150">
        <v>2695</v>
      </c>
    </row>
    <row r="1151" spans="3:4" x14ac:dyDescent="0.3">
      <c r="C1151">
        <v>104010001267778</v>
      </c>
      <c r="D1151">
        <v>2695</v>
      </c>
    </row>
    <row r="1152" spans="3:4" x14ac:dyDescent="0.3">
      <c r="C1152">
        <v>104010001270135</v>
      </c>
      <c r="D1152">
        <v>2695</v>
      </c>
    </row>
    <row r="1153" spans="3:4" x14ac:dyDescent="0.3">
      <c r="C1153">
        <v>104010001270136</v>
      </c>
      <c r="D1153">
        <v>2695</v>
      </c>
    </row>
    <row r="1154" spans="3:4" x14ac:dyDescent="0.3">
      <c r="C1154">
        <v>104010001270137</v>
      </c>
      <c r="D1154">
        <v>2695</v>
      </c>
    </row>
    <row r="1155" spans="3:4" x14ac:dyDescent="0.3">
      <c r="C1155">
        <v>104010001270138</v>
      </c>
      <c r="D1155">
        <v>2695</v>
      </c>
    </row>
    <row r="1156" spans="3:4" x14ac:dyDescent="0.3">
      <c r="C1156">
        <v>104010001288939</v>
      </c>
      <c r="D1156">
        <v>2695</v>
      </c>
    </row>
    <row r="1157" spans="3:4" x14ac:dyDescent="0.3">
      <c r="C1157">
        <v>104010001288940</v>
      </c>
      <c r="D1157">
        <v>2695</v>
      </c>
    </row>
    <row r="1158" spans="3:4" x14ac:dyDescent="0.3">
      <c r="C1158">
        <v>104010001288941</v>
      </c>
      <c r="D1158">
        <v>2695</v>
      </c>
    </row>
    <row r="1159" spans="3:4" x14ac:dyDescent="0.3">
      <c r="C1159">
        <v>104010001288942</v>
      </c>
      <c r="D1159">
        <v>2695</v>
      </c>
    </row>
    <row r="1160" spans="3:4" x14ac:dyDescent="0.3">
      <c r="C1160">
        <v>104010001288943</v>
      </c>
      <c r="D1160">
        <v>2695</v>
      </c>
    </row>
    <row r="1161" spans="3:4" x14ac:dyDescent="0.3">
      <c r="C1161">
        <v>104010001364427</v>
      </c>
      <c r="D1161">
        <v>1890</v>
      </c>
    </row>
    <row r="1162" spans="3:4" x14ac:dyDescent="0.3">
      <c r="C1162">
        <v>104010001354656</v>
      </c>
      <c r="D1162">
        <v>2695</v>
      </c>
    </row>
    <row r="1163" spans="3:4" x14ac:dyDescent="0.3">
      <c r="C1163">
        <v>104010001354657</v>
      </c>
      <c r="D1163">
        <v>2695</v>
      </c>
    </row>
    <row r="1164" spans="3:4" x14ac:dyDescent="0.3">
      <c r="C1164">
        <v>204010000556933</v>
      </c>
      <c r="D1164">
        <v>4310</v>
      </c>
    </row>
    <row r="1165" spans="3:4" x14ac:dyDescent="0.3">
      <c r="C1165">
        <v>204010000543563</v>
      </c>
      <c r="D1165">
        <v>5390</v>
      </c>
    </row>
    <row r="1166" spans="3:4" x14ac:dyDescent="0.3">
      <c r="C1166">
        <v>204010000558346</v>
      </c>
      <c r="D1166">
        <v>4310</v>
      </c>
    </row>
    <row r="1167" spans="3:4" x14ac:dyDescent="0.3">
      <c r="C1167">
        <v>204010000494569</v>
      </c>
      <c r="D1167">
        <v>4850</v>
      </c>
    </row>
    <row r="1168" spans="3:4" x14ac:dyDescent="0.3">
      <c r="C1168">
        <v>204010000558444</v>
      </c>
      <c r="D1168">
        <v>4310</v>
      </c>
    </row>
    <row r="1169" spans="3:4" x14ac:dyDescent="0.3">
      <c r="C1169">
        <v>204010000560381</v>
      </c>
      <c r="D1169">
        <v>4310</v>
      </c>
    </row>
    <row r="1170" spans="3:4" x14ac:dyDescent="0.3">
      <c r="C1170">
        <v>204010000418708</v>
      </c>
      <c r="D1170">
        <v>4310</v>
      </c>
    </row>
    <row r="1171" spans="3:4" x14ac:dyDescent="0.3">
      <c r="C1171">
        <v>204010000320387</v>
      </c>
      <c r="D1171">
        <v>4045</v>
      </c>
    </row>
    <row r="1172" spans="3:4" x14ac:dyDescent="0.3">
      <c r="C1172">
        <v>204010000401217</v>
      </c>
      <c r="D1172">
        <v>4310</v>
      </c>
    </row>
    <row r="1173" spans="3:4" x14ac:dyDescent="0.3">
      <c r="C1173">
        <v>204010000475673</v>
      </c>
      <c r="D1173">
        <v>5390</v>
      </c>
    </row>
    <row r="1174" spans="3:4" x14ac:dyDescent="0.3">
      <c r="C1174">
        <v>204010000513252</v>
      </c>
      <c r="D1174">
        <v>4310</v>
      </c>
    </row>
    <row r="1175" spans="3:4" x14ac:dyDescent="0.3">
      <c r="C1175">
        <v>204010000512273</v>
      </c>
      <c r="D1175">
        <v>4310</v>
      </c>
    </row>
    <row r="1176" spans="3:4" x14ac:dyDescent="0.3">
      <c r="C1176">
        <v>204010000513253</v>
      </c>
      <c r="D1176">
        <v>4310</v>
      </c>
    </row>
    <row r="1177" spans="3:4" x14ac:dyDescent="0.3">
      <c r="C1177">
        <v>204010000515175</v>
      </c>
      <c r="D1177">
        <v>4310</v>
      </c>
    </row>
    <row r="1178" spans="3:4" x14ac:dyDescent="0.3">
      <c r="C1178">
        <v>204010000519431</v>
      </c>
      <c r="D1178">
        <v>4310</v>
      </c>
    </row>
    <row r="1179" spans="3:4" x14ac:dyDescent="0.3">
      <c r="C1179">
        <v>204010000513048</v>
      </c>
      <c r="D1179">
        <v>4310</v>
      </c>
    </row>
    <row r="1180" spans="3:4" x14ac:dyDescent="0.3">
      <c r="C1180">
        <v>204010000515669</v>
      </c>
      <c r="D1180">
        <v>4310</v>
      </c>
    </row>
    <row r="1181" spans="3:4" x14ac:dyDescent="0.3">
      <c r="C1181">
        <v>204010000606515</v>
      </c>
      <c r="D1181">
        <v>5390</v>
      </c>
    </row>
    <row r="1182" spans="3:4" x14ac:dyDescent="0.3">
      <c r="C1182">
        <v>204010000513499</v>
      </c>
      <c r="D1182">
        <v>4310</v>
      </c>
    </row>
    <row r="1183" spans="3:4" x14ac:dyDescent="0.3">
      <c r="C1183">
        <v>204010000515434</v>
      </c>
      <c r="D1183">
        <v>4310</v>
      </c>
    </row>
    <row r="1184" spans="3:4" x14ac:dyDescent="0.3">
      <c r="C1184">
        <v>204010000609193</v>
      </c>
      <c r="D1184">
        <v>4310</v>
      </c>
    </row>
    <row r="1185" spans="1:4" x14ac:dyDescent="0.3">
      <c r="C1185">
        <v>204010000539331</v>
      </c>
      <c r="D1185">
        <v>5390</v>
      </c>
    </row>
    <row r="1186" spans="1:4" x14ac:dyDescent="0.3">
      <c r="C1186">
        <v>204010000539323</v>
      </c>
      <c r="D1186">
        <v>5390</v>
      </c>
    </row>
    <row r="1187" spans="1:4" x14ac:dyDescent="0.3">
      <c r="C1187">
        <v>204010000470610</v>
      </c>
      <c r="D1187">
        <v>4310</v>
      </c>
    </row>
    <row r="1188" spans="1:4" x14ac:dyDescent="0.3">
      <c r="B1188" t="s">
        <v>151</v>
      </c>
      <c r="C1188">
        <v>204010000392891</v>
      </c>
      <c r="D1188">
        <v>4310</v>
      </c>
    </row>
    <row r="1189" spans="1:4" x14ac:dyDescent="0.3">
      <c r="B1189">
        <v>7</v>
      </c>
      <c r="C1189">
        <v>204010000606537</v>
      </c>
      <c r="D1189">
        <v>5390</v>
      </c>
    </row>
    <row r="1190" spans="1:4" x14ac:dyDescent="0.3">
      <c r="B1190">
        <v>1</v>
      </c>
      <c r="C1190">
        <v>204010000437271</v>
      </c>
      <c r="D1190">
        <v>4850</v>
      </c>
    </row>
    <row r="1191" spans="1:4" x14ac:dyDescent="0.3">
      <c r="B1191">
        <v>3</v>
      </c>
      <c r="C1191">
        <v>204010000437274</v>
      </c>
      <c r="D1191">
        <v>4850</v>
      </c>
    </row>
    <row r="1192" spans="1:4" x14ac:dyDescent="0.3">
      <c r="B1192">
        <v>1</v>
      </c>
      <c r="C1192">
        <v>204010000437272</v>
      </c>
      <c r="D1192">
        <v>4850</v>
      </c>
    </row>
    <row r="1193" spans="1:4" x14ac:dyDescent="0.3">
      <c r="B1193">
        <v>4</v>
      </c>
      <c r="C1193">
        <v>204010000447458</v>
      </c>
      <c r="D1193">
        <v>4850</v>
      </c>
    </row>
    <row r="1194" spans="1:4" x14ac:dyDescent="0.3">
      <c r="B1194">
        <v>9</v>
      </c>
      <c r="C1194">
        <v>204010000437273</v>
      </c>
      <c r="D1194">
        <v>4850</v>
      </c>
    </row>
    <row r="1195" spans="1:4" x14ac:dyDescent="0.3">
      <c r="B1195">
        <v>1</v>
      </c>
      <c r="C1195">
        <v>204010000551300</v>
      </c>
      <c r="D1195">
        <v>5390</v>
      </c>
    </row>
    <row r="1196" spans="1:4" x14ac:dyDescent="0.3">
      <c r="B1196">
        <v>1</v>
      </c>
      <c r="C1196">
        <v>204010000580008</v>
      </c>
      <c r="D1196">
        <v>3235</v>
      </c>
    </row>
    <row r="1197" spans="1:4" x14ac:dyDescent="0.3">
      <c r="B1197">
        <v>43</v>
      </c>
      <c r="C1197">
        <v>204010000530562</v>
      </c>
      <c r="D1197">
        <v>4310</v>
      </c>
    </row>
    <row r="1198" spans="1:4" x14ac:dyDescent="0.3">
      <c r="B1198">
        <v>33</v>
      </c>
      <c r="C1198">
        <v>204010000554623</v>
      </c>
      <c r="D1198">
        <v>4310</v>
      </c>
    </row>
    <row r="1199" spans="1:4" x14ac:dyDescent="0.3">
      <c r="B1199">
        <v>3</v>
      </c>
      <c r="C1199">
        <v>204010000598139</v>
      </c>
      <c r="D1199">
        <v>4310</v>
      </c>
    </row>
    <row r="1200" spans="1:4" x14ac:dyDescent="0.3">
      <c r="A1200" t="s">
        <v>170</v>
      </c>
      <c r="B1200">
        <v>133</v>
      </c>
      <c r="C1200">
        <v>204010000627843</v>
      </c>
      <c r="D1200">
        <v>3235</v>
      </c>
    </row>
    <row r="1201" spans="1:4" x14ac:dyDescent="0.3">
      <c r="A1201" t="s">
        <v>139</v>
      </c>
      <c r="B1201">
        <v>28</v>
      </c>
      <c r="C1201">
        <v>204010000640856</v>
      </c>
      <c r="D1201">
        <v>3235</v>
      </c>
    </row>
    <row r="1202" spans="1:4" x14ac:dyDescent="0.3">
      <c r="A1202" t="s">
        <v>16</v>
      </c>
      <c r="B1202">
        <v>206</v>
      </c>
      <c r="C1202">
        <v>204010000640855</v>
      </c>
      <c r="D1202">
        <v>3235</v>
      </c>
    </row>
    <row r="1203" spans="1:4" x14ac:dyDescent="0.3">
      <c r="A1203" t="s">
        <v>58</v>
      </c>
      <c r="B1203">
        <v>27</v>
      </c>
      <c r="C1203">
        <v>204010000535833</v>
      </c>
      <c r="D1203">
        <v>4310</v>
      </c>
    </row>
    <row r="1204" spans="1:4" x14ac:dyDescent="0.3">
      <c r="A1204" t="s">
        <v>114</v>
      </c>
      <c r="B1204">
        <v>500</v>
      </c>
      <c r="C1204">
        <v>204010000532709</v>
      </c>
      <c r="D1204">
        <v>4310</v>
      </c>
    </row>
    <row r="1205" spans="1:4" x14ac:dyDescent="0.3">
      <c r="A1205" t="s">
        <v>81</v>
      </c>
      <c r="C1205">
        <v>204010000532713</v>
      </c>
      <c r="D1205">
        <v>4310</v>
      </c>
    </row>
    <row r="1206" spans="1:4" x14ac:dyDescent="0.3">
      <c r="A1206" t="s">
        <v>21</v>
      </c>
      <c r="C1206">
        <v>204010000548856</v>
      </c>
      <c r="D1206">
        <v>5390</v>
      </c>
    </row>
    <row r="1207" spans="1:4" x14ac:dyDescent="0.3">
      <c r="A1207" t="s">
        <v>97</v>
      </c>
      <c r="C1207">
        <v>204010000609194</v>
      </c>
      <c r="D1207">
        <v>4310</v>
      </c>
    </row>
    <row r="1208" spans="1:4" x14ac:dyDescent="0.3">
      <c r="A1208" t="s">
        <v>94</v>
      </c>
      <c r="C1208">
        <v>204010000603852</v>
      </c>
      <c r="D1208">
        <v>5390</v>
      </c>
    </row>
    <row r="1209" spans="1:4" x14ac:dyDescent="0.3">
      <c r="A1209" t="s">
        <v>71</v>
      </c>
      <c r="C1209">
        <v>204010000603996</v>
      </c>
      <c r="D1209">
        <v>5390</v>
      </c>
    </row>
    <row r="1210" spans="1:4" x14ac:dyDescent="0.3">
      <c r="A1210" t="s">
        <v>102</v>
      </c>
      <c r="C1210">
        <v>204010000527918</v>
      </c>
      <c r="D1210">
        <v>4310</v>
      </c>
    </row>
    <row r="1211" spans="1:4" x14ac:dyDescent="0.3">
      <c r="A1211" t="s">
        <v>56</v>
      </c>
      <c r="C1211">
        <v>204010000523936</v>
      </c>
      <c r="D1211">
        <v>3235</v>
      </c>
    </row>
    <row r="1212" spans="1:4" x14ac:dyDescent="0.3">
      <c r="A1212" t="s">
        <v>60</v>
      </c>
      <c r="C1212">
        <v>204010000507998</v>
      </c>
      <c r="D1212">
        <v>2465</v>
      </c>
    </row>
    <row r="1213" spans="1:4" x14ac:dyDescent="0.3">
      <c r="A1213" t="s">
        <v>132</v>
      </c>
      <c r="C1213">
        <v>204010000475745</v>
      </c>
      <c r="D1213">
        <v>4310</v>
      </c>
    </row>
    <row r="1214" spans="1:4" x14ac:dyDescent="0.3">
      <c r="A1214" t="s">
        <v>124</v>
      </c>
      <c r="C1214">
        <v>204010000542269</v>
      </c>
      <c r="D1214">
        <v>5390</v>
      </c>
    </row>
    <row r="1215" spans="1:4" x14ac:dyDescent="0.3">
      <c r="A1215" t="s">
        <v>59</v>
      </c>
      <c r="C1215">
        <v>204010000443955</v>
      </c>
      <c r="D1215">
        <v>4580</v>
      </c>
    </row>
    <row r="1216" spans="1:4" x14ac:dyDescent="0.3">
      <c r="A1216" t="s">
        <v>86</v>
      </c>
      <c r="C1216">
        <v>204010000444213</v>
      </c>
      <c r="D1216">
        <v>2965</v>
      </c>
    </row>
    <row r="1217" spans="1:4" x14ac:dyDescent="0.3">
      <c r="A1217" t="s">
        <v>138</v>
      </c>
      <c r="C1217">
        <v>204010000596109</v>
      </c>
      <c r="D1217">
        <v>4310</v>
      </c>
    </row>
    <row r="1218" spans="1:4" x14ac:dyDescent="0.3">
      <c r="C1218">
        <v>204010000596108</v>
      </c>
      <c r="D1218">
        <v>4310</v>
      </c>
    </row>
    <row r="1219" spans="1:4" x14ac:dyDescent="0.3">
      <c r="C1219">
        <v>204010000596107</v>
      </c>
      <c r="D1219">
        <v>4310</v>
      </c>
    </row>
    <row r="1220" spans="1:4" x14ac:dyDescent="0.3">
      <c r="C1220">
        <v>204010000394157</v>
      </c>
      <c r="D1220">
        <v>4045</v>
      </c>
    </row>
    <row r="1221" spans="1:4" x14ac:dyDescent="0.3">
      <c r="C1221">
        <v>204010000285564</v>
      </c>
      <c r="D1221">
        <v>2695</v>
      </c>
    </row>
    <row r="1222" spans="1:4" x14ac:dyDescent="0.3">
      <c r="C1222">
        <v>274100000000095</v>
      </c>
      <c r="D1222">
        <v>2390</v>
      </c>
    </row>
    <row r="1223" spans="1:4" x14ac:dyDescent="0.3">
      <c r="C1223">
        <v>274100000000096</v>
      </c>
      <c r="D1223">
        <v>2390</v>
      </c>
    </row>
    <row r="1224" spans="1:4" x14ac:dyDescent="0.3">
      <c r="C1224">
        <v>604010000342946</v>
      </c>
      <c r="D1224">
        <v>3240</v>
      </c>
    </row>
    <row r="1225" spans="1:4" x14ac:dyDescent="0.3">
      <c r="C1225">
        <v>104010001439391</v>
      </c>
      <c r="D1225">
        <v>2965</v>
      </c>
    </row>
    <row r="1226" spans="1:4" x14ac:dyDescent="0.3">
      <c r="C1226">
        <v>104010001444628</v>
      </c>
      <c r="D1226">
        <v>2965</v>
      </c>
    </row>
    <row r="1227" spans="1:4" x14ac:dyDescent="0.3">
      <c r="C1227">
        <v>104010001444629</v>
      </c>
      <c r="D1227">
        <v>2965</v>
      </c>
    </row>
    <row r="1228" spans="1:4" x14ac:dyDescent="0.3">
      <c r="C1228">
        <v>104010001516973</v>
      </c>
      <c r="D1228">
        <v>2695</v>
      </c>
    </row>
    <row r="1229" spans="1:4" x14ac:dyDescent="0.3">
      <c r="C1229">
        <v>104010001539836</v>
      </c>
      <c r="D1229">
        <v>4045</v>
      </c>
    </row>
    <row r="1230" spans="1:4" x14ac:dyDescent="0.3">
      <c r="C1230">
        <v>104010001426682</v>
      </c>
      <c r="D1230">
        <v>2695</v>
      </c>
    </row>
    <row r="1231" spans="1:4" x14ac:dyDescent="0.3">
      <c r="C1231">
        <v>104010001426685</v>
      </c>
      <c r="D1231">
        <v>2695</v>
      </c>
    </row>
    <row r="1232" spans="1:4" x14ac:dyDescent="0.3">
      <c r="C1232">
        <v>104010001426686</v>
      </c>
      <c r="D1232">
        <v>2695</v>
      </c>
    </row>
    <row r="1233" spans="3:4" x14ac:dyDescent="0.3">
      <c r="C1233">
        <v>204010000384949</v>
      </c>
      <c r="D1233">
        <v>2695</v>
      </c>
    </row>
    <row r="1234" spans="3:4" x14ac:dyDescent="0.3">
      <c r="C1234">
        <v>604010000355077</v>
      </c>
      <c r="D1234">
        <v>2700</v>
      </c>
    </row>
    <row r="1235" spans="3:4" x14ac:dyDescent="0.3">
      <c r="C1235">
        <v>604010000346949</v>
      </c>
      <c r="D1235">
        <v>3240</v>
      </c>
    </row>
    <row r="1236" spans="3:4" x14ac:dyDescent="0.3">
      <c r="C1236">
        <v>604010000358826</v>
      </c>
      <c r="D1236">
        <v>363</v>
      </c>
    </row>
    <row r="1237" spans="3:4" x14ac:dyDescent="0.3">
      <c r="C1237">
        <v>104010001050372</v>
      </c>
      <c r="D1237">
        <v>3770</v>
      </c>
    </row>
    <row r="1238" spans="3:4" x14ac:dyDescent="0.3">
      <c r="C1238">
        <v>104010001104206</v>
      </c>
      <c r="D1238">
        <v>3770</v>
      </c>
    </row>
    <row r="1239" spans="3:4" x14ac:dyDescent="0.3">
      <c r="C1239">
        <v>104010001104205</v>
      </c>
      <c r="D1239">
        <v>3770</v>
      </c>
    </row>
    <row r="1240" spans="3:4" x14ac:dyDescent="0.3">
      <c r="C1240">
        <v>104010000760369</v>
      </c>
      <c r="D1240">
        <v>3942</v>
      </c>
    </row>
    <row r="1241" spans="3:4" x14ac:dyDescent="0.3">
      <c r="C1241">
        <v>104010000800550</v>
      </c>
      <c r="D1241">
        <v>2377</v>
      </c>
    </row>
    <row r="1242" spans="3:4" x14ac:dyDescent="0.3">
      <c r="C1242">
        <v>104010000826676</v>
      </c>
      <c r="D1242">
        <v>2430</v>
      </c>
    </row>
    <row r="1243" spans="3:4" x14ac:dyDescent="0.3">
      <c r="C1243">
        <v>104010000840441</v>
      </c>
      <c r="D1243">
        <v>1620</v>
      </c>
    </row>
    <row r="1244" spans="3:4" x14ac:dyDescent="0.3">
      <c r="C1244">
        <v>104010001035933</v>
      </c>
      <c r="D1244">
        <v>2695</v>
      </c>
    </row>
    <row r="1245" spans="3:4" x14ac:dyDescent="0.3">
      <c r="C1245">
        <v>104010001249100</v>
      </c>
      <c r="D1245">
        <v>2695</v>
      </c>
    </row>
    <row r="1246" spans="3:4" x14ac:dyDescent="0.3">
      <c r="C1246">
        <v>104010001225517</v>
      </c>
      <c r="D1246">
        <v>2695</v>
      </c>
    </row>
    <row r="1247" spans="3:4" x14ac:dyDescent="0.3">
      <c r="C1247">
        <v>104010001222327</v>
      </c>
      <c r="D1247">
        <v>2695</v>
      </c>
    </row>
    <row r="1248" spans="3:4" x14ac:dyDescent="0.3">
      <c r="C1248">
        <v>104010001225518</v>
      </c>
      <c r="D1248">
        <v>2695</v>
      </c>
    </row>
    <row r="1249" spans="3:4" x14ac:dyDescent="0.3">
      <c r="C1249">
        <v>104010001387304</v>
      </c>
      <c r="D1249">
        <v>2695</v>
      </c>
    </row>
    <row r="1250" spans="3:4" x14ac:dyDescent="0.3">
      <c r="C1250">
        <v>104010001387303</v>
      </c>
      <c r="D1250">
        <v>2695</v>
      </c>
    </row>
    <row r="1251" spans="3:4" x14ac:dyDescent="0.3">
      <c r="C1251">
        <v>104010001387302</v>
      </c>
      <c r="D1251">
        <v>2695</v>
      </c>
    </row>
    <row r="1252" spans="3:4" x14ac:dyDescent="0.3">
      <c r="C1252">
        <v>204010000624490</v>
      </c>
      <c r="D1252">
        <v>3235</v>
      </c>
    </row>
    <row r="1253" spans="3:4" x14ac:dyDescent="0.3">
      <c r="C1253">
        <v>204010000624489</v>
      </c>
      <c r="D1253">
        <v>5390</v>
      </c>
    </row>
    <row r="1254" spans="3:4" x14ac:dyDescent="0.3">
      <c r="C1254">
        <v>204010000454598</v>
      </c>
      <c r="D1254">
        <v>3775</v>
      </c>
    </row>
    <row r="1255" spans="3:4" x14ac:dyDescent="0.3">
      <c r="C1255">
        <v>204010000523584</v>
      </c>
      <c r="D1255">
        <v>5390</v>
      </c>
    </row>
    <row r="1256" spans="3:4" x14ac:dyDescent="0.3">
      <c r="C1256">
        <v>204010000593558</v>
      </c>
      <c r="D1256">
        <v>2965</v>
      </c>
    </row>
    <row r="1257" spans="3:4" x14ac:dyDescent="0.3">
      <c r="C1257">
        <v>204010000402771</v>
      </c>
      <c r="D1257">
        <v>5390</v>
      </c>
    </row>
    <row r="1258" spans="3:4" x14ac:dyDescent="0.3">
      <c r="C1258">
        <v>204010000501771</v>
      </c>
      <c r="D1258">
        <v>5390</v>
      </c>
    </row>
    <row r="1259" spans="3:4" x14ac:dyDescent="0.3">
      <c r="C1259">
        <v>204010000593807</v>
      </c>
      <c r="D1259">
        <v>5390</v>
      </c>
    </row>
    <row r="1260" spans="3:4" x14ac:dyDescent="0.3">
      <c r="C1260">
        <v>204010000484602</v>
      </c>
      <c r="D1260">
        <v>5390</v>
      </c>
    </row>
    <row r="1261" spans="3:4" x14ac:dyDescent="0.3">
      <c r="C1261">
        <v>204010000432114</v>
      </c>
      <c r="D1261">
        <v>5390</v>
      </c>
    </row>
    <row r="1262" spans="3:4" x14ac:dyDescent="0.3">
      <c r="C1262">
        <v>204010000543476</v>
      </c>
      <c r="D1262">
        <v>5390</v>
      </c>
    </row>
    <row r="1263" spans="3:4" x14ac:dyDescent="0.3">
      <c r="C1263">
        <v>204010000596162</v>
      </c>
      <c r="D1263">
        <v>5390</v>
      </c>
    </row>
    <row r="1264" spans="3:4" x14ac:dyDescent="0.3">
      <c r="C1264">
        <v>814020000022691</v>
      </c>
      <c r="D1264">
        <v>5710</v>
      </c>
    </row>
    <row r="1265" spans="3:4" x14ac:dyDescent="0.3">
      <c r="C1265">
        <v>204010000547070</v>
      </c>
      <c r="D1265">
        <v>3775</v>
      </c>
    </row>
    <row r="1266" spans="3:4" x14ac:dyDescent="0.3">
      <c r="C1266">
        <v>204010000492038</v>
      </c>
      <c r="D1266">
        <v>2965</v>
      </c>
    </row>
    <row r="1267" spans="3:4" x14ac:dyDescent="0.3">
      <c r="C1267">
        <v>204010000340982</v>
      </c>
      <c r="D1267">
        <v>3775</v>
      </c>
    </row>
    <row r="1268" spans="3:4" x14ac:dyDescent="0.3">
      <c r="C1268">
        <v>204010000343507</v>
      </c>
      <c r="D1268">
        <v>4045</v>
      </c>
    </row>
    <row r="1269" spans="3:4" x14ac:dyDescent="0.3">
      <c r="C1269">
        <v>204010000233552</v>
      </c>
      <c r="D1269">
        <v>2695</v>
      </c>
    </row>
    <row r="1270" spans="3:4" x14ac:dyDescent="0.3">
      <c r="C1270">
        <v>204010000254242</v>
      </c>
      <c r="D1270">
        <v>2695</v>
      </c>
    </row>
    <row r="1271" spans="3:4" x14ac:dyDescent="0.3">
      <c r="C1271">
        <v>204010000251176</v>
      </c>
      <c r="D1271">
        <v>3770</v>
      </c>
    </row>
    <row r="1272" spans="3:4" x14ac:dyDescent="0.3">
      <c r="C1272">
        <v>204010000501067</v>
      </c>
      <c r="D1272">
        <v>4310</v>
      </c>
    </row>
    <row r="1273" spans="3:4" x14ac:dyDescent="0.3">
      <c r="C1273">
        <v>204010000619255</v>
      </c>
      <c r="D1273">
        <v>4310</v>
      </c>
    </row>
    <row r="1274" spans="3:4" x14ac:dyDescent="0.3">
      <c r="C1274">
        <v>204010000225950</v>
      </c>
      <c r="D1274">
        <v>2695</v>
      </c>
    </row>
    <row r="1275" spans="3:4" x14ac:dyDescent="0.3">
      <c r="C1275">
        <v>204010000240981</v>
      </c>
      <c r="D1275">
        <v>2695</v>
      </c>
    </row>
    <row r="1276" spans="3:4" x14ac:dyDescent="0.3">
      <c r="C1276">
        <v>204010000256129</v>
      </c>
      <c r="D1276">
        <v>2695</v>
      </c>
    </row>
    <row r="1277" spans="3:4" x14ac:dyDescent="0.3">
      <c r="C1277">
        <v>204010000256130</v>
      </c>
      <c r="D1277">
        <v>2695</v>
      </c>
    </row>
    <row r="1278" spans="3:4" x14ac:dyDescent="0.3">
      <c r="C1278">
        <v>104010000772567</v>
      </c>
      <c r="D1278">
        <v>3651</v>
      </c>
    </row>
    <row r="1279" spans="3:4" x14ac:dyDescent="0.3">
      <c r="C1279">
        <v>104010000772569</v>
      </c>
      <c r="D1279">
        <v>3597</v>
      </c>
    </row>
    <row r="1280" spans="3:4" x14ac:dyDescent="0.3">
      <c r="C1280">
        <v>104010000764673</v>
      </c>
      <c r="D1280">
        <v>3711</v>
      </c>
    </row>
    <row r="1281" spans="3:4" x14ac:dyDescent="0.3">
      <c r="C1281">
        <v>104010000834270</v>
      </c>
      <c r="D1281">
        <v>2373</v>
      </c>
    </row>
    <row r="1282" spans="3:4" x14ac:dyDescent="0.3">
      <c r="C1282">
        <v>104010000846664</v>
      </c>
      <c r="D1282">
        <v>2695</v>
      </c>
    </row>
    <row r="1283" spans="3:4" x14ac:dyDescent="0.3">
      <c r="C1283">
        <v>104010000872657</v>
      </c>
      <c r="D1283">
        <v>2695</v>
      </c>
    </row>
    <row r="1284" spans="3:4" x14ac:dyDescent="0.3">
      <c r="C1284">
        <v>104010000872658</v>
      </c>
      <c r="D1284">
        <v>2695</v>
      </c>
    </row>
    <row r="1285" spans="3:4" x14ac:dyDescent="0.3">
      <c r="C1285">
        <v>104010000872660</v>
      </c>
      <c r="D1285">
        <v>2695</v>
      </c>
    </row>
    <row r="1286" spans="3:4" x14ac:dyDescent="0.3">
      <c r="C1286">
        <v>104010000889512</v>
      </c>
      <c r="D1286">
        <v>2695</v>
      </c>
    </row>
    <row r="1287" spans="3:4" x14ac:dyDescent="0.3">
      <c r="C1287">
        <v>104010001253370</v>
      </c>
      <c r="D1287">
        <v>2695</v>
      </c>
    </row>
    <row r="1288" spans="3:4" x14ac:dyDescent="0.3">
      <c r="C1288">
        <v>104010001253372</v>
      </c>
      <c r="D1288">
        <v>2695</v>
      </c>
    </row>
    <row r="1289" spans="3:4" x14ac:dyDescent="0.3">
      <c r="C1289">
        <v>104010001253371</v>
      </c>
      <c r="D1289">
        <v>2695</v>
      </c>
    </row>
    <row r="1290" spans="3:4" x14ac:dyDescent="0.3">
      <c r="C1290">
        <v>104010001253373</v>
      </c>
      <c r="D1290">
        <v>2695</v>
      </c>
    </row>
    <row r="1291" spans="3:4" x14ac:dyDescent="0.3">
      <c r="C1291">
        <v>104010000772570</v>
      </c>
      <c r="D1291">
        <v>3651</v>
      </c>
    </row>
    <row r="1292" spans="3:4" x14ac:dyDescent="0.3">
      <c r="C1292">
        <v>204010000504546</v>
      </c>
      <c r="D1292">
        <v>3775</v>
      </c>
    </row>
    <row r="1293" spans="3:4" x14ac:dyDescent="0.3">
      <c r="C1293">
        <v>204010000504547</v>
      </c>
      <c r="D1293">
        <v>3775</v>
      </c>
    </row>
    <row r="1294" spans="3:4" x14ac:dyDescent="0.3">
      <c r="C1294">
        <v>204010000479552</v>
      </c>
      <c r="D1294">
        <v>4310</v>
      </c>
    </row>
    <row r="1295" spans="3:4" x14ac:dyDescent="0.3">
      <c r="C1295">
        <v>204010000383421</v>
      </c>
      <c r="D1295">
        <v>3775</v>
      </c>
    </row>
    <row r="1296" spans="3:4" x14ac:dyDescent="0.3">
      <c r="C1296">
        <v>204010000383420</v>
      </c>
      <c r="D1296">
        <v>5390</v>
      </c>
    </row>
    <row r="1297" spans="3:4" x14ac:dyDescent="0.3">
      <c r="C1297">
        <v>204010000479551</v>
      </c>
      <c r="D1297">
        <v>4310</v>
      </c>
    </row>
    <row r="1298" spans="3:4" x14ac:dyDescent="0.3">
      <c r="C1298">
        <v>204010000322638</v>
      </c>
      <c r="D1298">
        <v>3775</v>
      </c>
    </row>
    <row r="1299" spans="3:4" x14ac:dyDescent="0.3">
      <c r="C1299">
        <v>204010000376174</v>
      </c>
      <c r="D1299">
        <v>3775</v>
      </c>
    </row>
    <row r="1300" spans="3:4" x14ac:dyDescent="0.3">
      <c r="C1300">
        <v>204010000401266</v>
      </c>
      <c r="D1300">
        <v>5390</v>
      </c>
    </row>
    <row r="1301" spans="3:4" x14ac:dyDescent="0.3">
      <c r="C1301">
        <v>204010000518949</v>
      </c>
      <c r="D1301">
        <v>4310</v>
      </c>
    </row>
    <row r="1302" spans="3:4" x14ac:dyDescent="0.3">
      <c r="C1302">
        <v>204010000522145</v>
      </c>
      <c r="D1302">
        <v>3775</v>
      </c>
    </row>
    <row r="1303" spans="3:4" x14ac:dyDescent="0.3">
      <c r="C1303">
        <v>204010000525650</v>
      </c>
      <c r="D1303">
        <v>3775</v>
      </c>
    </row>
    <row r="1304" spans="3:4" x14ac:dyDescent="0.3">
      <c r="C1304">
        <v>204010000376182</v>
      </c>
      <c r="D1304">
        <v>3775</v>
      </c>
    </row>
    <row r="1305" spans="3:4" x14ac:dyDescent="0.3">
      <c r="C1305">
        <v>204010000349261</v>
      </c>
      <c r="D1305">
        <v>5390</v>
      </c>
    </row>
    <row r="1306" spans="3:4" x14ac:dyDescent="0.3">
      <c r="C1306">
        <v>204010000442836</v>
      </c>
      <c r="D1306">
        <v>3775</v>
      </c>
    </row>
    <row r="1307" spans="3:4" x14ac:dyDescent="0.3">
      <c r="C1307">
        <v>204010000439252</v>
      </c>
      <c r="D1307">
        <v>3775</v>
      </c>
    </row>
    <row r="1308" spans="3:4" x14ac:dyDescent="0.3">
      <c r="C1308">
        <v>204010000338737</v>
      </c>
      <c r="D1308">
        <v>3775</v>
      </c>
    </row>
    <row r="1309" spans="3:4" x14ac:dyDescent="0.3">
      <c r="C1309">
        <v>204010000439253</v>
      </c>
      <c r="D1309">
        <v>3775</v>
      </c>
    </row>
    <row r="1310" spans="3:4" x14ac:dyDescent="0.3">
      <c r="C1310">
        <v>204010000504550</v>
      </c>
      <c r="D1310">
        <v>3775</v>
      </c>
    </row>
    <row r="1311" spans="3:4" x14ac:dyDescent="0.3">
      <c r="C1311">
        <v>204010000340058</v>
      </c>
      <c r="D1311">
        <v>3775</v>
      </c>
    </row>
    <row r="1312" spans="3:4" x14ac:dyDescent="0.3">
      <c r="C1312">
        <v>204010000542347</v>
      </c>
      <c r="D1312">
        <v>3775</v>
      </c>
    </row>
    <row r="1313" spans="3:4" x14ac:dyDescent="0.3">
      <c r="C1313">
        <v>204010000525651</v>
      </c>
      <c r="D1313">
        <v>3775</v>
      </c>
    </row>
    <row r="1314" spans="3:4" x14ac:dyDescent="0.3">
      <c r="C1314">
        <v>204010000528580</v>
      </c>
      <c r="D1314">
        <v>3775</v>
      </c>
    </row>
    <row r="1315" spans="3:4" x14ac:dyDescent="0.3">
      <c r="C1315">
        <v>204010000596541</v>
      </c>
      <c r="D1315">
        <v>3775</v>
      </c>
    </row>
    <row r="1316" spans="3:4" x14ac:dyDescent="0.3">
      <c r="C1316">
        <v>204010000504571</v>
      </c>
      <c r="D1316">
        <v>3775</v>
      </c>
    </row>
    <row r="1317" spans="3:4" x14ac:dyDescent="0.3">
      <c r="C1317">
        <v>204010000595113</v>
      </c>
      <c r="D1317">
        <v>3775</v>
      </c>
    </row>
    <row r="1318" spans="3:4" x14ac:dyDescent="0.3">
      <c r="C1318">
        <v>204010000596544</v>
      </c>
      <c r="D1318">
        <v>3775</v>
      </c>
    </row>
    <row r="1319" spans="3:4" x14ac:dyDescent="0.3">
      <c r="C1319">
        <v>204010000441884</v>
      </c>
      <c r="D1319">
        <v>3235</v>
      </c>
    </row>
    <row r="1320" spans="3:4" x14ac:dyDescent="0.3">
      <c r="C1320">
        <v>214030000010421</v>
      </c>
      <c r="D1320">
        <v>1620</v>
      </c>
    </row>
    <row r="1321" spans="3:4" x14ac:dyDescent="0.3">
      <c r="C1321">
        <v>104010000853707</v>
      </c>
      <c r="D1321">
        <v>2695</v>
      </c>
    </row>
    <row r="1322" spans="3:4" x14ac:dyDescent="0.3">
      <c r="C1322">
        <v>204010000596840</v>
      </c>
      <c r="D1322">
        <v>4850</v>
      </c>
    </row>
    <row r="1323" spans="3:4" x14ac:dyDescent="0.3">
      <c r="C1323">
        <v>204010000596841</v>
      </c>
      <c r="D1323">
        <v>4850</v>
      </c>
    </row>
    <row r="1324" spans="3:4" x14ac:dyDescent="0.3">
      <c r="C1324">
        <v>104010001202398</v>
      </c>
      <c r="D1324">
        <v>2695</v>
      </c>
    </row>
    <row r="1325" spans="3:4" x14ac:dyDescent="0.3">
      <c r="C1325">
        <v>104010001202399</v>
      </c>
      <c r="D1325">
        <v>2695</v>
      </c>
    </row>
    <row r="1326" spans="3:4" x14ac:dyDescent="0.3">
      <c r="C1326">
        <v>104010001202400</v>
      </c>
      <c r="D1326">
        <v>2695</v>
      </c>
    </row>
    <row r="1327" spans="3:4" x14ac:dyDescent="0.3">
      <c r="C1327">
        <v>104010001202401</v>
      </c>
      <c r="D1327">
        <v>2695</v>
      </c>
    </row>
    <row r="1328" spans="3:4" x14ac:dyDescent="0.3">
      <c r="C1328">
        <v>104010001341053</v>
      </c>
      <c r="D1328">
        <v>2695</v>
      </c>
    </row>
    <row r="1329" spans="3:4" x14ac:dyDescent="0.3">
      <c r="C1329">
        <v>104010001202402</v>
      </c>
      <c r="D1329">
        <v>2695</v>
      </c>
    </row>
    <row r="1330" spans="3:4" x14ac:dyDescent="0.3">
      <c r="C1330">
        <v>104010001202403</v>
      </c>
      <c r="D1330">
        <v>2695</v>
      </c>
    </row>
    <row r="1331" spans="3:4" x14ac:dyDescent="0.3">
      <c r="C1331">
        <v>104010001202404</v>
      </c>
      <c r="D1331">
        <v>2155</v>
      </c>
    </row>
    <row r="1332" spans="3:4" x14ac:dyDescent="0.3">
      <c r="C1332">
        <v>104010001202406</v>
      </c>
      <c r="D1332">
        <v>2695</v>
      </c>
    </row>
    <row r="1333" spans="3:4" x14ac:dyDescent="0.3">
      <c r="C1333">
        <v>104010001264439</v>
      </c>
      <c r="D1333">
        <v>2695</v>
      </c>
    </row>
    <row r="1334" spans="3:4" x14ac:dyDescent="0.3">
      <c r="C1334">
        <v>104010001276033</v>
      </c>
      <c r="D1334">
        <v>2695</v>
      </c>
    </row>
    <row r="1335" spans="3:4" x14ac:dyDescent="0.3">
      <c r="C1335">
        <v>104010001202407</v>
      </c>
      <c r="D1335">
        <v>2695</v>
      </c>
    </row>
    <row r="1336" spans="3:4" x14ac:dyDescent="0.3">
      <c r="C1336">
        <v>104010001202408</v>
      </c>
      <c r="D1336">
        <v>2695</v>
      </c>
    </row>
    <row r="1337" spans="3:4" x14ac:dyDescent="0.3">
      <c r="C1337">
        <v>104010001202409</v>
      </c>
      <c r="D1337">
        <v>2695</v>
      </c>
    </row>
    <row r="1338" spans="3:4" x14ac:dyDescent="0.3">
      <c r="C1338">
        <v>104010001485783</v>
      </c>
      <c r="D1338">
        <v>2695</v>
      </c>
    </row>
    <row r="1339" spans="3:4" x14ac:dyDescent="0.3">
      <c r="C1339">
        <v>104010001222014</v>
      </c>
      <c r="D1339">
        <v>2695</v>
      </c>
    </row>
    <row r="1340" spans="3:4" x14ac:dyDescent="0.3">
      <c r="C1340">
        <v>104010001222015</v>
      </c>
      <c r="D1340">
        <v>2695</v>
      </c>
    </row>
    <row r="1341" spans="3:4" x14ac:dyDescent="0.3">
      <c r="C1341">
        <v>104010001222016</v>
      </c>
      <c r="D1341">
        <v>2695</v>
      </c>
    </row>
    <row r="1342" spans="3:4" x14ac:dyDescent="0.3">
      <c r="C1342">
        <v>104010001242085</v>
      </c>
      <c r="D1342">
        <v>2695</v>
      </c>
    </row>
    <row r="1343" spans="3:4" x14ac:dyDescent="0.3">
      <c r="C1343">
        <v>104010001349988</v>
      </c>
      <c r="D1343">
        <v>2695</v>
      </c>
    </row>
    <row r="1344" spans="3:4" x14ac:dyDescent="0.3">
      <c r="C1344">
        <v>104010001417853</v>
      </c>
      <c r="D1344">
        <v>2695</v>
      </c>
    </row>
    <row r="1345" spans="3:4" x14ac:dyDescent="0.3">
      <c r="C1345">
        <v>104010001417852</v>
      </c>
      <c r="D1345">
        <v>2695</v>
      </c>
    </row>
    <row r="1346" spans="3:4" x14ac:dyDescent="0.3">
      <c r="C1346">
        <v>104010001417854</v>
      </c>
      <c r="D1346">
        <v>2695</v>
      </c>
    </row>
    <row r="1347" spans="3:4" x14ac:dyDescent="0.3">
      <c r="C1347">
        <v>204010000301351</v>
      </c>
      <c r="D1347">
        <v>2695</v>
      </c>
    </row>
    <row r="1348" spans="3:4" x14ac:dyDescent="0.3">
      <c r="C1348">
        <v>204010000643851</v>
      </c>
      <c r="D1348">
        <v>3235</v>
      </c>
    </row>
    <row r="1349" spans="3:4" x14ac:dyDescent="0.3">
      <c r="C1349">
        <v>204010000609526</v>
      </c>
      <c r="D1349">
        <v>3235</v>
      </c>
    </row>
    <row r="1350" spans="3:4" x14ac:dyDescent="0.3">
      <c r="C1350">
        <v>604010000239279</v>
      </c>
      <c r="D1350">
        <v>2650</v>
      </c>
    </row>
    <row r="1351" spans="3:4" x14ac:dyDescent="0.3">
      <c r="C1351">
        <v>604010000239280</v>
      </c>
      <c r="D1351">
        <v>2650</v>
      </c>
    </row>
    <row r="1352" spans="3:4" x14ac:dyDescent="0.3">
      <c r="C1352">
        <v>104010000833210</v>
      </c>
      <c r="D1352">
        <v>3770</v>
      </c>
    </row>
    <row r="1353" spans="3:4" x14ac:dyDescent="0.3">
      <c r="C1353">
        <v>104010000844594</v>
      </c>
      <c r="D1353">
        <v>2695</v>
      </c>
    </row>
    <row r="1354" spans="3:4" x14ac:dyDescent="0.3">
      <c r="C1354">
        <v>104010001198993</v>
      </c>
      <c r="D1354">
        <v>2695</v>
      </c>
    </row>
    <row r="1355" spans="3:4" x14ac:dyDescent="0.3">
      <c r="C1355">
        <v>104010001267182</v>
      </c>
      <c r="D1355">
        <v>2155</v>
      </c>
    </row>
    <row r="1356" spans="3:4" x14ac:dyDescent="0.3">
      <c r="C1356">
        <v>104010001121851</v>
      </c>
      <c r="D1356">
        <v>3770</v>
      </c>
    </row>
    <row r="1357" spans="3:4" x14ac:dyDescent="0.3">
      <c r="C1357">
        <v>104010001124887</v>
      </c>
      <c r="D1357">
        <v>3770</v>
      </c>
    </row>
    <row r="1358" spans="3:4" x14ac:dyDescent="0.3">
      <c r="C1358">
        <v>104010001125695</v>
      </c>
      <c r="D1358">
        <v>2695</v>
      </c>
    </row>
    <row r="1359" spans="3:4" x14ac:dyDescent="0.3">
      <c r="C1359">
        <v>104010001181633</v>
      </c>
      <c r="D1359">
        <v>3770</v>
      </c>
    </row>
    <row r="1360" spans="3:4" x14ac:dyDescent="0.3">
      <c r="C1360">
        <v>104010001181632</v>
      </c>
      <c r="D1360">
        <v>3770</v>
      </c>
    </row>
    <row r="1361" spans="3:4" x14ac:dyDescent="0.3">
      <c r="C1361">
        <v>104010001188948</v>
      </c>
      <c r="D1361">
        <v>2695</v>
      </c>
    </row>
    <row r="1362" spans="3:4" x14ac:dyDescent="0.3">
      <c r="C1362">
        <v>104010001229752</v>
      </c>
      <c r="D1362">
        <v>2695</v>
      </c>
    </row>
    <row r="1363" spans="3:4" x14ac:dyDescent="0.3">
      <c r="C1363">
        <v>104010000800344</v>
      </c>
      <c r="D1363">
        <v>3071</v>
      </c>
    </row>
    <row r="1364" spans="3:4" x14ac:dyDescent="0.3">
      <c r="C1364">
        <v>104010000800345</v>
      </c>
      <c r="D1364">
        <v>3071</v>
      </c>
    </row>
    <row r="1365" spans="3:4" x14ac:dyDescent="0.3">
      <c r="C1365">
        <v>104010000800346</v>
      </c>
      <c r="D1365">
        <v>3071</v>
      </c>
    </row>
    <row r="1366" spans="3:4" x14ac:dyDescent="0.3">
      <c r="C1366">
        <v>104010000756442</v>
      </c>
      <c r="D1366">
        <v>5525</v>
      </c>
    </row>
    <row r="1367" spans="3:4" x14ac:dyDescent="0.3">
      <c r="C1367">
        <v>204010000308698</v>
      </c>
      <c r="D1367">
        <v>3235</v>
      </c>
    </row>
    <row r="1368" spans="3:4" x14ac:dyDescent="0.3">
      <c r="C1368">
        <v>204010000321318</v>
      </c>
      <c r="D1368">
        <v>4045</v>
      </c>
    </row>
    <row r="1369" spans="3:4" x14ac:dyDescent="0.3">
      <c r="C1369">
        <v>204010000512315</v>
      </c>
      <c r="D1369">
        <v>5390</v>
      </c>
    </row>
    <row r="1370" spans="3:4" x14ac:dyDescent="0.3">
      <c r="C1370">
        <v>204010000270148</v>
      </c>
      <c r="D1370">
        <v>3775</v>
      </c>
    </row>
    <row r="1371" spans="3:4" x14ac:dyDescent="0.3">
      <c r="C1371">
        <v>204010000343697</v>
      </c>
      <c r="D1371">
        <v>5390</v>
      </c>
    </row>
    <row r="1372" spans="3:4" x14ac:dyDescent="0.3">
      <c r="C1372">
        <v>204010000268089</v>
      </c>
      <c r="D1372">
        <v>3775</v>
      </c>
    </row>
    <row r="1373" spans="3:4" x14ac:dyDescent="0.3">
      <c r="C1373">
        <v>204010000260831</v>
      </c>
      <c r="D1373">
        <v>3200</v>
      </c>
    </row>
    <row r="1374" spans="3:4" x14ac:dyDescent="0.3">
      <c r="C1374">
        <v>204010000267317</v>
      </c>
      <c r="D1374">
        <v>3775</v>
      </c>
    </row>
    <row r="1375" spans="3:4" x14ac:dyDescent="0.3">
      <c r="C1375">
        <v>204010000309125</v>
      </c>
      <c r="D1375">
        <v>3200</v>
      </c>
    </row>
    <row r="1376" spans="3:4" x14ac:dyDescent="0.3">
      <c r="C1376">
        <v>204010000470338</v>
      </c>
      <c r="D1376">
        <v>2695</v>
      </c>
    </row>
    <row r="1377" spans="2:4" x14ac:dyDescent="0.3">
      <c r="C1377">
        <v>204010000588876</v>
      </c>
      <c r="D1377">
        <v>2695</v>
      </c>
    </row>
    <row r="1378" spans="2:4" x14ac:dyDescent="0.3">
      <c r="C1378">
        <v>204010000343698</v>
      </c>
      <c r="D1378">
        <v>2695</v>
      </c>
    </row>
    <row r="1379" spans="2:4" x14ac:dyDescent="0.3">
      <c r="C1379">
        <v>204010000244829</v>
      </c>
      <c r="D1379">
        <v>3770</v>
      </c>
    </row>
    <row r="1380" spans="2:4" x14ac:dyDescent="0.3">
      <c r="C1380">
        <v>204010000291078</v>
      </c>
      <c r="D1380">
        <v>3725</v>
      </c>
    </row>
    <row r="1381" spans="2:4" x14ac:dyDescent="0.3">
      <c r="C1381">
        <v>204010000430209</v>
      </c>
      <c r="D1381">
        <v>3775</v>
      </c>
    </row>
    <row r="1382" spans="2:4" x14ac:dyDescent="0.3">
      <c r="C1382">
        <v>204010000473672</v>
      </c>
      <c r="D1382">
        <v>3775</v>
      </c>
    </row>
    <row r="1383" spans="2:4" x14ac:dyDescent="0.3">
      <c r="C1383">
        <v>204010000359971</v>
      </c>
      <c r="D1383">
        <v>3775</v>
      </c>
    </row>
    <row r="1384" spans="2:4" x14ac:dyDescent="0.3">
      <c r="C1384">
        <v>204010000506913</v>
      </c>
      <c r="D1384">
        <v>3775</v>
      </c>
    </row>
    <row r="1385" spans="2:4" x14ac:dyDescent="0.3">
      <c r="C1385">
        <v>204010000350630</v>
      </c>
      <c r="D1385">
        <v>3775</v>
      </c>
    </row>
    <row r="1386" spans="2:4" x14ac:dyDescent="0.3">
      <c r="C1386">
        <v>204010000477897</v>
      </c>
      <c r="D1386">
        <v>3775</v>
      </c>
    </row>
    <row r="1387" spans="2:4" x14ac:dyDescent="0.3">
      <c r="C1387">
        <v>204010000340167</v>
      </c>
      <c r="D1387">
        <v>3775</v>
      </c>
    </row>
    <row r="1388" spans="2:4" x14ac:dyDescent="0.3">
      <c r="B1388" t="s">
        <v>151</v>
      </c>
      <c r="C1388">
        <v>204010000340168</v>
      </c>
      <c r="D1388">
        <v>3775</v>
      </c>
    </row>
    <row r="1389" spans="2:4" x14ac:dyDescent="0.3">
      <c r="B1389">
        <v>199</v>
      </c>
      <c r="C1389">
        <v>204010000260832</v>
      </c>
      <c r="D1389">
        <v>2695</v>
      </c>
    </row>
    <row r="1390" spans="2:4" x14ac:dyDescent="0.3">
      <c r="B1390">
        <v>268</v>
      </c>
      <c r="C1390">
        <v>204010000266802</v>
      </c>
      <c r="D1390">
        <v>2695</v>
      </c>
    </row>
    <row r="1391" spans="2:4" x14ac:dyDescent="0.3">
      <c r="B1391">
        <v>3</v>
      </c>
      <c r="C1391">
        <v>204010000270388</v>
      </c>
      <c r="D1391">
        <v>2695</v>
      </c>
    </row>
    <row r="1392" spans="2:4" x14ac:dyDescent="0.3">
      <c r="B1392">
        <v>470</v>
      </c>
      <c r="C1392">
        <v>204010000270389</v>
      </c>
      <c r="D1392">
        <v>2695</v>
      </c>
    </row>
    <row r="1393" spans="1:4" x14ac:dyDescent="0.3">
      <c r="C1393">
        <v>204010000270988</v>
      </c>
      <c r="D1393">
        <v>2695</v>
      </c>
    </row>
    <row r="1394" spans="1:4" x14ac:dyDescent="0.3">
      <c r="C1394">
        <v>204010000292717</v>
      </c>
      <c r="D1394">
        <v>2695</v>
      </c>
    </row>
    <row r="1395" spans="1:4" x14ac:dyDescent="0.3">
      <c r="C1395">
        <v>204010000475898</v>
      </c>
      <c r="D1395">
        <v>5390</v>
      </c>
    </row>
    <row r="1396" spans="1:4" x14ac:dyDescent="0.3">
      <c r="C1396">
        <v>204010000614332</v>
      </c>
      <c r="D1396">
        <v>5390</v>
      </c>
    </row>
    <row r="1397" spans="1:4" x14ac:dyDescent="0.3">
      <c r="C1397">
        <v>204010000300260</v>
      </c>
      <c r="D1397">
        <v>3775</v>
      </c>
    </row>
    <row r="1398" spans="1:4" x14ac:dyDescent="0.3">
      <c r="C1398">
        <v>204010000300892</v>
      </c>
      <c r="D1398">
        <v>3775</v>
      </c>
    </row>
    <row r="1399" spans="1:4" x14ac:dyDescent="0.3">
      <c r="C1399">
        <v>204010000257064</v>
      </c>
      <c r="D1399">
        <v>2695</v>
      </c>
    </row>
    <row r="1400" spans="1:4" x14ac:dyDescent="0.3">
      <c r="A1400" t="s">
        <v>171</v>
      </c>
      <c r="C1400">
        <v>204010000253936</v>
      </c>
      <c r="D1400">
        <v>3770</v>
      </c>
    </row>
    <row r="1401" spans="1:4" x14ac:dyDescent="0.3">
      <c r="A1401" t="s">
        <v>144</v>
      </c>
      <c r="C1401">
        <v>204010000254213</v>
      </c>
      <c r="D1401">
        <v>2695</v>
      </c>
    </row>
    <row r="1402" spans="1:4" x14ac:dyDescent="0.3">
      <c r="A1402" t="s">
        <v>21</v>
      </c>
      <c r="C1402">
        <v>204010000320017</v>
      </c>
      <c r="D1402">
        <v>3775</v>
      </c>
    </row>
    <row r="1403" spans="1:4" x14ac:dyDescent="0.3">
      <c r="A1403" t="s">
        <v>7</v>
      </c>
      <c r="C1403">
        <v>204010000328227</v>
      </c>
      <c r="D1403">
        <v>4110</v>
      </c>
    </row>
    <row r="1404" spans="1:4" x14ac:dyDescent="0.3">
      <c r="A1404" t="s">
        <v>1</v>
      </c>
      <c r="C1404">
        <v>204010000316478</v>
      </c>
      <c r="D1404">
        <v>3775</v>
      </c>
    </row>
    <row r="1405" spans="1:4" x14ac:dyDescent="0.3">
      <c r="A1405" t="s">
        <v>138</v>
      </c>
      <c r="C1405">
        <v>204010000512177</v>
      </c>
      <c r="D1405">
        <v>4310</v>
      </c>
    </row>
    <row r="1406" spans="1:4" x14ac:dyDescent="0.3">
      <c r="C1406">
        <v>204010000424522</v>
      </c>
      <c r="D1406">
        <v>5390</v>
      </c>
    </row>
    <row r="1407" spans="1:4" x14ac:dyDescent="0.3">
      <c r="C1407">
        <v>204010000256692</v>
      </c>
      <c r="D1407">
        <v>2695</v>
      </c>
    </row>
    <row r="1408" spans="1:4" x14ac:dyDescent="0.3">
      <c r="C1408">
        <v>204010000610917</v>
      </c>
      <c r="D1408">
        <v>3235</v>
      </c>
    </row>
    <row r="1409" spans="3:4" x14ac:dyDescent="0.3">
      <c r="C1409">
        <v>204010000300936</v>
      </c>
      <c r="D1409">
        <v>3775</v>
      </c>
    </row>
    <row r="1410" spans="3:4" x14ac:dyDescent="0.3">
      <c r="C1410">
        <v>204010000527806</v>
      </c>
      <c r="D1410">
        <v>2965</v>
      </c>
    </row>
    <row r="1411" spans="3:4" x14ac:dyDescent="0.3">
      <c r="C1411">
        <v>204010000468327</v>
      </c>
      <c r="D1411">
        <v>2695</v>
      </c>
    </row>
    <row r="1412" spans="3:4" x14ac:dyDescent="0.3">
      <c r="C1412">
        <v>204010000608479</v>
      </c>
      <c r="D1412">
        <v>2695</v>
      </c>
    </row>
    <row r="1413" spans="3:4" x14ac:dyDescent="0.3">
      <c r="C1413">
        <v>204010000470339</v>
      </c>
      <c r="D1413">
        <v>2695</v>
      </c>
    </row>
    <row r="1414" spans="3:4" x14ac:dyDescent="0.3">
      <c r="C1414">
        <v>204010000321099</v>
      </c>
      <c r="D1414">
        <v>3775</v>
      </c>
    </row>
    <row r="1415" spans="3:4" x14ac:dyDescent="0.3">
      <c r="C1415">
        <v>204010000241723</v>
      </c>
      <c r="D1415">
        <v>2695</v>
      </c>
    </row>
    <row r="1416" spans="3:4" x14ac:dyDescent="0.3">
      <c r="C1416">
        <v>204010000275139</v>
      </c>
      <c r="D1416">
        <v>2695</v>
      </c>
    </row>
    <row r="1417" spans="3:4" x14ac:dyDescent="0.3">
      <c r="C1417">
        <v>204010000305960</v>
      </c>
      <c r="D1417">
        <v>3775</v>
      </c>
    </row>
    <row r="1418" spans="3:4" x14ac:dyDescent="0.3">
      <c r="C1418">
        <v>204010000334789</v>
      </c>
      <c r="D1418">
        <v>3775</v>
      </c>
    </row>
    <row r="1419" spans="3:4" x14ac:dyDescent="0.3">
      <c r="C1419">
        <v>204010000443032</v>
      </c>
      <c r="D1419">
        <v>3775</v>
      </c>
    </row>
    <row r="1420" spans="3:4" x14ac:dyDescent="0.3">
      <c r="C1420">
        <v>204010000334791</v>
      </c>
      <c r="D1420">
        <v>3775</v>
      </c>
    </row>
    <row r="1421" spans="3:4" x14ac:dyDescent="0.3">
      <c r="C1421">
        <v>204010000443037</v>
      </c>
      <c r="D1421">
        <v>3775</v>
      </c>
    </row>
    <row r="1422" spans="3:4" x14ac:dyDescent="0.3">
      <c r="C1422">
        <v>204010000443036</v>
      </c>
      <c r="D1422">
        <v>3775</v>
      </c>
    </row>
    <row r="1423" spans="3:4" x14ac:dyDescent="0.3">
      <c r="C1423">
        <v>204010000334790</v>
      </c>
      <c r="D1423">
        <v>2875</v>
      </c>
    </row>
    <row r="1424" spans="3:4" x14ac:dyDescent="0.3">
      <c r="C1424">
        <v>204010000250835</v>
      </c>
      <c r="D1424">
        <v>2155</v>
      </c>
    </row>
    <row r="1425" spans="3:4" x14ac:dyDescent="0.3">
      <c r="C1425">
        <v>204010000470713</v>
      </c>
      <c r="D1425">
        <v>2695</v>
      </c>
    </row>
    <row r="1426" spans="3:4" x14ac:dyDescent="0.3">
      <c r="C1426">
        <v>204010000640589</v>
      </c>
      <c r="D1426">
        <v>2695</v>
      </c>
    </row>
    <row r="1427" spans="3:4" x14ac:dyDescent="0.3">
      <c r="C1427">
        <v>204010000640594</v>
      </c>
      <c r="D1427">
        <v>2695</v>
      </c>
    </row>
    <row r="1428" spans="3:4" x14ac:dyDescent="0.3">
      <c r="C1428">
        <v>204010000339988</v>
      </c>
      <c r="D1428">
        <v>3775</v>
      </c>
    </row>
    <row r="1429" spans="3:4" x14ac:dyDescent="0.3">
      <c r="C1429">
        <v>204010000490860</v>
      </c>
      <c r="D1429">
        <v>2695</v>
      </c>
    </row>
    <row r="1430" spans="3:4" x14ac:dyDescent="0.3">
      <c r="C1430">
        <v>204010000408605</v>
      </c>
      <c r="D1430">
        <v>4310</v>
      </c>
    </row>
    <row r="1431" spans="3:4" x14ac:dyDescent="0.3">
      <c r="C1431">
        <v>204010000413920</v>
      </c>
      <c r="D1431">
        <v>2425</v>
      </c>
    </row>
    <row r="1432" spans="3:4" x14ac:dyDescent="0.3">
      <c r="C1432">
        <v>204010000447790</v>
      </c>
      <c r="D1432">
        <v>4045</v>
      </c>
    </row>
    <row r="1433" spans="3:4" x14ac:dyDescent="0.3">
      <c r="C1433">
        <v>204010000267793</v>
      </c>
      <c r="D1433">
        <v>2695</v>
      </c>
    </row>
    <row r="1434" spans="3:4" x14ac:dyDescent="0.3">
      <c r="C1434">
        <v>204010000215961</v>
      </c>
      <c r="D1434">
        <v>2155</v>
      </c>
    </row>
    <row r="1435" spans="3:4" x14ac:dyDescent="0.3">
      <c r="C1435">
        <v>204010000588878</v>
      </c>
      <c r="D1435">
        <v>3775</v>
      </c>
    </row>
    <row r="1436" spans="3:4" x14ac:dyDescent="0.3">
      <c r="C1436">
        <v>204010000485405</v>
      </c>
      <c r="D1436">
        <v>3775</v>
      </c>
    </row>
    <row r="1437" spans="3:4" x14ac:dyDescent="0.3">
      <c r="C1437">
        <v>204010000277416</v>
      </c>
      <c r="D1437">
        <v>2155</v>
      </c>
    </row>
    <row r="1438" spans="3:4" x14ac:dyDescent="0.3">
      <c r="C1438">
        <v>204010000203023</v>
      </c>
      <c r="D1438">
        <v>3651</v>
      </c>
    </row>
    <row r="1439" spans="3:4" x14ac:dyDescent="0.3">
      <c r="C1439">
        <v>204010000216456</v>
      </c>
      <c r="D1439">
        <v>2695</v>
      </c>
    </row>
    <row r="1440" spans="3:4" x14ac:dyDescent="0.3">
      <c r="C1440">
        <v>204010000617510</v>
      </c>
      <c r="D1440">
        <v>4310</v>
      </c>
    </row>
    <row r="1441" spans="3:4" x14ac:dyDescent="0.3">
      <c r="C1441">
        <v>204010000536185</v>
      </c>
      <c r="D1441">
        <v>4310</v>
      </c>
    </row>
    <row r="1442" spans="3:4" x14ac:dyDescent="0.3">
      <c r="C1442">
        <v>204010000265969</v>
      </c>
      <c r="D1442">
        <v>2695</v>
      </c>
    </row>
    <row r="1443" spans="3:4" x14ac:dyDescent="0.3">
      <c r="C1443">
        <v>204010000265970</v>
      </c>
      <c r="D1443">
        <v>2695</v>
      </c>
    </row>
    <row r="1444" spans="3:4" x14ac:dyDescent="0.3">
      <c r="C1444">
        <v>214030000010803</v>
      </c>
      <c r="D1444">
        <v>1885</v>
      </c>
    </row>
    <row r="1445" spans="3:4" x14ac:dyDescent="0.3">
      <c r="C1445">
        <v>214030000008133</v>
      </c>
      <c r="D1445">
        <v>2276</v>
      </c>
    </row>
    <row r="1446" spans="3:4" x14ac:dyDescent="0.3">
      <c r="C1446">
        <v>214030000010691</v>
      </c>
      <c r="D1446">
        <v>2155</v>
      </c>
    </row>
    <row r="1447" spans="3:4" x14ac:dyDescent="0.3">
      <c r="C1447">
        <v>214030000010597</v>
      </c>
      <c r="D1447">
        <v>2155</v>
      </c>
    </row>
    <row r="1448" spans="3:4" x14ac:dyDescent="0.3">
      <c r="C1448">
        <v>214030000008134</v>
      </c>
      <c r="D1448">
        <v>3184</v>
      </c>
    </row>
    <row r="1449" spans="3:4" x14ac:dyDescent="0.3">
      <c r="C1449">
        <v>214030000010541</v>
      </c>
      <c r="D1449">
        <v>2155</v>
      </c>
    </row>
    <row r="1450" spans="3:4" x14ac:dyDescent="0.3">
      <c r="C1450">
        <v>214030000010676</v>
      </c>
      <c r="D1450">
        <v>2155</v>
      </c>
    </row>
    <row r="1451" spans="3:4" x14ac:dyDescent="0.3">
      <c r="C1451">
        <v>214030000008139</v>
      </c>
      <c r="D1451">
        <v>3184</v>
      </c>
    </row>
    <row r="1452" spans="3:4" x14ac:dyDescent="0.3">
      <c r="C1452">
        <v>214030000010075</v>
      </c>
      <c r="D1452">
        <v>2155</v>
      </c>
    </row>
    <row r="1453" spans="3:4" x14ac:dyDescent="0.3">
      <c r="C1453">
        <v>214030000010708</v>
      </c>
      <c r="D1453">
        <v>2155</v>
      </c>
    </row>
    <row r="1454" spans="3:4" x14ac:dyDescent="0.3">
      <c r="C1454">
        <v>214030000010793</v>
      </c>
      <c r="D1454">
        <v>1620</v>
      </c>
    </row>
    <row r="1455" spans="3:4" x14ac:dyDescent="0.3">
      <c r="C1455">
        <v>214030000010600</v>
      </c>
      <c r="D1455">
        <v>2155</v>
      </c>
    </row>
    <row r="1456" spans="3:4" x14ac:dyDescent="0.3">
      <c r="C1456">
        <v>214030000010660</v>
      </c>
      <c r="D1456">
        <v>2155</v>
      </c>
    </row>
    <row r="1457" spans="3:4" x14ac:dyDescent="0.3">
      <c r="C1457">
        <v>214030000010629</v>
      </c>
      <c r="D1457">
        <v>2155</v>
      </c>
    </row>
    <row r="1458" spans="3:4" x14ac:dyDescent="0.3">
      <c r="C1458">
        <v>214030000010661</v>
      </c>
      <c r="D1458">
        <v>1620</v>
      </c>
    </row>
    <row r="1459" spans="3:4" x14ac:dyDescent="0.3">
      <c r="C1459">
        <v>214030000010712</v>
      </c>
      <c r="D1459">
        <v>2155</v>
      </c>
    </row>
    <row r="1460" spans="3:4" x14ac:dyDescent="0.3">
      <c r="C1460">
        <v>234010000000205</v>
      </c>
      <c r="D1460">
        <v>1350</v>
      </c>
    </row>
    <row r="1461" spans="3:4" x14ac:dyDescent="0.3">
      <c r="C1461">
        <v>604010000272303</v>
      </c>
      <c r="D1461">
        <v>3150</v>
      </c>
    </row>
    <row r="1462" spans="3:4" x14ac:dyDescent="0.3">
      <c r="C1462">
        <v>604010000269965</v>
      </c>
      <c r="D1462">
        <v>3150</v>
      </c>
    </row>
    <row r="1463" spans="3:4" x14ac:dyDescent="0.3">
      <c r="C1463">
        <v>604010000268559</v>
      </c>
      <c r="D1463">
        <v>3140</v>
      </c>
    </row>
    <row r="1464" spans="3:4" x14ac:dyDescent="0.3">
      <c r="C1464">
        <v>204010000233905</v>
      </c>
      <c r="D1464">
        <v>3770</v>
      </c>
    </row>
    <row r="1465" spans="3:4" x14ac:dyDescent="0.3">
      <c r="C1465">
        <v>604010000193695</v>
      </c>
      <c r="D1465">
        <v>2849</v>
      </c>
    </row>
    <row r="1466" spans="3:4" x14ac:dyDescent="0.3">
      <c r="C1466">
        <v>604010000193912</v>
      </c>
      <c r="D1466">
        <v>2849</v>
      </c>
    </row>
    <row r="1467" spans="3:4" x14ac:dyDescent="0.3">
      <c r="C1467">
        <v>604010000193915</v>
      </c>
      <c r="D1467">
        <v>2849</v>
      </c>
    </row>
    <row r="1468" spans="3:4" x14ac:dyDescent="0.3">
      <c r="C1468">
        <v>604010000197631</v>
      </c>
      <c r="D1468">
        <v>2381</v>
      </c>
    </row>
    <row r="1469" spans="3:4" x14ac:dyDescent="0.3">
      <c r="C1469">
        <v>604010000197632</v>
      </c>
      <c r="D1469">
        <v>2381</v>
      </c>
    </row>
    <row r="1470" spans="3:4" x14ac:dyDescent="0.3">
      <c r="C1470">
        <v>604010000197630</v>
      </c>
      <c r="D1470">
        <v>2381</v>
      </c>
    </row>
    <row r="1471" spans="3:4" x14ac:dyDescent="0.3">
      <c r="C1471">
        <v>604010000197575</v>
      </c>
      <c r="D1471">
        <v>2381</v>
      </c>
    </row>
    <row r="1472" spans="3:4" x14ac:dyDescent="0.3">
      <c r="C1472">
        <v>604010000201437</v>
      </c>
      <c r="D1472">
        <v>2650</v>
      </c>
    </row>
    <row r="1473" spans="2:4" x14ac:dyDescent="0.3">
      <c r="C1473">
        <v>604010000240199</v>
      </c>
      <c r="D1473">
        <v>2650</v>
      </c>
    </row>
    <row r="1474" spans="2:4" x14ac:dyDescent="0.3">
      <c r="C1474">
        <v>604010000201435</v>
      </c>
      <c r="D1474">
        <v>2650</v>
      </c>
    </row>
    <row r="1475" spans="2:4" x14ac:dyDescent="0.3">
      <c r="C1475">
        <v>604010000201436</v>
      </c>
      <c r="D1475">
        <v>2650</v>
      </c>
    </row>
    <row r="1476" spans="2:4" x14ac:dyDescent="0.3">
      <c r="C1476">
        <v>604010000213989</v>
      </c>
      <c r="D1476">
        <v>2650</v>
      </c>
    </row>
    <row r="1477" spans="2:4" x14ac:dyDescent="0.3">
      <c r="C1477">
        <v>604010000218764</v>
      </c>
      <c r="D1477">
        <v>2650</v>
      </c>
    </row>
    <row r="1478" spans="2:4" x14ac:dyDescent="0.3">
      <c r="C1478">
        <v>604010000219242</v>
      </c>
      <c r="D1478">
        <v>2650</v>
      </c>
    </row>
    <row r="1479" spans="2:4" x14ac:dyDescent="0.3">
      <c r="C1479">
        <v>604010000219243</v>
      </c>
      <c r="D1479">
        <v>2650</v>
      </c>
    </row>
    <row r="1480" spans="2:4" x14ac:dyDescent="0.3">
      <c r="C1480">
        <v>604010000218942</v>
      </c>
      <c r="D1480">
        <v>2650</v>
      </c>
    </row>
    <row r="1481" spans="2:4" x14ac:dyDescent="0.3">
      <c r="C1481">
        <v>604010000218695</v>
      </c>
      <c r="D1481">
        <v>2650</v>
      </c>
    </row>
    <row r="1482" spans="2:4" x14ac:dyDescent="0.3">
      <c r="C1482">
        <v>604010000218696</v>
      </c>
      <c r="D1482">
        <v>2650</v>
      </c>
    </row>
    <row r="1483" spans="2:4" x14ac:dyDescent="0.3">
      <c r="C1483">
        <v>604010000218697</v>
      </c>
      <c r="D1483">
        <v>2650</v>
      </c>
    </row>
    <row r="1484" spans="2:4" x14ac:dyDescent="0.3">
      <c r="C1484">
        <v>604010000218668</v>
      </c>
      <c r="D1484">
        <v>2650</v>
      </c>
    </row>
    <row r="1485" spans="2:4" x14ac:dyDescent="0.3">
      <c r="C1485">
        <v>104010001040823</v>
      </c>
      <c r="D1485">
        <v>2695</v>
      </c>
    </row>
    <row r="1486" spans="2:4" x14ac:dyDescent="0.3">
      <c r="C1486">
        <v>104010001062844</v>
      </c>
      <c r="D1486">
        <v>2695</v>
      </c>
    </row>
    <row r="1487" spans="2:4" x14ac:dyDescent="0.3">
      <c r="C1487">
        <v>104010001196694</v>
      </c>
      <c r="D1487">
        <v>2695</v>
      </c>
    </row>
    <row r="1488" spans="2:4" x14ac:dyDescent="0.3">
      <c r="B1488" t="s">
        <v>151</v>
      </c>
    </row>
    <row r="1489" spans="1:2" x14ac:dyDescent="0.3">
      <c r="B1489">
        <v>25</v>
      </c>
    </row>
    <row r="1490" spans="1:2" x14ac:dyDescent="0.3">
      <c r="B1490">
        <v>3</v>
      </c>
    </row>
    <row r="1491" spans="1:2" x14ac:dyDescent="0.3">
      <c r="B1491">
        <v>1</v>
      </c>
    </row>
    <row r="1492" spans="1:2" x14ac:dyDescent="0.3">
      <c r="B1492">
        <v>29</v>
      </c>
    </row>
    <row r="1500" spans="1:2" x14ac:dyDescent="0.3">
      <c r="A1500" t="s">
        <v>172</v>
      </c>
    </row>
    <row r="1501" spans="1:2" x14ac:dyDescent="0.3">
      <c r="A1501" t="s">
        <v>144</v>
      </c>
    </row>
    <row r="1502" spans="1:2" x14ac:dyDescent="0.3">
      <c r="A1502" t="s">
        <v>21</v>
      </c>
    </row>
    <row r="1503" spans="1:2" x14ac:dyDescent="0.3">
      <c r="A1503" t="s">
        <v>7</v>
      </c>
    </row>
    <row r="1504" spans="1:2" x14ac:dyDescent="0.3">
      <c r="A1504" t="s">
        <v>1</v>
      </c>
    </row>
    <row r="1505" spans="1:1" x14ac:dyDescent="0.3">
      <c r="A1505" t="s">
        <v>138</v>
      </c>
    </row>
    <row r="1588" spans="1:2" x14ac:dyDescent="0.3">
      <c r="B1588" t="s">
        <v>151</v>
      </c>
    </row>
    <row r="1589" spans="1:2" x14ac:dyDescent="0.3">
      <c r="B1589">
        <v>1</v>
      </c>
    </row>
    <row r="1590" spans="1:2" x14ac:dyDescent="0.3">
      <c r="B1590">
        <v>1</v>
      </c>
    </row>
    <row r="1600" spans="1:2" x14ac:dyDescent="0.3">
      <c r="A1600" t="s">
        <v>173</v>
      </c>
    </row>
    <row r="1601" spans="1:1" x14ac:dyDescent="0.3">
      <c r="A1601" t="s">
        <v>144</v>
      </c>
    </row>
    <row r="1602" spans="1:1" x14ac:dyDescent="0.3">
      <c r="A1602" t="s">
        <v>1</v>
      </c>
    </row>
    <row r="1603" spans="1:1" x14ac:dyDescent="0.3">
      <c r="A1603" t="s">
        <v>138</v>
      </c>
    </row>
  </sheetData>
  <mergeCells count="39"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1E5A-AAC3-4C16-B05F-36F94B83ADB8}">
  <sheetPr codeName="Sheet4"/>
  <dimension ref="A1:E229"/>
  <sheetViews>
    <sheetView workbookViewId="0"/>
  </sheetViews>
  <sheetFormatPr defaultRowHeight="14.4" x14ac:dyDescent="0.3"/>
  <cols>
    <col min="1" max="1" width="54.44140625" bestFit="1" customWidth="1"/>
    <col min="2" max="2" width="21.6640625" bestFit="1" customWidth="1"/>
    <col min="3" max="5" width="10.77734375" customWidth="1"/>
  </cols>
  <sheetData>
    <row r="1" spans="1:5" ht="18" x14ac:dyDescent="0.35">
      <c r="A1" s="1" t="s">
        <v>177</v>
      </c>
    </row>
    <row r="2" spans="1:5" x14ac:dyDescent="0.3">
      <c r="B2" s="2" t="s">
        <v>174</v>
      </c>
      <c r="C2" s="2"/>
      <c r="D2" s="2"/>
      <c r="E2" s="2"/>
    </row>
    <row r="3" spans="1:5" x14ac:dyDescent="0.3">
      <c r="B3" s="4" t="s">
        <v>144</v>
      </c>
      <c r="C3" s="2" t="s">
        <v>153</v>
      </c>
      <c r="D3" s="2"/>
      <c r="E3" s="2"/>
    </row>
    <row r="4" spans="1:5" x14ac:dyDescent="0.3">
      <c r="B4" s="4"/>
      <c r="C4" s="6" t="s">
        <v>146</v>
      </c>
      <c r="D4" s="7" t="s">
        <v>158</v>
      </c>
      <c r="E4" s="8" t="s">
        <v>141</v>
      </c>
    </row>
    <row r="5" spans="1:5" x14ac:dyDescent="0.3">
      <c r="C5" s="6"/>
      <c r="D5" s="7"/>
      <c r="E5" s="8"/>
    </row>
    <row r="6" spans="1:5" x14ac:dyDescent="0.3">
      <c r="B6" s="14" t="s">
        <v>2</v>
      </c>
      <c r="C6" s="15" t="s">
        <v>142</v>
      </c>
      <c r="D6" s="16" t="s">
        <v>142</v>
      </c>
      <c r="E6" s="17" t="str">
        <f>IFERROR(IF(C6&gt;0, D6/C6, 0),"-")</f>
        <v>-</v>
      </c>
    </row>
    <row r="7" spans="1:5" x14ac:dyDescent="0.3">
      <c r="B7" s="14" t="s">
        <v>21</v>
      </c>
      <c r="C7" s="15">
        <v>224</v>
      </c>
      <c r="D7" s="16" t="s">
        <v>142</v>
      </c>
      <c r="E7" s="17" t="str">
        <f>IFERROR(IF(C7&gt;0, D7/C7, 0),"-")</f>
        <v>-</v>
      </c>
    </row>
    <row r="8" spans="1:5" x14ac:dyDescent="0.3">
      <c r="B8" s="14" t="s">
        <v>7</v>
      </c>
      <c r="C8" s="15">
        <v>271</v>
      </c>
      <c r="D8" s="16" t="s">
        <v>142</v>
      </c>
      <c r="E8" s="17" t="str">
        <f>IFERROR(IF(C8&gt;0, D8/C8, 0),"-")</f>
        <v>-</v>
      </c>
    </row>
    <row r="9" spans="1:5" x14ac:dyDescent="0.3">
      <c r="B9" s="14" t="s">
        <v>0</v>
      </c>
      <c r="C9" s="15" t="s">
        <v>142</v>
      </c>
      <c r="D9" s="16" t="s">
        <v>142</v>
      </c>
      <c r="E9" s="17" t="str">
        <f>IFERROR(IF(C9&gt;0, D9/C9, 0),"-")</f>
        <v>-</v>
      </c>
    </row>
    <row r="10" spans="1:5" x14ac:dyDescent="0.3">
      <c r="B10" s="14" t="s">
        <v>1</v>
      </c>
      <c r="C10" s="15">
        <v>5</v>
      </c>
      <c r="D10" s="16" t="s">
        <v>142</v>
      </c>
      <c r="E10" s="17" t="str">
        <f>IFERROR(IF(C10&gt;0, D10/C10, 0),"-")</f>
        <v>-</v>
      </c>
    </row>
    <row r="11" spans="1:5" x14ac:dyDescent="0.3">
      <c r="B11" s="12" t="s">
        <v>138</v>
      </c>
      <c r="C11" s="13">
        <f>SUM(C6:C10)</f>
        <v>500</v>
      </c>
      <c r="D11" s="13">
        <f>SUM(D6:D10)</f>
        <v>0</v>
      </c>
      <c r="E11" s="18">
        <f>IFERROR(IF(C11&gt;0, D11/C11, 0),"-")</f>
        <v>0</v>
      </c>
    </row>
    <row r="15" spans="1:5" x14ac:dyDescent="0.3">
      <c r="B15" s="2" t="s">
        <v>175</v>
      </c>
      <c r="C15" s="2"/>
      <c r="D15" s="2"/>
      <c r="E15" s="2"/>
    </row>
    <row r="16" spans="1:5" x14ac:dyDescent="0.3">
      <c r="B16" s="4" t="s">
        <v>143</v>
      </c>
      <c r="C16" s="2" t="s">
        <v>153</v>
      </c>
      <c r="D16" s="2"/>
      <c r="E16" s="2"/>
    </row>
    <row r="17" spans="2:5" x14ac:dyDescent="0.3">
      <c r="B17" s="4"/>
      <c r="C17" s="6" t="s">
        <v>146</v>
      </c>
      <c r="D17" s="7" t="s">
        <v>158</v>
      </c>
      <c r="E17" s="8" t="s">
        <v>141</v>
      </c>
    </row>
    <row r="18" spans="2:5" x14ac:dyDescent="0.3">
      <c r="C18" s="6"/>
      <c r="D18" s="7"/>
      <c r="E18" s="8"/>
    </row>
    <row r="19" spans="2:5" x14ac:dyDescent="0.3">
      <c r="B19" s="14" t="s">
        <v>30</v>
      </c>
      <c r="C19" s="15">
        <v>133</v>
      </c>
      <c r="D19" s="16" t="s">
        <v>142</v>
      </c>
      <c r="E19" s="17" t="str">
        <f>IFERROR(IF(C19&gt;0, D19/C19, 0),"-")</f>
        <v>-</v>
      </c>
    </row>
    <row r="20" spans="2:5" x14ac:dyDescent="0.3">
      <c r="B20" s="14" t="s">
        <v>16</v>
      </c>
      <c r="C20" s="15">
        <v>8</v>
      </c>
      <c r="D20" s="16" t="s">
        <v>142</v>
      </c>
      <c r="E20" s="17" t="str">
        <f>IFERROR(IF(C20&gt;0, D20/C20, 0),"-")</f>
        <v>-</v>
      </c>
    </row>
    <row r="21" spans="2:5" x14ac:dyDescent="0.3">
      <c r="B21" s="14" t="s">
        <v>19</v>
      </c>
      <c r="C21" s="15">
        <v>27</v>
      </c>
      <c r="D21" s="16" t="s">
        <v>142</v>
      </c>
      <c r="E21" s="17" t="str">
        <f>IFERROR(IF(C21&gt;0, D21/C21, 0),"-")</f>
        <v>-</v>
      </c>
    </row>
    <row r="22" spans="2:5" x14ac:dyDescent="0.3">
      <c r="B22" s="14" t="s">
        <v>137</v>
      </c>
      <c r="C22" s="15" t="s">
        <v>142</v>
      </c>
      <c r="D22" s="16" t="s">
        <v>142</v>
      </c>
      <c r="E22" s="17" t="str">
        <f>IFERROR(IF(C22&gt;0, D22/C22, 0),"-")</f>
        <v>-</v>
      </c>
    </row>
    <row r="23" spans="2:5" x14ac:dyDescent="0.3">
      <c r="B23" s="14" t="s">
        <v>17</v>
      </c>
      <c r="C23" s="15" t="s">
        <v>142</v>
      </c>
      <c r="D23" s="16" t="s">
        <v>142</v>
      </c>
      <c r="E23" s="17" t="str">
        <f>IFERROR(IF(C23&gt;0, D23/C23, 0),"-")</f>
        <v>-</v>
      </c>
    </row>
    <row r="24" spans="2:5" x14ac:dyDescent="0.3">
      <c r="B24" s="14" t="s">
        <v>12</v>
      </c>
      <c r="C24" s="15">
        <v>1</v>
      </c>
      <c r="D24" s="16" t="s">
        <v>142</v>
      </c>
      <c r="E24" s="17" t="str">
        <f>IFERROR(IF(C24&gt;0, D24/C24, 0),"-")</f>
        <v>-</v>
      </c>
    </row>
    <row r="25" spans="2:5" x14ac:dyDescent="0.3">
      <c r="B25" s="14" t="s">
        <v>18</v>
      </c>
      <c r="C25" s="15">
        <v>1</v>
      </c>
      <c r="D25" s="16" t="s">
        <v>142</v>
      </c>
      <c r="E25" s="17" t="str">
        <f>IFERROR(IF(C25&gt;0, D25/C25, 0),"-")</f>
        <v>-</v>
      </c>
    </row>
    <row r="26" spans="2:5" x14ac:dyDescent="0.3">
      <c r="B26" s="14" t="s">
        <v>13</v>
      </c>
      <c r="C26" s="15">
        <v>3</v>
      </c>
      <c r="D26" s="16" t="s">
        <v>142</v>
      </c>
      <c r="E26" s="17" t="str">
        <f>IFERROR(IF(C26&gt;0, D26/C26, 0),"-")</f>
        <v>-</v>
      </c>
    </row>
    <row r="27" spans="2:5" x14ac:dyDescent="0.3">
      <c r="B27" s="14" t="s">
        <v>20</v>
      </c>
      <c r="C27" s="15" t="s">
        <v>142</v>
      </c>
      <c r="D27" s="16" t="s">
        <v>142</v>
      </c>
      <c r="E27" s="17" t="str">
        <f>IFERROR(IF(C27&gt;0, D27/C27, 0),"-")</f>
        <v>-</v>
      </c>
    </row>
    <row r="28" spans="2:5" x14ac:dyDescent="0.3">
      <c r="B28" s="14" t="s">
        <v>24</v>
      </c>
      <c r="C28" s="15" t="s">
        <v>142</v>
      </c>
      <c r="D28" s="16" t="s">
        <v>142</v>
      </c>
      <c r="E28" s="17" t="str">
        <f>IFERROR(IF(C28&gt;0, D28/C28, 0),"-")</f>
        <v>-</v>
      </c>
    </row>
    <row r="29" spans="2:5" x14ac:dyDescent="0.3">
      <c r="B29" s="14" t="s">
        <v>15</v>
      </c>
      <c r="C29" s="15" t="s">
        <v>142</v>
      </c>
      <c r="D29" s="16" t="s">
        <v>142</v>
      </c>
      <c r="E29" s="17" t="str">
        <f>IFERROR(IF(C29&gt;0, D29/C29, 0),"-")</f>
        <v>-</v>
      </c>
    </row>
    <row r="30" spans="2:5" x14ac:dyDescent="0.3">
      <c r="B30" s="14" t="s">
        <v>21</v>
      </c>
      <c r="C30" s="15">
        <v>13</v>
      </c>
      <c r="D30" s="16" t="s">
        <v>142</v>
      </c>
      <c r="E30" s="17" t="str">
        <f>IFERROR(IF(C30&gt;0, D30/C30, 0),"-")</f>
        <v>-</v>
      </c>
    </row>
    <row r="31" spans="2:5" x14ac:dyDescent="0.3">
      <c r="B31" s="14" t="s">
        <v>23</v>
      </c>
      <c r="C31" s="15">
        <v>43</v>
      </c>
      <c r="D31" s="16" t="s">
        <v>142</v>
      </c>
      <c r="E31" s="17" t="str">
        <f>IFERROR(IF(C31&gt;0, D31/C31, 0),"-")</f>
        <v>-</v>
      </c>
    </row>
    <row r="32" spans="2:5" x14ac:dyDescent="0.3">
      <c r="B32" s="14" t="s">
        <v>3</v>
      </c>
      <c r="C32" s="15" t="s">
        <v>142</v>
      </c>
      <c r="D32" s="16" t="s">
        <v>142</v>
      </c>
      <c r="E32" s="17" t="str">
        <f>IFERROR(IF(C32&gt;0, D32/C32, 0),"-")</f>
        <v>-</v>
      </c>
    </row>
    <row r="33" spans="2:5" x14ac:dyDescent="0.3">
      <c r="B33" s="14" t="s">
        <v>4</v>
      </c>
      <c r="C33" s="15" t="s">
        <v>142</v>
      </c>
      <c r="D33" s="16" t="s">
        <v>142</v>
      </c>
      <c r="E33" s="17" t="str">
        <f>IFERROR(IF(C33&gt;0, D33/C33, 0),"-")</f>
        <v>-</v>
      </c>
    </row>
    <row r="34" spans="2:5" x14ac:dyDescent="0.3">
      <c r="B34" s="14" t="s">
        <v>10</v>
      </c>
      <c r="C34" s="15" t="s">
        <v>142</v>
      </c>
      <c r="D34" s="16" t="s">
        <v>142</v>
      </c>
      <c r="E34" s="17" t="str">
        <f>IFERROR(IF(C34&gt;0, D34/C34, 0),"-")</f>
        <v>-</v>
      </c>
    </row>
    <row r="35" spans="2:5" x14ac:dyDescent="0.3">
      <c r="B35" s="14" t="s">
        <v>26</v>
      </c>
      <c r="C35" s="15" t="s">
        <v>142</v>
      </c>
      <c r="D35" s="16" t="s">
        <v>142</v>
      </c>
      <c r="E35" s="17" t="str">
        <f>IFERROR(IF(C35&gt;0, D35/C35, 0),"-")</f>
        <v>-</v>
      </c>
    </row>
    <row r="36" spans="2:5" x14ac:dyDescent="0.3">
      <c r="B36" s="14" t="s">
        <v>6</v>
      </c>
      <c r="C36" s="15" t="s">
        <v>142</v>
      </c>
      <c r="D36" s="16" t="s">
        <v>142</v>
      </c>
      <c r="E36" s="17" t="str">
        <f>IFERROR(IF(C36&gt;0, D36/C36, 0),"-")</f>
        <v>-</v>
      </c>
    </row>
    <row r="37" spans="2:5" x14ac:dyDescent="0.3">
      <c r="B37" s="14" t="s">
        <v>7</v>
      </c>
      <c r="C37" s="15" t="s">
        <v>142</v>
      </c>
      <c r="D37" s="16" t="s">
        <v>142</v>
      </c>
      <c r="E37" s="17" t="str">
        <f>IFERROR(IF(C37&gt;0, D37/C37, 0),"-")</f>
        <v>-</v>
      </c>
    </row>
    <row r="38" spans="2:5" x14ac:dyDescent="0.3">
      <c r="B38" s="14" t="s">
        <v>8</v>
      </c>
      <c r="C38" s="15" t="s">
        <v>142</v>
      </c>
      <c r="D38" s="16" t="s">
        <v>142</v>
      </c>
      <c r="E38" s="17" t="str">
        <f>IFERROR(IF(C38&gt;0, D38/C38, 0),"-")</f>
        <v>-</v>
      </c>
    </row>
    <row r="39" spans="2:5" x14ac:dyDescent="0.3">
      <c r="B39" s="14" t="s">
        <v>9</v>
      </c>
      <c r="C39" s="15" t="s">
        <v>142</v>
      </c>
      <c r="D39" s="16" t="s">
        <v>142</v>
      </c>
      <c r="E39" s="17" t="str">
        <f>IFERROR(IF(C39&gt;0, D39/C39, 0),"-")</f>
        <v>-</v>
      </c>
    </row>
    <row r="40" spans="2:5" x14ac:dyDescent="0.3">
      <c r="B40" s="14" t="s">
        <v>25</v>
      </c>
      <c r="C40" s="15" t="s">
        <v>142</v>
      </c>
      <c r="D40" s="16" t="s">
        <v>142</v>
      </c>
      <c r="E40" s="17" t="str">
        <f>IFERROR(IF(C40&gt;0, D40/C40, 0),"-")</f>
        <v>-</v>
      </c>
    </row>
    <row r="41" spans="2:5" x14ac:dyDescent="0.3">
      <c r="B41" s="14" t="s">
        <v>14</v>
      </c>
      <c r="C41" s="15">
        <v>3</v>
      </c>
      <c r="D41" s="16" t="s">
        <v>142</v>
      </c>
      <c r="E41" s="17" t="str">
        <f>IFERROR(IF(C41&gt;0, D41/C41, 0),"-")</f>
        <v>-</v>
      </c>
    </row>
    <row r="42" spans="2:5" x14ac:dyDescent="0.3">
      <c r="B42" s="14" t="s">
        <v>29</v>
      </c>
      <c r="C42" s="15" t="s">
        <v>142</v>
      </c>
      <c r="D42" s="16" t="s">
        <v>142</v>
      </c>
      <c r="E42" s="17" t="str">
        <f>IFERROR(IF(C42&gt;0, D42/C42, 0),"-")</f>
        <v>-</v>
      </c>
    </row>
    <row r="43" spans="2:5" x14ac:dyDescent="0.3">
      <c r="B43" s="14" t="s">
        <v>28</v>
      </c>
      <c r="C43" s="15" t="s">
        <v>142</v>
      </c>
      <c r="D43" s="16" t="s">
        <v>142</v>
      </c>
      <c r="E43" s="17" t="str">
        <f>IFERROR(IF(C43&gt;0, D43/C43, 0),"-")</f>
        <v>-</v>
      </c>
    </row>
    <row r="44" spans="2:5" x14ac:dyDescent="0.3">
      <c r="B44" s="14" t="s">
        <v>5</v>
      </c>
      <c r="C44" s="15" t="s">
        <v>142</v>
      </c>
      <c r="D44" s="16" t="s">
        <v>142</v>
      </c>
      <c r="E44" s="17" t="str">
        <f>IFERROR(IF(C44&gt;0, D44/C44, 0),"-")</f>
        <v>-</v>
      </c>
    </row>
    <row r="45" spans="2:5" x14ac:dyDescent="0.3">
      <c r="B45" s="14" t="s">
        <v>22</v>
      </c>
      <c r="C45" s="15">
        <v>1</v>
      </c>
      <c r="D45" s="16" t="s">
        <v>142</v>
      </c>
      <c r="E45" s="17" t="str">
        <f>IFERROR(IF(C45&gt;0, D45/C45, 0),"-")</f>
        <v>-</v>
      </c>
    </row>
    <row r="46" spans="2:5" x14ac:dyDescent="0.3">
      <c r="B46" s="14" t="s">
        <v>1</v>
      </c>
      <c r="C46" s="15" t="s">
        <v>142</v>
      </c>
      <c r="D46" s="16" t="s">
        <v>142</v>
      </c>
      <c r="E46" s="17" t="str">
        <f>IFERROR(IF(C46&gt;0, D46/C46, 0),"-")</f>
        <v>-</v>
      </c>
    </row>
    <row r="47" spans="2:5" x14ac:dyDescent="0.3">
      <c r="B47" s="14" t="s">
        <v>27</v>
      </c>
      <c r="C47" s="15" t="s">
        <v>142</v>
      </c>
      <c r="D47" s="16" t="s">
        <v>142</v>
      </c>
      <c r="E47" s="17" t="str">
        <f>IFERROR(IF(C47&gt;0, D47/C47, 0),"-")</f>
        <v>-</v>
      </c>
    </row>
    <row r="48" spans="2:5" x14ac:dyDescent="0.3">
      <c r="B48" s="14" t="s">
        <v>11</v>
      </c>
      <c r="C48" s="15">
        <v>267</v>
      </c>
      <c r="D48" s="16" t="s">
        <v>142</v>
      </c>
      <c r="E48" s="17" t="str">
        <f>IFERROR(IF(C48&gt;0, D48/C48, 0),"-")</f>
        <v>-</v>
      </c>
    </row>
    <row r="49" spans="2:5" x14ac:dyDescent="0.3">
      <c r="B49" s="12" t="s">
        <v>138</v>
      </c>
      <c r="C49" s="13">
        <f>SUM(C19:C48)</f>
        <v>500</v>
      </c>
      <c r="D49" s="13">
        <f>SUM(D19:D48)</f>
        <v>0</v>
      </c>
      <c r="E49" s="18">
        <f>IFERROR(IF(C49&gt;0, D49/C49, 0),"-")</f>
        <v>0</v>
      </c>
    </row>
    <row r="53" spans="2:5" x14ac:dyDescent="0.3">
      <c r="B53" s="2" t="s">
        <v>176</v>
      </c>
      <c r="C53" s="2"/>
      <c r="D53" s="2"/>
      <c r="E53" s="2"/>
    </row>
    <row r="54" spans="2:5" x14ac:dyDescent="0.3">
      <c r="B54" s="4" t="s">
        <v>139</v>
      </c>
      <c r="C54" s="2" t="s">
        <v>153</v>
      </c>
      <c r="D54" s="2"/>
      <c r="E54" s="2"/>
    </row>
    <row r="55" spans="2:5" x14ac:dyDescent="0.3">
      <c r="B55" s="4"/>
      <c r="C55" s="6" t="s">
        <v>146</v>
      </c>
      <c r="D55" s="7" t="s">
        <v>158</v>
      </c>
      <c r="E55" s="8" t="s">
        <v>141</v>
      </c>
    </row>
    <row r="56" spans="2:5" x14ac:dyDescent="0.3">
      <c r="C56" s="6"/>
      <c r="D56" s="7"/>
      <c r="E56" s="8"/>
    </row>
    <row r="57" spans="2:5" x14ac:dyDescent="0.3">
      <c r="B57" s="14" t="s">
        <v>72</v>
      </c>
      <c r="C57" s="15" t="s">
        <v>142</v>
      </c>
      <c r="D57" s="16" t="s">
        <v>142</v>
      </c>
      <c r="E57" s="17" t="str">
        <f>IFERROR(IF(C57&gt;0, D57/C57, 0),"-")</f>
        <v>-</v>
      </c>
    </row>
    <row r="58" spans="2:5" x14ac:dyDescent="0.3">
      <c r="B58" s="14" t="s">
        <v>44</v>
      </c>
      <c r="C58" s="15" t="s">
        <v>142</v>
      </c>
      <c r="D58" s="16" t="s">
        <v>142</v>
      </c>
      <c r="E58" s="17" t="str">
        <f>IFERROR(IF(C58&gt;0, D58/C58, 0),"-")</f>
        <v>-</v>
      </c>
    </row>
    <row r="59" spans="2:5" x14ac:dyDescent="0.3">
      <c r="B59" s="14" t="s">
        <v>49</v>
      </c>
      <c r="C59" s="15" t="s">
        <v>142</v>
      </c>
      <c r="D59" s="16" t="s">
        <v>142</v>
      </c>
      <c r="E59" s="17" t="str">
        <f>IFERROR(IF(C59&gt;0, D59/C59, 0),"-")</f>
        <v>-</v>
      </c>
    </row>
    <row r="60" spans="2:5" x14ac:dyDescent="0.3">
      <c r="B60" s="14" t="s">
        <v>77</v>
      </c>
      <c r="C60" s="15" t="s">
        <v>142</v>
      </c>
      <c r="D60" s="16" t="s">
        <v>142</v>
      </c>
      <c r="E60" s="17" t="str">
        <f>IFERROR(IF(C60&gt;0, D60/C60, 0),"-")</f>
        <v>-</v>
      </c>
    </row>
    <row r="61" spans="2:5" x14ac:dyDescent="0.3">
      <c r="B61" s="14" t="s">
        <v>90</v>
      </c>
      <c r="C61" s="15" t="s">
        <v>142</v>
      </c>
      <c r="D61" s="16" t="s">
        <v>142</v>
      </c>
      <c r="E61" s="17" t="str">
        <f>IFERROR(IF(C61&gt;0, D61/C61, 0),"-")</f>
        <v>-</v>
      </c>
    </row>
    <row r="62" spans="2:5" x14ac:dyDescent="0.3">
      <c r="B62" s="14" t="s">
        <v>82</v>
      </c>
      <c r="C62" s="15" t="s">
        <v>142</v>
      </c>
      <c r="D62" s="16" t="s">
        <v>142</v>
      </c>
      <c r="E62" s="17" t="str">
        <f>IFERROR(IF(C62&gt;0, D62/C62, 0),"-")</f>
        <v>-</v>
      </c>
    </row>
    <row r="63" spans="2:5" x14ac:dyDescent="0.3">
      <c r="B63" s="14" t="s">
        <v>30</v>
      </c>
      <c r="C63" s="15" t="s">
        <v>142</v>
      </c>
      <c r="D63" s="16" t="s">
        <v>142</v>
      </c>
      <c r="E63" s="17" t="str">
        <f>IFERROR(IF(C63&gt;0, D63/C63, 0),"-")</f>
        <v>-</v>
      </c>
    </row>
    <row r="64" spans="2:5" x14ac:dyDescent="0.3">
      <c r="B64" s="14" t="s">
        <v>121</v>
      </c>
      <c r="C64" s="15" t="s">
        <v>142</v>
      </c>
      <c r="D64" s="16" t="s">
        <v>142</v>
      </c>
      <c r="E64" s="17" t="str">
        <f>IFERROR(IF(C64&gt;0, D64/C64, 0),"-")</f>
        <v>-</v>
      </c>
    </row>
    <row r="65" spans="2:5" x14ac:dyDescent="0.3">
      <c r="B65" s="14" t="s">
        <v>89</v>
      </c>
      <c r="C65" s="15" t="s">
        <v>142</v>
      </c>
      <c r="D65" s="16" t="s">
        <v>142</v>
      </c>
      <c r="E65" s="17" t="str">
        <f>IFERROR(IF(C65&gt;0, D65/C65, 0),"-")</f>
        <v>-</v>
      </c>
    </row>
    <row r="66" spans="2:5" x14ac:dyDescent="0.3">
      <c r="B66" s="14" t="s">
        <v>93</v>
      </c>
      <c r="C66" s="15" t="s">
        <v>142</v>
      </c>
      <c r="D66" s="16" t="s">
        <v>142</v>
      </c>
      <c r="E66" s="17" t="str">
        <f>IFERROR(IF(C66&gt;0, D66/C66, 0),"-")</f>
        <v>-</v>
      </c>
    </row>
    <row r="67" spans="2:5" x14ac:dyDescent="0.3">
      <c r="B67" s="14" t="s">
        <v>16</v>
      </c>
      <c r="C67" s="15">
        <v>7</v>
      </c>
      <c r="D67" s="16" t="s">
        <v>142</v>
      </c>
      <c r="E67" s="17" t="str">
        <f>IFERROR(IF(C67&gt;0, D67/C67, 0),"-")</f>
        <v>-</v>
      </c>
    </row>
    <row r="68" spans="2:5" x14ac:dyDescent="0.3">
      <c r="B68" s="14" t="s">
        <v>50</v>
      </c>
      <c r="C68" s="15" t="s">
        <v>142</v>
      </c>
      <c r="D68" s="16" t="s">
        <v>142</v>
      </c>
      <c r="E68" s="17" t="str">
        <f>IFERROR(IF(C68&gt;0, D68/C68, 0),"-")</f>
        <v>-</v>
      </c>
    </row>
    <row r="69" spans="2:5" x14ac:dyDescent="0.3">
      <c r="B69" s="14" t="s">
        <v>32</v>
      </c>
      <c r="C69" s="15" t="s">
        <v>142</v>
      </c>
      <c r="D69" s="16" t="s">
        <v>142</v>
      </c>
      <c r="E69" s="17" t="str">
        <f>IFERROR(IF(C69&gt;0, D69/C69, 0),"-")</f>
        <v>-</v>
      </c>
    </row>
    <row r="70" spans="2:5" x14ac:dyDescent="0.3">
      <c r="B70" s="14" t="s">
        <v>19</v>
      </c>
      <c r="C70" s="15" t="s">
        <v>142</v>
      </c>
      <c r="D70" s="16" t="s">
        <v>142</v>
      </c>
      <c r="E70" s="17" t="str">
        <f>IFERROR(IF(C70&gt;0, D70/C70, 0),"-")</f>
        <v>-</v>
      </c>
    </row>
    <row r="71" spans="2:5" x14ac:dyDescent="0.3">
      <c r="B71" s="14" t="s">
        <v>53</v>
      </c>
      <c r="C71" s="15" t="s">
        <v>142</v>
      </c>
      <c r="D71" s="16" t="s">
        <v>142</v>
      </c>
      <c r="E71" s="17" t="str">
        <f>IFERROR(IF(C71&gt;0, D71/C71, 0),"-")</f>
        <v>-</v>
      </c>
    </row>
    <row r="72" spans="2:5" x14ac:dyDescent="0.3">
      <c r="B72" s="14" t="s">
        <v>80</v>
      </c>
      <c r="C72" s="15" t="s">
        <v>142</v>
      </c>
      <c r="D72" s="16" t="s">
        <v>142</v>
      </c>
      <c r="E72" s="17" t="str">
        <f>IFERROR(IF(C72&gt;0, D72/C72, 0),"-")</f>
        <v>-</v>
      </c>
    </row>
    <row r="73" spans="2:5" x14ac:dyDescent="0.3">
      <c r="B73" s="14" t="s">
        <v>12</v>
      </c>
      <c r="C73" s="15" t="s">
        <v>142</v>
      </c>
      <c r="D73" s="16" t="s">
        <v>142</v>
      </c>
      <c r="E73" s="17" t="str">
        <f>IFERROR(IF(C73&gt;0, D73/C73, 0),"-")</f>
        <v>-</v>
      </c>
    </row>
    <row r="74" spans="2:5" x14ac:dyDescent="0.3">
      <c r="B74" s="14" t="s">
        <v>58</v>
      </c>
      <c r="C74" s="15">
        <v>1</v>
      </c>
      <c r="D74" s="16" t="s">
        <v>142</v>
      </c>
      <c r="E74" s="17" t="str">
        <f>IFERROR(IF(C74&gt;0, D74/C74, 0),"-")</f>
        <v>-</v>
      </c>
    </row>
    <row r="75" spans="2:5" x14ac:dyDescent="0.3">
      <c r="B75" s="14" t="s">
        <v>131</v>
      </c>
      <c r="C75" s="15" t="s">
        <v>142</v>
      </c>
      <c r="D75" s="16" t="s">
        <v>142</v>
      </c>
      <c r="E75" s="17" t="str">
        <f>IFERROR(IF(C75&gt;0, D75/C75, 0),"-")</f>
        <v>-</v>
      </c>
    </row>
    <row r="76" spans="2:5" x14ac:dyDescent="0.3">
      <c r="B76" s="14" t="s">
        <v>110</v>
      </c>
      <c r="C76" s="15" t="s">
        <v>142</v>
      </c>
      <c r="D76" s="16" t="s">
        <v>142</v>
      </c>
      <c r="E76" s="17" t="str">
        <f>IFERROR(IF(C76&gt;0, D76/C76, 0),"-")</f>
        <v>-</v>
      </c>
    </row>
    <row r="77" spans="2:5" x14ac:dyDescent="0.3">
      <c r="B77" s="14" t="s">
        <v>51</v>
      </c>
      <c r="C77" s="15" t="s">
        <v>142</v>
      </c>
      <c r="D77" s="16" t="s">
        <v>142</v>
      </c>
      <c r="E77" s="17" t="str">
        <f>IFERROR(IF(C77&gt;0, D77/C77, 0),"-")</f>
        <v>-</v>
      </c>
    </row>
    <row r="78" spans="2:5" x14ac:dyDescent="0.3">
      <c r="B78" s="14" t="s">
        <v>106</v>
      </c>
      <c r="C78" s="15" t="s">
        <v>142</v>
      </c>
      <c r="D78" s="16" t="s">
        <v>142</v>
      </c>
      <c r="E78" s="17" t="str">
        <f>IFERROR(IF(C78&gt;0, D78/C78, 0),"-")</f>
        <v>-</v>
      </c>
    </row>
    <row r="79" spans="2:5" x14ac:dyDescent="0.3">
      <c r="B79" s="14" t="s">
        <v>101</v>
      </c>
      <c r="C79" s="15" t="s">
        <v>142</v>
      </c>
      <c r="D79" s="16" t="s">
        <v>142</v>
      </c>
      <c r="E79" s="17" t="str">
        <f>IFERROR(IF(C79&gt;0, D79/C79, 0),"-")</f>
        <v>-</v>
      </c>
    </row>
    <row r="80" spans="2:5" x14ac:dyDescent="0.3">
      <c r="B80" s="14" t="s">
        <v>31</v>
      </c>
      <c r="C80" s="15" t="s">
        <v>142</v>
      </c>
      <c r="D80" s="16" t="s">
        <v>142</v>
      </c>
      <c r="E80" s="17" t="str">
        <f>IFERROR(IF(C80&gt;0, D80/C80, 0),"-")</f>
        <v>-</v>
      </c>
    </row>
    <row r="81" spans="2:5" x14ac:dyDescent="0.3">
      <c r="B81" s="14" t="s">
        <v>83</v>
      </c>
      <c r="C81" s="15" t="s">
        <v>142</v>
      </c>
      <c r="D81" s="16" t="s">
        <v>142</v>
      </c>
      <c r="E81" s="17" t="str">
        <f>IFERROR(IF(C81&gt;0, D81/C81, 0),"-")</f>
        <v>-</v>
      </c>
    </row>
    <row r="82" spans="2:5" x14ac:dyDescent="0.3">
      <c r="B82" s="14" t="s">
        <v>13</v>
      </c>
      <c r="C82" s="15" t="s">
        <v>142</v>
      </c>
      <c r="D82" s="16" t="s">
        <v>142</v>
      </c>
      <c r="E82" s="17" t="str">
        <f>IFERROR(IF(C82&gt;0, D82/C82, 0),"-")</f>
        <v>-</v>
      </c>
    </row>
    <row r="83" spans="2:5" x14ac:dyDescent="0.3">
      <c r="B83" s="14" t="s">
        <v>100</v>
      </c>
      <c r="C83" s="15" t="s">
        <v>142</v>
      </c>
      <c r="D83" s="16" t="s">
        <v>142</v>
      </c>
      <c r="E83" s="17" t="str">
        <f>IFERROR(IF(C83&gt;0, D83/C83, 0),"-")</f>
        <v>-</v>
      </c>
    </row>
    <row r="84" spans="2:5" x14ac:dyDescent="0.3">
      <c r="B84" s="14" t="s">
        <v>20</v>
      </c>
      <c r="C84" s="15" t="s">
        <v>142</v>
      </c>
      <c r="D84" s="16" t="s">
        <v>142</v>
      </c>
      <c r="E84" s="17" t="str">
        <f>IFERROR(IF(C84&gt;0, D84/C84, 0),"-")</f>
        <v>-</v>
      </c>
    </row>
    <row r="85" spans="2:5" x14ac:dyDescent="0.3">
      <c r="B85" s="14" t="s">
        <v>69</v>
      </c>
      <c r="C85" s="15" t="s">
        <v>142</v>
      </c>
      <c r="D85" s="16" t="s">
        <v>142</v>
      </c>
      <c r="E85" s="17" t="str">
        <f>IFERROR(IF(C85&gt;0, D85/C85, 0),"-")</f>
        <v>-</v>
      </c>
    </row>
    <row r="86" spans="2:5" x14ac:dyDescent="0.3">
      <c r="B86" s="14" t="s">
        <v>87</v>
      </c>
      <c r="C86" s="15" t="s">
        <v>142</v>
      </c>
      <c r="D86" s="16" t="s">
        <v>142</v>
      </c>
      <c r="E86" s="17" t="str">
        <f>IFERROR(IF(C86&gt;0, D86/C86, 0),"-")</f>
        <v>-</v>
      </c>
    </row>
    <row r="87" spans="2:5" x14ac:dyDescent="0.3">
      <c r="B87" s="14" t="s">
        <v>24</v>
      </c>
      <c r="C87" s="15" t="s">
        <v>142</v>
      </c>
      <c r="D87" s="16" t="s">
        <v>142</v>
      </c>
      <c r="E87" s="17" t="str">
        <f>IFERROR(IF(C87&gt;0, D87/C87, 0),"-")</f>
        <v>-</v>
      </c>
    </row>
    <row r="88" spans="2:5" x14ac:dyDescent="0.3">
      <c r="B88" s="14" t="s">
        <v>128</v>
      </c>
      <c r="C88" s="15" t="s">
        <v>142</v>
      </c>
      <c r="D88" s="16" t="s">
        <v>142</v>
      </c>
      <c r="E88" s="17" t="str">
        <f>IFERROR(IF(C88&gt;0, D88/C88, 0),"-")</f>
        <v>-</v>
      </c>
    </row>
    <row r="89" spans="2:5" x14ac:dyDescent="0.3">
      <c r="B89" s="14" t="s">
        <v>15</v>
      </c>
      <c r="C89" s="15" t="s">
        <v>142</v>
      </c>
      <c r="D89" s="16" t="s">
        <v>142</v>
      </c>
      <c r="E89" s="17" t="str">
        <f>IFERROR(IF(C89&gt;0, D89/C89, 0),"-")</f>
        <v>-</v>
      </c>
    </row>
    <row r="90" spans="2:5" x14ac:dyDescent="0.3">
      <c r="B90" s="14" t="s">
        <v>114</v>
      </c>
      <c r="C90" s="15">
        <v>3</v>
      </c>
      <c r="D90" s="16" t="s">
        <v>142</v>
      </c>
      <c r="E90" s="17" t="str">
        <f>IFERROR(IF(C90&gt;0, D90/C90, 0),"-")</f>
        <v>-</v>
      </c>
    </row>
    <row r="91" spans="2:5" x14ac:dyDescent="0.3">
      <c r="B91" s="14" t="s">
        <v>81</v>
      </c>
      <c r="C91" s="15">
        <v>1</v>
      </c>
      <c r="D91" s="16" t="s">
        <v>142</v>
      </c>
      <c r="E91" s="17" t="str">
        <f>IFERROR(IF(C91&gt;0, D91/C91, 0),"-")</f>
        <v>-</v>
      </c>
    </row>
    <row r="92" spans="2:5" x14ac:dyDescent="0.3">
      <c r="B92" s="14" t="s">
        <v>112</v>
      </c>
      <c r="C92" s="15" t="s">
        <v>142</v>
      </c>
      <c r="D92" s="16" t="s">
        <v>142</v>
      </c>
      <c r="E92" s="17" t="str">
        <f>IFERROR(IF(C92&gt;0, D92/C92, 0),"-")</f>
        <v>-</v>
      </c>
    </row>
    <row r="93" spans="2:5" x14ac:dyDescent="0.3">
      <c r="B93" s="14" t="s">
        <v>21</v>
      </c>
      <c r="C93" s="15">
        <v>4</v>
      </c>
      <c r="D93" s="16" t="s">
        <v>142</v>
      </c>
      <c r="E93" s="17" t="str">
        <f>IFERROR(IF(C93&gt;0, D93/C93, 0),"-")</f>
        <v>-</v>
      </c>
    </row>
    <row r="94" spans="2:5" x14ac:dyDescent="0.3">
      <c r="B94" s="14" t="s">
        <v>129</v>
      </c>
      <c r="C94" s="15" t="s">
        <v>142</v>
      </c>
      <c r="D94" s="16" t="s">
        <v>142</v>
      </c>
      <c r="E94" s="17" t="str">
        <f>IFERROR(IF(C94&gt;0, D94/C94, 0),"-")</f>
        <v>-</v>
      </c>
    </row>
    <row r="95" spans="2:5" x14ac:dyDescent="0.3">
      <c r="B95" s="14" t="s">
        <v>23</v>
      </c>
      <c r="C95" s="15" t="s">
        <v>142</v>
      </c>
      <c r="D95" s="16" t="s">
        <v>142</v>
      </c>
      <c r="E95" s="17" t="str">
        <f>IFERROR(IF(C95&gt;0, D95/C95, 0),"-")</f>
        <v>-</v>
      </c>
    </row>
    <row r="96" spans="2:5" x14ac:dyDescent="0.3">
      <c r="B96" s="14" t="s">
        <v>123</v>
      </c>
      <c r="C96" s="15" t="s">
        <v>142</v>
      </c>
      <c r="D96" s="16" t="s">
        <v>142</v>
      </c>
      <c r="E96" s="17" t="str">
        <f>IFERROR(IF(C96&gt;0, D96/C96, 0),"-")</f>
        <v>-</v>
      </c>
    </row>
    <row r="97" spans="2:5" x14ac:dyDescent="0.3">
      <c r="B97" s="14" t="s">
        <v>134</v>
      </c>
      <c r="C97" s="15" t="s">
        <v>142</v>
      </c>
      <c r="D97" s="16" t="s">
        <v>142</v>
      </c>
      <c r="E97" s="17" t="str">
        <f>IFERROR(IF(C97&gt;0, D97/C97, 0),"-")</f>
        <v>-</v>
      </c>
    </row>
    <row r="98" spans="2:5" x14ac:dyDescent="0.3">
      <c r="B98" s="14" t="s">
        <v>108</v>
      </c>
      <c r="C98" s="15" t="s">
        <v>142</v>
      </c>
      <c r="D98" s="16" t="s">
        <v>142</v>
      </c>
      <c r="E98" s="17" t="str">
        <f>IFERROR(IF(C98&gt;0, D98/C98, 0),"-")</f>
        <v>-</v>
      </c>
    </row>
    <row r="99" spans="2:5" x14ac:dyDescent="0.3">
      <c r="B99" s="14" t="s">
        <v>85</v>
      </c>
      <c r="C99" s="15" t="s">
        <v>142</v>
      </c>
      <c r="D99" s="16" t="s">
        <v>142</v>
      </c>
      <c r="E99" s="17" t="str">
        <f>IFERROR(IF(C99&gt;0, D99/C99, 0),"-")</f>
        <v>-</v>
      </c>
    </row>
    <row r="100" spans="2:5" x14ac:dyDescent="0.3">
      <c r="B100" s="14" t="s">
        <v>130</v>
      </c>
      <c r="C100" s="15" t="s">
        <v>142</v>
      </c>
      <c r="D100" s="16" t="s">
        <v>142</v>
      </c>
      <c r="E100" s="17" t="str">
        <f>IFERROR(IF(C100&gt;0, D100/C100, 0),"-")</f>
        <v>-</v>
      </c>
    </row>
    <row r="101" spans="2:5" x14ac:dyDescent="0.3">
      <c r="B101" s="14" t="s">
        <v>95</v>
      </c>
      <c r="C101" s="15" t="s">
        <v>142</v>
      </c>
      <c r="D101" s="16" t="s">
        <v>142</v>
      </c>
      <c r="E101" s="17" t="str">
        <f>IFERROR(IF(C101&gt;0, D101/C101, 0),"-")</f>
        <v>-</v>
      </c>
    </row>
    <row r="102" spans="2:5" x14ac:dyDescent="0.3">
      <c r="B102" s="14" t="s">
        <v>113</v>
      </c>
      <c r="C102" s="15" t="s">
        <v>142</v>
      </c>
      <c r="D102" s="16" t="s">
        <v>142</v>
      </c>
      <c r="E102" s="17" t="str">
        <f>IFERROR(IF(C102&gt;0, D102/C102, 0),"-")</f>
        <v>-</v>
      </c>
    </row>
    <row r="103" spans="2:5" x14ac:dyDescent="0.3">
      <c r="B103" s="14" t="s">
        <v>52</v>
      </c>
      <c r="C103" s="15" t="s">
        <v>142</v>
      </c>
      <c r="D103" s="16" t="s">
        <v>142</v>
      </c>
      <c r="E103" s="17" t="str">
        <f>IFERROR(IF(C103&gt;0, D103/C103, 0),"-")</f>
        <v>-</v>
      </c>
    </row>
    <row r="104" spans="2:5" x14ac:dyDescent="0.3">
      <c r="B104" s="14" t="s">
        <v>66</v>
      </c>
      <c r="C104" s="15" t="s">
        <v>142</v>
      </c>
      <c r="D104" s="16" t="s">
        <v>142</v>
      </c>
      <c r="E104" s="17" t="str">
        <f>IFERROR(IF(C104&gt;0, D104/C104, 0),"-")</f>
        <v>-</v>
      </c>
    </row>
    <row r="105" spans="2:5" x14ac:dyDescent="0.3">
      <c r="B105" s="14" t="s">
        <v>73</v>
      </c>
      <c r="C105" s="15" t="s">
        <v>142</v>
      </c>
      <c r="D105" s="16" t="s">
        <v>142</v>
      </c>
      <c r="E105" s="17" t="str">
        <f>IFERROR(IF(C105&gt;0, D105/C105, 0),"-")</f>
        <v>-</v>
      </c>
    </row>
    <row r="106" spans="2:5" x14ac:dyDescent="0.3">
      <c r="B106" s="14" t="s">
        <v>103</v>
      </c>
      <c r="C106" s="15" t="s">
        <v>142</v>
      </c>
      <c r="D106" s="16" t="s">
        <v>142</v>
      </c>
      <c r="E106" s="17" t="str">
        <f>IFERROR(IF(C106&gt;0, D106/C106, 0),"-")</f>
        <v>-</v>
      </c>
    </row>
    <row r="107" spans="2:5" x14ac:dyDescent="0.3">
      <c r="B107" s="14" t="s">
        <v>35</v>
      </c>
      <c r="C107" s="15" t="s">
        <v>142</v>
      </c>
      <c r="D107" s="16" t="s">
        <v>142</v>
      </c>
      <c r="E107" s="17" t="str">
        <f>IFERROR(IF(C107&gt;0, D107/C107, 0),"-")</f>
        <v>-</v>
      </c>
    </row>
    <row r="108" spans="2:5" x14ac:dyDescent="0.3">
      <c r="B108" s="14" t="s">
        <v>65</v>
      </c>
      <c r="C108" s="15" t="s">
        <v>142</v>
      </c>
      <c r="D108" s="16" t="s">
        <v>142</v>
      </c>
      <c r="E108" s="17" t="str">
        <f>IFERROR(IF(C108&gt;0, D108/C108, 0),"-")</f>
        <v>-</v>
      </c>
    </row>
    <row r="109" spans="2:5" x14ac:dyDescent="0.3">
      <c r="B109" s="14" t="s">
        <v>133</v>
      </c>
      <c r="C109" s="15" t="s">
        <v>142</v>
      </c>
      <c r="D109" s="16" t="s">
        <v>142</v>
      </c>
      <c r="E109" s="17" t="str">
        <f>IFERROR(IF(C109&gt;0, D109/C109, 0),"-")</f>
        <v>-</v>
      </c>
    </row>
    <row r="110" spans="2:5" x14ac:dyDescent="0.3">
      <c r="B110" s="14" t="s">
        <v>120</v>
      </c>
      <c r="C110" s="15" t="s">
        <v>142</v>
      </c>
      <c r="D110" s="16" t="s">
        <v>142</v>
      </c>
      <c r="E110" s="17" t="str">
        <f>IFERROR(IF(C110&gt;0, D110/C110, 0),"-")</f>
        <v>-</v>
      </c>
    </row>
    <row r="111" spans="2:5" x14ac:dyDescent="0.3">
      <c r="B111" s="14" t="s">
        <v>97</v>
      </c>
      <c r="C111" s="15">
        <v>9</v>
      </c>
      <c r="D111" s="16" t="s">
        <v>142</v>
      </c>
      <c r="E111" s="17" t="str">
        <f>IFERROR(IF(C111&gt;0, D111/C111, 0),"-")</f>
        <v>-</v>
      </c>
    </row>
    <row r="112" spans="2:5" x14ac:dyDescent="0.3">
      <c r="B112" s="14" t="s">
        <v>91</v>
      </c>
      <c r="C112" s="15" t="s">
        <v>142</v>
      </c>
      <c r="D112" s="16" t="s">
        <v>142</v>
      </c>
      <c r="E112" s="17" t="str">
        <f>IFERROR(IF(C112&gt;0, D112/C112, 0),"-")</f>
        <v>-</v>
      </c>
    </row>
    <row r="113" spans="2:5" x14ac:dyDescent="0.3">
      <c r="B113" s="14" t="s">
        <v>94</v>
      </c>
      <c r="C113" s="15">
        <v>1</v>
      </c>
      <c r="D113" s="16" t="s">
        <v>142</v>
      </c>
      <c r="E113" s="17" t="str">
        <f>IFERROR(IF(C113&gt;0, D113/C113, 0),"-")</f>
        <v>-</v>
      </c>
    </row>
    <row r="114" spans="2:5" x14ac:dyDescent="0.3">
      <c r="B114" s="14" t="s">
        <v>36</v>
      </c>
      <c r="C114" s="15" t="s">
        <v>142</v>
      </c>
      <c r="D114" s="16" t="s">
        <v>142</v>
      </c>
      <c r="E114" s="17" t="str">
        <f>IFERROR(IF(C114&gt;0, D114/C114, 0),"-")</f>
        <v>-</v>
      </c>
    </row>
    <row r="115" spans="2:5" x14ac:dyDescent="0.3">
      <c r="B115" s="14" t="s">
        <v>4</v>
      </c>
      <c r="C115" s="15" t="s">
        <v>142</v>
      </c>
      <c r="D115" s="16" t="s">
        <v>142</v>
      </c>
      <c r="E115" s="17" t="str">
        <f>IFERROR(IF(C115&gt;0, D115/C115, 0),"-")</f>
        <v>-</v>
      </c>
    </row>
    <row r="116" spans="2:5" x14ac:dyDescent="0.3">
      <c r="B116" s="14" t="s">
        <v>109</v>
      </c>
      <c r="C116" s="15" t="s">
        <v>142</v>
      </c>
      <c r="D116" s="16" t="s">
        <v>142</v>
      </c>
      <c r="E116" s="17" t="str">
        <f>IFERROR(IF(C116&gt;0, D116/C116, 0),"-")</f>
        <v>-</v>
      </c>
    </row>
    <row r="117" spans="2:5" x14ac:dyDescent="0.3">
      <c r="B117" s="14" t="s">
        <v>122</v>
      </c>
      <c r="C117" s="15" t="s">
        <v>142</v>
      </c>
      <c r="D117" s="16" t="s">
        <v>142</v>
      </c>
      <c r="E117" s="17" t="str">
        <f>IFERROR(IF(C117&gt;0, D117/C117, 0),"-")</f>
        <v>-</v>
      </c>
    </row>
    <row r="118" spans="2:5" x14ac:dyDescent="0.3">
      <c r="B118" s="14" t="s">
        <v>10</v>
      </c>
      <c r="C118" s="15" t="s">
        <v>142</v>
      </c>
      <c r="D118" s="16" t="s">
        <v>142</v>
      </c>
      <c r="E118" s="17" t="str">
        <f>IFERROR(IF(C118&gt;0, D118/C118, 0),"-")</f>
        <v>-</v>
      </c>
    </row>
    <row r="119" spans="2:5" x14ac:dyDescent="0.3">
      <c r="B119" s="14" t="s">
        <v>76</v>
      </c>
      <c r="C119" s="15" t="s">
        <v>142</v>
      </c>
      <c r="D119" s="16" t="s">
        <v>142</v>
      </c>
      <c r="E119" s="17" t="str">
        <f>IFERROR(IF(C119&gt;0, D119/C119, 0),"-")</f>
        <v>-</v>
      </c>
    </row>
    <row r="120" spans="2:5" x14ac:dyDescent="0.3">
      <c r="B120" s="14" t="s">
        <v>105</v>
      </c>
      <c r="C120" s="15" t="s">
        <v>142</v>
      </c>
      <c r="D120" s="16" t="s">
        <v>142</v>
      </c>
      <c r="E120" s="17" t="str">
        <f>IFERROR(IF(C120&gt;0, D120/C120, 0),"-")</f>
        <v>-</v>
      </c>
    </row>
    <row r="121" spans="2:5" x14ac:dyDescent="0.3">
      <c r="B121" s="14" t="s">
        <v>119</v>
      </c>
      <c r="C121" s="15" t="s">
        <v>142</v>
      </c>
      <c r="D121" s="16" t="s">
        <v>142</v>
      </c>
      <c r="E121" s="17" t="str">
        <f>IFERROR(IF(C121&gt;0, D121/C121, 0),"-")</f>
        <v>-</v>
      </c>
    </row>
    <row r="122" spans="2:5" x14ac:dyDescent="0.3">
      <c r="B122" s="14" t="s">
        <v>38</v>
      </c>
      <c r="C122" s="15" t="s">
        <v>142</v>
      </c>
      <c r="D122" s="16" t="s">
        <v>142</v>
      </c>
      <c r="E122" s="17" t="str">
        <f>IFERROR(IF(C122&gt;0, D122/C122, 0),"-")</f>
        <v>-</v>
      </c>
    </row>
    <row r="123" spans="2:5" x14ac:dyDescent="0.3">
      <c r="B123" s="14" t="s">
        <v>26</v>
      </c>
      <c r="C123" s="15" t="s">
        <v>142</v>
      </c>
      <c r="D123" s="16" t="s">
        <v>142</v>
      </c>
      <c r="E123" s="17" t="str">
        <f>IFERROR(IF(C123&gt;0, D123/C123, 0),"-")</f>
        <v>-</v>
      </c>
    </row>
    <row r="124" spans="2:5" x14ac:dyDescent="0.3">
      <c r="B124" s="14" t="s">
        <v>111</v>
      </c>
      <c r="C124" s="15" t="s">
        <v>142</v>
      </c>
      <c r="D124" s="16" t="s">
        <v>142</v>
      </c>
      <c r="E124" s="17" t="str">
        <f>IFERROR(IF(C124&gt;0, D124/C124, 0),"-")</f>
        <v>-</v>
      </c>
    </row>
    <row r="125" spans="2:5" x14ac:dyDescent="0.3">
      <c r="B125" s="14" t="s">
        <v>6</v>
      </c>
      <c r="C125" s="15" t="s">
        <v>142</v>
      </c>
      <c r="D125" s="16" t="s">
        <v>142</v>
      </c>
      <c r="E125" s="17" t="str">
        <f>IFERROR(IF(C125&gt;0, D125/C125, 0),"-")</f>
        <v>-</v>
      </c>
    </row>
    <row r="126" spans="2:5" x14ac:dyDescent="0.3">
      <c r="B126" s="14" t="s">
        <v>42</v>
      </c>
      <c r="C126" s="15" t="s">
        <v>142</v>
      </c>
      <c r="D126" s="16" t="s">
        <v>142</v>
      </c>
      <c r="E126" s="17" t="str">
        <f>IFERROR(IF(C126&gt;0, D126/C126, 0),"-")</f>
        <v>-</v>
      </c>
    </row>
    <row r="127" spans="2:5" x14ac:dyDescent="0.3">
      <c r="B127" s="14" t="s">
        <v>57</v>
      </c>
      <c r="C127" s="15" t="s">
        <v>142</v>
      </c>
      <c r="D127" s="16" t="s">
        <v>142</v>
      </c>
      <c r="E127" s="17" t="str">
        <f>IFERROR(IF(C127&gt;0, D127/C127, 0),"-")</f>
        <v>-</v>
      </c>
    </row>
    <row r="128" spans="2:5" x14ac:dyDescent="0.3">
      <c r="B128" s="14" t="s">
        <v>46</v>
      </c>
      <c r="C128" s="15" t="s">
        <v>142</v>
      </c>
      <c r="D128" s="16" t="s">
        <v>142</v>
      </c>
      <c r="E128" s="17" t="str">
        <f>IFERROR(IF(C128&gt;0, D128/C128, 0),"-")</f>
        <v>-</v>
      </c>
    </row>
    <row r="129" spans="2:5" x14ac:dyDescent="0.3">
      <c r="B129" s="14" t="s">
        <v>98</v>
      </c>
      <c r="C129" s="15" t="s">
        <v>142</v>
      </c>
      <c r="D129" s="16" t="s">
        <v>142</v>
      </c>
      <c r="E129" s="17" t="str">
        <f>IFERROR(IF(C129&gt;0, D129/C129, 0),"-")</f>
        <v>-</v>
      </c>
    </row>
    <row r="130" spans="2:5" x14ac:dyDescent="0.3">
      <c r="B130" s="14" t="s">
        <v>55</v>
      </c>
      <c r="C130" s="15" t="s">
        <v>142</v>
      </c>
      <c r="D130" s="16" t="s">
        <v>142</v>
      </c>
      <c r="E130" s="17" t="str">
        <f>IFERROR(IF(C130&gt;0, D130/C130, 0),"-")</f>
        <v>-</v>
      </c>
    </row>
    <row r="131" spans="2:5" x14ac:dyDescent="0.3">
      <c r="B131" s="14" t="s">
        <v>78</v>
      </c>
      <c r="C131" s="15" t="s">
        <v>142</v>
      </c>
      <c r="D131" s="16" t="s">
        <v>142</v>
      </c>
      <c r="E131" s="17" t="str">
        <f>IFERROR(IF(C131&gt;0, D131/C131, 0),"-")</f>
        <v>-</v>
      </c>
    </row>
    <row r="132" spans="2:5" x14ac:dyDescent="0.3">
      <c r="B132" s="14" t="s">
        <v>48</v>
      </c>
      <c r="C132" s="15" t="s">
        <v>142</v>
      </c>
      <c r="D132" s="16" t="s">
        <v>142</v>
      </c>
      <c r="E132" s="17" t="str">
        <f>IFERROR(IF(C132&gt;0, D132/C132, 0),"-")</f>
        <v>-</v>
      </c>
    </row>
    <row r="133" spans="2:5" x14ac:dyDescent="0.3">
      <c r="B133" s="14" t="s">
        <v>88</v>
      </c>
      <c r="C133" s="15" t="s">
        <v>142</v>
      </c>
      <c r="D133" s="16" t="s">
        <v>142</v>
      </c>
      <c r="E133" s="17" t="str">
        <f>IFERROR(IF(C133&gt;0, D133/C133, 0),"-")</f>
        <v>-</v>
      </c>
    </row>
    <row r="134" spans="2:5" x14ac:dyDescent="0.3">
      <c r="B134" s="14" t="s">
        <v>117</v>
      </c>
      <c r="C134" s="15" t="s">
        <v>142</v>
      </c>
      <c r="D134" s="16" t="s">
        <v>142</v>
      </c>
      <c r="E134" s="17" t="str">
        <f>IFERROR(IF(C134&gt;0, D134/C134, 0),"-")</f>
        <v>-</v>
      </c>
    </row>
    <row r="135" spans="2:5" x14ac:dyDescent="0.3">
      <c r="B135" s="14" t="s">
        <v>8</v>
      </c>
      <c r="C135" s="15" t="s">
        <v>142</v>
      </c>
      <c r="D135" s="16" t="s">
        <v>142</v>
      </c>
      <c r="E135" s="17" t="str">
        <f>IFERROR(IF(C135&gt;0, D135/C135, 0),"-")</f>
        <v>-</v>
      </c>
    </row>
    <row r="136" spans="2:5" x14ac:dyDescent="0.3">
      <c r="B136" s="14" t="s">
        <v>107</v>
      </c>
      <c r="C136" s="15" t="s">
        <v>142</v>
      </c>
      <c r="D136" s="16" t="s">
        <v>142</v>
      </c>
      <c r="E136" s="17" t="str">
        <f>IFERROR(IF(C136&gt;0, D136/C136, 0),"-")</f>
        <v>-</v>
      </c>
    </row>
    <row r="137" spans="2:5" x14ac:dyDescent="0.3">
      <c r="B137" s="14" t="s">
        <v>33</v>
      </c>
      <c r="C137" s="15" t="s">
        <v>142</v>
      </c>
      <c r="D137" s="16" t="s">
        <v>142</v>
      </c>
      <c r="E137" s="17" t="str">
        <f>IFERROR(IF(C137&gt;0, D137/C137, 0),"-")</f>
        <v>-</v>
      </c>
    </row>
    <row r="138" spans="2:5" x14ac:dyDescent="0.3">
      <c r="B138" s="14" t="s">
        <v>54</v>
      </c>
      <c r="C138" s="15" t="s">
        <v>142</v>
      </c>
      <c r="D138" s="16" t="s">
        <v>142</v>
      </c>
      <c r="E138" s="17" t="str">
        <f>IFERROR(IF(C138&gt;0, D138/C138, 0),"-")</f>
        <v>-</v>
      </c>
    </row>
    <row r="139" spans="2:5" x14ac:dyDescent="0.3">
      <c r="B139" s="14" t="s">
        <v>71</v>
      </c>
      <c r="C139" s="15">
        <v>1</v>
      </c>
      <c r="D139" s="16" t="s">
        <v>142</v>
      </c>
      <c r="E139" s="17" t="str">
        <f>IFERROR(IF(C139&gt;0, D139/C139, 0),"-")</f>
        <v>-</v>
      </c>
    </row>
    <row r="140" spans="2:5" x14ac:dyDescent="0.3">
      <c r="B140" s="14" t="s">
        <v>9</v>
      </c>
      <c r="C140" s="15" t="s">
        <v>142</v>
      </c>
      <c r="D140" s="16" t="s">
        <v>142</v>
      </c>
      <c r="E140" s="17" t="str">
        <f>IFERROR(IF(C140&gt;0, D140/C140, 0),"-")</f>
        <v>-</v>
      </c>
    </row>
    <row r="141" spans="2:5" x14ac:dyDescent="0.3">
      <c r="B141" s="14" t="s">
        <v>39</v>
      </c>
      <c r="C141" s="15" t="s">
        <v>142</v>
      </c>
      <c r="D141" s="16" t="s">
        <v>142</v>
      </c>
      <c r="E141" s="17" t="str">
        <f>IFERROR(IF(C141&gt;0, D141/C141, 0),"-")</f>
        <v>-</v>
      </c>
    </row>
    <row r="142" spans="2:5" x14ac:dyDescent="0.3">
      <c r="B142" s="14" t="s">
        <v>25</v>
      </c>
      <c r="C142" s="15" t="s">
        <v>142</v>
      </c>
      <c r="D142" s="16" t="s">
        <v>142</v>
      </c>
      <c r="E142" s="17" t="str">
        <f>IFERROR(IF(C142&gt;0, D142/C142, 0),"-")</f>
        <v>-</v>
      </c>
    </row>
    <row r="143" spans="2:5" x14ac:dyDescent="0.3">
      <c r="B143" s="14" t="s">
        <v>102</v>
      </c>
      <c r="C143" s="15">
        <v>43</v>
      </c>
      <c r="D143" s="16" t="s">
        <v>142</v>
      </c>
      <c r="E143" s="17" t="str">
        <f>IFERROR(IF(C143&gt;0, D143/C143, 0),"-")</f>
        <v>-</v>
      </c>
    </row>
    <row r="144" spans="2:5" x14ac:dyDescent="0.3">
      <c r="B144" s="14" t="s">
        <v>14</v>
      </c>
      <c r="C144" s="15" t="s">
        <v>142</v>
      </c>
      <c r="D144" s="16" t="s">
        <v>142</v>
      </c>
      <c r="E144" s="17" t="str">
        <f>IFERROR(IF(C144&gt;0, D144/C144, 0),"-")</f>
        <v>-</v>
      </c>
    </row>
    <row r="145" spans="2:5" x14ac:dyDescent="0.3">
      <c r="B145" s="14" t="s">
        <v>125</v>
      </c>
      <c r="C145" s="15" t="s">
        <v>142</v>
      </c>
      <c r="D145" s="16" t="s">
        <v>142</v>
      </c>
      <c r="E145" s="17" t="str">
        <f>IFERROR(IF(C145&gt;0, D145/C145, 0),"-")</f>
        <v>-</v>
      </c>
    </row>
    <row r="146" spans="2:5" x14ac:dyDescent="0.3">
      <c r="B146" s="14" t="s">
        <v>40</v>
      </c>
      <c r="C146" s="15" t="s">
        <v>142</v>
      </c>
      <c r="D146" s="16" t="s">
        <v>142</v>
      </c>
      <c r="E146" s="17" t="str">
        <f>IFERROR(IF(C146&gt;0, D146/C146, 0),"-")</f>
        <v>-</v>
      </c>
    </row>
    <row r="147" spans="2:5" x14ac:dyDescent="0.3">
      <c r="B147" s="14" t="s">
        <v>126</v>
      </c>
      <c r="C147" s="15" t="s">
        <v>142</v>
      </c>
      <c r="D147" s="16" t="s">
        <v>142</v>
      </c>
      <c r="E147" s="17" t="str">
        <f>IFERROR(IF(C147&gt;0, D147/C147, 0),"-")</f>
        <v>-</v>
      </c>
    </row>
    <row r="148" spans="2:5" x14ac:dyDescent="0.3">
      <c r="B148" s="14" t="s">
        <v>47</v>
      </c>
      <c r="C148" s="15" t="s">
        <v>142</v>
      </c>
      <c r="D148" s="16" t="s">
        <v>142</v>
      </c>
      <c r="E148" s="17" t="str">
        <f>IFERROR(IF(C148&gt;0, D148/C148, 0),"-")</f>
        <v>-</v>
      </c>
    </row>
    <row r="149" spans="2:5" x14ac:dyDescent="0.3">
      <c r="B149" s="14" t="s">
        <v>61</v>
      </c>
      <c r="C149" s="15" t="s">
        <v>142</v>
      </c>
      <c r="D149" s="16" t="s">
        <v>142</v>
      </c>
      <c r="E149" s="17" t="str">
        <f>IFERROR(IF(C149&gt;0, D149/C149, 0),"-")</f>
        <v>-</v>
      </c>
    </row>
    <row r="150" spans="2:5" x14ac:dyDescent="0.3">
      <c r="B150" s="14" t="s">
        <v>127</v>
      </c>
      <c r="C150" s="15" t="s">
        <v>142</v>
      </c>
      <c r="D150" s="16" t="s">
        <v>142</v>
      </c>
      <c r="E150" s="17" t="str">
        <f>IFERROR(IF(C150&gt;0, D150/C150, 0),"-")</f>
        <v>-</v>
      </c>
    </row>
    <row r="151" spans="2:5" x14ac:dyDescent="0.3">
      <c r="B151" s="14" t="s">
        <v>92</v>
      </c>
      <c r="C151" s="15" t="s">
        <v>142</v>
      </c>
      <c r="D151" s="16" t="s">
        <v>142</v>
      </c>
      <c r="E151" s="17" t="str">
        <f>IFERROR(IF(C151&gt;0, D151/C151, 0),"-")</f>
        <v>-</v>
      </c>
    </row>
    <row r="152" spans="2:5" x14ac:dyDescent="0.3">
      <c r="B152" s="14" t="s">
        <v>56</v>
      </c>
      <c r="C152" s="15">
        <v>33</v>
      </c>
      <c r="D152" s="16" t="s">
        <v>142</v>
      </c>
      <c r="E152" s="17" t="str">
        <f>IFERROR(IF(C152&gt;0, D152/C152, 0),"-")</f>
        <v>-</v>
      </c>
    </row>
    <row r="153" spans="2:5" x14ac:dyDescent="0.3">
      <c r="B153" s="14" t="s">
        <v>60</v>
      </c>
      <c r="C153" s="15">
        <v>3</v>
      </c>
      <c r="D153" s="16" t="s">
        <v>142</v>
      </c>
      <c r="E153" s="17" t="str">
        <f>IFERROR(IF(C153&gt;0, D153/C153, 0),"-")</f>
        <v>-</v>
      </c>
    </row>
    <row r="154" spans="2:5" x14ac:dyDescent="0.3">
      <c r="B154" s="14" t="s">
        <v>104</v>
      </c>
      <c r="C154" s="15" t="s">
        <v>142</v>
      </c>
      <c r="D154" s="16" t="s">
        <v>142</v>
      </c>
      <c r="E154" s="17" t="str">
        <f>IFERROR(IF(C154&gt;0, D154/C154, 0),"-")</f>
        <v>-</v>
      </c>
    </row>
    <row r="155" spans="2:5" x14ac:dyDescent="0.3">
      <c r="B155" s="14" t="s">
        <v>135</v>
      </c>
      <c r="C155" s="15" t="s">
        <v>142</v>
      </c>
      <c r="D155" s="16" t="s">
        <v>142</v>
      </c>
      <c r="E155" s="17" t="str">
        <f>IFERROR(IF(C155&gt;0, D155/C155, 0),"-")</f>
        <v>-</v>
      </c>
    </row>
    <row r="156" spans="2:5" x14ac:dyDescent="0.3">
      <c r="B156" s="14" t="s">
        <v>116</v>
      </c>
      <c r="C156" s="15" t="s">
        <v>142</v>
      </c>
      <c r="D156" s="16" t="s">
        <v>142</v>
      </c>
      <c r="E156" s="17" t="str">
        <f>IFERROR(IF(C156&gt;0, D156/C156, 0),"-")</f>
        <v>-</v>
      </c>
    </row>
    <row r="157" spans="2:5" x14ac:dyDescent="0.3">
      <c r="B157" s="14" t="s">
        <v>96</v>
      </c>
      <c r="C157" s="15" t="s">
        <v>142</v>
      </c>
      <c r="D157" s="16" t="s">
        <v>142</v>
      </c>
      <c r="E157" s="17" t="str">
        <f>IFERROR(IF(C157&gt;0, D157/C157, 0),"-")</f>
        <v>-</v>
      </c>
    </row>
    <row r="158" spans="2:5" x14ac:dyDescent="0.3">
      <c r="B158" s="14" t="s">
        <v>63</v>
      </c>
      <c r="C158" s="15" t="s">
        <v>142</v>
      </c>
      <c r="D158" s="16" t="s">
        <v>142</v>
      </c>
      <c r="E158" s="17" t="str">
        <f>IFERROR(IF(C158&gt;0, D158/C158, 0),"-")</f>
        <v>-</v>
      </c>
    </row>
    <row r="159" spans="2:5" x14ac:dyDescent="0.3">
      <c r="B159" s="14" t="s">
        <v>45</v>
      </c>
      <c r="C159" s="15" t="s">
        <v>142</v>
      </c>
      <c r="D159" s="16" t="s">
        <v>142</v>
      </c>
      <c r="E159" s="17" t="str">
        <f>IFERROR(IF(C159&gt;0, D159/C159, 0),"-")</f>
        <v>-</v>
      </c>
    </row>
    <row r="160" spans="2:5" x14ac:dyDescent="0.3">
      <c r="B160" s="14" t="s">
        <v>62</v>
      </c>
      <c r="C160" s="15" t="s">
        <v>142</v>
      </c>
      <c r="D160" s="16" t="s">
        <v>142</v>
      </c>
      <c r="E160" s="17" t="str">
        <f>IFERROR(IF(C160&gt;0, D160/C160, 0),"-")</f>
        <v>-</v>
      </c>
    </row>
    <row r="161" spans="2:5" x14ac:dyDescent="0.3">
      <c r="B161" s="14" t="s">
        <v>132</v>
      </c>
      <c r="C161" s="15">
        <v>133</v>
      </c>
      <c r="D161" s="16" t="s">
        <v>142</v>
      </c>
      <c r="E161" s="17" t="str">
        <f>IFERROR(IF(C161&gt;0, D161/C161, 0),"-")</f>
        <v>-</v>
      </c>
    </row>
    <row r="162" spans="2:5" x14ac:dyDescent="0.3">
      <c r="B162" s="14" t="s">
        <v>70</v>
      </c>
      <c r="C162" s="15" t="s">
        <v>142</v>
      </c>
      <c r="D162" s="16" t="s">
        <v>142</v>
      </c>
      <c r="E162" s="17" t="str">
        <f>IFERROR(IF(C162&gt;0, D162/C162, 0),"-")</f>
        <v>-</v>
      </c>
    </row>
    <row r="163" spans="2:5" x14ac:dyDescent="0.3">
      <c r="B163" s="14" t="s">
        <v>28</v>
      </c>
      <c r="C163" s="15" t="s">
        <v>142</v>
      </c>
      <c r="D163" s="16" t="s">
        <v>142</v>
      </c>
      <c r="E163" s="17" t="str">
        <f>IFERROR(IF(C163&gt;0, D163/C163, 0),"-")</f>
        <v>-</v>
      </c>
    </row>
    <row r="164" spans="2:5" x14ac:dyDescent="0.3">
      <c r="B164" s="14" t="s">
        <v>84</v>
      </c>
      <c r="C164" s="15" t="s">
        <v>142</v>
      </c>
      <c r="D164" s="16" t="s">
        <v>142</v>
      </c>
      <c r="E164" s="17" t="str">
        <f>IFERROR(IF(C164&gt;0, D164/C164, 0),"-")</f>
        <v>-</v>
      </c>
    </row>
    <row r="165" spans="2:5" x14ac:dyDescent="0.3">
      <c r="B165" s="14" t="s">
        <v>5</v>
      </c>
      <c r="C165" s="15" t="s">
        <v>142</v>
      </c>
      <c r="D165" s="16" t="s">
        <v>142</v>
      </c>
      <c r="E165" s="17" t="str">
        <f>IFERROR(IF(C165&gt;0, D165/C165, 0),"-")</f>
        <v>-</v>
      </c>
    </row>
    <row r="166" spans="2:5" x14ac:dyDescent="0.3">
      <c r="B166" s="14" t="s">
        <v>34</v>
      </c>
      <c r="C166" s="15" t="s">
        <v>142</v>
      </c>
      <c r="D166" s="16" t="s">
        <v>142</v>
      </c>
      <c r="E166" s="17" t="str">
        <f>IFERROR(IF(C166&gt;0, D166/C166, 0),"-")</f>
        <v>-</v>
      </c>
    </row>
    <row r="167" spans="2:5" x14ac:dyDescent="0.3">
      <c r="B167" s="14" t="s">
        <v>74</v>
      </c>
      <c r="C167" s="15" t="s">
        <v>142</v>
      </c>
      <c r="D167" s="16" t="s">
        <v>142</v>
      </c>
      <c r="E167" s="17" t="str">
        <f>IFERROR(IF(C167&gt;0, D167/C167, 0),"-")</f>
        <v>-</v>
      </c>
    </row>
    <row r="168" spans="2:5" x14ac:dyDescent="0.3">
      <c r="B168" s="14" t="s">
        <v>64</v>
      </c>
      <c r="C168" s="15" t="s">
        <v>142</v>
      </c>
      <c r="D168" s="16" t="s">
        <v>142</v>
      </c>
      <c r="E168" s="17" t="str">
        <f>IFERROR(IF(C168&gt;0, D168/C168, 0),"-")</f>
        <v>-</v>
      </c>
    </row>
    <row r="169" spans="2:5" x14ac:dyDescent="0.3">
      <c r="B169" s="14" t="s">
        <v>43</v>
      </c>
      <c r="C169" s="15" t="s">
        <v>142</v>
      </c>
      <c r="D169" s="16" t="s">
        <v>142</v>
      </c>
      <c r="E169" s="17" t="str">
        <f>IFERROR(IF(C169&gt;0, D169/C169, 0),"-")</f>
        <v>-</v>
      </c>
    </row>
    <row r="170" spans="2:5" x14ac:dyDescent="0.3">
      <c r="B170" s="14" t="s">
        <v>68</v>
      </c>
      <c r="C170" s="15" t="s">
        <v>142</v>
      </c>
      <c r="D170" s="16" t="s">
        <v>142</v>
      </c>
      <c r="E170" s="17" t="str">
        <f>IFERROR(IF(C170&gt;0, D170/C170, 0),"-")</f>
        <v>-</v>
      </c>
    </row>
    <row r="171" spans="2:5" x14ac:dyDescent="0.3">
      <c r="B171" s="14" t="s">
        <v>67</v>
      </c>
      <c r="C171" s="15" t="s">
        <v>142</v>
      </c>
      <c r="D171" s="16" t="s">
        <v>142</v>
      </c>
      <c r="E171" s="17" t="str">
        <f>IFERROR(IF(C171&gt;0, D171/C171, 0),"-")</f>
        <v>-</v>
      </c>
    </row>
    <row r="172" spans="2:5" x14ac:dyDescent="0.3">
      <c r="B172" s="14" t="s">
        <v>79</v>
      </c>
      <c r="C172" s="15" t="s">
        <v>142</v>
      </c>
      <c r="D172" s="16" t="s">
        <v>142</v>
      </c>
      <c r="E172" s="17" t="str">
        <f>IFERROR(IF(C172&gt;0, D172/C172, 0),"-")</f>
        <v>-</v>
      </c>
    </row>
    <row r="173" spans="2:5" x14ac:dyDescent="0.3">
      <c r="B173" s="14" t="s">
        <v>75</v>
      </c>
      <c r="C173" s="15" t="s">
        <v>142</v>
      </c>
      <c r="D173" s="16" t="s">
        <v>142</v>
      </c>
      <c r="E173" s="17" t="str">
        <f>IFERROR(IF(C173&gt;0, D173/C173, 0),"-")</f>
        <v>-</v>
      </c>
    </row>
    <row r="174" spans="2:5" x14ac:dyDescent="0.3">
      <c r="B174" s="14" t="s">
        <v>118</v>
      </c>
      <c r="C174" s="15" t="s">
        <v>142</v>
      </c>
      <c r="D174" s="16" t="s">
        <v>142</v>
      </c>
      <c r="E174" s="17" t="str">
        <f>IFERROR(IF(C174&gt;0, D174/C174, 0),"-")</f>
        <v>-</v>
      </c>
    </row>
    <row r="175" spans="2:5" x14ac:dyDescent="0.3">
      <c r="B175" s="14" t="s">
        <v>41</v>
      </c>
      <c r="C175" s="15" t="s">
        <v>142</v>
      </c>
      <c r="D175" s="16" t="s">
        <v>142</v>
      </c>
      <c r="E175" s="17" t="str">
        <f>IFERROR(IF(C175&gt;0, D175/C175, 0),"-")</f>
        <v>-</v>
      </c>
    </row>
    <row r="176" spans="2:5" x14ac:dyDescent="0.3">
      <c r="B176" s="14" t="s">
        <v>124</v>
      </c>
      <c r="C176" s="15">
        <v>28</v>
      </c>
      <c r="D176" s="16" t="s">
        <v>142</v>
      </c>
      <c r="E176" s="17" t="str">
        <f>IFERROR(IF(C176&gt;0, D176/C176, 0),"-")</f>
        <v>-</v>
      </c>
    </row>
    <row r="177" spans="2:5" x14ac:dyDescent="0.3">
      <c r="B177" s="14" t="s">
        <v>22</v>
      </c>
      <c r="C177" s="15" t="s">
        <v>142</v>
      </c>
      <c r="D177" s="16" t="s">
        <v>142</v>
      </c>
      <c r="E177" s="17" t="str">
        <f>IFERROR(IF(C177&gt;0, D177/C177, 0),"-")</f>
        <v>-</v>
      </c>
    </row>
    <row r="178" spans="2:5" x14ac:dyDescent="0.3">
      <c r="B178" s="14" t="s">
        <v>1</v>
      </c>
      <c r="C178" s="15" t="s">
        <v>142</v>
      </c>
      <c r="D178" s="16" t="s">
        <v>142</v>
      </c>
      <c r="E178" s="17" t="str">
        <f>IFERROR(IF(C178&gt;0, D178/C178, 0),"-")</f>
        <v>-</v>
      </c>
    </row>
    <row r="179" spans="2:5" x14ac:dyDescent="0.3">
      <c r="B179" s="14" t="s">
        <v>99</v>
      </c>
      <c r="C179" s="15" t="s">
        <v>142</v>
      </c>
      <c r="D179" s="16" t="s">
        <v>142</v>
      </c>
      <c r="E179" s="17" t="str">
        <f>IFERROR(IF(C179&gt;0, D179/C179, 0),"-")</f>
        <v>-</v>
      </c>
    </row>
    <row r="180" spans="2:5" x14ac:dyDescent="0.3">
      <c r="B180" s="14" t="s">
        <v>59</v>
      </c>
      <c r="C180" s="15">
        <v>206</v>
      </c>
      <c r="D180" s="16" t="s">
        <v>142</v>
      </c>
      <c r="E180" s="17" t="str">
        <f>IFERROR(IF(C180&gt;0, D180/C180, 0),"-")</f>
        <v>-</v>
      </c>
    </row>
    <row r="181" spans="2:5" x14ac:dyDescent="0.3">
      <c r="B181" s="14" t="s">
        <v>37</v>
      </c>
      <c r="C181" s="15" t="s">
        <v>142</v>
      </c>
      <c r="D181" s="16" t="s">
        <v>142</v>
      </c>
      <c r="E181" s="17" t="str">
        <f>IFERROR(IF(C181&gt;0, D181/C181, 0),"-")</f>
        <v>-</v>
      </c>
    </row>
    <row r="182" spans="2:5" x14ac:dyDescent="0.3">
      <c r="B182" s="14" t="s">
        <v>86</v>
      </c>
      <c r="C182" s="15">
        <v>27</v>
      </c>
      <c r="D182" s="16" t="s">
        <v>142</v>
      </c>
      <c r="E182" s="17" t="str">
        <f>IFERROR(IF(C182&gt;0, D182/C182, 0),"-")</f>
        <v>-</v>
      </c>
    </row>
    <row r="183" spans="2:5" x14ac:dyDescent="0.3">
      <c r="B183" s="14" t="s">
        <v>115</v>
      </c>
      <c r="C183" s="15" t="s">
        <v>142</v>
      </c>
      <c r="D183" s="16" t="s">
        <v>142</v>
      </c>
      <c r="E183" s="17" t="str">
        <f>IFERROR(IF(C183&gt;0, D183/C183, 0),"-")</f>
        <v>-</v>
      </c>
    </row>
    <row r="184" spans="2:5" x14ac:dyDescent="0.3">
      <c r="B184" s="12" t="s">
        <v>138</v>
      </c>
      <c r="C184" s="13">
        <f>SUM(C57:C183)</f>
        <v>500</v>
      </c>
      <c r="D184" s="13">
        <f>SUM(D57:D183)</f>
        <v>0</v>
      </c>
      <c r="E184" s="18">
        <f>IFERROR(IF(C184&gt;0, D184/C184, 0),"-")</f>
        <v>0</v>
      </c>
    </row>
    <row r="188" spans="2:5" ht="18" x14ac:dyDescent="0.35">
      <c r="B188" s="23" t="s">
        <v>164</v>
      </c>
      <c r="C188" s="23"/>
      <c r="D188" s="23"/>
      <c r="E188" s="23"/>
    </row>
    <row r="190" spans="2:5" x14ac:dyDescent="0.3">
      <c r="B190" s="2" t="s">
        <v>174</v>
      </c>
      <c r="C190" s="2"/>
      <c r="D190" s="2"/>
      <c r="E190" s="2"/>
    </row>
    <row r="191" spans="2:5" x14ac:dyDescent="0.3">
      <c r="B191" s="4" t="s">
        <v>144</v>
      </c>
      <c r="C191" s="2" t="s">
        <v>153</v>
      </c>
      <c r="D191" s="2"/>
      <c r="E191" s="2"/>
    </row>
    <row r="192" spans="2:5" x14ac:dyDescent="0.3">
      <c r="B192" s="4"/>
      <c r="C192" s="6" t="s">
        <v>146</v>
      </c>
      <c r="D192" s="7" t="s">
        <v>158</v>
      </c>
      <c r="E192" s="8" t="s">
        <v>141</v>
      </c>
    </row>
    <row r="193" spans="2:5" x14ac:dyDescent="0.3">
      <c r="C193" s="6"/>
      <c r="D193" s="7"/>
      <c r="E193" s="8"/>
    </row>
    <row r="194" spans="2:5" x14ac:dyDescent="0.3">
      <c r="B194" s="14" t="s">
        <v>2</v>
      </c>
      <c r="C194" s="15" t="s">
        <v>142</v>
      </c>
      <c r="D194" s="16" t="s">
        <v>142</v>
      </c>
      <c r="E194" s="17" t="str">
        <f>IFERROR(IF(C194&gt;0, D194/C194, 0),"-")</f>
        <v>-</v>
      </c>
    </row>
    <row r="195" spans="2:5" x14ac:dyDescent="0.3">
      <c r="B195" s="14" t="s">
        <v>21</v>
      </c>
      <c r="C195" s="15">
        <v>199</v>
      </c>
      <c r="D195" s="16" t="s">
        <v>142</v>
      </c>
      <c r="E195" s="17" t="str">
        <f>IFERROR(IF(C195&gt;0, D195/C195, 0),"-")</f>
        <v>-</v>
      </c>
    </row>
    <row r="196" spans="2:5" x14ac:dyDescent="0.3">
      <c r="B196" s="14" t="s">
        <v>7</v>
      </c>
      <c r="C196" s="15">
        <v>268</v>
      </c>
      <c r="D196" s="16" t="s">
        <v>142</v>
      </c>
      <c r="E196" s="17" t="str">
        <f>IFERROR(IF(C196&gt;0, D196/C196, 0),"-")</f>
        <v>-</v>
      </c>
    </row>
    <row r="197" spans="2:5" x14ac:dyDescent="0.3">
      <c r="B197" s="14" t="s">
        <v>0</v>
      </c>
      <c r="C197" s="15" t="s">
        <v>142</v>
      </c>
      <c r="D197" s="16" t="s">
        <v>142</v>
      </c>
      <c r="E197" s="17" t="str">
        <f>IFERROR(IF(C197&gt;0, D197/C197, 0),"-")</f>
        <v>-</v>
      </c>
    </row>
    <row r="198" spans="2:5" x14ac:dyDescent="0.3">
      <c r="B198" s="14" t="s">
        <v>1</v>
      </c>
      <c r="C198" s="15">
        <v>3</v>
      </c>
      <c r="D198" s="16" t="s">
        <v>142</v>
      </c>
      <c r="E198" s="17" t="str">
        <f>IFERROR(IF(C198&gt;0, D198/C198, 0),"-")</f>
        <v>-</v>
      </c>
    </row>
    <row r="199" spans="2:5" x14ac:dyDescent="0.3">
      <c r="B199" s="12" t="s">
        <v>138</v>
      </c>
      <c r="C199" s="13">
        <f>SUM(C194:C198)</f>
        <v>470</v>
      </c>
      <c r="D199" s="13">
        <f>SUM(D194:D198)</f>
        <v>0</v>
      </c>
      <c r="E199" s="18">
        <f>IFERROR(IF(C199&gt;0, D199/C199, 0),"-")</f>
        <v>0</v>
      </c>
    </row>
    <row r="203" spans="2:5" ht="18" x14ac:dyDescent="0.35">
      <c r="B203" s="23" t="s">
        <v>165</v>
      </c>
      <c r="C203" s="23"/>
      <c r="D203" s="23"/>
      <c r="E203" s="23"/>
    </row>
    <row r="205" spans="2:5" x14ac:dyDescent="0.3">
      <c r="B205" s="2" t="s">
        <v>174</v>
      </c>
      <c r="C205" s="2"/>
      <c r="D205" s="2"/>
      <c r="E205" s="2"/>
    </row>
    <row r="206" spans="2:5" x14ac:dyDescent="0.3">
      <c r="B206" s="4" t="s">
        <v>144</v>
      </c>
      <c r="C206" s="2" t="s">
        <v>153</v>
      </c>
      <c r="D206" s="2"/>
      <c r="E206" s="2"/>
    </row>
    <row r="207" spans="2:5" x14ac:dyDescent="0.3">
      <c r="B207" s="4"/>
      <c r="C207" s="6" t="s">
        <v>146</v>
      </c>
      <c r="D207" s="7" t="s">
        <v>158</v>
      </c>
      <c r="E207" s="8" t="s">
        <v>141</v>
      </c>
    </row>
    <row r="208" spans="2:5" x14ac:dyDescent="0.3">
      <c r="C208" s="6"/>
      <c r="D208" s="7"/>
      <c r="E208" s="8"/>
    </row>
    <row r="209" spans="2:5" x14ac:dyDescent="0.3">
      <c r="B209" s="14" t="s">
        <v>2</v>
      </c>
      <c r="C209" s="15" t="s">
        <v>142</v>
      </c>
      <c r="D209" s="16" t="s">
        <v>142</v>
      </c>
      <c r="E209" s="17" t="str">
        <f>IFERROR(IF(C209&gt;0, D209/C209, 0),"-")</f>
        <v>-</v>
      </c>
    </row>
    <row r="210" spans="2:5" x14ac:dyDescent="0.3">
      <c r="B210" s="14" t="s">
        <v>21</v>
      </c>
      <c r="C210" s="15">
        <v>25</v>
      </c>
      <c r="D210" s="16" t="s">
        <v>142</v>
      </c>
      <c r="E210" s="17" t="str">
        <f>IFERROR(IF(C210&gt;0, D210/C210, 0),"-")</f>
        <v>-</v>
      </c>
    </row>
    <row r="211" spans="2:5" x14ac:dyDescent="0.3">
      <c r="B211" s="14" t="s">
        <v>7</v>
      </c>
      <c r="C211" s="15">
        <v>3</v>
      </c>
      <c r="D211" s="16" t="s">
        <v>142</v>
      </c>
      <c r="E211" s="17" t="str">
        <f>IFERROR(IF(C211&gt;0, D211/C211, 0),"-")</f>
        <v>-</v>
      </c>
    </row>
    <row r="212" spans="2:5" x14ac:dyDescent="0.3">
      <c r="B212" s="14" t="s">
        <v>0</v>
      </c>
      <c r="C212" s="15" t="s">
        <v>142</v>
      </c>
      <c r="D212" s="16" t="s">
        <v>142</v>
      </c>
      <c r="E212" s="17" t="str">
        <f>IFERROR(IF(C212&gt;0, D212/C212, 0),"-")</f>
        <v>-</v>
      </c>
    </row>
    <row r="213" spans="2:5" x14ac:dyDescent="0.3">
      <c r="B213" s="14" t="s">
        <v>1</v>
      </c>
      <c r="C213" s="15">
        <v>1</v>
      </c>
      <c r="D213" s="16" t="s">
        <v>142</v>
      </c>
      <c r="E213" s="17" t="str">
        <f>IFERROR(IF(C213&gt;0, D213/C213, 0),"-")</f>
        <v>-</v>
      </c>
    </row>
    <row r="214" spans="2:5" x14ac:dyDescent="0.3">
      <c r="B214" s="12" t="s">
        <v>138</v>
      </c>
      <c r="C214" s="13">
        <f>SUM(C209:C213)</f>
        <v>29</v>
      </c>
      <c r="D214" s="13">
        <f>SUM(D209:D213)</f>
        <v>0</v>
      </c>
      <c r="E214" s="18">
        <f>IFERROR(IF(C214&gt;0, D214/C214, 0),"-")</f>
        <v>0</v>
      </c>
    </row>
    <row r="218" spans="2:5" ht="18" x14ac:dyDescent="0.35">
      <c r="B218" s="23" t="s">
        <v>166</v>
      </c>
      <c r="C218" s="23"/>
      <c r="D218" s="23"/>
      <c r="E218" s="23"/>
    </row>
    <row r="220" spans="2:5" x14ac:dyDescent="0.3">
      <c r="B220" s="2" t="s">
        <v>174</v>
      </c>
      <c r="C220" s="2"/>
      <c r="D220" s="2"/>
      <c r="E220" s="2"/>
    </row>
    <row r="221" spans="2:5" x14ac:dyDescent="0.3">
      <c r="B221" s="4" t="s">
        <v>144</v>
      </c>
      <c r="C221" s="2" t="s">
        <v>153</v>
      </c>
      <c r="D221" s="2"/>
      <c r="E221" s="2"/>
    </row>
    <row r="222" spans="2:5" x14ac:dyDescent="0.3">
      <c r="B222" s="4"/>
      <c r="C222" s="6" t="s">
        <v>146</v>
      </c>
      <c r="D222" s="7" t="s">
        <v>158</v>
      </c>
      <c r="E222" s="8" t="s">
        <v>141</v>
      </c>
    </row>
    <row r="223" spans="2:5" x14ac:dyDescent="0.3">
      <c r="C223" s="6"/>
      <c r="D223" s="7"/>
      <c r="E223" s="8"/>
    </row>
    <row r="224" spans="2:5" x14ac:dyDescent="0.3">
      <c r="B224" s="14" t="s">
        <v>2</v>
      </c>
      <c r="C224" s="15" t="s">
        <v>142</v>
      </c>
      <c r="D224" s="16" t="s">
        <v>142</v>
      </c>
      <c r="E224" s="17" t="str">
        <f>IFERROR(IF(C224&gt;0, D224/C224, 0),"-")</f>
        <v>-</v>
      </c>
    </row>
    <row r="225" spans="2:5" x14ac:dyDescent="0.3">
      <c r="B225" s="14" t="s">
        <v>21</v>
      </c>
      <c r="C225" s="15" t="s">
        <v>142</v>
      </c>
      <c r="D225" s="16" t="s">
        <v>142</v>
      </c>
      <c r="E225" s="17" t="str">
        <f>IFERROR(IF(C225&gt;0, D225/C225, 0),"-")</f>
        <v>-</v>
      </c>
    </row>
    <row r="226" spans="2:5" x14ac:dyDescent="0.3">
      <c r="B226" s="14" t="s">
        <v>7</v>
      </c>
      <c r="C226" s="15" t="s">
        <v>142</v>
      </c>
      <c r="D226" s="16" t="s">
        <v>142</v>
      </c>
      <c r="E226" s="17" t="str">
        <f>IFERROR(IF(C226&gt;0, D226/C226, 0),"-")</f>
        <v>-</v>
      </c>
    </row>
    <row r="227" spans="2:5" x14ac:dyDescent="0.3">
      <c r="B227" s="14" t="s">
        <v>0</v>
      </c>
      <c r="C227" s="15" t="s">
        <v>142</v>
      </c>
      <c r="D227" s="16" t="s">
        <v>142</v>
      </c>
      <c r="E227" s="17" t="str">
        <f>IFERROR(IF(C227&gt;0, D227/C227, 0),"-")</f>
        <v>-</v>
      </c>
    </row>
    <row r="228" spans="2:5" x14ac:dyDescent="0.3">
      <c r="B228" s="14" t="s">
        <v>1</v>
      </c>
      <c r="C228" s="15">
        <v>1</v>
      </c>
      <c r="D228" s="16" t="s">
        <v>142</v>
      </c>
      <c r="E228" s="17" t="str">
        <f>IFERROR(IF(C228&gt;0, D228/C228, 0),"-")</f>
        <v>-</v>
      </c>
    </row>
    <row r="229" spans="2:5" x14ac:dyDescent="0.3">
      <c r="B229" s="12" t="s">
        <v>138</v>
      </c>
      <c r="C229" s="13">
        <f>SUM(C224:C228)</f>
        <v>1</v>
      </c>
      <c r="D229" s="13">
        <f>SUM(D224:D228)</f>
        <v>0</v>
      </c>
      <c r="E229" s="18">
        <f>IFERROR(IF(C229&gt;0, D229/C229, 0),"-")</f>
        <v>0</v>
      </c>
    </row>
  </sheetData>
  <mergeCells count="39"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23245-B1A4-49FB-A8CB-3189E39A4563}">
  <sheetPr codeName="Sheet5"/>
  <dimension ref="B2:Y229"/>
  <sheetViews>
    <sheetView workbookViewId="0"/>
  </sheetViews>
  <sheetFormatPr defaultRowHeight="14.4" x14ac:dyDescent="0.3"/>
  <cols>
    <col min="1" max="1" width="2.77734375" customWidth="1"/>
    <col min="2" max="2" width="21.6640625" bestFit="1" customWidth="1"/>
    <col min="3" max="4" width="11.6640625" bestFit="1" customWidth="1"/>
    <col min="5" max="5" width="9.109375" bestFit="1" customWidth="1"/>
    <col min="6" max="6" width="10.77734375" bestFit="1" customWidth="1"/>
    <col min="7" max="7" width="9.109375" bestFit="1" customWidth="1"/>
    <col min="8" max="8" width="9.21875" bestFit="1" customWidth="1"/>
    <col min="9" max="9" width="9.109375" bestFit="1" customWidth="1"/>
    <col min="10" max="10" width="10.77734375" bestFit="1" customWidth="1"/>
    <col min="11" max="11" width="9.109375" bestFit="1" customWidth="1"/>
    <col min="12" max="12" width="9.21875" bestFit="1" customWidth="1"/>
    <col min="13" max="13" width="9.109375" bestFit="1" customWidth="1"/>
    <col min="14" max="14" width="10.77734375" bestFit="1" customWidth="1"/>
    <col min="15" max="15" width="9.109375" bestFit="1" customWidth="1"/>
    <col min="16" max="16" width="9.21875" bestFit="1" customWidth="1"/>
    <col min="17" max="17" width="9.109375" bestFit="1" customWidth="1"/>
    <col min="18" max="18" width="10.77734375" bestFit="1" customWidth="1"/>
    <col min="19" max="19" width="7.109375" bestFit="1" customWidth="1"/>
    <col min="20" max="20" width="9.44140625" bestFit="1" customWidth="1"/>
    <col min="21" max="21" width="9" bestFit="1" customWidth="1"/>
    <col min="22" max="22" width="9.44140625" bestFit="1" customWidth="1"/>
    <col min="23" max="23" width="9" bestFit="1" customWidth="1"/>
    <col min="24" max="24" width="5.77734375" bestFit="1" customWidth="1"/>
    <col min="25" max="25" width="15.6640625" bestFit="1" customWidth="1"/>
  </cols>
  <sheetData>
    <row r="2" spans="2:25" x14ac:dyDescent="0.3">
      <c r="B2" s="2" t="s">
        <v>178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3">
      <c r="B3" s="4" t="s">
        <v>144</v>
      </c>
      <c r="C3" s="2" t="s">
        <v>154</v>
      </c>
      <c r="D3" s="2"/>
      <c r="E3" s="2"/>
      <c r="F3" s="2"/>
      <c r="G3" s="2" t="s">
        <v>155</v>
      </c>
      <c r="H3" s="2"/>
      <c r="I3" s="2"/>
      <c r="J3" s="2"/>
      <c r="K3" s="2" t="s">
        <v>156</v>
      </c>
      <c r="L3" s="2"/>
      <c r="M3" s="2"/>
      <c r="N3" s="2"/>
      <c r="O3" s="2" t="s">
        <v>145</v>
      </c>
      <c r="P3" s="2"/>
      <c r="Q3" s="2"/>
      <c r="R3" s="2"/>
      <c r="S3" s="2" t="s">
        <v>136</v>
      </c>
      <c r="T3" s="2"/>
      <c r="U3" s="2"/>
      <c r="V3" s="2"/>
      <c r="W3" s="2"/>
      <c r="X3" s="5" t="s">
        <v>157</v>
      </c>
      <c r="Y3" s="5"/>
    </row>
    <row r="4" spans="2:25" x14ac:dyDescent="0.3">
      <c r="B4" s="4"/>
      <c r="C4" s="6" t="s">
        <v>146</v>
      </c>
      <c r="D4" s="7" t="s">
        <v>158</v>
      </c>
      <c r="E4" s="6" t="s">
        <v>140</v>
      </c>
      <c r="F4" s="8" t="s">
        <v>141</v>
      </c>
      <c r="G4" s="6" t="s">
        <v>146</v>
      </c>
      <c r="H4" s="7" t="s">
        <v>158</v>
      </c>
      <c r="I4" s="6" t="s">
        <v>159</v>
      </c>
      <c r="J4" s="8" t="s">
        <v>141</v>
      </c>
      <c r="K4" s="6" t="s">
        <v>146</v>
      </c>
      <c r="L4" s="7" t="s">
        <v>158</v>
      </c>
      <c r="M4" s="6" t="s">
        <v>159</v>
      </c>
      <c r="N4" s="8" t="s">
        <v>141</v>
      </c>
      <c r="O4" s="6" t="s">
        <v>146</v>
      </c>
      <c r="P4" s="7" t="s">
        <v>158</v>
      </c>
      <c r="Q4" s="6" t="s">
        <v>159</v>
      </c>
      <c r="R4" s="8" t="s">
        <v>141</v>
      </c>
      <c r="S4" s="6" t="s">
        <v>146</v>
      </c>
      <c r="T4" s="2" t="s">
        <v>147</v>
      </c>
      <c r="U4" s="2"/>
      <c r="V4" s="2" t="s">
        <v>148</v>
      </c>
      <c r="W4" s="2"/>
      <c r="X4" s="19" t="s">
        <v>160</v>
      </c>
      <c r="Y4" s="20" t="s">
        <v>161</v>
      </c>
    </row>
    <row r="5" spans="2:25" x14ac:dyDescent="0.3">
      <c r="C5" s="6"/>
      <c r="D5" s="7"/>
      <c r="E5" s="6"/>
      <c r="F5" s="8"/>
      <c r="G5" s="6"/>
      <c r="H5" s="7"/>
      <c r="I5" s="6"/>
      <c r="J5" s="8"/>
      <c r="K5" s="6"/>
      <c r="L5" s="7"/>
      <c r="M5" s="6"/>
      <c r="N5" s="8"/>
      <c r="O5" s="6"/>
      <c r="P5" s="7"/>
      <c r="Q5" s="6"/>
      <c r="R5" s="8"/>
      <c r="S5" s="6"/>
      <c r="T5" s="9" t="s">
        <v>149</v>
      </c>
      <c r="U5" s="9" t="s">
        <v>150</v>
      </c>
      <c r="V5" s="9" t="s">
        <v>149</v>
      </c>
      <c r="W5" s="9" t="s">
        <v>150</v>
      </c>
      <c r="X5" s="10"/>
      <c r="Y5" s="11"/>
    </row>
    <row r="6" spans="2:25" x14ac:dyDescent="0.3">
      <c r="B6" s="14" t="s">
        <v>2</v>
      </c>
      <c r="C6" s="15">
        <v>2169</v>
      </c>
      <c r="D6" s="16">
        <v>2140</v>
      </c>
      <c r="E6" s="15">
        <f>IF(OR(D6="-",D6="",D6=0),IF(C6="-","-",C6),C6-D6)</f>
        <v>29</v>
      </c>
      <c r="F6" s="17">
        <f>IFERROR(IF(C6&gt;0, D6/C6, 0),"-")</f>
        <v>0.98662978331028128</v>
      </c>
      <c r="G6" s="15">
        <v>7</v>
      </c>
      <c r="H6" s="16" t="s">
        <v>142</v>
      </c>
      <c r="I6" s="15">
        <f>IF(OR(H6="-",H6="",H6=0),IF(G6="-","-",G6),G6-H6)</f>
        <v>7</v>
      </c>
      <c r="J6" s="17" t="str">
        <f>IFERROR(IF(G6&gt;0, H6/G6, 0),"-")</f>
        <v>-</v>
      </c>
      <c r="K6" s="15">
        <v>4</v>
      </c>
      <c r="L6" s="16" t="s">
        <v>142</v>
      </c>
      <c r="M6" s="15">
        <f>IF(OR(L6="-",L6="",L6=0),IF(K6="-","-",K6),K6-L6)</f>
        <v>4</v>
      </c>
      <c r="N6" s="17" t="str">
        <f>IFERROR(IF(K6&gt;0, L6/K6, 0),"-")</f>
        <v>-</v>
      </c>
      <c r="O6" s="15">
        <v>1</v>
      </c>
      <c r="P6" s="16" t="s">
        <v>142</v>
      </c>
      <c r="Q6" s="15">
        <f>IF(OR(P6="-",P6="",P6=0),IF(O6="-","-",O6),O6-P6)</f>
        <v>1</v>
      </c>
      <c r="R6" s="17" t="str">
        <f>IFERROR(IF(O6&gt;0, P6/O6, 0),"-")</f>
        <v>-</v>
      </c>
      <c r="S6" s="15">
        <v>6</v>
      </c>
      <c r="T6" s="15" t="s">
        <v>142</v>
      </c>
      <c r="U6" s="15" t="s">
        <v>142</v>
      </c>
      <c r="V6" s="16" t="s">
        <v>142</v>
      </c>
      <c r="W6" s="16" t="s">
        <v>142</v>
      </c>
      <c r="X6" s="21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3">
      <c r="B7" s="14" t="s">
        <v>7</v>
      </c>
      <c r="C7" s="15">
        <v>17276</v>
      </c>
      <c r="D7" s="16">
        <v>16900</v>
      </c>
      <c r="E7" s="15">
        <f>IF(OR(D7="-",D7="",D7=0),IF(C7="-","-",C7),C7-D7)</f>
        <v>376</v>
      </c>
      <c r="F7" s="17">
        <f>IFERROR(IF(C7&gt;0, D7/C7, 0),"-")</f>
        <v>0.97823570270896043</v>
      </c>
      <c r="G7" s="15">
        <v>86</v>
      </c>
      <c r="H7" s="16" t="s">
        <v>142</v>
      </c>
      <c r="I7" s="15">
        <f>IF(OR(H7="-",H7="",H7=0),IF(G7="-","-",G7),G7-H7)</f>
        <v>86</v>
      </c>
      <c r="J7" s="17" t="str">
        <f>IFERROR(IF(G7&gt;0, H7/G7, 0),"-")</f>
        <v>-</v>
      </c>
      <c r="K7" s="15">
        <v>63</v>
      </c>
      <c r="L7" s="16" t="s">
        <v>142</v>
      </c>
      <c r="M7" s="15">
        <f>IF(OR(L7="-",L7="",L7=0),IF(K7="-","-",K7),K7-L7)</f>
        <v>63</v>
      </c>
      <c r="N7" s="17" t="str">
        <f>IFERROR(IF(K7&gt;0, L7/K7, 0),"-")</f>
        <v>-</v>
      </c>
      <c r="O7" s="15">
        <v>56</v>
      </c>
      <c r="P7" s="16" t="s">
        <v>142</v>
      </c>
      <c r="Q7" s="15">
        <f>IF(OR(P7="-",P7="",P7=0),IF(O7="-","-",O7),O7-P7)</f>
        <v>56</v>
      </c>
      <c r="R7" s="17" t="str">
        <f>IFERROR(IF(O7&gt;0, P7/O7, 0),"-")</f>
        <v>-</v>
      </c>
      <c r="S7" s="15">
        <v>109</v>
      </c>
      <c r="T7" s="15" t="s">
        <v>142</v>
      </c>
      <c r="U7" s="15" t="s">
        <v>142</v>
      </c>
      <c r="V7" s="16" t="s">
        <v>142</v>
      </c>
      <c r="W7" s="16" t="s">
        <v>142</v>
      </c>
      <c r="X7" s="21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3">
      <c r="B8" s="14" t="s">
        <v>21</v>
      </c>
      <c r="C8" s="15">
        <v>18316</v>
      </c>
      <c r="D8" s="16">
        <v>17843</v>
      </c>
      <c r="E8" s="15">
        <f>IF(OR(D8="-",D8="",D8=0),IF(C8="-","-",C8),C8-D8)</f>
        <v>473</v>
      </c>
      <c r="F8" s="17">
        <f>IFERROR(IF(C8&gt;0, D8/C8, 0),"-")</f>
        <v>0.97417558418868744</v>
      </c>
      <c r="G8" s="15">
        <v>104</v>
      </c>
      <c r="H8" s="16" t="s">
        <v>142</v>
      </c>
      <c r="I8" s="15">
        <f>IF(OR(H8="-",H8="",H8=0),IF(G8="-","-",G8),G8-H8)</f>
        <v>104</v>
      </c>
      <c r="J8" s="17" t="str">
        <f>IFERROR(IF(G8&gt;0, H8/G8, 0),"-")</f>
        <v>-</v>
      </c>
      <c r="K8" s="15">
        <v>35</v>
      </c>
      <c r="L8" s="16" t="s">
        <v>142</v>
      </c>
      <c r="M8" s="15">
        <f>IF(OR(L8="-",L8="",L8=0),IF(K8="-","-",K8),K8-L8)</f>
        <v>35</v>
      </c>
      <c r="N8" s="17" t="str">
        <f>IFERROR(IF(K8&gt;0, L8/K8, 0),"-")</f>
        <v>-</v>
      </c>
      <c r="O8" s="15">
        <v>54</v>
      </c>
      <c r="P8" s="16" t="s">
        <v>142</v>
      </c>
      <c r="Q8" s="15">
        <f>IF(OR(P8="-",P8="",P8=0),IF(O8="-","-",O8),O8-P8)</f>
        <v>54</v>
      </c>
      <c r="R8" s="17" t="str">
        <f>IFERROR(IF(O8&gt;0, P8/O8, 0),"-")</f>
        <v>-</v>
      </c>
      <c r="S8" s="15">
        <v>81</v>
      </c>
      <c r="T8" s="15" t="s">
        <v>142</v>
      </c>
      <c r="U8" s="15" t="s">
        <v>142</v>
      </c>
      <c r="V8" s="16" t="s">
        <v>142</v>
      </c>
      <c r="W8" s="16" t="s">
        <v>142</v>
      </c>
      <c r="X8" s="21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3">
      <c r="B9" s="14" t="s">
        <v>1</v>
      </c>
      <c r="C9" s="15">
        <v>24059</v>
      </c>
      <c r="D9" s="16">
        <v>23176</v>
      </c>
      <c r="E9" s="15">
        <f>IF(OR(D9="-",D9="",D9=0),IF(C9="-","-",C9),C9-D9)</f>
        <v>883</v>
      </c>
      <c r="F9" s="17">
        <f>IFERROR(IF(C9&gt;0, D9/C9, 0),"-")</f>
        <v>0.96329855771229067</v>
      </c>
      <c r="G9" s="15">
        <v>264</v>
      </c>
      <c r="H9" s="16" t="s">
        <v>142</v>
      </c>
      <c r="I9" s="15">
        <f>IF(OR(H9="-",H9="",H9=0),IF(G9="-","-",G9),G9-H9)</f>
        <v>264</v>
      </c>
      <c r="J9" s="17" t="str">
        <f>IFERROR(IF(G9&gt;0, H9/G9, 0),"-")</f>
        <v>-</v>
      </c>
      <c r="K9" s="15">
        <v>141</v>
      </c>
      <c r="L9" s="16" t="s">
        <v>142</v>
      </c>
      <c r="M9" s="15">
        <f>IF(OR(L9="-",L9="",L9=0),IF(K9="-","-",K9),K9-L9)</f>
        <v>141</v>
      </c>
      <c r="N9" s="17" t="str">
        <f>IFERROR(IF(K9&gt;0, L9/K9, 0),"-")</f>
        <v>-</v>
      </c>
      <c r="O9" s="15">
        <v>86</v>
      </c>
      <c r="P9" s="16" t="s">
        <v>142</v>
      </c>
      <c r="Q9" s="15">
        <f>IF(OR(P9="-",P9="",P9=0),IF(O9="-","-",O9),O9-P9)</f>
        <v>86</v>
      </c>
      <c r="R9" s="17" t="str">
        <f>IFERROR(IF(O9&gt;0, P9/O9, 0),"-")</f>
        <v>-</v>
      </c>
      <c r="S9" s="15">
        <v>118</v>
      </c>
      <c r="T9" s="15" t="s">
        <v>142</v>
      </c>
      <c r="U9" s="15" t="s">
        <v>142</v>
      </c>
      <c r="V9" s="16" t="s">
        <v>142</v>
      </c>
      <c r="W9" s="16" t="s">
        <v>142</v>
      </c>
      <c r="X9" s="21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3">
      <c r="B10" s="14" t="s">
        <v>0</v>
      </c>
      <c r="C10" s="15">
        <v>3331</v>
      </c>
      <c r="D10" s="16">
        <v>3144</v>
      </c>
      <c r="E10" s="15">
        <f>IF(OR(D10="-",D10="",D10=0),IF(C10="-","-",C10),C10-D10)</f>
        <v>187</v>
      </c>
      <c r="F10" s="17">
        <f>IFERROR(IF(C10&gt;0, D10/C10, 0),"-")</f>
        <v>0.94386070249174425</v>
      </c>
      <c r="G10" s="15">
        <v>56</v>
      </c>
      <c r="H10" s="16" t="s">
        <v>142</v>
      </c>
      <c r="I10" s="15">
        <f>IF(OR(H10="-",H10="",H10=0),IF(G10="-","-",G10),G10-H10)</f>
        <v>56</v>
      </c>
      <c r="J10" s="17" t="str">
        <f>IFERROR(IF(G10&gt;0, H10/G10, 0),"-")</f>
        <v>-</v>
      </c>
      <c r="K10" s="15">
        <v>23</v>
      </c>
      <c r="L10" s="16" t="s">
        <v>142</v>
      </c>
      <c r="M10" s="15">
        <f>IF(OR(L10="-",L10="",L10=0),IF(K10="-","-",K10),K10-L10)</f>
        <v>23</v>
      </c>
      <c r="N10" s="17" t="str">
        <f>IFERROR(IF(K10&gt;0, L10/K10, 0),"-")</f>
        <v>-</v>
      </c>
      <c r="O10" s="15">
        <v>5</v>
      </c>
      <c r="P10" s="16" t="s">
        <v>142</v>
      </c>
      <c r="Q10" s="15">
        <f>IF(OR(P10="-",P10="",P10=0),IF(O10="-","-",O10),O10-P10)</f>
        <v>5</v>
      </c>
      <c r="R10" s="17" t="str">
        <f>IFERROR(IF(O10&gt;0, P10/O10, 0),"-")</f>
        <v>-</v>
      </c>
      <c r="S10" s="15">
        <v>9</v>
      </c>
      <c r="T10" s="15" t="s">
        <v>142</v>
      </c>
      <c r="U10" s="15" t="s">
        <v>142</v>
      </c>
      <c r="V10" s="16" t="s">
        <v>142</v>
      </c>
      <c r="W10" s="16" t="s">
        <v>142</v>
      </c>
      <c r="X10" s="21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3">
      <c r="B11" s="12" t="s">
        <v>138</v>
      </c>
      <c r="C11" s="13">
        <f>SUM(C6:C10)</f>
        <v>65151</v>
      </c>
      <c r="D11" s="13">
        <f>SUM(D6:D10)</f>
        <v>63203</v>
      </c>
      <c r="E11" s="13">
        <f>C11-D11</f>
        <v>1948</v>
      </c>
      <c r="F11" s="18">
        <f>IF(C11&gt;0, D11/C11, 0)</f>
        <v>0.97010022869948276</v>
      </c>
      <c r="G11" s="13">
        <f>SUM(G6:G10)</f>
        <v>517</v>
      </c>
      <c r="H11" s="13">
        <f>SUM(H6:H10)</f>
        <v>0</v>
      </c>
      <c r="I11" s="13">
        <f>G11-H11</f>
        <v>517</v>
      </c>
      <c r="J11" s="18">
        <f>IF(G11&gt;0, H11/G11, 0)</f>
        <v>0</v>
      </c>
      <c r="K11" s="13">
        <f>SUM(K6:K10)</f>
        <v>266</v>
      </c>
      <c r="L11" s="13">
        <f>SUM(L6:L10)</f>
        <v>0</v>
      </c>
      <c r="M11" s="13">
        <f>K11-L11</f>
        <v>266</v>
      </c>
      <c r="N11" s="18">
        <f>IF(K11&gt;0, L11/K11, 0)</f>
        <v>0</v>
      </c>
      <c r="O11" s="13">
        <f>SUM(O6:O10)</f>
        <v>202</v>
      </c>
      <c r="P11" s="13">
        <f>SUM(P6:P10)</f>
        <v>0</v>
      </c>
      <c r="Q11" s="13">
        <f>O11-P11</f>
        <v>202</v>
      </c>
      <c r="R11" s="18">
        <f>IF(O11&gt;0, P11/O11, 0)</f>
        <v>0</v>
      </c>
      <c r="S11" s="13">
        <f>SUM(S6:S10)</f>
        <v>323</v>
      </c>
      <c r="T11" s="13">
        <f>SUM(T6:T10)</f>
        <v>0</v>
      </c>
      <c r="U11" s="13">
        <f>SUM(U6:U10)</f>
        <v>0</v>
      </c>
      <c r="V11" s="13">
        <f>SUM(V6:V10)</f>
        <v>0</v>
      </c>
      <c r="W11" s="13">
        <f>SUM(W6:W10)</f>
        <v>0</v>
      </c>
      <c r="X11" s="22" t="s">
        <v>142</v>
      </c>
      <c r="Y11" s="22" t="s">
        <v>142</v>
      </c>
    </row>
    <row r="15" spans="2:25" x14ac:dyDescent="0.3">
      <c r="B15" s="2" t="s">
        <v>179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3">
      <c r="B16" s="4" t="s">
        <v>143</v>
      </c>
      <c r="C16" s="2" t="s">
        <v>154</v>
      </c>
      <c r="D16" s="2"/>
      <c r="E16" s="2"/>
      <c r="F16" s="2"/>
      <c r="G16" s="2" t="s">
        <v>155</v>
      </c>
      <c r="H16" s="2"/>
      <c r="I16" s="2"/>
      <c r="J16" s="2"/>
      <c r="K16" s="2" t="s">
        <v>156</v>
      </c>
      <c r="L16" s="2"/>
      <c r="M16" s="2"/>
      <c r="N16" s="2"/>
      <c r="O16" s="2" t="s">
        <v>145</v>
      </c>
      <c r="P16" s="2"/>
      <c r="Q16" s="2"/>
      <c r="R16" s="2"/>
      <c r="S16" s="2" t="s">
        <v>136</v>
      </c>
      <c r="T16" s="2"/>
      <c r="U16" s="2"/>
      <c r="V16" s="2"/>
      <c r="W16" s="2"/>
      <c r="X16" s="5" t="s">
        <v>157</v>
      </c>
      <c r="Y16" s="5"/>
    </row>
    <row r="17" spans="2:25" x14ac:dyDescent="0.3">
      <c r="B17" s="4"/>
      <c r="C17" s="6" t="s">
        <v>146</v>
      </c>
      <c r="D17" s="7" t="s">
        <v>158</v>
      </c>
      <c r="E17" s="6" t="s">
        <v>140</v>
      </c>
      <c r="F17" s="8" t="s">
        <v>141</v>
      </c>
      <c r="G17" s="6" t="s">
        <v>146</v>
      </c>
      <c r="H17" s="7" t="s">
        <v>158</v>
      </c>
      <c r="I17" s="6" t="s">
        <v>159</v>
      </c>
      <c r="J17" s="8" t="s">
        <v>141</v>
      </c>
      <c r="K17" s="6" t="s">
        <v>146</v>
      </c>
      <c r="L17" s="7" t="s">
        <v>158</v>
      </c>
      <c r="M17" s="6" t="s">
        <v>159</v>
      </c>
      <c r="N17" s="8" t="s">
        <v>141</v>
      </c>
      <c r="O17" s="6" t="s">
        <v>146</v>
      </c>
      <c r="P17" s="7" t="s">
        <v>158</v>
      </c>
      <c r="Q17" s="6" t="s">
        <v>159</v>
      </c>
      <c r="R17" s="8" t="s">
        <v>141</v>
      </c>
      <c r="S17" s="6" t="s">
        <v>146</v>
      </c>
      <c r="T17" s="2" t="s">
        <v>147</v>
      </c>
      <c r="U17" s="2"/>
      <c r="V17" s="2" t="s">
        <v>148</v>
      </c>
      <c r="W17" s="2"/>
      <c r="X17" s="19" t="s">
        <v>160</v>
      </c>
      <c r="Y17" s="20" t="s">
        <v>161</v>
      </c>
    </row>
    <row r="18" spans="2:25" x14ac:dyDescent="0.3">
      <c r="C18" s="6"/>
      <c r="D18" s="7"/>
      <c r="E18" s="6"/>
      <c r="F18" s="8"/>
      <c r="G18" s="6"/>
      <c r="H18" s="7"/>
      <c r="I18" s="6"/>
      <c r="J18" s="8"/>
      <c r="K18" s="6"/>
      <c r="L18" s="7"/>
      <c r="M18" s="6"/>
      <c r="N18" s="8"/>
      <c r="O18" s="6"/>
      <c r="P18" s="7"/>
      <c r="Q18" s="6"/>
      <c r="R18" s="8"/>
      <c r="S18" s="6"/>
      <c r="T18" s="9" t="s">
        <v>149</v>
      </c>
      <c r="U18" s="9" t="s">
        <v>150</v>
      </c>
      <c r="V18" s="9" t="s">
        <v>149</v>
      </c>
      <c r="W18" s="9" t="s">
        <v>150</v>
      </c>
      <c r="X18" s="10"/>
      <c r="Y18" s="11"/>
    </row>
    <row r="19" spans="2:25" x14ac:dyDescent="0.3">
      <c r="B19" s="14" t="s">
        <v>30</v>
      </c>
      <c r="C19" s="15">
        <v>1890</v>
      </c>
      <c r="D19" s="16">
        <v>1866</v>
      </c>
      <c r="E19" s="15">
        <f>IF(OR(D19="-",D19="",D19=0),IF(C19="-","-",C19),C19-D19)</f>
        <v>24</v>
      </c>
      <c r="F19" s="17">
        <f>IFERROR(IF(C19&gt;0, D19/C19, 0),"-")</f>
        <v>0.98730158730158735</v>
      </c>
      <c r="G19" s="15">
        <v>10</v>
      </c>
      <c r="H19" s="16" t="s">
        <v>142</v>
      </c>
      <c r="I19" s="15">
        <f>IF(OR(H19="-",H19="",H19=0),IF(G19="-","-",G19),G19-H19)</f>
        <v>10</v>
      </c>
      <c r="J19" s="17" t="str">
        <f>IFERROR(IF(G19&gt;0, H19/G19, 0),"-")</f>
        <v>-</v>
      </c>
      <c r="K19" s="15">
        <v>1</v>
      </c>
      <c r="L19" s="16" t="s">
        <v>142</v>
      </c>
      <c r="M19" s="15">
        <f>IF(OR(L19="-",L19="",L19=0),IF(K19="-","-",K19),K19-L19)</f>
        <v>1</v>
      </c>
      <c r="N19" s="17" t="str">
        <f>IFERROR(IF(K19&gt;0, L19/K19, 0),"-")</f>
        <v>-</v>
      </c>
      <c r="O19" s="15">
        <v>2</v>
      </c>
      <c r="P19" s="16" t="s">
        <v>142</v>
      </c>
      <c r="Q19" s="15">
        <f>IF(OR(P19="-",P19="",P19=0),IF(O19="-","-",O19),O19-P19)</f>
        <v>2</v>
      </c>
      <c r="R19" s="17" t="str">
        <f>IFERROR(IF(O19&gt;0, P19/O19, 0),"-")</f>
        <v>-</v>
      </c>
      <c r="S19" s="15">
        <v>2</v>
      </c>
      <c r="T19" s="15" t="s">
        <v>142</v>
      </c>
      <c r="U19" s="15" t="s">
        <v>142</v>
      </c>
      <c r="V19" s="16" t="s">
        <v>142</v>
      </c>
      <c r="W19" s="16" t="s">
        <v>142</v>
      </c>
      <c r="X19" s="21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3">
      <c r="B20" s="14" t="s">
        <v>26</v>
      </c>
      <c r="C20" s="15">
        <v>2169</v>
      </c>
      <c r="D20" s="16">
        <v>2140</v>
      </c>
      <c r="E20" s="15">
        <f>IF(OR(D20="-",D20="",D20=0),IF(C20="-","-",C20),C20-D20)</f>
        <v>29</v>
      </c>
      <c r="F20" s="17">
        <f>IFERROR(IF(C20&gt;0, D20/C20, 0),"-")</f>
        <v>0.98662978331028128</v>
      </c>
      <c r="G20" s="15">
        <v>7</v>
      </c>
      <c r="H20" s="16" t="s">
        <v>142</v>
      </c>
      <c r="I20" s="15">
        <f>IF(OR(H20="-",H20="",H20=0),IF(G20="-","-",G20),G20-H20)</f>
        <v>7</v>
      </c>
      <c r="J20" s="17" t="str">
        <f>IFERROR(IF(G20&gt;0, H20/G20, 0),"-")</f>
        <v>-</v>
      </c>
      <c r="K20" s="15">
        <v>4</v>
      </c>
      <c r="L20" s="16" t="s">
        <v>142</v>
      </c>
      <c r="M20" s="15">
        <f>IF(OR(L20="-",L20="",L20=0),IF(K20="-","-",K20),K20-L20)</f>
        <v>4</v>
      </c>
      <c r="N20" s="17" t="str">
        <f>IFERROR(IF(K20&gt;0, L20/K20, 0),"-")</f>
        <v>-</v>
      </c>
      <c r="O20" s="15">
        <v>1</v>
      </c>
      <c r="P20" s="16" t="s">
        <v>142</v>
      </c>
      <c r="Q20" s="15">
        <f>IF(OR(P20="-",P20="",P20=0),IF(O20="-","-",O20),O20-P20)</f>
        <v>1</v>
      </c>
      <c r="R20" s="17" t="str">
        <f>IFERROR(IF(O20&gt;0, P20/O20, 0),"-")</f>
        <v>-</v>
      </c>
      <c r="S20" s="15">
        <v>6</v>
      </c>
      <c r="T20" s="15" t="s">
        <v>142</v>
      </c>
      <c r="U20" s="15" t="s">
        <v>142</v>
      </c>
      <c r="V20" s="16" t="s">
        <v>142</v>
      </c>
      <c r="W20" s="16" t="s">
        <v>142</v>
      </c>
      <c r="X20" s="21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3">
      <c r="B21" s="14" t="s">
        <v>25</v>
      </c>
      <c r="C21" s="15">
        <v>2093</v>
      </c>
      <c r="D21" s="16">
        <v>2065</v>
      </c>
      <c r="E21" s="15">
        <f>IF(OR(D21="-",D21="",D21=0),IF(C21="-","-",C21),C21-D21)</f>
        <v>28</v>
      </c>
      <c r="F21" s="17">
        <f>IFERROR(IF(C21&gt;0, D21/C21, 0),"-")</f>
        <v>0.98662207357859533</v>
      </c>
      <c r="G21" s="15">
        <v>14</v>
      </c>
      <c r="H21" s="16" t="s">
        <v>142</v>
      </c>
      <c r="I21" s="15">
        <f>IF(OR(H21="-",H21="",H21=0),IF(G21="-","-",G21),G21-H21)</f>
        <v>14</v>
      </c>
      <c r="J21" s="17" t="str">
        <f>IFERROR(IF(G21&gt;0, H21/G21, 0),"-")</f>
        <v>-</v>
      </c>
      <c r="K21" s="15">
        <v>5</v>
      </c>
      <c r="L21" s="16" t="s">
        <v>142</v>
      </c>
      <c r="M21" s="15">
        <f>IF(OR(L21="-",L21="",L21=0),IF(K21="-","-",K21),K21-L21)</f>
        <v>5</v>
      </c>
      <c r="N21" s="17" t="str">
        <f>IFERROR(IF(K21&gt;0, L21/K21, 0),"-")</f>
        <v>-</v>
      </c>
      <c r="O21" s="15">
        <v>10</v>
      </c>
      <c r="P21" s="16" t="s">
        <v>142</v>
      </c>
      <c r="Q21" s="15">
        <f>IF(OR(P21="-",P21="",P21=0),IF(O21="-","-",O21),O21-P21)</f>
        <v>10</v>
      </c>
      <c r="R21" s="17" t="str">
        <f>IFERROR(IF(O21&gt;0, P21/O21, 0),"-")</f>
        <v>-</v>
      </c>
      <c r="S21" s="15">
        <v>11</v>
      </c>
      <c r="T21" s="15" t="s">
        <v>142</v>
      </c>
      <c r="U21" s="15" t="s">
        <v>142</v>
      </c>
      <c r="V21" s="16" t="s">
        <v>142</v>
      </c>
      <c r="W21" s="16" t="s">
        <v>142</v>
      </c>
      <c r="X21" s="21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3">
      <c r="B22" s="14" t="s">
        <v>16</v>
      </c>
      <c r="C22" s="15">
        <v>2025</v>
      </c>
      <c r="D22" s="16">
        <v>1997</v>
      </c>
      <c r="E22" s="15">
        <f>IF(OR(D22="-",D22="",D22=0),IF(C22="-","-",C22),C22-D22)</f>
        <v>28</v>
      </c>
      <c r="F22" s="17">
        <f>IFERROR(IF(C22&gt;0, D22/C22, 0),"-")</f>
        <v>0.98617283950617285</v>
      </c>
      <c r="G22" s="15">
        <v>9</v>
      </c>
      <c r="H22" s="16" t="s">
        <v>142</v>
      </c>
      <c r="I22" s="15">
        <f>IF(OR(H22="-",H22="",H22=0),IF(G22="-","-",G22),G22-H22)</f>
        <v>9</v>
      </c>
      <c r="J22" s="17" t="str">
        <f>IFERROR(IF(G22&gt;0, H22/G22, 0),"-")</f>
        <v>-</v>
      </c>
      <c r="K22" s="15">
        <v>3</v>
      </c>
      <c r="L22" s="16" t="s">
        <v>142</v>
      </c>
      <c r="M22" s="15">
        <f>IF(OR(L22="-",L22="",L22=0),IF(K22="-","-",K22),K22-L22)</f>
        <v>3</v>
      </c>
      <c r="N22" s="17" t="str">
        <f>IFERROR(IF(K22&gt;0, L22/K22, 0),"-")</f>
        <v>-</v>
      </c>
      <c r="O22" s="15">
        <v>3</v>
      </c>
      <c r="P22" s="16" t="s">
        <v>142</v>
      </c>
      <c r="Q22" s="15">
        <f>IF(OR(P22="-",P22="",P22=0),IF(O22="-","-",O22),O22-P22)</f>
        <v>3</v>
      </c>
      <c r="R22" s="17" t="str">
        <f>IFERROR(IF(O22&gt;0, P22/O22, 0),"-")</f>
        <v>-</v>
      </c>
      <c r="S22" s="15">
        <v>7</v>
      </c>
      <c r="T22" s="15" t="s">
        <v>142</v>
      </c>
      <c r="U22" s="15" t="s">
        <v>142</v>
      </c>
      <c r="V22" s="16" t="s">
        <v>142</v>
      </c>
      <c r="W22" s="16" t="s">
        <v>142</v>
      </c>
      <c r="X22" s="21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3">
      <c r="B23" s="14" t="s">
        <v>4</v>
      </c>
      <c r="C23" s="15">
        <v>1622</v>
      </c>
      <c r="D23" s="16">
        <v>1599</v>
      </c>
      <c r="E23" s="15">
        <f>IF(OR(D23="-",D23="",D23=0),IF(C23="-","-",C23),C23-D23)</f>
        <v>23</v>
      </c>
      <c r="F23" s="17">
        <f>IFERROR(IF(C23&gt;0, D23/C23, 0),"-")</f>
        <v>0.9858199753390875</v>
      </c>
      <c r="G23" s="15">
        <v>6</v>
      </c>
      <c r="H23" s="16" t="s">
        <v>142</v>
      </c>
      <c r="I23" s="15">
        <f>IF(OR(H23="-",H23="",H23=0),IF(G23="-","-",G23),G23-H23)</f>
        <v>6</v>
      </c>
      <c r="J23" s="17" t="str">
        <f>IFERROR(IF(G23&gt;0, H23/G23, 0),"-")</f>
        <v>-</v>
      </c>
      <c r="K23" s="15">
        <v>5</v>
      </c>
      <c r="L23" s="16" t="s">
        <v>142</v>
      </c>
      <c r="M23" s="15">
        <f>IF(OR(L23="-",L23="",L23=0),IF(K23="-","-",K23),K23-L23)</f>
        <v>5</v>
      </c>
      <c r="N23" s="17" t="str">
        <f>IFERROR(IF(K23&gt;0, L23/K23, 0),"-")</f>
        <v>-</v>
      </c>
      <c r="O23" s="15">
        <v>4</v>
      </c>
      <c r="P23" s="16" t="s">
        <v>142</v>
      </c>
      <c r="Q23" s="15">
        <f>IF(OR(P23="-",P23="",P23=0),IF(O23="-","-",O23),O23-P23)</f>
        <v>4</v>
      </c>
      <c r="R23" s="17" t="str">
        <f>IFERROR(IF(O23&gt;0, P23/O23, 0),"-")</f>
        <v>-</v>
      </c>
      <c r="S23" s="15">
        <v>5</v>
      </c>
      <c r="T23" s="15" t="s">
        <v>142</v>
      </c>
      <c r="U23" s="15" t="s">
        <v>142</v>
      </c>
      <c r="V23" s="16" t="s">
        <v>142</v>
      </c>
      <c r="W23" s="16" t="s">
        <v>142</v>
      </c>
      <c r="X23" s="21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3">
      <c r="B24" s="14" t="s">
        <v>23</v>
      </c>
      <c r="C24" s="15">
        <v>1115</v>
      </c>
      <c r="D24" s="16">
        <v>1099</v>
      </c>
      <c r="E24" s="15">
        <f>IF(OR(D24="-",D24="",D24=0),IF(C24="-","-",C24),C24-D24)</f>
        <v>16</v>
      </c>
      <c r="F24" s="17">
        <f>IFERROR(IF(C24&gt;0, D24/C24, 0),"-")</f>
        <v>0.98565022421524662</v>
      </c>
      <c r="G24" s="15">
        <v>5</v>
      </c>
      <c r="H24" s="16" t="s">
        <v>142</v>
      </c>
      <c r="I24" s="15">
        <f>IF(OR(H24="-",H24="",H24=0),IF(G24="-","-",G24),G24-H24)</f>
        <v>5</v>
      </c>
      <c r="J24" s="17" t="str">
        <f>IFERROR(IF(G24&gt;0, H24/G24, 0),"-")</f>
        <v>-</v>
      </c>
      <c r="K24" s="15">
        <v>1</v>
      </c>
      <c r="L24" s="16" t="s">
        <v>142</v>
      </c>
      <c r="M24" s="15">
        <f>IF(OR(L24="-",L24="",L24=0),IF(K24="-","-",K24),K24-L24)</f>
        <v>1</v>
      </c>
      <c r="N24" s="17" t="str">
        <f>IFERROR(IF(K24&gt;0, L24/K24, 0),"-")</f>
        <v>-</v>
      </c>
      <c r="O24" s="15">
        <v>4</v>
      </c>
      <c r="P24" s="16" t="s">
        <v>142</v>
      </c>
      <c r="Q24" s="15">
        <f>IF(OR(P24="-",P24="",P24=0),IF(O24="-","-",O24),O24-P24)</f>
        <v>4</v>
      </c>
      <c r="R24" s="17" t="str">
        <f>IFERROR(IF(O24&gt;0, P24/O24, 0),"-")</f>
        <v>-</v>
      </c>
      <c r="S24" s="15">
        <v>2</v>
      </c>
      <c r="T24" s="15" t="s">
        <v>142</v>
      </c>
      <c r="U24" s="15" t="s">
        <v>142</v>
      </c>
      <c r="V24" s="16" t="s">
        <v>142</v>
      </c>
      <c r="W24" s="16" t="s">
        <v>142</v>
      </c>
      <c r="X24" s="21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3">
      <c r="B25" s="14" t="s">
        <v>13</v>
      </c>
      <c r="C25" s="15">
        <v>1771</v>
      </c>
      <c r="D25" s="16">
        <v>1740</v>
      </c>
      <c r="E25" s="15">
        <f>IF(OR(D25="-",D25="",D25=0),IF(C25="-","-",C25),C25-D25)</f>
        <v>31</v>
      </c>
      <c r="F25" s="17">
        <f>IFERROR(IF(C25&gt;0, D25/C25, 0),"-")</f>
        <v>0.98249576510446079</v>
      </c>
      <c r="G25" s="15">
        <v>21</v>
      </c>
      <c r="H25" s="16" t="s">
        <v>142</v>
      </c>
      <c r="I25" s="15">
        <f>IF(OR(H25="-",H25="",H25=0),IF(G25="-","-",G25),G25-H25)</f>
        <v>21</v>
      </c>
      <c r="J25" s="17" t="str">
        <f>IFERROR(IF(G25&gt;0, H25/G25, 0),"-")</f>
        <v>-</v>
      </c>
      <c r="K25" s="15">
        <v>7</v>
      </c>
      <c r="L25" s="16" t="s">
        <v>142</v>
      </c>
      <c r="M25" s="15">
        <f>IF(OR(L25="-",L25="",L25=0),IF(K25="-","-",K25),K25-L25)</f>
        <v>7</v>
      </c>
      <c r="N25" s="17" t="str">
        <f>IFERROR(IF(K25&gt;0, L25/K25, 0),"-")</f>
        <v>-</v>
      </c>
      <c r="O25" s="15">
        <v>1</v>
      </c>
      <c r="P25" s="16" t="s">
        <v>142</v>
      </c>
      <c r="Q25" s="15">
        <f>IF(OR(P25="-",P25="",P25=0),IF(O25="-","-",O25),O25-P25)</f>
        <v>1</v>
      </c>
      <c r="R25" s="17" t="str">
        <f>IFERROR(IF(O25&gt;0, P25/O25, 0),"-")</f>
        <v>-</v>
      </c>
      <c r="S25" s="15">
        <v>1</v>
      </c>
      <c r="T25" s="15" t="s">
        <v>142</v>
      </c>
      <c r="U25" s="15" t="s">
        <v>142</v>
      </c>
      <c r="V25" s="16" t="s">
        <v>142</v>
      </c>
      <c r="W25" s="16" t="s">
        <v>142</v>
      </c>
      <c r="X25" s="21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3">
      <c r="B26" s="14" t="s">
        <v>9</v>
      </c>
      <c r="C26" s="15">
        <v>2111</v>
      </c>
      <c r="D26" s="16">
        <v>2073</v>
      </c>
      <c r="E26" s="15">
        <f>IF(OR(D26="-",D26="",D26=0),IF(C26="-","-",C26),C26-D26)</f>
        <v>38</v>
      </c>
      <c r="F26" s="17">
        <f>IFERROR(IF(C26&gt;0, D26/C26, 0),"-")</f>
        <v>0.98199905258171483</v>
      </c>
      <c r="G26" s="15">
        <v>11</v>
      </c>
      <c r="H26" s="16" t="s">
        <v>142</v>
      </c>
      <c r="I26" s="15">
        <f>IF(OR(H26="-",H26="",H26=0),IF(G26="-","-",G26),G26-H26)</f>
        <v>11</v>
      </c>
      <c r="J26" s="17" t="str">
        <f>IFERROR(IF(G26&gt;0, H26/G26, 0),"-")</f>
        <v>-</v>
      </c>
      <c r="K26" s="15">
        <v>8</v>
      </c>
      <c r="L26" s="16" t="s">
        <v>142</v>
      </c>
      <c r="M26" s="15">
        <f>IF(OR(L26="-",L26="",L26=0),IF(K26="-","-",K26),K26-L26)</f>
        <v>8</v>
      </c>
      <c r="N26" s="17" t="str">
        <f>IFERROR(IF(K26&gt;0, L26/K26, 0),"-")</f>
        <v>-</v>
      </c>
      <c r="O26" s="15">
        <v>4</v>
      </c>
      <c r="P26" s="16" t="s">
        <v>142</v>
      </c>
      <c r="Q26" s="15">
        <f>IF(OR(P26="-",P26="",P26=0),IF(O26="-","-",O26),O26-P26)</f>
        <v>4</v>
      </c>
      <c r="R26" s="17" t="str">
        <f>IFERROR(IF(O26&gt;0, P26/O26, 0),"-")</f>
        <v>-</v>
      </c>
      <c r="S26" s="15">
        <v>5</v>
      </c>
      <c r="T26" s="15" t="s">
        <v>142</v>
      </c>
      <c r="U26" s="15" t="s">
        <v>142</v>
      </c>
      <c r="V26" s="16" t="s">
        <v>142</v>
      </c>
      <c r="W26" s="16" t="s">
        <v>142</v>
      </c>
      <c r="X26" s="21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3">
      <c r="B27" s="14" t="s">
        <v>12</v>
      </c>
      <c r="C27" s="15">
        <v>1924</v>
      </c>
      <c r="D27" s="16">
        <v>1889</v>
      </c>
      <c r="E27" s="15">
        <f>IF(OR(D27="-",D27="",D27=0),IF(C27="-","-",C27),C27-D27)</f>
        <v>35</v>
      </c>
      <c r="F27" s="17">
        <f>IFERROR(IF(C27&gt;0, D27/C27, 0),"-")</f>
        <v>0.98180873180873185</v>
      </c>
      <c r="G27" s="15">
        <v>11</v>
      </c>
      <c r="H27" s="16" t="s">
        <v>142</v>
      </c>
      <c r="I27" s="15">
        <f>IF(OR(H27="-",H27="",H27=0),IF(G27="-","-",G27),G27-H27)</f>
        <v>11</v>
      </c>
      <c r="J27" s="17" t="str">
        <f>IFERROR(IF(G27&gt;0, H27/G27, 0),"-")</f>
        <v>-</v>
      </c>
      <c r="K27" s="15">
        <v>9</v>
      </c>
      <c r="L27" s="16" t="s">
        <v>142</v>
      </c>
      <c r="M27" s="15">
        <f>IF(OR(L27="-",L27="",L27=0),IF(K27="-","-",K27),K27-L27)</f>
        <v>9</v>
      </c>
      <c r="N27" s="17" t="str">
        <f>IFERROR(IF(K27&gt;0, L27/K27, 0),"-")</f>
        <v>-</v>
      </c>
      <c r="O27" s="15">
        <v>3</v>
      </c>
      <c r="P27" s="16" t="s">
        <v>142</v>
      </c>
      <c r="Q27" s="15">
        <f>IF(OR(P27="-",P27="",P27=0),IF(O27="-","-",O27),O27-P27)</f>
        <v>3</v>
      </c>
      <c r="R27" s="17" t="str">
        <f>IFERROR(IF(O27&gt;0, P27/O27, 0),"-")</f>
        <v>-</v>
      </c>
      <c r="S27" s="15">
        <v>16</v>
      </c>
      <c r="T27" s="15" t="s">
        <v>142</v>
      </c>
      <c r="U27" s="15" t="s">
        <v>142</v>
      </c>
      <c r="V27" s="16" t="s">
        <v>142</v>
      </c>
      <c r="W27" s="16" t="s">
        <v>142</v>
      </c>
      <c r="X27" s="21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3">
      <c r="B28" s="14" t="s">
        <v>17</v>
      </c>
      <c r="C28" s="15">
        <v>1594</v>
      </c>
      <c r="D28" s="16">
        <v>1564</v>
      </c>
      <c r="E28" s="15">
        <f>IF(OR(D28="-",D28="",D28=0),IF(C28="-","-",C28),C28-D28)</f>
        <v>30</v>
      </c>
      <c r="F28" s="17">
        <f>IFERROR(IF(C28&gt;0, D28/C28, 0),"-")</f>
        <v>0.98117942283563364</v>
      </c>
      <c r="G28" s="15">
        <v>16</v>
      </c>
      <c r="H28" s="16" t="s">
        <v>142</v>
      </c>
      <c r="I28" s="15">
        <f>IF(OR(H28="-",H28="",H28=0),IF(G28="-","-",G28),G28-H28)</f>
        <v>16</v>
      </c>
      <c r="J28" s="17" t="str">
        <f>IFERROR(IF(G28&gt;0, H28/G28, 0),"-")</f>
        <v>-</v>
      </c>
      <c r="K28" s="15">
        <v>12</v>
      </c>
      <c r="L28" s="16" t="s">
        <v>142</v>
      </c>
      <c r="M28" s="15">
        <f>IF(OR(L28="-",L28="",L28=0),IF(K28="-","-",K28),K28-L28)</f>
        <v>12</v>
      </c>
      <c r="N28" s="17" t="str">
        <f>IFERROR(IF(K28&gt;0, L28/K28, 0),"-")</f>
        <v>-</v>
      </c>
      <c r="O28" s="15">
        <v>9</v>
      </c>
      <c r="P28" s="16" t="s">
        <v>142</v>
      </c>
      <c r="Q28" s="15">
        <f>IF(OR(P28="-",P28="",P28=0),IF(O28="-","-",O28),O28-P28)</f>
        <v>9</v>
      </c>
      <c r="R28" s="17" t="str">
        <f>IFERROR(IF(O28&gt;0, P28/O28, 0),"-")</f>
        <v>-</v>
      </c>
      <c r="S28" s="15">
        <v>6</v>
      </c>
      <c r="T28" s="15" t="s">
        <v>142</v>
      </c>
      <c r="U28" s="15" t="s">
        <v>142</v>
      </c>
      <c r="V28" s="16" t="s">
        <v>142</v>
      </c>
      <c r="W28" s="16" t="s">
        <v>142</v>
      </c>
      <c r="X28" s="21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3">
      <c r="B29" s="14" t="s">
        <v>19</v>
      </c>
      <c r="C29" s="15">
        <v>2644</v>
      </c>
      <c r="D29" s="16">
        <v>2594</v>
      </c>
      <c r="E29" s="15">
        <f>IF(OR(D29="-",D29="",D29=0),IF(C29="-","-",C29),C29-D29)</f>
        <v>50</v>
      </c>
      <c r="F29" s="17">
        <f>IFERROR(IF(C29&gt;0, D29/C29, 0),"-")</f>
        <v>0.98108925869894104</v>
      </c>
      <c r="G29" s="15">
        <v>14</v>
      </c>
      <c r="H29" s="16" t="s">
        <v>142</v>
      </c>
      <c r="I29" s="15">
        <f>IF(OR(H29="-",H29="",H29=0),IF(G29="-","-",G29),G29-H29)</f>
        <v>14</v>
      </c>
      <c r="J29" s="17" t="str">
        <f>IFERROR(IF(G29&gt;0, H29/G29, 0),"-")</f>
        <v>-</v>
      </c>
      <c r="K29" s="15">
        <v>6</v>
      </c>
      <c r="L29" s="16" t="s">
        <v>142</v>
      </c>
      <c r="M29" s="15">
        <f>IF(OR(L29="-",L29="",L29=0),IF(K29="-","-",K29),K29-L29)</f>
        <v>6</v>
      </c>
      <c r="N29" s="17" t="str">
        <f>IFERROR(IF(K29&gt;0, L29/K29, 0),"-")</f>
        <v>-</v>
      </c>
      <c r="O29" s="15">
        <v>13</v>
      </c>
      <c r="P29" s="16" t="s">
        <v>142</v>
      </c>
      <c r="Q29" s="15">
        <f>IF(OR(P29="-",P29="",P29=0),IF(O29="-","-",O29),O29-P29)</f>
        <v>13</v>
      </c>
      <c r="R29" s="17" t="str">
        <f>IFERROR(IF(O29&gt;0, P29/O29, 0),"-")</f>
        <v>-</v>
      </c>
      <c r="S29" s="15">
        <v>12</v>
      </c>
      <c r="T29" s="15" t="s">
        <v>142</v>
      </c>
      <c r="U29" s="15" t="s">
        <v>142</v>
      </c>
      <c r="V29" s="16" t="s">
        <v>142</v>
      </c>
      <c r="W29" s="16" t="s">
        <v>142</v>
      </c>
      <c r="X29" s="21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3">
      <c r="B30" s="14" t="s">
        <v>7</v>
      </c>
      <c r="C30" s="15">
        <v>2677</v>
      </c>
      <c r="D30" s="16">
        <v>2622</v>
      </c>
      <c r="E30" s="15">
        <f>IF(OR(D30="-",D30="",D30=0),IF(C30="-","-",C30),C30-D30)</f>
        <v>55</v>
      </c>
      <c r="F30" s="17">
        <f>IFERROR(IF(C30&gt;0, D30/C30, 0),"-")</f>
        <v>0.97945461337317896</v>
      </c>
      <c r="G30" s="15">
        <v>10</v>
      </c>
      <c r="H30" s="16" t="s">
        <v>142</v>
      </c>
      <c r="I30" s="15">
        <f>IF(OR(H30="-",H30="",H30=0),IF(G30="-","-",G30),G30-H30)</f>
        <v>10</v>
      </c>
      <c r="J30" s="17" t="str">
        <f>IFERROR(IF(G30&gt;0, H30/G30, 0),"-")</f>
        <v>-</v>
      </c>
      <c r="K30" s="15">
        <v>13</v>
      </c>
      <c r="L30" s="16" t="s">
        <v>142</v>
      </c>
      <c r="M30" s="15">
        <f>IF(OR(L30="-",L30="",L30=0),IF(K30="-","-",K30),K30-L30)</f>
        <v>13</v>
      </c>
      <c r="N30" s="17" t="str">
        <f>IFERROR(IF(K30&gt;0, L30/K30, 0),"-")</f>
        <v>-</v>
      </c>
      <c r="O30" s="15">
        <v>13</v>
      </c>
      <c r="P30" s="16" t="s">
        <v>142</v>
      </c>
      <c r="Q30" s="15">
        <f>IF(OR(P30="-",P30="",P30=0),IF(O30="-","-",O30),O30-P30)</f>
        <v>13</v>
      </c>
      <c r="R30" s="17" t="str">
        <f>IFERROR(IF(O30&gt;0, P30/O30, 0),"-")</f>
        <v>-</v>
      </c>
      <c r="S30" s="15">
        <v>19</v>
      </c>
      <c r="T30" s="15" t="s">
        <v>142</v>
      </c>
      <c r="U30" s="15" t="s">
        <v>142</v>
      </c>
      <c r="V30" s="16" t="s">
        <v>142</v>
      </c>
      <c r="W30" s="16" t="s">
        <v>142</v>
      </c>
      <c r="X30" s="21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3">
      <c r="B31" s="14" t="s">
        <v>10</v>
      </c>
      <c r="C31" s="15">
        <v>1288</v>
      </c>
      <c r="D31" s="16">
        <v>1261</v>
      </c>
      <c r="E31" s="15">
        <f>IF(OR(D31="-",D31="",D31=0),IF(C31="-","-",C31),C31-D31)</f>
        <v>27</v>
      </c>
      <c r="F31" s="17">
        <f>IFERROR(IF(C31&gt;0, D31/C31, 0),"-")</f>
        <v>0.97903726708074534</v>
      </c>
      <c r="G31" s="15">
        <v>11</v>
      </c>
      <c r="H31" s="16" t="s">
        <v>142</v>
      </c>
      <c r="I31" s="15">
        <f>IF(OR(H31="-",H31="",H31=0),IF(G31="-","-",G31),G31-H31)</f>
        <v>11</v>
      </c>
      <c r="J31" s="17" t="str">
        <f>IFERROR(IF(G31&gt;0, H31/G31, 0),"-")</f>
        <v>-</v>
      </c>
      <c r="K31" s="15">
        <v>8</v>
      </c>
      <c r="L31" s="16" t="s">
        <v>142</v>
      </c>
      <c r="M31" s="15">
        <f>IF(OR(L31="-",L31="",L31=0),IF(K31="-","-",K31),K31-L31)</f>
        <v>8</v>
      </c>
      <c r="N31" s="17" t="str">
        <f>IFERROR(IF(K31&gt;0, L31/K31, 0),"-")</f>
        <v>-</v>
      </c>
      <c r="O31" s="15">
        <v>5</v>
      </c>
      <c r="P31" s="16" t="s">
        <v>142</v>
      </c>
      <c r="Q31" s="15">
        <f>IF(OR(P31="-",P31="",P31=0),IF(O31="-","-",O31),O31-P31)</f>
        <v>5</v>
      </c>
      <c r="R31" s="17" t="str">
        <f>IFERROR(IF(O31&gt;0, P31/O31, 0),"-")</f>
        <v>-</v>
      </c>
      <c r="S31" s="15">
        <v>8</v>
      </c>
      <c r="T31" s="15" t="s">
        <v>142</v>
      </c>
      <c r="U31" s="15" t="s">
        <v>142</v>
      </c>
      <c r="V31" s="16" t="s">
        <v>142</v>
      </c>
      <c r="W31" s="16" t="s">
        <v>142</v>
      </c>
      <c r="X31" s="21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3">
      <c r="B32" s="14" t="s">
        <v>11</v>
      </c>
      <c r="C32" s="15">
        <v>3093</v>
      </c>
      <c r="D32" s="16">
        <v>3021</v>
      </c>
      <c r="E32" s="15">
        <f>IF(OR(D32="-",D32="",D32=0),IF(C32="-","-",C32),C32-D32)</f>
        <v>72</v>
      </c>
      <c r="F32" s="17">
        <f>IFERROR(IF(C32&gt;0, D32/C32, 0),"-")</f>
        <v>0.97672162948593599</v>
      </c>
      <c r="G32" s="15">
        <v>18</v>
      </c>
      <c r="H32" s="16" t="s">
        <v>142</v>
      </c>
      <c r="I32" s="15">
        <f>IF(OR(H32="-",H32="",H32=0),IF(G32="-","-",G32),G32-H32)</f>
        <v>18</v>
      </c>
      <c r="J32" s="17" t="str">
        <f>IFERROR(IF(G32&gt;0, H32/G32, 0),"-")</f>
        <v>-</v>
      </c>
      <c r="K32" s="15">
        <v>17</v>
      </c>
      <c r="L32" s="16" t="s">
        <v>142</v>
      </c>
      <c r="M32" s="15">
        <f>IF(OR(L32="-",L32="",L32=0),IF(K32="-","-",K32),K32-L32)</f>
        <v>17</v>
      </c>
      <c r="N32" s="17" t="str">
        <f>IFERROR(IF(K32&gt;0, L32/K32, 0),"-")</f>
        <v>-</v>
      </c>
      <c r="O32" s="15">
        <v>13</v>
      </c>
      <c r="P32" s="16" t="s">
        <v>142</v>
      </c>
      <c r="Q32" s="15">
        <f>IF(OR(P32="-",P32="",P32=0),IF(O32="-","-",O32),O32-P32)</f>
        <v>13</v>
      </c>
      <c r="R32" s="17" t="str">
        <f>IFERROR(IF(O32&gt;0, P32/O32, 0),"-")</f>
        <v>-</v>
      </c>
      <c r="S32" s="15">
        <v>17</v>
      </c>
      <c r="T32" s="15" t="s">
        <v>142</v>
      </c>
      <c r="U32" s="15" t="s">
        <v>142</v>
      </c>
      <c r="V32" s="16" t="s">
        <v>142</v>
      </c>
      <c r="W32" s="16" t="s">
        <v>142</v>
      </c>
      <c r="X32" s="21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3">
      <c r="B33" s="14" t="s">
        <v>21</v>
      </c>
      <c r="C33" s="15">
        <v>2528</v>
      </c>
      <c r="D33" s="16">
        <v>2468</v>
      </c>
      <c r="E33" s="15">
        <f>IF(OR(D33="-",D33="",D33=0),IF(C33="-","-",C33),C33-D33)</f>
        <v>60</v>
      </c>
      <c r="F33" s="17">
        <f>IFERROR(IF(C33&gt;0, D33/C33, 0),"-")</f>
        <v>0.97626582278481011</v>
      </c>
      <c r="G33" s="15">
        <v>10</v>
      </c>
      <c r="H33" s="16" t="s">
        <v>142</v>
      </c>
      <c r="I33" s="15">
        <f>IF(OR(H33="-",H33="",H33=0),IF(G33="-","-",G33),G33-H33)</f>
        <v>10</v>
      </c>
      <c r="J33" s="17" t="str">
        <f>IFERROR(IF(G33&gt;0, H33/G33, 0),"-")</f>
        <v>-</v>
      </c>
      <c r="K33" s="15">
        <v>6</v>
      </c>
      <c r="L33" s="16" t="s">
        <v>142</v>
      </c>
      <c r="M33" s="15">
        <f>IF(OR(L33="-",L33="",L33=0),IF(K33="-","-",K33),K33-L33)</f>
        <v>6</v>
      </c>
      <c r="N33" s="17" t="str">
        <f>IFERROR(IF(K33&gt;0, L33/K33, 0),"-")</f>
        <v>-</v>
      </c>
      <c r="O33" s="15">
        <v>6</v>
      </c>
      <c r="P33" s="16" t="s">
        <v>142</v>
      </c>
      <c r="Q33" s="15">
        <f>IF(OR(P33="-",P33="",P33=0),IF(O33="-","-",O33),O33-P33)</f>
        <v>6</v>
      </c>
      <c r="R33" s="17" t="str">
        <f>IFERROR(IF(O33&gt;0, P33/O33, 0),"-")</f>
        <v>-</v>
      </c>
      <c r="S33" s="15">
        <v>13</v>
      </c>
      <c r="T33" s="15" t="s">
        <v>142</v>
      </c>
      <c r="U33" s="15" t="s">
        <v>142</v>
      </c>
      <c r="V33" s="16" t="s">
        <v>142</v>
      </c>
      <c r="W33" s="16" t="s">
        <v>142</v>
      </c>
      <c r="X33" s="21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3">
      <c r="B34" s="14" t="s">
        <v>137</v>
      </c>
      <c r="C34" s="15">
        <v>2338</v>
      </c>
      <c r="D34" s="16">
        <v>2281</v>
      </c>
      <c r="E34" s="15">
        <f>IF(OR(D34="-",D34="",D34=0),IF(C34="-","-",C34),C34-D34)</f>
        <v>57</v>
      </c>
      <c r="F34" s="17">
        <f>IFERROR(IF(C34&gt;0, D34/C34, 0),"-")</f>
        <v>0.97562018819503848</v>
      </c>
      <c r="G34" s="15">
        <v>18</v>
      </c>
      <c r="H34" s="16" t="s">
        <v>142</v>
      </c>
      <c r="I34" s="15">
        <f>IF(OR(H34="-",H34="",H34=0),IF(G34="-","-",G34),G34-H34)</f>
        <v>18</v>
      </c>
      <c r="J34" s="17" t="str">
        <f>IFERROR(IF(G34&gt;0, H34/G34, 0),"-")</f>
        <v>-</v>
      </c>
      <c r="K34" s="15">
        <v>4</v>
      </c>
      <c r="L34" s="16" t="s">
        <v>142</v>
      </c>
      <c r="M34" s="15">
        <f>IF(OR(L34="-",L34="",L34=0),IF(K34="-","-",K34),K34-L34)</f>
        <v>4</v>
      </c>
      <c r="N34" s="17" t="str">
        <f>IFERROR(IF(K34&gt;0, L34/K34, 0),"-")</f>
        <v>-</v>
      </c>
      <c r="O34" s="15">
        <v>9</v>
      </c>
      <c r="P34" s="16" t="s">
        <v>142</v>
      </c>
      <c r="Q34" s="15">
        <f>IF(OR(P34="-",P34="",P34=0),IF(O34="-","-",O34),O34-P34)</f>
        <v>9</v>
      </c>
      <c r="R34" s="17" t="str">
        <f>IFERROR(IF(O34&gt;0, P34/O34, 0),"-")</f>
        <v>-</v>
      </c>
      <c r="S34" s="15">
        <v>5</v>
      </c>
      <c r="T34" s="15" t="s">
        <v>142</v>
      </c>
      <c r="U34" s="15" t="s">
        <v>142</v>
      </c>
      <c r="V34" s="16" t="s">
        <v>142</v>
      </c>
      <c r="W34" s="16" t="s">
        <v>142</v>
      </c>
      <c r="X34" s="21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3">
      <c r="B35" s="14" t="s">
        <v>5</v>
      </c>
      <c r="C35" s="15">
        <v>2157</v>
      </c>
      <c r="D35" s="16">
        <v>2102</v>
      </c>
      <c r="E35" s="15">
        <f>IF(OR(D35="-",D35="",D35=0),IF(C35="-","-",C35),C35-D35)</f>
        <v>55</v>
      </c>
      <c r="F35" s="17">
        <f>IFERROR(IF(C35&gt;0, D35/C35, 0),"-")</f>
        <v>0.97450162262401485</v>
      </c>
      <c r="G35" s="15">
        <v>8</v>
      </c>
      <c r="H35" s="16" t="s">
        <v>142</v>
      </c>
      <c r="I35" s="15">
        <f>IF(OR(H35="-",H35="",H35=0),IF(G35="-","-",G35),G35-H35)</f>
        <v>8</v>
      </c>
      <c r="J35" s="17" t="str">
        <f>IFERROR(IF(G35&gt;0, H35/G35, 0),"-")</f>
        <v>-</v>
      </c>
      <c r="K35" s="15">
        <v>3</v>
      </c>
      <c r="L35" s="16" t="s">
        <v>142</v>
      </c>
      <c r="M35" s="15">
        <f>IF(OR(L35="-",L35="",L35=0),IF(K35="-","-",K35),K35-L35)</f>
        <v>3</v>
      </c>
      <c r="N35" s="17" t="str">
        <f>IFERROR(IF(K35&gt;0, L35/K35, 0),"-")</f>
        <v>-</v>
      </c>
      <c r="O35" s="15">
        <v>3</v>
      </c>
      <c r="P35" s="16" t="s">
        <v>142</v>
      </c>
      <c r="Q35" s="15">
        <f>IF(OR(P35="-",P35="",P35=0),IF(O35="-","-",O35),O35-P35)</f>
        <v>3</v>
      </c>
      <c r="R35" s="17" t="str">
        <f>IFERROR(IF(O35&gt;0, P35/O35, 0),"-")</f>
        <v>-</v>
      </c>
      <c r="S35" s="15">
        <v>8</v>
      </c>
      <c r="T35" s="15" t="s">
        <v>142</v>
      </c>
      <c r="U35" s="15" t="s">
        <v>142</v>
      </c>
      <c r="V35" s="16" t="s">
        <v>142</v>
      </c>
      <c r="W35" s="16" t="s">
        <v>142</v>
      </c>
      <c r="X35" s="21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3">
      <c r="B36" s="14" t="s">
        <v>27</v>
      </c>
      <c r="C36" s="15">
        <v>1362</v>
      </c>
      <c r="D36" s="16">
        <v>1325</v>
      </c>
      <c r="E36" s="15">
        <f>IF(OR(D36="-",D36="",D36=0),IF(C36="-","-",C36),C36-D36)</f>
        <v>37</v>
      </c>
      <c r="F36" s="17">
        <f>IFERROR(IF(C36&gt;0, D36/C36, 0),"-")</f>
        <v>0.97283406754772395</v>
      </c>
      <c r="G36" s="15">
        <v>5</v>
      </c>
      <c r="H36" s="16" t="s">
        <v>142</v>
      </c>
      <c r="I36" s="15">
        <f>IF(OR(H36="-",H36="",H36=0),IF(G36="-","-",G36),G36-H36)</f>
        <v>5</v>
      </c>
      <c r="J36" s="17" t="str">
        <f>IFERROR(IF(G36&gt;0, H36/G36, 0),"-")</f>
        <v>-</v>
      </c>
      <c r="K36" s="15">
        <v>3</v>
      </c>
      <c r="L36" s="16" t="s">
        <v>142</v>
      </c>
      <c r="M36" s="15">
        <f>IF(OR(L36="-",L36="",L36=0),IF(K36="-","-",K36),K36-L36)</f>
        <v>3</v>
      </c>
      <c r="N36" s="17" t="str">
        <f>IFERROR(IF(K36&gt;0, L36/K36, 0),"-")</f>
        <v>-</v>
      </c>
      <c r="O36" s="15">
        <v>4</v>
      </c>
      <c r="P36" s="16" t="s">
        <v>142</v>
      </c>
      <c r="Q36" s="15">
        <f>IF(OR(P36="-",P36="",P36=0),IF(O36="-","-",O36),O36-P36)</f>
        <v>4</v>
      </c>
      <c r="R36" s="17" t="str">
        <f>IFERROR(IF(O36&gt;0, P36/O36, 0),"-")</f>
        <v>-</v>
      </c>
      <c r="S36" s="15">
        <v>6</v>
      </c>
      <c r="T36" s="15" t="s">
        <v>142</v>
      </c>
      <c r="U36" s="15" t="s">
        <v>142</v>
      </c>
      <c r="V36" s="16" t="s">
        <v>142</v>
      </c>
      <c r="W36" s="16" t="s">
        <v>142</v>
      </c>
      <c r="X36" s="21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3">
      <c r="B37" s="14" t="s">
        <v>20</v>
      </c>
      <c r="C37" s="15">
        <v>2131</v>
      </c>
      <c r="D37" s="16">
        <v>2065</v>
      </c>
      <c r="E37" s="15">
        <f>IF(OR(D37="-",D37="",D37=0),IF(C37="-","-",C37),C37-D37)</f>
        <v>66</v>
      </c>
      <c r="F37" s="17">
        <f>IFERROR(IF(C37&gt;0, D37/C37, 0),"-")</f>
        <v>0.96902862505865794</v>
      </c>
      <c r="G37" s="15">
        <v>16</v>
      </c>
      <c r="H37" s="16" t="s">
        <v>142</v>
      </c>
      <c r="I37" s="15">
        <f>IF(OR(H37="-",H37="",H37=0),IF(G37="-","-",G37),G37-H37)</f>
        <v>16</v>
      </c>
      <c r="J37" s="17" t="str">
        <f>IFERROR(IF(G37&gt;0, H37/G37, 0),"-")</f>
        <v>-</v>
      </c>
      <c r="K37" s="15">
        <v>4</v>
      </c>
      <c r="L37" s="16" t="s">
        <v>142</v>
      </c>
      <c r="M37" s="15">
        <f>IF(OR(L37="-",L37="",L37=0),IF(K37="-","-",K37),K37-L37)</f>
        <v>4</v>
      </c>
      <c r="N37" s="17" t="str">
        <f>IFERROR(IF(K37&gt;0, L37/K37, 0),"-")</f>
        <v>-</v>
      </c>
      <c r="O37" s="15">
        <v>11</v>
      </c>
      <c r="P37" s="16" t="s">
        <v>142</v>
      </c>
      <c r="Q37" s="15">
        <f>IF(OR(P37="-",P37="",P37=0),IF(O37="-","-",O37),O37-P37)</f>
        <v>11</v>
      </c>
      <c r="R37" s="17" t="str">
        <f>IFERROR(IF(O37&gt;0, P37/O37, 0),"-")</f>
        <v>-</v>
      </c>
      <c r="S37" s="15">
        <v>13</v>
      </c>
      <c r="T37" s="15" t="s">
        <v>142</v>
      </c>
      <c r="U37" s="15" t="s">
        <v>142</v>
      </c>
      <c r="V37" s="16" t="s">
        <v>142</v>
      </c>
      <c r="W37" s="16" t="s">
        <v>142</v>
      </c>
      <c r="X37" s="21">
        <f>RANK(F37,$F$19:$F$48,0)</f>
        <v>19</v>
      </c>
      <c r="Y37" s="3" t="str">
        <f>IF(OR(ISERROR(F37),F37="-",NOT(ISNUMBER(F37))),"● N/A",IF(ROUND(F37, 4) &gt;= ROUND($F$49, 4),"▲ Above Average","▼ Below Average"))</f>
        <v>▼ Below Average</v>
      </c>
    </row>
    <row r="38" spans="2:25" x14ac:dyDescent="0.3">
      <c r="B38" s="14" t="s">
        <v>24</v>
      </c>
      <c r="C38" s="15">
        <v>2614</v>
      </c>
      <c r="D38" s="16">
        <v>2532</v>
      </c>
      <c r="E38" s="15">
        <f>IF(OR(D38="-",D38="",D38=0),IF(C38="-","-",C38),C38-D38)</f>
        <v>82</v>
      </c>
      <c r="F38" s="17">
        <f>IFERROR(IF(C38&gt;0, D38/C38, 0),"-")</f>
        <v>0.96863045141545523</v>
      </c>
      <c r="G38" s="15">
        <v>18</v>
      </c>
      <c r="H38" s="16" t="s">
        <v>142</v>
      </c>
      <c r="I38" s="15">
        <f>IF(OR(H38="-",H38="",H38=0),IF(G38="-","-",G38),G38-H38)</f>
        <v>18</v>
      </c>
      <c r="J38" s="17" t="str">
        <f>IFERROR(IF(G38&gt;0, H38/G38, 0),"-")</f>
        <v>-</v>
      </c>
      <c r="K38" s="15">
        <v>10</v>
      </c>
      <c r="L38" s="16" t="s">
        <v>142</v>
      </c>
      <c r="M38" s="15">
        <f>IF(OR(L38="-",L38="",L38=0),IF(K38="-","-",K38),K38-L38)</f>
        <v>10</v>
      </c>
      <c r="N38" s="17" t="str">
        <f>IFERROR(IF(K38&gt;0, L38/K38, 0),"-")</f>
        <v>-</v>
      </c>
      <c r="O38" s="15">
        <v>7</v>
      </c>
      <c r="P38" s="16" t="s">
        <v>142</v>
      </c>
      <c r="Q38" s="15">
        <f>IF(OR(P38="-",P38="",P38=0),IF(O38="-","-",O38),O38-P38)</f>
        <v>7</v>
      </c>
      <c r="R38" s="17" t="str">
        <f>IFERROR(IF(O38&gt;0, P38/O38, 0),"-")</f>
        <v>-</v>
      </c>
      <c r="S38" s="15">
        <v>15</v>
      </c>
      <c r="T38" s="15" t="s">
        <v>142</v>
      </c>
      <c r="U38" s="15" t="s">
        <v>142</v>
      </c>
      <c r="V38" s="16" t="s">
        <v>142</v>
      </c>
      <c r="W38" s="16" t="s">
        <v>142</v>
      </c>
      <c r="X38" s="21">
        <f>RANK(F38,$F$19:$F$48,0)</f>
        <v>20</v>
      </c>
      <c r="Y38" s="3" t="str">
        <f>IF(OR(ISERROR(F38),F38="-",NOT(ISNUMBER(F38))),"● N/A",IF(ROUND(F38, 4) &gt;= ROUND($F$49, 4),"▲ Above Average","▼ Below Average"))</f>
        <v>▼ Below Average</v>
      </c>
    </row>
    <row r="39" spans="2:25" x14ac:dyDescent="0.3">
      <c r="B39" s="14" t="s">
        <v>14</v>
      </c>
      <c r="C39" s="15">
        <v>2422</v>
      </c>
      <c r="D39" s="16">
        <v>2341</v>
      </c>
      <c r="E39" s="15">
        <f>IF(OR(D39="-",D39="",D39=0),IF(C39="-","-",C39),C39-D39)</f>
        <v>81</v>
      </c>
      <c r="F39" s="17">
        <f>IFERROR(IF(C39&gt;0, D39/C39, 0),"-")</f>
        <v>0.96655656482246077</v>
      </c>
      <c r="G39" s="15">
        <v>8</v>
      </c>
      <c r="H39" s="16" t="s">
        <v>142</v>
      </c>
      <c r="I39" s="15">
        <f>IF(OR(H39="-",H39="",H39=0),IF(G39="-","-",G39),G39-H39)</f>
        <v>8</v>
      </c>
      <c r="J39" s="17" t="str">
        <f>IFERROR(IF(G39&gt;0, H39/G39, 0),"-")</f>
        <v>-</v>
      </c>
      <c r="K39" s="15">
        <v>3</v>
      </c>
      <c r="L39" s="16" t="s">
        <v>142</v>
      </c>
      <c r="M39" s="15">
        <f>IF(OR(L39="-",L39="",L39=0),IF(K39="-","-",K39),K39-L39)</f>
        <v>3</v>
      </c>
      <c r="N39" s="17" t="str">
        <f>IFERROR(IF(K39&gt;0, L39/K39, 0),"-")</f>
        <v>-</v>
      </c>
      <c r="O39" s="15">
        <v>5</v>
      </c>
      <c r="P39" s="16" t="s">
        <v>142</v>
      </c>
      <c r="Q39" s="15">
        <f>IF(OR(P39="-",P39="",P39=0),IF(O39="-","-",O39),O39-P39)</f>
        <v>5</v>
      </c>
      <c r="R39" s="17" t="str">
        <f>IFERROR(IF(O39&gt;0, P39/O39, 0),"-")</f>
        <v>-</v>
      </c>
      <c r="S39" s="15">
        <v>25</v>
      </c>
      <c r="T39" s="15" t="s">
        <v>142</v>
      </c>
      <c r="U39" s="15" t="s">
        <v>142</v>
      </c>
      <c r="V39" s="16" t="s">
        <v>142</v>
      </c>
      <c r="W39" s="16" t="s">
        <v>142</v>
      </c>
      <c r="X39" s="21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3">
      <c r="B40" s="14" t="s">
        <v>1</v>
      </c>
      <c r="C40" s="15">
        <v>3161</v>
      </c>
      <c r="D40" s="16">
        <v>3038</v>
      </c>
      <c r="E40" s="15">
        <f>IF(OR(D40="-",D40="",D40=0),IF(C40="-","-",C40),C40-D40)</f>
        <v>123</v>
      </c>
      <c r="F40" s="17">
        <f>IFERROR(IF(C40&gt;0, D40/C40, 0),"-")</f>
        <v>0.96108826320784557</v>
      </c>
      <c r="G40" s="15">
        <v>44</v>
      </c>
      <c r="H40" s="16" t="s">
        <v>142</v>
      </c>
      <c r="I40" s="15">
        <f>IF(OR(H40="-",H40="",H40=0),IF(G40="-","-",G40),G40-H40)</f>
        <v>44</v>
      </c>
      <c r="J40" s="17" t="str">
        <f>IFERROR(IF(G40&gt;0, H40/G40, 0),"-")</f>
        <v>-</v>
      </c>
      <c r="K40" s="15">
        <v>25</v>
      </c>
      <c r="L40" s="16" t="s">
        <v>142</v>
      </c>
      <c r="M40" s="15">
        <f>IF(OR(L40="-",L40="",L40=0),IF(K40="-","-",K40),K40-L40)</f>
        <v>25</v>
      </c>
      <c r="N40" s="17" t="str">
        <f>IFERROR(IF(K40&gt;0, L40/K40, 0),"-")</f>
        <v>-</v>
      </c>
      <c r="O40" s="15">
        <v>19</v>
      </c>
      <c r="P40" s="16" t="s">
        <v>142</v>
      </c>
      <c r="Q40" s="15">
        <f>IF(OR(P40="-",P40="",P40=0),IF(O40="-","-",O40),O40-P40)</f>
        <v>19</v>
      </c>
      <c r="R40" s="17" t="str">
        <f>IFERROR(IF(O40&gt;0, P40/O40, 0),"-")</f>
        <v>-</v>
      </c>
      <c r="S40" s="15">
        <v>21</v>
      </c>
      <c r="T40" s="15" t="s">
        <v>142</v>
      </c>
      <c r="U40" s="15" t="s">
        <v>142</v>
      </c>
      <c r="V40" s="16" t="s">
        <v>142</v>
      </c>
      <c r="W40" s="16" t="s">
        <v>142</v>
      </c>
      <c r="X40" s="21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3">
      <c r="B41" s="14" t="s">
        <v>3</v>
      </c>
      <c r="C41" s="15">
        <v>1787</v>
      </c>
      <c r="D41" s="16">
        <v>1716</v>
      </c>
      <c r="E41" s="15">
        <f>IF(OR(D41="-",D41="",D41=0),IF(C41="-","-",C41),C41-D41)</f>
        <v>71</v>
      </c>
      <c r="F41" s="17">
        <f>IFERROR(IF(C41&gt;0, D41/C41, 0),"-")</f>
        <v>0.96026860660324564</v>
      </c>
      <c r="G41" s="15">
        <v>20</v>
      </c>
      <c r="H41" s="16" t="s">
        <v>142</v>
      </c>
      <c r="I41" s="15">
        <f>IF(OR(H41="-",H41="",H41=0),IF(G41="-","-",G41),G41-H41)</f>
        <v>20</v>
      </c>
      <c r="J41" s="17" t="str">
        <f>IFERROR(IF(G41&gt;0, H41/G41, 0),"-")</f>
        <v>-</v>
      </c>
      <c r="K41" s="15">
        <v>8</v>
      </c>
      <c r="L41" s="16" t="s">
        <v>142</v>
      </c>
      <c r="M41" s="15">
        <f>IF(OR(L41="-",L41="",L41=0),IF(K41="-","-",K41),K41-L41)</f>
        <v>8</v>
      </c>
      <c r="N41" s="17" t="str">
        <f>IFERROR(IF(K41&gt;0, L41/K41, 0),"-")</f>
        <v>-</v>
      </c>
      <c r="O41" s="15">
        <v>2</v>
      </c>
      <c r="P41" s="16" t="s">
        <v>142</v>
      </c>
      <c r="Q41" s="15">
        <f>IF(OR(P41="-",P41="",P41=0),IF(O41="-","-",O41),O41-P41)</f>
        <v>2</v>
      </c>
      <c r="R41" s="17" t="str">
        <f>IFERROR(IF(O41&gt;0, P41/O41, 0),"-")</f>
        <v>-</v>
      </c>
      <c r="S41" s="15">
        <v>15</v>
      </c>
      <c r="T41" s="15" t="s">
        <v>142</v>
      </c>
      <c r="U41" s="15" t="s">
        <v>142</v>
      </c>
      <c r="V41" s="16" t="s">
        <v>142</v>
      </c>
      <c r="W41" s="16" t="s">
        <v>142</v>
      </c>
      <c r="X41" s="21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3">
      <c r="B42" s="14" t="s">
        <v>22</v>
      </c>
      <c r="C42" s="15">
        <v>2690</v>
      </c>
      <c r="D42" s="16">
        <v>2581</v>
      </c>
      <c r="E42" s="15">
        <f>IF(OR(D42="-",D42="",D42=0),IF(C42="-","-",C42),C42-D42)</f>
        <v>109</v>
      </c>
      <c r="F42" s="17">
        <f>IFERROR(IF(C42&gt;0, D42/C42, 0),"-")</f>
        <v>0.95947955390334572</v>
      </c>
      <c r="G42" s="15">
        <v>26</v>
      </c>
      <c r="H42" s="16" t="s">
        <v>142</v>
      </c>
      <c r="I42" s="15">
        <f>IF(OR(H42="-",H42="",H42=0),IF(G42="-","-",G42),G42-H42)</f>
        <v>26</v>
      </c>
      <c r="J42" s="17" t="str">
        <f>IFERROR(IF(G42&gt;0, H42/G42, 0),"-")</f>
        <v>-</v>
      </c>
      <c r="K42" s="15">
        <v>15</v>
      </c>
      <c r="L42" s="16" t="s">
        <v>142</v>
      </c>
      <c r="M42" s="15">
        <f>IF(OR(L42="-",L42="",L42=0),IF(K42="-","-",K42),K42-L42)</f>
        <v>15</v>
      </c>
      <c r="N42" s="17" t="str">
        <f>IFERROR(IF(K42&gt;0, L42/K42, 0),"-")</f>
        <v>-</v>
      </c>
      <c r="O42" s="15">
        <v>13</v>
      </c>
      <c r="P42" s="16" t="s">
        <v>142</v>
      </c>
      <c r="Q42" s="15">
        <f>IF(OR(P42="-",P42="",P42=0),IF(O42="-","-",O42),O42-P42)</f>
        <v>13</v>
      </c>
      <c r="R42" s="17" t="str">
        <f>IFERROR(IF(O42&gt;0, P42/O42, 0),"-")</f>
        <v>-</v>
      </c>
      <c r="S42" s="15">
        <v>28</v>
      </c>
      <c r="T42" s="15" t="s">
        <v>142</v>
      </c>
      <c r="U42" s="15" t="s">
        <v>142</v>
      </c>
      <c r="V42" s="16" t="s">
        <v>142</v>
      </c>
      <c r="W42" s="16" t="s">
        <v>142</v>
      </c>
      <c r="X42" s="21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3">
      <c r="B43" s="14" t="s">
        <v>18</v>
      </c>
      <c r="C43" s="15">
        <v>3005</v>
      </c>
      <c r="D43" s="16">
        <v>2881</v>
      </c>
      <c r="E43" s="15">
        <f>IF(OR(D43="-",D43="",D43=0),IF(C43="-","-",C43),C43-D43)</f>
        <v>124</v>
      </c>
      <c r="F43" s="17">
        <f>IFERROR(IF(C43&gt;0, D43/C43, 0),"-")</f>
        <v>0.95873544093178031</v>
      </c>
      <c r="G43" s="15">
        <v>31</v>
      </c>
      <c r="H43" s="16" t="s">
        <v>142</v>
      </c>
      <c r="I43" s="15">
        <f>IF(OR(H43="-",H43="",H43=0),IF(G43="-","-",G43),G43-H43)</f>
        <v>31</v>
      </c>
      <c r="J43" s="17" t="str">
        <f>IFERROR(IF(G43&gt;0, H43/G43, 0),"-")</f>
        <v>-</v>
      </c>
      <c r="K43" s="15">
        <v>18</v>
      </c>
      <c r="L43" s="16" t="s">
        <v>142</v>
      </c>
      <c r="M43" s="15">
        <f>IF(OR(L43="-",L43="",L43=0),IF(K43="-","-",K43),K43-L43)</f>
        <v>18</v>
      </c>
      <c r="N43" s="17" t="str">
        <f>IFERROR(IF(K43&gt;0, L43/K43, 0),"-")</f>
        <v>-</v>
      </c>
      <c r="O43" s="15">
        <v>6</v>
      </c>
      <c r="P43" s="16" t="s">
        <v>142</v>
      </c>
      <c r="Q43" s="15">
        <f>IF(OR(P43="-",P43="",P43=0),IF(O43="-","-",O43),O43-P43)</f>
        <v>6</v>
      </c>
      <c r="R43" s="17" t="str">
        <f>IFERROR(IF(O43&gt;0, P43/O43, 0),"-")</f>
        <v>-</v>
      </c>
      <c r="S43" s="15">
        <v>9</v>
      </c>
      <c r="T43" s="15" t="s">
        <v>142</v>
      </c>
      <c r="U43" s="15" t="s">
        <v>142</v>
      </c>
      <c r="V43" s="16" t="s">
        <v>142</v>
      </c>
      <c r="W43" s="16" t="s">
        <v>142</v>
      </c>
      <c r="X43" s="21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3">
      <c r="B44" s="14" t="s">
        <v>8</v>
      </c>
      <c r="C44" s="15">
        <v>2817</v>
      </c>
      <c r="D44" s="16">
        <v>2682</v>
      </c>
      <c r="E44" s="15">
        <f>IF(OR(D44="-",D44="",D44=0),IF(C44="-","-",C44),C44-D44)</f>
        <v>135</v>
      </c>
      <c r="F44" s="17">
        <f>IFERROR(IF(C44&gt;0, D44/C44, 0),"-")</f>
        <v>0.95207667731629397</v>
      </c>
      <c r="G44" s="15">
        <v>28</v>
      </c>
      <c r="H44" s="16" t="s">
        <v>142</v>
      </c>
      <c r="I44" s="15">
        <f>IF(OR(H44="-",H44="",H44=0),IF(G44="-","-",G44),G44-H44)</f>
        <v>28</v>
      </c>
      <c r="J44" s="17" t="str">
        <f>IFERROR(IF(G44&gt;0, H44/G44, 0),"-")</f>
        <v>-</v>
      </c>
      <c r="K44" s="15">
        <v>20</v>
      </c>
      <c r="L44" s="16" t="s">
        <v>142</v>
      </c>
      <c r="M44" s="15">
        <f>IF(OR(L44="-",L44="",L44=0),IF(K44="-","-",K44),K44-L44)</f>
        <v>20</v>
      </c>
      <c r="N44" s="17" t="str">
        <f>IFERROR(IF(K44&gt;0, L44/K44, 0),"-")</f>
        <v>-</v>
      </c>
      <c r="O44" s="15">
        <v>7</v>
      </c>
      <c r="P44" s="16" t="s">
        <v>142</v>
      </c>
      <c r="Q44" s="15">
        <f>IF(OR(P44="-",P44="",P44=0),IF(O44="-","-",O44),O44-P44)</f>
        <v>7</v>
      </c>
      <c r="R44" s="17" t="str">
        <f>IFERROR(IF(O44&gt;0, P44/O44, 0),"-")</f>
        <v>-</v>
      </c>
      <c r="S44" s="15">
        <v>8</v>
      </c>
      <c r="T44" s="15" t="s">
        <v>142</v>
      </c>
      <c r="U44" s="15" t="s">
        <v>142</v>
      </c>
      <c r="V44" s="16" t="s">
        <v>142</v>
      </c>
      <c r="W44" s="16" t="s">
        <v>142</v>
      </c>
      <c r="X44" s="21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3">
      <c r="B45" s="14" t="s">
        <v>6</v>
      </c>
      <c r="C45" s="15">
        <v>2282</v>
      </c>
      <c r="D45" s="16">
        <v>2161</v>
      </c>
      <c r="E45" s="15">
        <f>IF(OR(D45="-",D45="",D45=0),IF(C45="-","-",C45),C45-D45)</f>
        <v>121</v>
      </c>
      <c r="F45" s="17">
        <f>IFERROR(IF(C45&gt;0, D45/C45, 0),"-")</f>
        <v>0.94697633654688873</v>
      </c>
      <c r="G45" s="15">
        <v>42</v>
      </c>
      <c r="H45" s="16" t="s">
        <v>142</v>
      </c>
      <c r="I45" s="15">
        <f>IF(OR(H45="-",H45="",H45=0),IF(G45="-","-",G45),G45-H45)</f>
        <v>42</v>
      </c>
      <c r="J45" s="17" t="str">
        <f>IFERROR(IF(G45&gt;0, H45/G45, 0),"-")</f>
        <v>-</v>
      </c>
      <c r="K45" s="15">
        <v>22</v>
      </c>
      <c r="L45" s="16" t="s">
        <v>142</v>
      </c>
      <c r="M45" s="15">
        <f>IF(OR(L45="-",L45="",L45=0),IF(K45="-","-",K45),K45-L45)</f>
        <v>22</v>
      </c>
      <c r="N45" s="17" t="str">
        <f>IFERROR(IF(K45&gt;0, L45/K45, 0),"-")</f>
        <v>-</v>
      </c>
      <c r="O45" s="15">
        <v>13</v>
      </c>
      <c r="P45" s="16" t="s">
        <v>142</v>
      </c>
      <c r="Q45" s="15">
        <f>IF(OR(P45="-",P45="",P45=0),IF(O45="-","-",O45),O45-P45)</f>
        <v>13</v>
      </c>
      <c r="R45" s="17" t="str">
        <f>IFERROR(IF(O45&gt;0, P45/O45, 0),"-")</f>
        <v>-</v>
      </c>
      <c r="S45" s="15">
        <v>10</v>
      </c>
      <c r="T45" s="15" t="s">
        <v>142</v>
      </c>
      <c r="U45" s="15" t="s">
        <v>142</v>
      </c>
      <c r="V45" s="16" t="s">
        <v>142</v>
      </c>
      <c r="W45" s="16" t="s">
        <v>142</v>
      </c>
      <c r="X45" s="21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3">
      <c r="B46" s="14" t="s">
        <v>28</v>
      </c>
      <c r="C46" s="15">
        <v>1692</v>
      </c>
      <c r="D46" s="16">
        <v>1599</v>
      </c>
      <c r="E46" s="15">
        <f>IF(OR(D46="-",D46="",D46=0),IF(C46="-","-",C46),C46-D46)</f>
        <v>93</v>
      </c>
      <c r="F46" s="17">
        <f>IFERROR(IF(C46&gt;0, D46/C46, 0),"-")</f>
        <v>0.94503546099290781</v>
      </c>
      <c r="G46" s="15">
        <v>28</v>
      </c>
      <c r="H46" s="16" t="s">
        <v>142</v>
      </c>
      <c r="I46" s="15">
        <f>IF(OR(H46="-",H46="",H46=0),IF(G46="-","-",G46),G46-H46)</f>
        <v>28</v>
      </c>
      <c r="J46" s="17" t="str">
        <f>IFERROR(IF(G46&gt;0, H46/G46, 0),"-")</f>
        <v>-</v>
      </c>
      <c r="K46" s="15">
        <v>10</v>
      </c>
      <c r="L46" s="16" t="s">
        <v>142</v>
      </c>
      <c r="M46" s="15">
        <f>IF(OR(L46="-",L46="",L46=0),IF(K46="-","-",K46),K46-L46)</f>
        <v>10</v>
      </c>
      <c r="N46" s="17" t="str">
        <f>IFERROR(IF(K46&gt;0, L46/K46, 0),"-")</f>
        <v>-</v>
      </c>
      <c r="O46" s="15">
        <v>3</v>
      </c>
      <c r="P46" s="16" t="s">
        <v>142</v>
      </c>
      <c r="Q46" s="15">
        <f>IF(OR(P46="-",P46="",P46=0),IF(O46="-","-",O46),O46-P46)</f>
        <v>3</v>
      </c>
      <c r="R46" s="17" t="str">
        <f>IFERROR(IF(O46&gt;0, P46/O46, 0),"-")</f>
        <v>-</v>
      </c>
      <c r="S46" s="15">
        <v>4</v>
      </c>
      <c r="T46" s="15" t="s">
        <v>142</v>
      </c>
      <c r="U46" s="15" t="s">
        <v>142</v>
      </c>
      <c r="V46" s="16" t="s">
        <v>142</v>
      </c>
      <c r="W46" s="16" t="s">
        <v>142</v>
      </c>
      <c r="X46" s="21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3">
      <c r="B47" s="14" t="s">
        <v>29</v>
      </c>
      <c r="C47" s="15">
        <v>1639</v>
      </c>
      <c r="D47" s="16">
        <v>1545</v>
      </c>
      <c r="E47" s="15">
        <f>IF(OR(D47="-",D47="",D47=0),IF(C47="-","-",C47),C47-D47)</f>
        <v>94</v>
      </c>
      <c r="F47" s="17">
        <f>IFERROR(IF(C47&gt;0, D47/C47, 0),"-")</f>
        <v>0.9426479560707749</v>
      </c>
      <c r="G47" s="15">
        <v>28</v>
      </c>
      <c r="H47" s="16" t="s">
        <v>142</v>
      </c>
      <c r="I47" s="15">
        <f>IF(OR(H47="-",H47="",H47=0),IF(G47="-","-",G47),G47-H47)</f>
        <v>28</v>
      </c>
      <c r="J47" s="17" t="str">
        <f>IFERROR(IF(G47&gt;0, H47/G47, 0),"-")</f>
        <v>-</v>
      </c>
      <c r="K47" s="15">
        <v>13</v>
      </c>
      <c r="L47" s="16" t="s">
        <v>142</v>
      </c>
      <c r="M47" s="15">
        <f>IF(OR(L47="-",L47="",L47=0),IF(K47="-","-",K47),K47-L47)</f>
        <v>13</v>
      </c>
      <c r="N47" s="17" t="str">
        <f>IFERROR(IF(K47&gt;0, L47/K47, 0),"-")</f>
        <v>-</v>
      </c>
      <c r="O47" s="15">
        <v>2</v>
      </c>
      <c r="P47" s="16" t="s">
        <v>142</v>
      </c>
      <c r="Q47" s="15">
        <f>IF(OR(P47="-",P47="",P47=0),IF(O47="-","-",O47),O47-P47)</f>
        <v>2</v>
      </c>
      <c r="R47" s="17" t="str">
        <f>IFERROR(IF(O47&gt;0, P47/O47, 0),"-")</f>
        <v>-</v>
      </c>
      <c r="S47" s="15">
        <v>5</v>
      </c>
      <c r="T47" s="15" t="s">
        <v>142</v>
      </c>
      <c r="U47" s="15" t="s">
        <v>142</v>
      </c>
      <c r="V47" s="16" t="s">
        <v>142</v>
      </c>
      <c r="W47" s="16" t="s">
        <v>142</v>
      </c>
      <c r="X47" s="21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3">
      <c r="B48" s="14" t="s">
        <v>15</v>
      </c>
      <c r="C48" s="15">
        <v>2510</v>
      </c>
      <c r="D48" s="16">
        <v>2356</v>
      </c>
      <c r="E48" s="15">
        <f>IF(OR(D48="-",D48="",D48=0),IF(C48="-","-",C48),C48-D48)</f>
        <v>154</v>
      </c>
      <c r="F48" s="17">
        <f>IFERROR(IF(C48&gt;0, D48/C48, 0),"-")</f>
        <v>0.93864541832669324</v>
      </c>
      <c r="G48" s="15">
        <v>24</v>
      </c>
      <c r="H48" s="16" t="s">
        <v>142</v>
      </c>
      <c r="I48" s="15">
        <f>IF(OR(H48="-",H48="",H48=0),IF(G48="-","-",G48),G48-H48)</f>
        <v>24</v>
      </c>
      <c r="J48" s="17" t="str">
        <f>IFERROR(IF(G48&gt;0, H48/G48, 0),"-")</f>
        <v>-</v>
      </c>
      <c r="K48" s="15">
        <v>3</v>
      </c>
      <c r="L48" s="16" t="s">
        <v>142</v>
      </c>
      <c r="M48" s="15">
        <f>IF(OR(L48="-",L48="",L48=0),IF(K48="-","-",K48),K48-L48)</f>
        <v>3</v>
      </c>
      <c r="N48" s="17" t="str">
        <f>IFERROR(IF(K48&gt;0, L48/K48, 0),"-")</f>
        <v>-</v>
      </c>
      <c r="O48" s="15">
        <v>7</v>
      </c>
      <c r="P48" s="16" t="s">
        <v>142</v>
      </c>
      <c r="Q48" s="15">
        <f>IF(OR(P48="-",P48="",P48=0),IF(O48="-","-",O48),O48-P48)</f>
        <v>7</v>
      </c>
      <c r="R48" s="17" t="str">
        <f>IFERROR(IF(O48&gt;0, P48/O48, 0),"-")</f>
        <v>-</v>
      </c>
      <c r="S48" s="15">
        <v>21</v>
      </c>
      <c r="T48" s="15" t="s">
        <v>142</v>
      </c>
      <c r="U48" s="15" t="s">
        <v>142</v>
      </c>
      <c r="V48" s="16" t="s">
        <v>142</v>
      </c>
      <c r="W48" s="16" t="s">
        <v>142</v>
      </c>
      <c r="X48" s="21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3">
      <c r="B49" s="12" t="s">
        <v>138</v>
      </c>
      <c r="C49" s="13">
        <f>SUM(C19:C48)</f>
        <v>65151</v>
      </c>
      <c r="D49" s="13">
        <f>SUM(D19:D48)</f>
        <v>63203</v>
      </c>
      <c r="E49" s="13">
        <f>C49-D49</f>
        <v>1948</v>
      </c>
      <c r="F49" s="18">
        <f>IF(C49&gt;0, D49/C49, 0)</f>
        <v>0.97010022869948276</v>
      </c>
      <c r="G49" s="13">
        <f>SUM(G19:G48)</f>
        <v>517</v>
      </c>
      <c r="H49" s="13">
        <f>SUM(H19:H48)</f>
        <v>0</v>
      </c>
      <c r="I49" s="13">
        <f>G49-H49</f>
        <v>517</v>
      </c>
      <c r="J49" s="18">
        <f>IF(G49&gt;0, H49/G49, 0)</f>
        <v>0</v>
      </c>
      <c r="K49" s="13">
        <f>SUM(K19:K48)</f>
        <v>266</v>
      </c>
      <c r="L49" s="13">
        <f>SUM(L19:L48)</f>
        <v>0</v>
      </c>
      <c r="M49" s="13">
        <f>K49-L49</f>
        <v>266</v>
      </c>
      <c r="N49" s="18">
        <f>IF(K49&gt;0, L49/K49, 0)</f>
        <v>0</v>
      </c>
      <c r="O49" s="13">
        <f>SUM(O19:O48)</f>
        <v>202</v>
      </c>
      <c r="P49" s="13">
        <f>SUM(P19:P48)</f>
        <v>0</v>
      </c>
      <c r="Q49" s="13">
        <f>O49-P49</f>
        <v>202</v>
      </c>
      <c r="R49" s="18">
        <f>IF(O49&gt;0, P49/O49, 0)</f>
        <v>0</v>
      </c>
      <c r="S49" s="13">
        <f>SUM(S19:S48)</f>
        <v>323</v>
      </c>
      <c r="T49" s="13">
        <f>SUM(T19:T48)</f>
        <v>0</v>
      </c>
      <c r="U49" s="13">
        <f>SUM(U19:U48)</f>
        <v>0</v>
      </c>
      <c r="V49" s="13">
        <f>SUM(V19:V48)</f>
        <v>0</v>
      </c>
      <c r="W49" s="13">
        <f>SUM(W19:W48)</f>
        <v>0</v>
      </c>
      <c r="X49" s="22" t="s">
        <v>142</v>
      </c>
      <c r="Y49" s="22" t="s">
        <v>142</v>
      </c>
    </row>
    <row r="53" spans="2:25" x14ac:dyDescent="0.3">
      <c r="B53" s="2" t="s">
        <v>180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3">
      <c r="B54" s="4" t="s">
        <v>139</v>
      </c>
      <c r="C54" s="2" t="s">
        <v>154</v>
      </c>
      <c r="D54" s="2"/>
      <c r="E54" s="2"/>
      <c r="F54" s="2"/>
      <c r="G54" s="2" t="s">
        <v>155</v>
      </c>
      <c r="H54" s="2"/>
      <c r="I54" s="2"/>
      <c r="J54" s="2"/>
      <c r="K54" s="2" t="s">
        <v>156</v>
      </c>
      <c r="L54" s="2"/>
      <c r="M54" s="2"/>
      <c r="N54" s="2"/>
      <c r="O54" s="2" t="s">
        <v>145</v>
      </c>
      <c r="P54" s="2"/>
      <c r="Q54" s="2"/>
      <c r="R54" s="2"/>
      <c r="S54" s="2" t="s">
        <v>136</v>
      </c>
      <c r="T54" s="2"/>
      <c r="U54" s="2"/>
      <c r="V54" s="2"/>
      <c r="W54" s="2"/>
      <c r="X54" s="5" t="s">
        <v>157</v>
      </c>
      <c r="Y54" s="5"/>
    </row>
    <row r="55" spans="2:25" x14ac:dyDescent="0.3">
      <c r="B55" s="4"/>
      <c r="C55" s="6" t="s">
        <v>146</v>
      </c>
      <c r="D55" s="7" t="s">
        <v>158</v>
      </c>
      <c r="E55" s="6" t="s">
        <v>140</v>
      </c>
      <c r="F55" s="8" t="s">
        <v>141</v>
      </c>
      <c r="G55" s="6" t="s">
        <v>146</v>
      </c>
      <c r="H55" s="7" t="s">
        <v>158</v>
      </c>
      <c r="I55" s="6" t="s">
        <v>159</v>
      </c>
      <c r="J55" s="8" t="s">
        <v>141</v>
      </c>
      <c r="K55" s="6" t="s">
        <v>146</v>
      </c>
      <c r="L55" s="7" t="s">
        <v>158</v>
      </c>
      <c r="M55" s="6" t="s">
        <v>159</v>
      </c>
      <c r="N55" s="8" t="s">
        <v>141</v>
      </c>
      <c r="O55" s="6" t="s">
        <v>146</v>
      </c>
      <c r="P55" s="7" t="s">
        <v>158</v>
      </c>
      <c r="Q55" s="6" t="s">
        <v>159</v>
      </c>
      <c r="R55" s="8" t="s">
        <v>141</v>
      </c>
      <c r="S55" s="6" t="s">
        <v>146</v>
      </c>
      <c r="T55" s="2" t="s">
        <v>147</v>
      </c>
      <c r="U55" s="2"/>
      <c r="V55" s="2" t="s">
        <v>148</v>
      </c>
      <c r="W55" s="2"/>
      <c r="X55" s="19" t="s">
        <v>160</v>
      </c>
      <c r="Y55" s="20" t="s">
        <v>161</v>
      </c>
    </row>
    <row r="56" spans="2:25" x14ac:dyDescent="0.3">
      <c r="C56" s="6"/>
      <c r="D56" s="7"/>
      <c r="E56" s="6"/>
      <c r="F56" s="8"/>
      <c r="G56" s="6"/>
      <c r="H56" s="7"/>
      <c r="I56" s="6"/>
      <c r="J56" s="8"/>
      <c r="K56" s="6"/>
      <c r="L56" s="7"/>
      <c r="M56" s="6"/>
      <c r="N56" s="8"/>
      <c r="O56" s="6"/>
      <c r="P56" s="7"/>
      <c r="Q56" s="6"/>
      <c r="R56" s="8"/>
      <c r="S56" s="6"/>
      <c r="T56" s="9" t="s">
        <v>149</v>
      </c>
      <c r="U56" s="9" t="s">
        <v>150</v>
      </c>
      <c r="V56" s="9" t="s">
        <v>149</v>
      </c>
      <c r="W56" s="9" t="s">
        <v>150</v>
      </c>
      <c r="X56" s="10"/>
      <c r="Y56" s="11"/>
    </row>
    <row r="57" spans="2:25" x14ac:dyDescent="0.3">
      <c r="B57" s="14" t="s">
        <v>116</v>
      </c>
      <c r="C57" s="15">
        <v>508</v>
      </c>
      <c r="D57" s="16">
        <v>507</v>
      </c>
      <c r="E57" s="15">
        <f>IF(OR(D57="-",D57="",D57=0),IF(C57="-","-",C57),C57-D57)</f>
        <v>1</v>
      </c>
      <c r="F57" s="17">
        <f>IFERROR(IF(C57&gt;0, D57/C57, 0),"-")</f>
        <v>0.99803149606299213</v>
      </c>
      <c r="G57" s="15">
        <v>1</v>
      </c>
      <c r="H57" s="16" t="s">
        <v>142</v>
      </c>
      <c r="I57" s="15">
        <f>IF(OR(H57="-",H57="",H57=0),IF(G57="-","-",G57),G57-H57)</f>
        <v>1</v>
      </c>
      <c r="J57" s="17" t="str">
        <f>IFERROR(IF(G57&gt;0, H57/G57, 0),"-")</f>
        <v>-</v>
      </c>
      <c r="K57" s="15" t="s">
        <v>142</v>
      </c>
      <c r="L57" s="16" t="s">
        <v>142</v>
      </c>
      <c r="M57" s="15" t="str">
        <f>IF(OR(L57="-",L57="",L57=0),IF(K57="-","-",K57),K57-L57)</f>
        <v>-</v>
      </c>
      <c r="N57" s="17" t="str">
        <f>IFERROR(IF(K57&gt;0, L57/K57, 0),"-")</f>
        <v>-</v>
      </c>
      <c r="O57" s="15" t="s">
        <v>142</v>
      </c>
      <c r="P57" s="16" t="s">
        <v>142</v>
      </c>
      <c r="Q57" s="15" t="str">
        <f>IF(OR(P57="-",P57="",P57=0),IF(O57="-","-",O57),O57-P57)</f>
        <v>-</v>
      </c>
      <c r="R57" s="17" t="str">
        <f>IFERROR(IF(O57&gt;0, P57/O57, 0),"-")</f>
        <v>-</v>
      </c>
      <c r="S57" s="15" t="s">
        <v>142</v>
      </c>
      <c r="T57" s="15" t="s">
        <v>142</v>
      </c>
      <c r="U57" s="15" t="s">
        <v>142</v>
      </c>
      <c r="V57" s="16" t="s">
        <v>142</v>
      </c>
      <c r="W57" s="16" t="s">
        <v>142</v>
      </c>
      <c r="X57" s="21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3">
      <c r="B58" s="14" t="s">
        <v>51</v>
      </c>
      <c r="C58" s="15">
        <v>469</v>
      </c>
      <c r="D58" s="16">
        <v>468</v>
      </c>
      <c r="E58" s="15">
        <f>IF(OR(D58="-",D58="",D58=0),IF(C58="-","-",C58),C58-D58)</f>
        <v>1</v>
      </c>
      <c r="F58" s="17">
        <f>IFERROR(IF(C58&gt;0, D58/C58, 0),"-")</f>
        <v>0.99786780383795304</v>
      </c>
      <c r="G58" s="15">
        <v>1</v>
      </c>
      <c r="H58" s="16" t="s">
        <v>142</v>
      </c>
      <c r="I58" s="15">
        <f>IF(OR(H58="-",H58="",H58=0),IF(G58="-","-",G58),G58-H58)</f>
        <v>1</v>
      </c>
      <c r="J58" s="17" t="str">
        <f>IFERROR(IF(G58&gt;0, H58/G58, 0),"-")</f>
        <v>-</v>
      </c>
      <c r="K58" s="15">
        <v>3</v>
      </c>
      <c r="L58" s="16" t="s">
        <v>142</v>
      </c>
      <c r="M58" s="15">
        <f>IF(OR(L58="-",L58="",L58=0),IF(K58="-","-",K58),K58-L58)</f>
        <v>3</v>
      </c>
      <c r="N58" s="17" t="str">
        <f>IFERROR(IF(K58&gt;0, L58/K58, 0),"-")</f>
        <v>-</v>
      </c>
      <c r="O58" s="15" t="s">
        <v>142</v>
      </c>
      <c r="P58" s="16" t="s">
        <v>142</v>
      </c>
      <c r="Q58" s="15" t="str">
        <f>IF(OR(P58="-",P58="",P58=0),IF(O58="-","-",O58),O58-P58)</f>
        <v>-</v>
      </c>
      <c r="R58" s="17" t="str">
        <f>IFERROR(IF(O58&gt;0, P58/O58, 0),"-")</f>
        <v>-</v>
      </c>
      <c r="S58" s="15">
        <v>4</v>
      </c>
      <c r="T58" s="15" t="s">
        <v>142</v>
      </c>
      <c r="U58" s="15" t="s">
        <v>142</v>
      </c>
      <c r="V58" s="16" t="s">
        <v>142</v>
      </c>
      <c r="W58" s="16" t="s">
        <v>142</v>
      </c>
      <c r="X58" s="21">
        <f>RANK(F58,$F$57:$F$183,0)</f>
        <v>2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3">
      <c r="B59" s="14" t="s">
        <v>132</v>
      </c>
      <c r="C59" s="15">
        <v>592</v>
      </c>
      <c r="D59" s="16">
        <v>590</v>
      </c>
      <c r="E59" s="15">
        <f>IF(OR(D59="-",D59="",D59=0),IF(C59="-","-",C59),C59-D59)</f>
        <v>2</v>
      </c>
      <c r="F59" s="17">
        <f>IFERROR(IF(C59&gt;0, D59/C59, 0),"-")</f>
        <v>0.9966216216216216</v>
      </c>
      <c r="G59" s="15">
        <v>6</v>
      </c>
      <c r="H59" s="16" t="s">
        <v>142</v>
      </c>
      <c r="I59" s="15">
        <f>IF(OR(H59="-",H59="",H59=0),IF(G59="-","-",G59),G59-H59)</f>
        <v>6</v>
      </c>
      <c r="J59" s="17" t="str">
        <f>IFERROR(IF(G59&gt;0, H59/G59, 0),"-")</f>
        <v>-</v>
      </c>
      <c r="K59" s="15" t="s">
        <v>142</v>
      </c>
      <c r="L59" s="16" t="s">
        <v>142</v>
      </c>
      <c r="M59" s="15" t="str">
        <f>IF(OR(L59="-",L59="",L59=0),IF(K59="-","-",K59),K59-L59)</f>
        <v>-</v>
      </c>
      <c r="N59" s="17" t="str">
        <f>IFERROR(IF(K59&gt;0, L59/K59, 0),"-")</f>
        <v>-</v>
      </c>
      <c r="O59" s="15" t="s">
        <v>142</v>
      </c>
      <c r="P59" s="16" t="s">
        <v>142</v>
      </c>
      <c r="Q59" s="15" t="str">
        <f>IF(OR(P59="-",P59="",P59=0),IF(O59="-","-",O59),O59-P59)</f>
        <v>-</v>
      </c>
      <c r="R59" s="17" t="str">
        <f>IFERROR(IF(O59&gt;0, P59/O59, 0),"-")</f>
        <v>-</v>
      </c>
      <c r="S59" s="15">
        <v>1</v>
      </c>
      <c r="T59" s="15" t="s">
        <v>142</v>
      </c>
      <c r="U59" s="15" t="s">
        <v>142</v>
      </c>
      <c r="V59" s="16" t="s">
        <v>142</v>
      </c>
      <c r="W59" s="16" t="s">
        <v>142</v>
      </c>
      <c r="X59" s="21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3">
      <c r="B60" s="14" t="s">
        <v>111</v>
      </c>
      <c r="C60" s="15">
        <v>483</v>
      </c>
      <c r="D60" s="16">
        <v>481</v>
      </c>
      <c r="E60" s="15">
        <f>IF(OR(D60="-",D60="",D60=0),IF(C60="-","-",C60),C60-D60)</f>
        <v>2</v>
      </c>
      <c r="F60" s="17">
        <f>IFERROR(IF(C60&gt;0, D60/C60, 0),"-")</f>
        <v>0.99585921325051763</v>
      </c>
      <c r="G60" s="15" t="s">
        <v>142</v>
      </c>
      <c r="H60" s="16" t="s">
        <v>142</v>
      </c>
      <c r="I60" s="15" t="str">
        <f>IF(OR(H60="-",H60="",H60=0),IF(G60="-","-",G60),G60-H60)</f>
        <v>-</v>
      </c>
      <c r="J60" s="17" t="str">
        <f>IFERROR(IF(G60&gt;0, H60/G60, 0),"-")</f>
        <v>-</v>
      </c>
      <c r="K60" s="15" t="s">
        <v>142</v>
      </c>
      <c r="L60" s="16" t="s">
        <v>142</v>
      </c>
      <c r="M60" s="15" t="str">
        <f>IF(OR(L60="-",L60="",L60=0),IF(K60="-","-",K60),K60-L60)</f>
        <v>-</v>
      </c>
      <c r="N60" s="17" t="str">
        <f>IFERROR(IF(K60&gt;0, L60/K60, 0),"-")</f>
        <v>-</v>
      </c>
      <c r="O60" s="15" t="s">
        <v>142</v>
      </c>
      <c r="P60" s="16" t="s">
        <v>142</v>
      </c>
      <c r="Q60" s="15" t="str">
        <f>IF(OR(P60="-",P60="",P60=0),IF(O60="-","-",O60),O60-P60)</f>
        <v>-</v>
      </c>
      <c r="R60" s="17" t="str">
        <f>IFERROR(IF(O60&gt;0, P60/O60, 0),"-")</f>
        <v>-</v>
      </c>
      <c r="S60" s="15" t="s">
        <v>142</v>
      </c>
      <c r="T60" s="15" t="s">
        <v>142</v>
      </c>
      <c r="U60" s="15" t="s">
        <v>142</v>
      </c>
      <c r="V60" s="16" t="s">
        <v>142</v>
      </c>
      <c r="W60" s="16" t="s">
        <v>142</v>
      </c>
      <c r="X60" s="21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3">
      <c r="B61" s="14" t="s">
        <v>37</v>
      </c>
      <c r="C61" s="15">
        <v>474</v>
      </c>
      <c r="D61" s="16">
        <v>472</v>
      </c>
      <c r="E61" s="15">
        <f>IF(OR(D61="-",D61="",D61=0),IF(C61="-","-",C61),C61-D61)</f>
        <v>2</v>
      </c>
      <c r="F61" s="17">
        <f>IFERROR(IF(C61&gt;0, D61/C61, 0),"-")</f>
        <v>0.99578059071729963</v>
      </c>
      <c r="G61" s="15" t="s">
        <v>142</v>
      </c>
      <c r="H61" s="16" t="s">
        <v>142</v>
      </c>
      <c r="I61" s="15" t="str">
        <f>IF(OR(H61="-",H61="",H61=0),IF(G61="-","-",G61),G61-H61)</f>
        <v>-</v>
      </c>
      <c r="J61" s="17" t="str">
        <f>IFERROR(IF(G61&gt;0, H61/G61, 0),"-")</f>
        <v>-</v>
      </c>
      <c r="K61" s="15" t="s">
        <v>142</v>
      </c>
      <c r="L61" s="16" t="s">
        <v>142</v>
      </c>
      <c r="M61" s="15" t="str">
        <f>IF(OR(L61="-",L61="",L61=0),IF(K61="-","-",K61),K61-L61)</f>
        <v>-</v>
      </c>
      <c r="N61" s="17" t="str">
        <f>IFERROR(IF(K61&gt;0, L61/K61, 0),"-")</f>
        <v>-</v>
      </c>
      <c r="O61" s="15">
        <v>1</v>
      </c>
      <c r="P61" s="16" t="s">
        <v>142</v>
      </c>
      <c r="Q61" s="15">
        <f>IF(OR(P61="-",P61="",P61=0),IF(O61="-","-",O61),O61-P61)</f>
        <v>1</v>
      </c>
      <c r="R61" s="17" t="str">
        <f>IFERROR(IF(O61&gt;0, P61/O61, 0),"-")</f>
        <v>-</v>
      </c>
      <c r="S61" s="15" t="s">
        <v>142</v>
      </c>
      <c r="T61" s="15" t="s">
        <v>142</v>
      </c>
      <c r="U61" s="15" t="s">
        <v>142</v>
      </c>
      <c r="V61" s="16" t="s">
        <v>142</v>
      </c>
      <c r="W61" s="16" t="s">
        <v>142</v>
      </c>
      <c r="X61" s="21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3">
      <c r="B62" s="14" t="s">
        <v>109</v>
      </c>
      <c r="C62" s="15">
        <v>383</v>
      </c>
      <c r="D62" s="16">
        <v>381</v>
      </c>
      <c r="E62" s="15">
        <f>IF(OR(D62="-",D62="",D62=0),IF(C62="-","-",C62),C62-D62)</f>
        <v>2</v>
      </c>
      <c r="F62" s="17">
        <f>IFERROR(IF(C62&gt;0, D62/C62, 0),"-")</f>
        <v>0.99477806788511747</v>
      </c>
      <c r="G62" s="15">
        <v>3</v>
      </c>
      <c r="H62" s="16" t="s">
        <v>142</v>
      </c>
      <c r="I62" s="15">
        <f>IF(OR(H62="-",H62="",H62=0),IF(G62="-","-",G62),G62-H62)</f>
        <v>3</v>
      </c>
      <c r="J62" s="17" t="str">
        <f>IFERROR(IF(G62&gt;0, H62/G62, 0),"-")</f>
        <v>-</v>
      </c>
      <c r="K62" s="15" t="s">
        <v>142</v>
      </c>
      <c r="L62" s="16" t="s">
        <v>142</v>
      </c>
      <c r="M62" s="15" t="str">
        <f>IF(OR(L62="-",L62="",L62=0),IF(K62="-","-",K62),K62-L62)</f>
        <v>-</v>
      </c>
      <c r="N62" s="17" t="str">
        <f>IFERROR(IF(K62&gt;0, L62/K62, 0),"-")</f>
        <v>-</v>
      </c>
      <c r="O62" s="15">
        <v>2</v>
      </c>
      <c r="P62" s="16" t="s">
        <v>142</v>
      </c>
      <c r="Q62" s="15">
        <f>IF(OR(P62="-",P62="",P62=0),IF(O62="-","-",O62),O62-P62)</f>
        <v>2</v>
      </c>
      <c r="R62" s="17" t="str">
        <f>IFERROR(IF(O62&gt;0, P62/O62, 0),"-")</f>
        <v>-</v>
      </c>
      <c r="S62" s="15">
        <v>5</v>
      </c>
      <c r="T62" s="15" t="s">
        <v>142</v>
      </c>
      <c r="U62" s="15" t="s">
        <v>142</v>
      </c>
      <c r="V62" s="16" t="s">
        <v>142</v>
      </c>
      <c r="W62" s="16" t="s">
        <v>142</v>
      </c>
      <c r="X62" s="21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3">
      <c r="B63" s="14" t="s">
        <v>107</v>
      </c>
      <c r="C63" s="15">
        <v>315</v>
      </c>
      <c r="D63" s="16">
        <v>313</v>
      </c>
      <c r="E63" s="15">
        <f>IF(OR(D63="-",D63="",D63=0),IF(C63="-","-",C63),C63-D63)</f>
        <v>2</v>
      </c>
      <c r="F63" s="17">
        <f>IFERROR(IF(C63&gt;0, D63/C63, 0),"-")</f>
        <v>0.99365079365079367</v>
      </c>
      <c r="G63" s="15">
        <v>1</v>
      </c>
      <c r="H63" s="16" t="s">
        <v>142</v>
      </c>
      <c r="I63" s="15">
        <f>IF(OR(H63="-",H63="",H63=0),IF(G63="-","-",G63),G63-H63)</f>
        <v>1</v>
      </c>
      <c r="J63" s="17" t="str">
        <f>IFERROR(IF(G63&gt;0, H63/G63, 0),"-")</f>
        <v>-</v>
      </c>
      <c r="K63" s="15" t="s">
        <v>142</v>
      </c>
      <c r="L63" s="16" t="s">
        <v>142</v>
      </c>
      <c r="M63" s="15" t="str">
        <f>IF(OR(L63="-",L63="",L63=0),IF(K63="-","-",K63),K63-L63)</f>
        <v>-</v>
      </c>
      <c r="N63" s="17" t="str">
        <f>IFERROR(IF(K63&gt;0, L63/K63, 0),"-")</f>
        <v>-</v>
      </c>
      <c r="O63" s="15" t="s">
        <v>142</v>
      </c>
      <c r="P63" s="16" t="s">
        <v>142</v>
      </c>
      <c r="Q63" s="15" t="str">
        <f>IF(OR(P63="-",P63="",P63=0),IF(O63="-","-",O63),O63-P63)</f>
        <v>-</v>
      </c>
      <c r="R63" s="17" t="str">
        <f>IFERROR(IF(O63&gt;0, P63/O63, 0),"-")</f>
        <v>-</v>
      </c>
      <c r="S63" s="15" t="s">
        <v>142</v>
      </c>
      <c r="T63" s="15" t="s">
        <v>142</v>
      </c>
      <c r="U63" s="15" t="s">
        <v>142</v>
      </c>
      <c r="V63" s="16" t="s">
        <v>142</v>
      </c>
      <c r="W63" s="16" t="s">
        <v>142</v>
      </c>
      <c r="X63" s="21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3">
      <c r="B64" s="14" t="s">
        <v>101</v>
      </c>
      <c r="C64" s="15">
        <v>313</v>
      </c>
      <c r="D64" s="16">
        <v>311</v>
      </c>
      <c r="E64" s="15">
        <f>IF(OR(D64="-",D64="",D64=0),IF(C64="-","-",C64),C64-D64)</f>
        <v>2</v>
      </c>
      <c r="F64" s="17">
        <f>IFERROR(IF(C64&gt;0, D64/C64, 0),"-")</f>
        <v>0.99361022364217255</v>
      </c>
      <c r="G64" s="15" t="s">
        <v>142</v>
      </c>
      <c r="H64" s="16" t="s">
        <v>142</v>
      </c>
      <c r="I64" s="15" t="str">
        <f>IF(OR(H64="-",H64="",H64=0),IF(G64="-","-",G64),G64-H64)</f>
        <v>-</v>
      </c>
      <c r="J64" s="17" t="str">
        <f>IFERROR(IF(G64&gt;0, H64/G64, 0),"-")</f>
        <v>-</v>
      </c>
      <c r="K64" s="15" t="s">
        <v>142</v>
      </c>
      <c r="L64" s="16" t="s">
        <v>142</v>
      </c>
      <c r="M64" s="15" t="str">
        <f>IF(OR(L64="-",L64="",L64=0),IF(K64="-","-",K64),K64-L64)</f>
        <v>-</v>
      </c>
      <c r="N64" s="17" t="str">
        <f>IFERROR(IF(K64&gt;0, L64/K64, 0),"-")</f>
        <v>-</v>
      </c>
      <c r="O64" s="15" t="s">
        <v>142</v>
      </c>
      <c r="P64" s="16" t="s">
        <v>142</v>
      </c>
      <c r="Q64" s="15" t="str">
        <f>IF(OR(P64="-",P64="",P64=0),IF(O64="-","-",O64),O64-P64)</f>
        <v>-</v>
      </c>
      <c r="R64" s="17" t="str">
        <f>IFERROR(IF(O64&gt;0, P64/O64, 0),"-")</f>
        <v>-</v>
      </c>
      <c r="S64" s="15" t="s">
        <v>142</v>
      </c>
      <c r="T64" s="15" t="s">
        <v>142</v>
      </c>
      <c r="U64" s="15" t="s">
        <v>142</v>
      </c>
      <c r="V64" s="16" t="s">
        <v>142</v>
      </c>
      <c r="W64" s="16" t="s">
        <v>142</v>
      </c>
      <c r="X64" s="21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3">
      <c r="B65" s="14" t="s">
        <v>26</v>
      </c>
      <c r="C65" s="15">
        <v>419</v>
      </c>
      <c r="D65" s="16">
        <v>416</v>
      </c>
      <c r="E65" s="15">
        <f>IF(OR(D65="-",D65="",D65=0),IF(C65="-","-",C65),C65-D65)</f>
        <v>3</v>
      </c>
      <c r="F65" s="17">
        <f>IFERROR(IF(C65&gt;0, D65/C65, 0),"-")</f>
        <v>0.99284009546539376</v>
      </c>
      <c r="G65" s="15" t="s">
        <v>142</v>
      </c>
      <c r="H65" s="16" t="s">
        <v>142</v>
      </c>
      <c r="I65" s="15" t="str">
        <f>IF(OR(H65="-",H65="",H65=0),IF(G65="-","-",G65),G65-H65)</f>
        <v>-</v>
      </c>
      <c r="J65" s="17" t="str">
        <f>IFERROR(IF(G65&gt;0, H65/G65, 0),"-")</f>
        <v>-</v>
      </c>
      <c r="K65" s="15">
        <v>1</v>
      </c>
      <c r="L65" s="16" t="s">
        <v>142</v>
      </c>
      <c r="M65" s="15">
        <f>IF(OR(L65="-",L65="",L65=0),IF(K65="-","-",K65),K65-L65)</f>
        <v>1</v>
      </c>
      <c r="N65" s="17" t="str">
        <f>IFERROR(IF(K65&gt;0, L65/K65, 0),"-")</f>
        <v>-</v>
      </c>
      <c r="O65" s="15" t="s">
        <v>142</v>
      </c>
      <c r="P65" s="16" t="s">
        <v>142</v>
      </c>
      <c r="Q65" s="15" t="str">
        <f>IF(OR(P65="-",P65="",P65=0),IF(O65="-","-",O65),O65-P65)</f>
        <v>-</v>
      </c>
      <c r="R65" s="17" t="str">
        <f>IFERROR(IF(O65&gt;0, P65/O65, 0),"-")</f>
        <v>-</v>
      </c>
      <c r="S65" s="15">
        <v>1</v>
      </c>
      <c r="T65" s="15" t="s">
        <v>142</v>
      </c>
      <c r="U65" s="15" t="s">
        <v>142</v>
      </c>
      <c r="V65" s="16" t="s">
        <v>142</v>
      </c>
      <c r="W65" s="16" t="s">
        <v>142</v>
      </c>
      <c r="X65" s="21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3">
      <c r="B66" s="14" t="s">
        <v>36</v>
      </c>
      <c r="C66" s="15">
        <v>274</v>
      </c>
      <c r="D66" s="16">
        <v>272</v>
      </c>
      <c r="E66" s="15">
        <f>IF(OR(D66="-",D66="",D66=0),IF(C66="-","-",C66),C66-D66)</f>
        <v>2</v>
      </c>
      <c r="F66" s="17">
        <f>IFERROR(IF(C66&gt;0, D66/C66, 0),"-")</f>
        <v>0.99270072992700731</v>
      </c>
      <c r="G66" s="15">
        <v>1</v>
      </c>
      <c r="H66" s="16" t="s">
        <v>142</v>
      </c>
      <c r="I66" s="15">
        <f>IF(OR(H66="-",H66="",H66=0),IF(G66="-","-",G66),G66-H66)</f>
        <v>1</v>
      </c>
      <c r="J66" s="17" t="str">
        <f>IFERROR(IF(G66&gt;0, H66/G66, 0),"-")</f>
        <v>-</v>
      </c>
      <c r="K66" s="15">
        <v>1</v>
      </c>
      <c r="L66" s="16" t="s">
        <v>142</v>
      </c>
      <c r="M66" s="15">
        <f>IF(OR(L66="-",L66="",L66=0),IF(K66="-","-",K66),K66-L66)</f>
        <v>1</v>
      </c>
      <c r="N66" s="17" t="str">
        <f>IFERROR(IF(K66&gt;0, L66/K66, 0),"-")</f>
        <v>-</v>
      </c>
      <c r="O66" s="15" t="s">
        <v>142</v>
      </c>
      <c r="P66" s="16" t="s">
        <v>142</v>
      </c>
      <c r="Q66" s="15" t="str">
        <f>IF(OR(P66="-",P66="",P66=0),IF(O66="-","-",O66),O66-P66)</f>
        <v>-</v>
      </c>
      <c r="R66" s="17" t="str">
        <f>IFERROR(IF(O66&gt;0, P66/O66, 0),"-")</f>
        <v>-</v>
      </c>
      <c r="S66" s="15" t="s">
        <v>142</v>
      </c>
      <c r="T66" s="15" t="s">
        <v>142</v>
      </c>
      <c r="U66" s="15" t="s">
        <v>142</v>
      </c>
      <c r="V66" s="16" t="s">
        <v>142</v>
      </c>
      <c r="W66" s="16" t="s">
        <v>142</v>
      </c>
      <c r="X66" s="21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3">
      <c r="B67" s="14" t="s">
        <v>54</v>
      </c>
      <c r="C67" s="15">
        <v>531</v>
      </c>
      <c r="D67" s="16">
        <v>527</v>
      </c>
      <c r="E67" s="15">
        <f>IF(OR(D67="-",D67="",D67=0),IF(C67="-","-",C67),C67-D67)</f>
        <v>4</v>
      </c>
      <c r="F67" s="17">
        <f>IFERROR(IF(C67&gt;0, D67/C67, 0),"-")</f>
        <v>0.99246704331450097</v>
      </c>
      <c r="G67" s="15">
        <v>5</v>
      </c>
      <c r="H67" s="16" t="s">
        <v>142</v>
      </c>
      <c r="I67" s="15">
        <f>IF(OR(H67="-",H67="",H67=0),IF(G67="-","-",G67),G67-H67)</f>
        <v>5</v>
      </c>
      <c r="J67" s="17" t="str">
        <f>IFERROR(IF(G67&gt;0, H67/G67, 0),"-")</f>
        <v>-</v>
      </c>
      <c r="K67" s="15">
        <v>4</v>
      </c>
      <c r="L67" s="16" t="s">
        <v>142</v>
      </c>
      <c r="M67" s="15">
        <f>IF(OR(L67="-",L67="",L67=0),IF(K67="-","-",K67),K67-L67)</f>
        <v>4</v>
      </c>
      <c r="N67" s="17" t="str">
        <f>IFERROR(IF(K67&gt;0, L67/K67, 0),"-")</f>
        <v>-</v>
      </c>
      <c r="O67" s="15">
        <v>2</v>
      </c>
      <c r="P67" s="16" t="s">
        <v>142</v>
      </c>
      <c r="Q67" s="15">
        <f>IF(OR(P67="-",P67="",P67=0),IF(O67="-","-",O67),O67-P67)</f>
        <v>2</v>
      </c>
      <c r="R67" s="17" t="str">
        <f>IFERROR(IF(O67&gt;0, P67/O67, 0),"-")</f>
        <v>-</v>
      </c>
      <c r="S67" s="15" t="s">
        <v>142</v>
      </c>
      <c r="T67" s="15" t="s">
        <v>142</v>
      </c>
      <c r="U67" s="15" t="s">
        <v>142</v>
      </c>
      <c r="V67" s="16" t="s">
        <v>142</v>
      </c>
      <c r="W67" s="16" t="s">
        <v>142</v>
      </c>
      <c r="X67" s="21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3">
      <c r="B68" s="14" t="s">
        <v>70</v>
      </c>
      <c r="C68" s="15">
        <v>462</v>
      </c>
      <c r="D68" s="16">
        <v>458</v>
      </c>
      <c r="E68" s="15">
        <f>IF(OR(D68="-",D68="",D68=0),IF(C68="-","-",C68),C68-D68)</f>
        <v>4</v>
      </c>
      <c r="F68" s="17">
        <f>IFERROR(IF(C68&gt;0, D68/C68, 0),"-")</f>
        <v>0.9913419913419913</v>
      </c>
      <c r="G68" s="15" t="s">
        <v>142</v>
      </c>
      <c r="H68" s="16" t="s">
        <v>142</v>
      </c>
      <c r="I68" s="15" t="str">
        <f>IF(OR(H68="-",H68="",H68=0),IF(G68="-","-",G68),G68-H68)</f>
        <v>-</v>
      </c>
      <c r="J68" s="17" t="str">
        <f>IFERROR(IF(G68&gt;0, H68/G68, 0),"-")</f>
        <v>-</v>
      </c>
      <c r="K68" s="15" t="s">
        <v>142</v>
      </c>
      <c r="L68" s="16" t="s">
        <v>142</v>
      </c>
      <c r="M68" s="15" t="str">
        <f>IF(OR(L68="-",L68="",L68=0),IF(K68="-","-",K68),K68-L68)</f>
        <v>-</v>
      </c>
      <c r="N68" s="17" t="str">
        <f>IFERROR(IF(K68&gt;0, L68/K68, 0),"-")</f>
        <v>-</v>
      </c>
      <c r="O68" s="15">
        <v>2</v>
      </c>
      <c r="P68" s="16" t="s">
        <v>142</v>
      </c>
      <c r="Q68" s="15">
        <f>IF(OR(P68="-",P68="",P68=0),IF(O68="-","-",O68),O68-P68)</f>
        <v>2</v>
      </c>
      <c r="R68" s="17" t="str">
        <f>IFERROR(IF(O68&gt;0, P68/O68, 0),"-")</f>
        <v>-</v>
      </c>
      <c r="S68" s="15">
        <v>6</v>
      </c>
      <c r="T68" s="15" t="s">
        <v>142</v>
      </c>
      <c r="U68" s="15" t="s">
        <v>142</v>
      </c>
      <c r="V68" s="16" t="s">
        <v>142</v>
      </c>
      <c r="W68" s="16" t="s">
        <v>142</v>
      </c>
      <c r="X68" s="21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3">
      <c r="B69" s="14" t="s">
        <v>119</v>
      </c>
      <c r="C69" s="15">
        <v>340</v>
      </c>
      <c r="D69" s="16">
        <v>337</v>
      </c>
      <c r="E69" s="15">
        <f>IF(OR(D69="-",D69="",D69=0),IF(C69="-","-",C69),C69-D69)</f>
        <v>3</v>
      </c>
      <c r="F69" s="17">
        <f>IFERROR(IF(C69&gt;0, D69/C69, 0),"-")</f>
        <v>0.99117647058823533</v>
      </c>
      <c r="G69" s="15" t="s">
        <v>142</v>
      </c>
      <c r="H69" s="16" t="s">
        <v>142</v>
      </c>
      <c r="I69" s="15" t="str">
        <f>IF(OR(H69="-",H69="",H69=0),IF(G69="-","-",G69),G69-H69)</f>
        <v>-</v>
      </c>
      <c r="J69" s="17" t="str">
        <f>IFERROR(IF(G69&gt;0, H69/G69, 0),"-")</f>
        <v>-</v>
      </c>
      <c r="K69" s="15">
        <v>1</v>
      </c>
      <c r="L69" s="16" t="s">
        <v>142</v>
      </c>
      <c r="M69" s="15">
        <f>IF(OR(L69="-",L69="",L69=0),IF(K69="-","-",K69),K69-L69)</f>
        <v>1</v>
      </c>
      <c r="N69" s="17" t="str">
        <f>IFERROR(IF(K69&gt;0, L69/K69, 0),"-")</f>
        <v>-</v>
      </c>
      <c r="O69" s="15">
        <v>1</v>
      </c>
      <c r="P69" s="16" t="s">
        <v>142</v>
      </c>
      <c r="Q69" s="15">
        <f>IF(OR(P69="-",P69="",P69=0),IF(O69="-","-",O69),O69-P69)</f>
        <v>1</v>
      </c>
      <c r="R69" s="17" t="str">
        <f>IFERROR(IF(O69&gt;0, P69/O69, 0),"-")</f>
        <v>-</v>
      </c>
      <c r="S69" s="15">
        <v>1</v>
      </c>
      <c r="T69" s="15" t="s">
        <v>142</v>
      </c>
      <c r="U69" s="15" t="s">
        <v>142</v>
      </c>
      <c r="V69" s="16" t="s">
        <v>142</v>
      </c>
      <c r="W69" s="16" t="s">
        <v>142</v>
      </c>
      <c r="X69" s="21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3">
      <c r="B70" s="14" t="s">
        <v>73</v>
      </c>
      <c r="C70" s="15">
        <v>531</v>
      </c>
      <c r="D70" s="16">
        <v>526</v>
      </c>
      <c r="E70" s="15">
        <f>IF(OR(D70="-",D70="",D70=0),IF(C70="-","-",C70),C70-D70)</f>
        <v>5</v>
      </c>
      <c r="F70" s="17">
        <f>IFERROR(IF(C70&gt;0, D70/C70, 0),"-")</f>
        <v>0.99058380414312619</v>
      </c>
      <c r="G70" s="15">
        <v>3</v>
      </c>
      <c r="H70" s="16" t="s">
        <v>142</v>
      </c>
      <c r="I70" s="15">
        <f>IF(OR(H70="-",H70="",H70=0),IF(G70="-","-",G70),G70-H70)</f>
        <v>3</v>
      </c>
      <c r="J70" s="17" t="str">
        <f>IFERROR(IF(G70&gt;0, H70/G70, 0),"-")</f>
        <v>-</v>
      </c>
      <c r="K70" s="15" t="s">
        <v>142</v>
      </c>
      <c r="L70" s="16" t="s">
        <v>142</v>
      </c>
      <c r="M70" s="15" t="str">
        <f>IF(OR(L70="-",L70="",L70=0),IF(K70="-","-",K70),K70-L70)</f>
        <v>-</v>
      </c>
      <c r="N70" s="17" t="str">
        <f>IFERROR(IF(K70&gt;0, L70/K70, 0),"-")</f>
        <v>-</v>
      </c>
      <c r="O70" s="15" t="s">
        <v>142</v>
      </c>
      <c r="P70" s="16" t="s">
        <v>142</v>
      </c>
      <c r="Q70" s="15" t="str">
        <f>IF(OR(P70="-",P70="",P70=0),IF(O70="-","-",O70),O70-P70)</f>
        <v>-</v>
      </c>
      <c r="R70" s="17" t="str">
        <f>IFERROR(IF(O70&gt;0, P70/O70, 0),"-")</f>
        <v>-</v>
      </c>
      <c r="S70" s="15" t="s">
        <v>142</v>
      </c>
      <c r="T70" s="15" t="s">
        <v>142</v>
      </c>
      <c r="U70" s="15" t="s">
        <v>142</v>
      </c>
      <c r="V70" s="16" t="s">
        <v>142</v>
      </c>
      <c r="W70" s="16" t="s">
        <v>142</v>
      </c>
      <c r="X70" s="21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3">
      <c r="B71" s="14" t="s">
        <v>60</v>
      </c>
      <c r="C71" s="15">
        <v>801</v>
      </c>
      <c r="D71" s="16">
        <v>793</v>
      </c>
      <c r="E71" s="15">
        <f>IF(OR(D71="-",D71="",D71=0),IF(C71="-","-",C71),C71-D71)</f>
        <v>8</v>
      </c>
      <c r="F71" s="17">
        <f>IFERROR(IF(C71&gt;0, D71/C71, 0),"-")</f>
        <v>0.99001248439450684</v>
      </c>
      <c r="G71" s="15">
        <v>17</v>
      </c>
      <c r="H71" s="16" t="s">
        <v>142</v>
      </c>
      <c r="I71" s="15">
        <f>IF(OR(H71="-",H71="",H71=0),IF(G71="-","-",G71),G71-H71)</f>
        <v>17</v>
      </c>
      <c r="J71" s="17" t="str">
        <f>IFERROR(IF(G71&gt;0, H71/G71, 0),"-")</f>
        <v>-</v>
      </c>
      <c r="K71" s="15">
        <v>4</v>
      </c>
      <c r="L71" s="16" t="s">
        <v>142</v>
      </c>
      <c r="M71" s="15">
        <f>IF(OR(L71="-",L71="",L71=0),IF(K71="-","-",K71),K71-L71)</f>
        <v>4</v>
      </c>
      <c r="N71" s="17" t="str">
        <f>IFERROR(IF(K71&gt;0, L71/K71, 0),"-")</f>
        <v>-</v>
      </c>
      <c r="O71" s="15">
        <v>1</v>
      </c>
      <c r="P71" s="16" t="s">
        <v>142</v>
      </c>
      <c r="Q71" s="15">
        <f>IF(OR(P71="-",P71="",P71=0),IF(O71="-","-",O71),O71-P71)</f>
        <v>1</v>
      </c>
      <c r="R71" s="17" t="str">
        <f>IFERROR(IF(O71&gt;0, P71/O71, 0),"-")</f>
        <v>-</v>
      </c>
      <c r="S71" s="15" t="s">
        <v>142</v>
      </c>
      <c r="T71" s="15" t="s">
        <v>142</v>
      </c>
      <c r="U71" s="15" t="s">
        <v>142</v>
      </c>
      <c r="V71" s="16" t="s">
        <v>142</v>
      </c>
      <c r="W71" s="16" t="s">
        <v>142</v>
      </c>
      <c r="X71" s="21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3">
      <c r="B72" s="14" t="s">
        <v>12</v>
      </c>
      <c r="C72" s="15">
        <v>595</v>
      </c>
      <c r="D72" s="16">
        <v>589</v>
      </c>
      <c r="E72" s="15">
        <f>IF(OR(D72="-",D72="",D72=0),IF(C72="-","-",C72),C72-D72)</f>
        <v>6</v>
      </c>
      <c r="F72" s="17">
        <f>IFERROR(IF(C72&gt;0, D72/C72, 0),"-")</f>
        <v>0.98991596638655466</v>
      </c>
      <c r="G72" s="15">
        <v>4</v>
      </c>
      <c r="H72" s="16" t="s">
        <v>142</v>
      </c>
      <c r="I72" s="15">
        <f>IF(OR(H72="-",H72="",H72=0),IF(G72="-","-",G72),G72-H72)</f>
        <v>4</v>
      </c>
      <c r="J72" s="17" t="str">
        <f>IFERROR(IF(G72&gt;0, H72/G72, 0),"-")</f>
        <v>-</v>
      </c>
      <c r="K72" s="15">
        <v>1</v>
      </c>
      <c r="L72" s="16" t="s">
        <v>142</v>
      </c>
      <c r="M72" s="15">
        <f>IF(OR(L72="-",L72="",L72=0),IF(K72="-","-",K72),K72-L72)</f>
        <v>1</v>
      </c>
      <c r="N72" s="17" t="str">
        <f>IFERROR(IF(K72&gt;0, L72/K72, 0),"-")</f>
        <v>-</v>
      </c>
      <c r="O72" s="15">
        <v>1</v>
      </c>
      <c r="P72" s="16" t="s">
        <v>142</v>
      </c>
      <c r="Q72" s="15">
        <f>IF(OR(P72="-",P72="",P72=0),IF(O72="-","-",O72),O72-P72)</f>
        <v>1</v>
      </c>
      <c r="R72" s="17" t="str">
        <f>IFERROR(IF(O72&gt;0, P72/O72, 0),"-")</f>
        <v>-</v>
      </c>
      <c r="S72" s="15">
        <v>3</v>
      </c>
      <c r="T72" s="15" t="s">
        <v>142</v>
      </c>
      <c r="U72" s="15" t="s">
        <v>142</v>
      </c>
      <c r="V72" s="16" t="s">
        <v>142</v>
      </c>
      <c r="W72" s="16" t="s">
        <v>142</v>
      </c>
      <c r="X72" s="21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3">
      <c r="B73" s="14" t="s">
        <v>16</v>
      </c>
      <c r="C73" s="15">
        <v>692</v>
      </c>
      <c r="D73" s="16">
        <v>685</v>
      </c>
      <c r="E73" s="15">
        <f>IF(OR(D73="-",D73="",D73=0),IF(C73="-","-",C73),C73-D73)</f>
        <v>7</v>
      </c>
      <c r="F73" s="17">
        <f>IFERROR(IF(C73&gt;0, D73/C73, 0),"-")</f>
        <v>0.98988439306358378</v>
      </c>
      <c r="G73" s="15">
        <v>4</v>
      </c>
      <c r="H73" s="16" t="s">
        <v>142</v>
      </c>
      <c r="I73" s="15">
        <f>IF(OR(H73="-",H73="",H73=0),IF(G73="-","-",G73),G73-H73)</f>
        <v>4</v>
      </c>
      <c r="J73" s="17" t="str">
        <f>IFERROR(IF(G73&gt;0, H73/G73, 0),"-")</f>
        <v>-</v>
      </c>
      <c r="K73" s="15">
        <v>3</v>
      </c>
      <c r="L73" s="16" t="s">
        <v>142</v>
      </c>
      <c r="M73" s="15">
        <f>IF(OR(L73="-",L73="",L73=0),IF(K73="-","-",K73),K73-L73)</f>
        <v>3</v>
      </c>
      <c r="N73" s="17" t="str">
        <f>IFERROR(IF(K73&gt;0, L73/K73, 0),"-")</f>
        <v>-</v>
      </c>
      <c r="O73" s="15" t="s">
        <v>142</v>
      </c>
      <c r="P73" s="16" t="s">
        <v>142</v>
      </c>
      <c r="Q73" s="15" t="str">
        <f>IF(OR(P73="-",P73="",P73=0),IF(O73="-","-",O73),O73-P73)</f>
        <v>-</v>
      </c>
      <c r="R73" s="17" t="str">
        <f>IFERROR(IF(O73&gt;0, P73/O73, 0),"-")</f>
        <v>-</v>
      </c>
      <c r="S73" s="15" t="s">
        <v>142</v>
      </c>
      <c r="T73" s="15" t="s">
        <v>142</v>
      </c>
      <c r="U73" s="15" t="s">
        <v>142</v>
      </c>
      <c r="V73" s="16" t="s">
        <v>142</v>
      </c>
      <c r="W73" s="16" t="s">
        <v>142</v>
      </c>
      <c r="X73" s="21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3">
      <c r="B74" s="14" t="s">
        <v>4</v>
      </c>
      <c r="C74" s="15">
        <v>563</v>
      </c>
      <c r="D74" s="16">
        <v>557</v>
      </c>
      <c r="E74" s="15">
        <f>IF(OR(D74="-",D74="",D74=0),IF(C74="-","-",C74),C74-D74)</f>
        <v>6</v>
      </c>
      <c r="F74" s="17">
        <f>IFERROR(IF(C74&gt;0, D74/C74, 0),"-")</f>
        <v>0.98934280639431615</v>
      </c>
      <c r="G74" s="15">
        <v>4</v>
      </c>
      <c r="H74" s="16" t="s">
        <v>142</v>
      </c>
      <c r="I74" s="15">
        <f>IF(OR(H74="-",H74="",H74=0),IF(G74="-","-",G74),G74-H74)</f>
        <v>4</v>
      </c>
      <c r="J74" s="17" t="str">
        <f>IFERROR(IF(G74&gt;0, H74/G74, 0),"-")</f>
        <v>-</v>
      </c>
      <c r="K74" s="15">
        <v>1</v>
      </c>
      <c r="L74" s="16" t="s">
        <v>142</v>
      </c>
      <c r="M74" s="15">
        <f>IF(OR(L74="-",L74="",L74=0),IF(K74="-","-",K74),K74-L74)</f>
        <v>1</v>
      </c>
      <c r="N74" s="17" t="str">
        <f>IFERROR(IF(K74&gt;0, L74/K74, 0),"-")</f>
        <v>-</v>
      </c>
      <c r="O74" s="15">
        <v>2</v>
      </c>
      <c r="P74" s="16" t="s">
        <v>142</v>
      </c>
      <c r="Q74" s="15">
        <f>IF(OR(P74="-",P74="",P74=0),IF(O74="-","-",O74),O74-P74)</f>
        <v>2</v>
      </c>
      <c r="R74" s="17" t="str">
        <f>IFERROR(IF(O74&gt;0, P74/O74, 0),"-")</f>
        <v>-</v>
      </c>
      <c r="S74" s="15">
        <v>1</v>
      </c>
      <c r="T74" s="15" t="s">
        <v>142</v>
      </c>
      <c r="U74" s="15" t="s">
        <v>142</v>
      </c>
      <c r="V74" s="16" t="s">
        <v>142</v>
      </c>
      <c r="W74" s="16" t="s">
        <v>142</v>
      </c>
      <c r="X74" s="21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3">
      <c r="B75" s="14" t="s">
        <v>48</v>
      </c>
      <c r="C75" s="15">
        <v>556</v>
      </c>
      <c r="D75" s="16">
        <v>550</v>
      </c>
      <c r="E75" s="15">
        <f>IF(OR(D75="-",D75="",D75=0),IF(C75="-","-",C75),C75-D75)</f>
        <v>6</v>
      </c>
      <c r="F75" s="17">
        <f>IFERROR(IF(C75&gt;0, D75/C75, 0),"-")</f>
        <v>0.98920863309352514</v>
      </c>
      <c r="G75" s="15">
        <v>1</v>
      </c>
      <c r="H75" s="16" t="s">
        <v>142</v>
      </c>
      <c r="I75" s="15">
        <f>IF(OR(H75="-",H75="",H75=0),IF(G75="-","-",G75),G75-H75)</f>
        <v>1</v>
      </c>
      <c r="J75" s="17" t="str">
        <f>IFERROR(IF(G75&gt;0, H75/G75, 0),"-")</f>
        <v>-</v>
      </c>
      <c r="K75" s="15">
        <v>2</v>
      </c>
      <c r="L75" s="16" t="s">
        <v>142</v>
      </c>
      <c r="M75" s="15">
        <f>IF(OR(L75="-",L75="",L75=0),IF(K75="-","-",K75),K75-L75)</f>
        <v>2</v>
      </c>
      <c r="N75" s="17" t="str">
        <f>IFERROR(IF(K75&gt;0, L75/K75, 0),"-")</f>
        <v>-</v>
      </c>
      <c r="O75" s="15" t="s">
        <v>142</v>
      </c>
      <c r="P75" s="16" t="s">
        <v>142</v>
      </c>
      <c r="Q75" s="15" t="str">
        <f>IF(OR(P75="-",P75="",P75=0),IF(O75="-","-",O75),O75-P75)</f>
        <v>-</v>
      </c>
      <c r="R75" s="17" t="str">
        <f>IFERROR(IF(O75&gt;0, P75/O75, 0),"-")</f>
        <v>-</v>
      </c>
      <c r="S75" s="15" t="s">
        <v>142</v>
      </c>
      <c r="T75" s="15" t="s">
        <v>142</v>
      </c>
      <c r="U75" s="15" t="s">
        <v>142</v>
      </c>
      <c r="V75" s="16" t="s">
        <v>142</v>
      </c>
      <c r="W75" s="16" t="s">
        <v>142</v>
      </c>
      <c r="X75" s="21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3">
      <c r="B76" s="14" t="s">
        <v>19</v>
      </c>
      <c r="C76" s="15">
        <v>647</v>
      </c>
      <c r="D76" s="16">
        <v>640</v>
      </c>
      <c r="E76" s="15">
        <f>IF(OR(D76="-",D76="",D76=0),IF(C76="-","-",C76),C76-D76)</f>
        <v>7</v>
      </c>
      <c r="F76" s="17">
        <f>IFERROR(IF(C76&gt;0, D76/C76, 0),"-")</f>
        <v>0.98918083462132922</v>
      </c>
      <c r="G76" s="15">
        <v>2</v>
      </c>
      <c r="H76" s="16" t="s">
        <v>142</v>
      </c>
      <c r="I76" s="15">
        <f>IF(OR(H76="-",H76="",H76=0),IF(G76="-","-",G76),G76-H76)</f>
        <v>2</v>
      </c>
      <c r="J76" s="17" t="str">
        <f>IFERROR(IF(G76&gt;0, H76/G76, 0),"-")</f>
        <v>-</v>
      </c>
      <c r="K76" s="15">
        <v>1</v>
      </c>
      <c r="L76" s="16" t="s">
        <v>142</v>
      </c>
      <c r="M76" s="15">
        <f>IF(OR(L76="-",L76="",L76=0),IF(K76="-","-",K76),K76-L76)</f>
        <v>1</v>
      </c>
      <c r="N76" s="17" t="str">
        <f>IFERROR(IF(K76&gt;0, L76/K76, 0),"-")</f>
        <v>-</v>
      </c>
      <c r="O76" s="15">
        <v>1</v>
      </c>
      <c r="P76" s="16" t="s">
        <v>142</v>
      </c>
      <c r="Q76" s="15">
        <f>IF(OR(P76="-",P76="",P76=0),IF(O76="-","-",O76),O76-P76)</f>
        <v>1</v>
      </c>
      <c r="R76" s="17" t="str">
        <f>IFERROR(IF(O76&gt;0, P76/O76, 0),"-")</f>
        <v>-</v>
      </c>
      <c r="S76" s="15">
        <v>1</v>
      </c>
      <c r="T76" s="15" t="s">
        <v>142</v>
      </c>
      <c r="U76" s="15" t="s">
        <v>142</v>
      </c>
      <c r="V76" s="16" t="s">
        <v>142</v>
      </c>
      <c r="W76" s="16" t="s">
        <v>142</v>
      </c>
      <c r="X76" s="21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3">
      <c r="B77" s="14" t="s">
        <v>23</v>
      </c>
      <c r="C77" s="15">
        <v>365</v>
      </c>
      <c r="D77" s="16">
        <v>361</v>
      </c>
      <c r="E77" s="15">
        <f>IF(OR(D77="-",D77="",D77=0),IF(C77="-","-",C77),C77-D77)</f>
        <v>4</v>
      </c>
      <c r="F77" s="17">
        <f>IFERROR(IF(C77&gt;0, D77/C77, 0),"-")</f>
        <v>0.989041095890411</v>
      </c>
      <c r="G77" s="15" t="s">
        <v>142</v>
      </c>
      <c r="H77" s="16" t="s">
        <v>142</v>
      </c>
      <c r="I77" s="15" t="str">
        <f>IF(OR(H77="-",H77="",H77=0),IF(G77="-","-",G77),G77-H77)</f>
        <v>-</v>
      </c>
      <c r="J77" s="17" t="str">
        <f>IFERROR(IF(G77&gt;0, H77/G77, 0),"-")</f>
        <v>-</v>
      </c>
      <c r="K77" s="15">
        <v>1</v>
      </c>
      <c r="L77" s="16" t="s">
        <v>142</v>
      </c>
      <c r="M77" s="15">
        <f>IF(OR(L77="-",L77="",L77=0),IF(K77="-","-",K77),K77-L77)</f>
        <v>1</v>
      </c>
      <c r="N77" s="17" t="str">
        <f>IFERROR(IF(K77&gt;0, L77/K77, 0),"-")</f>
        <v>-</v>
      </c>
      <c r="O77" s="15" t="s">
        <v>142</v>
      </c>
      <c r="P77" s="16" t="s">
        <v>142</v>
      </c>
      <c r="Q77" s="15" t="str">
        <f>IF(OR(P77="-",P77="",P77=0),IF(O77="-","-",O77),O77-P77)</f>
        <v>-</v>
      </c>
      <c r="R77" s="17" t="str">
        <f>IFERROR(IF(O77&gt;0, P77/O77, 0),"-")</f>
        <v>-</v>
      </c>
      <c r="S77" s="15">
        <v>1</v>
      </c>
      <c r="T77" s="15" t="s">
        <v>142</v>
      </c>
      <c r="U77" s="15" t="s">
        <v>142</v>
      </c>
      <c r="V77" s="16" t="s">
        <v>142</v>
      </c>
      <c r="W77" s="16" t="s">
        <v>142</v>
      </c>
      <c r="X77" s="21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3">
      <c r="B78" s="14" t="s">
        <v>49</v>
      </c>
      <c r="C78" s="15">
        <v>534</v>
      </c>
      <c r="D78" s="16">
        <v>528</v>
      </c>
      <c r="E78" s="15">
        <f>IF(OR(D78="-",D78="",D78=0),IF(C78="-","-",C78),C78-D78)</f>
        <v>6</v>
      </c>
      <c r="F78" s="17">
        <f>IFERROR(IF(C78&gt;0, D78/C78, 0),"-")</f>
        <v>0.9887640449438202</v>
      </c>
      <c r="G78" s="15">
        <v>2</v>
      </c>
      <c r="H78" s="16" t="s">
        <v>142</v>
      </c>
      <c r="I78" s="15">
        <f>IF(OR(H78="-",H78="",H78=0),IF(G78="-","-",G78),G78-H78)</f>
        <v>2</v>
      </c>
      <c r="J78" s="17" t="str">
        <f>IFERROR(IF(G78&gt;0, H78/G78, 0),"-")</f>
        <v>-</v>
      </c>
      <c r="K78" s="15">
        <v>1</v>
      </c>
      <c r="L78" s="16" t="s">
        <v>142</v>
      </c>
      <c r="M78" s="15">
        <f>IF(OR(L78="-",L78="",L78=0),IF(K78="-","-",K78),K78-L78)</f>
        <v>1</v>
      </c>
      <c r="N78" s="17" t="str">
        <f>IFERROR(IF(K78&gt;0, L78/K78, 0),"-")</f>
        <v>-</v>
      </c>
      <c r="O78" s="15">
        <v>3</v>
      </c>
      <c r="P78" s="16" t="s">
        <v>142</v>
      </c>
      <c r="Q78" s="15">
        <f>IF(OR(P78="-",P78="",P78=0),IF(O78="-","-",O78),O78-P78)</f>
        <v>3</v>
      </c>
      <c r="R78" s="17" t="str">
        <f>IFERROR(IF(O78&gt;0, P78/O78, 0),"-")</f>
        <v>-</v>
      </c>
      <c r="S78" s="15">
        <v>3</v>
      </c>
      <c r="T78" s="15" t="s">
        <v>142</v>
      </c>
      <c r="U78" s="15" t="s">
        <v>142</v>
      </c>
      <c r="V78" s="16" t="s">
        <v>142</v>
      </c>
      <c r="W78" s="16" t="s">
        <v>142</v>
      </c>
      <c r="X78" s="21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3">
      <c r="B79" s="14" t="s">
        <v>68</v>
      </c>
      <c r="C79" s="15">
        <v>429</v>
      </c>
      <c r="D79" s="16">
        <v>424</v>
      </c>
      <c r="E79" s="15">
        <f>IF(OR(D79="-",D79="",D79=0),IF(C79="-","-",C79),C79-D79)</f>
        <v>5</v>
      </c>
      <c r="F79" s="17">
        <f>IFERROR(IF(C79&gt;0, D79/C79, 0),"-")</f>
        <v>0.9883449883449883</v>
      </c>
      <c r="G79" s="15">
        <v>1</v>
      </c>
      <c r="H79" s="16" t="s">
        <v>142</v>
      </c>
      <c r="I79" s="15">
        <f>IF(OR(H79="-",H79="",H79=0),IF(G79="-","-",G79),G79-H79)</f>
        <v>1</v>
      </c>
      <c r="J79" s="17" t="str">
        <f>IFERROR(IF(G79&gt;0, H79/G79, 0),"-")</f>
        <v>-</v>
      </c>
      <c r="K79" s="15" t="s">
        <v>142</v>
      </c>
      <c r="L79" s="16" t="s">
        <v>142</v>
      </c>
      <c r="M79" s="15" t="str">
        <f>IF(OR(L79="-",L79="",L79=0),IF(K79="-","-",K79),K79-L79)</f>
        <v>-</v>
      </c>
      <c r="N79" s="17" t="str">
        <f>IFERROR(IF(K79&gt;0, L79/K79, 0),"-")</f>
        <v>-</v>
      </c>
      <c r="O79" s="15">
        <v>1</v>
      </c>
      <c r="P79" s="16" t="s">
        <v>142</v>
      </c>
      <c r="Q79" s="15">
        <f>IF(OR(P79="-",P79="",P79=0),IF(O79="-","-",O79),O79-P79)</f>
        <v>1</v>
      </c>
      <c r="R79" s="17" t="str">
        <f>IFERROR(IF(O79&gt;0, P79/O79, 0),"-")</f>
        <v>-</v>
      </c>
      <c r="S79" s="15">
        <v>1</v>
      </c>
      <c r="T79" s="15" t="s">
        <v>142</v>
      </c>
      <c r="U79" s="15" t="s">
        <v>142</v>
      </c>
      <c r="V79" s="16" t="s">
        <v>142</v>
      </c>
      <c r="W79" s="16" t="s">
        <v>142</v>
      </c>
      <c r="X79" s="21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3">
      <c r="B80" s="14" t="s">
        <v>75</v>
      </c>
      <c r="C80" s="15">
        <v>427</v>
      </c>
      <c r="D80" s="16">
        <v>422</v>
      </c>
      <c r="E80" s="15">
        <f>IF(OR(D80="-",D80="",D80=0),IF(C80="-","-",C80),C80-D80)</f>
        <v>5</v>
      </c>
      <c r="F80" s="17">
        <f>IFERROR(IF(C80&gt;0, D80/C80, 0),"-")</f>
        <v>0.98829039812646369</v>
      </c>
      <c r="G80" s="15">
        <v>3</v>
      </c>
      <c r="H80" s="16" t="s">
        <v>142</v>
      </c>
      <c r="I80" s="15">
        <f>IF(OR(H80="-",H80="",H80=0),IF(G80="-","-",G80),G80-H80)</f>
        <v>3</v>
      </c>
      <c r="J80" s="17" t="str">
        <f>IFERROR(IF(G80&gt;0, H80/G80, 0),"-")</f>
        <v>-</v>
      </c>
      <c r="K80" s="15">
        <v>3</v>
      </c>
      <c r="L80" s="16" t="s">
        <v>142</v>
      </c>
      <c r="M80" s="15">
        <f>IF(OR(L80="-",L80="",L80=0),IF(K80="-","-",K80),K80-L80)</f>
        <v>3</v>
      </c>
      <c r="N80" s="17" t="str">
        <f>IFERROR(IF(K80&gt;0, L80/K80, 0),"-")</f>
        <v>-</v>
      </c>
      <c r="O80" s="15">
        <v>2</v>
      </c>
      <c r="P80" s="16" t="s">
        <v>142</v>
      </c>
      <c r="Q80" s="15">
        <f>IF(OR(P80="-",P80="",P80=0),IF(O80="-","-",O80),O80-P80)</f>
        <v>2</v>
      </c>
      <c r="R80" s="17" t="str">
        <f>IFERROR(IF(O80&gt;0, P80/O80, 0),"-")</f>
        <v>-</v>
      </c>
      <c r="S80" s="15">
        <v>4</v>
      </c>
      <c r="T80" s="15" t="s">
        <v>142</v>
      </c>
      <c r="U80" s="15" t="s">
        <v>142</v>
      </c>
      <c r="V80" s="16" t="s">
        <v>142</v>
      </c>
      <c r="W80" s="16" t="s">
        <v>142</v>
      </c>
      <c r="X80" s="21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3">
      <c r="B81" s="14" t="s">
        <v>108</v>
      </c>
      <c r="C81" s="15">
        <v>550</v>
      </c>
      <c r="D81" s="16">
        <v>543</v>
      </c>
      <c r="E81" s="15">
        <f>IF(OR(D81="-",D81="",D81=0),IF(C81="-","-",C81),C81-D81)</f>
        <v>7</v>
      </c>
      <c r="F81" s="17">
        <f>IFERROR(IF(C81&gt;0, D81/C81, 0),"-")</f>
        <v>0.9872727272727273</v>
      </c>
      <c r="G81" s="15" t="s">
        <v>142</v>
      </c>
      <c r="H81" s="16" t="s">
        <v>142</v>
      </c>
      <c r="I81" s="15" t="str">
        <f>IF(OR(H81="-",H81="",H81=0),IF(G81="-","-",G81),G81-H81)</f>
        <v>-</v>
      </c>
      <c r="J81" s="17" t="str">
        <f>IFERROR(IF(G81&gt;0, H81/G81, 0),"-")</f>
        <v>-</v>
      </c>
      <c r="K81" s="15">
        <v>3</v>
      </c>
      <c r="L81" s="16" t="s">
        <v>142</v>
      </c>
      <c r="M81" s="15">
        <f>IF(OR(L81="-",L81="",L81=0),IF(K81="-","-",K81),K81-L81)</f>
        <v>3</v>
      </c>
      <c r="N81" s="17" t="str">
        <f>IFERROR(IF(K81&gt;0, L81/K81, 0),"-")</f>
        <v>-</v>
      </c>
      <c r="O81" s="15">
        <v>1</v>
      </c>
      <c r="P81" s="16" t="s">
        <v>142</v>
      </c>
      <c r="Q81" s="15">
        <f>IF(OR(P81="-",P81="",P81=0),IF(O81="-","-",O81),O81-P81)</f>
        <v>1</v>
      </c>
      <c r="R81" s="17" t="str">
        <f>IFERROR(IF(O81&gt;0, P81/O81, 0),"-")</f>
        <v>-</v>
      </c>
      <c r="S81" s="15" t="s">
        <v>142</v>
      </c>
      <c r="T81" s="15" t="s">
        <v>142</v>
      </c>
      <c r="U81" s="15" t="s">
        <v>142</v>
      </c>
      <c r="V81" s="16" t="s">
        <v>142</v>
      </c>
      <c r="W81" s="16" t="s">
        <v>142</v>
      </c>
      <c r="X81" s="21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3">
      <c r="B82" s="14" t="s">
        <v>131</v>
      </c>
      <c r="C82" s="15">
        <v>232</v>
      </c>
      <c r="D82" s="16">
        <v>229</v>
      </c>
      <c r="E82" s="15">
        <f>IF(OR(D82="-",D82="",D82=0),IF(C82="-","-",C82),C82-D82)</f>
        <v>3</v>
      </c>
      <c r="F82" s="17">
        <f>IFERROR(IF(C82&gt;0, D82/C82, 0),"-")</f>
        <v>0.98706896551724133</v>
      </c>
      <c r="G82" s="15" t="s">
        <v>142</v>
      </c>
      <c r="H82" s="16" t="s">
        <v>142</v>
      </c>
      <c r="I82" s="15" t="str">
        <f>IF(OR(H82="-",H82="",H82=0),IF(G82="-","-",G82),G82-H82)</f>
        <v>-</v>
      </c>
      <c r="J82" s="17" t="str">
        <f>IFERROR(IF(G82&gt;0, H82/G82, 0),"-")</f>
        <v>-</v>
      </c>
      <c r="K82" s="15" t="s">
        <v>142</v>
      </c>
      <c r="L82" s="16" t="s">
        <v>142</v>
      </c>
      <c r="M82" s="15" t="str">
        <f>IF(OR(L82="-",L82="",L82=0),IF(K82="-","-",K82),K82-L82)</f>
        <v>-</v>
      </c>
      <c r="N82" s="17" t="str">
        <f>IFERROR(IF(K82&gt;0, L82/K82, 0),"-")</f>
        <v>-</v>
      </c>
      <c r="O82" s="15" t="s">
        <v>142</v>
      </c>
      <c r="P82" s="16" t="s">
        <v>142</v>
      </c>
      <c r="Q82" s="15" t="str">
        <f>IF(OR(P82="-",P82="",P82=0),IF(O82="-","-",O82),O82-P82)</f>
        <v>-</v>
      </c>
      <c r="R82" s="17" t="str">
        <f>IFERROR(IF(O82&gt;0, P82/O82, 0),"-")</f>
        <v>-</v>
      </c>
      <c r="S82" s="15" t="s">
        <v>142</v>
      </c>
      <c r="T82" s="15" t="s">
        <v>142</v>
      </c>
      <c r="U82" s="15" t="s">
        <v>142</v>
      </c>
      <c r="V82" s="16" t="s">
        <v>142</v>
      </c>
      <c r="W82" s="16" t="s">
        <v>142</v>
      </c>
      <c r="X82" s="21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3">
      <c r="B83" s="14" t="s">
        <v>104</v>
      </c>
      <c r="C83" s="15">
        <v>461</v>
      </c>
      <c r="D83" s="16">
        <v>455</v>
      </c>
      <c r="E83" s="15">
        <f>IF(OR(D83="-",D83="",D83=0),IF(C83="-","-",C83),C83-D83)</f>
        <v>6</v>
      </c>
      <c r="F83" s="17">
        <f>IFERROR(IF(C83&gt;0, D83/C83, 0),"-")</f>
        <v>0.98698481561822127</v>
      </c>
      <c r="G83" s="15">
        <v>2</v>
      </c>
      <c r="H83" s="16" t="s">
        <v>142</v>
      </c>
      <c r="I83" s="15">
        <f>IF(OR(H83="-",H83="",H83=0),IF(G83="-","-",G83),G83-H83)</f>
        <v>2</v>
      </c>
      <c r="J83" s="17" t="str">
        <f>IFERROR(IF(G83&gt;0, H83/G83, 0),"-")</f>
        <v>-</v>
      </c>
      <c r="K83" s="15" t="s">
        <v>142</v>
      </c>
      <c r="L83" s="16" t="s">
        <v>142</v>
      </c>
      <c r="M83" s="15" t="str">
        <f>IF(OR(L83="-",L83="",L83=0),IF(K83="-","-",K83),K83-L83)</f>
        <v>-</v>
      </c>
      <c r="N83" s="17" t="str">
        <f>IFERROR(IF(K83&gt;0, L83/K83, 0),"-")</f>
        <v>-</v>
      </c>
      <c r="O83" s="15" t="s">
        <v>142</v>
      </c>
      <c r="P83" s="16" t="s">
        <v>142</v>
      </c>
      <c r="Q83" s="15" t="str">
        <f>IF(OR(P83="-",P83="",P83=0),IF(O83="-","-",O83),O83-P83)</f>
        <v>-</v>
      </c>
      <c r="R83" s="17" t="str">
        <f>IFERROR(IF(O83&gt;0, P83/O83, 0),"-")</f>
        <v>-</v>
      </c>
      <c r="S83" s="15">
        <v>1</v>
      </c>
      <c r="T83" s="15" t="s">
        <v>142</v>
      </c>
      <c r="U83" s="15" t="s">
        <v>142</v>
      </c>
      <c r="V83" s="16" t="s">
        <v>142</v>
      </c>
      <c r="W83" s="16" t="s">
        <v>142</v>
      </c>
      <c r="X83" s="21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3">
      <c r="B84" s="14" t="s">
        <v>124</v>
      </c>
      <c r="C84" s="15">
        <v>380</v>
      </c>
      <c r="D84" s="16">
        <v>375</v>
      </c>
      <c r="E84" s="15">
        <f>IF(OR(D84="-",D84="",D84=0),IF(C84="-","-",C84),C84-D84)</f>
        <v>5</v>
      </c>
      <c r="F84" s="17">
        <f>IFERROR(IF(C84&gt;0, D84/C84, 0),"-")</f>
        <v>0.98684210526315785</v>
      </c>
      <c r="G84" s="15" t="s">
        <v>142</v>
      </c>
      <c r="H84" s="16" t="s">
        <v>142</v>
      </c>
      <c r="I84" s="15" t="str">
        <f>IF(OR(H84="-",H84="",H84=0),IF(G84="-","-",G84),G84-H84)</f>
        <v>-</v>
      </c>
      <c r="J84" s="17" t="str">
        <f>IFERROR(IF(G84&gt;0, H84/G84, 0),"-")</f>
        <v>-</v>
      </c>
      <c r="K84" s="15">
        <v>1</v>
      </c>
      <c r="L84" s="16" t="s">
        <v>142</v>
      </c>
      <c r="M84" s="15">
        <f>IF(OR(L84="-",L84="",L84=0),IF(K84="-","-",K84),K84-L84)</f>
        <v>1</v>
      </c>
      <c r="N84" s="17" t="str">
        <f>IFERROR(IF(K84&gt;0, L84/K84, 0),"-")</f>
        <v>-</v>
      </c>
      <c r="O84" s="15">
        <v>3</v>
      </c>
      <c r="P84" s="16" t="s">
        <v>142</v>
      </c>
      <c r="Q84" s="15">
        <f>IF(OR(P84="-",P84="",P84=0),IF(O84="-","-",O84),O84-P84)</f>
        <v>3</v>
      </c>
      <c r="R84" s="17" t="str">
        <f>IFERROR(IF(O84&gt;0, P84/O84, 0),"-")</f>
        <v>-</v>
      </c>
      <c r="S84" s="15">
        <v>1</v>
      </c>
      <c r="T84" s="15" t="s">
        <v>142</v>
      </c>
      <c r="U84" s="15" t="s">
        <v>142</v>
      </c>
      <c r="V84" s="16" t="s">
        <v>142</v>
      </c>
      <c r="W84" s="16" t="s">
        <v>142</v>
      </c>
      <c r="X84" s="21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3">
      <c r="B85" s="14" t="s">
        <v>86</v>
      </c>
      <c r="C85" s="15">
        <v>734</v>
      </c>
      <c r="D85" s="16">
        <v>724</v>
      </c>
      <c r="E85" s="15">
        <f>IF(OR(D85="-",D85="",D85=0),IF(C85="-","-",C85),C85-D85)</f>
        <v>10</v>
      </c>
      <c r="F85" s="17">
        <f>IFERROR(IF(C85&gt;0, D85/C85, 0),"-")</f>
        <v>0.98637602179836514</v>
      </c>
      <c r="G85" s="15">
        <v>7</v>
      </c>
      <c r="H85" s="16" t="s">
        <v>142</v>
      </c>
      <c r="I85" s="15">
        <f>IF(OR(H85="-",H85="",H85=0),IF(G85="-","-",G85),G85-H85)</f>
        <v>7</v>
      </c>
      <c r="J85" s="17" t="str">
        <f>IFERROR(IF(G85&gt;0, H85/G85, 0),"-")</f>
        <v>-</v>
      </c>
      <c r="K85" s="15">
        <v>1</v>
      </c>
      <c r="L85" s="16" t="s">
        <v>142</v>
      </c>
      <c r="M85" s="15">
        <f>IF(OR(L85="-",L85="",L85=0),IF(K85="-","-",K85),K85-L85)</f>
        <v>1</v>
      </c>
      <c r="N85" s="17" t="str">
        <f>IFERROR(IF(K85&gt;0, L85/K85, 0),"-")</f>
        <v>-</v>
      </c>
      <c r="O85" s="15">
        <v>4</v>
      </c>
      <c r="P85" s="16" t="s">
        <v>142</v>
      </c>
      <c r="Q85" s="15">
        <f>IF(OR(P85="-",P85="",P85=0),IF(O85="-","-",O85),O85-P85)</f>
        <v>4</v>
      </c>
      <c r="R85" s="17" t="str">
        <f>IFERROR(IF(O85&gt;0, P85/O85, 0),"-")</f>
        <v>-</v>
      </c>
      <c r="S85" s="15">
        <v>1</v>
      </c>
      <c r="T85" s="15" t="s">
        <v>142</v>
      </c>
      <c r="U85" s="15" t="s">
        <v>142</v>
      </c>
      <c r="V85" s="16" t="s">
        <v>142</v>
      </c>
      <c r="W85" s="16" t="s">
        <v>142</v>
      </c>
      <c r="X85" s="21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3">
      <c r="B86" s="14" t="s">
        <v>93</v>
      </c>
      <c r="C86" s="15">
        <v>360</v>
      </c>
      <c r="D86" s="16">
        <v>355</v>
      </c>
      <c r="E86" s="15">
        <f>IF(OR(D86="-",D86="",D86=0),IF(C86="-","-",C86),C86-D86)</f>
        <v>5</v>
      </c>
      <c r="F86" s="17">
        <f>IFERROR(IF(C86&gt;0, D86/C86, 0),"-")</f>
        <v>0.98611111111111116</v>
      </c>
      <c r="G86" s="15" t="s">
        <v>142</v>
      </c>
      <c r="H86" s="16" t="s">
        <v>142</v>
      </c>
      <c r="I86" s="15" t="str">
        <f>IF(OR(H86="-",H86="",H86=0),IF(G86="-","-",G86),G86-H86)</f>
        <v>-</v>
      </c>
      <c r="J86" s="17" t="str">
        <f>IFERROR(IF(G86&gt;0, H86/G86, 0),"-")</f>
        <v>-</v>
      </c>
      <c r="K86" s="15" t="s">
        <v>142</v>
      </c>
      <c r="L86" s="16" t="s">
        <v>142</v>
      </c>
      <c r="M86" s="15" t="str">
        <f>IF(OR(L86="-",L86="",L86=0),IF(K86="-","-",K86),K86-L86)</f>
        <v>-</v>
      </c>
      <c r="N86" s="17" t="str">
        <f>IFERROR(IF(K86&gt;0, L86/K86, 0),"-")</f>
        <v>-</v>
      </c>
      <c r="O86" s="15">
        <v>2</v>
      </c>
      <c r="P86" s="16" t="s">
        <v>142</v>
      </c>
      <c r="Q86" s="15">
        <f>IF(OR(P86="-",P86="",P86=0),IF(O86="-","-",O86),O86-P86)</f>
        <v>2</v>
      </c>
      <c r="R86" s="17" t="str">
        <f>IFERROR(IF(O86&gt;0, P86/O86, 0),"-")</f>
        <v>-</v>
      </c>
      <c r="S86" s="15" t="s">
        <v>142</v>
      </c>
      <c r="T86" s="15" t="s">
        <v>142</v>
      </c>
      <c r="U86" s="15" t="s">
        <v>142</v>
      </c>
      <c r="V86" s="16" t="s">
        <v>142</v>
      </c>
      <c r="W86" s="16" t="s">
        <v>142</v>
      </c>
      <c r="X86" s="21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3">
      <c r="B87" s="14" t="s">
        <v>82</v>
      </c>
      <c r="C87" s="15">
        <v>503</v>
      </c>
      <c r="D87" s="16">
        <v>496</v>
      </c>
      <c r="E87" s="15">
        <f>IF(OR(D87="-",D87="",D87=0),IF(C87="-","-",C87),C87-D87)</f>
        <v>7</v>
      </c>
      <c r="F87" s="17">
        <f>IFERROR(IF(C87&gt;0, D87/C87, 0),"-")</f>
        <v>0.98608349900596426</v>
      </c>
      <c r="G87" s="15">
        <v>2</v>
      </c>
      <c r="H87" s="16" t="s">
        <v>142</v>
      </c>
      <c r="I87" s="15">
        <f>IF(OR(H87="-",H87="",H87=0),IF(G87="-","-",G87),G87-H87)</f>
        <v>2</v>
      </c>
      <c r="J87" s="17" t="str">
        <f>IFERROR(IF(G87&gt;0, H87/G87, 0),"-")</f>
        <v>-</v>
      </c>
      <c r="K87" s="15">
        <v>2</v>
      </c>
      <c r="L87" s="16" t="s">
        <v>142</v>
      </c>
      <c r="M87" s="15">
        <f>IF(OR(L87="-",L87="",L87=0),IF(K87="-","-",K87),K87-L87)</f>
        <v>2</v>
      </c>
      <c r="N87" s="17" t="str">
        <f>IFERROR(IF(K87&gt;0, L87/K87, 0),"-")</f>
        <v>-</v>
      </c>
      <c r="O87" s="15">
        <v>1</v>
      </c>
      <c r="P87" s="16" t="s">
        <v>142</v>
      </c>
      <c r="Q87" s="15">
        <f>IF(OR(P87="-",P87="",P87=0),IF(O87="-","-",O87),O87-P87)</f>
        <v>1</v>
      </c>
      <c r="R87" s="17" t="str">
        <f>IFERROR(IF(O87&gt;0, P87/O87, 0),"-")</f>
        <v>-</v>
      </c>
      <c r="S87" s="15">
        <v>5</v>
      </c>
      <c r="T87" s="15" t="s">
        <v>142</v>
      </c>
      <c r="U87" s="15" t="s">
        <v>142</v>
      </c>
      <c r="V87" s="16" t="s">
        <v>142</v>
      </c>
      <c r="W87" s="16" t="s">
        <v>142</v>
      </c>
      <c r="X87" s="21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3">
      <c r="B88" s="14" t="s">
        <v>84</v>
      </c>
      <c r="C88" s="15">
        <v>502</v>
      </c>
      <c r="D88" s="16">
        <v>495</v>
      </c>
      <c r="E88" s="15">
        <f>IF(OR(D88="-",D88="",D88=0),IF(C88="-","-",C88),C88-D88)</f>
        <v>7</v>
      </c>
      <c r="F88" s="17">
        <f>IFERROR(IF(C88&gt;0, D88/C88, 0),"-")</f>
        <v>0.98605577689243029</v>
      </c>
      <c r="G88" s="15">
        <v>7</v>
      </c>
      <c r="H88" s="16" t="s">
        <v>142</v>
      </c>
      <c r="I88" s="15">
        <f>IF(OR(H88="-",H88="",H88=0),IF(G88="-","-",G88),G88-H88)</f>
        <v>7</v>
      </c>
      <c r="J88" s="17" t="str">
        <f>IFERROR(IF(G88&gt;0, H88/G88, 0),"-")</f>
        <v>-</v>
      </c>
      <c r="K88" s="15">
        <v>1</v>
      </c>
      <c r="L88" s="16" t="s">
        <v>142</v>
      </c>
      <c r="M88" s="15">
        <f>IF(OR(L88="-",L88="",L88=0),IF(K88="-","-",K88),K88-L88)</f>
        <v>1</v>
      </c>
      <c r="N88" s="17" t="str">
        <f>IFERROR(IF(K88&gt;0, L88/K88, 0),"-")</f>
        <v>-</v>
      </c>
      <c r="O88" s="15">
        <v>2</v>
      </c>
      <c r="P88" s="16" t="s">
        <v>142</v>
      </c>
      <c r="Q88" s="15">
        <f>IF(OR(P88="-",P88="",P88=0),IF(O88="-","-",O88),O88-P88)</f>
        <v>2</v>
      </c>
      <c r="R88" s="17" t="str">
        <f>IFERROR(IF(O88&gt;0, P88/O88, 0),"-")</f>
        <v>-</v>
      </c>
      <c r="S88" s="15">
        <v>4</v>
      </c>
      <c r="T88" s="15" t="s">
        <v>142</v>
      </c>
      <c r="U88" s="15" t="s">
        <v>142</v>
      </c>
      <c r="V88" s="16" t="s">
        <v>142</v>
      </c>
      <c r="W88" s="16" t="s">
        <v>142</v>
      </c>
      <c r="X88" s="21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3">
      <c r="B89" s="14" t="s">
        <v>62</v>
      </c>
      <c r="C89" s="15">
        <v>425</v>
      </c>
      <c r="D89" s="16">
        <v>419</v>
      </c>
      <c r="E89" s="15">
        <f>IF(OR(D89="-",D89="",D89=0),IF(C89="-","-",C89),C89-D89)</f>
        <v>6</v>
      </c>
      <c r="F89" s="17">
        <f>IFERROR(IF(C89&gt;0, D89/C89, 0),"-")</f>
        <v>0.98588235294117643</v>
      </c>
      <c r="G89" s="15" t="s">
        <v>142</v>
      </c>
      <c r="H89" s="16" t="s">
        <v>142</v>
      </c>
      <c r="I89" s="15" t="str">
        <f>IF(OR(H89="-",H89="",H89=0),IF(G89="-","-",G89),G89-H89)</f>
        <v>-</v>
      </c>
      <c r="J89" s="17" t="str">
        <f>IFERROR(IF(G89&gt;0, H89/G89, 0),"-")</f>
        <v>-</v>
      </c>
      <c r="K89" s="15" t="s">
        <v>142</v>
      </c>
      <c r="L89" s="16" t="s">
        <v>142</v>
      </c>
      <c r="M89" s="15" t="str">
        <f>IF(OR(L89="-",L89="",L89=0),IF(K89="-","-",K89),K89-L89)</f>
        <v>-</v>
      </c>
      <c r="N89" s="17" t="str">
        <f>IFERROR(IF(K89&gt;0, L89/K89, 0),"-")</f>
        <v>-</v>
      </c>
      <c r="O89" s="15" t="s">
        <v>142</v>
      </c>
      <c r="P89" s="16" t="s">
        <v>142</v>
      </c>
      <c r="Q89" s="15" t="str">
        <f>IF(OR(P89="-",P89="",P89=0),IF(O89="-","-",O89),O89-P89)</f>
        <v>-</v>
      </c>
      <c r="R89" s="17" t="str">
        <f>IFERROR(IF(O89&gt;0, P89/O89, 0),"-")</f>
        <v>-</v>
      </c>
      <c r="S89" s="15" t="s">
        <v>142</v>
      </c>
      <c r="T89" s="15" t="s">
        <v>142</v>
      </c>
      <c r="U89" s="15" t="s">
        <v>142</v>
      </c>
      <c r="V89" s="16" t="s">
        <v>142</v>
      </c>
      <c r="W89" s="16" t="s">
        <v>142</v>
      </c>
      <c r="X89" s="21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3">
      <c r="B90" s="14" t="s">
        <v>9</v>
      </c>
      <c r="C90" s="15">
        <v>418</v>
      </c>
      <c r="D90" s="16">
        <v>412</v>
      </c>
      <c r="E90" s="15">
        <f>IF(OR(D90="-",D90="",D90=0),IF(C90="-","-",C90),C90-D90)</f>
        <v>6</v>
      </c>
      <c r="F90" s="17">
        <f>IFERROR(IF(C90&gt;0, D90/C90, 0),"-")</f>
        <v>0.9856459330143541</v>
      </c>
      <c r="G90" s="15">
        <v>1</v>
      </c>
      <c r="H90" s="16" t="s">
        <v>142</v>
      </c>
      <c r="I90" s="15">
        <f>IF(OR(H90="-",H90="",H90=0),IF(G90="-","-",G90),G90-H90)</f>
        <v>1</v>
      </c>
      <c r="J90" s="17" t="str">
        <f>IFERROR(IF(G90&gt;0, H90/G90, 0),"-")</f>
        <v>-</v>
      </c>
      <c r="K90" s="15">
        <v>1</v>
      </c>
      <c r="L90" s="16" t="s">
        <v>142</v>
      </c>
      <c r="M90" s="15">
        <f>IF(OR(L90="-",L90="",L90=0),IF(K90="-","-",K90),K90-L90)</f>
        <v>1</v>
      </c>
      <c r="N90" s="17" t="str">
        <f>IFERROR(IF(K90&gt;0, L90/K90, 0),"-")</f>
        <v>-</v>
      </c>
      <c r="O90" s="15">
        <v>1</v>
      </c>
      <c r="P90" s="16" t="s">
        <v>142</v>
      </c>
      <c r="Q90" s="15">
        <f>IF(OR(P90="-",P90="",P90=0),IF(O90="-","-",O90),O90-P90)</f>
        <v>1</v>
      </c>
      <c r="R90" s="17" t="str">
        <f>IFERROR(IF(O90&gt;0, P90/O90, 0),"-")</f>
        <v>-</v>
      </c>
      <c r="S90" s="15">
        <v>4</v>
      </c>
      <c r="T90" s="15" t="s">
        <v>142</v>
      </c>
      <c r="U90" s="15" t="s">
        <v>142</v>
      </c>
      <c r="V90" s="16" t="s">
        <v>142</v>
      </c>
      <c r="W90" s="16" t="s">
        <v>142</v>
      </c>
      <c r="X90" s="21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3">
      <c r="B91" s="14" t="s">
        <v>24</v>
      </c>
      <c r="C91" s="15">
        <v>553</v>
      </c>
      <c r="D91" s="16">
        <v>545</v>
      </c>
      <c r="E91" s="15">
        <f>IF(OR(D91="-",D91="",D91=0),IF(C91="-","-",C91),C91-D91)</f>
        <v>8</v>
      </c>
      <c r="F91" s="17">
        <f>IFERROR(IF(C91&gt;0, D91/C91, 0),"-")</f>
        <v>0.98553345388788427</v>
      </c>
      <c r="G91" s="15">
        <v>3</v>
      </c>
      <c r="H91" s="16" t="s">
        <v>142</v>
      </c>
      <c r="I91" s="15">
        <f>IF(OR(H91="-",H91="",H91=0),IF(G91="-","-",G91),G91-H91)</f>
        <v>3</v>
      </c>
      <c r="J91" s="17" t="str">
        <f>IFERROR(IF(G91&gt;0, H91/G91, 0),"-")</f>
        <v>-</v>
      </c>
      <c r="K91" s="15" t="s">
        <v>142</v>
      </c>
      <c r="L91" s="16" t="s">
        <v>142</v>
      </c>
      <c r="M91" s="15" t="str">
        <f>IF(OR(L91="-",L91="",L91=0),IF(K91="-","-",K91),K91-L91)</f>
        <v>-</v>
      </c>
      <c r="N91" s="17" t="str">
        <f>IFERROR(IF(K91&gt;0, L91/K91, 0),"-")</f>
        <v>-</v>
      </c>
      <c r="O91" s="15">
        <v>2</v>
      </c>
      <c r="P91" s="16" t="s">
        <v>142</v>
      </c>
      <c r="Q91" s="15">
        <f>IF(OR(P91="-",P91="",P91=0),IF(O91="-","-",O91),O91-P91)</f>
        <v>2</v>
      </c>
      <c r="R91" s="17" t="str">
        <f>IFERROR(IF(O91&gt;0, P91/O91, 0),"-")</f>
        <v>-</v>
      </c>
      <c r="S91" s="15">
        <v>2</v>
      </c>
      <c r="T91" s="15" t="s">
        <v>142</v>
      </c>
      <c r="U91" s="15" t="s">
        <v>142</v>
      </c>
      <c r="V91" s="16" t="s">
        <v>142</v>
      </c>
      <c r="W91" s="16" t="s">
        <v>142</v>
      </c>
      <c r="X91" s="21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3">
      <c r="B92" s="14" t="s">
        <v>88</v>
      </c>
      <c r="C92" s="15">
        <v>479</v>
      </c>
      <c r="D92" s="16">
        <v>472</v>
      </c>
      <c r="E92" s="15">
        <f>IF(OR(D92="-",D92="",D92=0),IF(C92="-","-",C92),C92-D92)</f>
        <v>7</v>
      </c>
      <c r="F92" s="17">
        <f>IFERROR(IF(C92&gt;0, D92/C92, 0),"-")</f>
        <v>0.98538622129436326</v>
      </c>
      <c r="G92" s="15">
        <v>1</v>
      </c>
      <c r="H92" s="16" t="s">
        <v>142</v>
      </c>
      <c r="I92" s="15">
        <f>IF(OR(H92="-",H92="",H92=0),IF(G92="-","-",G92),G92-H92)</f>
        <v>1</v>
      </c>
      <c r="J92" s="17" t="str">
        <f>IFERROR(IF(G92&gt;0, H92/G92, 0),"-")</f>
        <v>-</v>
      </c>
      <c r="K92" s="15" t="s">
        <v>142</v>
      </c>
      <c r="L92" s="16" t="s">
        <v>142</v>
      </c>
      <c r="M92" s="15" t="str">
        <f>IF(OR(L92="-",L92="",L92=0),IF(K92="-","-",K92),K92-L92)</f>
        <v>-</v>
      </c>
      <c r="N92" s="17" t="str">
        <f>IFERROR(IF(K92&gt;0, L92/K92, 0),"-")</f>
        <v>-</v>
      </c>
      <c r="O92" s="15">
        <v>2</v>
      </c>
      <c r="P92" s="16" t="s">
        <v>142</v>
      </c>
      <c r="Q92" s="15">
        <f>IF(OR(P92="-",P92="",P92=0),IF(O92="-","-",O92),O92-P92)</f>
        <v>2</v>
      </c>
      <c r="R92" s="17" t="str">
        <f>IFERROR(IF(O92&gt;0, P92/O92, 0),"-")</f>
        <v>-</v>
      </c>
      <c r="S92" s="15">
        <v>4</v>
      </c>
      <c r="T92" s="15" t="s">
        <v>142</v>
      </c>
      <c r="U92" s="15" t="s">
        <v>142</v>
      </c>
      <c r="V92" s="16" t="s">
        <v>142</v>
      </c>
      <c r="W92" s="16" t="s">
        <v>142</v>
      </c>
      <c r="X92" s="21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3">
      <c r="B93" s="14" t="s">
        <v>42</v>
      </c>
      <c r="C93" s="15">
        <v>752</v>
      </c>
      <c r="D93" s="16">
        <v>741</v>
      </c>
      <c r="E93" s="15">
        <f>IF(OR(D93="-",D93="",D93=0),IF(C93="-","-",C93),C93-D93)</f>
        <v>11</v>
      </c>
      <c r="F93" s="17">
        <f>IFERROR(IF(C93&gt;0, D93/C93, 0),"-")</f>
        <v>0.9853723404255319</v>
      </c>
      <c r="G93" s="15">
        <v>3</v>
      </c>
      <c r="H93" s="16" t="s">
        <v>142</v>
      </c>
      <c r="I93" s="15">
        <f>IF(OR(H93="-",H93="",H93=0),IF(G93="-","-",G93),G93-H93)</f>
        <v>3</v>
      </c>
      <c r="J93" s="17" t="str">
        <f>IFERROR(IF(G93&gt;0, H93/G93, 0),"-")</f>
        <v>-</v>
      </c>
      <c r="K93" s="15">
        <v>1</v>
      </c>
      <c r="L93" s="16" t="s">
        <v>142</v>
      </c>
      <c r="M93" s="15">
        <f>IF(OR(L93="-",L93="",L93=0),IF(K93="-","-",K93),K93-L93)</f>
        <v>1</v>
      </c>
      <c r="N93" s="17" t="str">
        <f>IFERROR(IF(K93&gt;0, L93/K93, 0),"-")</f>
        <v>-</v>
      </c>
      <c r="O93" s="15">
        <v>1</v>
      </c>
      <c r="P93" s="16" t="s">
        <v>142</v>
      </c>
      <c r="Q93" s="15">
        <f>IF(OR(P93="-",P93="",P93=0),IF(O93="-","-",O93),O93-P93)</f>
        <v>1</v>
      </c>
      <c r="R93" s="17" t="str">
        <f>IFERROR(IF(O93&gt;0, P93/O93, 0),"-")</f>
        <v>-</v>
      </c>
      <c r="S93" s="15">
        <v>3</v>
      </c>
      <c r="T93" s="15" t="s">
        <v>142</v>
      </c>
      <c r="U93" s="15" t="s">
        <v>142</v>
      </c>
      <c r="V93" s="16" t="s">
        <v>142</v>
      </c>
      <c r="W93" s="16" t="s">
        <v>142</v>
      </c>
      <c r="X93" s="21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3">
      <c r="B94" s="14" t="s">
        <v>125</v>
      </c>
      <c r="C94" s="15">
        <v>203</v>
      </c>
      <c r="D94" s="16">
        <v>200</v>
      </c>
      <c r="E94" s="15">
        <f>IF(OR(D94="-",D94="",D94=0),IF(C94="-","-",C94),C94-D94)</f>
        <v>3</v>
      </c>
      <c r="F94" s="17">
        <f>IFERROR(IF(C94&gt;0, D94/C94, 0),"-")</f>
        <v>0.98522167487684731</v>
      </c>
      <c r="G94" s="15">
        <v>1</v>
      </c>
      <c r="H94" s="16" t="s">
        <v>142</v>
      </c>
      <c r="I94" s="15">
        <f>IF(OR(H94="-",H94="",H94=0),IF(G94="-","-",G94),G94-H94)</f>
        <v>1</v>
      </c>
      <c r="J94" s="17" t="str">
        <f>IFERROR(IF(G94&gt;0, H94/G94, 0),"-")</f>
        <v>-</v>
      </c>
      <c r="K94" s="15">
        <v>3</v>
      </c>
      <c r="L94" s="16" t="s">
        <v>142</v>
      </c>
      <c r="M94" s="15">
        <f>IF(OR(L94="-",L94="",L94=0),IF(K94="-","-",K94),K94-L94)</f>
        <v>3</v>
      </c>
      <c r="N94" s="17" t="str">
        <f>IFERROR(IF(K94&gt;0, L94/K94, 0),"-")</f>
        <v>-</v>
      </c>
      <c r="O94" s="15" t="s">
        <v>142</v>
      </c>
      <c r="P94" s="16" t="s">
        <v>142</v>
      </c>
      <c r="Q94" s="15" t="str">
        <f>IF(OR(P94="-",P94="",P94=0),IF(O94="-","-",O94),O94-P94)</f>
        <v>-</v>
      </c>
      <c r="R94" s="17" t="str">
        <f>IFERROR(IF(O94&gt;0, P94/O94, 0),"-")</f>
        <v>-</v>
      </c>
      <c r="S94" s="15" t="s">
        <v>142</v>
      </c>
      <c r="T94" s="15" t="s">
        <v>142</v>
      </c>
      <c r="U94" s="15" t="s">
        <v>142</v>
      </c>
      <c r="V94" s="16" t="s">
        <v>142</v>
      </c>
      <c r="W94" s="16" t="s">
        <v>142</v>
      </c>
      <c r="X94" s="21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3">
      <c r="B95" s="14" t="s">
        <v>134</v>
      </c>
      <c r="C95" s="15">
        <v>395</v>
      </c>
      <c r="D95" s="16">
        <v>389</v>
      </c>
      <c r="E95" s="15">
        <f>IF(OR(D95="-",D95="",D95=0),IF(C95="-","-",C95),C95-D95)</f>
        <v>6</v>
      </c>
      <c r="F95" s="17">
        <f>IFERROR(IF(C95&gt;0, D95/C95, 0),"-")</f>
        <v>0.98481012658227851</v>
      </c>
      <c r="G95" s="15">
        <v>1</v>
      </c>
      <c r="H95" s="16" t="s">
        <v>142</v>
      </c>
      <c r="I95" s="15">
        <f>IF(OR(H95="-",H95="",H95=0),IF(G95="-","-",G95),G95-H95)</f>
        <v>1</v>
      </c>
      <c r="J95" s="17" t="str">
        <f>IFERROR(IF(G95&gt;0, H95/G95, 0),"-")</f>
        <v>-</v>
      </c>
      <c r="K95" s="15" t="s">
        <v>142</v>
      </c>
      <c r="L95" s="16" t="s">
        <v>142</v>
      </c>
      <c r="M95" s="15" t="str">
        <f>IF(OR(L95="-",L95="",L95=0),IF(K95="-","-",K95),K95-L95)</f>
        <v>-</v>
      </c>
      <c r="N95" s="17" t="str">
        <f>IFERROR(IF(K95&gt;0, L95/K95, 0),"-")</f>
        <v>-</v>
      </c>
      <c r="O95" s="15">
        <v>2</v>
      </c>
      <c r="P95" s="16" t="s">
        <v>142</v>
      </c>
      <c r="Q95" s="15">
        <f>IF(OR(P95="-",P95="",P95=0),IF(O95="-","-",O95),O95-P95)</f>
        <v>2</v>
      </c>
      <c r="R95" s="17" t="str">
        <f>IFERROR(IF(O95&gt;0, P95/O95, 0),"-")</f>
        <v>-</v>
      </c>
      <c r="S95" s="15" t="s">
        <v>142</v>
      </c>
      <c r="T95" s="15" t="s">
        <v>142</v>
      </c>
      <c r="U95" s="15" t="s">
        <v>142</v>
      </c>
      <c r="V95" s="16" t="s">
        <v>142</v>
      </c>
      <c r="W95" s="16" t="s">
        <v>142</v>
      </c>
      <c r="X95" s="21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3">
      <c r="B96" s="14" t="s">
        <v>20</v>
      </c>
      <c r="C96" s="15">
        <v>518</v>
      </c>
      <c r="D96" s="16">
        <v>510</v>
      </c>
      <c r="E96" s="15">
        <f>IF(OR(D96="-",D96="",D96=0),IF(C96="-","-",C96),C96-D96)</f>
        <v>8</v>
      </c>
      <c r="F96" s="17">
        <f>IFERROR(IF(C96&gt;0, D96/C96, 0),"-")</f>
        <v>0.98455598455598459</v>
      </c>
      <c r="G96" s="15">
        <v>1</v>
      </c>
      <c r="H96" s="16" t="s">
        <v>142</v>
      </c>
      <c r="I96" s="15">
        <f>IF(OR(H96="-",H96="",H96=0),IF(G96="-","-",G96),G96-H96)</f>
        <v>1</v>
      </c>
      <c r="J96" s="17" t="str">
        <f>IFERROR(IF(G96&gt;0, H96/G96, 0),"-")</f>
        <v>-</v>
      </c>
      <c r="K96" s="15" t="s">
        <v>142</v>
      </c>
      <c r="L96" s="16" t="s">
        <v>142</v>
      </c>
      <c r="M96" s="15" t="str">
        <f>IF(OR(L96="-",L96="",L96=0),IF(K96="-","-",K96),K96-L96)</f>
        <v>-</v>
      </c>
      <c r="N96" s="17" t="str">
        <f>IFERROR(IF(K96&gt;0, L96/K96, 0),"-")</f>
        <v>-</v>
      </c>
      <c r="O96" s="15" t="s">
        <v>142</v>
      </c>
      <c r="P96" s="16" t="s">
        <v>142</v>
      </c>
      <c r="Q96" s="15" t="str">
        <f>IF(OR(P96="-",P96="",P96=0),IF(O96="-","-",O96),O96-P96)</f>
        <v>-</v>
      </c>
      <c r="R96" s="17" t="str">
        <f>IFERROR(IF(O96&gt;0, P96/O96, 0),"-")</f>
        <v>-</v>
      </c>
      <c r="S96" s="15">
        <v>1</v>
      </c>
      <c r="T96" s="15" t="s">
        <v>142</v>
      </c>
      <c r="U96" s="15" t="s">
        <v>142</v>
      </c>
      <c r="V96" s="16" t="s">
        <v>142</v>
      </c>
      <c r="W96" s="16" t="s">
        <v>142</v>
      </c>
      <c r="X96" s="21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3">
      <c r="B97" s="14" t="s">
        <v>80</v>
      </c>
      <c r="C97" s="15">
        <v>388</v>
      </c>
      <c r="D97" s="16">
        <v>382</v>
      </c>
      <c r="E97" s="15">
        <f>IF(OR(D97="-",D97="",D97=0),IF(C97="-","-",C97),C97-D97)</f>
        <v>6</v>
      </c>
      <c r="F97" s="17">
        <f>IFERROR(IF(C97&gt;0, D97/C97, 0),"-")</f>
        <v>0.98453608247422686</v>
      </c>
      <c r="G97" s="15">
        <v>3</v>
      </c>
      <c r="H97" s="16" t="s">
        <v>142</v>
      </c>
      <c r="I97" s="15">
        <f>IF(OR(H97="-",H97="",H97=0),IF(G97="-","-",G97),G97-H97)</f>
        <v>3</v>
      </c>
      <c r="J97" s="17" t="str">
        <f>IFERROR(IF(G97&gt;0, H97/G97, 0),"-")</f>
        <v>-</v>
      </c>
      <c r="K97" s="15">
        <v>4</v>
      </c>
      <c r="L97" s="16" t="s">
        <v>142</v>
      </c>
      <c r="M97" s="15">
        <f>IF(OR(L97="-",L97="",L97=0),IF(K97="-","-",K97),K97-L97)</f>
        <v>4</v>
      </c>
      <c r="N97" s="17" t="str">
        <f>IFERROR(IF(K97&gt;0, L97/K97, 0),"-")</f>
        <v>-</v>
      </c>
      <c r="O97" s="15">
        <v>1</v>
      </c>
      <c r="P97" s="16" t="s">
        <v>142</v>
      </c>
      <c r="Q97" s="15">
        <f>IF(OR(P97="-",P97="",P97=0),IF(O97="-","-",O97),O97-P97)</f>
        <v>1</v>
      </c>
      <c r="R97" s="17" t="str">
        <f>IFERROR(IF(O97&gt;0, P97/O97, 0),"-")</f>
        <v>-</v>
      </c>
      <c r="S97" s="15">
        <v>6</v>
      </c>
      <c r="T97" s="15" t="s">
        <v>142</v>
      </c>
      <c r="U97" s="15" t="s">
        <v>142</v>
      </c>
      <c r="V97" s="16" t="s">
        <v>142</v>
      </c>
      <c r="W97" s="16" t="s">
        <v>142</v>
      </c>
      <c r="X97" s="21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3">
      <c r="B98" s="14" t="s">
        <v>55</v>
      </c>
      <c r="C98" s="15">
        <v>257</v>
      </c>
      <c r="D98" s="16">
        <v>253</v>
      </c>
      <c r="E98" s="15">
        <f>IF(OR(D98="-",D98="",D98=0),IF(C98="-","-",C98),C98-D98)</f>
        <v>4</v>
      </c>
      <c r="F98" s="17">
        <f>IFERROR(IF(C98&gt;0, D98/C98, 0),"-")</f>
        <v>0.98443579766536971</v>
      </c>
      <c r="G98" s="15">
        <v>1</v>
      </c>
      <c r="H98" s="16" t="s">
        <v>142</v>
      </c>
      <c r="I98" s="15">
        <f>IF(OR(H98="-",H98="",H98=0),IF(G98="-","-",G98),G98-H98)</f>
        <v>1</v>
      </c>
      <c r="J98" s="17" t="str">
        <f>IFERROR(IF(G98&gt;0, H98/G98, 0),"-")</f>
        <v>-</v>
      </c>
      <c r="K98" s="15">
        <v>2</v>
      </c>
      <c r="L98" s="16" t="s">
        <v>142</v>
      </c>
      <c r="M98" s="15">
        <f>IF(OR(L98="-",L98="",L98=0),IF(K98="-","-",K98),K98-L98)</f>
        <v>2</v>
      </c>
      <c r="N98" s="17" t="str">
        <f>IFERROR(IF(K98&gt;0, L98/K98, 0),"-")</f>
        <v>-</v>
      </c>
      <c r="O98" s="15">
        <v>2</v>
      </c>
      <c r="P98" s="16" t="s">
        <v>142</v>
      </c>
      <c r="Q98" s="15">
        <f>IF(OR(P98="-",P98="",P98=0),IF(O98="-","-",O98),O98-P98)</f>
        <v>2</v>
      </c>
      <c r="R98" s="17" t="str">
        <f>IFERROR(IF(O98&gt;0, P98/O98, 0),"-")</f>
        <v>-</v>
      </c>
      <c r="S98" s="15">
        <v>1</v>
      </c>
      <c r="T98" s="15" t="s">
        <v>142</v>
      </c>
      <c r="U98" s="15" t="s">
        <v>142</v>
      </c>
      <c r="V98" s="16" t="s">
        <v>142</v>
      </c>
      <c r="W98" s="16" t="s">
        <v>142</v>
      </c>
      <c r="X98" s="21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3">
      <c r="B99" s="14" t="s">
        <v>112</v>
      </c>
      <c r="C99" s="15">
        <v>573</v>
      </c>
      <c r="D99" s="16">
        <v>564</v>
      </c>
      <c r="E99" s="15">
        <f>IF(OR(D99="-",D99="",D99=0),IF(C99="-","-",C99),C99-D99)</f>
        <v>9</v>
      </c>
      <c r="F99" s="17">
        <f>IFERROR(IF(C99&gt;0, D99/C99, 0),"-")</f>
        <v>0.98429319371727753</v>
      </c>
      <c r="G99" s="15">
        <v>2</v>
      </c>
      <c r="H99" s="16" t="s">
        <v>142</v>
      </c>
      <c r="I99" s="15">
        <f>IF(OR(H99="-",H99="",H99=0),IF(G99="-","-",G99),G99-H99)</f>
        <v>2</v>
      </c>
      <c r="J99" s="17" t="str">
        <f>IFERROR(IF(G99&gt;0, H99/G99, 0),"-")</f>
        <v>-</v>
      </c>
      <c r="K99" s="15">
        <v>1</v>
      </c>
      <c r="L99" s="16" t="s">
        <v>142</v>
      </c>
      <c r="M99" s="15">
        <f>IF(OR(L99="-",L99="",L99=0),IF(K99="-","-",K99),K99-L99)</f>
        <v>1</v>
      </c>
      <c r="N99" s="17" t="str">
        <f>IFERROR(IF(K99&gt;0, L99/K99, 0),"-")</f>
        <v>-</v>
      </c>
      <c r="O99" s="15">
        <v>1</v>
      </c>
      <c r="P99" s="16" t="s">
        <v>142</v>
      </c>
      <c r="Q99" s="15">
        <f>IF(OR(P99="-",P99="",P99=0),IF(O99="-","-",O99),O99-P99)</f>
        <v>1</v>
      </c>
      <c r="R99" s="17" t="str">
        <f>IFERROR(IF(O99&gt;0, P99/O99, 0),"-")</f>
        <v>-</v>
      </c>
      <c r="S99" s="15">
        <v>2</v>
      </c>
      <c r="T99" s="15" t="s">
        <v>142</v>
      </c>
      <c r="U99" s="15" t="s">
        <v>142</v>
      </c>
      <c r="V99" s="16" t="s">
        <v>142</v>
      </c>
      <c r="W99" s="16" t="s">
        <v>142</v>
      </c>
      <c r="X99" s="21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3">
      <c r="B100" s="14" t="s">
        <v>91</v>
      </c>
      <c r="C100" s="15">
        <v>318</v>
      </c>
      <c r="D100" s="16">
        <v>313</v>
      </c>
      <c r="E100" s="15">
        <f>IF(OR(D100="-",D100="",D100=0),IF(C100="-","-",C100),C100-D100)</f>
        <v>5</v>
      </c>
      <c r="F100" s="17">
        <f>IFERROR(IF(C100&gt;0, D100/C100, 0),"-")</f>
        <v>0.98427672955974843</v>
      </c>
      <c r="G100" s="15">
        <v>1</v>
      </c>
      <c r="H100" s="16" t="s">
        <v>142</v>
      </c>
      <c r="I100" s="15">
        <f>IF(OR(H100="-",H100="",H100=0),IF(G100="-","-",G100),G100-H100)</f>
        <v>1</v>
      </c>
      <c r="J100" s="17" t="str">
        <f>IFERROR(IF(G100&gt;0, H100/G100, 0),"-")</f>
        <v>-</v>
      </c>
      <c r="K100" s="15">
        <v>2</v>
      </c>
      <c r="L100" s="16" t="s">
        <v>142</v>
      </c>
      <c r="M100" s="15">
        <f>IF(OR(L100="-",L100="",L100=0),IF(K100="-","-",K100),K100-L100)</f>
        <v>2</v>
      </c>
      <c r="N100" s="17" t="str">
        <f>IFERROR(IF(K100&gt;0, L100/K100, 0),"-")</f>
        <v>-</v>
      </c>
      <c r="O100" s="15" t="s">
        <v>142</v>
      </c>
      <c r="P100" s="16" t="s">
        <v>142</v>
      </c>
      <c r="Q100" s="15" t="str">
        <f>IF(OR(P100="-",P100="",P100=0),IF(O100="-","-",O100),O100-P100)</f>
        <v>-</v>
      </c>
      <c r="R100" s="17" t="str">
        <f>IFERROR(IF(O100&gt;0, P100/O100, 0),"-")</f>
        <v>-</v>
      </c>
      <c r="S100" s="15">
        <v>1</v>
      </c>
      <c r="T100" s="15" t="s">
        <v>142</v>
      </c>
      <c r="U100" s="15" t="s">
        <v>142</v>
      </c>
      <c r="V100" s="16" t="s">
        <v>142</v>
      </c>
      <c r="W100" s="16" t="s">
        <v>142</v>
      </c>
      <c r="X100" s="21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3">
      <c r="B101" s="14" t="s">
        <v>121</v>
      </c>
      <c r="C101" s="15">
        <v>351</v>
      </c>
      <c r="D101" s="16">
        <v>345</v>
      </c>
      <c r="E101" s="15">
        <f>IF(OR(D101="-",D101="",D101=0),IF(C101="-","-",C101),C101-D101)</f>
        <v>6</v>
      </c>
      <c r="F101" s="17">
        <f>IFERROR(IF(C101&gt;0, D101/C101, 0),"-")</f>
        <v>0.98290598290598286</v>
      </c>
      <c r="G101" s="15">
        <v>3</v>
      </c>
      <c r="H101" s="16" t="s">
        <v>142</v>
      </c>
      <c r="I101" s="15">
        <f>IF(OR(H101="-",H101="",H101=0),IF(G101="-","-",G101),G101-H101)</f>
        <v>3</v>
      </c>
      <c r="J101" s="17" t="str">
        <f>IFERROR(IF(G101&gt;0, H101/G101, 0),"-")</f>
        <v>-</v>
      </c>
      <c r="K101" s="15" t="s">
        <v>142</v>
      </c>
      <c r="L101" s="16" t="s">
        <v>142</v>
      </c>
      <c r="M101" s="15" t="str">
        <f>IF(OR(L101="-",L101="",L101=0),IF(K101="-","-",K101),K101-L101)</f>
        <v>-</v>
      </c>
      <c r="N101" s="17" t="str">
        <f>IFERROR(IF(K101&gt;0, L101/K101, 0),"-")</f>
        <v>-</v>
      </c>
      <c r="O101" s="15">
        <v>6</v>
      </c>
      <c r="P101" s="16" t="s">
        <v>142</v>
      </c>
      <c r="Q101" s="15">
        <f>IF(OR(P101="-",P101="",P101=0),IF(O101="-","-",O101),O101-P101)</f>
        <v>6</v>
      </c>
      <c r="R101" s="17" t="str">
        <f>IFERROR(IF(O101&gt;0, P101/O101, 0),"-")</f>
        <v>-</v>
      </c>
      <c r="S101" s="15" t="s">
        <v>142</v>
      </c>
      <c r="T101" s="15" t="s">
        <v>142</v>
      </c>
      <c r="U101" s="15" t="s">
        <v>142</v>
      </c>
      <c r="V101" s="16" t="s">
        <v>142</v>
      </c>
      <c r="W101" s="16" t="s">
        <v>142</v>
      </c>
      <c r="X101" s="21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3">
      <c r="B102" s="14" t="s">
        <v>30</v>
      </c>
      <c r="C102" s="15">
        <v>509</v>
      </c>
      <c r="D102" s="16">
        <v>500</v>
      </c>
      <c r="E102" s="15">
        <f>IF(OR(D102="-",D102="",D102=0),IF(C102="-","-",C102),C102-D102)</f>
        <v>9</v>
      </c>
      <c r="F102" s="17">
        <f>IFERROR(IF(C102&gt;0, D102/C102, 0),"-")</f>
        <v>0.98231827111984282</v>
      </c>
      <c r="G102" s="15">
        <v>3</v>
      </c>
      <c r="H102" s="16" t="s">
        <v>142</v>
      </c>
      <c r="I102" s="15">
        <f>IF(OR(H102="-",H102="",H102=0),IF(G102="-","-",G102),G102-H102)</f>
        <v>3</v>
      </c>
      <c r="J102" s="17" t="str">
        <f>IFERROR(IF(G102&gt;0, H102/G102, 0),"-")</f>
        <v>-</v>
      </c>
      <c r="K102" s="15" t="s">
        <v>142</v>
      </c>
      <c r="L102" s="16" t="s">
        <v>142</v>
      </c>
      <c r="M102" s="15" t="str">
        <f>IF(OR(L102="-",L102="",L102=0),IF(K102="-","-",K102),K102-L102)</f>
        <v>-</v>
      </c>
      <c r="N102" s="17" t="str">
        <f>IFERROR(IF(K102&gt;0, L102/K102, 0),"-")</f>
        <v>-</v>
      </c>
      <c r="O102" s="15" t="s">
        <v>142</v>
      </c>
      <c r="P102" s="16" t="s">
        <v>142</v>
      </c>
      <c r="Q102" s="15" t="str">
        <f>IF(OR(P102="-",P102="",P102=0),IF(O102="-","-",O102),O102-P102)</f>
        <v>-</v>
      </c>
      <c r="R102" s="17" t="str">
        <f>IFERROR(IF(O102&gt;0, P102/O102, 0),"-")</f>
        <v>-</v>
      </c>
      <c r="S102" s="15">
        <v>1</v>
      </c>
      <c r="T102" s="15" t="s">
        <v>142</v>
      </c>
      <c r="U102" s="15" t="s">
        <v>142</v>
      </c>
      <c r="V102" s="16" t="s">
        <v>142</v>
      </c>
      <c r="W102" s="16" t="s">
        <v>142</v>
      </c>
      <c r="X102" s="21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3">
      <c r="B103" s="14" t="s">
        <v>135</v>
      </c>
      <c r="C103" s="15">
        <v>394</v>
      </c>
      <c r="D103" s="16">
        <v>387</v>
      </c>
      <c r="E103" s="15">
        <f>IF(OR(D103="-",D103="",D103=0),IF(C103="-","-",C103),C103-D103)</f>
        <v>7</v>
      </c>
      <c r="F103" s="17">
        <f>IFERROR(IF(C103&gt;0, D103/C103, 0),"-")</f>
        <v>0.98223350253807107</v>
      </c>
      <c r="G103" s="15" t="s">
        <v>142</v>
      </c>
      <c r="H103" s="16" t="s">
        <v>142</v>
      </c>
      <c r="I103" s="15" t="str">
        <f>IF(OR(H103="-",H103="",H103=0),IF(G103="-","-",G103),G103-H103)</f>
        <v>-</v>
      </c>
      <c r="J103" s="17" t="str">
        <f>IFERROR(IF(G103&gt;0, H103/G103, 0),"-")</f>
        <v>-</v>
      </c>
      <c r="K103" s="15">
        <v>1</v>
      </c>
      <c r="L103" s="16" t="s">
        <v>142</v>
      </c>
      <c r="M103" s="15">
        <f>IF(OR(L103="-",L103="",L103=0),IF(K103="-","-",K103),K103-L103)</f>
        <v>1</v>
      </c>
      <c r="N103" s="17" t="str">
        <f>IFERROR(IF(K103&gt;0, L103/K103, 0),"-")</f>
        <v>-</v>
      </c>
      <c r="O103" s="15" t="s">
        <v>142</v>
      </c>
      <c r="P103" s="16" t="s">
        <v>142</v>
      </c>
      <c r="Q103" s="15" t="str">
        <f>IF(OR(P103="-",P103="",P103=0),IF(O103="-","-",O103),O103-P103)</f>
        <v>-</v>
      </c>
      <c r="R103" s="17" t="str">
        <f>IFERROR(IF(O103&gt;0, P103/O103, 0),"-")</f>
        <v>-</v>
      </c>
      <c r="S103" s="15" t="s">
        <v>142</v>
      </c>
      <c r="T103" s="15" t="s">
        <v>142</v>
      </c>
      <c r="U103" s="15" t="s">
        <v>142</v>
      </c>
      <c r="V103" s="16" t="s">
        <v>142</v>
      </c>
      <c r="W103" s="16" t="s">
        <v>142</v>
      </c>
      <c r="X103" s="21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3">
      <c r="B104" s="14" t="s">
        <v>39</v>
      </c>
      <c r="C104" s="15">
        <v>487</v>
      </c>
      <c r="D104" s="16">
        <v>478</v>
      </c>
      <c r="E104" s="15">
        <f>IF(OR(D104="-",D104="",D104=0),IF(C104="-","-",C104),C104-D104)</f>
        <v>9</v>
      </c>
      <c r="F104" s="17">
        <f>IFERROR(IF(C104&gt;0, D104/C104, 0),"-")</f>
        <v>0.98151950718685832</v>
      </c>
      <c r="G104" s="15">
        <v>4</v>
      </c>
      <c r="H104" s="16" t="s">
        <v>142</v>
      </c>
      <c r="I104" s="15">
        <f>IF(OR(H104="-",H104="",H104=0),IF(G104="-","-",G104),G104-H104)</f>
        <v>4</v>
      </c>
      <c r="J104" s="17" t="str">
        <f>IFERROR(IF(G104&gt;0, H104/G104, 0),"-")</f>
        <v>-</v>
      </c>
      <c r="K104" s="15">
        <v>1</v>
      </c>
      <c r="L104" s="16" t="s">
        <v>142</v>
      </c>
      <c r="M104" s="15">
        <f>IF(OR(L104="-",L104="",L104=0),IF(K104="-","-",K104),K104-L104)</f>
        <v>1</v>
      </c>
      <c r="N104" s="17" t="str">
        <f>IFERROR(IF(K104&gt;0, L104/K104, 0),"-")</f>
        <v>-</v>
      </c>
      <c r="O104" s="15">
        <v>1</v>
      </c>
      <c r="P104" s="16" t="s">
        <v>142</v>
      </c>
      <c r="Q104" s="15">
        <f>IF(OR(P104="-",P104="",P104=0),IF(O104="-","-",O104),O104-P104)</f>
        <v>1</v>
      </c>
      <c r="R104" s="17" t="str">
        <f>IFERROR(IF(O104&gt;0, P104/O104, 0),"-")</f>
        <v>-</v>
      </c>
      <c r="S104" s="15" t="s">
        <v>142</v>
      </c>
      <c r="T104" s="15" t="s">
        <v>142</v>
      </c>
      <c r="U104" s="15" t="s">
        <v>142</v>
      </c>
      <c r="V104" s="16" t="s">
        <v>142</v>
      </c>
      <c r="W104" s="16" t="s">
        <v>142</v>
      </c>
      <c r="X104" s="21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3">
      <c r="B105" s="14" t="s">
        <v>41</v>
      </c>
      <c r="C105" s="15">
        <v>535</v>
      </c>
      <c r="D105" s="16">
        <v>525</v>
      </c>
      <c r="E105" s="15">
        <f>IF(OR(D105="-",D105="",D105=0),IF(C105="-","-",C105),C105-D105)</f>
        <v>10</v>
      </c>
      <c r="F105" s="17">
        <f>IFERROR(IF(C105&gt;0, D105/C105, 0),"-")</f>
        <v>0.98130841121495327</v>
      </c>
      <c r="G105" s="15">
        <v>5</v>
      </c>
      <c r="H105" s="16" t="s">
        <v>142</v>
      </c>
      <c r="I105" s="15">
        <f>IF(OR(H105="-",H105="",H105=0),IF(G105="-","-",G105),G105-H105)</f>
        <v>5</v>
      </c>
      <c r="J105" s="17" t="str">
        <f>IFERROR(IF(G105&gt;0, H105/G105, 0),"-")</f>
        <v>-</v>
      </c>
      <c r="K105" s="15" t="s">
        <v>142</v>
      </c>
      <c r="L105" s="16" t="s">
        <v>142</v>
      </c>
      <c r="M105" s="15" t="str">
        <f>IF(OR(L105="-",L105="",L105=0),IF(K105="-","-",K105),K105-L105)</f>
        <v>-</v>
      </c>
      <c r="N105" s="17" t="str">
        <f>IFERROR(IF(K105&gt;0, L105/K105, 0),"-")</f>
        <v>-</v>
      </c>
      <c r="O105" s="15">
        <v>2</v>
      </c>
      <c r="P105" s="16" t="s">
        <v>142</v>
      </c>
      <c r="Q105" s="15">
        <f>IF(OR(P105="-",P105="",P105=0),IF(O105="-","-",O105),O105-P105)</f>
        <v>2</v>
      </c>
      <c r="R105" s="17" t="str">
        <f>IFERROR(IF(O105&gt;0, P105/O105, 0),"-")</f>
        <v>-</v>
      </c>
      <c r="S105" s="15">
        <v>2</v>
      </c>
      <c r="T105" s="15" t="s">
        <v>142</v>
      </c>
      <c r="U105" s="15" t="s">
        <v>142</v>
      </c>
      <c r="V105" s="16" t="s">
        <v>142</v>
      </c>
      <c r="W105" s="16" t="s">
        <v>142</v>
      </c>
      <c r="X105" s="21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3">
      <c r="B106" s="14" t="s">
        <v>97</v>
      </c>
      <c r="C106" s="15">
        <v>509</v>
      </c>
      <c r="D106" s="16">
        <v>499</v>
      </c>
      <c r="E106" s="15">
        <f>IF(OR(D106="-",D106="",D106=0),IF(C106="-","-",C106),C106-D106)</f>
        <v>10</v>
      </c>
      <c r="F106" s="17">
        <f>IFERROR(IF(C106&gt;0, D106/C106, 0),"-")</f>
        <v>0.98035363457760316</v>
      </c>
      <c r="G106" s="15">
        <v>3</v>
      </c>
      <c r="H106" s="16" t="s">
        <v>142</v>
      </c>
      <c r="I106" s="15">
        <f>IF(OR(H106="-",H106="",H106=0),IF(G106="-","-",G106),G106-H106)</f>
        <v>3</v>
      </c>
      <c r="J106" s="17" t="str">
        <f>IFERROR(IF(G106&gt;0, H106/G106, 0),"-")</f>
        <v>-</v>
      </c>
      <c r="K106" s="15">
        <v>2</v>
      </c>
      <c r="L106" s="16" t="s">
        <v>142</v>
      </c>
      <c r="M106" s="15">
        <f>IF(OR(L106="-",L106="",L106=0),IF(K106="-","-",K106),K106-L106)</f>
        <v>2</v>
      </c>
      <c r="N106" s="17" t="str">
        <f>IFERROR(IF(K106&gt;0, L106/K106, 0),"-")</f>
        <v>-</v>
      </c>
      <c r="O106" s="15">
        <v>1</v>
      </c>
      <c r="P106" s="16" t="s">
        <v>142</v>
      </c>
      <c r="Q106" s="15">
        <f>IF(OR(P106="-",P106="",P106=0),IF(O106="-","-",O106),O106-P106)</f>
        <v>1</v>
      </c>
      <c r="R106" s="17" t="str">
        <f>IFERROR(IF(O106&gt;0, P106/O106, 0),"-")</f>
        <v>-</v>
      </c>
      <c r="S106" s="15">
        <v>4</v>
      </c>
      <c r="T106" s="15" t="s">
        <v>142</v>
      </c>
      <c r="U106" s="15" t="s">
        <v>142</v>
      </c>
      <c r="V106" s="16" t="s">
        <v>142</v>
      </c>
      <c r="W106" s="16" t="s">
        <v>142</v>
      </c>
      <c r="X106" s="21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3">
      <c r="B107" s="14" t="s">
        <v>128</v>
      </c>
      <c r="C107" s="15">
        <v>864</v>
      </c>
      <c r="D107" s="16">
        <v>847</v>
      </c>
      <c r="E107" s="15">
        <f>IF(OR(D107="-",D107="",D107=0),IF(C107="-","-",C107),C107-D107)</f>
        <v>17</v>
      </c>
      <c r="F107" s="17">
        <f>IFERROR(IF(C107&gt;0, D107/C107, 0),"-")</f>
        <v>0.98032407407407407</v>
      </c>
      <c r="G107" s="15">
        <v>5</v>
      </c>
      <c r="H107" s="16" t="s">
        <v>142</v>
      </c>
      <c r="I107" s="15">
        <f>IF(OR(H107="-",H107="",H107=0),IF(G107="-","-",G107),G107-H107)</f>
        <v>5</v>
      </c>
      <c r="J107" s="17" t="str">
        <f>IFERROR(IF(G107&gt;0, H107/G107, 0),"-")</f>
        <v>-</v>
      </c>
      <c r="K107" s="15">
        <v>1</v>
      </c>
      <c r="L107" s="16" t="s">
        <v>142</v>
      </c>
      <c r="M107" s="15">
        <f>IF(OR(L107="-",L107="",L107=0),IF(K107="-","-",K107),K107-L107)</f>
        <v>1</v>
      </c>
      <c r="N107" s="17" t="str">
        <f>IFERROR(IF(K107&gt;0, L107/K107, 0),"-")</f>
        <v>-</v>
      </c>
      <c r="O107" s="15">
        <v>5</v>
      </c>
      <c r="P107" s="16" t="s">
        <v>142</v>
      </c>
      <c r="Q107" s="15">
        <f>IF(OR(P107="-",P107="",P107=0),IF(O107="-","-",O107),O107-P107)</f>
        <v>5</v>
      </c>
      <c r="R107" s="17" t="str">
        <f>IFERROR(IF(O107&gt;0, P107/O107, 0),"-")</f>
        <v>-</v>
      </c>
      <c r="S107" s="15">
        <v>2</v>
      </c>
      <c r="T107" s="15" t="s">
        <v>142</v>
      </c>
      <c r="U107" s="15" t="s">
        <v>142</v>
      </c>
      <c r="V107" s="16" t="s">
        <v>142</v>
      </c>
      <c r="W107" s="16" t="s">
        <v>142</v>
      </c>
      <c r="X107" s="21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3">
      <c r="B108" s="14" t="s">
        <v>21</v>
      </c>
      <c r="C108" s="15">
        <v>850</v>
      </c>
      <c r="D108" s="16">
        <v>833</v>
      </c>
      <c r="E108" s="15">
        <f>IF(OR(D108="-",D108="",D108=0),IF(C108="-","-",C108),C108-D108)</f>
        <v>17</v>
      </c>
      <c r="F108" s="17">
        <f>IFERROR(IF(C108&gt;0, D108/C108, 0),"-")</f>
        <v>0.98</v>
      </c>
      <c r="G108" s="15">
        <v>3</v>
      </c>
      <c r="H108" s="16" t="s">
        <v>142</v>
      </c>
      <c r="I108" s="15">
        <f>IF(OR(H108="-",H108="",H108=0),IF(G108="-","-",G108),G108-H108)</f>
        <v>3</v>
      </c>
      <c r="J108" s="17" t="str">
        <f>IFERROR(IF(G108&gt;0, H108/G108, 0),"-")</f>
        <v>-</v>
      </c>
      <c r="K108" s="15">
        <v>1</v>
      </c>
      <c r="L108" s="16" t="s">
        <v>142</v>
      </c>
      <c r="M108" s="15">
        <f>IF(OR(L108="-",L108="",L108=0),IF(K108="-","-",K108),K108-L108)</f>
        <v>1</v>
      </c>
      <c r="N108" s="17" t="str">
        <f>IFERROR(IF(K108&gt;0, L108/K108, 0),"-")</f>
        <v>-</v>
      </c>
      <c r="O108" s="15">
        <v>3</v>
      </c>
      <c r="P108" s="16" t="s">
        <v>142</v>
      </c>
      <c r="Q108" s="15">
        <f>IF(OR(P108="-",P108="",P108=0),IF(O108="-","-",O108),O108-P108)</f>
        <v>3</v>
      </c>
      <c r="R108" s="17" t="str">
        <f>IFERROR(IF(O108&gt;0, P108/O108, 0),"-")</f>
        <v>-</v>
      </c>
      <c r="S108" s="15">
        <v>2</v>
      </c>
      <c r="T108" s="15" t="s">
        <v>142</v>
      </c>
      <c r="U108" s="15" t="s">
        <v>142</v>
      </c>
      <c r="V108" s="16" t="s">
        <v>142</v>
      </c>
      <c r="W108" s="16" t="s">
        <v>142</v>
      </c>
      <c r="X108" s="21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3">
      <c r="B109" s="14" t="s">
        <v>129</v>
      </c>
      <c r="C109" s="15">
        <v>587</v>
      </c>
      <c r="D109" s="16">
        <v>575</v>
      </c>
      <c r="E109" s="15">
        <f>IF(OR(D109="-",D109="",D109=0),IF(C109="-","-",C109),C109-D109)</f>
        <v>12</v>
      </c>
      <c r="F109" s="17">
        <f>IFERROR(IF(C109&gt;0, D109/C109, 0),"-")</f>
        <v>0.97955706984667801</v>
      </c>
      <c r="G109" s="15">
        <v>7</v>
      </c>
      <c r="H109" s="16" t="s">
        <v>142</v>
      </c>
      <c r="I109" s="15">
        <f>IF(OR(H109="-",H109="",H109=0),IF(G109="-","-",G109),G109-H109)</f>
        <v>7</v>
      </c>
      <c r="J109" s="17" t="str">
        <f>IFERROR(IF(G109&gt;0, H109/G109, 0),"-")</f>
        <v>-</v>
      </c>
      <c r="K109" s="15" t="s">
        <v>142</v>
      </c>
      <c r="L109" s="16" t="s">
        <v>142</v>
      </c>
      <c r="M109" s="15" t="str">
        <f>IF(OR(L109="-",L109="",L109=0),IF(K109="-","-",K109),K109-L109)</f>
        <v>-</v>
      </c>
      <c r="N109" s="17" t="str">
        <f>IFERROR(IF(K109&gt;0, L109/K109, 0),"-")</f>
        <v>-</v>
      </c>
      <c r="O109" s="15">
        <v>2</v>
      </c>
      <c r="P109" s="16" t="s">
        <v>142</v>
      </c>
      <c r="Q109" s="15">
        <f>IF(OR(P109="-",P109="",P109=0),IF(O109="-","-",O109),O109-P109)</f>
        <v>2</v>
      </c>
      <c r="R109" s="17" t="str">
        <f>IFERROR(IF(O109&gt;0, P109/O109, 0),"-")</f>
        <v>-</v>
      </c>
      <c r="S109" s="15">
        <v>1</v>
      </c>
      <c r="T109" s="15" t="s">
        <v>142</v>
      </c>
      <c r="U109" s="15" t="s">
        <v>142</v>
      </c>
      <c r="V109" s="16" t="s">
        <v>142</v>
      </c>
      <c r="W109" s="16" t="s">
        <v>142</v>
      </c>
      <c r="X109" s="21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3">
      <c r="B110" s="14" t="s">
        <v>35</v>
      </c>
      <c r="C110" s="15">
        <v>289</v>
      </c>
      <c r="D110" s="16">
        <v>283</v>
      </c>
      <c r="E110" s="15">
        <f>IF(OR(D110="-",D110="",D110=0),IF(C110="-","-",C110),C110-D110)</f>
        <v>6</v>
      </c>
      <c r="F110" s="17">
        <f>IFERROR(IF(C110&gt;0, D110/C110, 0),"-")</f>
        <v>0.97923875432525953</v>
      </c>
      <c r="G110" s="15">
        <v>1</v>
      </c>
      <c r="H110" s="16" t="s">
        <v>142</v>
      </c>
      <c r="I110" s="15">
        <f>IF(OR(H110="-",H110="",H110=0),IF(G110="-","-",G110),G110-H110)</f>
        <v>1</v>
      </c>
      <c r="J110" s="17" t="str">
        <f>IFERROR(IF(G110&gt;0, H110/G110, 0),"-")</f>
        <v>-</v>
      </c>
      <c r="K110" s="15">
        <v>1</v>
      </c>
      <c r="L110" s="16" t="s">
        <v>142</v>
      </c>
      <c r="M110" s="15">
        <f>IF(OR(L110="-",L110="",L110=0),IF(K110="-","-",K110),K110-L110)</f>
        <v>1</v>
      </c>
      <c r="N110" s="17" t="str">
        <f>IFERROR(IF(K110&gt;0, L110/K110, 0),"-")</f>
        <v>-</v>
      </c>
      <c r="O110" s="15">
        <v>1</v>
      </c>
      <c r="P110" s="16" t="s">
        <v>142</v>
      </c>
      <c r="Q110" s="15">
        <f>IF(OR(P110="-",P110="",P110=0),IF(O110="-","-",O110),O110-P110)</f>
        <v>1</v>
      </c>
      <c r="R110" s="17" t="str">
        <f>IFERROR(IF(O110&gt;0, P110/O110, 0),"-")</f>
        <v>-</v>
      </c>
      <c r="S110" s="15">
        <v>3</v>
      </c>
      <c r="T110" s="15" t="s">
        <v>142</v>
      </c>
      <c r="U110" s="15" t="s">
        <v>142</v>
      </c>
      <c r="V110" s="16" t="s">
        <v>142</v>
      </c>
      <c r="W110" s="16" t="s">
        <v>142</v>
      </c>
      <c r="X110" s="21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3">
      <c r="B111" s="14" t="s">
        <v>102</v>
      </c>
      <c r="C111" s="15">
        <v>289</v>
      </c>
      <c r="D111" s="16">
        <v>283</v>
      </c>
      <c r="E111" s="15">
        <f>IF(OR(D111="-",D111="",D111=0),IF(C111="-","-",C111),C111-D111)</f>
        <v>6</v>
      </c>
      <c r="F111" s="17">
        <f>IFERROR(IF(C111&gt;0, D111/C111, 0),"-")</f>
        <v>0.97923875432525953</v>
      </c>
      <c r="G111" s="15">
        <v>3</v>
      </c>
      <c r="H111" s="16" t="s">
        <v>142</v>
      </c>
      <c r="I111" s="15">
        <f>IF(OR(H111="-",H111="",H111=0),IF(G111="-","-",G111),G111-H111)</f>
        <v>3</v>
      </c>
      <c r="J111" s="17" t="str">
        <f>IFERROR(IF(G111&gt;0, H111/G111, 0),"-")</f>
        <v>-</v>
      </c>
      <c r="K111" s="15" t="s">
        <v>142</v>
      </c>
      <c r="L111" s="16" t="s">
        <v>142</v>
      </c>
      <c r="M111" s="15" t="str">
        <f>IF(OR(L111="-",L111="",L111=0),IF(K111="-","-",K111),K111-L111)</f>
        <v>-</v>
      </c>
      <c r="N111" s="17" t="str">
        <f>IFERROR(IF(K111&gt;0, L111/K111, 0),"-")</f>
        <v>-</v>
      </c>
      <c r="O111" s="15">
        <v>4</v>
      </c>
      <c r="P111" s="16" t="s">
        <v>142</v>
      </c>
      <c r="Q111" s="15">
        <f>IF(OR(P111="-",P111="",P111=0),IF(O111="-","-",O111),O111-P111)</f>
        <v>4</v>
      </c>
      <c r="R111" s="17" t="str">
        <f>IFERROR(IF(O111&gt;0, P111/O111, 0),"-")</f>
        <v>-</v>
      </c>
      <c r="S111" s="15" t="s">
        <v>142</v>
      </c>
      <c r="T111" s="15" t="s">
        <v>142</v>
      </c>
      <c r="U111" s="15" t="s">
        <v>142</v>
      </c>
      <c r="V111" s="16" t="s">
        <v>142</v>
      </c>
      <c r="W111" s="16" t="s">
        <v>142</v>
      </c>
      <c r="X111" s="21">
        <f>RANK(F111,$F$57:$F$183,0)</f>
        <v>54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3">
      <c r="B112" s="14" t="s">
        <v>32</v>
      </c>
      <c r="C112" s="15">
        <v>528</v>
      </c>
      <c r="D112" s="16">
        <v>517</v>
      </c>
      <c r="E112" s="15">
        <f>IF(OR(D112="-",D112="",D112=0),IF(C112="-","-",C112),C112-D112)</f>
        <v>11</v>
      </c>
      <c r="F112" s="17">
        <f>IFERROR(IF(C112&gt;0, D112/C112, 0),"-")</f>
        <v>0.97916666666666663</v>
      </c>
      <c r="G112" s="15" t="s">
        <v>142</v>
      </c>
      <c r="H112" s="16" t="s">
        <v>142</v>
      </c>
      <c r="I112" s="15" t="str">
        <f>IF(OR(H112="-",H112="",H112=0),IF(G112="-","-",G112),G112-H112)</f>
        <v>-</v>
      </c>
      <c r="J112" s="17" t="str">
        <f>IFERROR(IF(G112&gt;0, H112/G112, 0),"-")</f>
        <v>-</v>
      </c>
      <c r="K112" s="15">
        <v>1</v>
      </c>
      <c r="L112" s="16" t="s">
        <v>142</v>
      </c>
      <c r="M112" s="15">
        <f>IF(OR(L112="-",L112="",L112=0),IF(K112="-","-",K112),K112-L112)</f>
        <v>1</v>
      </c>
      <c r="N112" s="17" t="str">
        <f>IFERROR(IF(K112&gt;0, L112/K112, 0),"-")</f>
        <v>-</v>
      </c>
      <c r="O112" s="15" t="s">
        <v>142</v>
      </c>
      <c r="P112" s="16" t="s">
        <v>142</v>
      </c>
      <c r="Q112" s="15" t="str">
        <f>IF(OR(P112="-",P112="",P112=0),IF(O112="-","-",O112),O112-P112)</f>
        <v>-</v>
      </c>
      <c r="R112" s="17" t="str">
        <f>IFERROR(IF(O112&gt;0, P112/O112, 0),"-")</f>
        <v>-</v>
      </c>
      <c r="S112" s="15">
        <v>3</v>
      </c>
      <c r="T112" s="15" t="s">
        <v>142</v>
      </c>
      <c r="U112" s="15" t="s">
        <v>142</v>
      </c>
      <c r="V112" s="16" t="s">
        <v>142</v>
      </c>
      <c r="W112" s="16" t="s">
        <v>142</v>
      </c>
      <c r="X112" s="21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3">
      <c r="B113" s="14" t="s">
        <v>63</v>
      </c>
      <c r="C113" s="15">
        <v>286</v>
      </c>
      <c r="D113" s="16">
        <v>280</v>
      </c>
      <c r="E113" s="15">
        <f>IF(OR(D113="-",D113="",D113=0),IF(C113="-","-",C113),C113-D113)</f>
        <v>6</v>
      </c>
      <c r="F113" s="17">
        <f>IFERROR(IF(C113&gt;0, D113/C113, 0),"-")</f>
        <v>0.97902097902097907</v>
      </c>
      <c r="G113" s="15" t="s">
        <v>142</v>
      </c>
      <c r="H113" s="16" t="s">
        <v>142</v>
      </c>
      <c r="I113" s="15" t="str">
        <f>IF(OR(H113="-",H113="",H113=0),IF(G113="-","-",G113),G113-H113)</f>
        <v>-</v>
      </c>
      <c r="J113" s="17" t="str">
        <f>IFERROR(IF(G113&gt;0, H113/G113, 0),"-")</f>
        <v>-</v>
      </c>
      <c r="K113" s="15">
        <v>2</v>
      </c>
      <c r="L113" s="16" t="s">
        <v>142</v>
      </c>
      <c r="M113" s="15">
        <f>IF(OR(L113="-",L113="",L113=0),IF(K113="-","-",K113),K113-L113)</f>
        <v>2</v>
      </c>
      <c r="N113" s="17" t="str">
        <f>IFERROR(IF(K113&gt;0, L113/K113, 0),"-")</f>
        <v>-</v>
      </c>
      <c r="O113" s="15" t="s">
        <v>142</v>
      </c>
      <c r="P113" s="16" t="s">
        <v>142</v>
      </c>
      <c r="Q113" s="15" t="str">
        <f>IF(OR(P113="-",P113="",P113=0),IF(O113="-","-",O113),O113-P113)</f>
        <v>-</v>
      </c>
      <c r="R113" s="17" t="str">
        <f>IFERROR(IF(O113&gt;0, P113/O113, 0),"-")</f>
        <v>-</v>
      </c>
      <c r="S113" s="15">
        <v>1</v>
      </c>
      <c r="T113" s="15" t="s">
        <v>142</v>
      </c>
      <c r="U113" s="15" t="s">
        <v>142</v>
      </c>
      <c r="V113" s="16" t="s">
        <v>142</v>
      </c>
      <c r="W113" s="16" t="s">
        <v>142</v>
      </c>
      <c r="X113" s="21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3">
      <c r="B114" s="14" t="s">
        <v>122</v>
      </c>
      <c r="C114" s="15">
        <v>377</v>
      </c>
      <c r="D114" s="16">
        <v>369</v>
      </c>
      <c r="E114" s="15">
        <f>IF(OR(D114="-",D114="",D114=0),IF(C114="-","-",C114),C114-D114)</f>
        <v>8</v>
      </c>
      <c r="F114" s="17">
        <f>IFERROR(IF(C114&gt;0, D114/C114, 0),"-")</f>
        <v>0.97877984084880632</v>
      </c>
      <c r="G114" s="15">
        <v>2</v>
      </c>
      <c r="H114" s="16" t="s">
        <v>142</v>
      </c>
      <c r="I114" s="15">
        <f>IF(OR(H114="-",H114="",H114=0),IF(G114="-","-",G114),G114-H114)</f>
        <v>2</v>
      </c>
      <c r="J114" s="17" t="str">
        <f>IFERROR(IF(G114&gt;0, H114/G114, 0),"-")</f>
        <v>-</v>
      </c>
      <c r="K114" s="15" t="s">
        <v>142</v>
      </c>
      <c r="L114" s="16" t="s">
        <v>142</v>
      </c>
      <c r="M114" s="15" t="str">
        <f>IF(OR(L114="-",L114="",L114=0),IF(K114="-","-",K114),K114-L114)</f>
        <v>-</v>
      </c>
      <c r="N114" s="17" t="str">
        <f>IFERROR(IF(K114&gt;0, L114/K114, 0),"-")</f>
        <v>-</v>
      </c>
      <c r="O114" s="15">
        <v>1</v>
      </c>
      <c r="P114" s="16" t="s">
        <v>142</v>
      </c>
      <c r="Q114" s="15">
        <f>IF(OR(P114="-",P114="",P114=0),IF(O114="-","-",O114),O114-P114)</f>
        <v>1</v>
      </c>
      <c r="R114" s="17" t="str">
        <f>IFERROR(IF(O114&gt;0, P114/O114, 0),"-")</f>
        <v>-</v>
      </c>
      <c r="S114" s="15">
        <v>1</v>
      </c>
      <c r="T114" s="15" t="s">
        <v>142</v>
      </c>
      <c r="U114" s="15" t="s">
        <v>142</v>
      </c>
      <c r="V114" s="16" t="s">
        <v>142</v>
      </c>
      <c r="W114" s="16" t="s">
        <v>142</v>
      </c>
      <c r="X114" s="21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3">
      <c r="B115" s="14" t="s">
        <v>110</v>
      </c>
      <c r="C115" s="15">
        <v>694</v>
      </c>
      <c r="D115" s="16">
        <v>679</v>
      </c>
      <c r="E115" s="15">
        <f>IF(OR(D115="-",D115="",D115=0),IF(C115="-","-",C115),C115-D115)</f>
        <v>15</v>
      </c>
      <c r="F115" s="17">
        <f>IFERROR(IF(C115&gt;0, D115/C115, 0),"-")</f>
        <v>0.97838616714697402</v>
      </c>
      <c r="G115" s="15">
        <v>5</v>
      </c>
      <c r="H115" s="16" t="s">
        <v>142</v>
      </c>
      <c r="I115" s="15">
        <f>IF(OR(H115="-",H115="",H115=0),IF(G115="-","-",G115),G115-H115)</f>
        <v>5</v>
      </c>
      <c r="J115" s="17" t="str">
        <f>IFERROR(IF(G115&gt;0, H115/G115, 0),"-")</f>
        <v>-</v>
      </c>
      <c r="K115" s="15">
        <v>2</v>
      </c>
      <c r="L115" s="16" t="s">
        <v>142</v>
      </c>
      <c r="M115" s="15">
        <f>IF(OR(L115="-",L115="",L115=0),IF(K115="-","-",K115),K115-L115)</f>
        <v>2</v>
      </c>
      <c r="N115" s="17" t="str">
        <f>IFERROR(IF(K115&gt;0, L115/K115, 0),"-")</f>
        <v>-</v>
      </c>
      <c r="O115" s="15" t="s">
        <v>142</v>
      </c>
      <c r="P115" s="16" t="s">
        <v>142</v>
      </c>
      <c r="Q115" s="15" t="str">
        <f>IF(OR(P115="-",P115="",P115=0),IF(O115="-","-",O115),O115-P115)</f>
        <v>-</v>
      </c>
      <c r="R115" s="17" t="str">
        <f>IFERROR(IF(O115&gt;0, P115/O115, 0),"-")</f>
        <v>-</v>
      </c>
      <c r="S115" s="15">
        <v>3</v>
      </c>
      <c r="T115" s="15" t="s">
        <v>142</v>
      </c>
      <c r="U115" s="15" t="s">
        <v>142</v>
      </c>
      <c r="V115" s="16" t="s">
        <v>142</v>
      </c>
      <c r="W115" s="16" t="s">
        <v>142</v>
      </c>
      <c r="X115" s="21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3">
      <c r="B116" s="14" t="s">
        <v>25</v>
      </c>
      <c r="C116" s="15">
        <v>494</v>
      </c>
      <c r="D116" s="16">
        <v>483</v>
      </c>
      <c r="E116" s="15">
        <f>IF(OR(D116="-",D116="",D116=0),IF(C116="-","-",C116),C116-D116)</f>
        <v>11</v>
      </c>
      <c r="F116" s="17">
        <f>IFERROR(IF(C116&gt;0, D116/C116, 0),"-")</f>
        <v>0.97773279352226716</v>
      </c>
      <c r="G116" s="15">
        <v>7</v>
      </c>
      <c r="H116" s="16" t="s">
        <v>142</v>
      </c>
      <c r="I116" s="15">
        <f>IF(OR(H116="-",H116="",H116=0),IF(G116="-","-",G116),G116-H116)</f>
        <v>7</v>
      </c>
      <c r="J116" s="17" t="str">
        <f>IFERROR(IF(G116&gt;0, H116/G116, 0),"-")</f>
        <v>-</v>
      </c>
      <c r="K116" s="15">
        <v>2</v>
      </c>
      <c r="L116" s="16" t="s">
        <v>142</v>
      </c>
      <c r="M116" s="15">
        <f>IF(OR(L116="-",L116="",L116=0),IF(K116="-","-",K116),K116-L116)</f>
        <v>2</v>
      </c>
      <c r="N116" s="17" t="str">
        <f>IFERROR(IF(K116&gt;0, L116/K116, 0),"-")</f>
        <v>-</v>
      </c>
      <c r="O116" s="15">
        <v>1</v>
      </c>
      <c r="P116" s="16" t="s">
        <v>142</v>
      </c>
      <c r="Q116" s="15">
        <f>IF(OR(P116="-",P116="",P116=0),IF(O116="-","-",O116),O116-P116)</f>
        <v>1</v>
      </c>
      <c r="R116" s="17" t="str">
        <f>IFERROR(IF(O116&gt;0, P116/O116, 0),"-")</f>
        <v>-</v>
      </c>
      <c r="S116" s="15">
        <v>6</v>
      </c>
      <c r="T116" s="15" t="s">
        <v>142</v>
      </c>
      <c r="U116" s="15" t="s">
        <v>142</v>
      </c>
      <c r="V116" s="16" t="s">
        <v>142</v>
      </c>
      <c r="W116" s="16" t="s">
        <v>142</v>
      </c>
      <c r="X116" s="21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3">
      <c r="B117" s="14" t="s">
        <v>127</v>
      </c>
      <c r="C117" s="15">
        <v>267</v>
      </c>
      <c r="D117" s="16">
        <v>261</v>
      </c>
      <c r="E117" s="15">
        <f>IF(OR(D117="-",D117="",D117=0),IF(C117="-","-",C117),C117-D117)</f>
        <v>6</v>
      </c>
      <c r="F117" s="17">
        <f>IFERROR(IF(C117&gt;0, D117/C117, 0),"-")</f>
        <v>0.97752808988764039</v>
      </c>
      <c r="G117" s="15" t="s">
        <v>142</v>
      </c>
      <c r="H117" s="16" t="s">
        <v>142</v>
      </c>
      <c r="I117" s="15" t="str">
        <f>IF(OR(H117="-",H117="",H117=0),IF(G117="-","-",G117),G117-H117)</f>
        <v>-</v>
      </c>
      <c r="J117" s="17" t="str">
        <f>IFERROR(IF(G117&gt;0, H117/G117, 0),"-")</f>
        <v>-</v>
      </c>
      <c r="K117" s="15" t="s">
        <v>142</v>
      </c>
      <c r="L117" s="16" t="s">
        <v>142</v>
      </c>
      <c r="M117" s="15" t="str">
        <f>IF(OR(L117="-",L117="",L117=0),IF(K117="-","-",K117),K117-L117)</f>
        <v>-</v>
      </c>
      <c r="N117" s="17" t="str">
        <f>IFERROR(IF(K117&gt;0, L117/K117, 0),"-")</f>
        <v>-</v>
      </c>
      <c r="O117" s="15">
        <v>1</v>
      </c>
      <c r="P117" s="16" t="s">
        <v>142</v>
      </c>
      <c r="Q117" s="15">
        <f>IF(OR(P117="-",P117="",P117=0),IF(O117="-","-",O117),O117-P117)</f>
        <v>1</v>
      </c>
      <c r="R117" s="17" t="str">
        <f>IFERROR(IF(O117&gt;0, P117/O117, 0),"-")</f>
        <v>-</v>
      </c>
      <c r="S117" s="15" t="s">
        <v>142</v>
      </c>
      <c r="T117" s="15" t="s">
        <v>142</v>
      </c>
      <c r="U117" s="15" t="s">
        <v>142</v>
      </c>
      <c r="V117" s="16" t="s">
        <v>142</v>
      </c>
      <c r="W117" s="16" t="s">
        <v>142</v>
      </c>
      <c r="X117" s="21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3">
      <c r="B118" s="14" t="s">
        <v>120</v>
      </c>
      <c r="C118" s="15">
        <v>521</v>
      </c>
      <c r="D118" s="16">
        <v>509</v>
      </c>
      <c r="E118" s="15">
        <f>IF(OR(D118="-",D118="",D118=0),IF(C118="-","-",C118),C118-D118)</f>
        <v>12</v>
      </c>
      <c r="F118" s="17">
        <f>IFERROR(IF(C118&gt;0, D118/C118, 0),"-")</f>
        <v>0.97696737044145876</v>
      </c>
      <c r="G118" s="15">
        <v>1</v>
      </c>
      <c r="H118" s="16" t="s">
        <v>142</v>
      </c>
      <c r="I118" s="15">
        <f>IF(OR(H118="-",H118="",H118=0),IF(G118="-","-",G118),G118-H118)</f>
        <v>1</v>
      </c>
      <c r="J118" s="17" t="str">
        <f>IFERROR(IF(G118&gt;0, H118/G118, 0),"-")</f>
        <v>-</v>
      </c>
      <c r="K118" s="15">
        <v>2</v>
      </c>
      <c r="L118" s="16" t="s">
        <v>142</v>
      </c>
      <c r="M118" s="15">
        <f>IF(OR(L118="-",L118="",L118=0),IF(K118="-","-",K118),K118-L118)</f>
        <v>2</v>
      </c>
      <c r="N118" s="17" t="str">
        <f>IFERROR(IF(K118&gt;0, L118/K118, 0),"-")</f>
        <v>-</v>
      </c>
      <c r="O118" s="15">
        <v>2</v>
      </c>
      <c r="P118" s="16" t="s">
        <v>142</v>
      </c>
      <c r="Q118" s="15">
        <f>IF(OR(P118="-",P118="",P118=0),IF(O118="-","-",O118),O118-P118)</f>
        <v>2</v>
      </c>
      <c r="R118" s="17" t="str">
        <f>IFERROR(IF(O118&gt;0, P118/O118, 0),"-")</f>
        <v>-</v>
      </c>
      <c r="S118" s="15">
        <v>3</v>
      </c>
      <c r="T118" s="15" t="s">
        <v>142</v>
      </c>
      <c r="U118" s="15" t="s">
        <v>142</v>
      </c>
      <c r="V118" s="16" t="s">
        <v>142</v>
      </c>
      <c r="W118" s="16" t="s">
        <v>142</v>
      </c>
      <c r="X118" s="21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3">
      <c r="B119" s="14" t="s">
        <v>45</v>
      </c>
      <c r="C119" s="15">
        <v>373</v>
      </c>
      <c r="D119" s="16">
        <v>364</v>
      </c>
      <c r="E119" s="15">
        <f>IF(OR(D119="-",D119="",D119=0),IF(C119="-","-",C119),C119-D119)</f>
        <v>9</v>
      </c>
      <c r="F119" s="17">
        <f>IFERROR(IF(C119&gt;0, D119/C119, 0),"-")</f>
        <v>0.97587131367292224</v>
      </c>
      <c r="G119" s="15">
        <v>9</v>
      </c>
      <c r="H119" s="16" t="s">
        <v>142</v>
      </c>
      <c r="I119" s="15">
        <f>IF(OR(H119="-",H119="",H119=0),IF(G119="-","-",G119),G119-H119)</f>
        <v>9</v>
      </c>
      <c r="J119" s="17" t="str">
        <f>IFERROR(IF(G119&gt;0, H119/G119, 0),"-")</f>
        <v>-</v>
      </c>
      <c r="K119" s="15">
        <v>4</v>
      </c>
      <c r="L119" s="16" t="s">
        <v>142</v>
      </c>
      <c r="M119" s="15">
        <f>IF(OR(L119="-",L119="",L119=0),IF(K119="-","-",K119),K119-L119)</f>
        <v>4</v>
      </c>
      <c r="N119" s="17" t="str">
        <f>IFERROR(IF(K119&gt;0, L119/K119, 0),"-")</f>
        <v>-</v>
      </c>
      <c r="O119" s="15">
        <v>1</v>
      </c>
      <c r="P119" s="16" t="s">
        <v>142</v>
      </c>
      <c r="Q119" s="15">
        <f>IF(OR(P119="-",P119="",P119=0),IF(O119="-","-",O119),O119-P119)</f>
        <v>1</v>
      </c>
      <c r="R119" s="17" t="str">
        <f>IFERROR(IF(O119&gt;0, P119/O119, 0),"-")</f>
        <v>-</v>
      </c>
      <c r="S119" s="15">
        <v>1</v>
      </c>
      <c r="T119" s="15" t="s">
        <v>142</v>
      </c>
      <c r="U119" s="15" t="s">
        <v>142</v>
      </c>
      <c r="V119" s="16" t="s">
        <v>142</v>
      </c>
      <c r="W119" s="16" t="s">
        <v>142</v>
      </c>
      <c r="X119" s="21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3">
      <c r="B120" s="14" t="s">
        <v>96</v>
      </c>
      <c r="C120" s="15">
        <v>564</v>
      </c>
      <c r="D120" s="16">
        <v>550</v>
      </c>
      <c r="E120" s="15">
        <f>IF(OR(D120="-",D120="",D120=0),IF(C120="-","-",C120),C120-D120)</f>
        <v>14</v>
      </c>
      <c r="F120" s="17">
        <f>IFERROR(IF(C120&gt;0, D120/C120, 0),"-")</f>
        <v>0.97517730496453903</v>
      </c>
      <c r="G120" s="15">
        <v>1</v>
      </c>
      <c r="H120" s="16" t="s">
        <v>142</v>
      </c>
      <c r="I120" s="15">
        <f>IF(OR(H120="-",H120="",H120=0),IF(G120="-","-",G120),G120-H120)</f>
        <v>1</v>
      </c>
      <c r="J120" s="17" t="str">
        <f>IFERROR(IF(G120&gt;0, H120/G120, 0),"-")</f>
        <v>-</v>
      </c>
      <c r="K120" s="15" t="s">
        <v>142</v>
      </c>
      <c r="L120" s="16" t="s">
        <v>142</v>
      </c>
      <c r="M120" s="15" t="str">
        <f>IF(OR(L120="-",L120="",L120=0),IF(K120="-","-",K120),K120-L120)</f>
        <v>-</v>
      </c>
      <c r="N120" s="17" t="str">
        <f>IFERROR(IF(K120&gt;0, L120/K120, 0),"-")</f>
        <v>-</v>
      </c>
      <c r="O120" s="15">
        <v>2</v>
      </c>
      <c r="P120" s="16" t="s">
        <v>142</v>
      </c>
      <c r="Q120" s="15">
        <f>IF(OR(P120="-",P120="",P120=0),IF(O120="-","-",O120),O120-P120)</f>
        <v>2</v>
      </c>
      <c r="R120" s="17" t="str">
        <f>IFERROR(IF(O120&gt;0, P120/O120, 0),"-")</f>
        <v>-</v>
      </c>
      <c r="S120" s="15">
        <v>8</v>
      </c>
      <c r="T120" s="15" t="s">
        <v>142</v>
      </c>
      <c r="U120" s="15" t="s">
        <v>142</v>
      </c>
      <c r="V120" s="16" t="s">
        <v>142</v>
      </c>
      <c r="W120" s="16" t="s">
        <v>142</v>
      </c>
      <c r="X120" s="21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3">
      <c r="B121" s="14" t="s">
        <v>13</v>
      </c>
      <c r="C121" s="15">
        <v>684</v>
      </c>
      <c r="D121" s="16">
        <v>667</v>
      </c>
      <c r="E121" s="15">
        <f>IF(OR(D121="-",D121="",D121=0),IF(C121="-","-",C121),C121-D121)</f>
        <v>17</v>
      </c>
      <c r="F121" s="17">
        <f>IFERROR(IF(C121&gt;0, D121/C121, 0),"-")</f>
        <v>0.97514619883040932</v>
      </c>
      <c r="G121" s="15">
        <v>4</v>
      </c>
      <c r="H121" s="16" t="s">
        <v>142</v>
      </c>
      <c r="I121" s="15">
        <f>IF(OR(H121="-",H121="",H121=0),IF(G121="-","-",G121),G121-H121)</f>
        <v>4</v>
      </c>
      <c r="J121" s="17" t="str">
        <f>IFERROR(IF(G121&gt;0, H121/G121, 0),"-")</f>
        <v>-</v>
      </c>
      <c r="K121" s="15">
        <v>1</v>
      </c>
      <c r="L121" s="16" t="s">
        <v>142</v>
      </c>
      <c r="M121" s="15">
        <f>IF(OR(L121="-",L121="",L121=0),IF(K121="-","-",K121),K121-L121)</f>
        <v>1</v>
      </c>
      <c r="N121" s="17" t="str">
        <f>IFERROR(IF(K121&gt;0, L121/K121, 0),"-")</f>
        <v>-</v>
      </c>
      <c r="O121" s="15" t="s">
        <v>142</v>
      </c>
      <c r="P121" s="16" t="s">
        <v>142</v>
      </c>
      <c r="Q121" s="15" t="str">
        <f>IF(OR(P121="-",P121="",P121=0),IF(O121="-","-",O121),O121-P121)</f>
        <v>-</v>
      </c>
      <c r="R121" s="17" t="str">
        <f>IFERROR(IF(O121&gt;0, P121/O121, 0),"-")</f>
        <v>-</v>
      </c>
      <c r="S121" s="15" t="s">
        <v>142</v>
      </c>
      <c r="T121" s="15" t="s">
        <v>142</v>
      </c>
      <c r="U121" s="15" t="s">
        <v>142</v>
      </c>
      <c r="V121" s="16" t="s">
        <v>142</v>
      </c>
      <c r="W121" s="16" t="s">
        <v>142</v>
      </c>
      <c r="X121" s="21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3">
      <c r="B122" s="14" t="s">
        <v>99</v>
      </c>
      <c r="C122" s="15">
        <v>593</v>
      </c>
      <c r="D122" s="16">
        <v>578</v>
      </c>
      <c r="E122" s="15">
        <f>IF(OR(D122="-",D122="",D122=0),IF(C122="-","-",C122),C122-D122)</f>
        <v>15</v>
      </c>
      <c r="F122" s="17">
        <f>IFERROR(IF(C122&gt;0, D122/C122, 0),"-")</f>
        <v>0.97470489038785835</v>
      </c>
      <c r="G122" s="15">
        <v>2</v>
      </c>
      <c r="H122" s="16" t="s">
        <v>142</v>
      </c>
      <c r="I122" s="15">
        <f>IF(OR(H122="-",H122="",H122=0),IF(G122="-","-",G122),G122-H122)</f>
        <v>2</v>
      </c>
      <c r="J122" s="17" t="str">
        <f>IFERROR(IF(G122&gt;0, H122/G122, 0),"-")</f>
        <v>-</v>
      </c>
      <c r="K122" s="15">
        <v>1</v>
      </c>
      <c r="L122" s="16" t="s">
        <v>142</v>
      </c>
      <c r="M122" s="15">
        <f>IF(OR(L122="-",L122="",L122=0),IF(K122="-","-",K122),K122-L122)</f>
        <v>1</v>
      </c>
      <c r="N122" s="17" t="str">
        <f>IFERROR(IF(K122&gt;0, L122/K122, 0),"-")</f>
        <v>-</v>
      </c>
      <c r="O122" s="15">
        <v>3</v>
      </c>
      <c r="P122" s="16" t="s">
        <v>142</v>
      </c>
      <c r="Q122" s="15">
        <f>IF(OR(P122="-",P122="",P122=0),IF(O122="-","-",O122),O122-P122)</f>
        <v>3</v>
      </c>
      <c r="R122" s="17" t="str">
        <f>IFERROR(IF(O122&gt;0, P122/O122, 0),"-")</f>
        <v>-</v>
      </c>
      <c r="S122" s="15">
        <v>5</v>
      </c>
      <c r="T122" s="15" t="s">
        <v>142</v>
      </c>
      <c r="U122" s="15" t="s">
        <v>142</v>
      </c>
      <c r="V122" s="16" t="s">
        <v>142</v>
      </c>
      <c r="W122" s="16" t="s">
        <v>142</v>
      </c>
      <c r="X122" s="21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3">
      <c r="B123" s="14" t="s">
        <v>38</v>
      </c>
      <c r="C123" s="15">
        <v>511</v>
      </c>
      <c r="D123" s="16">
        <v>498</v>
      </c>
      <c r="E123" s="15">
        <f>IF(OR(D123="-",D123="",D123=0),IF(C123="-","-",C123),C123-D123)</f>
        <v>13</v>
      </c>
      <c r="F123" s="17">
        <f>IFERROR(IF(C123&gt;0, D123/C123, 0),"-")</f>
        <v>0.97455968688845396</v>
      </c>
      <c r="G123" s="15">
        <v>3</v>
      </c>
      <c r="H123" s="16" t="s">
        <v>142</v>
      </c>
      <c r="I123" s="15">
        <f>IF(OR(H123="-",H123="",H123=0),IF(G123="-","-",G123),G123-H123)</f>
        <v>3</v>
      </c>
      <c r="J123" s="17" t="str">
        <f>IFERROR(IF(G123&gt;0, H123/G123, 0),"-")</f>
        <v>-</v>
      </c>
      <c r="K123" s="15">
        <v>7</v>
      </c>
      <c r="L123" s="16" t="s">
        <v>142</v>
      </c>
      <c r="M123" s="15">
        <f>IF(OR(L123="-",L123="",L123=0),IF(K123="-","-",K123),K123-L123)</f>
        <v>7</v>
      </c>
      <c r="N123" s="17" t="str">
        <f>IFERROR(IF(K123&gt;0, L123/K123, 0),"-")</f>
        <v>-</v>
      </c>
      <c r="O123" s="15">
        <v>2</v>
      </c>
      <c r="P123" s="16" t="s">
        <v>142</v>
      </c>
      <c r="Q123" s="15">
        <f>IF(OR(P123="-",P123="",P123=0),IF(O123="-","-",O123),O123-P123)</f>
        <v>2</v>
      </c>
      <c r="R123" s="17" t="str">
        <f>IFERROR(IF(O123&gt;0, P123/O123, 0),"-")</f>
        <v>-</v>
      </c>
      <c r="S123" s="15">
        <v>3</v>
      </c>
      <c r="T123" s="15" t="s">
        <v>142</v>
      </c>
      <c r="U123" s="15" t="s">
        <v>142</v>
      </c>
      <c r="V123" s="16" t="s">
        <v>142</v>
      </c>
      <c r="W123" s="16" t="s">
        <v>142</v>
      </c>
      <c r="X123" s="21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3">
      <c r="B124" s="14" t="s">
        <v>77</v>
      </c>
      <c r="C124" s="15">
        <v>232</v>
      </c>
      <c r="D124" s="16">
        <v>226</v>
      </c>
      <c r="E124" s="15">
        <f>IF(OR(D124="-",D124="",D124=0),IF(C124="-","-",C124),C124-D124)</f>
        <v>6</v>
      </c>
      <c r="F124" s="17">
        <f>IFERROR(IF(C124&gt;0, D124/C124, 0),"-")</f>
        <v>0.97413793103448276</v>
      </c>
      <c r="G124" s="15">
        <v>1</v>
      </c>
      <c r="H124" s="16" t="s">
        <v>142</v>
      </c>
      <c r="I124" s="15">
        <f>IF(OR(H124="-",H124="",H124=0),IF(G124="-","-",G124),G124-H124)</f>
        <v>1</v>
      </c>
      <c r="J124" s="17" t="str">
        <f>IFERROR(IF(G124&gt;0, H124/G124, 0),"-")</f>
        <v>-</v>
      </c>
      <c r="K124" s="15" t="s">
        <v>142</v>
      </c>
      <c r="L124" s="16" t="s">
        <v>142</v>
      </c>
      <c r="M124" s="15" t="str">
        <f>IF(OR(L124="-",L124="",L124=0),IF(K124="-","-",K124),K124-L124)</f>
        <v>-</v>
      </c>
      <c r="N124" s="17" t="str">
        <f>IFERROR(IF(K124&gt;0, L124/K124, 0),"-")</f>
        <v>-</v>
      </c>
      <c r="O124" s="15" t="s">
        <v>142</v>
      </c>
      <c r="P124" s="16" t="s">
        <v>142</v>
      </c>
      <c r="Q124" s="15" t="str">
        <f>IF(OR(P124="-",P124="",P124=0),IF(O124="-","-",O124),O124-P124)</f>
        <v>-</v>
      </c>
      <c r="R124" s="17" t="str">
        <f>IFERROR(IF(O124&gt;0, P124/O124, 0),"-")</f>
        <v>-</v>
      </c>
      <c r="S124" s="15" t="s">
        <v>142</v>
      </c>
      <c r="T124" s="15" t="s">
        <v>142</v>
      </c>
      <c r="U124" s="15" t="s">
        <v>142</v>
      </c>
      <c r="V124" s="16" t="s">
        <v>142</v>
      </c>
      <c r="W124" s="16" t="s">
        <v>142</v>
      </c>
      <c r="X124" s="21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3">
      <c r="B125" s="14" t="s">
        <v>92</v>
      </c>
      <c r="C125" s="15">
        <v>421</v>
      </c>
      <c r="D125" s="16">
        <v>410</v>
      </c>
      <c r="E125" s="15">
        <f>IF(OR(D125="-",D125="",D125=0),IF(C125="-","-",C125),C125-D125)</f>
        <v>11</v>
      </c>
      <c r="F125" s="17">
        <f>IFERROR(IF(C125&gt;0, D125/C125, 0),"-")</f>
        <v>0.97387173396674587</v>
      </c>
      <c r="G125" s="15">
        <v>3</v>
      </c>
      <c r="H125" s="16" t="s">
        <v>142</v>
      </c>
      <c r="I125" s="15">
        <f>IF(OR(H125="-",H125="",H125=0),IF(G125="-","-",G125),G125-H125)</f>
        <v>3</v>
      </c>
      <c r="J125" s="17" t="str">
        <f>IFERROR(IF(G125&gt;0, H125/G125, 0),"-")</f>
        <v>-</v>
      </c>
      <c r="K125" s="15">
        <v>2</v>
      </c>
      <c r="L125" s="16" t="s">
        <v>142</v>
      </c>
      <c r="M125" s="15">
        <f>IF(OR(L125="-",L125="",L125=0),IF(K125="-","-",K125),K125-L125)</f>
        <v>2</v>
      </c>
      <c r="N125" s="17" t="str">
        <f>IFERROR(IF(K125&gt;0, L125/K125, 0),"-")</f>
        <v>-</v>
      </c>
      <c r="O125" s="15">
        <v>1</v>
      </c>
      <c r="P125" s="16" t="s">
        <v>142</v>
      </c>
      <c r="Q125" s="15">
        <f>IF(OR(P125="-",P125="",P125=0),IF(O125="-","-",O125),O125-P125)</f>
        <v>1</v>
      </c>
      <c r="R125" s="17" t="str">
        <f>IFERROR(IF(O125&gt;0, P125/O125, 0),"-")</f>
        <v>-</v>
      </c>
      <c r="S125" s="15">
        <v>1</v>
      </c>
      <c r="T125" s="15" t="s">
        <v>142</v>
      </c>
      <c r="U125" s="15" t="s">
        <v>142</v>
      </c>
      <c r="V125" s="16" t="s">
        <v>142</v>
      </c>
      <c r="W125" s="16" t="s">
        <v>142</v>
      </c>
      <c r="X125" s="21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3">
      <c r="B126" s="14" t="s">
        <v>76</v>
      </c>
      <c r="C126" s="15">
        <v>604</v>
      </c>
      <c r="D126" s="16">
        <v>588</v>
      </c>
      <c r="E126" s="15">
        <f>IF(OR(D126="-",D126="",D126=0),IF(C126="-","-",C126),C126-D126)</f>
        <v>16</v>
      </c>
      <c r="F126" s="17">
        <f>IFERROR(IF(C126&gt;0, D126/C126, 0),"-")</f>
        <v>0.97350993377483441</v>
      </c>
      <c r="G126" s="15">
        <v>10</v>
      </c>
      <c r="H126" s="16" t="s">
        <v>142</v>
      </c>
      <c r="I126" s="15">
        <f>IF(OR(H126="-",H126="",H126=0),IF(G126="-","-",G126),G126-H126)</f>
        <v>10</v>
      </c>
      <c r="J126" s="17" t="str">
        <f>IFERROR(IF(G126&gt;0, H126/G126, 0),"-")</f>
        <v>-</v>
      </c>
      <c r="K126" s="15">
        <v>4</v>
      </c>
      <c r="L126" s="16" t="s">
        <v>142</v>
      </c>
      <c r="M126" s="15">
        <f>IF(OR(L126="-",L126="",L126=0),IF(K126="-","-",K126),K126-L126)</f>
        <v>4</v>
      </c>
      <c r="N126" s="17" t="str">
        <f>IFERROR(IF(K126&gt;0, L126/K126, 0),"-")</f>
        <v>-</v>
      </c>
      <c r="O126" s="15">
        <v>6</v>
      </c>
      <c r="P126" s="16" t="s">
        <v>142</v>
      </c>
      <c r="Q126" s="15">
        <f>IF(OR(P126="-",P126="",P126=0),IF(O126="-","-",O126),O126-P126)</f>
        <v>6</v>
      </c>
      <c r="R126" s="17" t="str">
        <f>IFERROR(IF(O126&gt;0, P126/O126, 0),"-")</f>
        <v>-</v>
      </c>
      <c r="S126" s="15">
        <v>5</v>
      </c>
      <c r="T126" s="15" t="s">
        <v>142</v>
      </c>
      <c r="U126" s="15" t="s">
        <v>142</v>
      </c>
      <c r="V126" s="16" t="s">
        <v>142</v>
      </c>
      <c r="W126" s="16" t="s">
        <v>142</v>
      </c>
      <c r="X126" s="21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3">
      <c r="B127" s="14" t="s">
        <v>22</v>
      </c>
      <c r="C127" s="15">
        <v>638</v>
      </c>
      <c r="D127" s="16">
        <v>621</v>
      </c>
      <c r="E127" s="15">
        <f>IF(OR(D127="-",D127="",D127=0),IF(C127="-","-",C127),C127-D127)</f>
        <v>17</v>
      </c>
      <c r="F127" s="17">
        <f>IFERROR(IF(C127&gt;0, D127/C127, 0),"-")</f>
        <v>0.97335423197492166</v>
      </c>
      <c r="G127" s="15">
        <v>4</v>
      </c>
      <c r="H127" s="16" t="s">
        <v>142</v>
      </c>
      <c r="I127" s="15">
        <f>IF(OR(H127="-",H127="",H127=0),IF(G127="-","-",G127),G127-H127)</f>
        <v>4</v>
      </c>
      <c r="J127" s="17" t="str">
        <f>IFERROR(IF(G127&gt;0, H127/G127, 0),"-")</f>
        <v>-</v>
      </c>
      <c r="K127" s="15">
        <v>1</v>
      </c>
      <c r="L127" s="16" t="s">
        <v>142</v>
      </c>
      <c r="M127" s="15">
        <f>IF(OR(L127="-",L127="",L127=0),IF(K127="-","-",K127),K127-L127)</f>
        <v>1</v>
      </c>
      <c r="N127" s="17" t="str">
        <f>IFERROR(IF(K127&gt;0, L127/K127, 0),"-")</f>
        <v>-</v>
      </c>
      <c r="O127" s="15">
        <v>3</v>
      </c>
      <c r="P127" s="16" t="s">
        <v>142</v>
      </c>
      <c r="Q127" s="15">
        <f>IF(OR(P127="-",P127="",P127=0),IF(O127="-","-",O127),O127-P127)</f>
        <v>3</v>
      </c>
      <c r="R127" s="17" t="str">
        <f>IFERROR(IF(O127&gt;0, P127/O127, 0),"-")</f>
        <v>-</v>
      </c>
      <c r="S127" s="15">
        <v>3</v>
      </c>
      <c r="T127" s="15" t="s">
        <v>142</v>
      </c>
      <c r="U127" s="15" t="s">
        <v>142</v>
      </c>
      <c r="V127" s="16" t="s">
        <v>142</v>
      </c>
      <c r="W127" s="16" t="s">
        <v>142</v>
      </c>
      <c r="X127" s="21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3">
      <c r="B128" s="14" t="s">
        <v>71</v>
      </c>
      <c r="C128" s="15">
        <v>442</v>
      </c>
      <c r="D128" s="16">
        <v>430</v>
      </c>
      <c r="E128" s="15">
        <f>IF(OR(D128="-",D128="",D128=0),IF(C128="-","-",C128),C128-D128)</f>
        <v>12</v>
      </c>
      <c r="F128" s="17">
        <f>IFERROR(IF(C128&gt;0, D128/C128, 0),"-")</f>
        <v>0.97285067873303166</v>
      </c>
      <c r="G128" s="15">
        <v>4</v>
      </c>
      <c r="H128" s="16" t="s">
        <v>142</v>
      </c>
      <c r="I128" s="15">
        <f>IF(OR(H128="-",H128="",H128=0),IF(G128="-","-",G128),G128-H128)</f>
        <v>4</v>
      </c>
      <c r="J128" s="17" t="str">
        <f>IFERROR(IF(G128&gt;0, H128/G128, 0),"-")</f>
        <v>-</v>
      </c>
      <c r="K128" s="15" t="s">
        <v>142</v>
      </c>
      <c r="L128" s="16" t="s">
        <v>142</v>
      </c>
      <c r="M128" s="15" t="str">
        <f>IF(OR(L128="-",L128="",L128=0),IF(K128="-","-",K128),K128-L128)</f>
        <v>-</v>
      </c>
      <c r="N128" s="17" t="str">
        <f>IFERROR(IF(K128&gt;0, L128/K128, 0),"-")</f>
        <v>-</v>
      </c>
      <c r="O128" s="15" t="s">
        <v>142</v>
      </c>
      <c r="P128" s="16" t="s">
        <v>142</v>
      </c>
      <c r="Q128" s="15" t="str">
        <f>IF(OR(P128="-",P128="",P128=0),IF(O128="-","-",O128),O128-P128)</f>
        <v>-</v>
      </c>
      <c r="R128" s="17" t="str">
        <f>IFERROR(IF(O128&gt;0, P128/O128, 0),"-")</f>
        <v>-</v>
      </c>
      <c r="S128" s="15" t="s">
        <v>142</v>
      </c>
      <c r="T128" s="15" t="s">
        <v>142</v>
      </c>
      <c r="U128" s="15" t="s">
        <v>142</v>
      </c>
      <c r="V128" s="16" t="s">
        <v>142</v>
      </c>
      <c r="W128" s="16" t="s">
        <v>142</v>
      </c>
      <c r="X128" s="21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3">
      <c r="B129" s="14" t="s">
        <v>123</v>
      </c>
      <c r="C129" s="15">
        <v>218</v>
      </c>
      <c r="D129" s="16">
        <v>212</v>
      </c>
      <c r="E129" s="15">
        <f>IF(OR(D129="-",D129="",D129=0),IF(C129="-","-",C129),C129-D129)</f>
        <v>6</v>
      </c>
      <c r="F129" s="17">
        <f>IFERROR(IF(C129&gt;0, D129/C129, 0),"-")</f>
        <v>0.97247706422018354</v>
      </c>
      <c r="G129" s="15">
        <v>2</v>
      </c>
      <c r="H129" s="16" t="s">
        <v>142</v>
      </c>
      <c r="I129" s="15">
        <f>IF(OR(H129="-",H129="",H129=0),IF(G129="-","-",G129),G129-H129)</f>
        <v>2</v>
      </c>
      <c r="J129" s="17" t="str">
        <f>IFERROR(IF(G129&gt;0, H129/G129, 0),"-")</f>
        <v>-</v>
      </c>
      <c r="K129" s="15">
        <v>2</v>
      </c>
      <c r="L129" s="16" t="s">
        <v>142</v>
      </c>
      <c r="M129" s="15">
        <f>IF(OR(L129="-",L129="",L129=0),IF(K129="-","-",K129),K129-L129)</f>
        <v>2</v>
      </c>
      <c r="N129" s="17" t="str">
        <f>IFERROR(IF(K129&gt;0, L129/K129, 0),"-")</f>
        <v>-</v>
      </c>
      <c r="O129" s="15" t="s">
        <v>142</v>
      </c>
      <c r="P129" s="16" t="s">
        <v>142</v>
      </c>
      <c r="Q129" s="15" t="str">
        <f>IF(OR(P129="-",P129="",P129=0),IF(O129="-","-",O129),O129-P129)</f>
        <v>-</v>
      </c>
      <c r="R129" s="17" t="str">
        <f>IFERROR(IF(O129&gt;0, P129/O129, 0),"-")</f>
        <v>-</v>
      </c>
      <c r="S129" s="15">
        <v>1</v>
      </c>
      <c r="T129" s="15" t="s">
        <v>142</v>
      </c>
      <c r="U129" s="15" t="s">
        <v>142</v>
      </c>
      <c r="V129" s="16" t="s">
        <v>142</v>
      </c>
      <c r="W129" s="16" t="s">
        <v>142</v>
      </c>
      <c r="X129" s="21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3">
      <c r="B130" s="14" t="s">
        <v>31</v>
      </c>
      <c r="C130" s="15">
        <v>754</v>
      </c>
      <c r="D130" s="16">
        <v>733</v>
      </c>
      <c r="E130" s="15">
        <f>IF(OR(D130="-",D130="",D130=0),IF(C130="-","-",C130),C130-D130)</f>
        <v>21</v>
      </c>
      <c r="F130" s="17">
        <f>IFERROR(IF(C130&gt;0, D130/C130, 0),"-")</f>
        <v>0.97214854111405835</v>
      </c>
      <c r="G130" s="15">
        <v>9</v>
      </c>
      <c r="H130" s="16" t="s">
        <v>142</v>
      </c>
      <c r="I130" s="15">
        <f>IF(OR(H130="-",H130="",H130=0),IF(G130="-","-",G130),G130-H130)</f>
        <v>9</v>
      </c>
      <c r="J130" s="17" t="str">
        <f>IFERROR(IF(G130&gt;0, H130/G130, 0),"-")</f>
        <v>-</v>
      </c>
      <c r="K130" s="15">
        <v>4</v>
      </c>
      <c r="L130" s="16" t="s">
        <v>142</v>
      </c>
      <c r="M130" s="15">
        <f>IF(OR(L130="-",L130="",L130=0),IF(K130="-","-",K130),K130-L130)</f>
        <v>4</v>
      </c>
      <c r="N130" s="17" t="str">
        <f>IFERROR(IF(K130&gt;0, L130/K130, 0),"-")</f>
        <v>-</v>
      </c>
      <c r="O130" s="15" t="s">
        <v>142</v>
      </c>
      <c r="P130" s="16" t="s">
        <v>142</v>
      </c>
      <c r="Q130" s="15" t="str">
        <f>IF(OR(P130="-",P130="",P130=0),IF(O130="-","-",O130),O130-P130)</f>
        <v>-</v>
      </c>
      <c r="R130" s="17" t="str">
        <f>IFERROR(IF(O130&gt;0, P130/O130, 0),"-")</f>
        <v>-</v>
      </c>
      <c r="S130" s="15">
        <v>10</v>
      </c>
      <c r="T130" s="15" t="s">
        <v>142</v>
      </c>
      <c r="U130" s="15" t="s">
        <v>142</v>
      </c>
      <c r="V130" s="16" t="s">
        <v>142</v>
      </c>
      <c r="W130" s="16" t="s">
        <v>142</v>
      </c>
      <c r="X130" s="21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3">
      <c r="B131" s="14" t="s">
        <v>100</v>
      </c>
      <c r="C131" s="15">
        <v>423</v>
      </c>
      <c r="D131" s="16">
        <v>411</v>
      </c>
      <c r="E131" s="15">
        <f>IF(OR(D131="-",D131="",D131=0),IF(C131="-","-",C131),C131-D131)</f>
        <v>12</v>
      </c>
      <c r="F131" s="17">
        <f>IFERROR(IF(C131&gt;0, D131/C131, 0),"-")</f>
        <v>0.97163120567375882</v>
      </c>
      <c r="G131" s="15">
        <v>4</v>
      </c>
      <c r="H131" s="16" t="s">
        <v>142</v>
      </c>
      <c r="I131" s="15">
        <f>IF(OR(H131="-",H131="",H131=0),IF(G131="-","-",G131),G131-H131)</f>
        <v>4</v>
      </c>
      <c r="J131" s="17" t="str">
        <f>IFERROR(IF(G131&gt;0, H131/G131, 0),"-")</f>
        <v>-</v>
      </c>
      <c r="K131" s="15" t="s">
        <v>142</v>
      </c>
      <c r="L131" s="16" t="s">
        <v>142</v>
      </c>
      <c r="M131" s="15" t="str">
        <f>IF(OR(L131="-",L131="",L131=0),IF(K131="-","-",K131),K131-L131)</f>
        <v>-</v>
      </c>
      <c r="N131" s="17" t="str">
        <f>IFERROR(IF(K131&gt;0, L131/K131, 0),"-")</f>
        <v>-</v>
      </c>
      <c r="O131" s="15">
        <v>1</v>
      </c>
      <c r="P131" s="16" t="s">
        <v>142</v>
      </c>
      <c r="Q131" s="15">
        <f>IF(OR(P131="-",P131="",P131=0),IF(O131="-","-",O131),O131-P131)</f>
        <v>1</v>
      </c>
      <c r="R131" s="17" t="str">
        <f>IFERROR(IF(O131&gt;0, P131/O131, 0),"-")</f>
        <v>-</v>
      </c>
      <c r="S131" s="15">
        <v>8</v>
      </c>
      <c r="T131" s="15" t="s">
        <v>142</v>
      </c>
      <c r="U131" s="15" t="s">
        <v>142</v>
      </c>
      <c r="V131" s="16" t="s">
        <v>142</v>
      </c>
      <c r="W131" s="16" t="s">
        <v>142</v>
      </c>
      <c r="X131" s="21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3">
      <c r="B132" s="14" t="s">
        <v>46</v>
      </c>
      <c r="C132" s="15">
        <v>599</v>
      </c>
      <c r="D132" s="16">
        <v>582</v>
      </c>
      <c r="E132" s="15">
        <f>IF(OR(D132="-",D132="",D132=0),IF(C132="-","-",C132),C132-D132)</f>
        <v>17</v>
      </c>
      <c r="F132" s="17">
        <f>IFERROR(IF(C132&gt;0, D132/C132, 0),"-")</f>
        <v>0.97161936560934892</v>
      </c>
      <c r="G132" s="15">
        <v>2</v>
      </c>
      <c r="H132" s="16" t="s">
        <v>142</v>
      </c>
      <c r="I132" s="15">
        <f>IF(OR(H132="-",H132="",H132=0),IF(G132="-","-",G132),G132-H132)</f>
        <v>2</v>
      </c>
      <c r="J132" s="17" t="str">
        <f>IFERROR(IF(G132&gt;0, H132/G132, 0),"-")</f>
        <v>-</v>
      </c>
      <c r="K132" s="15">
        <v>1</v>
      </c>
      <c r="L132" s="16" t="s">
        <v>142</v>
      </c>
      <c r="M132" s="15">
        <f>IF(OR(L132="-",L132="",L132=0),IF(K132="-","-",K132),K132-L132)</f>
        <v>1</v>
      </c>
      <c r="N132" s="17" t="str">
        <f>IFERROR(IF(K132&gt;0, L132/K132, 0),"-")</f>
        <v>-</v>
      </c>
      <c r="O132" s="15">
        <v>4</v>
      </c>
      <c r="P132" s="16" t="s">
        <v>142</v>
      </c>
      <c r="Q132" s="15">
        <f>IF(OR(P132="-",P132="",P132=0),IF(O132="-","-",O132),O132-P132)</f>
        <v>4</v>
      </c>
      <c r="R132" s="17" t="str">
        <f>IFERROR(IF(O132&gt;0, P132/O132, 0),"-")</f>
        <v>-</v>
      </c>
      <c r="S132" s="15">
        <v>2</v>
      </c>
      <c r="T132" s="15" t="s">
        <v>142</v>
      </c>
      <c r="U132" s="15" t="s">
        <v>142</v>
      </c>
      <c r="V132" s="16" t="s">
        <v>142</v>
      </c>
      <c r="W132" s="16" t="s">
        <v>142</v>
      </c>
      <c r="X132" s="21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3">
      <c r="B133" s="14" t="s">
        <v>72</v>
      </c>
      <c r="C133" s="15">
        <v>281</v>
      </c>
      <c r="D133" s="16">
        <v>273</v>
      </c>
      <c r="E133" s="15">
        <f>IF(OR(D133="-",D133="",D133=0),IF(C133="-","-",C133),C133-D133)</f>
        <v>8</v>
      </c>
      <c r="F133" s="17">
        <f>IFERROR(IF(C133&gt;0, D133/C133, 0),"-")</f>
        <v>0.97153024911032027</v>
      </c>
      <c r="G133" s="15" t="s">
        <v>142</v>
      </c>
      <c r="H133" s="16" t="s">
        <v>142</v>
      </c>
      <c r="I133" s="15" t="str">
        <f>IF(OR(H133="-",H133="",H133=0),IF(G133="-","-",G133),G133-H133)</f>
        <v>-</v>
      </c>
      <c r="J133" s="17" t="str">
        <f>IFERROR(IF(G133&gt;0, H133/G133, 0),"-")</f>
        <v>-</v>
      </c>
      <c r="K133" s="15">
        <v>3</v>
      </c>
      <c r="L133" s="16" t="s">
        <v>142</v>
      </c>
      <c r="M133" s="15">
        <f>IF(OR(L133="-",L133="",L133=0),IF(K133="-","-",K133),K133-L133)</f>
        <v>3</v>
      </c>
      <c r="N133" s="17" t="str">
        <f>IFERROR(IF(K133&gt;0, L133/K133, 0),"-")</f>
        <v>-</v>
      </c>
      <c r="O133" s="15">
        <v>3</v>
      </c>
      <c r="P133" s="16" t="s">
        <v>142</v>
      </c>
      <c r="Q133" s="15">
        <f>IF(OR(P133="-",P133="",P133=0),IF(O133="-","-",O133),O133-P133)</f>
        <v>3</v>
      </c>
      <c r="R133" s="17" t="str">
        <f>IFERROR(IF(O133&gt;0, P133/O133, 0),"-")</f>
        <v>-</v>
      </c>
      <c r="S133" s="15">
        <v>8</v>
      </c>
      <c r="T133" s="15" t="s">
        <v>142</v>
      </c>
      <c r="U133" s="15" t="s">
        <v>142</v>
      </c>
      <c r="V133" s="16" t="s">
        <v>142</v>
      </c>
      <c r="W133" s="16" t="s">
        <v>142</v>
      </c>
      <c r="X133" s="21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3">
      <c r="B134" s="14" t="s">
        <v>103</v>
      </c>
      <c r="C134" s="15">
        <v>646</v>
      </c>
      <c r="D134" s="16">
        <v>627</v>
      </c>
      <c r="E134" s="15">
        <f>IF(OR(D134="-",D134="",D134=0),IF(C134="-","-",C134),C134-D134)</f>
        <v>19</v>
      </c>
      <c r="F134" s="17">
        <f>IFERROR(IF(C134&gt;0, D134/C134, 0),"-")</f>
        <v>0.97058823529411764</v>
      </c>
      <c r="G134" s="15">
        <v>1</v>
      </c>
      <c r="H134" s="16" t="s">
        <v>142</v>
      </c>
      <c r="I134" s="15">
        <f>IF(OR(H134="-",H134="",H134=0),IF(G134="-","-",G134),G134-H134)</f>
        <v>1</v>
      </c>
      <c r="J134" s="17" t="str">
        <f>IFERROR(IF(G134&gt;0, H134/G134, 0),"-")</f>
        <v>-</v>
      </c>
      <c r="K134" s="15">
        <v>1</v>
      </c>
      <c r="L134" s="16" t="s">
        <v>142</v>
      </c>
      <c r="M134" s="15">
        <f>IF(OR(L134="-",L134="",L134=0),IF(K134="-","-",K134),K134-L134)</f>
        <v>1</v>
      </c>
      <c r="N134" s="17" t="str">
        <f>IFERROR(IF(K134&gt;0, L134/K134, 0),"-")</f>
        <v>-</v>
      </c>
      <c r="O134" s="15" t="s">
        <v>142</v>
      </c>
      <c r="P134" s="16" t="s">
        <v>142</v>
      </c>
      <c r="Q134" s="15" t="str">
        <f>IF(OR(P134="-",P134="",P134=0),IF(O134="-","-",O134),O134-P134)</f>
        <v>-</v>
      </c>
      <c r="R134" s="17" t="str">
        <f>IFERROR(IF(O134&gt;0, P134/O134, 0),"-")</f>
        <v>-</v>
      </c>
      <c r="S134" s="15">
        <v>2</v>
      </c>
      <c r="T134" s="15" t="s">
        <v>142</v>
      </c>
      <c r="U134" s="15" t="s">
        <v>142</v>
      </c>
      <c r="V134" s="16" t="s">
        <v>142</v>
      </c>
      <c r="W134" s="16" t="s">
        <v>142</v>
      </c>
      <c r="X134" s="21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3">
      <c r="B135" s="14" t="s">
        <v>34</v>
      </c>
      <c r="C135" s="15">
        <v>605</v>
      </c>
      <c r="D135" s="16">
        <v>587</v>
      </c>
      <c r="E135" s="15">
        <f>IF(OR(D135="-",D135="",D135=0),IF(C135="-","-",C135),C135-D135)</f>
        <v>18</v>
      </c>
      <c r="F135" s="17">
        <f>IFERROR(IF(C135&gt;0, D135/C135, 0),"-")</f>
        <v>0.97024793388429753</v>
      </c>
      <c r="G135" s="15">
        <v>2</v>
      </c>
      <c r="H135" s="16" t="s">
        <v>142</v>
      </c>
      <c r="I135" s="15">
        <f>IF(OR(H135="-",H135="",H135=0),IF(G135="-","-",G135),G135-H135)</f>
        <v>2</v>
      </c>
      <c r="J135" s="17" t="str">
        <f>IFERROR(IF(G135&gt;0, H135/G135, 0),"-")</f>
        <v>-</v>
      </c>
      <c r="K135" s="15">
        <v>1</v>
      </c>
      <c r="L135" s="16" t="s">
        <v>142</v>
      </c>
      <c r="M135" s="15">
        <f>IF(OR(L135="-",L135="",L135=0),IF(K135="-","-",K135),K135-L135)</f>
        <v>1</v>
      </c>
      <c r="N135" s="17" t="str">
        <f>IFERROR(IF(K135&gt;0, L135/K135, 0),"-")</f>
        <v>-</v>
      </c>
      <c r="O135" s="15">
        <v>1</v>
      </c>
      <c r="P135" s="16" t="s">
        <v>142</v>
      </c>
      <c r="Q135" s="15">
        <f>IF(OR(P135="-",P135="",P135=0),IF(O135="-","-",O135),O135-P135)</f>
        <v>1</v>
      </c>
      <c r="R135" s="17" t="str">
        <f>IFERROR(IF(O135&gt;0, P135/O135, 0),"-")</f>
        <v>-</v>
      </c>
      <c r="S135" s="15">
        <v>2</v>
      </c>
      <c r="T135" s="15" t="s">
        <v>142</v>
      </c>
      <c r="U135" s="15" t="s">
        <v>142</v>
      </c>
      <c r="V135" s="16" t="s">
        <v>142</v>
      </c>
      <c r="W135" s="16" t="s">
        <v>142</v>
      </c>
      <c r="X135" s="21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3">
      <c r="B136" s="14" t="s">
        <v>5</v>
      </c>
      <c r="C136" s="15">
        <v>436</v>
      </c>
      <c r="D136" s="16">
        <v>423</v>
      </c>
      <c r="E136" s="15">
        <f>IF(OR(D136="-",D136="",D136=0),IF(C136="-","-",C136),C136-D136)</f>
        <v>13</v>
      </c>
      <c r="F136" s="17">
        <f>IFERROR(IF(C136&gt;0, D136/C136, 0),"-")</f>
        <v>0.97018348623853212</v>
      </c>
      <c r="G136" s="15">
        <v>3</v>
      </c>
      <c r="H136" s="16" t="s">
        <v>142</v>
      </c>
      <c r="I136" s="15">
        <f>IF(OR(H136="-",H136="",H136=0),IF(G136="-","-",G136),G136-H136)</f>
        <v>3</v>
      </c>
      <c r="J136" s="17" t="str">
        <f>IFERROR(IF(G136&gt;0, H136/G136, 0),"-")</f>
        <v>-</v>
      </c>
      <c r="K136" s="15">
        <v>1</v>
      </c>
      <c r="L136" s="16" t="s">
        <v>142</v>
      </c>
      <c r="M136" s="15">
        <f>IF(OR(L136="-",L136="",L136=0),IF(K136="-","-",K136),K136-L136)</f>
        <v>1</v>
      </c>
      <c r="N136" s="17" t="str">
        <f>IFERROR(IF(K136&gt;0, L136/K136, 0),"-")</f>
        <v>-</v>
      </c>
      <c r="O136" s="15">
        <v>1</v>
      </c>
      <c r="P136" s="16" t="s">
        <v>142</v>
      </c>
      <c r="Q136" s="15">
        <f>IF(OR(P136="-",P136="",P136=0),IF(O136="-","-",O136),O136-P136)</f>
        <v>1</v>
      </c>
      <c r="R136" s="17" t="str">
        <f>IFERROR(IF(O136&gt;0, P136/O136, 0),"-")</f>
        <v>-</v>
      </c>
      <c r="S136" s="15">
        <v>2</v>
      </c>
      <c r="T136" s="15" t="s">
        <v>142</v>
      </c>
      <c r="U136" s="15" t="s">
        <v>142</v>
      </c>
      <c r="V136" s="16" t="s">
        <v>142</v>
      </c>
      <c r="W136" s="16" t="s">
        <v>142</v>
      </c>
      <c r="X136" s="21">
        <f>RANK(F136,$F$57:$F$183,0)</f>
        <v>80</v>
      </c>
      <c r="Y136" s="3" t="str">
        <f>IF(OR(ISERROR(F136),F136="-",NOT(ISNUMBER(F136))),"● N/A",IF(ROUND(F136, 4) &gt;= ROUND($F$184, 4),"▲ Above Average","▼ Below Average"))</f>
        <v>▲ Above Average</v>
      </c>
    </row>
    <row r="137" spans="2:25" x14ac:dyDescent="0.3">
      <c r="B137" s="14" t="s">
        <v>69</v>
      </c>
      <c r="C137" s="15">
        <v>300</v>
      </c>
      <c r="D137" s="16">
        <v>291</v>
      </c>
      <c r="E137" s="15">
        <f>IF(OR(D137="-",D137="",D137=0),IF(C137="-","-",C137),C137-D137)</f>
        <v>9</v>
      </c>
      <c r="F137" s="17">
        <f>IFERROR(IF(C137&gt;0, D137/C137, 0),"-")</f>
        <v>0.97</v>
      </c>
      <c r="G137" s="15">
        <v>2</v>
      </c>
      <c r="H137" s="16" t="s">
        <v>142</v>
      </c>
      <c r="I137" s="15">
        <f>IF(OR(H137="-",H137="",H137=0),IF(G137="-","-",G137),G137-H137)</f>
        <v>2</v>
      </c>
      <c r="J137" s="17" t="str">
        <f>IFERROR(IF(G137&gt;0, H137/G137, 0),"-")</f>
        <v>-</v>
      </c>
      <c r="K137" s="15">
        <v>1</v>
      </c>
      <c r="L137" s="16" t="s">
        <v>142</v>
      </c>
      <c r="M137" s="15">
        <f>IF(OR(L137="-",L137="",L137=0),IF(K137="-","-",K137),K137-L137)</f>
        <v>1</v>
      </c>
      <c r="N137" s="17" t="str">
        <f>IFERROR(IF(K137&gt;0, L137/K137, 0),"-")</f>
        <v>-</v>
      </c>
      <c r="O137" s="15" t="s">
        <v>142</v>
      </c>
      <c r="P137" s="16" t="s">
        <v>142</v>
      </c>
      <c r="Q137" s="15" t="str">
        <f>IF(OR(P137="-",P137="",P137=0),IF(O137="-","-",O137),O137-P137)</f>
        <v>-</v>
      </c>
      <c r="R137" s="17" t="str">
        <f>IFERROR(IF(O137&gt;0, P137/O137, 0),"-")</f>
        <v>-</v>
      </c>
      <c r="S137" s="15">
        <v>2</v>
      </c>
      <c r="T137" s="15" t="s">
        <v>142</v>
      </c>
      <c r="U137" s="15" t="s">
        <v>142</v>
      </c>
      <c r="V137" s="16" t="s">
        <v>142</v>
      </c>
      <c r="W137" s="16" t="s">
        <v>142</v>
      </c>
      <c r="X137" s="21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3">
      <c r="B138" s="14" t="s">
        <v>64</v>
      </c>
      <c r="C138" s="15">
        <v>482</v>
      </c>
      <c r="D138" s="16">
        <v>467</v>
      </c>
      <c r="E138" s="15">
        <f>IF(OR(D138="-",D138="",D138=0),IF(C138="-","-",C138),C138-D138)</f>
        <v>15</v>
      </c>
      <c r="F138" s="17">
        <f>IFERROR(IF(C138&gt;0, D138/C138, 0),"-")</f>
        <v>0.96887966804979253</v>
      </c>
      <c r="G138" s="15">
        <v>5</v>
      </c>
      <c r="H138" s="16" t="s">
        <v>142</v>
      </c>
      <c r="I138" s="15">
        <f>IF(OR(H138="-",H138="",H138=0),IF(G138="-","-",G138),G138-H138)</f>
        <v>5</v>
      </c>
      <c r="J138" s="17" t="str">
        <f>IFERROR(IF(G138&gt;0, H138/G138, 0),"-")</f>
        <v>-</v>
      </c>
      <c r="K138" s="15">
        <v>2</v>
      </c>
      <c r="L138" s="16" t="s">
        <v>142</v>
      </c>
      <c r="M138" s="15">
        <f>IF(OR(L138="-",L138="",L138=0),IF(K138="-","-",K138),K138-L138)</f>
        <v>2</v>
      </c>
      <c r="N138" s="17" t="str">
        <f>IFERROR(IF(K138&gt;0, L138/K138, 0),"-")</f>
        <v>-</v>
      </c>
      <c r="O138" s="15" t="s">
        <v>142</v>
      </c>
      <c r="P138" s="16" t="s">
        <v>142</v>
      </c>
      <c r="Q138" s="15" t="str">
        <f>IF(OR(P138="-",P138="",P138=0),IF(O138="-","-",O138),O138-P138)</f>
        <v>-</v>
      </c>
      <c r="R138" s="17" t="str">
        <f>IFERROR(IF(O138&gt;0, P138/O138, 0),"-")</f>
        <v>-</v>
      </c>
      <c r="S138" s="15">
        <v>5</v>
      </c>
      <c r="T138" s="15" t="s">
        <v>142</v>
      </c>
      <c r="U138" s="15" t="s">
        <v>142</v>
      </c>
      <c r="V138" s="16" t="s">
        <v>142</v>
      </c>
      <c r="W138" s="16" t="s">
        <v>142</v>
      </c>
      <c r="X138" s="21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3">
      <c r="B139" s="14" t="s">
        <v>59</v>
      </c>
      <c r="C139" s="15">
        <v>733</v>
      </c>
      <c r="D139" s="16">
        <v>710</v>
      </c>
      <c r="E139" s="15">
        <f>IF(OR(D139="-",D139="",D139=0),IF(C139="-","-",C139),C139-D139)</f>
        <v>23</v>
      </c>
      <c r="F139" s="17">
        <f>IFERROR(IF(C139&gt;0, D139/C139, 0),"-")</f>
        <v>0.96862210095497958</v>
      </c>
      <c r="G139" s="15">
        <v>9</v>
      </c>
      <c r="H139" s="16" t="s">
        <v>142</v>
      </c>
      <c r="I139" s="15">
        <f>IF(OR(H139="-",H139="",H139=0),IF(G139="-","-",G139),G139-H139)</f>
        <v>9</v>
      </c>
      <c r="J139" s="17" t="str">
        <f>IFERROR(IF(G139&gt;0, H139/G139, 0),"-")</f>
        <v>-</v>
      </c>
      <c r="K139" s="15">
        <v>7</v>
      </c>
      <c r="L139" s="16" t="s">
        <v>142</v>
      </c>
      <c r="M139" s="15">
        <f>IF(OR(L139="-",L139="",L139=0),IF(K139="-","-",K139),K139-L139)</f>
        <v>7</v>
      </c>
      <c r="N139" s="17" t="str">
        <f>IFERROR(IF(K139&gt;0, L139/K139, 0),"-")</f>
        <v>-</v>
      </c>
      <c r="O139" s="15">
        <v>5</v>
      </c>
      <c r="P139" s="16" t="s">
        <v>142</v>
      </c>
      <c r="Q139" s="15">
        <f>IF(OR(P139="-",P139="",P139=0),IF(O139="-","-",O139),O139-P139)</f>
        <v>5</v>
      </c>
      <c r="R139" s="17" t="str">
        <f>IFERROR(IF(O139&gt;0, P139/O139, 0),"-")</f>
        <v>-</v>
      </c>
      <c r="S139" s="15">
        <v>7</v>
      </c>
      <c r="T139" s="15" t="s">
        <v>142</v>
      </c>
      <c r="U139" s="15" t="s">
        <v>142</v>
      </c>
      <c r="V139" s="16" t="s">
        <v>142</v>
      </c>
      <c r="W139" s="16" t="s">
        <v>142</v>
      </c>
      <c r="X139" s="21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3">
      <c r="B140" s="14" t="s">
        <v>130</v>
      </c>
      <c r="C140" s="15">
        <v>887</v>
      </c>
      <c r="D140" s="16">
        <v>859</v>
      </c>
      <c r="E140" s="15">
        <f>IF(OR(D140="-",D140="",D140=0),IF(C140="-","-",C140),C140-D140)</f>
        <v>28</v>
      </c>
      <c r="F140" s="17">
        <f>IFERROR(IF(C140&gt;0, D140/C140, 0),"-")</f>
        <v>0.96843291995490421</v>
      </c>
      <c r="G140" s="15">
        <v>6</v>
      </c>
      <c r="H140" s="16" t="s">
        <v>142</v>
      </c>
      <c r="I140" s="15">
        <f>IF(OR(H140="-",H140="",H140=0),IF(G140="-","-",G140),G140-H140)</f>
        <v>6</v>
      </c>
      <c r="J140" s="17" t="str">
        <f>IFERROR(IF(G140&gt;0, H140/G140, 0),"-")</f>
        <v>-</v>
      </c>
      <c r="K140" s="15">
        <v>3</v>
      </c>
      <c r="L140" s="16" t="s">
        <v>142</v>
      </c>
      <c r="M140" s="15">
        <f>IF(OR(L140="-",L140="",L140=0),IF(K140="-","-",K140),K140-L140)</f>
        <v>3</v>
      </c>
      <c r="N140" s="17" t="str">
        <f>IFERROR(IF(K140&gt;0, L140/K140, 0),"-")</f>
        <v>-</v>
      </c>
      <c r="O140" s="15">
        <v>2</v>
      </c>
      <c r="P140" s="16" t="s">
        <v>142</v>
      </c>
      <c r="Q140" s="15">
        <f>IF(OR(P140="-",P140="",P140=0),IF(O140="-","-",O140),O140-P140)</f>
        <v>2</v>
      </c>
      <c r="R140" s="17" t="str">
        <f>IFERROR(IF(O140&gt;0, P140/O140, 0),"-")</f>
        <v>-</v>
      </c>
      <c r="S140" s="15">
        <v>2</v>
      </c>
      <c r="T140" s="15" t="s">
        <v>142</v>
      </c>
      <c r="U140" s="15" t="s">
        <v>142</v>
      </c>
      <c r="V140" s="16" t="s">
        <v>142</v>
      </c>
      <c r="W140" s="16" t="s">
        <v>142</v>
      </c>
      <c r="X140" s="21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3">
      <c r="B141" s="14" t="s">
        <v>105</v>
      </c>
      <c r="C141" s="15">
        <v>1007</v>
      </c>
      <c r="D141" s="16">
        <v>975</v>
      </c>
      <c r="E141" s="15">
        <f>IF(OR(D141="-",D141="",D141=0),IF(C141="-","-",C141),C141-D141)</f>
        <v>32</v>
      </c>
      <c r="F141" s="17">
        <f>IFERROR(IF(C141&gt;0, D141/C141, 0),"-")</f>
        <v>0.96822244289970205</v>
      </c>
      <c r="G141" s="15">
        <v>10</v>
      </c>
      <c r="H141" s="16" t="s">
        <v>142</v>
      </c>
      <c r="I141" s="15">
        <f>IF(OR(H141="-",H141="",H141=0),IF(G141="-","-",G141),G141-H141)</f>
        <v>10</v>
      </c>
      <c r="J141" s="17" t="str">
        <f>IFERROR(IF(G141&gt;0, H141/G141, 0),"-")</f>
        <v>-</v>
      </c>
      <c r="K141" s="15">
        <v>5</v>
      </c>
      <c r="L141" s="16" t="s">
        <v>142</v>
      </c>
      <c r="M141" s="15">
        <f>IF(OR(L141="-",L141="",L141=0),IF(K141="-","-",K141),K141-L141)</f>
        <v>5</v>
      </c>
      <c r="N141" s="17" t="str">
        <f>IFERROR(IF(K141&gt;0, L141/K141, 0),"-")</f>
        <v>-</v>
      </c>
      <c r="O141" s="15">
        <v>3</v>
      </c>
      <c r="P141" s="16" t="s">
        <v>142</v>
      </c>
      <c r="Q141" s="15">
        <f>IF(OR(P141="-",P141="",P141=0),IF(O141="-","-",O141),O141-P141)</f>
        <v>3</v>
      </c>
      <c r="R141" s="17" t="str">
        <f>IFERROR(IF(O141&gt;0, P141/O141, 0),"-")</f>
        <v>-</v>
      </c>
      <c r="S141" s="15">
        <v>7</v>
      </c>
      <c r="T141" s="15" t="s">
        <v>142</v>
      </c>
      <c r="U141" s="15" t="s">
        <v>142</v>
      </c>
      <c r="V141" s="16" t="s">
        <v>142</v>
      </c>
      <c r="W141" s="16" t="s">
        <v>142</v>
      </c>
      <c r="X141" s="21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3">
      <c r="B142" s="14" t="s">
        <v>87</v>
      </c>
      <c r="C142" s="15">
        <v>781</v>
      </c>
      <c r="D142" s="16">
        <v>756</v>
      </c>
      <c r="E142" s="15">
        <f>IF(OR(D142="-",D142="",D142=0),IF(C142="-","-",C142),C142-D142)</f>
        <v>25</v>
      </c>
      <c r="F142" s="17">
        <f>IFERROR(IF(C142&gt;0, D142/C142, 0),"-")</f>
        <v>0.96798975672215104</v>
      </c>
      <c r="G142" s="15">
        <v>6</v>
      </c>
      <c r="H142" s="16" t="s">
        <v>142</v>
      </c>
      <c r="I142" s="15">
        <f>IF(OR(H142="-",H142="",H142=0),IF(G142="-","-",G142),G142-H142)</f>
        <v>6</v>
      </c>
      <c r="J142" s="17" t="str">
        <f>IFERROR(IF(G142&gt;0, H142/G142, 0),"-")</f>
        <v>-</v>
      </c>
      <c r="K142" s="15">
        <v>2</v>
      </c>
      <c r="L142" s="16" t="s">
        <v>142</v>
      </c>
      <c r="M142" s="15">
        <f>IF(OR(L142="-",L142="",L142=0),IF(K142="-","-",K142),K142-L142)</f>
        <v>2</v>
      </c>
      <c r="N142" s="17" t="str">
        <f>IFERROR(IF(K142&gt;0, L142/K142, 0),"-")</f>
        <v>-</v>
      </c>
      <c r="O142" s="15">
        <v>1</v>
      </c>
      <c r="P142" s="16" t="s">
        <v>142</v>
      </c>
      <c r="Q142" s="15">
        <f>IF(OR(P142="-",P142="",P142=0),IF(O142="-","-",O142),O142-P142)</f>
        <v>1</v>
      </c>
      <c r="R142" s="17" t="str">
        <f>IFERROR(IF(O142&gt;0, P142/O142, 0),"-")</f>
        <v>-</v>
      </c>
      <c r="S142" s="15">
        <v>2</v>
      </c>
      <c r="T142" s="15" t="s">
        <v>142</v>
      </c>
      <c r="U142" s="15" t="s">
        <v>142</v>
      </c>
      <c r="V142" s="16" t="s">
        <v>142</v>
      </c>
      <c r="W142" s="16" t="s">
        <v>142</v>
      </c>
      <c r="X142" s="21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3">
      <c r="B143" s="14" t="s">
        <v>53</v>
      </c>
      <c r="C143" s="15">
        <v>556</v>
      </c>
      <c r="D143" s="16">
        <v>538</v>
      </c>
      <c r="E143" s="15">
        <f>IF(OR(D143="-",D143="",D143=0),IF(C143="-","-",C143),C143-D143)</f>
        <v>18</v>
      </c>
      <c r="F143" s="17">
        <f>IFERROR(IF(C143&gt;0, D143/C143, 0),"-")</f>
        <v>0.96762589928057552</v>
      </c>
      <c r="G143" s="15">
        <v>4</v>
      </c>
      <c r="H143" s="16" t="s">
        <v>142</v>
      </c>
      <c r="I143" s="15">
        <f>IF(OR(H143="-",H143="",H143=0),IF(G143="-","-",G143),G143-H143)</f>
        <v>4</v>
      </c>
      <c r="J143" s="17" t="str">
        <f>IFERROR(IF(G143&gt;0, H143/G143, 0),"-")</f>
        <v>-</v>
      </c>
      <c r="K143" s="15">
        <v>7</v>
      </c>
      <c r="L143" s="16" t="s">
        <v>142</v>
      </c>
      <c r="M143" s="15">
        <f>IF(OR(L143="-",L143="",L143=0),IF(K143="-","-",K143),K143-L143)</f>
        <v>7</v>
      </c>
      <c r="N143" s="17" t="str">
        <f>IFERROR(IF(K143&gt;0, L143/K143, 0),"-")</f>
        <v>-</v>
      </c>
      <c r="O143" s="15">
        <v>1</v>
      </c>
      <c r="P143" s="16" t="s">
        <v>142</v>
      </c>
      <c r="Q143" s="15">
        <f>IF(OR(P143="-",P143="",P143=0),IF(O143="-","-",O143),O143-P143)</f>
        <v>1</v>
      </c>
      <c r="R143" s="17" t="str">
        <f>IFERROR(IF(O143&gt;0, P143/O143, 0),"-")</f>
        <v>-</v>
      </c>
      <c r="S143" s="15">
        <v>2</v>
      </c>
      <c r="T143" s="15" t="s">
        <v>142</v>
      </c>
      <c r="U143" s="15" t="s">
        <v>142</v>
      </c>
      <c r="V143" s="16" t="s">
        <v>142</v>
      </c>
      <c r="W143" s="16" t="s">
        <v>142</v>
      </c>
      <c r="X143" s="21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3">
      <c r="B144" s="14" t="s">
        <v>67</v>
      </c>
      <c r="C144" s="15">
        <v>463</v>
      </c>
      <c r="D144" s="16">
        <v>448</v>
      </c>
      <c r="E144" s="15">
        <f>IF(OR(D144="-",D144="",D144=0),IF(C144="-","-",C144),C144-D144)</f>
        <v>15</v>
      </c>
      <c r="F144" s="17">
        <f>IFERROR(IF(C144&gt;0, D144/C144, 0),"-")</f>
        <v>0.96760259179265662</v>
      </c>
      <c r="G144" s="15" t="s">
        <v>142</v>
      </c>
      <c r="H144" s="16" t="s">
        <v>142</v>
      </c>
      <c r="I144" s="15" t="str">
        <f>IF(OR(H144="-",H144="",H144=0),IF(G144="-","-",G144),G144-H144)</f>
        <v>-</v>
      </c>
      <c r="J144" s="17" t="str">
        <f>IFERROR(IF(G144&gt;0, H144/G144, 0),"-")</f>
        <v>-</v>
      </c>
      <c r="K144" s="15" t="s">
        <v>142</v>
      </c>
      <c r="L144" s="16" t="s">
        <v>142</v>
      </c>
      <c r="M144" s="15" t="str">
        <f>IF(OR(L144="-",L144="",L144=0),IF(K144="-","-",K144),K144-L144)</f>
        <v>-</v>
      </c>
      <c r="N144" s="17" t="str">
        <f>IFERROR(IF(K144&gt;0, L144/K144, 0),"-")</f>
        <v>-</v>
      </c>
      <c r="O144" s="15">
        <v>2</v>
      </c>
      <c r="P144" s="16" t="s">
        <v>142</v>
      </c>
      <c r="Q144" s="15">
        <f>IF(OR(P144="-",P144="",P144=0),IF(O144="-","-",O144),O144-P144)</f>
        <v>2</v>
      </c>
      <c r="R144" s="17" t="str">
        <f>IFERROR(IF(O144&gt;0, P144/O144, 0),"-")</f>
        <v>-</v>
      </c>
      <c r="S144" s="15">
        <v>4</v>
      </c>
      <c r="T144" s="15" t="s">
        <v>142</v>
      </c>
      <c r="U144" s="15" t="s">
        <v>142</v>
      </c>
      <c r="V144" s="16" t="s">
        <v>142</v>
      </c>
      <c r="W144" s="16" t="s">
        <v>142</v>
      </c>
      <c r="X144" s="21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3">
      <c r="B145" s="14" t="s">
        <v>98</v>
      </c>
      <c r="C145" s="15">
        <v>851</v>
      </c>
      <c r="D145" s="16">
        <v>823</v>
      </c>
      <c r="E145" s="15">
        <f>IF(OR(D145="-",D145="",D145=0),IF(C145="-","-",C145),C145-D145)</f>
        <v>28</v>
      </c>
      <c r="F145" s="17">
        <f>IFERROR(IF(C145&gt;0, D145/C145, 0),"-")</f>
        <v>0.96709753231492357</v>
      </c>
      <c r="G145" s="15">
        <v>3</v>
      </c>
      <c r="H145" s="16" t="s">
        <v>142</v>
      </c>
      <c r="I145" s="15">
        <f>IF(OR(H145="-",H145="",H145=0),IF(G145="-","-",G145),G145-H145)</f>
        <v>3</v>
      </c>
      <c r="J145" s="17" t="str">
        <f>IFERROR(IF(G145&gt;0, H145/G145, 0),"-")</f>
        <v>-</v>
      </c>
      <c r="K145" s="15">
        <v>1</v>
      </c>
      <c r="L145" s="16" t="s">
        <v>142</v>
      </c>
      <c r="M145" s="15">
        <f>IF(OR(L145="-",L145="",L145=0),IF(K145="-","-",K145),K145-L145)</f>
        <v>1</v>
      </c>
      <c r="N145" s="17" t="str">
        <f>IFERROR(IF(K145&gt;0, L145/K145, 0),"-")</f>
        <v>-</v>
      </c>
      <c r="O145" s="15">
        <v>2</v>
      </c>
      <c r="P145" s="16" t="s">
        <v>142</v>
      </c>
      <c r="Q145" s="15">
        <f>IF(OR(P145="-",P145="",P145=0),IF(O145="-","-",O145),O145-P145)</f>
        <v>2</v>
      </c>
      <c r="R145" s="17" t="str">
        <f>IFERROR(IF(O145&gt;0, P145/O145, 0),"-")</f>
        <v>-</v>
      </c>
      <c r="S145" s="15">
        <v>6</v>
      </c>
      <c r="T145" s="15" t="s">
        <v>142</v>
      </c>
      <c r="U145" s="15" t="s">
        <v>142</v>
      </c>
      <c r="V145" s="16" t="s">
        <v>142</v>
      </c>
      <c r="W145" s="16" t="s">
        <v>142</v>
      </c>
      <c r="X145" s="21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3">
      <c r="B146" s="14" t="s">
        <v>44</v>
      </c>
      <c r="C146" s="15">
        <v>699</v>
      </c>
      <c r="D146" s="16">
        <v>676</v>
      </c>
      <c r="E146" s="15">
        <f>IF(OR(D146="-",D146="",D146=0),IF(C146="-","-",C146),C146-D146)</f>
        <v>23</v>
      </c>
      <c r="F146" s="17">
        <f>IFERROR(IF(C146&gt;0, D146/C146, 0),"-")</f>
        <v>0.96709585121602293</v>
      </c>
      <c r="G146" s="15">
        <v>10</v>
      </c>
      <c r="H146" s="16" t="s">
        <v>142</v>
      </c>
      <c r="I146" s="15">
        <f>IF(OR(H146="-",H146="",H146=0),IF(G146="-","-",G146),G146-H146)</f>
        <v>10</v>
      </c>
      <c r="J146" s="17" t="str">
        <f>IFERROR(IF(G146&gt;0, H146/G146, 0),"-")</f>
        <v>-</v>
      </c>
      <c r="K146" s="15">
        <v>6</v>
      </c>
      <c r="L146" s="16" t="s">
        <v>142</v>
      </c>
      <c r="M146" s="15">
        <f>IF(OR(L146="-",L146="",L146=0),IF(K146="-","-",K146),K146-L146)</f>
        <v>6</v>
      </c>
      <c r="N146" s="17" t="str">
        <f>IFERROR(IF(K146&gt;0, L146/K146, 0),"-")</f>
        <v>-</v>
      </c>
      <c r="O146" s="15">
        <v>2</v>
      </c>
      <c r="P146" s="16" t="s">
        <v>142</v>
      </c>
      <c r="Q146" s="15">
        <f>IF(OR(P146="-",P146="",P146=0),IF(O146="-","-",O146),O146-P146)</f>
        <v>2</v>
      </c>
      <c r="R146" s="17" t="str">
        <f>IFERROR(IF(O146&gt;0, P146/O146, 0),"-")</f>
        <v>-</v>
      </c>
      <c r="S146" s="15">
        <v>4</v>
      </c>
      <c r="T146" s="15" t="s">
        <v>142</v>
      </c>
      <c r="U146" s="15" t="s">
        <v>142</v>
      </c>
      <c r="V146" s="16" t="s">
        <v>142</v>
      </c>
      <c r="W146" s="16" t="s">
        <v>142</v>
      </c>
      <c r="X146" s="21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3">
      <c r="B147" s="14" t="s">
        <v>56</v>
      </c>
      <c r="C147" s="15">
        <v>332</v>
      </c>
      <c r="D147" s="16">
        <v>321</v>
      </c>
      <c r="E147" s="15">
        <f>IF(OR(D147="-",D147="",D147=0),IF(C147="-","-",C147),C147-D147)</f>
        <v>11</v>
      </c>
      <c r="F147" s="17">
        <f>IFERROR(IF(C147&gt;0, D147/C147, 0),"-")</f>
        <v>0.9668674698795181</v>
      </c>
      <c r="G147" s="15">
        <v>2</v>
      </c>
      <c r="H147" s="16" t="s">
        <v>142</v>
      </c>
      <c r="I147" s="15">
        <f>IF(OR(H147="-",H147="",H147=0),IF(G147="-","-",G147),G147-H147)</f>
        <v>2</v>
      </c>
      <c r="J147" s="17" t="str">
        <f>IFERROR(IF(G147&gt;0, H147/G147, 0),"-")</f>
        <v>-</v>
      </c>
      <c r="K147" s="15">
        <v>2</v>
      </c>
      <c r="L147" s="16" t="s">
        <v>142</v>
      </c>
      <c r="M147" s="15">
        <f>IF(OR(L147="-",L147="",L147=0),IF(K147="-","-",K147),K147-L147)</f>
        <v>2</v>
      </c>
      <c r="N147" s="17" t="str">
        <f>IFERROR(IF(K147&gt;0, L147/K147, 0),"-")</f>
        <v>-</v>
      </c>
      <c r="O147" s="15">
        <v>2</v>
      </c>
      <c r="P147" s="16" t="s">
        <v>142</v>
      </c>
      <c r="Q147" s="15">
        <f>IF(OR(P147="-",P147="",P147=0),IF(O147="-","-",O147),O147-P147)</f>
        <v>2</v>
      </c>
      <c r="R147" s="17" t="str">
        <f>IFERROR(IF(O147&gt;0, P147/O147, 0),"-")</f>
        <v>-</v>
      </c>
      <c r="S147" s="15">
        <v>1</v>
      </c>
      <c r="T147" s="15" t="s">
        <v>142</v>
      </c>
      <c r="U147" s="15" t="s">
        <v>142</v>
      </c>
      <c r="V147" s="16" t="s">
        <v>142</v>
      </c>
      <c r="W147" s="16" t="s">
        <v>142</v>
      </c>
      <c r="X147" s="21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3">
      <c r="B148" s="14" t="s">
        <v>66</v>
      </c>
      <c r="C148" s="15">
        <v>449</v>
      </c>
      <c r="D148" s="16">
        <v>434</v>
      </c>
      <c r="E148" s="15">
        <f>IF(OR(D148="-",D148="",D148=0),IF(C148="-","-",C148),C148-D148)</f>
        <v>15</v>
      </c>
      <c r="F148" s="17">
        <f>IFERROR(IF(C148&gt;0, D148/C148, 0),"-")</f>
        <v>0.96659242761692654</v>
      </c>
      <c r="G148" s="15">
        <v>1</v>
      </c>
      <c r="H148" s="16" t="s">
        <v>142</v>
      </c>
      <c r="I148" s="15">
        <f>IF(OR(H148="-",H148="",H148=0),IF(G148="-","-",G148),G148-H148)</f>
        <v>1</v>
      </c>
      <c r="J148" s="17" t="str">
        <f>IFERROR(IF(G148&gt;0, H148/G148, 0),"-")</f>
        <v>-</v>
      </c>
      <c r="K148" s="15" t="s">
        <v>142</v>
      </c>
      <c r="L148" s="16" t="s">
        <v>142</v>
      </c>
      <c r="M148" s="15" t="str">
        <f>IF(OR(L148="-",L148="",L148=0),IF(K148="-","-",K148),K148-L148)</f>
        <v>-</v>
      </c>
      <c r="N148" s="17" t="str">
        <f>IFERROR(IF(K148&gt;0, L148/K148, 0),"-")</f>
        <v>-</v>
      </c>
      <c r="O148" s="15">
        <v>1</v>
      </c>
      <c r="P148" s="16" t="s">
        <v>142</v>
      </c>
      <c r="Q148" s="15">
        <f>IF(OR(P148="-",P148="",P148=0),IF(O148="-","-",O148),O148-P148)</f>
        <v>1</v>
      </c>
      <c r="R148" s="17" t="str">
        <f>IFERROR(IF(O148&gt;0, P148/O148, 0),"-")</f>
        <v>-</v>
      </c>
      <c r="S148" s="15">
        <v>1</v>
      </c>
      <c r="T148" s="15" t="s">
        <v>142</v>
      </c>
      <c r="U148" s="15" t="s">
        <v>142</v>
      </c>
      <c r="V148" s="16" t="s">
        <v>142</v>
      </c>
      <c r="W148" s="16" t="s">
        <v>142</v>
      </c>
      <c r="X148" s="21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3">
      <c r="B149" s="14" t="s">
        <v>10</v>
      </c>
      <c r="C149" s="15">
        <v>587</v>
      </c>
      <c r="D149" s="16">
        <v>567</v>
      </c>
      <c r="E149" s="15">
        <f>IF(OR(D149="-",D149="",D149=0),IF(C149="-","-",C149),C149-D149)</f>
        <v>20</v>
      </c>
      <c r="F149" s="17">
        <f>IFERROR(IF(C149&gt;0, D149/C149, 0),"-")</f>
        <v>0.96592844974446335</v>
      </c>
      <c r="G149" s="15">
        <v>9</v>
      </c>
      <c r="H149" s="16" t="s">
        <v>142</v>
      </c>
      <c r="I149" s="15">
        <f>IF(OR(H149="-",H149="",H149=0),IF(G149="-","-",G149),G149-H149)</f>
        <v>9</v>
      </c>
      <c r="J149" s="17" t="str">
        <f>IFERROR(IF(G149&gt;0, H149/G149, 0),"-")</f>
        <v>-</v>
      </c>
      <c r="K149" s="15">
        <v>5</v>
      </c>
      <c r="L149" s="16" t="s">
        <v>142</v>
      </c>
      <c r="M149" s="15">
        <f>IF(OR(L149="-",L149="",L149=0),IF(K149="-","-",K149),K149-L149)</f>
        <v>5</v>
      </c>
      <c r="N149" s="17" t="str">
        <f>IFERROR(IF(K149&gt;0, L149/K149, 0),"-")</f>
        <v>-</v>
      </c>
      <c r="O149" s="15">
        <v>5</v>
      </c>
      <c r="P149" s="16" t="s">
        <v>142</v>
      </c>
      <c r="Q149" s="15">
        <f>IF(OR(P149="-",P149="",P149=0),IF(O149="-","-",O149),O149-P149)</f>
        <v>5</v>
      </c>
      <c r="R149" s="17" t="str">
        <f>IFERROR(IF(O149&gt;0, P149/O149, 0),"-")</f>
        <v>-</v>
      </c>
      <c r="S149" s="15">
        <v>4</v>
      </c>
      <c r="T149" s="15" t="s">
        <v>142</v>
      </c>
      <c r="U149" s="15" t="s">
        <v>142</v>
      </c>
      <c r="V149" s="16" t="s">
        <v>142</v>
      </c>
      <c r="W149" s="16" t="s">
        <v>142</v>
      </c>
      <c r="X149" s="21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3">
      <c r="B150" s="14" t="s">
        <v>114</v>
      </c>
      <c r="C150" s="15">
        <v>351</v>
      </c>
      <c r="D150" s="16">
        <v>339</v>
      </c>
      <c r="E150" s="15">
        <f>IF(OR(D150="-",D150="",D150=0),IF(C150="-","-",C150),C150-D150)</f>
        <v>12</v>
      </c>
      <c r="F150" s="17">
        <f>IFERROR(IF(C150&gt;0, D150/C150, 0),"-")</f>
        <v>0.96581196581196582</v>
      </c>
      <c r="G150" s="15">
        <v>1</v>
      </c>
      <c r="H150" s="16" t="s">
        <v>142</v>
      </c>
      <c r="I150" s="15">
        <f>IF(OR(H150="-",H150="",H150=0),IF(G150="-","-",G150),G150-H150)</f>
        <v>1</v>
      </c>
      <c r="J150" s="17" t="str">
        <f>IFERROR(IF(G150&gt;0, H150/G150, 0),"-")</f>
        <v>-</v>
      </c>
      <c r="K150" s="15" t="s">
        <v>142</v>
      </c>
      <c r="L150" s="16" t="s">
        <v>142</v>
      </c>
      <c r="M150" s="15" t="str">
        <f>IF(OR(L150="-",L150="",L150=0),IF(K150="-","-",K150),K150-L150)</f>
        <v>-</v>
      </c>
      <c r="N150" s="17" t="str">
        <f>IFERROR(IF(K150&gt;0, L150/K150, 0),"-")</f>
        <v>-</v>
      </c>
      <c r="O150" s="15" t="s">
        <v>142</v>
      </c>
      <c r="P150" s="16" t="s">
        <v>142</v>
      </c>
      <c r="Q150" s="15" t="str">
        <f>IF(OR(P150="-",P150="",P150=0),IF(O150="-","-",O150),O150-P150)</f>
        <v>-</v>
      </c>
      <c r="R150" s="17" t="str">
        <f>IFERROR(IF(O150&gt;0, P150/O150, 0),"-")</f>
        <v>-</v>
      </c>
      <c r="S150" s="15">
        <v>3</v>
      </c>
      <c r="T150" s="15" t="s">
        <v>142</v>
      </c>
      <c r="U150" s="15" t="s">
        <v>142</v>
      </c>
      <c r="V150" s="16" t="s">
        <v>142</v>
      </c>
      <c r="W150" s="16" t="s">
        <v>142</v>
      </c>
      <c r="X150" s="21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3">
      <c r="B151" s="14" t="s">
        <v>52</v>
      </c>
      <c r="C151" s="15">
        <v>606</v>
      </c>
      <c r="D151" s="16">
        <v>584</v>
      </c>
      <c r="E151" s="15">
        <f>IF(OR(D151="-",D151="",D151=0),IF(C151="-","-",C151),C151-D151)</f>
        <v>22</v>
      </c>
      <c r="F151" s="17">
        <f>IFERROR(IF(C151&gt;0, D151/C151, 0),"-")</f>
        <v>0.9636963696369637</v>
      </c>
      <c r="G151" s="15">
        <v>4</v>
      </c>
      <c r="H151" s="16" t="s">
        <v>142</v>
      </c>
      <c r="I151" s="15">
        <f>IF(OR(H151="-",H151="",H151=0),IF(G151="-","-",G151),G151-H151)</f>
        <v>4</v>
      </c>
      <c r="J151" s="17" t="str">
        <f>IFERROR(IF(G151&gt;0, H151/G151, 0),"-")</f>
        <v>-</v>
      </c>
      <c r="K151" s="15">
        <v>1</v>
      </c>
      <c r="L151" s="16" t="s">
        <v>142</v>
      </c>
      <c r="M151" s="15">
        <f>IF(OR(L151="-",L151="",L151=0),IF(K151="-","-",K151),K151-L151)</f>
        <v>1</v>
      </c>
      <c r="N151" s="17" t="str">
        <f>IFERROR(IF(K151&gt;0, L151/K151, 0),"-")</f>
        <v>-</v>
      </c>
      <c r="O151" s="15">
        <v>1</v>
      </c>
      <c r="P151" s="16" t="s">
        <v>142</v>
      </c>
      <c r="Q151" s="15">
        <f>IF(OR(P151="-",P151="",P151=0),IF(O151="-","-",O151),O151-P151)</f>
        <v>1</v>
      </c>
      <c r="R151" s="17" t="str">
        <f>IFERROR(IF(O151&gt;0, P151/O151, 0),"-")</f>
        <v>-</v>
      </c>
      <c r="S151" s="15">
        <v>1</v>
      </c>
      <c r="T151" s="15" t="s">
        <v>142</v>
      </c>
      <c r="U151" s="15" t="s">
        <v>142</v>
      </c>
      <c r="V151" s="16" t="s">
        <v>142</v>
      </c>
      <c r="W151" s="16" t="s">
        <v>142</v>
      </c>
      <c r="X151" s="21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3">
      <c r="B152" s="14" t="s">
        <v>58</v>
      </c>
      <c r="C152" s="15">
        <v>438</v>
      </c>
      <c r="D152" s="16">
        <v>422</v>
      </c>
      <c r="E152" s="15">
        <f>IF(OR(D152="-",D152="",D152=0),IF(C152="-","-",C152),C152-D152)</f>
        <v>16</v>
      </c>
      <c r="F152" s="17">
        <f>IFERROR(IF(C152&gt;0, D152/C152, 0),"-")</f>
        <v>0.9634703196347032</v>
      </c>
      <c r="G152" s="15">
        <v>2</v>
      </c>
      <c r="H152" s="16" t="s">
        <v>142</v>
      </c>
      <c r="I152" s="15">
        <f>IF(OR(H152="-",H152="",H152=0),IF(G152="-","-",G152),G152-H152)</f>
        <v>2</v>
      </c>
      <c r="J152" s="17" t="str">
        <f>IFERROR(IF(G152&gt;0, H152/G152, 0),"-")</f>
        <v>-</v>
      </c>
      <c r="K152" s="15">
        <v>2</v>
      </c>
      <c r="L152" s="16" t="s">
        <v>142</v>
      </c>
      <c r="M152" s="15">
        <f>IF(OR(L152="-",L152="",L152=0),IF(K152="-","-",K152),K152-L152)</f>
        <v>2</v>
      </c>
      <c r="N152" s="17" t="str">
        <f>IFERROR(IF(K152&gt;0, L152/K152, 0),"-")</f>
        <v>-</v>
      </c>
      <c r="O152" s="15" t="s">
        <v>142</v>
      </c>
      <c r="P152" s="16" t="s">
        <v>142</v>
      </c>
      <c r="Q152" s="15" t="str">
        <f>IF(OR(P152="-",P152="",P152=0),IF(O152="-","-",O152),O152-P152)</f>
        <v>-</v>
      </c>
      <c r="R152" s="17" t="str">
        <f>IFERROR(IF(O152&gt;0, P152/O152, 0),"-")</f>
        <v>-</v>
      </c>
      <c r="S152" s="15">
        <v>2</v>
      </c>
      <c r="T152" s="15" t="s">
        <v>142</v>
      </c>
      <c r="U152" s="15" t="s">
        <v>142</v>
      </c>
      <c r="V152" s="16" t="s">
        <v>142</v>
      </c>
      <c r="W152" s="16" t="s">
        <v>142</v>
      </c>
      <c r="X152" s="21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3">
      <c r="B153" s="14" t="s">
        <v>113</v>
      </c>
      <c r="C153" s="15">
        <v>464</v>
      </c>
      <c r="D153" s="16">
        <v>447</v>
      </c>
      <c r="E153" s="15">
        <f>IF(OR(D153="-",D153="",D153=0),IF(C153="-","-",C153),C153-D153)</f>
        <v>17</v>
      </c>
      <c r="F153" s="17">
        <f>IFERROR(IF(C153&gt;0, D153/C153, 0),"-")</f>
        <v>0.96336206896551724</v>
      </c>
      <c r="G153" s="15">
        <v>2</v>
      </c>
      <c r="H153" s="16" t="s">
        <v>142</v>
      </c>
      <c r="I153" s="15">
        <f>IF(OR(H153="-",H153="",H153=0),IF(G153="-","-",G153),G153-H153)</f>
        <v>2</v>
      </c>
      <c r="J153" s="17" t="str">
        <f>IFERROR(IF(G153&gt;0, H153/G153, 0),"-")</f>
        <v>-</v>
      </c>
      <c r="K153" s="15">
        <v>1</v>
      </c>
      <c r="L153" s="16" t="s">
        <v>142</v>
      </c>
      <c r="M153" s="15">
        <f>IF(OR(L153="-",L153="",L153=0),IF(K153="-","-",K153),K153-L153)</f>
        <v>1</v>
      </c>
      <c r="N153" s="17" t="str">
        <f>IFERROR(IF(K153&gt;0, L153/K153, 0),"-")</f>
        <v>-</v>
      </c>
      <c r="O153" s="15">
        <v>1</v>
      </c>
      <c r="P153" s="16" t="s">
        <v>142</v>
      </c>
      <c r="Q153" s="15">
        <f>IF(OR(P153="-",P153="",P153=0),IF(O153="-","-",O153),O153-P153)</f>
        <v>1</v>
      </c>
      <c r="R153" s="17" t="str">
        <f>IFERROR(IF(O153&gt;0, P153/O153, 0),"-")</f>
        <v>-</v>
      </c>
      <c r="S153" s="15">
        <v>2</v>
      </c>
      <c r="T153" s="15" t="s">
        <v>142</v>
      </c>
      <c r="U153" s="15" t="s">
        <v>142</v>
      </c>
      <c r="V153" s="16" t="s">
        <v>142</v>
      </c>
      <c r="W153" s="16" t="s">
        <v>142</v>
      </c>
      <c r="X153" s="21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3">
      <c r="B154" s="14" t="s">
        <v>126</v>
      </c>
      <c r="C154" s="15">
        <v>463</v>
      </c>
      <c r="D154" s="16">
        <v>446</v>
      </c>
      <c r="E154" s="15">
        <f>IF(OR(D154="-",D154="",D154=0),IF(C154="-","-",C154),C154-D154)</f>
        <v>17</v>
      </c>
      <c r="F154" s="17">
        <f>IFERROR(IF(C154&gt;0, D154/C154, 0),"-")</f>
        <v>0.96328293736501081</v>
      </c>
      <c r="G154" s="15">
        <v>8</v>
      </c>
      <c r="H154" s="16" t="s">
        <v>142</v>
      </c>
      <c r="I154" s="15">
        <f>IF(OR(H154="-",H154="",H154=0),IF(G154="-","-",G154),G154-H154)</f>
        <v>8</v>
      </c>
      <c r="J154" s="17" t="str">
        <f>IFERROR(IF(G154&gt;0, H154/G154, 0),"-")</f>
        <v>-</v>
      </c>
      <c r="K154" s="15" t="s">
        <v>142</v>
      </c>
      <c r="L154" s="16" t="s">
        <v>142</v>
      </c>
      <c r="M154" s="15" t="str">
        <f>IF(OR(L154="-",L154="",L154=0),IF(K154="-","-",K154),K154-L154)</f>
        <v>-</v>
      </c>
      <c r="N154" s="17" t="str">
        <f>IFERROR(IF(K154&gt;0, L154/K154, 0),"-")</f>
        <v>-</v>
      </c>
      <c r="O154" s="15">
        <v>1</v>
      </c>
      <c r="P154" s="16" t="s">
        <v>142</v>
      </c>
      <c r="Q154" s="15">
        <f>IF(OR(P154="-",P154="",P154=0),IF(O154="-","-",O154),O154-P154)</f>
        <v>1</v>
      </c>
      <c r="R154" s="17" t="str">
        <f>IFERROR(IF(O154&gt;0, P154/O154, 0),"-")</f>
        <v>-</v>
      </c>
      <c r="S154" s="15">
        <v>2</v>
      </c>
      <c r="T154" s="15" t="s">
        <v>142</v>
      </c>
      <c r="U154" s="15" t="s">
        <v>142</v>
      </c>
      <c r="V154" s="16" t="s">
        <v>142</v>
      </c>
      <c r="W154" s="16" t="s">
        <v>142</v>
      </c>
      <c r="X154" s="21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3">
      <c r="B155" s="14" t="s">
        <v>14</v>
      </c>
      <c r="C155" s="15">
        <v>403</v>
      </c>
      <c r="D155" s="16">
        <v>388</v>
      </c>
      <c r="E155" s="15">
        <f>IF(OR(D155="-",D155="",D155=0),IF(C155="-","-",C155),C155-D155)</f>
        <v>15</v>
      </c>
      <c r="F155" s="17">
        <f>IFERROR(IF(C155&gt;0, D155/C155, 0),"-")</f>
        <v>0.96277915632754341</v>
      </c>
      <c r="G155" s="15">
        <v>2</v>
      </c>
      <c r="H155" s="16" t="s">
        <v>142</v>
      </c>
      <c r="I155" s="15">
        <f>IF(OR(H155="-",H155="",H155=0),IF(G155="-","-",G155),G155-H155)</f>
        <v>2</v>
      </c>
      <c r="J155" s="17" t="str">
        <f>IFERROR(IF(G155&gt;0, H155/G155, 0),"-")</f>
        <v>-</v>
      </c>
      <c r="K155" s="15">
        <v>1</v>
      </c>
      <c r="L155" s="16" t="s">
        <v>142</v>
      </c>
      <c r="M155" s="15">
        <f>IF(OR(L155="-",L155="",L155=0),IF(K155="-","-",K155),K155-L155)</f>
        <v>1</v>
      </c>
      <c r="N155" s="17" t="str">
        <f>IFERROR(IF(K155&gt;0, L155/K155, 0),"-")</f>
        <v>-</v>
      </c>
      <c r="O155" s="15">
        <v>2</v>
      </c>
      <c r="P155" s="16" t="s">
        <v>142</v>
      </c>
      <c r="Q155" s="15">
        <f>IF(OR(P155="-",P155="",P155=0),IF(O155="-","-",O155),O155-P155)</f>
        <v>2</v>
      </c>
      <c r="R155" s="17" t="str">
        <f>IFERROR(IF(O155&gt;0, P155/O155, 0),"-")</f>
        <v>-</v>
      </c>
      <c r="S155" s="15">
        <v>3</v>
      </c>
      <c r="T155" s="15" t="s">
        <v>142</v>
      </c>
      <c r="U155" s="15" t="s">
        <v>142</v>
      </c>
      <c r="V155" s="16" t="s">
        <v>142</v>
      </c>
      <c r="W155" s="16" t="s">
        <v>142</v>
      </c>
      <c r="X155" s="21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3">
      <c r="B156" s="14" t="s">
        <v>40</v>
      </c>
      <c r="C156" s="15">
        <v>561</v>
      </c>
      <c r="D156" s="16">
        <v>540</v>
      </c>
      <c r="E156" s="15">
        <f>IF(OR(D156="-",D156="",D156=0),IF(C156="-","-",C156),C156-D156)</f>
        <v>21</v>
      </c>
      <c r="F156" s="17">
        <f>IFERROR(IF(C156&gt;0, D156/C156, 0),"-")</f>
        <v>0.96256684491978606</v>
      </c>
      <c r="G156" s="15">
        <v>12</v>
      </c>
      <c r="H156" s="16" t="s">
        <v>142</v>
      </c>
      <c r="I156" s="15">
        <f>IF(OR(H156="-",H156="",H156=0),IF(G156="-","-",G156),G156-H156)</f>
        <v>12</v>
      </c>
      <c r="J156" s="17" t="str">
        <f>IFERROR(IF(G156&gt;0, H156/G156, 0),"-")</f>
        <v>-</v>
      </c>
      <c r="K156" s="15">
        <v>14</v>
      </c>
      <c r="L156" s="16" t="s">
        <v>142</v>
      </c>
      <c r="M156" s="15">
        <f>IF(OR(L156="-",L156="",L156=0),IF(K156="-","-",K156),K156-L156)</f>
        <v>14</v>
      </c>
      <c r="N156" s="17" t="str">
        <f>IFERROR(IF(K156&gt;0, L156/K156, 0),"-")</f>
        <v>-</v>
      </c>
      <c r="O156" s="15">
        <v>6</v>
      </c>
      <c r="P156" s="16" t="s">
        <v>142</v>
      </c>
      <c r="Q156" s="15">
        <f>IF(OR(P156="-",P156="",P156=0),IF(O156="-","-",O156),O156-P156)</f>
        <v>6</v>
      </c>
      <c r="R156" s="17" t="str">
        <f>IFERROR(IF(O156&gt;0, P156/O156, 0),"-")</f>
        <v>-</v>
      </c>
      <c r="S156" s="15">
        <v>6</v>
      </c>
      <c r="T156" s="15" t="s">
        <v>142</v>
      </c>
      <c r="U156" s="15" t="s">
        <v>142</v>
      </c>
      <c r="V156" s="16" t="s">
        <v>142</v>
      </c>
      <c r="W156" s="16" t="s">
        <v>142</v>
      </c>
      <c r="X156" s="21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3">
      <c r="B157" s="14" t="s">
        <v>57</v>
      </c>
      <c r="C157" s="15">
        <v>342</v>
      </c>
      <c r="D157" s="16">
        <v>329</v>
      </c>
      <c r="E157" s="15">
        <f>IF(OR(D157="-",D157="",D157=0),IF(C157="-","-",C157),C157-D157)</f>
        <v>13</v>
      </c>
      <c r="F157" s="17">
        <f>IFERROR(IF(C157&gt;0, D157/C157, 0),"-")</f>
        <v>0.96198830409356728</v>
      </c>
      <c r="G157" s="15">
        <v>1</v>
      </c>
      <c r="H157" s="16" t="s">
        <v>142</v>
      </c>
      <c r="I157" s="15">
        <f>IF(OR(H157="-",H157="",H157=0),IF(G157="-","-",G157),G157-H157)</f>
        <v>1</v>
      </c>
      <c r="J157" s="17" t="str">
        <f>IFERROR(IF(G157&gt;0, H157/G157, 0),"-")</f>
        <v>-</v>
      </c>
      <c r="K157" s="15" t="s">
        <v>142</v>
      </c>
      <c r="L157" s="16" t="s">
        <v>142</v>
      </c>
      <c r="M157" s="15" t="str">
        <f>IF(OR(L157="-",L157="",L157=0),IF(K157="-","-",K157),K157-L157)</f>
        <v>-</v>
      </c>
      <c r="N157" s="17" t="str">
        <f>IFERROR(IF(K157&gt;0, L157/K157, 0),"-")</f>
        <v>-</v>
      </c>
      <c r="O157" s="15" t="s">
        <v>142</v>
      </c>
      <c r="P157" s="16" t="s">
        <v>142</v>
      </c>
      <c r="Q157" s="15" t="str">
        <f>IF(OR(P157="-",P157="",P157=0),IF(O157="-","-",O157),O157-P157)</f>
        <v>-</v>
      </c>
      <c r="R157" s="17" t="str">
        <f>IFERROR(IF(O157&gt;0, P157/O157, 0),"-")</f>
        <v>-</v>
      </c>
      <c r="S157" s="15">
        <v>2</v>
      </c>
      <c r="T157" s="15" t="s">
        <v>142</v>
      </c>
      <c r="U157" s="15" t="s">
        <v>142</v>
      </c>
      <c r="V157" s="16" t="s">
        <v>142</v>
      </c>
      <c r="W157" s="16" t="s">
        <v>142</v>
      </c>
      <c r="X157" s="21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3">
      <c r="B158" s="14" t="s">
        <v>50</v>
      </c>
      <c r="C158" s="15">
        <v>786</v>
      </c>
      <c r="D158" s="16">
        <v>756</v>
      </c>
      <c r="E158" s="15">
        <f>IF(OR(D158="-",D158="",D158=0),IF(C158="-","-",C158),C158-D158)</f>
        <v>30</v>
      </c>
      <c r="F158" s="17">
        <f>IFERROR(IF(C158&gt;0, D158/C158, 0),"-")</f>
        <v>0.96183206106870234</v>
      </c>
      <c r="G158" s="15">
        <v>7</v>
      </c>
      <c r="H158" s="16" t="s">
        <v>142</v>
      </c>
      <c r="I158" s="15">
        <f>IF(OR(H158="-",H158="",H158=0),IF(G158="-","-",G158),G158-H158)</f>
        <v>7</v>
      </c>
      <c r="J158" s="17" t="str">
        <f>IFERROR(IF(G158&gt;0, H158/G158, 0),"-")</f>
        <v>-</v>
      </c>
      <c r="K158" s="15">
        <v>3</v>
      </c>
      <c r="L158" s="16" t="s">
        <v>142</v>
      </c>
      <c r="M158" s="15">
        <f>IF(OR(L158="-",L158="",L158=0),IF(K158="-","-",K158),K158-L158)</f>
        <v>3</v>
      </c>
      <c r="N158" s="17" t="str">
        <f>IFERROR(IF(K158&gt;0, L158/K158, 0),"-")</f>
        <v>-</v>
      </c>
      <c r="O158" s="15">
        <v>3</v>
      </c>
      <c r="P158" s="16" t="s">
        <v>142</v>
      </c>
      <c r="Q158" s="15">
        <f>IF(OR(P158="-",P158="",P158=0),IF(O158="-","-",O158),O158-P158)</f>
        <v>3</v>
      </c>
      <c r="R158" s="17" t="str">
        <f>IFERROR(IF(O158&gt;0, P158/O158, 0),"-")</f>
        <v>-</v>
      </c>
      <c r="S158" s="15">
        <v>2</v>
      </c>
      <c r="T158" s="15" t="s">
        <v>142</v>
      </c>
      <c r="U158" s="15" t="s">
        <v>142</v>
      </c>
      <c r="V158" s="16" t="s">
        <v>142</v>
      </c>
      <c r="W158" s="16" t="s">
        <v>142</v>
      </c>
      <c r="X158" s="21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3">
      <c r="B159" s="14" t="s">
        <v>89</v>
      </c>
      <c r="C159" s="15">
        <v>804</v>
      </c>
      <c r="D159" s="16">
        <v>772</v>
      </c>
      <c r="E159" s="15">
        <f>IF(OR(D159="-",D159="",D159=0),IF(C159="-","-",C159),C159-D159)</f>
        <v>32</v>
      </c>
      <c r="F159" s="17">
        <f>IFERROR(IF(C159&gt;0, D159/C159, 0),"-")</f>
        <v>0.96019900497512434</v>
      </c>
      <c r="G159" s="15">
        <v>12</v>
      </c>
      <c r="H159" s="16" t="s">
        <v>142</v>
      </c>
      <c r="I159" s="15">
        <f>IF(OR(H159="-",H159="",H159=0),IF(G159="-","-",G159),G159-H159)</f>
        <v>12</v>
      </c>
      <c r="J159" s="17" t="str">
        <f>IFERROR(IF(G159&gt;0, H159/G159, 0),"-")</f>
        <v>-</v>
      </c>
      <c r="K159" s="15">
        <v>10</v>
      </c>
      <c r="L159" s="16" t="s">
        <v>142</v>
      </c>
      <c r="M159" s="15">
        <f>IF(OR(L159="-",L159="",L159=0),IF(K159="-","-",K159),K159-L159)</f>
        <v>10</v>
      </c>
      <c r="N159" s="17" t="str">
        <f>IFERROR(IF(K159&gt;0, L159/K159, 0),"-")</f>
        <v>-</v>
      </c>
      <c r="O159" s="15">
        <v>4</v>
      </c>
      <c r="P159" s="16" t="s">
        <v>142</v>
      </c>
      <c r="Q159" s="15">
        <f>IF(OR(P159="-",P159="",P159=0),IF(O159="-","-",O159),O159-P159)</f>
        <v>4</v>
      </c>
      <c r="R159" s="17" t="str">
        <f>IFERROR(IF(O159&gt;0, P159/O159, 0),"-")</f>
        <v>-</v>
      </c>
      <c r="S159" s="15">
        <v>1</v>
      </c>
      <c r="T159" s="15" t="s">
        <v>142</v>
      </c>
      <c r="U159" s="15" t="s">
        <v>142</v>
      </c>
      <c r="V159" s="16" t="s">
        <v>142</v>
      </c>
      <c r="W159" s="16" t="s">
        <v>142</v>
      </c>
      <c r="X159" s="21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3">
      <c r="B160" s="14" t="s">
        <v>43</v>
      </c>
      <c r="C160" s="15">
        <v>563</v>
      </c>
      <c r="D160" s="16">
        <v>540</v>
      </c>
      <c r="E160" s="15">
        <f>IF(OR(D160="-",D160="",D160=0),IF(C160="-","-",C160),C160-D160)</f>
        <v>23</v>
      </c>
      <c r="F160" s="17">
        <f>IFERROR(IF(C160&gt;0, D160/C160, 0),"-")</f>
        <v>0.95914742451154533</v>
      </c>
      <c r="G160" s="15">
        <v>4</v>
      </c>
      <c r="H160" s="16" t="s">
        <v>142</v>
      </c>
      <c r="I160" s="15">
        <f>IF(OR(H160="-",H160="",H160=0),IF(G160="-","-",G160),G160-H160)</f>
        <v>4</v>
      </c>
      <c r="J160" s="17" t="str">
        <f>IFERROR(IF(G160&gt;0, H160/G160, 0),"-")</f>
        <v>-</v>
      </c>
      <c r="K160" s="15" t="s">
        <v>142</v>
      </c>
      <c r="L160" s="16" t="s">
        <v>142</v>
      </c>
      <c r="M160" s="15" t="str">
        <f>IF(OR(L160="-",L160="",L160=0),IF(K160="-","-",K160),K160-L160)</f>
        <v>-</v>
      </c>
      <c r="N160" s="17" t="str">
        <f>IFERROR(IF(K160&gt;0, L160/K160, 0),"-")</f>
        <v>-</v>
      </c>
      <c r="O160" s="15">
        <v>1</v>
      </c>
      <c r="P160" s="16" t="s">
        <v>142</v>
      </c>
      <c r="Q160" s="15">
        <f>IF(OR(P160="-",P160="",P160=0),IF(O160="-","-",O160),O160-P160)</f>
        <v>1</v>
      </c>
      <c r="R160" s="17" t="str">
        <f>IFERROR(IF(O160&gt;0, P160/O160, 0),"-")</f>
        <v>-</v>
      </c>
      <c r="S160" s="15">
        <v>2</v>
      </c>
      <c r="T160" s="15" t="s">
        <v>142</v>
      </c>
      <c r="U160" s="15" t="s">
        <v>142</v>
      </c>
      <c r="V160" s="16" t="s">
        <v>142</v>
      </c>
      <c r="W160" s="16" t="s">
        <v>142</v>
      </c>
      <c r="X160" s="21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3">
      <c r="B161" s="14" t="s">
        <v>33</v>
      </c>
      <c r="C161" s="15">
        <v>872</v>
      </c>
      <c r="D161" s="16">
        <v>835</v>
      </c>
      <c r="E161" s="15">
        <f>IF(OR(D161="-",D161="",D161=0),IF(C161="-","-",C161),C161-D161)</f>
        <v>37</v>
      </c>
      <c r="F161" s="17">
        <f>IFERROR(IF(C161&gt;0, D161/C161, 0),"-")</f>
        <v>0.95756880733944949</v>
      </c>
      <c r="G161" s="15">
        <v>8</v>
      </c>
      <c r="H161" s="16" t="s">
        <v>142</v>
      </c>
      <c r="I161" s="15">
        <f>IF(OR(H161="-",H161="",H161=0),IF(G161="-","-",G161),G161-H161)</f>
        <v>8</v>
      </c>
      <c r="J161" s="17" t="str">
        <f>IFERROR(IF(G161&gt;0, H161/G161, 0),"-")</f>
        <v>-</v>
      </c>
      <c r="K161" s="15">
        <v>1</v>
      </c>
      <c r="L161" s="16" t="s">
        <v>142</v>
      </c>
      <c r="M161" s="15">
        <f>IF(OR(L161="-",L161="",L161=0),IF(K161="-","-",K161),K161-L161)</f>
        <v>1</v>
      </c>
      <c r="N161" s="17" t="str">
        <f>IFERROR(IF(K161&gt;0, L161/K161, 0),"-")</f>
        <v>-</v>
      </c>
      <c r="O161" s="15">
        <v>5</v>
      </c>
      <c r="P161" s="16" t="s">
        <v>142</v>
      </c>
      <c r="Q161" s="15">
        <f>IF(OR(P161="-",P161="",P161=0),IF(O161="-","-",O161),O161-P161)</f>
        <v>5</v>
      </c>
      <c r="R161" s="17" t="str">
        <f>IFERROR(IF(O161&gt;0, P161/O161, 0),"-")</f>
        <v>-</v>
      </c>
      <c r="S161" s="15">
        <v>7</v>
      </c>
      <c r="T161" s="15" t="s">
        <v>142</v>
      </c>
      <c r="U161" s="15" t="s">
        <v>142</v>
      </c>
      <c r="V161" s="16" t="s">
        <v>142</v>
      </c>
      <c r="W161" s="16" t="s">
        <v>142</v>
      </c>
      <c r="X161" s="21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3">
      <c r="B162" s="14" t="s">
        <v>74</v>
      </c>
      <c r="C162" s="15">
        <v>446</v>
      </c>
      <c r="D162" s="16">
        <v>427</v>
      </c>
      <c r="E162" s="15">
        <f>IF(OR(D162="-",D162="",D162=0),IF(C162="-","-",C162),C162-D162)</f>
        <v>19</v>
      </c>
      <c r="F162" s="17">
        <f>IFERROR(IF(C162&gt;0, D162/C162, 0),"-")</f>
        <v>0.95739910313901344</v>
      </c>
      <c r="G162" s="15">
        <v>3</v>
      </c>
      <c r="H162" s="16" t="s">
        <v>142</v>
      </c>
      <c r="I162" s="15">
        <f>IF(OR(H162="-",H162="",H162=0),IF(G162="-","-",G162),G162-H162)</f>
        <v>3</v>
      </c>
      <c r="J162" s="17" t="str">
        <f>IFERROR(IF(G162&gt;0, H162/G162, 0),"-")</f>
        <v>-</v>
      </c>
      <c r="K162" s="15" t="s">
        <v>142</v>
      </c>
      <c r="L162" s="16" t="s">
        <v>142</v>
      </c>
      <c r="M162" s="15" t="str">
        <f>IF(OR(L162="-",L162="",L162=0),IF(K162="-","-",K162),K162-L162)</f>
        <v>-</v>
      </c>
      <c r="N162" s="17" t="str">
        <f>IFERROR(IF(K162&gt;0, L162/K162, 0),"-")</f>
        <v>-</v>
      </c>
      <c r="O162" s="15" t="s">
        <v>142</v>
      </c>
      <c r="P162" s="16" t="s">
        <v>142</v>
      </c>
      <c r="Q162" s="15" t="str">
        <f>IF(OR(P162="-",P162="",P162=0),IF(O162="-","-",O162),O162-P162)</f>
        <v>-</v>
      </c>
      <c r="R162" s="17" t="str">
        <f>IFERROR(IF(O162&gt;0, P162/O162, 0),"-")</f>
        <v>-</v>
      </c>
      <c r="S162" s="15">
        <v>3</v>
      </c>
      <c r="T162" s="15" t="s">
        <v>142</v>
      </c>
      <c r="U162" s="15" t="s">
        <v>142</v>
      </c>
      <c r="V162" s="16" t="s">
        <v>142</v>
      </c>
      <c r="W162" s="16" t="s">
        <v>142</v>
      </c>
      <c r="X162" s="21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3">
      <c r="B163" s="14" t="s">
        <v>28</v>
      </c>
      <c r="C163" s="15">
        <v>233</v>
      </c>
      <c r="D163" s="16">
        <v>223</v>
      </c>
      <c r="E163" s="15">
        <f>IF(OR(D163="-",D163="",D163=0),IF(C163="-","-",C163),C163-D163)</f>
        <v>10</v>
      </c>
      <c r="F163" s="17">
        <f>IFERROR(IF(C163&gt;0, D163/C163, 0),"-")</f>
        <v>0.9570815450643777</v>
      </c>
      <c r="G163" s="15">
        <v>4</v>
      </c>
      <c r="H163" s="16" t="s">
        <v>142</v>
      </c>
      <c r="I163" s="15">
        <f>IF(OR(H163="-",H163="",H163=0),IF(G163="-","-",G163),G163-H163)</f>
        <v>4</v>
      </c>
      <c r="J163" s="17" t="str">
        <f>IFERROR(IF(G163&gt;0, H163/G163, 0),"-")</f>
        <v>-</v>
      </c>
      <c r="K163" s="15">
        <v>2</v>
      </c>
      <c r="L163" s="16" t="s">
        <v>142</v>
      </c>
      <c r="M163" s="15">
        <f>IF(OR(L163="-",L163="",L163=0),IF(K163="-","-",K163),K163-L163)</f>
        <v>2</v>
      </c>
      <c r="N163" s="17" t="str">
        <f>IFERROR(IF(K163&gt;0, L163/K163, 0),"-")</f>
        <v>-</v>
      </c>
      <c r="O163" s="15">
        <v>1</v>
      </c>
      <c r="P163" s="16" t="s">
        <v>142</v>
      </c>
      <c r="Q163" s="15">
        <f>IF(OR(P163="-",P163="",P163=0),IF(O163="-","-",O163),O163-P163)</f>
        <v>1</v>
      </c>
      <c r="R163" s="17" t="str">
        <f>IFERROR(IF(O163&gt;0, P163/O163, 0),"-")</f>
        <v>-</v>
      </c>
      <c r="S163" s="15" t="s">
        <v>142</v>
      </c>
      <c r="T163" s="15" t="s">
        <v>142</v>
      </c>
      <c r="U163" s="15" t="s">
        <v>142</v>
      </c>
      <c r="V163" s="16" t="s">
        <v>142</v>
      </c>
      <c r="W163" s="16" t="s">
        <v>142</v>
      </c>
      <c r="X163" s="21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3">
      <c r="B164" s="14" t="s">
        <v>83</v>
      </c>
      <c r="C164" s="15">
        <v>696</v>
      </c>
      <c r="D164" s="16">
        <v>665</v>
      </c>
      <c r="E164" s="15">
        <f>IF(OR(D164="-",D164="",D164=0),IF(C164="-","-",C164),C164-D164)</f>
        <v>31</v>
      </c>
      <c r="F164" s="17">
        <f>IFERROR(IF(C164&gt;0, D164/C164, 0),"-")</f>
        <v>0.95545977011494254</v>
      </c>
      <c r="G164" s="15">
        <v>6</v>
      </c>
      <c r="H164" s="16" t="s">
        <v>142</v>
      </c>
      <c r="I164" s="15">
        <f>IF(OR(H164="-",H164="",H164=0),IF(G164="-","-",G164),G164-H164)</f>
        <v>6</v>
      </c>
      <c r="J164" s="17" t="str">
        <f>IFERROR(IF(G164&gt;0, H164/G164, 0),"-")</f>
        <v>-</v>
      </c>
      <c r="K164" s="15">
        <v>4</v>
      </c>
      <c r="L164" s="16" t="s">
        <v>142</v>
      </c>
      <c r="M164" s="15">
        <f>IF(OR(L164="-",L164="",L164=0),IF(K164="-","-",K164),K164-L164)</f>
        <v>4</v>
      </c>
      <c r="N164" s="17" t="str">
        <f>IFERROR(IF(K164&gt;0, L164/K164, 0),"-")</f>
        <v>-</v>
      </c>
      <c r="O164" s="15" t="s">
        <v>142</v>
      </c>
      <c r="P164" s="16" t="s">
        <v>142</v>
      </c>
      <c r="Q164" s="15" t="str">
        <f>IF(OR(P164="-",P164="",P164=0),IF(O164="-","-",O164),O164-P164)</f>
        <v>-</v>
      </c>
      <c r="R164" s="17" t="str">
        <f>IFERROR(IF(O164&gt;0, P164/O164, 0),"-")</f>
        <v>-</v>
      </c>
      <c r="S164" s="15">
        <v>5</v>
      </c>
      <c r="T164" s="15" t="s">
        <v>142</v>
      </c>
      <c r="U164" s="15" t="s">
        <v>142</v>
      </c>
      <c r="V164" s="16" t="s">
        <v>142</v>
      </c>
      <c r="W164" s="16" t="s">
        <v>142</v>
      </c>
      <c r="X164" s="21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3">
      <c r="B165" s="14" t="s">
        <v>81</v>
      </c>
      <c r="C165" s="15">
        <v>238</v>
      </c>
      <c r="D165" s="16">
        <v>227</v>
      </c>
      <c r="E165" s="15">
        <f>IF(OR(D165="-",D165="",D165=0),IF(C165="-","-",C165),C165-D165)</f>
        <v>11</v>
      </c>
      <c r="F165" s="17">
        <f>IFERROR(IF(C165&gt;0, D165/C165, 0),"-")</f>
        <v>0.95378151260504207</v>
      </c>
      <c r="G165" s="15">
        <v>2</v>
      </c>
      <c r="H165" s="16" t="s">
        <v>142</v>
      </c>
      <c r="I165" s="15">
        <f>IF(OR(H165="-",H165="",H165=0),IF(G165="-","-",G165),G165-H165)</f>
        <v>2</v>
      </c>
      <c r="J165" s="17" t="str">
        <f>IFERROR(IF(G165&gt;0, H165/G165, 0),"-")</f>
        <v>-</v>
      </c>
      <c r="K165" s="15" t="s">
        <v>142</v>
      </c>
      <c r="L165" s="16" t="s">
        <v>142</v>
      </c>
      <c r="M165" s="15" t="str">
        <f>IF(OR(L165="-",L165="",L165=0),IF(K165="-","-",K165),K165-L165)</f>
        <v>-</v>
      </c>
      <c r="N165" s="17" t="str">
        <f>IFERROR(IF(K165&gt;0, L165/K165, 0),"-")</f>
        <v>-</v>
      </c>
      <c r="O165" s="15" t="s">
        <v>142</v>
      </c>
      <c r="P165" s="16" t="s">
        <v>142</v>
      </c>
      <c r="Q165" s="15" t="str">
        <f>IF(OR(P165="-",P165="",P165=0),IF(O165="-","-",O165),O165-P165)</f>
        <v>-</v>
      </c>
      <c r="R165" s="17" t="str">
        <f>IFERROR(IF(O165&gt;0, P165/O165, 0),"-")</f>
        <v>-</v>
      </c>
      <c r="S165" s="15">
        <v>1</v>
      </c>
      <c r="T165" s="15" t="s">
        <v>142</v>
      </c>
      <c r="U165" s="15" t="s">
        <v>142</v>
      </c>
      <c r="V165" s="16" t="s">
        <v>142</v>
      </c>
      <c r="W165" s="16" t="s">
        <v>142</v>
      </c>
      <c r="X165" s="21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3">
      <c r="B166" s="14" t="s">
        <v>78</v>
      </c>
      <c r="C166" s="15">
        <v>146</v>
      </c>
      <c r="D166" s="16">
        <v>139</v>
      </c>
      <c r="E166" s="15">
        <f>IF(OR(D166="-",D166="",D166=0),IF(C166="-","-",C166),C166-D166)</f>
        <v>7</v>
      </c>
      <c r="F166" s="17">
        <f>IFERROR(IF(C166&gt;0, D166/C166, 0),"-")</f>
        <v>0.95205479452054798</v>
      </c>
      <c r="G166" s="15">
        <v>3</v>
      </c>
      <c r="H166" s="16" t="s">
        <v>142</v>
      </c>
      <c r="I166" s="15">
        <f>IF(OR(H166="-",H166="",H166=0),IF(G166="-","-",G166),G166-H166)</f>
        <v>3</v>
      </c>
      <c r="J166" s="17" t="str">
        <f>IFERROR(IF(G166&gt;0, H166/G166, 0),"-")</f>
        <v>-</v>
      </c>
      <c r="K166" s="15">
        <v>8</v>
      </c>
      <c r="L166" s="16" t="s">
        <v>142</v>
      </c>
      <c r="M166" s="15">
        <f>IF(OR(L166="-",L166="",L166=0),IF(K166="-","-",K166),K166-L166)</f>
        <v>8</v>
      </c>
      <c r="N166" s="17" t="str">
        <f>IFERROR(IF(K166&gt;0, L166/K166, 0),"-")</f>
        <v>-</v>
      </c>
      <c r="O166" s="15">
        <v>3</v>
      </c>
      <c r="P166" s="16" t="s">
        <v>142</v>
      </c>
      <c r="Q166" s="15">
        <f>IF(OR(P166="-",P166="",P166=0),IF(O166="-","-",O166),O166-P166)</f>
        <v>3</v>
      </c>
      <c r="R166" s="17" t="str">
        <f>IFERROR(IF(O166&gt;0, P166/O166, 0),"-")</f>
        <v>-</v>
      </c>
      <c r="S166" s="15">
        <v>1</v>
      </c>
      <c r="T166" s="15" t="s">
        <v>142</v>
      </c>
      <c r="U166" s="15" t="s">
        <v>142</v>
      </c>
      <c r="V166" s="16" t="s">
        <v>142</v>
      </c>
      <c r="W166" s="16" t="s">
        <v>142</v>
      </c>
      <c r="X166" s="21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3">
      <c r="B167" s="14" t="s">
        <v>1</v>
      </c>
      <c r="C167" s="15">
        <v>678</v>
      </c>
      <c r="D167" s="16">
        <v>645</v>
      </c>
      <c r="E167" s="15">
        <f>IF(OR(D167="-",D167="",D167=0),IF(C167="-","-",C167),C167-D167)</f>
        <v>33</v>
      </c>
      <c r="F167" s="17">
        <f>IFERROR(IF(C167&gt;0, D167/C167, 0),"-")</f>
        <v>0.95132743362831862</v>
      </c>
      <c r="G167" s="15">
        <v>16</v>
      </c>
      <c r="H167" s="16" t="s">
        <v>142</v>
      </c>
      <c r="I167" s="15">
        <f>IF(OR(H167="-",H167="",H167=0),IF(G167="-","-",G167),G167-H167)</f>
        <v>16</v>
      </c>
      <c r="J167" s="17" t="str">
        <f>IFERROR(IF(G167&gt;0, H167/G167, 0),"-")</f>
        <v>-</v>
      </c>
      <c r="K167" s="15">
        <v>9</v>
      </c>
      <c r="L167" s="16" t="s">
        <v>142</v>
      </c>
      <c r="M167" s="15">
        <f>IF(OR(L167="-",L167="",L167=0),IF(K167="-","-",K167),K167-L167)</f>
        <v>9</v>
      </c>
      <c r="N167" s="17" t="str">
        <f>IFERROR(IF(K167&gt;0, L167/K167, 0),"-")</f>
        <v>-</v>
      </c>
      <c r="O167" s="15">
        <v>6</v>
      </c>
      <c r="P167" s="16" t="s">
        <v>142</v>
      </c>
      <c r="Q167" s="15">
        <f>IF(OR(P167="-",P167="",P167=0),IF(O167="-","-",O167),O167-P167)</f>
        <v>6</v>
      </c>
      <c r="R167" s="17" t="str">
        <f>IFERROR(IF(O167&gt;0, P167/O167, 0),"-")</f>
        <v>-</v>
      </c>
      <c r="S167" s="15">
        <v>6</v>
      </c>
      <c r="T167" s="15" t="s">
        <v>142</v>
      </c>
      <c r="U167" s="15" t="s">
        <v>142</v>
      </c>
      <c r="V167" s="16" t="s">
        <v>142</v>
      </c>
      <c r="W167" s="16" t="s">
        <v>142</v>
      </c>
      <c r="X167" s="21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3">
      <c r="B168" s="14" t="s">
        <v>85</v>
      </c>
      <c r="C168" s="15">
        <v>424</v>
      </c>
      <c r="D168" s="16">
        <v>403</v>
      </c>
      <c r="E168" s="15">
        <f>IF(OR(D168="-",D168="",D168=0),IF(C168="-","-",C168),C168-D168)</f>
        <v>21</v>
      </c>
      <c r="F168" s="17">
        <f>IFERROR(IF(C168&gt;0, D168/C168, 0),"-")</f>
        <v>0.95047169811320753</v>
      </c>
      <c r="G168" s="15">
        <v>4</v>
      </c>
      <c r="H168" s="16" t="s">
        <v>142</v>
      </c>
      <c r="I168" s="15">
        <f>IF(OR(H168="-",H168="",H168=0),IF(G168="-","-",G168),G168-H168)</f>
        <v>4</v>
      </c>
      <c r="J168" s="17" t="str">
        <f>IFERROR(IF(G168&gt;0, H168/G168, 0),"-")</f>
        <v>-</v>
      </c>
      <c r="K168" s="15">
        <v>4</v>
      </c>
      <c r="L168" s="16" t="s">
        <v>142</v>
      </c>
      <c r="M168" s="15">
        <f>IF(OR(L168="-",L168="",L168=0),IF(K168="-","-",K168),K168-L168)</f>
        <v>4</v>
      </c>
      <c r="N168" s="17" t="str">
        <f>IFERROR(IF(K168&gt;0, L168/K168, 0),"-")</f>
        <v>-</v>
      </c>
      <c r="O168" s="15">
        <v>4</v>
      </c>
      <c r="P168" s="16" t="s">
        <v>142</v>
      </c>
      <c r="Q168" s="15">
        <f>IF(OR(P168="-",P168="",P168=0),IF(O168="-","-",O168),O168-P168)</f>
        <v>4</v>
      </c>
      <c r="R168" s="17" t="str">
        <f>IFERROR(IF(O168&gt;0, P168/O168, 0),"-")</f>
        <v>-</v>
      </c>
      <c r="S168" s="15">
        <v>6</v>
      </c>
      <c r="T168" s="15" t="s">
        <v>142</v>
      </c>
      <c r="U168" s="15" t="s">
        <v>142</v>
      </c>
      <c r="V168" s="16" t="s">
        <v>142</v>
      </c>
      <c r="W168" s="16" t="s">
        <v>142</v>
      </c>
      <c r="X168" s="21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3">
      <c r="B169" s="14" t="s">
        <v>47</v>
      </c>
      <c r="C169" s="15">
        <v>767</v>
      </c>
      <c r="D169" s="16">
        <v>729</v>
      </c>
      <c r="E169" s="15">
        <f>IF(OR(D169="-",D169="",D169=0),IF(C169="-","-",C169),C169-D169)</f>
        <v>38</v>
      </c>
      <c r="F169" s="17">
        <f>IFERROR(IF(C169&gt;0, D169/C169, 0),"-")</f>
        <v>0.95045632333767927</v>
      </c>
      <c r="G169" s="15">
        <v>9</v>
      </c>
      <c r="H169" s="16" t="s">
        <v>142</v>
      </c>
      <c r="I169" s="15">
        <f>IF(OR(H169="-",H169="",H169=0),IF(G169="-","-",G169),G169-H169)</f>
        <v>9</v>
      </c>
      <c r="J169" s="17" t="str">
        <f>IFERROR(IF(G169&gt;0, H169/G169, 0),"-")</f>
        <v>-</v>
      </c>
      <c r="K169" s="15">
        <v>5</v>
      </c>
      <c r="L169" s="16" t="s">
        <v>142</v>
      </c>
      <c r="M169" s="15">
        <f>IF(OR(L169="-",L169="",L169=0),IF(K169="-","-",K169),K169-L169)</f>
        <v>5</v>
      </c>
      <c r="N169" s="17" t="str">
        <f>IFERROR(IF(K169&gt;0, L169/K169, 0),"-")</f>
        <v>-</v>
      </c>
      <c r="O169" s="15">
        <v>1</v>
      </c>
      <c r="P169" s="16" t="s">
        <v>142</v>
      </c>
      <c r="Q169" s="15">
        <f>IF(OR(P169="-",P169="",P169=0),IF(O169="-","-",O169),O169-P169)</f>
        <v>1</v>
      </c>
      <c r="R169" s="17" t="str">
        <f>IFERROR(IF(O169&gt;0, P169/O169, 0),"-")</f>
        <v>-</v>
      </c>
      <c r="S169" s="15">
        <v>1</v>
      </c>
      <c r="T169" s="15" t="s">
        <v>142</v>
      </c>
      <c r="U169" s="15" t="s">
        <v>142</v>
      </c>
      <c r="V169" s="16" t="s">
        <v>142</v>
      </c>
      <c r="W169" s="16" t="s">
        <v>142</v>
      </c>
      <c r="X169" s="21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3">
      <c r="B170" s="14" t="s">
        <v>79</v>
      </c>
      <c r="C170" s="15">
        <v>486</v>
      </c>
      <c r="D170" s="16">
        <v>461</v>
      </c>
      <c r="E170" s="15">
        <f>IF(OR(D170="-",D170="",D170=0),IF(C170="-","-",C170),C170-D170)</f>
        <v>25</v>
      </c>
      <c r="F170" s="17">
        <f>IFERROR(IF(C170&gt;0, D170/C170, 0),"-")</f>
        <v>0.94855967078189296</v>
      </c>
      <c r="G170" s="15">
        <v>5</v>
      </c>
      <c r="H170" s="16" t="s">
        <v>142</v>
      </c>
      <c r="I170" s="15">
        <f>IF(OR(H170="-",H170="",H170=0),IF(G170="-","-",G170),G170-H170)</f>
        <v>5</v>
      </c>
      <c r="J170" s="17" t="str">
        <f>IFERROR(IF(G170&gt;0, H170/G170, 0),"-")</f>
        <v>-</v>
      </c>
      <c r="K170" s="15">
        <v>2</v>
      </c>
      <c r="L170" s="16" t="s">
        <v>142</v>
      </c>
      <c r="M170" s="15">
        <f>IF(OR(L170="-",L170="",L170=0),IF(K170="-","-",K170),K170-L170)</f>
        <v>2</v>
      </c>
      <c r="N170" s="17" t="str">
        <f>IFERROR(IF(K170&gt;0, L170/K170, 0),"-")</f>
        <v>-</v>
      </c>
      <c r="O170" s="15">
        <v>1</v>
      </c>
      <c r="P170" s="16" t="s">
        <v>142</v>
      </c>
      <c r="Q170" s="15">
        <f>IF(OR(P170="-",P170="",P170=0),IF(O170="-","-",O170),O170-P170)</f>
        <v>1</v>
      </c>
      <c r="R170" s="17" t="str">
        <f>IFERROR(IF(O170&gt;0, P170/O170, 0),"-")</f>
        <v>-</v>
      </c>
      <c r="S170" s="15" t="s">
        <v>142</v>
      </c>
      <c r="T170" s="15" t="s">
        <v>142</v>
      </c>
      <c r="U170" s="15" t="s">
        <v>142</v>
      </c>
      <c r="V170" s="16" t="s">
        <v>142</v>
      </c>
      <c r="W170" s="16" t="s">
        <v>142</v>
      </c>
      <c r="X170" s="21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3">
      <c r="B171" s="14" t="s">
        <v>90</v>
      </c>
      <c r="C171" s="15">
        <v>628</v>
      </c>
      <c r="D171" s="16">
        <v>595</v>
      </c>
      <c r="E171" s="15">
        <f>IF(OR(D171="-",D171="",D171=0),IF(C171="-","-",C171),C171-D171)</f>
        <v>33</v>
      </c>
      <c r="F171" s="17">
        <f>IFERROR(IF(C171&gt;0, D171/C171, 0),"-")</f>
        <v>0.94745222929936301</v>
      </c>
      <c r="G171" s="15">
        <v>11</v>
      </c>
      <c r="H171" s="16" t="s">
        <v>142</v>
      </c>
      <c r="I171" s="15">
        <f>IF(OR(H171="-",H171="",H171=0),IF(G171="-","-",G171),G171-H171)</f>
        <v>11</v>
      </c>
      <c r="J171" s="17" t="str">
        <f>IFERROR(IF(G171&gt;0, H171/G171, 0),"-")</f>
        <v>-</v>
      </c>
      <c r="K171" s="15">
        <v>2</v>
      </c>
      <c r="L171" s="16" t="s">
        <v>142</v>
      </c>
      <c r="M171" s="15">
        <f>IF(OR(L171="-",L171="",L171=0),IF(K171="-","-",K171),K171-L171)</f>
        <v>2</v>
      </c>
      <c r="N171" s="17" t="str">
        <f>IFERROR(IF(K171&gt;0, L171/K171, 0),"-")</f>
        <v>-</v>
      </c>
      <c r="O171" s="15">
        <v>8</v>
      </c>
      <c r="P171" s="16" t="s">
        <v>142</v>
      </c>
      <c r="Q171" s="15">
        <f>IF(OR(P171="-",P171="",P171=0),IF(O171="-","-",O171),O171-P171)</f>
        <v>8</v>
      </c>
      <c r="R171" s="17" t="str">
        <f>IFERROR(IF(O171&gt;0, P171/O171, 0),"-")</f>
        <v>-</v>
      </c>
      <c r="S171" s="15">
        <v>3</v>
      </c>
      <c r="T171" s="15" t="s">
        <v>142</v>
      </c>
      <c r="U171" s="15" t="s">
        <v>142</v>
      </c>
      <c r="V171" s="16" t="s">
        <v>142</v>
      </c>
      <c r="W171" s="16" t="s">
        <v>142</v>
      </c>
      <c r="X171" s="21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3">
      <c r="B172" s="14" t="s">
        <v>65</v>
      </c>
      <c r="C172" s="15">
        <v>707</v>
      </c>
      <c r="D172" s="16">
        <v>669</v>
      </c>
      <c r="E172" s="15">
        <f>IF(OR(D172="-",D172="",D172=0),IF(C172="-","-",C172),C172-D172)</f>
        <v>38</v>
      </c>
      <c r="F172" s="17">
        <f>IFERROR(IF(C172&gt;0, D172/C172, 0),"-")</f>
        <v>0.94625176803394628</v>
      </c>
      <c r="G172" s="15">
        <v>7</v>
      </c>
      <c r="H172" s="16" t="s">
        <v>142</v>
      </c>
      <c r="I172" s="15">
        <f>IF(OR(H172="-",H172="",H172=0),IF(G172="-","-",G172),G172-H172)</f>
        <v>7</v>
      </c>
      <c r="J172" s="17" t="str">
        <f>IFERROR(IF(G172&gt;0, H172/G172, 0),"-")</f>
        <v>-</v>
      </c>
      <c r="K172" s="15" t="s">
        <v>142</v>
      </c>
      <c r="L172" s="16" t="s">
        <v>142</v>
      </c>
      <c r="M172" s="15" t="str">
        <f>IF(OR(L172="-",L172="",L172=0),IF(K172="-","-",K172),K172-L172)</f>
        <v>-</v>
      </c>
      <c r="N172" s="17" t="str">
        <f>IFERROR(IF(K172&gt;0, L172/K172, 0),"-")</f>
        <v>-</v>
      </c>
      <c r="O172" s="15" t="s">
        <v>142</v>
      </c>
      <c r="P172" s="16" t="s">
        <v>142</v>
      </c>
      <c r="Q172" s="15" t="str">
        <f>IF(OR(P172="-",P172="",P172=0),IF(O172="-","-",O172),O172-P172)</f>
        <v>-</v>
      </c>
      <c r="R172" s="17" t="str">
        <f>IFERROR(IF(O172&gt;0, P172/O172, 0),"-")</f>
        <v>-</v>
      </c>
      <c r="S172" s="15">
        <v>11</v>
      </c>
      <c r="T172" s="15" t="s">
        <v>142</v>
      </c>
      <c r="U172" s="15" t="s">
        <v>142</v>
      </c>
      <c r="V172" s="16" t="s">
        <v>142</v>
      </c>
      <c r="W172" s="16" t="s">
        <v>142</v>
      </c>
      <c r="X172" s="21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3">
      <c r="B173" s="14" t="s">
        <v>106</v>
      </c>
      <c r="C173" s="15">
        <v>408</v>
      </c>
      <c r="D173" s="16">
        <v>385</v>
      </c>
      <c r="E173" s="15">
        <f>IF(OR(D173="-",D173="",D173=0),IF(C173="-","-",C173),C173-D173)</f>
        <v>23</v>
      </c>
      <c r="F173" s="17">
        <f>IFERROR(IF(C173&gt;0, D173/C173, 0),"-")</f>
        <v>0.94362745098039214</v>
      </c>
      <c r="G173" s="15">
        <v>4</v>
      </c>
      <c r="H173" s="16" t="s">
        <v>142</v>
      </c>
      <c r="I173" s="15">
        <f>IF(OR(H173="-",H173="",H173=0),IF(G173="-","-",G173),G173-H173)</f>
        <v>4</v>
      </c>
      <c r="J173" s="17" t="str">
        <f>IFERROR(IF(G173&gt;0, H173/G173, 0),"-")</f>
        <v>-</v>
      </c>
      <c r="K173" s="15">
        <v>4</v>
      </c>
      <c r="L173" s="16" t="s">
        <v>142</v>
      </c>
      <c r="M173" s="15">
        <f>IF(OR(L173="-",L173="",L173=0),IF(K173="-","-",K173),K173-L173)</f>
        <v>4</v>
      </c>
      <c r="N173" s="17" t="str">
        <f>IFERROR(IF(K173&gt;0, L173/K173, 0),"-")</f>
        <v>-</v>
      </c>
      <c r="O173" s="15">
        <v>2</v>
      </c>
      <c r="P173" s="16" t="s">
        <v>142</v>
      </c>
      <c r="Q173" s="15">
        <f>IF(OR(P173="-",P173="",P173=0),IF(O173="-","-",O173),O173-P173)</f>
        <v>2</v>
      </c>
      <c r="R173" s="17" t="str">
        <f>IFERROR(IF(O173&gt;0, P173/O173, 0),"-")</f>
        <v>-</v>
      </c>
      <c r="S173" s="15">
        <v>4</v>
      </c>
      <c r="T173" s="15" t="s">
        <v>142</v>
      </c>
      <c r="U173" s="15" t="s">
        <v>142</v>
      </c>
      <c r="V173" s="16" t="s">
        <v>142</v>
      </c>
      <c r="W173" s="16" t="s">
        <v>142</v>
      </c>
      <c r="X173" s="21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3">
      <c r="B174" s="14" t="s">
        <v>133</v>
      </c>
      <c r="C174" s="15">
        <v>744</v>
      </c>
      <c r="D174" s="16">
        <v>700</v>
      </c>
      <c r="E174" s="15">
        <f>IF(OR(D174="-",D174="",D174=0),IF(C174="-","-",C174),C174-D174)</f>
        <v>44</v>
      </c>
      <c r="F174" s="17">
        <f>IFERROR(IF(C174&gt;0, D174/C174, 0),"-")</f>
        <v>0.94086021505376349</v>
      </c>
      <c r="G174" s="15">
        <v>10</v>
      </c>
      <c r="H174" s="16" t="s">
        <v>142</v>
      </c>
      <c r="I174" s="15">
        <f>IF(OR(H174="-",H174="",H174=0),IF(G174="-","-",G174),G174-H174)</f>
        <v>10</v>
      </c>
      <c r="J174" s="17" t="str">
        <f>IFERROR(IF(G174&gt;0, H174/G174, 0),"-")</f>
        <v>-</v>
      </c>
      <c r="K174" s="15">
        <v>3</v>
      </c>
      <c r="L174" s="16" t="s">
        <v>142</v>
      </c>
      <c r="M174" s="15">
        <f>IF(OR(L174="-",L174="",L174=0),IF(K174="-","-",K174),K174-L174)</f>
        <v>3</v>
      </c>
      <c r="N174" s="17" t="str">
        <f>IFERROR(IF(K174&gt;0, L174/K174, 0),"-")</f>
        <v>-</v>
      </c>
      <c r="O174" s="15">
        <v>1</v>
      </c>
      <c r="P174" s="16" t="s">
        <v>142</v>
      </c>
      <c r="Q174" s="15">
        <f>IF(OR(P174="-",P174="",P174=0),IF(O174="-","-",O174),O174-P174)</f>
        <v>1</v>
      </c>
      <c r="R174" s="17" t="str">
        <f>IFERROR(IF(O174&gt;0, P174/O174, 0),"-")</f>
        <v>-</v>
      </c>
      <c r="S174" s="15">
        <v>2</v>
      </c>
      <c r="T174" s="15" t="s">
        <v>142</v>
      </c>
      <c r="U174" s="15" t="s">
        <v>142</v>
      </c>
      <c r="V174" s="16" t="s">
        <v>142</v>
      </c>
      <c r="W174" s="16" t="s">
        <v>142</v>
      </c>
      <c r="X174" s="21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3">
      <c r="B175" s="14" t="s">
        <v>95</v>
      </c>
      <c r="C175" s="15">
        <v>524</v>
      </c>
      <c r="D175" s="16">
        <v>493</v>
      </c>
      <c r="E175" s="15">
        <f>IF(OR(D175="-",D175="",D175=0),IF(C175="-","-",C175),C175-D175)</f>
        <v>31</v>
      </c>
      <c r="F175" s="17">
        <f>IFERROR(IF(C175&gt;0, D175/C175, 0),"-")</f>
        <v>0.94083969465648853</v>
      </c>
      <c r="G175" s="15">
        <v>7</v>
      </c>
      <c r="H175" s="16" t="s">
        <v>142</v>
      </c>
      <c r="I175" s="15">
        <f>IF(OR(H175="-",H175="",H175=0),IF(G175="-","-",G175),G175-H175)</f>
        <v>7</v>
      </c>
      <c r="J175" s="17" t="str">
        <f>IFERROR(IF(G175&gt;0, H175/G175, 0),"-")</f>
        <v>-</v>
      </c>
      <c r="K175" s="15">
        <v>3</v>
      </c>
      <c r="L175" s="16" t="s">
        <v>142</v>
      </c>
      <c r="M175" s="15">
        <f>IF(OR(L175="-",L175="",L175=0),IF(K175="-","-",K175),K175-L175)</f>
        <v>3</v>
      </c>
      <c r="N175" s="17" t="str">
        <f>IFERROR(IF(K175&gt;0, L175/K175, 0),"-")</f>
        <v>-</v>
      </c>
      <c r="O175" s="15">
        <v>4</v>
      </c>
      <c r="P175" s="16" t="s">
        <v>142</v>
      </c>
      <c r="Q175" s="15">
        <f>IF(OR(P175="-",P175="",P175=0),IF(O175="-","-",O175),O175-P175)</f>
        <v>4</v>
      </c>
      <c r="R175" s="17" t="str">
        <f>IFERROR(IF(O175&gt;0, P175/O175, 0),"-")</f>
        <v>-</v>
      </c>
      <c r="S175" s="15">
        <v>7</v>
      </c>
      <c r="T175" s="15" t="s">
        <v>142</v>
      </c>
      <c r="U175" s="15" t="s">
        <v>142</v>
      </c>
      <c r="V175" s="16" t="s">
        <v>142</v>
      </c>
      <c r="W175" s="16" t="s">
        <v>142</v>
      </c>
      <c r="X175" s="21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3">
      <c r="B176" s="14" t="s">
        <v>61</v>
      </c>
      <c r="C176" s="15">
        <v>298</v>
      </c>
      <c r="D176" s="16">
        <v>280</v>
      </c>
      <c r="E176" s="15">
        <f>IF(OR(D176="-",D176="",D176=0),IF(C176="-","-",C176),C176-D176)</f>
        <v>18</v>
      </c>
      <c r="F176" s="17">
        <f>IFERROR(IF(C176&gt;0, D176/C176, 0),"-")</f>
        <v>0.93959731543624159</v>
      </c>
      <c r="G176" s="15" t="s">
        <v>142</v>
      </c>
      <c r="H176" s="16" t="s">
        <v>142</v>
      </c>
      <c r="I176" s="15" t="str">
        <f>IF(OR(H176="-",H176="",H176=0),IF(G176="-","-",G176),G176-H176)</f>
        <v>-</v>
      </c>
      <c r="J176" s="17" t="str">
        <f>IFERROR(IF(G176&gt;0, H176/G176, 0),"-")</f>
        <v>-</v>
      </c>
      <c r="K176" s="15" t="s">
        <v>142</v>
      </c>
      <c r="L176" s="16" t="s">
        <v>142</v>
      </c>
      <c r="M176" s="15" t="str">
        <f>IF(OR(L176="-",L176="",L176=0),IF(K176="-","-",K176),K176-L176)</f>
        <v>-</v>
      </c>
      <c r="N176" s="17" t="str">
        <f>IFERROR(IF(K176&gt;0, L176/K176, 0),"-")</f>
        <v>-</v>
      </c>
      <c r="O176" s="15">
        <v>1</v>
      </c>
      <c r="P176" s="16" t="s">
        <v>142</v>
      </c>
      <c r="Q176" s="15">
        <f>IF(OR(P176="-",P176="",P176=0),IF(O176="-","-",O176),O176-P176)</f>
        <v>1</v>
      </c>
      <c r="R176" s="17" t="str">
        <f>IFERROR(IF(O176&gt;0, P176/O176, 0),"-")</f>
        <v>-</v>
      </c>
      <c r="S176" s="15">
        <v>10</v>
      </c>
      <c r="T176" s="15" t="s">
        <v>142</v>
      </c>
      <c r="U176" s="15" t="s">
        <v>142</v>
      </c>
      <c r="V176" s="16" t="s">
        <v>142</v>
      </c>
      <c r="W176" s="16" t="s">
        <v>142</v>
      </c>
      <c r="X176" s="21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3">
      <c r="B177" s="14" t="s">
        <v>94</v>
      </c>
      <c r="C177" s="15">
        <v>512</v>
      </c>
      <c r="D177" s="16">
        <v>478</v>
      </c>
      <c r="E177" s="15">
        <f>IF(OR(D177="-",D177="",D177=0),IF(C177="-","-",C177),C177-D177)</f>
        <v>34</v>
      </c>
      <c r="F177" s="17">
        <f>IFERROR(IF(C177&gt;0, D177/C177, 0),"-")</f>
        <v>0.93359375</v>
      </c>
      <c r="G177" s="15">
        <v>9</v>
      </c>
      <c r="H177" s="16" t="s">
        <v>142</v>
      </c>
      <c r="I177" s="15">
        <f>IF(OR(H177="-",H177="",H177=0),IF(G177="-","-",G177),G177-H177)</f>
        <v>9</v>
      </c>
      <c r="J177" s="17" t="str">
        <f>IFERROR(IF(G177&gt;0, H177/G177, 0),"-")</f>
        <v>-</v>
      </c>
      <c r="K177" s="15">
        <v>10</v>
      </c>
      <c r="L177" s="16" t="s">
        <v>142</v>
      </c>
      <c r="M177" s="15">
        <f>IF(OR(L177="-",L177="",L177=0),IF(K177="-","-",K177),K177-L177)</f>
        <v>10</v>
      </c>
      <c r="N177" s="17" t="str">
        <f>IFERROR(IF(K177&gt;0, L177/K177, 0),"-")</f>
        <v>-</v>
      </c>
      <c r="O177" s="15">
        <v>2</v>
      </c>
      <c r="P177" s="16" t="s">
        <v>142</v>
      </c>
      <c r="Q177" s="15">
        <f>IF(OR(P177="-",P177="",P177=0),IF(O177="-","-",O177),O177-P177)</f>
        <v>2</v>
      </c>
      <c r="R177" s="17" t="str">
        <f>IFERROR(IF(O177&gt;0, P177/O177, 0),"-")</f>
        <v>-</v>
      </c>
      <c r="S177" s="15">
        <v>5</v>
      </c>
      <c r="T177" s="15" t="s">
        <v>142</v>
      </c>
      <c r="U177" s="15" t="s">
        <v>142</v>
      </c>
      <c r="V177" s="16" t="s">
        <v>142</v>
      </c>
      <c r="W177" s="16" t="s">
        <v>142</v>
      </c>
      <c r="X177" s="21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3">
      <c r="B178" s="14" t="s">
        <v>8</v>
      </c>
      <c r="C178" s="15">
        <v>708</v>
      </c>
      <c r="D178" s="16">
        <v>659</v>
      </c>
      <c r="E178" s="15">
        <f>IF(OR(D178="-",D178="",D178=0),IF(C178="-","-",C178),C178-D178)</f>
        <v>49</v>
      </c>
      <c r="F178" s="17">
        <f>IFERROR(IF(C178&gt;0, D178/C178, 0),"-")</f>
        <v>0.9307909604519774</v>
      </c>
      <c r="G178" s="15">
        <v>8</v>
      </c>
      <c r="H178" s="16" t="s">
        <v>142</v>
      </c>
      <c r="I178" s="15">
        <f>IF(OR(H178="-",H178="",H178=0),IF(G178="-","-",G178),G178-H178)</f>
        <v>8</v>
      </c>
      <c r="J178" s="17" t="str">
        <f>IFERROR(IF(G178&gt;0, H178/G178, 0),"-")</f>
        <v>-</v>
      </c>
      <c r="K178" s="15">
        <v>5</v>
      </c>
      <c r="L178" s="16" t="s">
        <v>142</v>
      </c>
      <c r="M178" s="15">
        <f>IF(OR(L178="-",L178="",L178=0),IF(K178="-","-",K178),K178-L178)</f>
        <v>5</v>
      </c>
      <c r="N178" s="17" t="str">
        <f>IFERROR(IF(K178&gt;0, L178/K178, 0),"-")</f>
        <v>-</v>
      </c>
      <c r="O178" s="15">
        <v>2</v>
      </c>
      <c r="P178" s="16" t="s">
        <v>142</v>
      </c>
      <c r="Q178" s="15">
        <f>IF(OR(P178="-",P178="",P178=0),IF(O178="-","-",O178),O178-P178)</f>
        <v>2</v>
      </c>
      <c r="R178" s="17" t="str">
        <f>IFERROR(IF(O178&gt;0, P178/O178, 0),"-")</f>
        <v>-</v>
      </c>
      <c r="S178" s="15">
        <v>3</v>
      </c>
      <c r="T178" s="15" t="s">
        <v>142</v>
      </c>
      <c r="U178" s="15" t="s">
        <v>142</v>
      </c>
      <c r="V178" s="16" t="s">
        <v>142</v>
      </c>
      <c r="W178" s="16" t="s">
        <v>142</v>
      </c>
      <c r="X178" s="21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3">
      <c r="B179" s="14" t="s">
        <v>117</v>
      </c>
      <c r="C179" s="15">
        <v>385</v>
      </c>
      <c r="D179" s="16">
        <v>352</v>
      </c>
      <c r="E179" s="15">
        <f>IF(OR(D179="-",D179="",D179=0),IF(C179="-","-",C179),C179-D179)</f>
        <v>33</v>
      </c>
      <c r="F179" s="17">
        <f>IFERROR(IF(C179&gt;0, D179/C179, 0),"-")</f>
        <v>0.91428571428571426</v>
      </c>
      <c r="G179" s="15">
        <v>8</v>
      </c>
      <c r="H179" s="16" t="s">
        <v>142</v>
      </c>
      <c r="I179" s="15">
        <f>IF(OR(H179="-",H179="",H179=0),IF(G179="-","-",G179),G179-H179)</f>
        <v>8</v>
      </c>
      <c r="J179" s="17" t="str">
        <f>IFERROR(IF(G179&gt;0, H179/G179, 0),"-")</f>
        <v>-</v>
      </c>
      <c r="K179" s="15">
        <v>4</v>
      </c>
      <c r="L179" s="16" t="s">
        <v>142</v>
      </c>
      <c r="M179" s="15">
        <f>IF(OR(L179="-",L179="",L179=0),IF(K179="-","-",K179),K179-L179)</f>
        <v>4</v>
      </c>
      <c r="N179" s="17" t="str">
        <f>IFERROR(IF(K179&gt;0, L179/K179, 0),"-")</f>
        <v>-</v>
      </c>
      <c r="O179" s="15">
        <v>2</v>
      </c>
      <c r="P179" s="16" t="s">
        <v>142</v>
      </c>
      <c r="Q179" s="15">
        <f>IF(OR(P179="-",P179="",P179=0),IF(O179="-","-",O179),O179-P179)</f>
        <v>2</v>
      </c>
      <c r="R179" s="17" t="str">
        <f>IFERROR(IF(O179&gt;0, P179/O179, 0),"-")</f>
        <v>-</v>
      </c>
      <c r="S179" s="15">
        <v>1</v>
      </c>
      <c r="T179" s="15" t="s">
        <v>142</v>
      </c>
      <c r="U179" s="15" t="s">
        <v>142</v>
      </c>
      <c r="V179" s="16" t="s">
        <v>142</v>
      </c>
      <c r="W179" s="16" t="s">
        <v>142</v>
      </c>
      <c r="X179" s="21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3">
      <c r="B180" s="14" t="s">
        <v>115</v>
      </c>
      <c r="C180" s="15">
        <v>566</v>
      </c>
      <c r="D180" s="16">
        <v>517</v>
      </c>
      <c r="E180" s="15">
        <f>IF(OR(D180="-",D180="",D180=0),IF(C180="-","-",C180),C180-D180)</f>
        <v>49</v>
      </c>
      <c r="F180" s="17">
        <f>IFERROR(IF(C180&gt;0, D180/C180, 0),"-")</f>
        <v>0.91342756183745588</v>
      </c>
      <c r="G180" s="15">
        <v>15</v>
      </c>
      <c r="H180" s="16" t="s">
        <v>142</v>
      </c>
      <c r="I180" s="15">
        <f>IF(OR(H180="-",H180="",H180=0),IF(G180="-","-",G180),G180-H180)</f>
        <v>15</v>
      </c>
      <c r="J180" s="17" t="str">
        <f>IFERROR(IF(G180&gt;0, H180/G180, 0),"-")</f>
        <v>-</v>
      </c>
      <c r="K180" s="15">
        <v>4</v>
      </c>
      <c r="L180" s="16" t="s">
        <v>142</v>
      </c>
      <c r="M180" s="15">
        <f>IF(OR(L180="-",L180="",L180=0),IF(K180="-","-",K180),K180-L180)</f>
        <v>4</v>
      </c>
      <c r="N180" s="17" t="str">
        <f>IFERROR(IF(K180&gt;0, L180/K180, 0),"-")</f>
        <v>-</v>
      </c>
      <c r="O180" s="15" t="s">
        <v>142</v>
      </c>
      <c r="P180" s="16" t="s">
        <v>142</v>
      </c>
      <c r="Q180" s="15" t="str">
        <f>IF(OR(P180="-",P180="",P180=0),IF(O180="-","-",O180),O180-P180)</f>
        <v>-</v>
      </c>
      <c r="R180" s="17" t="str">
        <f>IFERROR(IF(O180&gt;0, P180/O180, 0),"-")</f>
        <v>-</v>
      </c>
      <c r="S180" s="15">
        <v>3</v>
      </c>
      <c r="T180" s="15" t="s">
        <v>142</v>
      </c>
      <c r="U180" s="15" t="s">
        <v>142</v>
      </c>
      <c r="V180" s="16" t="s">
        <v>142</v>
      </c>
      <c r="W180" s="16" t="s">
        <v>142</v>
      </c>
      <c r="X180" s="21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3">
      <c r="B181" s="14" t="s">
        <v>118</v>
      </c>
      <c r="C181" s="15">
        <v>691</v>
      </c>
      <c r="D181" s="16">
        <v>626</v>
      </c>
      <c r="E181" s="15">
        <f>IF(OR(D181="-",D181="",D181=0),IF(C181="-","-",C181),C181-D181)</f>
        <v>65</v>
      </c>
      <c r="F181" s="17">
        <f>IFERROR(IF(C181&gt;0, D181/C181, 0),"-")</f>
        <v>0.90593342981186686</v>
      </c>
      <c r="G181" s="15">
        <v>18</v>
      </c>
      <c r="H181" s="16" t="s">
        <v>142</v>
      </c>
      <c r="I181" s="15">
        <f>IF(OR(H181="-",H181="",H181=0),IF(G181="-","-",G181),G181-H181)</f>
        <v>18</v>
      </c>
      <c r="J181" s="17" t="str">
        <f>IFERROR(IF(G181&gt;0, H181/G181, 0),"-")</f>
        <v>-</v>
      </c>
      <c r="K181" s="15">
        <v>11</v>
      </c>
      <c r="L181" s="16" t="s">
        <v>142</v>
      </c>
      <c r="M181" s="15">
        <f>IF(OR(L181="-",L181="",L181=0),IF(K181="-","-",K181),K181-L181)</f>
        <v>11</v>
      </c>
      <c r="N181" s="17" t="str">
        <f>IFERROR(IF(K181&gt;0, L181/K181, 0),"-")</f>
        <v>-</v>
      </c>
      <c r="O181" s="15" t="s">
        <v>142</v>
      </c>
      <c r="P181" s="16" t="s">
        <v>142</v>
      </c>
      <c r="Q181" s="15" t="str">
        <f>IF(OR(P181="-",P181="",P181=0),IF(O181="-","-",O181),O181-P181)</f>
        <v>-</v>
      </c>
      <c r="R181" s="17" t="str">
        <f>IFERROR(IF(O181&gt;0, P181/O181, 0),"-")</f>
        <v>-</v>
      </c>
      <c r="S181" s="15">
        <v>2</v>
      </c>
      <c r="T181" s="15" t="s">
        <v>142</v>
      </c>
      <c r="U181" s="15" t="s">
        <v>142</v>
      </c>
      <c r="V181" s="16" t="s">
        <v>142</v>
      </c>
      <c r="W181" s="16" t="s">
        <v>142</v>
      </c>
      <c r="X181" s="21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3">
      <c r="B182" s="14" t="s">
        <v>15</v>
      </c>
      <c r="C182" s="15">
        <v>852</v>
      </c>
      <c r="D182" s="16">
        <v>758</v>
      </c>
      <c r="E182" s="15">
        <f>IF(OR(D182="-",D182="",D182=0),IF(C182="-","-",C182),C182-D182)</f>
        <v>94</v>
      </c>
      <c r="F182" s="17">
        <f>IFERROR(IF(C182&gt;0, D182/C182, 0),"-")</f>
        <v>0.88967136150234738</v>
      </c>
      <c r="G182" s="15">
        <v>9</v>
      </c>
      <c r="H182" s="16" t="s">
        <v>142</v>
      </c>
      <c r="I182" s="15">
        <f>IF(OR(H182="-",H182="",H182=0),IF(G182="-","-",G182),G182-H182)</f>
        <v>9</v>
      </c>
      <c r="J182" s="17" t="str">
        <f>IFERROR(IF(G182&gt;0, H182/G182, 0),"-")</f>
        <v>-</v>
      </c>
      <c r="K182" s="15">
        <v>2</v>
      </c>
      <c r="L182" s="16" t="s">
        <v>142</v>
      </c>
      <c r="M182" s="15">
        <f>IF(OR(L182="-",L182="",L182=0),IF(K182="-","-",K182),K182-L182)</f>
        <v>2</v>
      </c>
      <c r="N182" s="17" t="str">
        <f>IFERROR(IF(K182&gt;0, L182/K182, 0),"-")</f>
        <v>-</v>
      </c>
      <c r="O182" s="15">
        <v>4</v>
      </c>
      <c r="P182" s="16" t="s">
        <v>142</v>
      </c>
      <c r="Q182" s="15">
        <f>IF(OR(P182="-",P182="",P182=0),IF(O182="-","-",O182),O182-P182)</f>
        <v>4</v>
      </c>
      <c r="R182" s="17" t="str">
        <f>IFERROR(IF(O182&gt;0, P182/O182, 0),"-")</f>
        <v>-</v>
      </c>
      <c r="S182" s="15">
        <v>5</v>
      </c>
      <c r="T182" s="15" t="s">
        <v>142</v>
      </c>
      <c r="U182" s="15" t="s">
        <v>142</v>
      </c>
      <c r="V182" s="16" t="s">
        <v>142</v>
      </c>
      <c r="W182" s="16" t="s">
        <v>142</v>
      </c>
      <c r="X182" s="21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3">
      <c r="B183" s="14" t="s">
        <v>6</v>
      </c>
      <c r="C183" s="15">
        <v>675</v>
      </c>
      <c r="D183" s="16">
        <v>596</v>
      </c>
      <c r="E183" s="15">
        <f>IF(OR(D183="-",D183="",D183=0),IF(C183="-","-",C183),C183-D183)</f>
        <v>79</v>
      </c>
      <c r="F183" s="17">
        <f>IFERROR(IF(C183&gt;0, D183/C183, 0),"-")</f>
        <v>0.88296296296296295</v>
      </c>
      <c r="G183" s="15">
        <v>18</v>
      </c>
      <c r="H183" s="16" t="s">
        <v>142</v>
      </c>
      <c r="I183" s="15">
        <f>IF(OR(H183="-",H183="",H183=0),IF(G183="-","-",G183),G183-H183)</f>
        <v>18</v>
      </c>
      <c r="J183" s="17" t="str">
        <f>IFERROR(IF(G183&gt;0, H183/G183, 0),"-")</f>
        <v>-</v>
      </c>
      <c r="K183" s="15">
        <v>12</v>
      </c>
      <c r="L183" s="16" t="s">
        <v>142</v>
      </c>
      <c r="M183" s="15">
        <f>IF(OR(L183="-",L183="",L183=0),IF(K183="-","-",K183),K183-L183)</f>
        <v>12</v>
      </c>
      <c r="N183" s="17" t="str">
        <f>IFERROR(IF(K183&gt;0, L183/K183, 0),"-")</f>
        <v>-</v>
      </c>
      <c r="O183" s="15">
        <v>8</v>
      </c>
      <c r="P183" s="16" t="s">
        <v>142</v>
      </c>
      <c r="Q183" s="15">
        <f>IF(OR(P183="-",P183="",P183=0),IF(O183="-","-",O183),O183-P183)</f>
        <v>8</v>
      </c>
      <c r="R183" s="17" t="str">
        <f>IFERROR(IF(O183&gt;0, P183/O183, 0),"-")</f>
        <v>-</v>
      </c>
      <c r="S183" s="15">
        <v>3</v>
      </c>
      <c r="T183" s="15" t="s">
        <v>142</v>
      </c>
      <c r="U183" s="15" t="s">
        <v>142</v>
      </c>
      <c r="V183" s="16" t="s">
        <v>142</v>
      </c>
      <c r="W183" s="16" t="s">
        <v>142</v>
      </c>
      <c r="X183" s="21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3">
      <c r="B184" s="12" t="s">
        <v>138</v>
      </c>
      <c r="C184" s="13">
        <f>SUM(C57:C183)</f>
        <v>65151</v>
      </c>
      <c r="D184" s="13">
        <f>SUM(D57:D183)</f>
        <v>63203</v>
      </c>
      <c r="E184" s="13">
        <f>C184-D184</f>
        <v>1948</v>
      </c>
      <c r="F184" s="18">
        <f>IF(C184&gt;0, D184/C184, 0)</f>
        <v>0.97010022869948276</v>
      </c>
      <c r="G184" s="13">
        <f>SUM(G57:G183)</f>
        <v>517</v>
      </c>
      <c r="H184" s="13">
        <f>SUM(H57:H183)</f>
        <v>0</v>
      </c>
      <c r="I184" s="13">
        <f>G184-H184</f>
        <v>517</v>
      </c>
      <c r="J184" s="18">
        <f>IF(G184&gt;0, H184/G184, 0)</f>
        <v>0</v>
      </c>
      <c r="K184" s="13">
        <f>SUM(K57:K183)</f>
        <v>266</v>
      </c>
      <c r="L184" s="13">
        <f>SUM(L57:L183)</f>
        <v>0</v>
      </c>
      <c r="M184" s="13">
        <f>K184-L184</f>
        <v>266</v>
      </c>
      <c r="N184" s="18">
        <f>IF(K184&gt;0, L184/K184, 0)</f>
        <v>0</v>
      </c>
      <c r="O184" s="13">
        <f>SUM(O57:O183)</f>
        <v>202</v>
      </c>
      <c r="P184" s="13">
        <f>SUM(P57:P183)</f>
        <v>0</v>
      </c>
      <c r="Q184" s="13">
        <f>O184-P184</f>
        <v>202</v>
      </c>
      <c r="R184" s="18">
        <f>IF(O184&gt;0, P184/O184, 0)</f>
        <v>0</v>
      </c>
      <c r="S184" s="13">
        <f>SUM(S57:S183)</f>
        <v>323</v>
      </c>
      <c r="T184" s="13">
        <f>SUM(T57:T183)</f>
        <v>0</v>
      </c>
      <c r="U184" s="13">
        <f>SUM(U57:U183)</f>
        <v>0</v>
      </c>
      <c r="V184" s="13">
        <f>SUM(V57:V183)</f>
        <v>0</v>
      </c>
      <c r="W184" s="13">
        <f>SUM(W57:W183)</f>
        <v>0</v>
      </c>
      <c r="X184" s="22" t="s">
        <v>142</v>
      </c>
      <c r="Y184" s="22" t="s">
        <v>142</v>
      </c>
    </row>
    <row r="188" spans="2:25" ht="18" x14ac:dyDescent="0.35">
      <c r="B188" s="23" t="s">
        <v>164</v>
      </c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90" spans="2:25" x14ac:dyDescent="0.3">
      <c r="B190" s="2" t="s">
        <v>178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3">
      <c r="B191" s="4" t="s">
        <v>144</v>
      </c>
      <c r="C191" s="2" t="s">
        <v>154</v>
      </c>
      <c r="D191" s="2"/>
      <c r="E191" s="2"/>
      <c r="F191" s="2"/>
      <c r="G191" s="2" t="s">
        <v>155</v>
      </c>
      <c r="H191" s="2"/>
      <c r="I191" s="2"/>
      <c r="J191" s="2"/>
      <c r="K191" s="2" t="s">
        <v>156</v>
      </c>
      <c r="L191" s="2"/>
      <c r="M191" s="2"/>
      <c r="N191" s="2"/>
      <c r="O191" s="2" t="s">
        <v>145</v>
      </c>
      <c r="P191" s="2"/>
      <c r="Q191" s="2"/>
      <c r="R191" s="2"/>
      <c r="S191" s="2" t="s">
        <v>136</v>
      </c>
      <c r="T191" s="2"/>
      <c r="U191" s="2"/>
      <c r="V191" s="2"/>
      <c r="W191" s="2"/>
      <c r="X191" s="5" t="s">
        <v>157</v>
      </c>
      <c r="Y191" s="5"/>
    </row>
    <row r="192" spans="2:25" x14ac:dyDescent="0.3">
      <c r="B192" s="4"/>
      <c r="C192" s="6" t="s">
        <v>146</v>
      </c>
      <c r="D192" s="7" t="s">
        <v>158</v>
      </c>
      <c r="E192" s="6" t="s">
        <v>140</v>
      </c>
      <c r="F192" s="8" t="s">
        <v>141</v>
      </c>
      <c r="G192" s="6" t="s">
        <v>146</v>
      </c>
      <c r="H192" s="7" t="s">
        <v>158</v>
      </c>
      <c r="I192" s="6" t="s">
        <v>159</v>
      </c>
      <c r="J192" s="8" t="s">
        <v>141</v>
      </c>
      <c r="K192" s="6" t="s">
        <v>146</v>
      </c>
      <c r="L192" s="7" t="s">
        <v>158</v>
      </c>
      <c r="M192" s="6" t="s">
        <v>159</v>
      </c>
      <c r="N192" s="8" t="s">
        <v>141</v>
      </c>
      <c r="O192" s="6" t="s">
        <v>146</v>
      </c>
      <c r="P192" s="7" t="s">
        <v>158</v>
      </c>
      <c r="Q192" s="6" t="s">
        <v>159</v>
      </c>
      <c r="R192" s="8" t="s">
        <v>141</v>
      </c>
      <c r="S192" s="6" t="s">
        <v>146</v>
      </c>
      <c r="T192" s="2" t="s">
        <v>147</v>
      </c>
      <c r="U192" s="2"/>
      <c r="V192" s="2" t="s">
        <v>148</v>
      </c>
      <c r="W192" s="2"/>
      <c r="X192" s="19" t="s">
        <v>160</v>
      </c>
      <c r="Y192" s="20" t="s">
        <v>161</v>
      </c>
    </row>
    <row r="193" spans="2:25" x14ac:dyDescent="0.3">
      <c r="C193" s="6"/>
      <c r="D193" s="7"/>
      <c r="E193" s="6"/>
      <c r="F193" s="8"/>
      <c r="G193" s="6"/>
      <c r="H193" s="7"/>
      <c r="I193" s="6"/>
      <c r="J193" s="8"/>
      <c r="K193" s="6"/>
      <c r="L193" s="7"/>
      <c r="M193" s="6"/>
      <c r="N193" s="8"/>
      <c r="O193" s="6"/>
      <c r="P193" s="7"/>
      <c r="Q193" s="6"/>
      <c r="R193" s="8"/>
      <c r="S193" s="6"/>
      <c r="T193" s="9" t="s">
        <v>149</v>
      </c>
      <c r="U193" s="9" t="s">
        <v>150</v>
      </c>
      <c r="V193" s="9" t="s">
        <v>149</v>
      </c>
      <c r="W193" s="9" t="s">
        <v>150</v>
      </c>
      <c r="X193" s="10"/>
      <c r="Y193" s="11"/>
    </row>
    <row r="194" spans="2:25" x14ac:dyDescent="0.3">
      <c r="B194" s="14" t="s">
        <v>2</v>
      </c>
      <c r="C194" s="15">
        <v>2163</v>
      </c>
      <c r="D194" s="16">
        <v>2134</v>
      </c>
      <c r="E194" s="15">
        <f>IF(OR(D194="-",D194="",D194=0),IF(C194="-","-",C194),C194-D194)</f>
        <v>29</v>
      </c>
      <c r="F194" s="17">
        <f>IFERROR(IF(C194&gt;0, D194/C194, 0),"-")</f>
        <v>0.98659269533055938</v>
      </c>
      <c r="G194" s="15">
        <v>7</v>
      </c>
      <c r="H194" s="16" t="s">
        <v>142</v>
      </c>
      <c r="I194" s="15">
        <f>IF(OR(H194="-",H194="",H194=0),IF(G194="-","-",G194),G194-H194)</f>
        <v>7</v>
      </c>
      <c r="J194" s="17" t="str">
        <f>IFERROR(IF(G194&gt;0, H194/G194, 0),"-")</f>
        <v>-</v>
      </c>
      <c r="K194" s="15">
        <v>4</v>
      </c>
      <c r="L194" s="16" t="s">
        <v>142</v>
      </c>
      <c r="M194" s="15">
        <f>IF(OR(L194="-",L194="",L194=0),IF(K194="-","-",K194),K194-L194)</f>
        <v>4</v>
      </c>
      <c r="N194" s="17" t="str">
        <f>IFERROR(IF(K194&gt;0, L194/K194, 0),"-")</f>
        <v>-</v>
      </c>
      <c r="O194" s="15">
        <v>1</v>
      </c>
      <c r="P194" s="16" t="s">
        <v>142</v>
      </c>
      <c r="Q194" s="15">
        <f>IF(OR(P194="-",P194="",P194=0),IF(O194="-","-",O194),O194-P194)</f>
        <v>1</v>
      </c>
      <c r="R194" s="17" t="str">
        <f>IFERROR(IF(O194&gt;0, P194/O194, 0),"-")</f>
        <v>-</v>
      </c>
      <c r="S194" s="15">
        <v>6</v>
      </c>
      <c r="T194" s="15" t="s">
        <v>142</v>
      </c>
      <c r="U194" s="15" t="s">
        <v>142</v>
      </c>
      <c r="V194" s="16" t="s">
        <v>142</v>
      </c>
      <c r="W194" s="16" t="s">
        <v>142</v>
      </c>
      <c r="X194" s="21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3">
      <c r="B195" s="14" t="s">
        <v>7</v>
      </c>
      <c r="C195" s="15">
        <v>15934</v>
      </c>
      <c r="D195" s="16">
        <v>15675</v>
      </c>
      <c r="E195" s="15">
        <f>IF(OR(D195="-",D195="",D195=0),IF(C195="-","-",C195),C195-D195)</f>
        <v>259</v>
      </c>
      <c r="F195" s="17">
        <f>IFERROR(IF(C195&gt;0, D195/C195, 0),"-")</f>
        <v>0.9837454499811723</v>
      </c>
      <c r="G195" s="15">
        <v>66</v>
      </c>
      <c r="H195" s="16" t="s">
        <v>142</v>
      </c>
      <c r="I195" s="15">
        <f>IF(OR(H195="-",H195="",H195=0),IF(G195="-","-",G195),G195-H195)</f>
        <v>66</v>
      </c>
      <c r="J195" s="17" t="str">
        <f>IFERROR(IF(G195&gt;0, H195/G195, 0),"-")</f>
        <v>-</v>
      </c>
      <c r="K195" s="15">
        <v>46</v>
      </c>
      <c r="L195" s="16" t="s">
        <v>142</v>
      </c>
      <c r="M195" s="15">
        <f>IF(OR(L195="-",L195="",L195=0),IF(K195="-","-",K195),K195-L195)</f>
        <v>46</v>
      </c>
      <c r="N195" s="17" t="str">
        <f>IFERROR(IF(K195&gt;0, L195/K195, 0),"-")</f>
        <v>-</v>
      </c>
      <c r="O195" s="15">
        <v>46</v>
      </c>
      <c r="P195" s="16" t="s">
        <v>142</v>
      </c>
      <c r="Q195" s="15">
        <f>IF(OR(P195="-",P195="",P195=0),IF(O195="-","-",O195),O195-P195)</f>
        <v>46</v>
      </c>
      <c r="R195" s="17" t="str">
        <f>IFERROR(IF(O195&gt;0, P195/O195, 0),"-")</f>
        <v>-</v>
      </c>
      <c r="S195" s="15">
        <v>98</v>
      </c>
      <c r="T195" s="15" t="s">
        <v>142</v>
      </c>
      <c r="U195" s="15" t="s">
        <v>142</v>
      </c>
      <c r="V195" s="16" t="s">
        <v>142</v>
      </c>
      <c r="W195" s="16" t="s">
        <v>142</v>
      </c>
      <c r="X195" s="21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3">
      <c r="B196" s="14" t="s">
        <v>21</v>
      </c>
      <c r="C196" s="15">
        <v>15985</v>
      </c>
      <c r="D196" s="16">
        <v>15696</v>
      </c>
      <c r="E196" s="15">
        <f>IF(OR(D196="-",D196="",D196=0),IF(C196="-","-",C196),C196-D196)</f>
        <v>289</v>
      </c>
      <c r="F196" s="17">
        <f>IFERROR(IF(C196&gt;0, D196/C196, 0),"-")</f>
        <v>0.98192055051610883</v>
      </c>
      <c r="G196" s="15">
        <v>68</v>
      </c>
      <c r="H196" s="16" t="s">
        <v>142</v>
      </c>
      <c r="I196" s="15">
        <f>IF(OR(H196="-",H196="",H196=0),IF(G196="-","-",G196),G196-H196)</f>
        <v>68</v>
      </c>
      <c r="J196" s="17" t="str">
        <f>IFERROR(IF(G196&gt;0, H196/G196, 0),"-")</f>
        <v>-</v>
      </c>
      <c r="K196" s="15">
        <v>24</v>
      </c>
      <c r="L196" s="16" t="s">
        <v>142</v>
      </c>
      <c r="M196" s="15">
        <f>IF(OR(L196="-",L196="",L196=0),IF(K196="-","-",K196),K196-L196)</f>
        <v>24</v>
      </c>
      <c r="N196" s="17" t="str">
        <f>IFERROR(IF(K196&gt;0, L196/K196, 0),"-")</f>
        <v>-</v>
      </c>
      <c r="O196" s="15">
        <v>23</v>
      </c>
      <c r="P196" s="16" t="s">
        <v>142</v>
      </c>
      <c r="Q196" s="15">
        <f>IF(OR(P196="-",P196="",P196=0),IF(O196="-","-",O196),O196-P196)</f>
        <v>23</v>
      </c>
      <c r="R196" s="17" t="str">
        <f>IFERROR(IF(O196&gt;0, P196/O196, 0),"-")</f>
        <v>-</v>
      </c>
      <c r="S196" s="15">
        <v>45</v>
      </c>
      <c r="T196" s="15" t="s">
        <v>142</v>
      </c>
      <c r="U196" s="15" t="s">
        <v>142</v>
      </c>
      <c r="V196" s="16" t="s">
        <v>142</v>
      </c>
      <c r="W196" s="16" t="s">
        <v>142</v>
      </c>
      <c r="X196" s="21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3">
      <c r="B197" s="14" t="s">
        <v>1</v>
      </c>
      <c r="C197" s="15">
        <v>21351</v>
      </c>
      <c r="D197" s="16">
        <v>20887</v>
      </c>
      <c r="E197" s="15">
        <f>IF(OR(D197="-",D197="",D197=0),IF(C197="-","-",C197),C197-D197)</f>
        <v>464</v>
      </c>
      <c r="F197" s="17">
        <f>IFERROR(IF(C197&gt;0, D197/C197, 0),"-")</f>
        <v>0.97826799681513743</v>
      </c>
      <c r="G197" s="15">
        <v>132</v>
      </c>
      <c r="H197" s="16" t="s">
        <v>142</v>
      </c>
      <c r="I197" s="15">
        <f>IF(OR(H197="-",H197="",H197=0),IF(G197="-","-",G197),G197-H197)</f>
        <v>132</v>
      </c>
      <c r="J197" s="17" t="str">
        <f>IFERROR(IF(G197&gt;0, H197/G197, 0),"-")</f>
        <v>-</v>
      </c>
      <c r="K197" s="15">
        <v>82</v>
      </c>
      <c r="L197" s="16" t="s">
        <v>142</v>
      </c>
      <c r="M197" s="15">
        <f>IF(OR(L197="-",L197="",L197=0),IF(K197="-","-",K197),K197-L197)</f>
        <v>82</v>
      </c>
      <c r="N197" s="17" t="str">
        <f>IFERROR(IF(K197&gt;0, L197/K197, 0),"-")</f>
        <v>-</v>
      </c>
      <c r="O197" s="15">
        <v>56</v>
      </c>
      <c r="P197" s="16" t="s">
        <v>142</v>
      </c>
      <c r="Q197" s="15">
        <f>IF(OR(P197="-",P197="",P197=0),IF(O197="-","-",O197),O197-P197)</f>
        <v>56</v>
      </c>
      <c r="R197" s="17" t="str">
        <f>IFERROR(IF(O197&gt;0, P197/O197, 0),"-")</f>
        <v>-</v>
      </c>
      <c r="S197" s="15">
        <v>61</v>
      </c>
      <c r="T197" s="15" t="s">
        <v>142</v>
      </c>
      <c r="U197" s="15" t="s">
        <v>142</v>
      </c>
      <c r="V197" s="16" t="s">
        <v>142</v>
      </c>
      <c r="W197" s="16" t="s">
        <v>142</v>
      </c>
      <c r="X197" s="21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3">
      <c r="B198" s="14" t="s">
        <v>0</v>
      </c>
      <c r="C198" s="15">
        <v>3141</v>
      </c>
      <c r="D198" s="16">
        <v>2974</v>
      </c>
      <c r="E198" s="15">
        <f>IF(OR(D198="-",D198="",D198=0),IF(C198="-","-",C198),C198-D198)</f>
        <v>167</v>
      </c>
      <c r="F198" s="17">
        <f>IFERROR(IF(C198&gt;0, D198/C198, 0),"-")</f>
        <v>0.94683221903852277</v>
      </c>
      <c r="G198" s="15">
        <v>54</v>
      </c>
      <c r="H198" s="16" t="s">
        <v>142</v>
      </c>
      <c r="I198" s="15">
        <f>IF(OR(H198="-",H198="",H198=0),IF(G198="-","-",G198),G198-H198)</f>
        <v>54</v>
      </c>
      <c r="J198" s="17" t="str">
        <f>IFERROR(IF(G198&gt;0, H198/G198, 0),"-")</f>
        <v>-</v>
      </c>
      <c r="K198" s="15">
        <v>22</v>
      </c>
      <c r="L198" s="16" t="s">
        <v>142</v>
      </c>
      <c r="M198" s="15">
        <f>IF(OR(L198="-",L198="",L198=0),IF(K198="-","-",K198),K198-L198)</f>
        <v>22</v>
      </c>
      <c r="N198" s="17" t="str">
        <f>IFERROR(IF(K198&gt;0, L198/K198, 0),"-")</f>
        <v>-</v>
      </c>
      <c r="O198" s="15">
        <v>5</v>
      </c>
      <c r="P198" s="16" t="s">
        <v>142</v>
      </c>
      <c r="Q198" s="15">
        <f>IF(OR(P198="-",P198="",P198=0),IF(O198="-","-",O198),O198-P198)</f>
        <v>5</v>
      </c>
      <c r="R198" s="17" t="str">
        <f>IFERROR(IF(O198&gt;0, P198/O198, 0),"-")</f>
        <v>-</v>
      </c>
      <c r="S198" s="15">
        <v>9</v>
      </c>
      <c r="T198" s="15" t="s">
        <v>142</v>
      </c>
      <c r="U198" s="15" t="s">
        <v>142</v>
      </c>
      <c r="V198" s="16" t="s">
        <v>142</v>
      </c>
      <c r="W198" s="16" t="s">
        <v>142</v>
      </c>
      <c r="X198" s="21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3">
      <c r="B199" s="12" t="s">
        <v>138</v>
      </c>
      <c r="C199" s="13">
        <f>SUM(C194:C198)</f>
        <v>58574</v>
      </c>
      <c r="D199" s="13">
        <f>SUM(D194:D198)</f>
        <v>57366</v>
      </c>
      <c r="E199" s="13">
        <f>C199-D199</f>
        <v>1208</v>
      </c>
      <c r="F199" s="18">
        <f>IF(C199&gt;0, D199/C199, 0)</f>
        <v>0.97937651517738245</v>
      </c>
      <c r="G199" s="13">
        <f>SUM(G194:G198)</f>
        <v>327</v>
      </c>
      <c r="H199" s="13">
        <f>SUM(H194:H198)</f>
        <v>0</v>
      </c>
      <c r="I199" s="13">
        <f>G199-H199</f>
        <v>327</v>
      </c>
      <c r="J199" s="18">
        <f>IF(G199&gt;0, H199/G199, 0)</f>
        <v>0</v>
      </c>
      <c r="K199" s="13">
        <f>SUM(K194:K198)</f>
        <v>178</v>
      </c>
      <c r="L199" s="13">
        <f>SUM(L194:L198)</f>
        <v>0</v>
      </c>
      <c r="M199" s="13">
        <f>K199-L199</f>
        <v>178</v>
      </c>
      <c r="N199" s="18">
        <f>IF(K199&gt;0, L199/K199, 0)</f>
        <v>0</v>
      </c>
      <c r="O199" s="13">
        <f>SUM(O194:O198)</f>
        <v>131</v>
      </c>
      <c r="P199" s="13">
        <f>SUM(P194:P198)</f>
        <v>0</v>
      </c>
      <c r="Q199" s="13">
        <f>O199-P199</f>
        <v>131</v>
      </c>
      <c r="R199" s="18">
        <f>IF(O199&gt;0, P199/O199, 0)</f>
        <v>0</v>
      </c>
      <c r="S199" s="13">
        <f>SUM(S194:S198)</f>
        <v>219</v>
      </c>
      <c r="T199" s="13">
        <f>SUM(T194:T198)</f>
        <v>0</v>
      </c>
      <c r="U199" s="13">
        <f>SUM(U194:U198)</f>
        <v>0</v>
      </c>
      <c r="V199" s="13">
        <f>SUM(V194:V198)</f>
        <v>0</v>
      </c>
      <c r="W199" s="13">
        <f>SUM(W194:W198)</f>
        <v>0</v>
      </c>
      <c r="X199" s="22" t="s">
        <v>142</v>
      </c>
      <c r="Y199" s="22" t="s">
        <v>142</v>
      </c>
    </row>
    <row r="203" spans="2:25" ht="18" x14ac:dyDescent="0.35">
      <c r="B203" s="23" t="s">
        <v>165</v>
      </c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5" spans="2:25" x14ac:dyDescent="0.3">
      <c r="B205" s="2" t="s">
        <v>178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3">
      <c r="B206" s="4" t="s">
        <v>144</v>
      </c>
      <c r="C206" s="2" t="s">
        <v>154</v>
      </c>
      <c r="D206" s="2"/>
      <c r="E206" s="2"/>
      <c r="F206" s="2"/>
      <c r="G206" s="2" t="s">
        <v>155</v>
      </c>
      <c r="H206" s="2"/>
      <c r="I206" s="2"/>
      <c r="J206" s="2"/>
      <c r="K206" s="2" t="s">
        <v>156</v>
      </c>
      <c r="L206" s="2"/>
      <c r="M206" s="2"/>
      <c r="N206" s="2"/>
      <c r="O206" s="2" t="s">
        <v>145</v>
      </c>
      <c r="P206" s="2"/>
      <c r="Q206" s="2"/>
      <c r="R206" s="2"/>
      <c r="S206" s="2" t="s">
        <v>136</v>
      </c>
      <c r="T206" s="2"/>
      <c r="U206" s="2"/>
      <c r="V206" s="2"/>
      <c r="W206" s="2"/>
      <c r="X206" s="5" t="s">
        <v>157</v>
      </c>
      <c r="Y206" s="5"/>
    </row>
    <row r="207" spans="2:25" x14ac:dyDescent="0.3">
      <c r="B207" s="4"/>
      <c r="C207" s="6" t="s">
        <v>146</v>
      </c>
      <c r="D207" s="7" t="s">
        <v>158</v>
      </c>
      <c r="E207" s="6" t="s">
        <v>140</v>
      </c>
      <c r="F207" s="8" t="s">
        <v>141</v>
      </c>
      <c r="G207" s="6" t="s">
        <v>146</v>
      </c>
      <c r="H207" s="7" t="s">
        <v>158</v>
      </c>
      <c r="I207" s="6" t="s">
        <v>159</v>
      </c>
      <c r="J207" s="8" t="s">
        <v>141</v>
      </c>
      <c r="K207" s="6" t="s">
        <v>146</v>
      </c>
      <c r="L207" s="7" t="s">
        <v>158</v>
      </c>
      <c r="M207" s="6" t="s">
        <v>159</v>
      </c>
      <c r="N207" s="8" t="s">
        <v>141</v>
      </c>
      <c r="O207" s="6" t="s">
        <v>146</v>
      </c>
      <c r="P207" s="7" t="s">
        <v>158</v>
      </c>
      <c r="Q207" s="6" t="s">
        <v>159</v>
      </c>
      <c r="R207" s="8" t="s">
        <v>141</v>
      </c>
      <c r="S207" s="6" t="s">
        <v>146</v>
      </c>
      <c r="T207" s="2" t="s">
        <v>147</v>
      </c>
      <c r="U207" s="2"/>
      <c r="V207" s="2" t="s">
        <v>148</v>
      </c>
      <c r="W207" s="2"/>
      <c r="X207" s="19" t="s">
        <v>160</v>
      </c>
      <c r="Y207" s="20" t="s">
        <v>161</v>
      </c>
    </row>
    <row r="208" spans="2:25" x14ac:dyDescent="0.3">
      <c r="C208" s="6"/>
      <c r="D208" s="7"/>
      <c r="E208" s="6"/>
      <c r="F208" s="8"/>
      <c r="G208" s="6"/>
      <c r="H208" s="7"/>
      <c r="I208" s="6"/>
      <c r="J208" s="8"/>
      <c r="K208" s="6"/>
      <c r="L208" s="7"/>
      <c r="M208" s="6"/>
      <c r="N208" s="8"/>
      <c r="O208" s="6"/>
      <c r="P208" s="7"/>
      <c r="Q208" s="6"/>
      <c r="R208" s="8"/>
      <c r="S208" s="6"/>
      <c r="T208" s="9" t="s">
        <v>149</v>
      </c>
      <c r="U208" s="9" t="s">
        <v>150</v>
      </c>
      <c r="V208" s="9" t="s">
        <v>149</v>
      </c>
      <c r="W208" s="9" t="s">
        <v>150</v>
      </c>
      <c r="X208" s="10"/>
      <c r="Y208" s="11"/>
    </row>
    <row r="209" spans="2:25" x14ac:dyDescent="0.3">
      <c r="B209" s="14" t="s">
        <v>2</v>
      </c>
      <c r="C209" s="15">
        <v>5</v>
      </c>
      <c r="D209" s="16">
        <v>5</v>
      </c>
      <c r="E209" s="15">
        <f>IF(OR(D209="-",D209="",D209=0),IF(C209="-","-",C209),C209-D209)</f>
        <v>0</v>
      </c>
      <c r="F209" s="17">
        <f>IFERROR(IF(C209&gt;0, D209/C209, 0),"-")</f>
        <v>1</v>
      </c>
      <c r="G209" s="15" t="s">
        <v>142</v>
      </c>
      <c r="H209" s="16" t="s">
        <v>142</v>
      </c>
      <c r="I209" s="15" t="str">
        <f>IF(OR(H209="-",H209="",H209=0),IF(G209="-","-",G209),G209-H209)</f>
        <v>-</v>
      </c>
      <c r="J209" s="17" t="str">
        <f>IFERROR(IF(G209&gt;0, H209/G209, 0),"-")</f>
        <v>-</v>
      </c>
      <c r="K209" s="15" t="s">
        <v>142</v>
      </c>
      <c r="L209" s="16" t="s">
        <v>142</v>
      </c>
      <c r="M209" s="15" t="str">
        <f>IF(OR(L209="-",L209="",L209=0),IF(K209="-","-",K209),K209-L209)</f>
        <v>-</v>
      </c>
      <c r="N209" s="17" t="str">
        <f>IFERROR(IF(K209&gt;0, L209/K209, 0),"-")</f>
        <v>-</v>
      </c>
      <c r="O209" s="15" t="s">
        <v>142</v>
      </c>
      <c r="P209" s="16" t="s">
        <v>142</v>
      </c>
      <c r="Q209" s="15" t="str">
        <f>IF(OR(P209="-",P209="",P209=0),IF(O209="-","-",O209),O209-P209)</f>
        <v>-</v>
      </c>
      <c r="R209" s="17" t="str">
        <f>IFERROR(IF(O209&gt;0, P209/O209, 0),"-")</f>
        <v>-</v>
      </c>
      <c r="S209" s="15" t="s">
        <v>142</v>
      </c>
      <c r="T209" s="15" t="s">
        <v>142</v>
      </c>
      <c r="U209" s="15" t="s">
        <v>142</v>
      </c>
      <c r="V209" s="16" t="s">
        <v>142</v>
      </c>
      <c r="W209" s="16" t="s">
        <v>142</v>
      </c>
      <c r="X209" s="21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3">
      <c r="B210" s="14" t="s">
        <v>21</v>
      </c>
      <c r="C210" s="15">
        <v>1250</v>
      </c>
      <c r="D210" s="16">
        <v>1160</v>
      </c>
      <c r="E210" s="15">
        <f>IF(OR(D210="-",D210="",D210=0),IF(C210="-","-",C210),C210-D210)</f>
        <v>90</v>
      </c>
      <c r="F210" s="17">
        <f>IFERROR(IF(C210&gt;0, D210/C210, 0),"-")</f>
        <v>0.92800000000000005</v>
      </c>
      <c r="G210" s="15">
        <v>11</v>
      </c>
      <c r="H210" s="16" t="s">
        <v>142</v>
      </c>
      <c r="I210" s="15">
        <f>IF(OR(H210="-",H210="",H210=0),IF(G210="-","-",G210),G210-H210)</f>
        <v>11</v>
      </c>
      <c r="J210" s="17" t="str">
        <f>IFERROR(IF(G210&gt;0, H210/G210, 0),"-")</f>
        <v>-</v>
      </c>
      <c r="K210" s="15">
        <v>1</v>
      </c>
      <c r="L210" s="16" t="s">
        <v>142</v>
      </c>
      <c r="M210" s="15">
        <f>IF(OR(L210="-",L210="",L210=0),IF(K210="-","-",K210),K210-L210)</f>
        <v>1</v>
      </c>
      <c r="N210" s="17" t="str">
        <f>IFERROR(IF(K210&gt;0, L210/K210, 0),"-")</f>
        <v>-</v>
      </c>
      <c r="O210" s="15">
        <v>6</v>
      </c>
      <c r="P210" s="16" t="s">
        <v>142</v>
      </c>
      <c r="Q210" s="15">
        <f>IF(OR(P210="-",P210="",P210=0),IF(O210="-","-",O210),O210-P210)</f>
        <v>6</v>
      </c>
      <c r="R210" s="17" t="str">
        <f>IFERROR(IF(O210&gt;0, P210/O210, 0),"-")</f>
        <v>-</v>
      </c>
      <c r="S210" s="15">
        <v>3</v>
      </c>
      <c r="T210" s="15" t="s">
        <v>142</v>
      </c>
      <c r="U210" s="15" t="s">
        <v>142</v>
      </c>
      <c r="V210" s="16" t="s">
        <v>142</v>
      </c>
      <c r="W210" s="16" t="s">
        <v>142</v>
      </c>
      <c r="X210" s="21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3">
      <c r="B211" s="14" t="s">
        <v>7</v>
      </c>
      <c r="C211" s="15">
        <v>1042</v>
      </c>
      <c r="D211" s="16">
        <v>943</v>
      </c>
      <c r="E211" s="15">
        <f>IF(OR(D211="-",D211="",D211=0),IF(C211="-","-",C211),C211-D211)</f>
        <v>99</v>
      </c>
      <c r="F211" s="17">
        <f>IFERROR(IF(C211&gt;0, D211/C211, 0),"-")</f>
        <v>0.9049904030710173</v>
      </c>
      <c r="G211" s="15">
        <v>11</v>
      </c>
      <c r="H211" s="16" t="s">
        <v>142</v>
      </c>
      <c r="I211" s="15">
        <f>IF(OR(H211="-",H211="",H211=0),IF(G211="-","-",G211),G211-H211)</f>
        <v>11</v>
      </c>
      <c r="J211" s="17" t="str">
        <f>IFERROR(IF(G211&gt;0, H211/G211, 0),"-")</f>
        <v>-</v>
      </c>
      <c r="K211" s="15">
        <v>9</v>
      </c>
      <c r="L211" s="16" t="s">
        <v>142</v>
      </c>
      <c r="M211" s="15">
        <f>IF(OR(L211="-",L211="",L211=0),IF(K211="-","-",K211),K211-L211)</f>
        <v>9</v>
      </c>
      <c r="N211" s="17" t="str">
        <f>IFERROR(IF(K211&gt;0, L211/K211, 0),"-")</f>
        <v>-</v>
      </c>
      <c r="O211" s="15" t="s">
        <v>142</v>
      </c>
      <c r="P211" s="16" t="s">
        <v>142</v>
      </c>
      <c r="Q211" s="15" t="str">
        <f>IF(OR(P211="-",P211="",P211=0),IF(O211="-","-",O211),O211-P211)</f>
        <v>-</v>
      </c>
      <c r="R211" s="17" t="str">
        <f>IFERROR(IF(O211&gt;0, P211/O211, 0),"-")</f>
        <v>-</v>
      </c>
      <c r="S211" s="15">
        <v>2</v>
      </c>
      <c r="T211" s="15" t="s">
        <v>142</v>
      </c>
      <c r="U211" s="15" t="s">
        <v>142</v>
      </c>
      <c r="V211" s="16" t="s">
        <v>142</v>
      </c>
      <c r="W211" s="16" t="s">
        <v>142</v>
      </c>
      <c r="X211" s="21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3">
      <c r="B212" s="14" t="s">
        <v>0</v>
      </c>
      <c r="C212" s="15">
        <v>189</v>
      </c>
      <c r="D212" s="16">
        <v>169</v>
      </c>
      <c r="E212" s="15">
        <f>IF(OR(D212="-",D212="",D212=0),IF(C212="-","-",C212),C212-D212)</f>
        <v>20</v>
      </c>
      <c r="F212" s="17">
        <f>IFERROR(IF(C212&gt;0, D212/C212, 0),"-")</f>
        <v>0.89417989417989419</v>
      </c>
      <c r="G212" s="15">
        <v>2</v>
      </c>
      <c r="H212" s="16" t="s">
        <v>142</v>
      </c>
      <c r="I212" s="15">
        <f>IF(OR(H212="-",H212="",H212=0),IF(G212="-","-",G212),G212-H212)</f>
        <v>2</v>
      </c>
      <c r="J212" s="17" t="str">
        <f>IFERROR(IF(G212&gt;0, H212/G212, 0),"-")</f>
        <v>-</v>
      </c>
      <c r="K212" s="15">
        <v>1</v>
      </c>
      <c r="L212" s="16" t="s">
        <v>142</v>
      </c>
      <c r="M212" s="15">
        <f>IF(OR(L212="-",L212="",L212=0),IF(K212="-","-",K212),K212-L212)</f>
        <v>1</v>
      </c>
      <c r="N212" s="17" t="str">
        <f>IFERROR(IF(K212&gt;0, L212/K212, 0),"-")</f>
        <v>-</v>
      </c>
      <c r="O212" s="15" t="s">
        <v>142</v>
      </c>
      <c r="P212" s="16" t="s">
        <v>142</v>
      </c>
      <c r="Q212" s="15" t="str">
        <f>IF(OR(P212="-",P212="",P212=0),IF(O212="-","-",O212),O212-P212)</f>
        <v>-</v>
      </c>
      <c r="R212" s="17" t="str">
        <f>IFERROR(IF(O212&gt;0, P212/O212, 0),"-")</f>
        <v>-</v>
      </c>
      <c r="S212" s="15" t="s">
        <v>142</v>
      </c>
      <c r="T212" s="15" t="s">
        <v>142</v>
      </c>
      <c r="U212" s="15" t="s">
        <v>142</v>
      </c>
      <c r="V212" s="16" t="s">
        <v>142</v>
      </c>
      <c r="W212" s="16" t="s">
        <v>142</v>
      </c>
      <c r="X212" s="21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3">
      <c r="B213" s="14" t="s">
        <v>1</v>
      </c>
      <c r="C213" s="15">
        <v>2054</v>
      </c>
      <c r="D213" s="16">
        <v>1694</v>
      </c>
      <c r="E213" s="15">
        <f>IF(OR(D213="-",D213="",D213=0),IF(C213="-","-",C213),C213-D213)</f>
        <v>360</v>
      </c>
      <c r="F213" s="17">
        <f>IFERROR(IF(C213&gt;0, D213/C213, 0),"-")</f>
        <v>0.82473222979552097</v>
      </c>
      <c r="G213" s="15">
        <v>104</v>
      </c>
      <c r="H213" s="16" t="s">
        <v>142</v>
      </c>
      <c r="I213" s="15">
        <f>IF(OR(H213="-",H213="",H213=0),IF(G213="-","-",G213),G213-H213)</f>
        <v>104</v>
      </c>
      <c r="J213" s="17" t="str">
        <f>IFERROR(IF(G213&gt;0, H213/G213, 0),"-")</f>
        <v>-</v>
      </c>
      <c r="K213" s="15">
        <v>33</v>
      </c>
      <c r="L213" s="16" t="s">
        <v>142</v>
      </c>
      <c r="M213" s="15">
        <f>IF(OR(L213="-",L213="",L213=0),IF(K213="-","-",K213),K213-L213)</f>
        <v>33</v>
      </c>
      <c r="N213" s="17" t="str">
        <f>IFERROR(IF(K213&gt;0, L213/K213, 0),"-")</f>
        <v>-</v>
      </c>
      <c r="O213" s="15">
        <v>7</v>
      </c>
      <c r="P213" s="16" t="s">
        <v>142</v>
      </c>
      <c r="Q213" s="15">
        <f>IF(OR(P213="-",P213="",P213=0),IF(O213="-","-",O213),O213-P213)</f>
        <v>7</v>
      </c>
      <c r="R213" s="17" t="str">
        <f>IFERROR(IF(O213&gt;0, P213/O213, 0),"-")</f>
        <v>-</v>
      </c>
      <c r="S213" s="15">
        <v>20</v>
      </c>
      <c r="T213" s="15" t="s">
        <v>142</v>
      </c>
      <c r="U213" s="15" t="s">
        <v>142</v>
      </c>
      <c r="V213" s="16" t="s">
        <v>142</v>
      </c>
      <c r="W213" s="16" t="s">
        <v>142</v>
      </c>
      <c r="X213" s="21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3">
      <c r="B214" s="12" t="s">
        <v>138</v>
      </c>
      <c r="C214" s="13">
        <f>SUM(C209:C213)</f>
        <v>4540</v>
      </c>
      <c r="D214" s="13">
        <f>SUM(D209:D213)</f>
        <v>3971</v>
      </c>
      <c r="E214" s="13">
        <f>C214-D214</f>
        <v>569</v>
      </c>
      <c r="F214" s="18">
        <f>IF(C214&gt;0, D214/C214, 0)</f>
        <v>0.87466960352422907</v>
      </c>
      <c r="G214" s="13">
        <f>SUM(G209:G213)</f>
        <v>128</v>
      </c>
      <c r="H214" s="13">
        <f>SUM(H209:H213)</f>
        <v>0</v>
      </c>
      <c r="I214" s="13">
        <f>G214-H214</f>
        <v>128</v>
      </c>
      <c r="J214" s="18">
        <f>IF(G214&gt;0, H214/G214, 0)</f>
        <v>0</v>
      </c>
      <c r="K214" s="13">
        <f>SUM(K209:K213)</f>
        <v>44</v>
      </c>
      <c r="L214" s="13">
        <f>SUM(L209:L213)</f>
        <v>0</v>
      </c>
      <c r="M214" s="13">
        <f>K214-L214</f>
        <v>44</v>
      </c>
      <c r="N214" s="18">
        <f>IF(K214&gt;0, L214/K214, 0)</f>
        <v>0</v>
      </c>
      <c r="O214" s="13">
        <f>SUM(O209:O213)</f>
        <v>13</v>
      </c>
      <c r="P214" s="13">
        <f>SUM(P209:P213)</f>
        <v>0</v>
      </c>
      <c r="Q214" s="13">
        <f>O214-P214</f>
        <v>13</v>
      </c>
      <c r="R214" s="18">
        <f>IF(O214&gt;0, P214/O214, 0)</f>
        <v>0</v>
      </c>
      <c r="S214" s="13">
        <f>SUM(S209:S213)</f>
        <v>25</v>
      </c>
      <c r="T214" s="13">
        <f>SUM(T209:T213)</f>
        <v>0</v>
      </c>
      <c r="U214" s="13">
        <f>SUM(U209:U213)</f>
        <v>0</v>
      </c>
      <c r="V214" s="13">
        <f>SUM(V209:V213)</f>
        <v>0</v>
      </c>
      <c r="W214" s="13">
        <f>SUM(W209:W213)</f>
        <v>0</v>
      </c>
      <c r="X214" s="22" t="s">
        <v>142</v>
      </c>
      <c r="Y214" s="22" t="s">
        <v>142</v>
      </c>
    </row>
    <row r="218" spans="2:25" ht="18" x14ac:dyDescent="0.35">
      <c r="B218" s="23" t="s">
        <v>166</v>
      </c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20" spans="2:25" x14ac:dyDescent="0.3">
      <c r="B220" s="2" t="s">
        <v>178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3">
      <c r="B221" s="4" t="s">
        <v>144</v>
      </c>
      <c r="C221" s="2" t="s">
        <v>154</v>
      </c>
      <c r="D221" s="2"/>
      <c r="E221" s="2"/>
      <c r="F221" s="2"/>
      <c r="G221" s="2" t="s">
        <v>155</v>
      </c>
      <c r="H221" s="2"/>
      <c r="I221" s="2"/>
      <c r="J221" s="2"/>
      <c r="K221" s="2" t="s">
        <v>156</v>
      </c>
      <c r="L221" s="2"/>
      <c r="M221" s="2"/>
      <c r="N221" s="2"/>
      <c r="O221" s="2" t="s">
        <v>145</v>
      </c>
      <c r="P221" s="2"/>
      <c r="Q221" s="2"/>
      <c r="R221" s="2"/>
      <c r="S221" s="2" t="s">
        <v>136</v>
      </c>
      <c r="T221" s="2"/>
      <c r="U221" s="2"/>
      <c r="V221" s="2"/>
      <c r="W221" s="2"/>
      <c r="X221" s="5" t="s">
        <v>157</v>
      </c>
      <c r="Y221" s="5"/>
    </row>
    <row r="222" spans="2:25" x14ac:dyDescent="0.3">
      <c r="B222" s="4"/>
      <c r="C222" s="6" t="s">
        <v>146</v>
      </c>
      <c r="D222" s="7" t="s">
        <v>158</v>
      </c>
      <c r="E222" s="6" t="s">
        <v>140</v>
      </c>
      <c r="F222" s="8" t="s">
        <v>141</v>
      </c>
      <c r="G222" s="6" t="s">
        <v>146</v>
      </c>
      <c r="H222" s="7" t="s">
        <v>158</v>
      </c>
      <c r="I222" s="6" t="s">
        <v>159</v>
      </c>
      <c r="J222" s="8" t="s">
        <v>141</v>
      </c>
      <c r="K222" s="6" t="s">
        <v>146</v>
      </c>
      <c r="L222" s="7" t="s">
        <v>158</v>
      </c>
      <c r="M222" s="6" t="s">
        <v>159</v>
      </c>
      <c r="N222" s="8" t="s">
        <v>141</v>
      </c>
      <c r="O222" s="6" t="s">
        <v>146</v>
      </c>
      <c r="P222" s="7" t="s">
        <v>158</v>
      </c>
      <c r="Q222" s="6" t="s">
        <v>159</v>
      </c>
      <c r="R222" s="8" t="s">
        <v>141</v>
      </c>
      <c r="S222" s="6" t="s">
        <v>146</v>
      </c>
      <c r="T222" s="2" t="s">
        <v>147</v>
      </c>
      <c r="U222" s="2"/>
      <c r="V222" s="2" t="s">
        <v>148</v>
      </c>
      <c r="W222" s="2"/>
      <c r="X222" s="19" t="s">
        <v>160</v>
      </c>
      <c r="Y222" s="20" t="s">
        <v>161</v>
      </c>
    </row>
    <row r="223" spans="2:25" x14ac:dyDescent="0.3">
      <c r="C223" s="6"/>
      <c r="D223" s="7"/>
      <c r="E223" s="6"/>
      <c r="F223" s="8"/>
      <c r="G223" s="6"/>
      <c r="H223" s="7"/>
      <c r="I223" s="6"/>
      <c r="J223" s="8"/>
      <c r="K223" s="6"/>
      <c r="L223" s="7"/>
      <c r="M223" s="6"/>
      <c r="N223" s="8"/>
      <c r="O223" s="6"/>
      <c r="P223" s="7"/>
      <c r="Q223" s="6"/>
      <c r="R223" s="8"/>
      <c r="S223" s="6"/>
      <c r="T223" s="9" t="s">
        <v>149</v>
      </c>
      <c r="U223" s="9" t="s">
        <v>150</v>
      </c>
      <c r="V223" s="9" t="s">
        <v>149</v>
      </c>
      <c r="W223" s="9" t="s">
        <v>150</v>
      </c>
      <c r="X223" s="10"/>
      <c r="Y223" s="11"/>
    </row>
    <row r="224" spans="2:25" x14ac:dyDescent="0.3">
      <c r="B224" s="14" t="s">
        <v>2</v>
      </c>
      <c r="C224" s="15">
        <v>1</v>
      </c>
      <c r="D224" s="16">
        <v>1</v>
      </c>
      <c r="E224" s="15">
        <f>IF(OR(D224="-",D224="",D224=0),IF(C224="-","-",C224),C224-D224)</f>
        <v>0</v>
      </c>
      <c r="F224" s="17">
        <f>IFERROR(IF(C224&gt;0, D224/C224, 0),"-")</f>
        <v>1</v>
      </c>
      <c r="G224" s="15" t="s">
        <v>142</v>
      </c>
      <c r="H224" s="16" t="s">
        <v>142</v>
      </c>
      <c r="I224" s="15" t="str">
        <f>IF(OR(H224="-",H224="",H224=0),IF(G224="-","-",G224),G224-H224)</f>
        <v>-</v>
      </c>
      <c r="J224" s="17" t="str">
        <f>IFERROR(IF(G224&gt;0, H224/G224, 0),"-")</f>
        <v>-</v>
      </c>
      <c r="K224" s="15" t="s">
        <v>142</v>
      </c>
      <c r="L224" s="16" t="s">
        <v>142</v>
      </c>
      <c r="M224" s="15" t="str">
        <f>IF(OR(L224="-",L224="",L224=0),IF(K224="-","-",K224),K224-L224)</f>
        <v>-</v>
      </c>
      <c r="N224" s="17" t="str">
        <f>IFERROR(IF(K224&gt;0, L224/K224, 0),"-")</f>
        <v>-</v>
      </c>
      <c r="O224" s="15" t="s">
        <v>142</v>
      </c>
      <c r="P224" s="16" t="s">
        <v>142</v>
      </c>
      <c r="Q224" s="15" t="str">
        <f>IF(OR(P224="-",P224="",P224=0),IF(O224="-","-",O224),O224-P224)</f>
        <v>-</v>
      </c>
      <c r="R224" s="17" t="str">
        <f>IFERROR(IF(O224&gt;0, P224/O224, 0),"-")</f>
        <v>-</v>
      </c>
      <c r="S224" s="15" t="s">
        <v>142</v>
      </c>
      <c r="T224" s="15" t="s">
        <v>142</v>
      </c>
      <c r="U224" s="15" t="s">
        <v>142</v>
      </c>
      <c r="V224" s="16" t="s">
        <v>142</v>
      </c>
      <c r="W224" s="16" t="s">
        <v>142</v>
      </c>
      <c r="X224" s="21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2:25" x14ac:dyDescent="0.3">
      <c r="B225" s="14" t="s">
        <v>0</v>
      </c>
      <c r="C225" s="15">
        <v>1</v>
      </c>
      <c r="D225" s="16">
        <v>1</v>
      </c>
      <c r="E225" s="15">
        <f>IF(OR(D225="-",D225="",D225=0),IF(C225="-","-",C225),C225-D225)</f>
        <v>0</v>
      </c>
      <c r="F225" s="17">
        <f>IFERROR(IF(C225&gt;0, D225/C225, 0),"-")</f>
        <v>1</v>
      </c>
      <c r="G225" s="15" t="s">
        <v>142</v>
      </c>
      <c r="H225" s="16" t="s">
        <v>142</v>
      </c>
      <c r="I225" s="15" t="str">
        <f>IF(OR(H225="-",H225="",H225=0),IF(G225="-","-",G225),G225-H225)</f>
        <v>-</v>
      </c>
      <c r="J225" s="17" t="str">
        <f>IFERROR(IF(G225&gt;0, H225/G225, 0),"-")</f>
        <v>-</v>
      </c>
      <c r="K225" s="15" t="s">
        <v>142</v>
      </c>
      <c r="L225" s="16" t="s">
        <v>142</v>
      </c>
      <c r="M225" s="15" t="str">
        <f>IF(OR(L225="-",L225="",L225=0),IF(K225="-","-",K225),K225-L225)</f>
        <v>-</v>
      </c>
      <c r="N225" s="17" t="str">
        <f>IFERROR(IF(K225&gt;0, L225/K225, 0),"-")</f>
        <v>-</v>
      </c>
      <c r="O225" s="15" t="s">
        <v>142</v>
      </c>
      <c r="P225" s="16" t="s">
        <v>142</v>
      </c>
      <c r="Q225" s="15" t="str">
        <f>IF(OR(P225="-",P225="",P225=0),IF(O225="-","-",O225),O225-P225)</f>
        <v>-</v>
      </c>
      <c r="R225" s="17" t="str">
        <f>IFERROR(IF(O225&gt;0, P225/O225, 0),"-")</f>
        <v>-</v>
      </c>
      <c r="S225" s="15" t="s">
        <v>142</v>
      </c>
      <c r="T225" s="15" t="s">
        <v>142</v>
      </c>
      <c r="U225" s="15" t="s">
        <v>142</v>
      </c>
      <c r="V225" s="16" t="s">
        <v>142</v>
      </c>
      <c r="W225" s="16" t="s">
        <v>142</v>
      </c>
      <c r="X225" s="21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2:25" x14ac:dyDescent="0.3">
      <c r="B226" s="14" t="s">
        <v>7</v>
      </c>
      <c r="C226" s="15">
        <v>300</v>
      </c>
      <c r="D226" s="16">
        <v>282</v>
      </c>
      <c r="E226" s="15">
        <f>IF(OR(D226="-",D226="",D226=0),IF(C226="-","-",C226),C226-D226)</f>
        <v>18</v>
      </c>
      <c r="F226" s="17">
        <f>IFERROR(IF(C226&gt;0, D226/C226, 0),"-")</f>
        <v>0.94</v>
      </c>
      <c r="G226" s="15">
        <v>9</v>
      </c>
      <c r="H226" s="16" t="s">
        <v>142</v>
      </c>
      <c r="I226" s="15">
        <f>IF(OR(H226="-",H226="",H226=0),IF(G226="-","-",G226),G226-H226)</f>
        <v>9</v>
      </c>
      <c r="J226" s="17" t="str">
        <f>IFERROR(IF(G226&gt;0, H226/G226, 0),"-")</f>
        <v>-</v>
      </c>
      <c r="K226" s="15">
        <v>8</v>
      </c>
      <c r="L226" s="16" t="s">
        <v>142</v>
      </c>
      <c r="M226" s="15">
        <f>IF(OR(L226="-",L226="",L226=0),IF(K226="-","-",K226),K226-L226)</f>
        <v>8</v>
      </c>
      <c r="N226" s="17" t="str">
        <f>IFERROR(IF(K226&gt;0, L226/K226, 0),"-")</f>
        <v>-</v>
      </c>
      <c r="O226" s="15">
        <v>10</v>
      </c>
      <c r="P226" s="16" t="s">
        <v>142</v>
      </c>
      <c r="Q226" s="15">
        <f>IF(OR(P226="-",P226="",P226=0),IF(O226="-","-",O226),O226-P226)</f>
        <v>10</v>
      </c>
      <c r="R226" s="17" t="str">
        <f>IFERROR(IF(O226&gt;0, P226/O226, 0),"-")</f>
        <v>-</v>
      </c>
      <c r="S226" s="15">
        <v>9</v>
      </c>
      <c r="T226" s="15" t="s">
        <v>142</v>
      </c>
      <c r="U226" s="15" t="s">
        <v>142</v>
      </c>
      <c r="V226" s="16" t="s">
        <v>142</v>
      </c>
      <c r="W226" s="16" t="s">
        <v>142</v>
      </c>
      <c r="X226" s="21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2:25" x14ac:dyDescent="0.3">
      <c r="B227" s="14" t="s">
        <v>21</v>
      </c>
      <c r="C227" s="15">
        <v>1081</v>
      </c>
      <c r="D227" s="16">
        <v>987</v>
      </c>
      <c r="E227" s="15">
        <f>IF(OR(D227="-",D227="",D227=0),IF(C227="-","-",C227),C227-D227)</f>
        <v>94</v>
      </c>
      <c r="F227" s="17">
        <f>IFERROR(IF(C227&gt;0, D227/C227, 0),"-")</f>
        <v>0.91304347826086951</v>
      </c>
      <c r="G227" s="15">
        <v>25</v>
      </c>
      <c r="H227" s="16" t="s">
        <v>142</v>
      </c>
      <c r="I227" s="15">
        <f>IF(OR(H227="-",H227="",H227=0),IF(G227="-","-",G227),G227-H227)</f>
        <v>25</v>
      </c>
      <c r="J227" s="17" t="str">
        <f>IFERROR(IF(G227&gt;0, H227/G227, 0),"-")</f>
        <v>-</v>
      </c>
      <c r="K227" s="15">
        <v>10</v>
      </c>
      <c r="L227" s="16" t="s">
        <v>142</v>
      </c>
      <c r="M227" s="15">
        <f>IF(OR(L227="-",L227="",L227=0),IF(K227="-","-",K227),K227-L227)</f>
        <v>10</v>
      </c>
      <c r="N227" s="17" t="str">
        <f>IFERROR(IF(K227&gt;0, L227/K227, 0),"-")</f>
        <v>-</v>
      </c>
      <c r="O227" s="15">
        <v>25</v>
      </c>
      <c r="P227" s="16" t="s">
        <v>142</v>
      </c>
      <c r="Q227" s="15">
        <f>IF(OR(P227="-",P227="",P227=0),IF(O227="-","-",O227),O227-P227)</f>
        <v>25</v>
      </c>
      <c r="R227" s="17" t="str">
        <f>IFERROR(IF(O227&gt;0, P227/O227, 0),"-")</f>
        <v>-</v>
      </c>
      <c r="S227" s="15">
        <v>33</v>
      </c>
      <c r="T227" s="15" t="s">
        <v>142</v>
      </c>
      <c r="U227" s="15" t="s">
        <v>142</v>
      </c>
      <c r="V227" s="16" t="s">
        <v>142</v>
      </c>
      <c r="W227" s="16" t="s">
        <v>142</v>
      </c>
      <c r="X227" s="21">
        <f>RANK(F227,$F$224:$F$228,0)</f>
        <v>4</v>
      </c>
      <c r="Y227" s="3" t="str">
        <f>IF(OR(ISERROR(F227),F227="-",NOT(ISNUMBER(F227))),"● N/A",IF(ROUND(F227, 4) &gt;= ROUND($F$229, 4),"▲ Above Average","▼ Below Average"))</f>
        <v>▼ Below Average</v>
      </c>
    </row>
    <row r="228" spans="2:25" x14ac:dyDescent="0.3">
      <c r="B228" s="14" t="s">
        <v>1</v>
      </c>
      <c r="C228" s="15">
        <v>654</v>
      </c>
      <c r="D228" s="16">
        <v>595</v>
      </c>
      <c r="E228" s="15">
        <f>IF(OR(D228="-",D228="",D228=0),IF(C228="-","-",C228),C228-D228)</f>
        <v>59</v>
      </c>
      <c r="F228" s="17">
        <f>IFERROR(IF(C228&gt;0, D228/C228, 0),"-")</f>
        <v>0.90978593272171249</v>
      </c>
      <c r="G228" s="15">
        <v>28</v>
      </c>
      <c r="H228" s="16" t="s">
        <v>142</v>
      </c>
      <c r="I228" s="15">
        <f>IF(OR(H228="-",H228="",H228=0),IF(G228="-","-",G228),G228-H228)</f>
        <v>28</v>
      </c>
      <c r="J228" s="17" t="str">
        <f>IFERROR(IF(G228&gt;0, H228/G228, 0),"-")</f>
        <v>-</v>
      </c>
      <c r="K228" s="15">
        <v>26</v>
      </c>
      <c r="L228" s="16" t="s">
        <v>142</v>
      </c>
      <c r="M228" s="15">
        <f>IF(OR(L228="-",L228="",L228=0),IF(K228="-","-",K228),K228-L228)</f>
        <v>26</v>
      </c>
      <c r="N228" s="17" t="str">
        <f>IFERROR(IF(K228&gt;0, L228/K228, 0),"-")</f>
        <v>-</v>
      </c>
      <c r="O228" s="15">
        <v>23</v>
      </c>
      <c r="P228" s="16" t="s">
        <v>142</v>
      </c>
      <c r="Q228" s="15">
        <f>IF(OR(P228="-",P228="",P228=0),IF(O228="-","-",O228),O228-P228)</f>
        <v>23</v>
      </c>
      <c r="R228" s="17" t="str">
        <f>IFERROR(IF(O228&gt;0, P228/O228, 0),"-")</f>
        <v>-</v>
      </c>
      <c r="S228" s="15">
        <v>37</v>
      </c>
      <c r="T228" s="15" t="s">
        <v>142</v>
      </c>
      <c r="U228" s="15" t="s">
        <v>142</v>
      </c>
      <c r="V228" s="16" t="s">
        <v>142</v>
      </c>
      <c r="W228" s="16" t="s">
        <v>142</v>
      </c>
      <c r="X228" s="21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2:25" x14ac:dyDescent="0.3">
      <c r="B229" s="12" t="s">
        <v>138</v>
      </c>
      <c r="C229" s="13">
        <f>SUM(C224:C228)</f>
        <v>2037</v>
      </c>
      <c r="D229" s="13">
        <f>SUM(D224:D228)</f>
        <v>1866</v>
      </c>
      <c r="E229" s="13">
        <f>C229-D229</f>
        <v>171</v>
      </c>
      <c r="F229" s="18">
        <f>IF(C229&gt;0, D229/C229, 0)</f>
        <v>0.91605301914580262</v>
      </c>
      <c r="G229" s="13">
        <f>SUM(G224:G228)</f>
        <v>62</v>
      </c>
      <c r="H229" s="13">
        <f>SUM(H224:H228)</f>
        <v>0</v>
      </c>
      <c r="I229" s="13">
        <f>G229-H229</f>
        <v>62</v>
      </c>
      <c r="J229" s="18">
        <f>IF(G229&gt;0, H229/G229, 0)</f>
        <v>0</v>
      </c>
      <c r="K229" s="13">
        <f>SUM(K224:K228)</f>
        <v>44</v>
      </c>
      <c r="L229" s="13">
        <f>SUM(L224:L228)</f>
        <v>0</v>
      </c>
      <c r="M229" s="13">
        <f>K229-L229</f>
        <v>44</v>
      </c>
      <c r="N229" s="18">
        <f>IF(K229&gt;0, L229/K229, 0)</f>
        <v>0</v>
      </c>
      <c r="O229" s="13">
        <f>SUM(O224:O228)</f>
        <v>58</v>
      </c>
      <c r="P229" s="13">
        <f>SUM(P224:P228)</f>
        <v>0</v>
      </c>
      <c r="Q229" s="13">
        <f>O229-P229</f>
        <v>58</v>
      </c>
      <c r="R229" s="18">
        <f>IF(O229&gt;0, P229/O229, 0)</f>
        <v>0</v>
      </c>
      <c r="S229" s="13">
        <f>SUM(S224:S228)</f>
        <v>79</v>
      </c>
      <c r="T229" s="13">
        <f>SUM(T224:T228)</f>
        <v>0</v>
      </c>
      <c r="U229" s="13">
        <f>SUM(U224:U228)</f>
        <v>0</v>
      </c>
      <c r="V229" s="13">
        <f>SUM(V224:V228)</f>
        <v>0</v>
      </c>
      <c r="W229" s="13">
        <f>SUM(W224:W228)</f>
        <v>0</v>
      </c>
      <c r="X229" s="22" t="s">
        <v>142</v>
      </c>
      <c r="Y229" s="22" t="s">
        <v>142</v>
      </c>
    </row>
  </sheetData>
  <sortState ref="B224:Y228">
    <sortCondition ref="X1"/>
  </sortState>
  <mergeCells count="177">
    <mergeCell ref="Q222:Q223"/>
    <mergeCell ref="R222:R223"/>
    <mergeCell ref="S222:S223"/>
    <mergeCell ref="X222:X223"/>
    <mergeCell ref="Y222:Y22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O207:O208"/>
    <mergeCell ref="P207:P208"/>
    <mergeCell ref="Q207:Q208"/>
    <mergeCell ref="R207:R208"/>
    <mergeCell ref="S207:S208"/>
    <mergeCell ref="X207:X208"/>
    <mergeCell ref="I207:I208"/>
    <mergeCell ref="J207:J208"/>
    <mergeCell ref="K207:K208"/>
    <mergeCell ref="L207:L208"/>
    <mergeCell ref="M207:M208"/>
    <mergeCell ref="N207:N208"/>
    <mergeCell ref="V207:W207"/>
    <mergeCell ref="C207:C208"/>
    <mergeCell ref="D207:D208"/>
    <mergeCell ref="E207:E208"/>
    <mergeCell ref="F207:F208"/>
    <mergeCell ref="G207:G208"/>
    <mergeCell ref="H207:H208"/>
    <mergeCell ref="B203:Y203"/>
    <mergeCell ref="B205:Y205"/>
    <mergeCell ref="B206:B207"/>
    <mergeCell ref="C206:F206"/>
    <mergeCell ref="G206:J206"/>
    <mergeCell ref="K206:N206"/>
    <mergeCell ref="R192:R193"/>
    <mergeCell ref="S192:S193"/>
    <mergeCell ref="X192:X193"/>
    <mergeCell ref="Y192:Y193"/>
    <mergeCell ref="O206:R206"/>
    <mergeCell ref="S206:W206"/>
    <mergeCell ref="X206:Y206"/>
    <mergeCell ref="T207:U207"/>
    <mergeCell ref="L192:L193"/>
    <mergeCell ref="M192:M193"/>
    <mergeCell ref="N192:N193"/>
    <mergeCell ref="O192:O193"/>
    <mergeCell ref="P192:P193"/>
    <mergeCell ref="Q192:Q193"/>
    <mergeCell ref="F192:F193"/>
    <mergeCell ref="G192:G193"/>
    <mergeCell ref="H192:H193"/>
    <mergeCell ref="I192:I193"/>
    <mergeCell ref="J192:J193"/>
    <mergeCell ref="K192:K193"/>
    <mergeCell ref="S191:W191"/>
    <mergeCell ref="X191:Y191"/>
    <mergeCell ref="T192:U192"/>
    <mergeCell ref="V192:W192"/>
    <mergeCell ref="C192:C193"/>
    <mergeCell ref="D192:D193"/>
    <mergeCell ref="E192:E193"/>
    <mergeCell ref="B188:Y188"/>
    <mergeCell ref="B190:Y190"/>
    <mergeCell ref="B191:B192"/>
    <mergeCell ref="C191:F191"/>
    <mergeCell ref="G191:J191"/>
    <mergeCell ref="K191:N191"/>
    <mergeCell ref="O191:R191"/>
    <mergeCell ref="X55:X56"/>
    <mergeCell ref="Y55:Y56"/>
    <mergeCell ref="Y207:Y208"/>
    <mergeCell ref="N55:N56"/>
    <mergeCell ref="O55:O56"/>
    <mergeCell ref="P55:P56"/>
    <mergeCell ref="Q55:Q56"/>
    <mergeCell ref="R55:R56"/>
    <mergeCell ref="S55:S56"/>
    <mergeCell ref="H55:H56"/>
    <mergeCell ref="I55:I56"/>
    <mergeCell ref="J55:J56"/>
    <mergeCell ref="K55:K56"/>
    <mergeCell ref="L55:L56"/>
    <mergeCell ref="M55:M56"/>
    <mergeCell ref="T55:U55"/>
    <mergeCell ref="V55:W55"/>
    <mergeCell ref="C55:C56"/>
    <mergeCell ref="D55:D56"/>
    <mergeCell ref="E55:E56"/>
    <mergeCell ref="F55:F56"/>
    <mergeCell ref="G55:G56"/>
    <mergeCell ref="Y17:Y18"/>
    <mergeCell ref="B53:Y53"/>
    <mergeCell ref="B54:B55"/>
    <mergeCell ref="C54:F54"/>
    <mergeCell ref="G54:J54"/>
    <mergeCell ref="K54:N54"/>
    <mergeCell ref="O54:R54"/>
    <mergeCell ref="S54:W54"/>
    <mergeCell ref="X54:Y54"/>
    <mergeCell ref="O17:O18"/>
    <mergeCell ref="P17:P18"/>
    <mergeCell ref="Q17:Q18"/>
    <mergeCell ref="R17:R18"/>
    <mergeCell ref="S17:S18"/>
    <mergeCell ref="X17:X18"/>
    <mergeCell ref="I17:I18"/>
    <mergeCell ref="J17:J18"/>
    <mergeCell ref="K17:K18"/>
    <mergeCell ref="L17:L18"/>
    <mergeCell ref="M17:M18"/>
    <mergeCell ref="N17:N18"/>
    <mergeCell ref="V17:W17"/>
    <mergeCell ref="C17:C18"/>
    <mergeCell ref="D17:D18"/>
    <mergeCell ref="E17:E18"/>
    <mergeCell ref="F17:F18"/>
    <mergeCell ref="G17:G18"/>
    <mergeCell ref="H17:H18"/>
    <mergeCell ref="B15:Y15"/>
    <mergeCell ref="B16:B17"/>
    <mergeCell ref="C16:F16"/>
    <mergeCell ref="G16:J16"/>
    <mergeCell ref="K16:N16"/>
    <mergeCell ref="O16:R16"/>
    <mergeCell ref="S16:W16"/>
    <mergeCell ref="X16:Y16"/>
    <mergeCell ref="T17:U17"/>
    <mergeCell ref="Q4:Q5"/>
    <mergeCell ref="R4:R5"/>
    <mergeCell ref="S4:S5"/>
    <mergeCell ref="X4:X5"/>
    <mergeCell ref="Y4:Y5"/>
    <mergeCell ref="K4:K5"/>
    <mergeCell ref="L4:L5"/>
    <mergeCell ref="M4:M5"/>
    <mergeCell ref="N4:N5"/>
    <mergeCell ref="O4:O5"/>
    <mergeCell ref="P4:P5"/>
    <mergeCell ref="E4:E5"/>
    <mergeCell ref="F4:F5"/>
    <mergeCell ref="G4:G5"/>
    <mergeCell ref="H4:H5"/>
    <mergeCell ref="I4:I5"/>
    <mergeCell ref="J4:J5"/>
    <mergeCell ref="O3:R3"/>
    <mergeCell ref="S3:W3"/>
    <mergeCell ref="X3:Y3"/>
    <mergeCell ref="T4:U4"/>
    <mergeCell ref="V4:W4"/>
    <mergeCell ref="C4:C5"/>
    <mergeCell ref="D4:D5"/>
    <mergeCell ref="B2:Y2"/>
    <mergeCell ref="B3:B4"/>
    <mergeCell ref="C3:F3"/>
    <mergeCell ref="G3:J3"/>
    <mergeCell ref="K3:N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73" priority="5" rank="3"/>
  </conditionalFormatting>
  <conditionalFormatting sqref="F6:F10">
    <cfRule type="top10" dxfId="72" priority="6" bottom="1" rank="3"/>
  </conditionalFormatting>
  <conditionalFormatting sqref="J6:J10">
    <cfRule type="top10" dxfId="71" priority="7" rank="3"/>
  </conditionalFormatting>
  <conditionalFormatting sqref="J6:J10">
    <cfRule type="top10" dxfId="70" priority="8" bottom="1" rank="3"/>
  </conditionalFormatting>
  <conditionalFormatting sqref="N6:N10">
    <cfRule type="top10" dxfId="69" priority="9" rank="3"/>
  </conditionalFormatting>
  <conditionalFormatting sqref="N6:N10">
    <cfRule type="top10" dxfId="68" priority="10" bottom="1" rank="3"/>
  </conditionalFormatting>
  <conditionalFormatting sqref="R6:R10">
    <cfRule type="top10" dxfId="67" priority="11" rank="3"/>
  </conditionalFormatting>
  <conditionalFormatting sqref="R6:R10"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</conditionalFormatting>
  <conditionalFormatting sqref="Y6:Y10">
    <cfRule type="containsText" dxfId="64" priority="14" stopIfTrue="1" operator="containsText" text="Below Average">
      <formula>NOT(ISERROR(SEARCH("Below Average",Y6)))</formula>
    </cfRule>
  </conditionalFormatting>
  <conditionalFormatting sqref="Y6:Y10">
    <cfRule type="containsText" dxfId="63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54" priority="32" rank="3"/>
  </conditionalFormatting>
  <conditionalFormatting sqref="F19:F48">
    <cfRule type="top10" dxfId="53" priority="33" bottom="1" rank="3"/>
  </conditionalFormatting>
  <conditionalFormatting sqref="J19:J48">
    <cfRule type="top10" dxfId="52" priority="34" rank="3"/>
  </conditionalFormatting>
  <conditionalFormatting sqref="J19:J48">
    <cfRule type="top10" dxfId="51" priority="35" bottom="1" rank="3"/>
  </conditionalFormatting>
  <conditionalFormatting sqref="N19:N48">
    <cfRule type="top10" dxfId="50" priority="36" rank="3"/>
  </conditionalFormatting>
  <conditionalFormatting sqref="N19:N48">
    <cfRule type="top10" dxfId="49" priority="37" bottom="1" rank="3"/>
  </conditionalFormatting>
  <conditionalFormatting sqref="R19:R48">
    <cfRule type="top10" dxfId="48" priority="38" rank="3"/>
  </conditionalFormatting>
  <conditionalFormatting sqref="R19:R48">
    <cfRule type="top10" dxfId="47" priority="39" bottom="1" rank="3"/>
  </conditionalFormatting>
  <conditionalFormatting sqref="Y19:Y48">
    <cfRule type="containsText" dxfId="46" priority="40" stopIfTrue="1" operator="containsText" text="Above Average">
      <formula>NOT(ISERROR(SEARCH("Above Average",Y19)))</formula>
    </cfRule>
  </conditionalFormatting>
  <conditionalFormatting sqref="Y19:Y48">
    <cfRule type="containsText" dxfId="45" priority="41" stopIfTrue="1" operator="containsText" text="Below Average">
      <formula>NOT(ISERROR(SEARCH("Below Average",Y19)))</formula>
    </cfRule>
  </conditionalFormatting>
  <conditionalFormatting sqref="Y19:Y48">
    <cfRule type="containsText" dxfId="44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43" priority="47" rank="3"/>
  </conditionalFormatting>
  <conditionalFormatting sqref="F57:F183">
    <cfRule type="top10" dxfId="42" priority="48" bottom="1" rank="3"/>
  </conditionalFormatting>
  <conditionalFormatting sqref="J57:J183">
    <cfRule type="top10" dxfId="41" priority="49" rank="3"/>
  </conditionalFormatting>
  <conditionalFormatting sqref="J57:J183">
    <cfRule type="top10" dxfId="40" priority="50" bottom="1" rank="3"/>
  </conditionalFormatting>
  <conditionalFormatting sqref="N57:N183">
    <cfRule type="top10" dxfId="39" priority="51" rank="3"/>
  </conditionalFormatting>
  <conditionalFormatting sqref="N57:N183">
    <cfRule type="top10" dxfId="38" priority="52" bottom="1" rank="3"/>
  </conditionalFormatting>
  <conditionalFormatting sqref="R57:R183">
    <cfRule type="top10" dxfId="37" priority="53" rank="3"/>
  </conditionalFormatting>
  <conditionalFormatting sqref="R57:R183">
    <cfRule type="top10" dxfId="36" priority="54" bottom="1" rank="3"/>
  </conditionalFormatting>
  <conditionalFormatting sqref="Y57:Y183">
    <cfRule type="containsText" dxfId="35" priority="55" stopIfTrue="1" operator="containsText" text="Above Average">
      <formula>NOT(ISERROR(SEARCH("Above Average",Y57)))</formula>
    </cfRule>
  </conditionalFormatting>
  <conditionalFormatting sqref="Y57:Y183">
    <cfRule type="containsText" dxfId="34" priority="56" stopIfTrue="1" operator="containsText" text="Below Average">
      <formula>NOT(ISERROR(SEARCH("Below Average",Y57)))</formula>
    </cfRule>
  </conditionalFormatting>
  <conditionalFormatting sqref="Y57:Y183">
    <cfRule type="containsText" dxfId="33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32" priority="62" rank="3"/>
  </conditionalFormatting>
  <conditionalFormatting sqref="F194:F198">
    <cfRule type="top10" dxfId="31" priority="63" bottom="1" rank="3"/>
  </conditionalFormatting>
  <conditionalFormatting sqref="J194:J198">
    <cfRule type="top10" dxfId="30" priority="64" rank="3"/>
  </conditionalFormatting>
  <conditionalFormatting sqref="J194:J198">
    <cfRule type="top10" dxfId="29" priority="65" bottom="1" rank="3"/>
  </conditionalFormatting>
  <conditionalFormatting sqref="N194:N198">
    <cfRule type="top10" dxfId="28" priority="66" rank="3"/>
  </conditionalFormatting>
  <conditionalFormatting sqref="N194:N198">
    <cfRule type="top10" dxfId="27" priority="67" bottom="1" rank="3"/>
  </conditionalFormatting>
  <conditionalFormatting sqref="R194:R198">
    <cfRule type="top10" dxfId="26" priority="68" rank="3"/>
  </conditionalFormatting>
  <conditionalFormatting sqref="R194:R198">
    <cfRule type="top10" dxfId="25" priority="69" bottom="1" rank="3"/>
  </conditionalFormatting>
  <conditionalFormatting sqref="Y194:Y198">
    <cfRule type="containsText" dxfId="24" priority="70" stopIfTrue="1" operator="containsText" text="Above Average">
      <formula>NOT(ISERROR(SEARCH("Above Average",Y194)))</formula>
    </cfRule>
  </conditionalFormatting>
  <conditionalFormatting sqref="Y194:Y198">
    <cfRule type="containsText" dxfId="23" priority="71" stopIfTrue="1" operator="containsText" text="Below Average">
      <formula>NOT(ISERROR(SEARCH("Below Average",Y194)))</formula>
    </cfRule>
  </conditionalFormatting>
  <conditionalFormatting sqref="Y194:Y198">
    <cfRule type="containsText" dxfId="22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21" priority="77" rank="3"/>
  </conditionalFormatting>
  <conditionalFormatting sqref="F209:F213">
    <cfRule type="top10" dxfId="20" priority="78" bottom="1" rank="3"/>
  </conditionalFormatting>
  <conditionalFormatting sqref="J209:J213">
    <cfRule type="top10" dxfId="19" priority="79" rank="3"/>
  </conditionalFormatting>
  <conditionalFormatting sqref="J209:J213">
    <cfRule type="top10" dxfId="18" priority="80" bottom="1" rank="3"/>
  </conditionalFormatting>
  <conditionalFormatting sqref="N209:N213">
    <cfRule type="top10" dxfId="17" priority="81" rank="3"/>
  </conditionalFormatting>
  <conditionalFormatting sqref="N209:N213">
    <cfRule type="top10" dxfId="16" priority="82" bottom="1" rank="3"/>
  </conditionalFormatting>
  <conditionalFormatting sqref="R209:R213">
    <cfRule type="top10" dxfId="15" priority="83" rank="3"/>
  </conditionalFormatting>
  <conditionalFormatting sqref="R209:R213">
    <cfRule type="top10" dxfId="14" priority="84" bottom="1" rank="3"/>
  </conditionalFormatting>
  <conditionalFormatting sqref="Y209:Y213">
    <cfRule type="containsText" dxfId="13" priority="85" stopIfTrue="1" operator="containsText" text="Above Average">
      <formula>NOT(ISERROR(SEARCH("Above Average",Y209)))</formula>
    </cfRule>
  </conditionalFormatting>
  <conditionalFormatting sqref="Y209:Y213">
    <cfRule type="containsText" dxfId="12" priority="86" stopIfTrue="1" operator="containsText" text="Below Average">
      <formula>NOT(ISERROR(SEARCH("Below Average",Y209)))</formula>
    </cfRule>
  </conditionalFormatting>
  <conditionalFormatting sqref="Y209:Y213">
    <cfRule type="containsText" dxfId="11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10" priority="92" rank="3"/>
  </conditionalFormatting>
  <conditionalFormatting sqref="F224:F228">
    <cfRule type="top10" dxfId="9" priority="93" bottom="1" rank="3"/>
  </conditionalFormatting>
  <conditionalFormatting sqref="J224:J228">
    <cfRule type="top10" dxfId="8" priority="94" rank="3"/>
  </conditionalFormatting>
  <conditionalFormatting sqref="J224:J228">
    <cfRule type="top10" dxfId="7" priority="95" bottom="1" rank="3"/>
  </conditionalFormatting>
  <conditionalFormatting sqref="N224:N228">
    <cfRule type="top10" dxfId="6" priority="96" rank="3"/>
  </conditionalFormatting>
  <conditionalFormatting sqref="N224:N228">
    <cfRule type="top10" dxfId="5" priority="97" bottom="1" rank="3"/>
  </conditionalFormatting>
  <conditionalFormatting sqref="R224:R228">
    <cfRule type="top10" dxfId="4" priority="98" rank="3"/>
  </conditionalFormatting>
  <conditionalFormatting sqref="R224:R228">
    <cfRule type="top10" dxfId="3" priority="99" bottom="1" rank="3"/>
  </conditionalFormatting>
  <conditionalFormatting sqref="Y224:Y228">
    <cfRule type="containsText" dxfId="2" priority="100" stopIfTrue="1" operator="containsText" text="Above Average">
      <formula>NOT(ISERROR(SEARCH("Above Average",Y224)))</formula>
    </cfRule>
  </conditionalFormatting>
  <conditionalFormatting sqref="Y224:Y228">
    <cfRule type="containsText" dxfId="1" priority="101" stopIfTrue="1" operator="containsText" text="Below Average">
      <formula>NOT(ISERROR(SEARCH("Below Average",Y224)))</formula>
    </cfRule>
  </conditionalFormatting>
  <conditionalFormatting sqref="Y224:Y228"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B5ED1-E574-4BAA-9F68-E811A5E08A7F}">
  <sheetPr codeName="Sheet6"/>
  <dimension ref="A1:E229"/>
  <sheetViews>
    <sheetView workbookViewId="0">
      <selection activeCell="B1" sqref="B1:E242"/>
    </sheetView>
  </sheetViews>
  <sheetFormatPr defaultRowHeight="14.4" x14ac:dyDescent="0.3"/>
  <cols>
    <col min="1" max="1" width="30.109375" bestFit="1" customWidth="1"/>
    <col min="2" max="2" width="21.6640625" bestFit="1" customWidth="1"/>
    <col min="3" max="5" width="10.77734375" customWidth="1"/>
  </cols>
  <sheetData>
    <row r="1" spans="1:5" ht="18" x14ac:dyDescent="0.35">
      <c r="A1" s="1" t="s">
        <v>181</v>
      </c>
    </row>
    <row r="2" spans="1:5" x14ac:dyDescent="0.3">
      <c r="B2" s="2" t="s">
        <v>178</v>
      </c>
      <c r="C2" s="2"/>
      <c r="D2" s="2"/>
      <c r="E2" s="2"/>
    </row>
    <row r="3" spans="1:5" x14ac:dyDescent="0.3">
      <c r="B3" s="4" t="s">
        <v>144</v>
      </c>
      <c r="C3" s="2" t="s">
        <v>153</v>
      </c>
      <c r="D3" s="2"/>
      <c r="E3" s="2"/>
    </row>
    <row r="4" spans="1:5" x14ac:dyDescent="0.3">
      <c r="B4" s="4"/>
      <c r="C4" s="6" t="s">
        <v>146</v>
      </c>
      <c r="D4" s="7" t="s">
        <v>158</v>
      </c>
      <c r="E4" s="8" t="s">
        <v>141</v>
      </c>
    </row>
    <row r="5" spans="1:5" x14ac:dyDescent="0.3">
      <c r="C5" s="6"/>
      <c r="D5" s="7"/>
      <c r="E5" s="8"/>
    </row>
    <row r="6" spans="1:5" x14ac:dyDescent="0.3">
      <c r="B6" s="14" t="s">
        <v>2</v>
      </c>
      <c r="C6" s="15" t="s">
        <v>142</v>
      </c>
      <c r="D6" s="16" t="s">
        <v>142</v>
      </c>
      <c r="E6" s="17" t="s">
        <v>142</v>
      </c>
    </row>
    <row r="7" spans="1:5" x14ac:dyDescent="0.3">
      <c r="B7" s="14" t="s">
        <v>7</v>
      </c>
      <c r="C7" s="15">
        <v>98</v>
      </c>
      <c r="D7" s="16">
        <v>98</v>
      </c>
      <c r="E7" s="17">
        <v>1</v>
      </c>
    </row>
    <row r="8" spans="1:5" x14ac:dyDescent="0.3">
      <c r="B8" s="14" t="s">
        <v>21</v>
      </c>
      <c r="C8" s="15">
        <v>47</v>
      </c>
      <c r="D8" s="16">
        <v>47</v>
      </c>
      <c r="E8" s="17">
        <v>1</v>
      </c>
    </row>
    <row r="9" spans="1:5" x14ac:dyDescent="0.3">
      <c r="B9" s="14" t="s">
        <v>1</v>
      </c>
      <c r="C9" s="15" t="s">
        <v>142</v>
      </c>
      <c r="D9" s="16" t="s">
        <v>142</v>
      </c>
      <c r="E9" s="17" t="s">
        <v>142</v>
      </c>
    </row>
    <row r="10" spans="1:5" x14ac:dyDescent="0.3">
      <c r="B10" s="14" t="s">
        <v>0</v>
      </c>
      <c r="C10" s="15" t="s">
        <v>142</v>
      </c>
      <c r="D10" s="16" t="s">
        <v>142</v>
      </c>
      <c r="E10" s="17" t="s">
        <v>142</v>
      </c>
    </row>
    <row r="11" spans="1:5" x14ac:dyDescent="0.3">
      <c r="B11" s="12" t="s">
        <v>138</v>
      </c>
      <c r="C11" s="13">
        <v>145</v>
      </c>
      <c r="D11" s="13">
        <v>145</v>
      </c>
      <c r="E11" s="18">
        <v>1</v>
      </c>
    </row>
    <row r="15" spans="1:5" x14ac:dyDescent="0.3">
      <c r="B15" s="2" t="s">
        <v>179</v>
      </c>
      <c r="C15" s="2"/>
      <c r="D15" s="2"/>
      <c r="E15" s="2"/>
    </row>
    <row r="16" spans="1:5" x14ac:dyDescent="0.3">
      <c r="B16" s="4" t="s">
        <v>143</v>
      </c>
      <c r="C16" s="2" t="s">
        <v>153</v>
      </c>
      <c r="D16" s="2"/>
      <c r="E16" s="2"/>
    </row>
    <row r="17" spans="2:5" x14ac:dyDescent="0.3">
      <c r="B17" s="4"/>
      <c r="C17" s="6" t="s">
        <v>146</v>
      </c>
      <c r="D17" s="7" t="s">
        <v>158</v>
      </c>
      <c r="E17" s="8" t="s">
        <v>141</v>
      </c>
    </row>
    <row r="18" spans="2:5" x14ac:dyDescent="0.3">
      <c r="C18" s="6"/>
      <c r="D18" s="7"/>
      <c r="E18" s="8"/>
    </row>
    <row r="19" spans="2:5" x14ac:dyDescent="0.3">
      <c r="B19" s="14" t="s">
        <v>30</v>
      </c>
      <c r="C19" s="15">
        <v>1</v>
      </c>
      <c r="D19" s="16">
        <v>1</v>
      </c>
      <c r="E19" s="17">
        <v>1</v>
      </c>
    </row>
    <row r="20" spans="2:5" x14ac:dyDescent="0.3">
      <c r="B20" s="14" t="s">
        <v>26</v>
      </c>
      <c r="C20" s="15" t="s">
        <v>142</v>
      </c>
      <c r="D20" s="16" t="s">
        <v>142</v>
      </c>
      <c r="E20" s="17" t="s">
        <v>142</v>
      </c>
    </row>
    <row r="21" spans="2:5" x14ac:dyDescent="0.3">
      <c r="B21" s="14" t="s">
        <v>25</v>
      </c>
      <c r="C21" s="15" t="s">
        <v>142</v>
      </c>
      <c r="D21" s="16" t="s">
        <v>142</v>
      </c>
      <c r="E21" s="17" t="s">
        <v>142</v>
      </c>
    </row>
    <row r="22" spans="2:5" x14ac:dyDescent="0.3">
      <c r="B22" s="14" t="s">
        <v>16</v>
      </c>
      <c r="C22" s="15">
        <v>3</v>
      </c>
      <c r="D22" s="16">
        <v>3</v>
      </c>
      <c r="E22" s="17">
        <v>1</v>
      </c>
    </row>
    <row r="23" spans="2:5" x14ac:dyDescent="0.3">
      <c r="B23" s="14" t="s">
        <v>4</v>
      </c>
      <c r="C23" s="15" t="s">
        <v>142</v>
      </c>
      <c r="D23" s="16" t="s">
        <v>142</v>
      </c>
      <c r="E23" s="17" t="s">
        <v>142</v>
      </c>
    </row>
    <row r="24" spans="2:5" x14ac:dyDescent="0.3">
      <c r="B24" s="14" t="s">
        <v>23</v>
      </c>
      <c r="C24" s="15">
        <v>1</v>
      </c>
      <c r="D24" s="16">
        <v>1</v>
      </c>
      <c r="E24" s="17">
        <v>1</v>
      </c>
    </row>
    <row r="25" spans="2:5" x14ac:dyDescent="0.3">
      <c r="B25" s="14" t="s">
        <v>13</v>
      </c>
      <c r="C25" s="15" t="s">
        <v>142</v>
      </c>
      <c r="D25" s="16" t="s">
        <v>142</v>
      </c>
      <c r="E25" s="17" t="s">
        <v>142</v>
      </c>
    </row>
    <row r="26" spans="2:5" x14ac:dyDescent="0.3">
      <c r="B26" s="14" t="s">
        <v>9</v>
      </c>
      <c r="C26" s="15" t="s">
        <v>142</v>
      </c>
      <c r="D26" s="16" t="s">
        <v>142</v>
      </c>
      <c r="E26" s="17" t="s">
        <v>142</v>
      </c>
    </row>
    <row r="27" spans="2:5" x14ac:dyDescent="0.3">
      <c r="B27" s="14" t="s">
        <v>12</v>
      </c>
      <c r="C27" s="15" t="s">
        <v>142</v>
      </c>
      <c r="D27" s="16" t="s">
        <v>142</v>
      </c>
      <c r="E27" s="17" t="s">
        <v>142</v>
      </c>
    </row>
    <row r="28" spans="2:5" x14ac:dyDescent="0.3">
      <c r="B28" s="14" t="s">
        <v>17</v>
      </c>
      <c r="C28" s="15" t="s">
        <v>142</v>
      </c>
      <c r="D28" s="16" t="s">
        <v>142</v>
      </c>
      <c r="E28" s="17" t="s">
        <v>142</v>
      </c>
    </row>
    <row r="29" spans="2:5" x14ac:dyDescent="0.3">
      <c r="B29" s="14" t="s">
        <v>19</v>
      </c>
      <c r="C29" s="15">
        <v>42</v>
      </c>
      <c r="D29" s="16">
        <v>42</v>
      </c>
      <c r="E29" s="17">
        <v>1</v>
      </c>
    </row>
    <row r="30" spans="2:5" x14ac:dyDescent="0.3">
      <c r="B30" s="14" t="s">
        <v>7</v>
      </c>
      <c r="C30" s="15" t="s">
        <v>142</v>
      </c>
      <c r="D30" s="16" t="s">
        <v>142</v>
      </c>
      <c r="E30" s="17" t="s">
        <v>142</v>
      </c>
    </row>
    <row r="31" spans="2:5" x14ac:dyDescent="0.3">
      <c r="B31" s="14" t="s">
        <v>10</v>
      </c>
      <c r="C31" s="15" t="s">
        <v>142</v>
      </c>
      <c r="D31" s="16" t="s">
        <v>142</v>
      </c>
      <c r="E31" s="17" t="s">
        <v>142</v>
      </c>
    </row>
    <row r="32" spans="2:5" x14ac:dyDescent="0.3">
      <c r="B32" s="14" t="s">
        <v>11</v>
      </c>
      <c r="C32" s="15">
        <v>98</v>
      </c>
      <c r="D32" s="16">
        <v>98</v>
      </c>
      <c r="E32" s="17">
        <v>1</v>
      </c>
    </row>
    <row r="33" spans="2:5" x14ac:dyDescent="0.3">
      <c r="B33" s="14" t="s">
        <v>21</v>
      </c>
      <c r="C33" s="15" t="s">
        <v>142</v>
      </c>
      <c r="D33" s="16" t="s">
        <v>142</v>
      </c>
      <c r="E33" s="17" t="s">
        <v>142</v>
      </c>
    </row>
    <row r="34" spans="2:5" x14ac:dyDescent="0.3">
      <c r="B34" s="14" t="s">
        <v>137</v>
      </c>
      <c r="C34" s="15" t="s">
        <v>142</v>
      </c>
      <c r="D34" s="16" t="s">
        <v>142</v>
      </c>
      <c r="E34" s="17" t="s">
        <v>142</v>
      </c>
    </row>
    <row r="35" spans="2:5" x14ac:dyDescent="0.3">
      <c r="B35" s="14" t="s">
        <v>5</v>
      </c>
      <c r="C35" s="15" t="s">
        <v>142</v>
      </c>
      <c r="D35" s="16" t="s">
        <v>142</v>
      </c>
      <c r="E35" s="17" t="s">
        <v>142</v>
      </c>
    </row>
    <row r="36" spans="2:5" x14ac:dyDescent="0.3">
      <c r="B36" s="14" t="s">
        <v>27</v>
      </c>
      <c r="C36" s="15" t="s">
        <v>142</v>
      </c>
      <c r="D36" s="16" t="s">
        <v>142</v>
      </c>
      <c r="E36" s="17" t="s">
        <v>142</v>
      </c>
    </row>
    <row r="37" spans="2:5" x14ac:dyDescent="0.3">
      <c r="B37" s="14" t="s">
        <v>20</v>
      </c>
      <c r="C37" s="15" t="s">
        <v>142</v>
      </c>
      <c r="D37" s="16" t="s">
        <v>142</v>
      </c>
      <c r="E37" s="17" t="s">
        <v>142</v>
      </c>
    </row>
    <row r="38" spans="2:5" x14ac:dyDescent="0.3">
      <c r="B38" s="14" t="s">
        <v>24</v>
      </c>
      <c r="C38" s="15" t="s">
        <v>142</v>
      </c>
      <c r="D38" s="16" t="s">
        <v>142</v>
      </c>
      <c r="E38" s="17" t="s">
        <v>142</v>
      </c>
    </row>
    <row r="39" spans="2:5" x14ac:dyDescent="0.3">
      <c r="B39" s="14" t="s">
        <v>14</v>
      </c>
      <c r="C39" s="15" t="s">
        <v>142</v>
      </c>
      <c r="D39" s="16" t="s">
        <v>142</v>
      </c>
      <c r="E39" s="17" t="s">
        <v>142</v>
      </c>
    </row>
    <row r="40" spans="2:5" x14ac:dyDescent="0.3">
      <c r="B40" s="14" t="s">
        <v>1</v>
      </c>
      <c r="C40" s="15" t="s">
        <v>142</v>
      </c>
      <c r="D40" s="16" t="s">
        <v>142</v>
      </c>
      <c r="E40" s="17" t="s">
        <v>142</v>
      </c>
    </row>
    <row r="41" spans="2:5" x14ac:dyDescent="0.3">
      <c r="B41" s="14" t="s">
        <v>3</v>
      </c>
      <c r="C41" s="15" t="s">
        <v>142</v>
      </c>
      <c r="D41" s="16" t="s">
        <v>142</v>
      </c>
      <c r="E41" s="17" t="s">
        <v>142</v>
      </c>
    </row>
    <row r="42" spans="2:5" x14ac:dyDescent="0.3">
      <c r="B42" s="14" t="s">
        <v>22</v>
      </c>
      <c r="C42" s="15" t="s">
        <v>142</v>
      </c>
      <c r="D42" s="16" t="s">
        <v>142</v>
      </c>
      <c r="E42" s="17" t="s">
        <v>142</v>
      </c>
    </row>
    <row r="43" spans="2:5" x14ac:dyDescent="0.3">
      <c r="B43" s="14" t="s">
        <v>18</v>
      </c>
      <c r="C43" s="15" t="s">
        <v>142</v>
      </c>
      <c r="D43" s="16" t="s">
        <v>142</v>
      </c>
      <c r="E43" s="17" t="s">
        <v>142</v>
      </c>
    </row>
    <row r="44" spans="2:5" x14ac:dyDescent="0.3">
      <c r="B44" s="14" t="s">
        <v>8</v>
      </c>
      <c r="C44" s="15" t="s">
        <v>142</v>
      </c>
      <c r="D44" s="16" t="s">
        <v>142</v>
      </c>
      <c r="E44" s="17" t="s">
        <v>142</v>
      </c>
    </row>
    <row r="45" spans="2:5" x14ac:dyDescent="0.3">
      <c r="B45" s="14" t="s">
        <v>6</v>
      </c>
      <c r="C45" s="15" t="s">
        <v>142</v>
      </c>
      <c r="D45" s="16" t="s">
        <v>142</v>
      </c>
      <c r="E45" s="17" t="s">
        <v>142</v>
      </c>
    </row>
    <row r="46" spans="2:5" x14ac:dyDescent="0.3">
      <c r="B46" s="14" t="s">
        <v>28</v>
      </c>
      <c r="C46" s="15" t="s">
        <v>142</v>
      </c>
      <c r="D46" s="16" t="s">
        <v>142</v>
      </c>
      <c r="E46" s="17" t="s">
        <v>142</v>
      </c>
    </row>
    <row r="47" spans="2:5" x14ac:dyDescent="0.3">
      <c r="B47" s="14" t="s">
        <v>29</v>
      </c>
      <c r="C47" s="15" t="s">
        <v>142</v>
      </c>
      <c r="D47" s="16" t="s">
        <v>142</v>
      </c>
      <c r="E47" s="17" t="s">
        <v>142</v>
      </c>
    </row>
    <row r="48" spans="2:5" x14ac:dyDescent="0.3">
      <c r="B48" s="14" t="s">
        <v>15</v>
      </c>
      <c r="C48" s="15" t="s">
        <v>142</v>
      </c>
      <c r="D48" s="16" t="s">
        <v>142</v>
      </c>
      <c r="E48" s="17" t="s">
        <v>142</v>
      </c>
    </row>
    <row r="49" spans="2:5" x14ac:dyDescent="0.3">
      <c r="B49" s="12" t="s">
        <v>138</v>
      </c>
      <c r="C49" s="13">
        <v>145</v>
      </c>
      <c r="D49" s="13">
        <v>145</v>
      </c>
      <c r="E49" s="18">
        <v>1</v>
      </c>
    </row>
    <row r="53" spans="2:5" x14ac:dyDescent="0.3">
      <c r="B53" s="2" t="s">
        <v>180</v>
      </c>
      <c r="C53" s="2"/>
      <c r="D53" s="2"/>
      <c r="E53" s="2"/>
    </row>
    <row r="54" spans="2:5" x14ac:dyDescent="0.3">
      <c r="B54" s="4" t="s">
        <v>139</v>
      </c>
      <c r="C54" s="2" t="s">
        <v>153</v>
      </c>
      <c r="D54" s="2"/>
      <c r="E54" s="2"/>
    </row>
    <row r="55" spans="2:5" x14ac:dyDescent="0.3">
      <c r="B55" s="4"/>
      <c r="C55" s="6" t="s">
        <v>146</v>
      </c>
      <c r="D55" s="7" t="s">
        <v>158</v>
      </c>
      <c r="E55" s="8" t="s">
        <v>141</v>
      </c>
    </row>
    <row r="56" spans="2:5" x14ac:dyDescent="0.3">
      <c r="C56" s="6"/>
      <c r="D56" s="7"/>
      <c r="E56" s="8"/>
    </row>
    <row r="57" spans="2:5" x14ac:dyDescent="0.3">
      <c r="B57" s="14" t="s">
        <v>116</v>
      </c>
      <c r="C57" s="15" t="s">
        <v>142</v>
      </c>
      <c r="D57" s="16" t="s">
        <v>142</v>
      </c>
      <c r="E57" s="17" t="s">
        <v>142</v>
      </c>
    </row>
    <row r="58" spans="2:5" x14ac:dyDescent="0.3">
      <c r="B58" s="14" t="s">
        <v>51</v>
      </c>
      <c r="C58" s="15" t="s">
        <v>142</v>
      </c>
      <c r="D58" s="16" t="s">
        <v>142</v>
      </c>
      <c r="E58" s="17" t="s">
        <v>142</v>
      </c>
    </row>
    <row r="59" spans="2:5" x14ac:dyDescent="0.3">
      <c r="B59" s="14" t="s">
        <v>132</v>
      </c>
      <c r="C59" s="15" t="s">
        <v>142</v>
      </c>
      <c r="D59" s="16" t="s">
        <v>142</v>
      </c>
      <c r="E59" s="17" t="s">
        <v>142</v>
      </c>
    </row>
    <row r="60" spans="2:5" x14ac:dyDescent="0.3">
      <c r="B60" s="14" t="s">
        <v>111</v>
      </c>
      <c r="C60" s="15" t="s">
        <v>142</v>
      </c>
      <c r="D60" s="16" t="s">
        <v>142</v>
      </c>
      <c r="E60" s="17" t="s">
        <v>142</v>
      </c>
    </row>
    <row r="61" spans="2:5" x14ac:dyDescent="0.3">
      <c r="B61" s="14" t="s">
        <v>37</v>
      </c>
      <c r="C61" s="15" t="s">
        <v>142</v>
      </c>
      <c r="D61" s="16" t="s">
        <v>142</v>
      </c>
      <c r="E61" s="17" t="s">
        <v>142</v>
      </c>
    </row>
    <row r="62" spans="2:5" x14ac:dyDescent="0.3">
      <c r="B62" s="14" t="s">
        <v>109</v>
      </c>
      <c r="C62" s="15" t="s">
        <v>142</v>
      </c>
      <c r="D62" s="16" t="s">
        <v>142</v>
      </c>
      <c r="E62" s="17" t="s">
        <v>142</v>
      </c>
    </row>
    <row r="63" spans="2:5" x14ac:dyDescent="0.3">
      <c r="B63" s="14" t="s">
        <v>107</v>
      </c>
      <c r="C63" s="15" t="s">
        <v>142</v>
      </c>
      <c r="D63" s="16" t="s">
        <v>142</v>
      </c>
      <c r="E63" s="17" t="s">
        <v>142</v>
      </c>
    </row>
    <row r="64" spans="2:5" x14ac:dyDescent="0.3">
      <c r="B64" s="14" t="s">
        <v>101</v>
      </c>
      <c r="C64" s="15" t="s">
        <v>142</v>
      </c>
      <c r="D64" s="16" t="s">
        <v>142</v>
      </c>
      <c r="E64" s="17" t="s">
        <v>142</v>
      </c>
    </row>
    <row r="65" spans="2:5" x14ac:dyDescent="0.3">
      <c r="B65" s="14" t="s">
        <v>26</v>
      </c>
      <c r="C65" s="15" t="s">
        <v>142</v>
      </c>
      <c r="D65" s="16" t="s">
        <v>142</v>
      </c>
      <c r="E65" s="17" t="s">
        <v>142</v>
      </c>
    </row>
    <row r="66" spans="2:5" x14ac:dyDescent="0.3">
      <c r="B66" s="14" t="s">
        <v>36</v>
      </c>
      <c r="C66" s="15" t="s">
        <v>142</v>
      </c>
      <c r="D66" s="16" t="s">
        <v>142</v>
      </c>
      <c r="E66" s="17" t="s">
        <v>142</v>
      </c>
    </row>
    <row r="67" spans="2:5" x14ac:dyDescent="0.3">
      <c r="B67" s="14" t="s">
        <v>54</v>
      </c>
      <c r="C67" s="15" t="s">
        <v>142</v>
      </c>
      <c r="D67" s="16" t="s">
        <v>142</v>
      </c>
      <c r="E67" s="17" t="s">
        <v>142</v>
      </c>
    </row>
    <row r="68" spans="2:5" x14ac:dyDescent="0.3">
      <c r="B68" s="14" t="s">
        <v>70</v>
      </c>
      <c r="C68" s="15" t="s">
        <v>142</v>
      </c>
      <c r="D68" s="16" t="s">
        <v>142</v>
      </c>
      <c r="E68" s="17" t="s">
        <v>142</v>
      </c>
    </row>
    <row r="69" spans="2:5" x14ac:dyDescent="0.3">
      <c r="B69" s="14" t="s">
        <v>119</v>
      </c>
      <c r="C69" s="15" t="s">
        <v>142</v>
      </c>
      <c r="D69" s="16" t="s">
        <v>142</v>
      </c>
      <c r="E69" s="17" t="s">
        <v>142</v>
      </c>
    </row>
    <row r="70" spans="2:5" x14ac:dyDescent="0.3">
      <c r="B70" s="14" t="s">
        <v>73</v>
      </c>
      <c r="C70" s="15" t="s">
        <v>142</v>
      </c>
      <c r="D70" s="16" t="s">
        <v>142</v>
      </c>
      <c r="E70" s="17" t="s">
        <v>142</v>
      </c>
    </row>
    <row r="71" spans="2:5" x14ac:dyDescent="0.3">
      <c r="B71" s="14" t="s">
        <v>60</v>
      </c>
      <c r="C71" s="15" t="s">
        <v>142</v>
      </c>
      <c r="D71" s="16" t="s">
        <v>142</v>
      </c>
      <c r="E71" s="17" t="s">
        <v>142</v>
      </c>
    </row>
    <row r="72" spans="2:5" x14ac:dyDescent="0.3">
      <c r="B72" s="14" t="s">
        <v>12</v>
      </c>
      <c r="C72" s="15" t="s">
        <v>142</v>
      </c>
      <c r="D72" s="16" t="s">
        <v>142</v>
      </c>
      <c r="E72" s="17" t="s">
        <v>142</v>
      </c>
    </row>
    <row r="73" spans="2:5" x14ac:dyDescent="0.3">
      <c r="B73" s="14" t="s">
        <v>16</v>
      </c>
      <c r="C73" s="15">
        <v>3</v>
      </c>
      <c r="D73" s="16">
        <v>3</v>
      </c>
      <c r="E73" s="17">
        <v>1</v>
      </c>
    </row>
    <row r="74" spans="2:5" x14ac:dyDescent="0.3">
      <c r="B74" s="14" t="s">
        <v>4</v>
      </c>
      <c r="C74" s="15" t="s">
        <v>142</v>
      </c>
      <c r="D74" s="16" t="s">
        <v>142</v>
      </c>
      <c r="E74" s="17" t="s">
        <v>142</v>
      </c>
    </row>
    <row r="75" spans="2:5" x14ac:dyDescent="0.3">
      <c r="B75" s="14" t="s">
        <v>48</v>
      </c>
      <c r="C75" s="15" t="s">
        <v>142</v>
      </c>
      <c r="D75" s="16" t="s">
        <v>142</v>
      </c>
      <c r="E75" s="17" t="s">
        <v>142</v>
      </c>
    </row>
    <row r="76" spans="2:5" x14ac:dyDescent="0.3">
      <c r="B76" s="14" t="s">
        <v>19</v>
      </c>
      <c r="C76" s="15" t="s">
        <v>142</v>
      </c>
      <c r="D76" s="16" t="s">
        <v>142</v>
      </c>
      <c r="E76" s="17" t="s">
        <v>142</v>
      </c>
    </row>
    <row r="77" spans="2:5" x14ac:dyDescent="0.3">
      <c r="B77" s="14" t="s">
        <v>23</v>
      </c>
      <c r="C77" s="15" t="s">
        <v>142</v>
      </c>
      <c r="D77" s="16" t="s">
        <v>142</v>
      </c>
      <c r="E77" s="17" t="s">
        <v>142</v>
      </c>
    </row>
    <row r="78" spans="2:5" x14ac:dyDescent="0.3">
      <c r="B78" s="14" t="s">
        <v>49</v>
      </c>
      <c r="C78" s="15" t="s">
        <v>142</v>
      </c>
      <c r="D78" s="16" t="s">
        <v>142</v>
      </c>
      <c r="E78" s="17" t="s">
        <v>142</v>
      </c>
    </row>
    <row r="79" spans="2:5" x14ac:dyDescent="0.3">
      <c r="B79" s="14" t="s">
        <v>68</v>
      </c>
      <c r="C79" s="15" t="s">
        <v>142</v>
      </c>
      <c r="D79" s="16" t="s">
        <v>142</v>
      </c>
      <c r="E79" s="17" t="s">
        <v>142</v>
      </c>
    </row>
    <row r="80" spans="2:5" x14ac:dyDescent="0.3">
      <c r="B80" s="14" t="s">
        <v>75</v>
      </c>
      <c r="C80" s="15" t="s">
        <v>142</v>
      </c>
      <c r="D80" s="16" t="s">
        <v>142</v>
      </c>
      <c r="E80" s="17" t="s">
        <v>142</v>
      </c>
    </row>
    <row r="81" spans="2:5" x14ac:dyDescent="0.3">
      <c r="B81" s="14" t="s">
        <v>108</v>
      </c>
      <c r="C81" s="15" t="s">
        <v>142</v>
      </c>
      <c r="D81" s="16" t="s">
        <v>142</v>
      </c>
      <c r="E81" s="17" t="s">
        <v>142</v>
      </c>
    </row>
    <row r="82" spans="2:5" x14ac:dyDescent="0.3">
      <c r="B82" s="14" t="s">
        <v>131</v>
      </c>
      <c r="C82" s="15" t="s">
        <v>142</v>
      </c>
      <c r="D82" s="16" t="s">
        <v>142</v>
      </c>
      <c r="E82" s="17" t="s">
        <v>142</v>
      </c>
    </row>
    <row r="83" spans="2:5" x14ac:dyDescent="0.3">
      <c r="B83" s="14" t="s">
        <v>104</v>
      </c>
      <c r="C83" s="15" t="s">
        <v>142</v>
      </c>
      <c r="D83" s="16" t="s">
        <v>142</v>
      </c>
      <c r="E83" s="17" t="s">
        <v>142</v>
      </c>
    </row>
    <row r="84" spans="2:5" x14ac:dyDescent="0.3">
      <c r="B84" s="14" t="s">
        <v>124</v>
      </c>
      <c r="C84" s="15">
        <v>8</v>
      </c>
      <c r="D84" s="16">
        <v>8</v>
      </c>
      <c r="E84" s="17">
        <v>1</v>
      </c>
    </row>
    <row r="85" spans="2:5" x14ac:dyDescent="0.3">
      <c r="B85" s="14" t="s">
        <v>86</v>
      </c>
      <c r="C85" s="15">
        <v>42</v>
      </c>
      <c r="D85" s="16">
        <v>42</v>
      </c>
      <c r="E85" s="17">
        <v>1</v>
      </c>
    </row>
    <row r="86" spans="2:5" x14ac:dyDescent="0.3">
      <c r="B86" s="14" t="s">
        <v>93</v>
      </c>
      <c r="C86" s="15" t="s">
        <v>142</v>
      </c>
      <c r="D86" s="16" t="s">
        <v>142</v>
      </c>
      <c r="E86" s="17" t="s">
        <v>142</v>
      </c>
    </row>
    <row r="87" spans="2:5" x14ac:dyDescent="0.3">
      <c r="B87" s="14" t="s">
        <v>82</v>
      </c>
      <c r="C87" s="15" t="s">
        <v>142</v>
      </c>
      <c r="D87" s="16" t="s">
        <v>142</v>
      </c>
      <c r="E87" s="17" t="s">
        <v>142</v>
      </c>
    </row>
    <row r="88" spans="2:5" x14ac:dyDescent="0.3">
      <c r="B88" s="14" t="s">
        <v>84</v>
      </c>
      <c r="C88" s="15" t="s">
        <v>142</v>
      </c>
      <c r="D88" s="16" t="s">
        <v>142</v>
      </c>
      <c r="E88" s="17" t="s">
        <v>142</v>
      </c>
    </row>
    <row r="89" spans="2:5" x14ac:dyDescent="0.3">
      <c r="B89" s="14" t="s">
        <v>62</v>
      </c>
      <c r="C89" s="15" t="s">
        <v>142</v>
      </c>
      <c r="D89" s="16" t="s">
        <v>142</v>
      </c>
      <c r="E89" s="17" t="s">
        <v>142</v>
      </c>
    </row>
    <row r="90" spans="2:5" x14ac:dyDescent="0.3">
      <c r="B90" s="14" t="s">
        <v>9</v>
      </c>
      <c r="C90" s="15" t="s">
        <v>142</v>
      </c>
      <c r="D90" s="16" t="s">
        <v>142</v>
      </c>
      <c r="E90" s="17" t="s">
        <v>142</v>
      </c>
    </row>
    <row r="91" spans="2:5" x14ac:dyDescent="0.3">
      <c r="B91" s="14" t="s">
        <v>24</v>
      </c>
      <c r="C91" s="15" t="s">
        <v>142</v>
      </c>
      <c r="D91" s="16" t="s">
        <v>142</v>
      </c>
      <c r="E91" s="17" t="s">
        <v>142</v>
      </c>
    </row>
    <row r="92" spans="2:5" x14ac:dyDescent="0.3">
      <c r="B92" s="14" t="s">
        <v>88</v>
      </c>
      <c r="C92" s="15" t="s">
        <v>142</v>
      </c>
      <c r="D92" s="16" t="s">
        <v>142</v>
      </c>
      <c r="E92" s="17" t="s">
        <v>142</v>
      </c>
    </row>
    <row r="93" spans="2:5" x14ac:dyDescent="0.3">
      <c r="B93" s="14" t="s">
        <v>42</v>
      </c>
      <c r="C93" s="15" t="s">
        <v>142</v>
      </c>
      <c r="D93" s="16" t="s">
        <v>142</v>
      </c>
      <c r="E93" s="17" t="s">
        <v>142</v>
      </c>
    </row>
    <row r="94" spans="2:5" x14ac:dyDescent="0.3">
      <c r="B94" s="14" t="s">
        <v>125</v>
      </c>
      <c r="C94" s="15" t="s">
        <v>142</v>
      </c>
      <c r="D94" s="16" t="s">
        <v>142</v>
      </c>
      <c r="E94" s="17" t="s">
        <v>142</v>
      </c>
    </row>
    <row r="95" spans="2:5" x14ac:dyDescent="0.3">
      <c r="B95" s="14" t="s">
        <v>134</v>
      </c>
      <c r="C95" s="15">
        <v>1</v>
      </c>
      <c r="D95" s="16">
        <v>1</v>
      </c>
      <c r="E95" s="17">
        <v>1</v>
      </c>
    </row>
    <row r="96" spans="2:5" x14ac:dyDescent="0.3">
      <c r="B96" s="14" t="s">
        <v>20</v>
      </c>
      <c r="C96" s="15" t="s">
        <v>142</v>
      </c>
      <c r="D96" s="16" t="s">
        <v>142</v>
      </c>
      <c r="E96" s="17" t="s">
        <v>142</v>
      </c>
    </row>
    <row r="97" spans="2:5" x14ac:dyDescent="0.3">
      <c r="B97" s="14" t="s">
        <v>80</v>
      </c>
      <c r="C97" s="15" t="s">
        <v>142</v>
      </c>
      <c r="D97" s="16" t="s">
        <v>142</v>
      </c>
      <c r="E97" s="17" t="s">
        <v>142</v>
      </c>
    </row>
    <row r="98" spans="2:5" x14ac:dyDescent="0.3">
      <c r="B98" s="14" t="s">
        <v>55</v>
      </c>
      <c r="C98" s="15" t="s">
        <v>142</v>
      </c>
      <c r="D98" s="16" t="s">
        <v>142</v>
      </c>
      <c r="E98" s="17" t="s">
        <v>142</v>
      </c>
    </row>
    <row r="99" spans="2:5" x14ac:dyDescent="0.3">
      <c r="B99" s="14" t="s">
        <v>112</v>
      </c>
      <c r="C99" s="15" t="s">
        <v>142</v>
      </c>
      <c r="D99" s="16" t="s">
        <v>142</v>
      </c>
      <c r="E99" s="17" t="s">
        <v>142</v>
      </c>
    </row>
    <row r="100" spans="2:5" x14ac:dyDescent="0.3">
      <c r="B100" s="14" t="s">
        <v>91</v>
      </c>
      <c r="C100" s="15" t="s">
        <v>142</v>
      </c>
      <c r="D100" s="16" t="s">
        <v>142</v>
      </c>
      <c r="E100" s="17" t="s">
        <v>142</v>
      </c>
    </row>
    <row r="101" spans="2:5" x14ac:dyDescent="0.3">
      <c r="B101" s="14" t="s">
        <v>121</v>
      </c>
      <c r="C101" s="15" t="s">
        <v>142</v>
      </c>
      <c r="D101" s="16" t="s">
        <v>142</v>
      </c>
      <c r="E101" s="17" t="s">
        <v>142</v>
      </c>
    </row>
    <row r="102" spans="2:5" x14ac:dyDescent="0.3">
      <c r="B102" s="14" t="s">
        <v>30</v>
      </c>
      <c r="C102" s="15" t="s">
        <v>142</v>
      </c>
      <c r="D102" s="16" t="s">
        <v>142</v>
      </c>
      <c r="E102" s="17" t="s">
        <v>142</v>
      </c>
    </row>
    <row r="103" spans="2:5" x14ac:dyDescent="0.3">
      <c r="B103" s="14" t="s">
        <v>135</v>
      </c>
      <c r="C103" s="15" t="s">
        <v>142</v>
      </c>
      <c r="D103" s="16" t="s">
        <v>142</v>
      </c>
      <c r="E103" s="17" t="s">
        <v>142</v>
      </c>
    </row>
    <row r="104" spans="2:5" x14ac:dyDescent="0.3">
      <c r="B104" s="14" t="s">
        <v>39</v>
      </c>
      <c r="C104" s="15" t="s">
        <v>142</v>
      </c>
      <c r="D104" s="16" t="s">
        <v>142</v>
      </c>
      <c r="E104" s="17" t="s">
        <v>142</v>
      </c>
    </row>
    <row r="105" spans="2:5" x14ac:dyDescent="0.3">
      <c r="B105" s="14" t="s">
        <v>41</v>
      </c>
      <c r="C105" s="15" t="s">
        <v>142</v>
      </c>
      <c r="D105" s="16" t="s">
        <v>142</v>
      </c>
      <c r="E105" s="17" t="s">
        <v>142</v>
      </c>
    </row>
    <row r="106" spans="2:5" x14ac:dyDescent="0.3">
      <c r="B106" s="14" t="s">
        <v>97</v>
      </c>
      <c r="C106" s="15" t="s">
        <v>142</v>
      </c>
      <c r="D106" s="16" t="s">
        <v>142</v>
      </c>
      <c r="E106" s="17" t="s">
        <v>142</v>
      </c>
    </row>
    <row r="107" spans="2:5" x14ac:dyDescent="0.3">
      <c r="B107" s="14" t="s">
        <v>128</v>
      </c>
      <c r="C107" s="15" t="s">
        <v>142</v>
      </c>
      <c r="D107" s="16" t="s">
        <v>142</v>
      </c>
      <c r="E107" s="17" t="s">
        <v>142</v>
      </c>
    </row>
    <row r="108" spans="2:5" x14ac:dyDescent="0.3">
      <c r="B108" s="14" t="s">
        <v>21</v>
      </c>
      <c r="C108" s="15" t="s">
        <v>142</v>
      </c>
      <c r="D108" s="16" t="s">
        <v>142</v>
      </c>
      <c r="E108" s="17" t="s">
        <v>142</v>
      </c>
    </row>
    <row r="109" spans="2:5" x14ac:dyDescent="0.3">
      <c r="B109" s="14" t="s">
        <v>129</v>
      </c>
      <c r="C109" s="15" t="s">
        <v>142</v>
      </c>
      <c r="D109" s="16" t="s">
        <v>142</v>
      </c>
      <c r="E109" s="17" t="s">
        <v>142</v>
      </c>
    </row>
    <row r="110" spans="2:5" x14ac:dyDescent="0.3">
      <c r="B110" s="14" t="s">
        <v>35</v>
      </c>
      <c r="C110" s="15" t="s">
        <v>142</v>
      </c>
      <c r="D110" s="16" t="s">
        <v>142</v>
      </c>
      <c r="E110" s="17" t="s">
        <v>142</v>
      </c>
    </row>
    <row r="111" spans="2:5" x14ac:dyDescent="0.3">
      <c r="B111" s="14" t="s">
        <v>102</v>
      </c>
      <c r="C111" s="15">
        <v>1</v>
      </c>
      <c r="D111" s="16">
        <v>1</v>
      </c>
      <c r="E111" s="17">
        <v>1</v>
      </c>
    </row>
    <row r="112" spans="2:5" x14ac:dyDescent="0.3">
      <c r="B112" s="14" t="s">
        <v>32</v>
      </c>
      <c r="C112" s="15" t="s">
        <v>142</v>
      </c>
      <c r="D112" s="16" t="s">
        <v>142</v>
      </c>
      <c r="E112" s="17" t="s">
        <v>142</v>
      </c>
    </row>
    <row r="113" spans="2:5" x14ac:dyDescent="0.3">
      <c r="B113" s="14" t="s">
        <v>63</v>
      </c>
      <c r="C113" s="15" t="s">
        <v>142</v>
      </c>
      <c r="D113" s="16" t="s">
        <v>142</v>
      </c>
      <c r="E113" s="17" t="s">
        <v>142</v>
      </c>
    </row>
    <row r="114" spans="2:5" x14ac:dyDescent="0.3">
      <c r="B114" s="14" t="s">
        <v>122</v>
      </c>
      <c r="C114" s="15" t="s">
        <v>142</v>
      </c>
      <c r="D114" s="16" t="s">
        <v>142</v>
      </c>
      <c r="E114" s="17" t="s">
        <v>142</v>
      </c>
    </row>
    <row r="115" spans="2:5" x14ac:dyDescent="0.3">
      <c r="B115" s="14" t="s">
        <v>110</v>
      </c>
      <c r="C115" s="15" t="s">
        <v>142</v>
      </c>
      <c r="D115" s="16" t="s">
        <v>142</v>
      </c>
      <c r="E115" s="17" t="s">
        <v>142</v>
      </c>
    </row>
    <row r="116" spans="2:5" x14ac:dyDescent="0.3">
      <c r="B116" s="14" t="s">
        <v>25</v>
      </c>
      <c r="C116" s="15" t="s">
        <v>142</v>
      </c>
      <c r="D116" s="16" t="s">
        <v>142</v>
      </c>
      <c r="E116" s="17" t="s">
        <v>142</v>
      </c>
    </row>
    <row r="117" spans="2:5" x14ac:dyDescent="0.3">
      <c r="B117" s="14" t="s">
        <v>127</v>
      </c>
      <c r="C117" s="15" t="s">
        <v>142</v>
      </c>
      <c r="D117" s="16" t="s">
        <v>142</v>
      </c>
      <c r="E117" s="17" t="s">
        <v>142</v>
      </c>
    </row>
    <row r="118" spans="2:5" x14ac:dyDescent="0.3">
      <c r="B118" s="14" t="s">
        <v>120</v>
      </c>
      <c r="C118" s="15" t="s">
        <v>142</v>
      </c>
      <c r="D118" s="16" t="s">
        <v>142</v>
      </c>
      <c r="E118" s="17" t="s">
        <v>142</v>
      </c>
    </row>
    <row r="119" spans="2:5" x14ac:dyDescent="0.3">
      <c r="B119" s="14" t="s">
        <v>45</v>
      </c>
      <c r="C119" s="15" t="s">
        <v>142</v>
      </c>
      <c r="D119" s="16" t="s">
        <v>142</v>
      </c>
      <c r="E119" s="17" t="s">
        <v>142</v>
      </c>
    </row>
    <row r="120" spans="2:5" x14ac:dyDescent="0.3">
      <c r="B120" s="14" t="s">
        <v>96</v>
      </c>
      <c r="C120" s="15" t="s">
        <v>142</v>
      </c>
      <c r="D120" s="16" t="s">
        <v>142</v>
      </c>
      <c r="E120" s="17" t="s">
        <v>142</v>
      </c>
    </row>
    <row r="121" spans="2:5" x14ac:dyDescent="0.3">
      <c r="B121" s="14" t="s">
        <v>13</v>
      </c>
      <c r="C121" s="15" t="s">
        <v>142</v>
      </c>
      <c r="D121" s="16" t="s">
        <v>142</v>
      </c>
      <c r="E121" s="17" t="s">
        <v>142</v>
      </c>
    </row>
    <row r="122" spans="2:5" x14ac:dyDescent="0.3">
      <c r="B122" s="14" t="s">
        <v>99</v>
      </c>
      <c r="C122" s="15" t="s">
        <v>142</v>
      </c>
      <c r="D122" s="16" t="s">
        <v>142</v>
      </c>
      <c r="E122" s="17" t="s">
        <v>142</v>
      </c>
    </row>
    <row r="123" spans="2:5" x14ac:dyDescent="0.3">
      <c r="B123" s="14" t="s">
        <v>38</v>
      </c>
      <c r="C123" s="15" t="s">
        <v>142</v>
      </c>
      <c r="D123" s="16" t="s">
        <v>142</v>
      </c>
      <c r="E123" s="17" t="s">
        <v>142</v>
      </c>
    </row>
    <row r="124" spans="2:5" x14ac:dyDescent="0.3">
      <c r="B124" s="14" t="s">
        <v>77</v>
      </c>
      <c r="C124" s="15" t="s">
        <v>142</v>
      </c>
      <c r="D124" s="16" t="s">
        <v>142</v>
      </c>
      <c r="E124" s="17" t="s">
        <v>142</v>
      </c>
    </row>
    <row r="125" spans="2:5" x14ac:dyDescent="0.3">
      <c r="B125" s="14" t="s">
        <v>92</v>
      </c>
      <c r="C125" s="15" t="s">
        <v>142</v>
      </c>
      <c r="D125" s="16" t="s">
        <v>142</v>
      </c>
      <c r="E125" s="17" t="s">
        <v>142</v>
      </c>
    </row>
    <row r="126" spans="2:5" x14ac:dyDescent="0.3">
      <c r="B126" s="14" t="s">
        <v>76</v>
      </c>
      <c r="C126" s="15" t="s">
        <v>142</v>
      </c>
      <c r="D126" s="16" t="s">
        <v>142</v>
      </c>
      <c r="E126" s="17" t="s">
        <v>142</v>
      </c>
    </row>
    <row r="127" spans="2:5" x14ac:dyDescent="0.3">
      <c r="B127" s="14" t="s">
        <v>22</v>
      </c>
      <c r="C127" s="15" t="s">
        <v>142</v>
      </c>
      <c r="D127" s="16" t="s">
        <v>142</v>
      </c>
      <c r="E127" s="17" t="s">
        <v>142</v>
      </c>
    </row>
    <row r="128" spans="2:5" x14ac:dyDescent="0.3">
      <c r="B128" s="14" t="s">
        <v>71</v>
      </c>
      <c r="C128" s="15" t="s">
        <v>142</v>
      </c>
      <c r="D128" s="16" t="s">
        <v>142</v>
      </c>
      <c r="E128" s="17" t="s">
        <v>142</v>
      </c>
    </row>
    <row r="129" spans="2:5" x14ac:dyDescent="0.3">
      <c r="B129" s="14" t="s">
        <v>123</v>
      </c>
      <c r="C129" s="15" t="s">
        <v>142</v>
      </c>
      <c r="D129" s="16" t="s">
        <v>142</v>
      </c>
      <c r="E129" s="17" t="s">
        <v>142</v>
      </c>
    </row>
    <row r="130" spans="2:5" x14ac:dyDescent="0.3">
      <c r="B130" s="14" t="s">
        <v>31</v>
      </c>
      <c r="C130" s="15" t="s">
        <v>142</v>
      </c>
      <c r="D130" s="16" t="s">
        <v>142</v>
      </c>
      <c r="E130" s="17" t="s">
        <v>142</v>
      </c>
    </row>
    <row r="131" spans="2:5" x14ac:dyDescent="0.3">
      <c r="B131" s="14" t="s">
        <v>100</v>
      </c>
      <c r="C131" s="15" t="s">
        <v>142</v>
      </c>
      <c r="D131" s="16" t="s">
        <v>142</v>
      </c>
      <c r="E131" s="17" t="s">
        <v>142</v>
      </c>
    </row>
    <row r="132" spans="2:5" x14ac:dyDescent="0.3">
      <c r="B132" s="14" t="s">
        <v>46</v>
      </c>
      <c r="C132" s="15" t="s">
        <v>142</v>
      </c>
      <c r="D132" s="16" t="s">
        <v>142</v>
      </c>
      <c r="E132" s="17" t="s">
        <v>142</v>
      </c>
    </row>
    <row r="133" spans="2:5" x14ac:dyDescent="0.3">
      <c r="B133" s="14" t="s">
        <v>72</v>
      </c>
      <c r="C133" s="15" t="s">
        <v>142</v>
      </c>
      <c r="D133" s="16" t="s">
        <v>142</v>
      </c>
      <c r="E133" s="17" t="s">
        <v>142</v>
      </c>
    </row>
    <row r="134" spans="2:5" x14ac:dyDescent="0.3">
      <c r="B134" s="14" t="s">
        <v>103</v>
      </c>
      <c r="C134" s="15" t="s">
        <v>142</v>
      </c>
      <c r="D134" s="16" t="s">
        <v>142</v>
      </c>
      <c r="E134" s="17" t="s">
        <v>142</v>
      </c>
    </row>
    <row r="135" spans="2:5" x14ac:dyDescent="0.3">
      <c r="B135" s="14" t="s">
        <v>34</v>
      </c>
      <c r="C135" s="15" t="s">
        <v>142</v>
      </c>
      <c r="D135" s="16" t="s">
        <v>142</v>
      </c>
      <c r="E135" s="17" t="s">
        <v>142</v>
      </c>
    </row>
    <row r="136" spans="2:5" x14ac:dyDescent="0.3">
      <c r="B136" s="14" t="s">
        <v>5</v>
      </c>
      <c r="C136" s="15" t="s">
        <v>142</v>
      </c>
      <c r="D136" s="16" t="s">
        <v>142</v>
      </c>
      <c r="E136" s="17" t="s">
        <v>142</v>
      </c>
    </row>
    <row r="137" spans="2:5" x14ac:dyDescent="0.3">
      <c r="B137" s="14" t="s">
        <v>69</v>
      </c>
      <c r="C137" s="15" t="s">
        <v>142</v>
      </c>
      <c r="D137" s="16" t="s">
        <v>142</v>
      </c>
      <c r="E137" s="17" t="s">
        <v>142</v>
      </c>
    </row>
    <row r="138" spans="2:5" x14ac:dyDescent="0.3">
      <c r="B138" s="14" t="s">
        <v>64</v>
      </c>
      <c r="C138" s="15" t="s">
        <v>142</v>
      </c>
      <c r="D138" s="16" t="s">
        <v>142</v>
      </c>
      <c r="E138" s="17" t="s">
        <v>142</v>
      </c>
    </row>
    <row r="139" spans="2:5" x14ac:dyDescent="0.3">
      <c r="B139" s="14" t="s">
        <v>59</v>
      </c>
      <c r="C139" s="15">
        <v>72</v>
      </c>
      <c r="D139" s="16">
        <v>72</v>
      </c>
      <c r="E139" s="17">
        <v>1</v>
      </c>
    </row>
    <row r="140" spans="2:5" x14ac:dyDescent="0.3">
      <c r="B140" s="14" t="s">
        <v>130</v>
      </c>
      <c r="C140" s="15" t="s">
        <v>142</v>
      </c>
      <c r="D140" s="16" t="s">
        <v>142</v>
      </c>
      <c r="E140" s="17" t="s">
        <v>142</v>
      </c>
    </row>
    <row r="141" spans="2:5" x14ac:dyDescent="0.3">
      <c r="B141" s="14" t="s">
        <v>105</v>
      </c>
      <c r="C141" s="15" t="s">
        <v>142</v>
      </c>
      <c r="D141" s="16" t="s">
        <v>142</v>
      </c>
      <c r="E141" s="17" t="s">
        <v>142</v>
      </c>
    </row>
    <row r="142" spans="2:5" x14ac:dyDescent="0.3">
      <c r="B142" s="14" t="s">
        <v>87</v>
      </c>
      <c r="C142" s="15" t="s">
        <v>142</v>
      </c>
      <c r="D142" s="16" t="s">
        <v>142</v>
      </c>
      <c r="E142" s="17" t="s">
        <v>142</v>
      </c>
    </row>
    <row r="143" spans="2:5" x14ac:dyDescent="0.3">
      <c r="B143" s="14" t="s">
        <v>53</v>
      </c>
      <c r="C143" s="15" t="s">
        <v>142</v>
      </c>
      <c r="D143" s="16" t="s">
        <v>142</v>
      </c>
      <c r="E143" s="17" t="s">
        <v>142</v>
      </c>
    </row>
    <row r="144" spans="2:5" x14ac:dyDescent="0.3">
      <c r="B144" s="14" t="s">
        <v>67</v>
      </c>
      <c r="C144" s="15" t="s">
        <v>142</v>
      </c>
      <c r="D144" s="16" t="s">
        <v>142</v>
      </c>
      <c r="E144" s="17" t="s">
        <v>142</v>
      </c>
    </row>
    <row r="145" spans="2:5" x14ac:dyDescent="0.3">
      <c r="B145" s="14" t="s">
        <v>98</v>
      </c>
      <c r="C145" s="15" t="s">
        <v>142</v>
      </c>
      <c r="D145" s="16" t="s">
        <v>142</v>
      </c>
      <c r="E145" s="17" t="s">
        <v>142</v>
      </c>
    </row>
    <row r="146" spans="2:5" x14ac:dyDescent="0.3">
      <c r="B146" s="14" t="s">
        <v>44</v>
      </c>
      <c r="C146" s="15" t="s">
        <v>142</v>
      </c>
      <c r="D146" s="16" t="s">
        <v>142</v>
      </c>
      <c r="E146" s="17" t="s">
        <v>142</v>
      </c>
    </row>
    <row r="147" spans="2:5" x14ac:dyDescent="0.3">
      <c r="B147" s="14" t="s">
        <v>56</v>
      </c>
      <c r="C147" s="15">
        <v>18</v>
      </c>
      <c r="D147" s="16">
        <v>18</v>
      </c>
      <c r="E147" s="17">
        <v>1</v>
      </c>
    </row>
    <row r="148" spans="2:5" x14ac:dyDescent="0.3">
      <c r="B148" s="14" t="s">
        <v>66</v>
      </c>
      <c r="C148" s="15" t="s">
        <v>142</v>
      </c>
      <c r="D148" s="16" t="s">
        <v>142</v>
      </c>
      <c r="E148" s="17" t="s">
        <v>142</v>
      </c>
    </row>
    <row r="149" spans="2:5" x14ac:dyDescent="0.3">
      <c r="B149" s="14" t="s">
        <v>10</v>
      </c>
      <c r="C149" s="15" t="s">
        <v>142</v>
      </c>
      <c r="D149" s="16" t="s">
        <v>142</v>
      </c>
      <c r="E149" s="17" t="s">
        <v>142</v>
      </c>
    </row>
    <row r="150" spans="2:5" x14ac:dyDescent="0.3">
      <c r="B150" s="14" t="s">
        <v>114</v>
      </c>
      <c r="C150" s="15" t="s">
        <v>142</v>
      </c>
      <c r="D150" s="16" t="s">
        <v>142</v>
      </c>
      <c r="E150" s="17" t="s">
        <v>142</v>
      </c>
    </row>
    <row r="151" spans="2:5" x14ac:dyDescent="0.3">
      <c r="B151" s="14" t="s">
        <v>52</v>
      </c>
      <c r="C151" s="15" t="s">
        <v>142</v>
      </c>
      <c r="D151" s="16" t="s">
        <v>142</v>
      </c>
      <c r="E151" s="17" t="s">
        <v>142</v>
      </c>
    </row>
    <row r="152" spans="2:5" x14ac:dyDescent="0.3">
      <c r="B152" s="14" t="s">
        <v>58</v>
      </c>
      <c r="C152" s="15" t="s">
        <v>142</v>
      </c>
      <c r="D152" s="16" t="s">
        <v>142</v>
      </c>
      <c r="E152" s="17" t="s">
        <v>142</v>
      </c>
    </row>
    <row r="153" spans="2:5" x14ac:dyDescent="0.3">
      <c r="B153" s="14" t="s">
        <v>113</v>
      </c>
      <c r="C153" s="15" t="s">
        <v>142</v>
      </c>
      <c r="D153" s="16" t="s">
        <v>142</v>
      </c>
      <c r="E153" s="17" t="s">
        <v>142</v>
      </c>
    </row>
    <row r="154" spans="2:5" x14ac:dyDescent="0.3">
      <c r="B154" s="14" t="s">
        <v>126</v>
      </c>
      <c r="C154" s="15" t="s">
        <v>142</v>
      </c>
      <c r="D154" s="16" t="s">
        <v>142</v>
      </c>
      <c r="E154" s="17" t="s">
        <v>142</v>
      </c>
    </row>
    <row r="155" spans="2:5" x14ac:dyDescent="0.3">
      <c r="B155" s="14" t="s">
        <v>14</v>
      </c>
      <c r="C155" s="15" t="s">
        <v>142</v>
      </c>
      <c r="D155" s="16" t="s">
        <v>142</v>
      </c>
      <c r="E155" s="17" t="s">
        <v>142</v>
      </c>
    </row>
    <row r="156" spans="2:5" x14ac:dyDescent="0.3">
      <c r="B156" s="14" t="s">
        <v>40</v>
      </c>
      <c r="C156" s="15" t="s">
        <v>142</v>
      </c>
      <c r="D156" s="16" t="s">
        <v>142</v>
      </c>
      <c r="E156" s="17" t="s">
        <v>142</v>
      </c>
    </row>
    <row r="157" spans="2:5" x14ac:dyDescent="0.3">
      <c r="B157" s="14" t="s">
        <v>57</v>
      </c>
      <c r="C157" s="15" t="s">
        <v>142</v>
      </c>
      <c r="D157" s="16" t="s">
        <v>142</v>
      </c>
      <c r="E157" s="17" t="s">
        <v>142</v>
      </c>
    </row>
    <row r="158" spans="2:5" x14ac:dyDescent="0.3">
      <c r="B158" s="14" t="s">
        <v>50</v>
      </c>
      <c r="C158" s="15" t="s">
        <v>142</v>
      </c>
      <c r="D158" s="16" t="s">
        <v>142</v>
      </c>
      <c r="E158" s="17" t="s">
        <v>142</v>
      </c>
    </row>
    <row r="159" spans="2:5" x14ac:dyDescent="0.3">
      <c r="B159" s="14" t="s">
        <v>89</v>
      </c>
      <c r="C159" s="15" t="s">
        <v>142</v>
      </c>
      <c r="D159" s="16" t="s">
        <v>142</v>
      </c>
      <c r="E159" s="17" t="s">
        <v>142</v>
      </c>
    </row>
    <row r="160" spans="2:5" x14ac:dyDescent="0.3">
      <c r="B160" s="14" t="s">
        <v>43</v>
      </c>
      <c r="C160" s="15" t="s">
        <v>142</v>
      </c>
      <c r="D160" s="16" t="s">
        <v>142</v>
      </c>
      <c r="E160" s="17" t="s">
        <v>142</v>
      </c>
    </row>
    <row r="161" spans="2:5" x14ac:dyDescent="0.3">
      <c r="B161" s="14" t="s">
        <v>33</v>
      </c>
      <c r="C161" s="15" t="s">
        <v>142</v>
      </c>
      <c r="D161" s="16" t="s">
        <v>142</v>
      </c>
      <c r="E161" s="17" t="s">
        <v>142</v>
      </c>
    </row>
    <row r="162" spans="2:5" x14ac:dyDescent="0.3">
      <c r="B162" s="14" t="s">
        <v>74</v>
      </c>
      <c r="C162" s="15" t="s">
        <v>142</v>
      </c>
      <c r="D162" s="16" t="s">
        <v>142</v>
      </c>
      <c r="E162" s="17" t="s">
        <v>142</v>
      </c>
    </row>
    <row r="163" spans="2:5" x14ac:dyDescent="0.3">
      <c r="B163" s="14" t="s">
        <v>28</v>
      </c>
      <c r="C163" s="15" t="s">
        <v>142</v>
      </c>
      <c r="D163" s="16" t="s">
        <v>142</v>
      </c>
      <c r="E163" s="17" t="s">
        <v>142</v>
      </c>
    </row>
    <row r="164" spans="2:5" x14ac:dyDescent="0.3">
      <c r="B164" s="14" t="s">
        <v>83</v>
      </c>
      <c r="C164" s="15" t="s">
        <v>142</v>
      </c>
      <c r="D164" s="16" t="s">
        <v>142</v>
      </c>
      <c r="E164" s="17" t="s">
        <v>142</v>
      </c>
    </row>
    <row r="165" spans="2:5" x14ac:dyDescent="0.3">
      <c r="B165" s="14" t="s">
        <v>81</v>
      </c>
      <c r="C165" s="15" t="s">
        <v>142</v>
      </c>
      <c r="D165" s="16" t="s">
        <v>142</v>
      </c>
      <c r="E165" s="17" t="s">
        <v>142</v>
      </c>
    </row>
    <row r="166" spans="2:5" x14ac:dyDescent="0.3">
      <c r="B166" s="14" t="s">
        <v>78</v>
      </c>
      <c r="C166" s="15" t="s">
        <v>142</v>
      </c>
      <c r="D166" s="16" t="s">
        <v>142</v>
      </c>
      <c r="E166" s="17" t="s">
        <v>142</v>
      </c>
    </row>
    <row r="167" spans="2:5" x14ac:dyDescent="0.3">
      <c r="B167" s="14" t="s">
        <v>1</v>
      </c>
      <c r="C167" s="15" t="s">
        <v>142</v>
      </c>
      <c r="D167" s="16" t="s">
        <v>142</v>
      </c>
      <c r="E167" s="17" t="s">
        <v>142</v>
      </c>
    </row>
    <row r="168" spans="2:5" x14ac:dyDescent="0.3">
      <c r="B168" s="14" t="s">
        <v>85</v>
      </c>
      <c r="C168" s="15" t="s">
        <v>142</v>
      </c>
      <c r="D168" s="16" t="s">
        <v>142</v>
      </c>
      <c r="E168" s="17" t="s">
        <v>142</v>
      </c>
    </row>
    <row r="169" spans="2:5" x14ac:dyDescent="0.3">
      <c r="B169" s="14" t="s">
        <v>47</v>
      </c>
      <c r="C169" s="15" t="s">
        <v>142</v>
      </c>
      <c r="D169" s="16" t="s">
        <v>142</v>
      </c>
      <c r="E169" s="17" t="s">
        <v>142</v>
      </c>
    </row>
    <row r="170" spans="2:5" x14ac:dyDescent="0.3">
      <c r="B170" s="14" t="s">
        <v>79</v>
      </c>
      <c r="C170" s="15" t="s">
        <v>142</v>
      </c>
      <c r="D170" s="16" t="s">
        <v>142</v>
      </c>
      <c r="E170" s="17" t="s">
        <v>142</v>
      </c>
    </row>
    <row r="171" spans="2:5" x14ac:dyDescent="0.3">
      <c r="B171" s="14" t="s">
        <v>90</v>
      </c>
      <c r="C171" s="15" t="s">
        <v>142</v>
      </c>
      <c r="D171" s="16" t="s">
        <v>142</v>
      </c>
      <c r="E171" s="17" t="s">
        <v>142</v>
      </c>
    </row>
    <row r="172" spans="2:5" x14ac:dyDescent="0.3">
      <c r="B172" s="14" t="s">
        <v>65</v>
      </c>
      <c r="C172" s="15" t="s">
        <v>142</v>
      </c>
      <c r="D172" s="16" t="s">
        <v>142</v>
      </c>
      <c r="E172" s="17" t="s">
        <v>142</v>
      </c>
    </row>
    <row r="173" spans="2:5" x14ac:dyDescent="0.3">
      <c r="B173" s="14" t="s">
        <v>106</v>
      </c>
      <c r="C173" s="15" t="s">
        <v>142</v>
      </c>
      <c r="D173" s="16" t="s">
        <v>142</v>
      </c>
      <c r="E173" s="17" t="s">
        <v>142</v>
      </c>
    </row>
    <row r="174" spans="2:5" x14ac:dyDescent="0.3">
      <c r="B174" s="14" t="s">
        <v>133</v>
      </c>
      <c r="C174" s="15" t="s">
        <v>142</v>
      </c>
      <c r="D174" s="16" t="s">
        <v>142</v>
      </c>
      <c r="E174" s="17" t="s">
        <v>142</v>
      </c>
    </row>
    <row r="175" spans="2:5" x14ac:dyDescent="0.3">
      <c r="B175" s="14" t="s">
        <v>95</v>
      </c>
      <c r="C175" s="15" t="s">
        <v>142</v>
      </c>
      <c r="D175" s="16" t="s">
        <v>142</v>
      </c>
      <c r="E175" s="17" t="s">
        <v>142</v>
      </c>
    </row>
    <row r="176" spans="2:5" x14ac:dyDescent="0.3">
      <c r="B176" s="14" t="s">
        <v>61</v>
      </c>
      <c r="C176" s="15" t="s">
        <v>142</v>
      </c>
      <c r="D176" s="16" t="s">
        <v>142</v>
      </c>
      <c r="E176" s="17" t="s">
        <v>142</v>
      </c>
    </row>
    <row r="177" spans="2:5" x14ac:dyDescent="0.3">
      <c r="B177" s="14" t="s">
        <v>94</v>
      </c>
      <c r="C177" s="15" t="s">
        <v>142</v>
      </c>
      <c r="D177" s="16" t="s">
        <v>142</v>
      </c>
      <c r="E177" s="17" t="s">
        <v>142</v>
      </c>
    </row>
    <row r="178" spans="2:5" x14ac:dyDescent="0.3">
      <c r="B178" s="14" t="s">
        <v>8</v>
      </c>
      <c r="C178" s="15" t="s">
        <v>142</v>
      </c>
      <c r="D178" s="16" t="s">
        <v>142</v>
      </c>
      <c r="E178" s="17" t="s">
        <v>142</v>
      </c>
    </row>
    <row r="179" spans="2:5" x14ac:dyDescent="0.3">
      <c r="B179" s="14" t="s">
        <v>117</v>
      </c>
      <c r="C179" s="15" t="s">
        <v>142</v>
      </c>
      <c r="D179" s="16" t="s">
        <v>142</v>
      </c>
      <c r="E179" s="17" t="s">
        <v>142</v>
      </c>
    </row>
    <row r="180" spans="2:5" x14ac:dyDescent="0.3">
      <c r="B180" s="14" t="s">
        <v>115</v>
      </c>
      <c r="C180" s="15" t="s">
        <v>142</v>
      </c>
      <c r="D180" s="16" t="s">
        <v>142</v>
      </c>
      <c r="E180" s="17" t="s">
        <v>142</v>
      </c>
    </row>
    <row r="181" spans="2:5" x14ac:dyDescent="0.3">
      <c r="B181" s="14" t="s">
        <v>118</v>
      </c>
      <c r="C181" s="15" t="s">
        <v>142</v>
      </c>
      <c r="D181" s="16" t="s">
        <v>142</v>
      </c>
      <c r="E181" s="17" t="s">
        <v>142</v>
      </c>
    </row>
    <row r="182" spans="2:5" x14ac:dyDescent="0.3">
      <c r="B182" s="14" t="s">
        <v>15</v>
      </c>
      <c r="C182" s="15" t="s">
        <v>142</v>
      </c>
      <c r="D182" s="16" t="s">
        <v>142</v>
      </c>
      <c r="E182" s="17" t="s">
        <v>142</v>
      </c>
    </row>
    <row r="183" spans="2:5" x14ac:dyDescent="0.3">
      <c r="B183" s="14" t="s">
        <v>6</v>
      </c>
      <c r="C183" s="15" t="s">
        <v>142</v>
      </c>
      <c r="D183" s="16" t="s">
        <v>142</v>
      </c>
      <c r="E183" s="17" t="s">
        <v>142</v>
      </c>
    </row>
    <row r="184" spans="2:5" x14ac:dyDescent="0.3">
      <c r="B184" s="12" t="s">
        <v>138</v>
      </c>
      <c r="C184" s="13">
        <v>145</v>
      </c>
      <c r="D184" s="13">
        <v>145</v>
      </c>
      <c r="E184" s="18">
        <v>1</v>
      </c>
    </row>
    <row r="188" spans="2:5" ht="18" x14ac:dyDescent="0.35">
      <c r="B188" s="23" t="s">
        <v>164</v>
      </c>
      <c r="C188" s="23"/>
      <c r="D188" s="23"/>
      <c r="E188" s="23"/>
    </row>
    <row r="190" spans="2:5" x14ac:dyDescent="0.3">
      <c r="B190" s="2" t="s">
        <v>178</v>
      </c>
      <c r="C190" s="2"/>
      <c r="D190" s="2"/>
      <c r="E190" s="2"/>
    </row>
    <row r="191" spans="2:5" x14ac:dyDescent="0.3">
      <c r="B191" s="4" t="s">
        <v>144</v>
      </c>
      <c r="C191" s="2" t="s">
        <v>153</v>
      </c>
      <c r="D191" s="2"/>
      <c r="E191" s="2"/>
    </row>
    <row r="192" spans="2:5" x14ac:dyDescent="0.3">
      <c r="B192" s="4"/>
      <c r="C192" s="6" t="s">
        <v>146</v>
      </c>
      <c r="D192" s="7" t="s">
        <v>158</v>
      </c>
      <c r="E192" s="8" t="s">
        <v>141</v>
      </c>
    </row>
    <row r="193" spans="2:5" x14ac:dyDescent="0.3">
      <c r="C193" s="6"/>
      <c r="D193" s="7"/>
      <c r="E193" s="8"/>
    </row>
    <row r="194" spans="2:5" x14ac:dyDescent="0.3">
      <c r="B194" s="14" t="s">
        <v>2</v>
      </c>
      <c r="C194" s="15" t="s">
        <v>142</v>
      </c>
      <c r="D194" s="16" t="s">
        <v>142</v>
      </c>
      <c r="E194" s="17" t="s">
        <v>142</v>
      </c>
    </row>
    <row r="195" spans="2:5" x14ac:dyDescent="0.3">
      <c r="B195" s="14" t="s">
        <v>7</v>
      </c>
      <c r="C195" s="15">
        <v>98</v>
      </c>
      <c r="D195" s="16">
        <v>98</v>
      </c>
      <c r="E195" s="17">
        <v>1</v>
      </c>
    </row>
    <row r="196" spans="2:5" x14ac:dyDescent="0.3">
      <c r="B196" s="14" t="s">
        <v>21</v>
      </c>
      <c r="C196" s="15">
        <v>45</v>
      </c>
      <c r="D196" s="16">
        <v>45</v>
      </c>
      <c r="E196" s="17">
        <v>1</v>
      </c>
    </row>
    <row r="197" spans="2:5" x14ac:dyDescent="0.3">
      <c r="B197" s="14" t="s">
        <v>1</v>
      </c>
      <c r="C197" s="15" t="s">
        <v>142</v>
      </c>
      <c r="D197" s="16" t="s">
        <v>142</v>
      </c>
      <c r="E197" s="17" t="s">
        <v>142</v>
      </c>
    </row>
    <row r="198" spans="2:5" x14ac:dyDescent="0.3">
      <c r="B198" s="14" t="s">
        <v>0</v>
      </c>
      <c r="C198" s="15" t="s">
        <v>142</v>
      </c>
      <c r="D198" s="16" t="s">
        <v>142</v>
      </c>
      <c r="E198" s="17" t="s">
        <v>142</v>
      </c>
    </row>
    <row r="199" spans="2:5" x14ac:dyDescent="0.3">
      <c r="B199" s="12" t="s">
        <v>138</v>
      </c>
      <c r="C199" s="13">
        <v>143</v>
      </c>
      <c r="D199" s="13">
        <v>143</v>
      </c>
      <c r="E199" s="18">
        <v>1</v>
      </c>
    </row>
    <row r="203" spans="2:5" ht="18" x14ac:dyDescent="0.35">
      <c r="B203" s="23" t="s">
        <v>165</v>
      </c>
      <c r="C203" s="23"/>
      <c r="D203" s="23"/>
      <c r="E203" s="23"/>
    </row>
    <row r="205" spans="2:5" x14ac:dyDescent="0.3">
      <c r="B205" s="2" t="s">
        <v>178</v>
      </c>
      <c r="C205" s="2"/>
      <c r="D205" s="2"/>
      <c r="E205" s="2"/>
    </row>
    <row r="206" spans="2:5" x14ac:dyDescent="0.3">
      <c r="B206" s="4" t="s">
        <v>144</v>
      </c>
      <c r="C206" s="2" t="s">
        <v>153</v>
      </c>
      <c r="D206" s="2"/>
      <c r="E206" s="2"/>
    </row>
    <row r="207" spans="2:5" x14ac:dyDescent="0.3">
      <c r="B207" s="4"/>
      <c r="C207" s="6" t="s">
        <v>146</v>
      </c>
      <c r="D207" s="7" t="s">
        <v>158</v>
      </c>
      <c r="E207" s="8" t="s">
        <v>141</v>
      </c>
    </row>
    <row r="208" spans="2:5" x14ac:dyDescent="0.3">
      <c r="C208" s="6"/>
      <c r="D208" s="7"/>
      <c r="E208" s="8"/>
    </row>
    <row r="209" spans="2:5" x14ac:dyDescent="0.3">
      <c r="B209" s="14" t="s">
        <v>2</v>
      </c>
      <c r="C209" s="15" t="s">
        <v>142</v>
      </c>
      <c r="D209" s="16" t="s">
        <v>142</v>
      </c>
      <c r="E209" s="17" t="s">
        <v>142</v>
      </c>
    </row>
    <row r="210" spans="2:5" x14ac:dyDescent="0.3">
      <c r="B210" s="14" t="s">
        <v>21</v>
      </c>
      <c r="C210" s="15">
        <v>1</v>
      </c>
      <c r="D210" s="16">
        <v>1</v>
      </c>
      <c r="E210" s="17">
        <v>1</v>
      </c>
    </row>
    <row r="211" spans="2:5" x14ac:dyDescent="0.3">
      <c r="B211" s="14" t="s">
        <v>7</v>
      </c>
      <c r="C211" s="15" t="s">
        <v>142</v>
      </c>
      <c r="D211" s="16" t="s">
        <v>142</v>
      </c>
      <c r="E211" s="17" t="s">
        <v>142</v>
      </c>
    </row>
    <row r="212" spans="2:5" x14ac:dyDescent="0.3">
      <c r="B212" s="14" t="s">
        <v>0</v>
      </c>
      <c r="C212" s="15" t="s">
        <v>142</v>
      </c>
      <c r="D212" s="16" t="s">
        <v>142</v>
      </c>
      <c r="E212" s="17" t="s">
        <v>142</v>
      </c>
    </row>
    <row r="213" spans="2:5" x14ac:dyDescent="0.3">
      <c r="B213" s="14" t="s">
        <v>1</v>
      </c>
      <c r="C213" s="15" t="s">
        <v>142</v>
      </c>
      <c r="D213" s="16" t="s">
        <v>142</v>
      </c>
      <c r="E213" s="17" t="s">
        <v>142</v>
      </c>
    </row>
    <row r="214" spans="2:5" x14ac:dyDescent="0.3">
      <c r="B214" s="12" t="s">
        <v>138</v>
      </c>
      <c r="C214" s="13">
        <v>1</v>
      </c>
      <c r="D214" s="13">
        <v>1</v>
      </c>
      <c r="E214" s="18">
        <v>1</v>
      </c>
    </row>
    <row r="218" spans="2:5" ht="18" x14ac:dyDescent="0.35">
      <c r="B218" s="23" t="s">
        <v>166</v>
      </c>
      <c r="C218" s="23"/>
      <c r="D218" s="23"/>
      <c r="E218" s="23"/>
    </row>
    <row r="220" spans="2:5" x14ac:dyDescent="0.3">
      <c r="B220" s="2" t="s">
        <v>178</v>
      </c>
      <c r="C220" s="2"/>
      <c r="D220" s="2"/>
      <c r="E220" s="2"/>
    </row>
    <row r="221" spans="2:5" x14ac:dyDescent="0.3">
      <c r="B221" s="4" t="s">
        <v>144</v>
      </c>
      <c r="C221" s="2" t="s">
        <v>153</v>
      </c>
      <c r="D221" s="2"/>
      <c r="E221" s="2"/>
    </row>
    <row r="222" spans="2:5" x14ac:dyDescent="0.3">
      <c r="B222" s="4"/>
      <c r="C222" s="6" t="s">
        <v>146</v>
      </c>
      <c r="D222" s="7" t="s">
        <v>158</v>
      </c>
      <c r="E222" s="8" t="s">
        <v>141</v>
      </c>
    </row>
    <row r="223" spans="2:5" x14ac:dyDescent="0.3">
      <c r="C223" s="6"/>
      <c r="D223" s="7"/>
      <c r="E223" s="8"/>
    </row>
    <row r="224" spans="2:5" x14ac:dyDescent="0.3">
      <c r="B224" s="14" t="s">
        <v>2</v>
      </c>
      <c r="C224" s="15" t="s">
        <v>142</v>
      </c>
      <c r="D224" s="16" t="s">
        <v>142</v>
      </c>
      <c r="E224" s="17" t="s">
        <v>142</v>
      </c>
    </row>
    <row r="225" spans="2:5" x14ac:dyDescent="0.3">
      <c r="B225" s="14" t="s">
        <v>0</v>
      </c>
      <c r="C225" s="15" t="s">
        <v>142</v>
      </c>
      <c r="D225" s="16" t="s">
        <v>142</v>
      </c>
      <c r="E225" s="17" t="s">
        <v>142</v>
      </c>
    </row>
    <row r="226" spans="2:5" x14ac:dyDescent="0.3">
      <c r="B226" s="14" t="s">
        <v>7</v>
      </c>
      <c r="C226" s="15" t="s">
        <v>142</v>
      </c>
      <c r="D226" s="16" t="s">
        <v>142</v>
      </c>
      <c r="E226" s="17" t="s">
        <v>142</v>
      </c>
    </row>
    <row r="227" spans="2:5" x14ac:dyDescent="0.3">
      <c r="B227" s="14" t="s">
        <v>21</v>
      </c>
      <c r="C227" s="15">
        <v>1</v>
      </c>
      <c r="D227" s="16">
        <v>1</v>
      </c>
      <c r="E227" s="17">
        <v>1</v>
      </c>
    </row>
    <row r="228" spans="2:5" x14ac:dyDescent="0.3">
      <c r="B228" s="14" t="s">
        <v>1</v>
      </c>
      <c r="C228" s="15" t="s">
        <v>142</v>
      </c>
      <c r="D228" s="16" t="s">
        <v>142</v>
      </c>
      <c r="E228" s="17" t="s">
        <v>142</v>
      </c>
    </row>
    <row r="229" spans="2:5" x14ac:dyDescent="0.3">
      <c r="B229" s="12" t="s">
        <v>138</v>
      </c>
      <c r="C229" s="13">
        <v>1</v>
      </c>
      <c r="D229" s="13">
        <v>1</v>
      </c>
      <c r="E229" s="18">
        <v>1</v>
      </c>
    </row>
  </sheetData>
  <mergeCells count="39"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2E38C-688E-463B-8A81-AFB93280117F}">
  <sheetPr codeName="Sheet7"/>
  <dimension ref="A1:E229"/>
  <sheetViews>
    <sheetView tabSelected="1" workbookViewId="0"/>
  </sheetViews>
  <sheetFormatPr defaultRowHeight="14.4" x14ac:dyDescent="0.3"/>
  <cols>
    <col min="1" max="1" width="57.5546875" bestFit="1" customWidth="1"/>
    <col min="2" max="2" width="21.6640625" bestFit="1" customWidth="1"/>
    <col min="3" max="5" width="10.77734375" customWidth="1"/>
  </cols>
  <sheetData>
    <row r="1" spans="1:5" ht="18" x14ac:dyDescent="0.35">
      <c r="A1" s="1" t="s">
        <v>185</v>
      </c>
    </row>
    <row r="2" spans="1:5" x14ac:dyDescent="0.3">
      <c r="B2" s="2" t="s">
        <v>182</v>
      </c>
      <c r="C2" s="2"/>
      <c r="D2" s="2"/>
      <c r="E2" s="2"/>
    </row>
    <row r="3" spans="1:5" x14ac:dyDescent="0.3">
      <c r="B3" s="4" t="s">
        <v>144</v>
      </c>
      <c r="C3" s="2" t="s">
        <v>153</v>
      </c>
      <c r="D3" s="2"/>
      <c r="E3" s="2"/>
    </row>
    <row r="4" spans="1:5" x14ac:dyDescent="0.3">
      <c r="B4" s="4"/>
      <c r="C4" s="6" t="s">
        <v>146</v>
      </c>
      <c r="D4" s="7" t="s">
        <v>158</v>
      </c>
      <c r="E4" s="8" t="s">
        <v>141</v>
      </c>
    </row>
    <row r="5" spans="1:5" x14ac:dyDescent="0.3">
      <c r="C5" s="6"/>
      <c r="D5" s="7"/>
      <c r="E5" s="8"/>
    </row>
    <row r="6" spans="1:5" x14ac:dyDescent="0.3">
      <c r="B6" s="14" t="s">
        <v>2</v>
      </c>
      <c r="C6" s="15" t="s">
        <v>142</v>
      </c>
      <c r="D6" s="16" t="s">
        <v>142</v>
      </c>
      <c r="E6" s="17" t="str">
        <f>IFERROR(IF(C6&gt;0, D6/C6, 0),"-")</f>
        <v>-</v>
      </c>
    </row>
    <row r="7" spans="1:5" x14ac:dyDescent="0.3">
      <c r="B7" s="14" t="s">
        <v>21</v>
      </c>
      <c r="C7" s="15">
        <v>106</v>
      </c>
      <c r="D7" s="16" t="s">
        <v>142</v>
      </c>
      <c r="E7" s="17" t="str">
        <f>IFERROR(IF(C7&gt;0, D7/C7, 0),"-")</f>
        <v>-</v>
      </c>
    </row>
    <row r="8" spans="1:5" x14ac:dyDescent="0.3">
      <c r="B8" s="14" t="s">
        <v>7</v>
      </c>
      <c r="C8" s="15">
        <v>69</v>
      </c>
      <c r="D8" s="16" t="s">
        <v>142</v>
      </c>
      <c r="E8" s="17" t="str">
        <f>IFERROR(IF(C8&gt;0, D8/C8, 0),"-")</f>
        <v>-</v>
      </c>
    </row>
    <row r="9" spans="1:5" x14ac:dyDescent="0.3">
      <c r="B9" s="14" t="s">
        <v>0</v>
      </c>
      <c r="C9" s="15" t="s">
        <v>142</v>
      </c>
      <c r="D9" s="16" t="s">
        <v>142</v>
      </c>
      <c r="E9" s="17" t="str">
        <f>IFERROR(IF(C9&gt;0, D9/C9, 0),"-")</f>
        <v>-</v>
      </c>
    </row>
    <row r="10" spans="1:5" x14ac:dyDescent="0.3">
      <c r="B10" s="14" t="s">
        <v>1</v>
      </c>
      <c r="C10" s="15">
        <v>5</v>
      </c>
      <c r="D10" s="16" t="s">
        <v>142</v>
      </c>
      <c r="E10" s="17" t="str">
        <f>IFERROR(IF(C10&gt;0, D10/C10, 0),"-")</f>
        <v>-</v>
      </c>
    </row>
    <row r="11" spans="1:5" x14ac:dyDescent="0.3">
      <c r="B11" s="12" t="s">
        <v>138</v>
      </c>
      <c r="C11" s="13">
        <f>SUM(C6:C10)</f>
        <v>180</v>
      </c>
      <c r="D11" s="13">
        <f>SUM(D6:D10)</f>
        <v>0</v>
      </c>
      <c r="E11" s="18">
        <f>IFERROR(IF(C11&gt;0, D11/C11, 0),"-")</f>
        <v>0</v>
      </c>
    </row>
    <row r="15" spans="1:5" x14ac:dyDescent="0.3">
      <c r="B15" s="2" t="s">
        <v>183</v>
      </c>
      <c r="C15" s="2"/>
      <c r="D15" s="2"/>
      <c r="E15" s="2"/>
    </row>
    <row r="16" spans="1:5" x14ac:dyDescent="0.3">
      <c r="B16" s="4" t="s">
        <v>143</v>
      </c>
      <c r="C16" s="2" t="s">
        <v>153</v>
      </c>
      <c r="D16" s="2"/>
      <c r="E16" s="2"/>
    </row>
    <row r="17" spans="2:5" x14ac:dyDescent="0.3">
      <c r="B17" s="4"/>
      <c r="C17" s="6" t="s">
        <v>146</v>
      </c>
      <c r="D17" s="7" t="s">
        <v>158</v>
      </c>
      <c r="E17" s="8" t="s">
        <v>141</v>
      </c>
    </row>
    <row r="18" spans="2:5" x14ac:dyDescent="0.3">
      <c r="C18" s="6"/>
      <c r="D18" s="7"/>
      <c r="E18" s="8"/>
    </row>
    <row r="19" spans="2:5" x14ac:dyDescent="0.3">
      <c r="B19" s="14" t="s">
        <v>30</v>
      </c>
      <c r="C19" s="15">
        <v>52</v>
      </c>
      <c r="D19" s="16" t="s">
        <v>142</v>
      </c>
      <c r="E19" s="17" t="str">
        <f>IFERROR(IF(C19&gt;0, D19/C19, 0),"-")</f>
        <v>-</v>
      </c>
    </row>
    <row r="20" spans="2:5" x14ac:dyDescent="0.3">
      <c r="B20" s="14" t="s">
        <v>16</v>
      </c>
      <c r="C20" s="15">
        <v>8</v>
      </c>
      <c r="D20" s="16" t="s">
        <v>142</v>
      </c>
      <c r="E20" s="17" t="str">
        <f>IFERROR(IF(C20&gt;0, D20/C20, 0),"-")</f>
        <v>-</v>
      </c>
    </row>
    <row r="21" spans="2:5" x14ac:dyDescent="0.3">
      <c r="B21" s="14" t="s">
        <v>19</v>
      </c>
      <c r="C21" s="15">
        <v>12</v>
      </c>
      <c r="D21" s="16" t="s">
        <v>142</v>
      </c>
      <c r="E21" s="17" t="str">
        <f>IFERROR(IF(C21&gt;0, D21/C21, 0),"-")</f>
        <v>-</v>
      </c>
    </row>
    <row r="22" spans="2:5" x14ac:dyDescent="0.3">
      <c r="B22" s="14" t="s">
        <v>137</v>
      </c>
      <c r="C22" s="15" t="s">
        <v>142</v>
      </c>
      <c r="D22" s="16" t="s">
        <v>142</v>
      </c>
      <c r="E22" s="17" t="str">
        <f>IFERROR(IF(C22&gt;0, D22/C22, 0),"-")</f>
        <v>-</v>
      </c>
    </row>
    <row r="23" spans="2:5" x14ac:dyDescent="0.3">
      <c r="B23" s="14" t="s">
        <v>17</v>
      </c>
      <c r="C23" s="15" t="s">
        <v>142</v>
      </c>
      <c r="D23" s="16" t="s">
        <v>142</v>
      </c>
      <c r="E23" s="17" t="str">
        <f>IFERROR(IF(C23&gt;0, D23/C23, 0),"-")</f>
        <v>-</v>
      </c>
    </row>
    <row r="24" spans="2:5" x14ac:dyDescent="0.3">
      <c r="B24" s="14" t="s">
        <v>12</v>
      </c>
      <c r="C24" s="15">
        <v>1</v>
      </c>
      <c r="D24" s="16" t="s">
        <v>142</v>
      </c>
      <c r="E24" s="17" t="str">
        <f>IFERROR(IF(C24&gt;0, D24/C24, 0),"-")</f>
        <v>-</v>
      </c>
    </row>
    <row r="25" spans="2:5" x14ac:dyDescent="0.3">
      <c r="B25" s="14" t="s">
        <v>18</v>
      </c>
      <c r="C25" s="15">
        <v>1</v>
      </c>
      <c r="D25" s="16" t="s">
        <v>142</v>
      </c>
      <c r="E25" s="17" t="str">
        <f>IFERROR(IF(C25&gt;0, D25/C25, 0),"-")</f>
        <v>-</v>
      </c>
    </row>
    <row r="26" spans="2:5" x14ac:dyDescent="0.3">
      <c r="B26" s="14" t="s">
        <v>13</v>
      </c>
      <c r="C26" s="15">
        <v>3</v>
      </c>
      <c r="D26" s="16" t="s">
        <v>142</v>
      </c>
      <c r="E26" s="17" t="str">
        <f>IFERROR(IF(C26&gt;0, D26/C26, 0),"-")</f>
        <v>-</v>
      </c>
    </row>
    <row r="27" spans="2:5" x14ac:dyDescent="0.3">
      <c r="B27" s="14" t="s">
        <v>20</v>
      </c>
      <c r="C27" s="15" t="s">
        <v>142</v>
      </c>
      <c r="D27" s="16" t="s">
        <v>142</v>
      </c>
      <c r="E27" s="17" t="str">
        <f>IFERROR(IF(C27&gt;0, D27/C27, 0),"-")</f>
        <v>-</v>
      </c>
    </row>
    <row r="28" spans="2:5" x14ac:dyDescent="0.3">
      <c r="B28" s="14" t="s">
        <v>24</v>
      </c>
      <c r="C28" s="15" t="s">
        <v>142</v>
      </c>
      <c r="D28" s="16" t="s">
        <v>142</v>
      </c>
      <c r="E28" s="17" t="str">
        <f>IFERROR(IF(C28&gt;0, D28/C28, 0),"-")</f>
        <v>-</v>
      </c>
    </row>
    <row r="29" spans="2:5" x14ac:dyDescent="0.3">
      <c r="B29" s="14" t="s">
        <v>15</v>
      </c>
      <c r="C29" s="15" t="s">
        <v>142</v>
      </c>
      <c r="D29" s="16" t="s">
        <v>142</v>
      </c>
      <c r="E29" s="17" t="str">
        <f>IFERROR(IF(C29&gt;0, D29/C29, 0),"-")</f>
        <v>-</v>
      </c>
    </row>
    <row r="30" spans="2:5" x14ac:dyDescent="0.3">
      <c r="B30" s="14" t="s">
        <v>21</v>
      </c>
      <c r="C30" s="15">
        <v>6</v>
      </c>
      <c r="D30" s="16" t="s">
        <v>142</v>
      </c>
      <c r="E30" s="17" t="str">
        <f>IFERROR(IF(C30&gt;0, D30/C30, 0),"-")</f>
        <v>-</v>
      </c>
    </row>
    <row r="31" spans="2:5" x14ac:dyDescent="0.3">
      <c r="B31" s="14" t="s">
        <v>23</v>
      </c>
      <c r="C31" s="15">
        <v>28</v>
      </c>
      <c r="D31" s="16" t="s">
        <v>142</v>
      </c>
      <c r="E31" s="17" t="str">
        <f>IFERROR(IF(C31&gt;0, D31/C31, 0),"-")</f>
        <v>-</v>
      </c>
    </row>
    <row r="32" spans="2:5" x14ac:dyDescent="0.3">
      <c r="B32" s="14" t="s">
        <v>3</v>
      </c>
      <c r="C32" s="15" t="s">
        <v>142</v>
      </c>
      <c r="D32" s="16" t="s">
        <v>142</v>
      </c>
      <c r="E32" s="17" t="str">
        <f>IFERROR(IF(C32&gt;0, D32/C32, 0),"-")</f>
        <v>-</v>
      </c>
    </row>
    <row r="33" spans="2:5" x14ac:dyDescent="0.3">
      <c r="B33" s="14" t="s">
        <v>4</v>
      </c>
      <c r="C33" s="15" t="s">
        <v>142</v>
      </c>
      <c r="D33" s="16" t="s">
        <v>142</v>
      </c>
      <c r="E33" s="17" t="str">
        <f>IFERROR(IF(C33&gt;0, D33/C33, 0),"-")</f>
        <v>-</v>
      </c>
    </row>
    <row r="34" spans="2:5" x14ac:dyDescent="0.3">
      <c r="B34" s="14" t="s">
        <v>10</v>
      </c>
      <c r="C34" s="15" t="s">
        <v>142</v>
      </c>
      <c r="D34" s="16" t="s">
        <v>142</v>
      </c>
      <c r="E34" s="17" t="str">
        <f>IFERROR(IF(C34&gt;0, D34/C34, 0),"-")</f>
        <v>-</v>
      </c>
    </row>
    <row r="35" spans="2:5" x14ac:dyDescent="0.3">
      <c r="B35" s="14" t="s">
        <v>26</v>
      </c>
      <c r="C35" s="15" t="s">
        <v>142</v>
      </c>
      <c r="D35" s="16" t="s">
        <v>142</v>
      </c>
      <c r="E35" s="17" t="str">
        <f>IFERROR(IF(C35&gt;0, D35/C35, 0),"-")</f>
        <v>-</v>
      </c>
    </row>
    <row r="36" spans="2:5" x14ac:dyDescent="0.3">
      <c r="B36" s="14" t="s">
        <v>6</v>
      </c>
      <c r="C36" s="15" t="s">
        <v>142</v>
      </c>
      <c r="D36" s="16" t="s">
        <v>142</v>
      </c>
      <c r="E36" s="17" t="str">
        <f>IFERROR(IF(C36&gt;0, D36/C36, 0),"-")</f>
        <v>-</v>
      </c>
    </row>
    <row r="37" spans="2:5" x14ac:dyDescent="0.3">
      <c r="B37" s="14" t="s">
        <v>7</v>
      </c>
      <c r="C37" s="15" t="s">
        <v>142</v>
      </c>
      <c r="D37" s="16" t="s">
        <v>142</v>
      </c>
      <c r="E37" s="17" t="str">
        <f>IFERROR(IF(C37&gt;0, D37/C37, 0),"-")</f>
        <v>-</v>
      </c>
    </row>
    <row r="38" spans="2:5" x14ac:dyDescent="0.3">
      <c r="B38" s="14" t="s">
        <v>8</v>
      </c>
      <c r="C38" s="15" t="s">
        <v>142</v>
      </c>
      <c r="D38" s="16" t="s">
        <v>142</v>
      </c>
      <c r="E38" s="17" t="str">
        <f>IFERROR(IF(C38&gt;0, D38/C38, 0),"-")</f>
        <v>-</v>
      </c>
    </row>
    <row r="39" spans="2:5" x14ac:dyDescent="0.3">
      <c r="B39" s="14" t="s">
        <v>9</v>
      </c>
      <c r="C39" s="15" t="s">
        <v>142</v>
      </c>
      <c r="D39" s="16" t="s">
        <v>142</v>
      </c>
      <c r="E39" s="17" t="str">
        <f>IFERROR(IF(C39&gt;0, D39/C39, 0),"-")</f>
        <v>-</v>
      </c>
    </row>
    <row r="40" spans="2:5" x14ac:dyDescent="0.3">
      <c r="B40" s="14" t="s">
        <v>25</v>
      </c>
      <c r="C40" s="15" t="s">
        <v>142</v>
      </c>
      <c r="D40" s="16" t="s">
        <v>142</v>
      </c>
      <c r="E40" s="17" t="str">
        <f>IFERROR(IF(C40&gt;0, D40/C40, 0),"-")</f>
        <v>-</v>
      </c>
    </row>
    <row r="41" spans="2:5" x14ac:dyDescent="0.3">
      <c r="B41" s="14" t="s">
        <v>14</v>
      </c>
      <c r="C41" s="15">
        <v>2</v>
      </c>
      <c r="D41" s="16" t="s">
        <v>142</v>
      </c>
      <c r="E41" s="17" t="str">
        <f>IFERROR(IF(C41&gt;0, D41/C41, 0),"-")</f>
        <v>-</v>
      </c>
    </row>
    <row r="42" spans="2:5" x14ac:dyDescent="0.3">
      <c r="B42" s="14" t="s">
        <v>29</v>
      </c>
      <c r="C42" s="15" t="s">
        <v>142</v>
      </c>
      <c r="D42" s="16" t="s">
        <v>142</v>
      </c>
      <c r="E42" s="17" t="str">
        <f>IFERROR(IF(C42&gt;0, D42/C42, 0),"-")</f>
        <v>-</v>
      </c>
    </row>
    <row r="43" spans="2:5" x14ac:dyDescent="0.3">
      <c r="B43" s="14" t="s">
        <v>28</v>
      </c>
      <c r="C43" s="15" t="s">
        <v>142</v>
      </c>
      <c r="D43" s="16" t="s">
        <v>142</v>
      </c>
      <c r="E43" s="17" t="str">
        <f>IFERROR(IF(C43&gt;0, D43/C43, 0),"-")</f>
        <v>-</v>
      </c>
    </row>
    <row r="44" spans="2:5" x14ac:dyDescent="0.3">
      <c r="B44" s="14" t="s">
        <v>5</v>
      </c>
      <c r="C44" s="15" t="s">
        <v>142</v>
      </c>
      <c r="D44" s="16" t="s">
        <v>142</v>
      </c>
      <c r="E44" s="17" t="str">
        <f>IFERROR(IF(C44&gt;0, D44/C44, 0),"-")</f>
        <v>-</v>
      </c>
    </row>
    <row r="45" spans="2:5" x14ac:dyDescent="0.3">
      <c r="B45" s="14" t="s">
        <v>22</v>
      </c>
      <c r="C45" s="15">
        <v>1</v>
      </c>
      <c r="D45" s="16" t="s">
        <v>142</v>
      </c>
      <c r="E45" s="17" t="str">
        <f>IFERROR(IF(C45&gt;0, D45/C45, 0),"-")</f>
        <v>-</v>
      </c>
    </row>
    <row r="46" spans="2:5" x14ac:dyDescent="0.3">
      <c r="B46" s="14" t="s">
        <v>1</v>
      </c>
      <c r="C46" s="15" t="s">
        <v>142</v>
      </c>
      <c r="D46" s="16" t="s">
        <v>142</v>
      </c>
      <c r="E46" s="17" t="str">
        <f>IFERROR(IF(C46&gt;0, D46/C46, 0),"-")</f>
        <v>-</v>
      </c>
    </row>
    <row r="47" spans="2:5" x14ac:dyDescent="0.3">
      <c r="B47" s="14" t="s">
        <v>27</v>
      </c>
      <c r="C47" s="15" t="s">
        <v>142</v>
      </c>
      <c r="D47" s="16" t="s">
        <v>142</v>
      </c>
      <c r="E47" s="17" t="str">
        <f>IFERROR(IF(C47&gt;0, D47/C47, 0),"-")</f>
        <v>-</v>
      </c>
    </row>
    <row r="48" spans="2:5" x14ac:dyDescent="0.3">
      <c r="B48" s="14" t="s">
        <v>11</v>
      </c>
      <c r="C48" s="15">
        <v>66</v>
      </c>
      <c r="D48" s="16" t="s">
        <v>142</v>
      </c>
      <c r="E48" s="17" t="str">
        <f>IFERROR(IF(C48&gt;0, D48/C48, 0),"-")</f>
        <v>-</v>
      </c>
    </row>
    <row r="49" spans="2:5" x14ac:dyDescent="0.3">
      <c r="B49" s="12" t="s">
        <v>138</v>
      </c>
      <c r="C49" s="13">
        <f>SUM(C19:C48)</f>
        <v>180</v>
      </c>
      <c r="D49" s="13">
        <f>SUM(D19:D48)</f>
        <v>0</v>
      </c>
      <c r="E49" s="18">
        <f>IFERROR(IF(C49&gt;0, D49/C49, 0),"-")</f>
        <v>0</v>
      </c>
    </row>
    <row r="53" spans="2:5" x14ac:dyDescent="0.3">
      <c r="B53" s="2" t="s">
        <v>184</v>
      </c>
      <c r="C53" s="2"/>
      <c r="D53" s="2"/>
      <c r="E53" s="2"/>
    </row>
    <row r="54" spans="2:5" x14ac:dyDescent="0.3">
      <c r="B54" s="4" t="s">
        <v>139</v>
      </c>
      <c r="C54" s="2" t="s">
        <v>153</v>
      </c>
      <c r="D54" s="2"/>
      <c r="E54" s="2"/>
    </row>
    <row r="55" spans="2:5" x14ac:dyDescent="0.3">
      <c r="B55" s="4"/>
      <c r="C55" s="6" t="s">
        <v>146</v>
      </c>
      <c r="D55" s="7" t="s">
        <v>158</v>
      </c>
      <c r="E55" s="8" t="s">
        <v>141</v>
      </c>
    </row>
    <row r="56" spans="2:5" x14ac:dyDescent="0.3">
      <c r="C56" s="6"/>
      <c r="D56" s="7"/>
      <c r="E56" s="8"/>
    </row>
    <row r="57" spans="2:5" x14ac:dyDescent="0.3">
      <c r="B57" s="14" t="s">
        <v>72</v>
      </c>
      <c r="C57" s="15" t="s">
        <v>142</v>
      </c>
      <c r="D57" s="16" t="s">
        <v>142</v>
      </c>
      <c r="E57" s="17" t="str">
        <f>IFERROR(IF(C57&gt;0, D57/C57, 0),"-")</f>
        <v>-</v>
      </c>
    </row>
    <row r="58" spans="2:5" x14ac:dyDescent="0.3">
      <c r="B58" s="14" t="s">
        <v>44</v>
      </c>
      <c r="C58" s="15" t="s">
        <v>142</v>
      </c>
      <c r="D58" s="16" t="s">
        <v>142</v>
      </c>
      <c r="E58" s="17" t="str">
        <f>IFERROR(IF(C58&gt;0, D58/C58, 0),"-")</f>
        <v>-</v>
      </c>
    </row>
    <row r="59" spans="2:5" x14ac:dyDescent="0.3">
      <c r="B59" s="14" t="s">
        <v>49</v>
      </c>
      <c r="C59" s="15" t="s">
        <v>142</v>
      </c>
      <c r="D59" s="16" t="s">
        <v>142</v>
      </c>
      <c r="E59" s="17" t="str">
        <f>IFERROR(IF(C59&gt;0, D59/C59, 0),"-")</f>
        <v>-</v>
      </c>
    </row>
    <row r="60" spans="2:5" x14ac:dyDescent="0.3">
      <c r="B60" s="14" t="s">
        <v>77</v>
      </c>
      <c r="C60" s="15" t="s">
        <v>142</v>
      </c>
      <c r="D60" s="16" t="s">
        <v>142</v>
      </c>
      <c r="E60" s="17" t="str">
        <f>IFERROR(IF(C60&gt;0, D60/C60, 0),"-")</f>
        <v>-</v>
      </c>
    </row>
    <row r="61" spans="2:5" x14ac:dyDescent="0.3">
      <c r="B61" s="14" t="s">
        <v>90</v>
      </c>
      <c r="C61" s="15" t="s">
        <v>142</v>
      </c>
      <c r="D61" s="16" t="s">
        <v>142</v>
      </c>
      <c r="E61" s="17" t="str">
        <f>IFERROR(IF(C61&gt;0, D61/C61, 0),"-")</f>
        <v>-</v>
      </c>
    </row>
    <row r="62" spans="2:5" x14ac:dyDescent="0.3">
      <c r="B62" s="14" t="s">
        <v>82</v>
      </c>
      <c r="C62" s="15" t="s">
        <v>142</v>
      </c>
      <c r="D62" s="16" t="s">
        <v>142</v>
      </c>
      <c r="E62" s="17" t="str">
        <f>IFERROR(IF(C62&gt;0, D62/C62, 0),"-")</f>
        <v>-</v>
      </c>
    </row>
    <row r="63" spans="2:5" x14ac:dyDescent="0.3">
      <c r="B63" s="14" t="s">
        <v>30</v>
      </c>
      <c r="C63" s="15" t="s">
        <v>142</v>
      </c>
      <c r="D63" s="16" t="s">
        <v>142</v>
      </c>
      <c r="E63" s="17" t="str">
        <f>IFERROR(IF(C63&gt;0, D63/C63, 0),"-")</f>
        <v>-</v>
      </c>
    </row>
    <row r="64" spans="2:5" x14ac:dyDescent="0.3">
      <c r="B64" s="14" t="s">
        <v>121</v>
      </c>
      <c r="C64" s="15" t="s">
        <v>142</v>
      </c>
      <c r="D64" s="16" t="s">
        <v>142</v>
      </c>
      <c r="E64" s="17" t="str">
        <f>IFERROR(IF(C64&gt;0, D64/C64, 0),"-")</f>
        <v>-</v>
      </c>
    </row>
    <row r="65" spans="2:5" x14ac:dyDescent="0.3">
      <c r="B65" s="14" t="s">
        <v>89</v>
      </c>
      <c r="C65" s="15" t="s">
        <v>142</v>
      </c>
      <c r="D65" s="16" t="s">
        <v>142</v>
      </c>
      <c r="E65" s="17" t="str">
        <f>IFERROR(IF(C65&gt;0, D65/C65, 0),"-")</f>
        <v>-</v>
      </c>
    </row>
    <row r="66" spans="2:5" x14ac:dyDescent="0.3">
      <c r="B66" s="14" t="s">
        <v>93</v>
      </c>
      <c r="C66" s="15" t="s">
        <v>142</v>
      </c>
      <c r="D66" s="16" t="s">
        <v>142</v>
      </c>
      <c r="E66" s="17" t="str">
        <f>IFERROR(IF(C66&gt;0, D66/C66, 0),"-")</f>
        <v>-</v>
      </c>
    </row>
    <row r="67" spans="2:5" x14ac:dyDescent="0.3">
      <c r="B67" s="14" t="s">
        <v>16</v>
      </c>
      <c r="C67" s="15">
        <v>7</v>
      </c>
      <c r="D67" s="16" t="s">
        <v>142</v>
      </c>
      <c r="E67" s="17" t="str">
        <f>IFERROR(IF(C67&gt;0, D67/C67, 0),"-")</f>
        <v>-</v>
      </c>
    </row>
    <row r="68" spans="2:5" x14ac:dyDescent="0.3">
      <c r="B68" s="14" t="s">
        <v>50</v>
      </c>
      <c r="C68" s="15" t="s">
        <v>142</v>
      </c>
      <c r="D68" s="16" t="s">
        <v>142</v>
      </c>
      <c r="E68" s="17" t="str">
        <f>IFERROR(IF(C68&gt;0, D68/C68, 0),"-")</f>
        <v>-</v>
      </c>
    </row>
    <row r="69" spans="2:5" x14ac:dyDescent="0.3">
      <c r="B69" s="14" t="s">
        <v>32</v>
      </c>
      <c r="C69" s="15" t="s">
        <v>142</v>
      </c>
      <c r="D69" s="16" t="s">
        <v>142</v>
      </c>
      <c r="E69" s="17" t="str">
        <f>IFERROR(IF(C69&gt;0, D69/C69, 0),"-")</f>
        <v>-</v>
      </c>
    </row>
    <row r="70" spans="2:5" x14ac:dyDescent="0.3">
      <c r="B70" s="14" t="s">
        <v>19</v>
      </c>
      <c r="C70" s="15" t="s">
        <v>142</v>
      </c>
      <c r="D70" s="16" t="s">
        <v>142</v>
      </c>
      <c r="E70" s="17" t="str">
        <f>IFERROR(IF(C70&gt;0, D70/C70, 0),"-")</f>
        <v>-</v>
      </c>
    </row>
    <row r="71" spans="2:5" x14ac:dyDescent="0.3">
      <c r="B71" s="14" t="s">
        <v>53</v>
      </c>
      <c r="C71" s="15" t="s">
        <v>142</v>
      </c>
      <c r="D71" s="16" t="s">
        <v>142</v>
      </c>
      <c r="E71" s="17" t="str">
        <f>IFERROR(IF(C71&gt;0, D71/C71, 0),"-")</f>
        <v>-</v>
      </c>
    </row>
    <row r="72" spans="2:5" x14ac:dyDescent="0.3">
      <c r="B72" s="14" t="s">
        <v>80</v>
      </c>
      <c r="C72" s="15" t="s">
        <v>142</v>
      </c>
      <c r="D72" s="16" t="s">
        <v>142</v>
      </c>
      <c r="E72" s="17" t="str">
        <f>IFERROR(IF(C72&gt;0, D72/C72, 0),"-")</f>
        <v>-</v>
      </c>
    </row>
    <row r="73" spans="2:5" x14ac:dyDescent="0.3">
      <c r="B73" s="14" t="s">
        <v>12</v>
      </c>
      <c r="C73" s="15" t="s">
        <v>142</v>
      </c>
      <c r="D73" s="16" t="s">
        <v>142</v>
      </c>
      <c r="E73" s="17" t="str">
        <f>IFERROR(IF(C73&gt;0, D73/C73, 0),"-")</f>
        <v>-</v>
      </c>
    </row>
    <row r="74" spans="2:5" x14ac:dyDescent="0.3">
      <c r="B74" s="14" t="s">
        <v>58</v>
      </c>
      <c r="C74" s="15">
        <v>1</v>
      </c>
      <c r="D74" s="16" t="s">
        <v>142</v>
      </c>
      <c r="E74" s="17" t="str">
        <f>IFERROR(IF(C74&gt;0, D74/C74, 0),"-")</f>
        <v>-</v>
      </c>
    </row>
    <row r="75" spans="2:5" x14ac:dyDescent="0.3">
      <c r="B75" s="14" t="s">
        <v>131</v>
      </c>
      <c r="C75" s="15" t="s">
        <v>142</v>
      </c>
      <c r="D75" s="16" t="s">
        <v>142</v>
      </c>
      <c r="E75" s="17" t="str">
        <f>IFERROR(IF(C75&gt;0, D75/C75, 0),"-")</f>
        <v>-</v>
      </c>
    </row>
    <row r="76" spans="2:5" x14ac:dyDescent="0.3">
      <c r="B76" s="14" t="s">
        <v>110</v>
      </c>
      <c r="C76" s="15" t="s">
        <v>142</v>
      </c>
      <c r="D76" s="16" t="s">
        <v>142</v>
      </c>
      <c r="E76" s="17" t="str">
        <f>IFERROR(IF(C76&gt;0, D76/C76, 0),"-")</f>
        <v>-</v>
      </c>
    </row>
    <row r="77" spans="2:5" x14ac:dyDescent="0.3">
      <c r="B77" s="14" t="s">
        <v>51</v>
      </c>
      <c r="C77" s="15" t="s">
        <v>142</v>
      </c>
      <c r="D77" s="16" t="s">
        <v>142</v>
      </c>
      <c r="E77" s="17" t="str">
        <f>IFERROR(IF(C77&gt;0, D77/C77, 0),"-")</f>
        <v>-</v>
      </c>
    </row>
    <row r="78" spans="2:5" x14ac:dyDescent="0.3">
      <c r="B78" s="14" t="s">
        <v>106</v>
      </c>
      <c r="C78" s="15" t="s">
        <v>142</v>
      </c>
      <c r="D78" s="16" t="s">
        <v>142</v>
      </c>
      <c r="E78" s="17" t="str">
        <f>IFERROR(IF(C78&gt;0, D78/C78, 0),"-")</f>
        <v>-</v>
      </c>
    </row>
    <row r="79" spans="2:5" x14ac:dyDescent="0.3">
      <c r="B79" s="14" t="s">
        <v>101</v>
      </c>
      <c r="C79" s="15" t="s">
        <v>142</v>
      </c>
      <c r="D79" s="16" t="s">
        <v>142</v>
      </c>
      <c r="E79" s="17" t="str">
        <f>IFERROR(IF(C79&gt;0, D79/C79, 0),"-")</f>
        <v>-</v>
      </c>
    </row>
    <row r="80" spans="2:5" x14ac:dyDescent="0.3">
      <c r="B80" s="14" t="s">
        <v>31</v>
      </c>
      <c r="C80" s="15" t="s">
        <v>142</v>
      </c>
      <c r="D80" s="16" t="s">
        <v>142</v>
      </c>
      <c r="E80" s="17" t="str">
        <f>IFERROR(IF(C80&gt;0, D80/C80, 0),"-")</f>
        <v>-</v>
      </c>
    </row>
    <row r="81" spans="2:5" x14ac:dyDescent="0.3">
      <c r="B81" s="14" t="s">
        <v>83</v>
      </c>
      <c r="C81" s="15" t="s">
        <v>142</v>
      </c>
      <c r="D81" s="16" t="s">
        <v>142</v>
      </c>
      <c r="E81" s="17" t="str">
        <f>IFERROR(IF(C81&gt;0, D81/C81, 0),"-")</f>
        <v>-</v>
      </c>
    </row>
    <row r="82" spans="2:5" x14ac:dyDescent="0.3">
      <c r="B82" s="14" t="s">
        <v>13</v>
      </c>
      <c r="C82" s="15" t="s">
        <v>142</v>
      </c>
      <c r="D82" s="16" t="s">
        <v>142</v>
      </c>
      <c r="E82" s="17" t="str">
        <f>IFERROR(IF(C82&gt;0, D82/C82, 0),"-")</f>
        <v>-</v>
      </c>
    </row>
    <row r="83" spans="2:5" x14ac:dyDescent="0.3">
      <c r="B83" s="14" t="s">
        <v>100</v>
      </c>
      <c r="C83" s="15" t="s">
        <v>142</v>
      </c>
      <c r="D83" s="16" t="s">
        <v>142</v>
      </c>
      <c r="E83" s="17" t="str">
        <f>IFERROR(IF(C83&gt;0, D83/C83, 0),"-")</f>
        <v>-</v>
      </c>
    </row>
    <row r="84" spans="2:5" x14ac:dyDescent="0.3">
      <c r="B84" s="14" t="s">
        <v>20</v>
      </c>
      <c r="C84" s="15" t="s">
        <v>142</v>
      </c>
      <c r="D84" s="16" t="s">
        <v>142</v>
      </c>
      <c r="E84" s="17" t="str">
        <f>IFERROR(IF(C84&gt;0, D84/C84, 0),"-")</f>
        <v>-</v>
      </c>
    </row>
    <row r="85" spans="2:5" x14ac:dyDescent="0.3">
      <c r="B85" s="14" t="s">
        <v>69</v>
      </c>
      <c r="C85" s="15" t="s">
        <v>142</v>
      </c>
      <c r="D85" s="16" t="s">
        <v>142</v>
      </c>
      <c r="E85" s="17" t="str">
        <f>IFERROR(IF(C85&gt;0, D85/C85, 0),"-")</f>
        <v>-</v>
      </c>
    </row>
    <row r="86" spans="2:5" x14ac:dyDescent="0.3">
      <c r="B86" s="14" t="s">
        <v>87</v>
      </c>
      <c r="C86" s="15" t="s">
        <v>142</v>
      </c>
      <c r="D86" s="16" t="s">
        <v>142</v>
      </c>
      <c r="E86" s="17" t="str">
        <f>IFERROR(IF(C86&gt;0, D86/C86, 0),"-")</f>
        <v>-</v>
      </c>
    </row>
    <row r="87" spans="2:5" x14ac:dyDescent="0.3">
      <c r="B87" s="14" t="s">
        <v>24</v>
      </c>
      <c r="C87" s="15" t="s">
        <v>142</v>
      </c>
      <c r="D87" s="16" t="s">
        <v>142</v>
      </c>
      <c r="E87" s="17" t="str">
        <f>IFERROR(IF(C87&gt;0, D87/C87, 0),"-")</f>
        <v>-</v>
      </c>
    </row>
    <row r="88" spans="2:5" x14ac:dyDescent="0.3">
      <c r="B88" s="14" t="s">
        <v>128</v>
      </c>
      <c r="C88" s="15" t="s">
        <v>142</v>
      </c>
      <c r="D88" s="16" t="s">
        <v>142</v>
      </c>
      <c r="E88" s="17" t="str">
        <f>IFERROR(IF(C88&gt;0, D88/C88, 0),"-")</f>
        <v>-</v>
      </c>
    </row>
    <row r="89" spans="2:5" x14ac:dyDescent="0.3">
      <c r="B89" s="14" t="s">
        <v>15</v>
      </c>
      <c r="C89" s="15" t="s">
        <v>142</v>
      </c>
      <c r="D89" s="16" t="s">
        <v>142</v>
      </c>
      <c r="E89" s="17" t="str">
        <f>IFERROR(IF(C89&gt;0, D89/C89, 0),"-")</f>
        <v>-</v>
      </c>
    </row>
    <row r="90" spans="2:5" x14ac:dyDescent="0.3">
      <c r="B90" s="14" t="s">
        <v>114</v>
      </c>
      <c r="C90" s="15">
        <v>2</v>
      </c>
      <c r="D90" s="16" t="s">
        <v>142</v>
      </c>
      <c r="E90" s="17" t="str">
        <f>IFERROR(IF(C90&gt;0, D90/C90, 0),"-")</f>
        <v>-</v>
      </c>
    </row>
    <row r="91" spans="2:5" x14ac:dyDescent="0.3">
      <c r="B91" s="14" t="s">
        <v>81</v>
      </c>
      <c r="C91" s="15">
        <v>1</v>
      </c>
      <c r="D91" s="16" t="s">
        <v>142</v>
      </c>
      <c r="E91" s="17" t="str">
        <f>IFERROR(IF(C91&gt;0, D91/C91, 0),"-")</f>
        <v>-</v>
      </c>
    </row>
    <row r="92" spans="2:5" x14ac:dyDescent="0.3">
      <c r="B92" s="14" t="s">
        <v>112</v>
      </c>
      <c r="C92" s="15" t="s">
        <v>142</v>
      </c>
      <c r="D92" s="16" t="s">
        <v>142</v>
      </c>
      <c r="E92" s="17" t="str">
        <f>IFERROR(IF(C92&gt;0, D92/C92, 0),"-")</f>
        <v>-</v>
      </c>
    </row>
    <row r="93" spans="2:5" x14ac:dyDescent="0.3">
      <c r="B93" s="14" t="s">
        <v>21</v>
      </c>
      <c r="C93" s="15">
        <v>4</v>
      </c>
      <c r="D93" s="16" t="s">
        <v>142</v>
      </c>
      <c r="E93" s="17" t="str">
        <f>IFERROR(IF(C93&gt;0, D93/C93, 0),"-")</f>
        <v>-</v>
      </c>
    </row>
    <row r="94" spans="2:5" x14ac:dyDescent="0.3">
      <c r="B94" s="14" t="s">
        <v>129</v>
      </c>
      <c r="C94" s="15" t="s">
        <v>142</v>
      </c>
      <c r="D94" s="16" t="s">
        <v>142</v>
      </c>
      <c r="E94" s="17" t="str">
        <f>IFERROR(IF(C94&gt;0, D94/C94, 0),"-")</f>
        <v>-</v>
      </c>
    </row>
    <row r="95" spans="2:5" x14ac:dyDescent="0.3">
      <c r="B95" s="14" t="s">
        <v>23</v>
      </c>
      <c r="C95" s="15" t="s">
        <v>142</v>
      </c>
      <c r="D95" s="16" t="s">
        <v>142</v>
      </c>
      <c r="E95" s="17" t="str">
        <f>IFERROR(IF(C95&gt;0, D95/C95, 0),"-")</f>
        <v>-</v>
      </c>
    </row>
    <row r="96" spans="2:5" x14ac:dyDescent="0.3">
      <c r="B96" s="14" t="s">
        <v>123</v>
      </c>
      <c r="C96" s="15" t="s">
        <v>142</v>
      </c>
      <c r="D96" s="16" t="s">
        <v>142</v>
      </c>
      <c r="E96" s="17" t="str">
        <f>IFERROR(IF(C96&gt;0, D96/C96, 0),"-")</f>
        <v>-</v>
      </c>
    </row>
    <row r="97" spans="2:5" x14ac:dyDescent="0.3">
      <c r="B97" s="14" t="s">
        <v>134</v>
      </c>
      <c r="C97" s="15" t="s">
        <v>142</v>
      </c>
      <c r="D97" s="16" t="s">
        <v>142</v>
      </c>
      <c r="E97" s="17" t="str">
        <f>IFERROR(IF(C97&gt;0, D97/C97, 0),"-")</f>
        <v>-</v>
      </c>
    </row>
    <row r="98" spans="2:5" x14ac:dyDescent="0.3">
      <c r="B98" s="14" t="s">
        <v>108</v>
      </c>
      <c r="C98" s="15" t="s">
        <v>142</v>
      </c>
      <c r="D98" s="16" t="s">
        <v>142</v>
      </c>
      <c r="E98" s="17" t="str">
        <f>IFERROR(IF(C98&gt;0, D98/C98, 0),"-")</f>
        <v>-</v>
      </c>
    </row>
    <row r="99" spans="2:5" x14ac:dyDescent="0.3">
      <c r="B99" s="14" t="s">
        <v>85</v>
      </c>
      <c r="C99" s="15" t="s">
        <v>142</v>
      </c>
      <c r="D99" s="16" t="s">
        <v>142</v>
      </c>
      <c r="E99" s="17" t="str">
        <f>IFERROR(IF(C99&gt;0, D99/C99, 0),"-")</f>
        <v>-</v>
      </c>
    </row>
    <row r="100" spans="2:5" x14ac:dyDescent="0.3">
      <c r="B100" s="14" t="s">
        <v>130</v>
      </c>
      <c r="C100" s="15" t="s">
        <v>142</v>
      </c>
      <c r="D100" s="16" t="s">
        <v>142</v>
      </c>
      <c r="E100" s="17" t="str">
        <f>IFERROR(IF(C100&gt;0, D100/C100, 0),"-")</f>
        <v>-</v>
      </c>
    </row>
    <row r="101" spans="2:5" x14ac:dyDescent="0.3">
      <c r="B101" s="14" t="s">
        <v>95</v>
      </c>
      <c r="C101" s="15" t="s">
        <v>142</v>
      </c>
      <c r="D101" s="16" t="s">
        <v>142</v>
      </c>
      <c r="E101" s="17" t="str">
        <f>IFERROR(IF(C101&gt;0, D101/C101, 0),"-")</f>
        <v>-</v>
      </c>
    </row>
    <row r="102" spans="2:5" x14ac:dyDescent="0.3">
      <c r="B102" s="14" t="s">
        <v>113</v>
      </c>
      <c r="C102" s="15" t="s">
        <v>142</v>
      </c>
      <c r="D102" s="16" t="s">
        <v>142</v>
      </c>
      <c r="E102" s="17" t="str">
        <f>IFERROR(IF(C102&gt;0, D102/C102, 0),"-")</f>
        <v>-</v>
      </c>
    </row>
    <row r="103" spans="2:5" x14ac:dyDescent="0.3">
      <c r="B103" s="14" t="s">
        <v>52</v>
      </c>
      <c r="C103" s="15" t="s">
        <v>142</v>
      </c>
      <c r="D103" s="16" t="s">
        <v>142</v>
      </c>
      <c r="E103" s="17" t="str">
        <f>IFERROR(IF(C103&gt;0, D103/C103, 0),"-")</f>
        <v>-</v>
      </c>
    </row>
    <row r="104" spans="2:5" x14ac:dyDescent="0.3">
      <c r="B104" s="14" t="s">
        <v>66</v>
      </c>
      <c r="C104" s="15" t="s">
        <v>142</v>
      </c>
      <c r="D104" s="16" t="s">
        <v>142</v>
      </c>
      <c r="E104" s="17" t="str">
        <f>IFERROR(IF(C104&gt;0, D104/C104, 0),"-")</f>
        <v>-</v>
      </c>
    </row>
    <row r="105" spans="2:5" x14ac:dyDescent="0.3">
      <c r="B105" s="14" t="s">
        <v>73</v>
      </c>
      <c r="C105" s="15" t="s">
        <v>142</v>
      </c>
      <c r="D105" s="16" t="s">
        <v>142</v>
      </c>
      <c r="E105" s="17" t="str">
        <f>IFERROR(IF(C105&gt;0, D105/C105, 0),"-")</f>
        <v>-</v>
      </c>
    </row>
    <row r="106" spans="2:5" x14ac:dyDescent="0.3">
      <c r="B106" s="14" t="s">
        <v>103</v>
      </c>
      <c r="C106" s="15" t="s">
        <v>142</v>
      </c>
      <c r="D106" s="16" t="s">
        <v>142</v>
      </c>
      <c r="E106" s="17" t="str">
        <f>IFERROR(IF(C106&gt;0, D106/C106, 0),"-")</f>
        <v>-</v>
      </c>
    </row>
    <row r="107" spans="2:5" x14ac:dyDescent="0.3">
      <c r="B107" s="14" t="s">
        <v>35</v>
      </c>
      <c r="C107" s="15" t="s">
        <v>142</v>
      </c>
      <c r="D107" s="16" t="s">
        <v>142</v>
      </c>
      <c r="E107" s="17" t="str">
        <f>IFERROR(IF(C107&gt;0, D107/C107, 0),"-")</f>
        <v>-</v>
      </c>
    </row>
    <row r="108" spans="2:5" x14ac:dyDescent="0.3">
      <c r="B108" s="14" t="s">
        <v>65</v>
      </c>
      <c r="C108" s="15" t="s">
        <v>142</v>
      </c>
      <c r="D108" s="16" t="s">
        <v>142</v>
      </c>
      <c r="E108" s="17" t="str">
        <f>IFERROR(IF(C108&gt;0, D108/C108, 0),"-")</f>
        <v>-</v>
      </c>
    </row>
    <row r="109" spans="2:5" x14ac:dyDescent="0.3">
      <c r="B109" s="14" t="s">
        <v>133</v>
      </c>
      <c r="C109" s="15" t="s">
        <v>142</v>
      </c>
      <c r="D109" s="16" t="s">
        <v>142</v>
      </c>
      <c r="E109" s="17" t="str">
        <f>IFERROR(IF(C109&gt;0, D109/C109, 0),"-")</f>
        <v>-</v>
      </c>
    </row>
    <row r="110" spans="2:5" x14ac:dyDescent="0.3">
      <c r="B110" s="14" t="s">
        <v>120</v>
      </c>
      <c r="C110" s="15" t="s">
        <v>142</v>
      </c>
      <c r="D110" s="16" t="s">
        <v>142</v>
      </c>
      <c r="E110" s="17" t="str">
        <f>IFERROR(IF(C110&gt;0, D110/C110, 0),"-")</f>
        <v>-</v>
      </c>
    </row>
    <row r="111" spans="2:5" x14ac:dyDescent="0.3">
      <c r="B111" s="14" t="s">
        <v>97</v>
      </c>
      <c r="C111" s="15">
        <v>2</v>
      </c>
      <c r="D111" s="16" t="s">
        <v>142</v>
      </c>
      <c r="E111" s="17" t="str">
        <f>IFERROR(IF(C111&gt;0, D111/C111, 0),"-")</f>
        <v>-</v>
      </c>
    </row>
    <row r="112" spans="2:5" x14ac:dyDescent="0.3">
      <c r="B112" s="14" t="s">
        <v>91</v>
      </c>
      <c r="C112" s="15" t="s">
        <v>142</v>
      </c>
      <c r="D112" s="16" t="s">
        <v>142</v>
      </c>
      <c r="E112" s="17" t="str">
        <f>IFERROR(IF(C112&gt;0, D112/C112, 0),"-")</f>
        <v>-</v>
      </c>
    </row>
    <row r="113" spans="2:5" x14ac:dyDescent="0.3">
      <c r="B113" s="14" t="s">
        <v>94</v>
      </c>
      <c r="C113" s="15">
        <v>1</v>
      </c>
      <c r="D113" s="16" t="s">
        <v>142</v>
      </c>
      <c r="E113" s="17" t="str">
        <f>IFERROR(IF(C113&gt;0, D113/C113, 0),"-")</f>
        <v>-</v>
      </c>
    </row>
    <row r="114" spans="2:5" x14ac:dyDescent="0.3">
      <c r="B114" s="14" t="s">
        <v>36</v>
      </c>
      <c r="C114" s="15" t="s">
        <v>142</v>
      </c>
      <c r="D114" s="16" t="s">
        <v>142</v>
      </c>
      <c r="E114" s="17" t="str">
        <f>IFERROR(IF(C114&gt;0, D114/C114, 0),"-")</f>
        <v>-</v>
      </c>
    </row>
    <row r="115" spans="2:5" x14ac:dyDescent="0.3">
      <c r="B115" s="14" t="s">
        <v>4</v>
      </c>
      <c r="C115" s="15" t="s">
        <v>142</v>
      </c>
      <c r="D115" s="16" t="s">
        <v>142</v>
      </c>
      <c r="E115" s="17" t="str">
        <f>IFERROR(IF(C115&gt;0, D115/C115, 0),"-")</f>
        <v>-</v>
      </c>
    </row>
    <row r="116" spans="2:5" x14ac:dyDescent="0.3">
      <c r="B116" s="14" t="s">
        <v>109</v>
      </c>
      <c r="C116" s="15" t="s">
        <v>142</v>
      </c>
      <c r="D116" s="16" t="s">
        <v>142</v>
      </c>
      <c r="E116" s="17" t="str">
        <f>IFERROR(IF(C116&gt;0, D116/C116, 0),"-")</f>
        <v>-</v>
      </c>
    </row>
    <row r="117" spans="2:5" x14ac:dyDescent="0.3">
      <c r="B117" s="14" t="s">
        <v>122</v>
      </c>
      <c r="C117" s="15" t="s">
        <v>142</v>
      </c>
      <c r="D117" s="16" t="s">
        <v>142</v>
      </c>
      <c r="E117" s="17" t="str">
        <f>IFERROR(IF(C117&gt;0, D117/C117, 0),"-")</f>
        <v>-</v>
      </c>
    </row>
    <row r="118" spans="2:5" x14ac:dyDescent="0.3">
      <c r="B118" s="14" t="s">
        <v>10</v>
      </c>
      <c r="C118" s="15" t="s">
        <v>142</v>
      </c>
      <c r="D118" s="16" t="s">
        <v>142</v>
      </c>
      <c r="E118" s="17" t="str">
        <f>IFERROR(IF(C118&gt;0, D118/C118, 0),"-")</f>
        <v>-</v>
      </c>
    </row>
    <row r="119" spans="2:5" x14ac:dyDescent="0.3">
      <c r="B119" s="14" t="s">
        <v>76</v>
      </c>
      <c r="C119" s="15" t="s">
        <v>142</v>
      </c>
      <c r="D119" s="16" t="s">
        <v>142</v>
      </c>
      <c r="E119" s="17" t="str">
        <f>IFERROR(IF(C119&gt;0, D119/C119, 0),"-")</f>
        <v>-</v>
      </c>
    </row>
    <row r="120" spans="2:5" x14ac:dyDescent="0.3">
      <c r="B120" s="14" t="s">
        <v>105</v>
      </c>
      <c r="C120" s="15" t="s">
        <v>142</v>
      </c>
      <c r="D120" s="16" t="s">
        <v>142</v>
      </c>
      <c r="E120" s="17" t="str">
        <f>IFERROR(IF(C120&gt;0, D120/C120, 0),"-")</f>
        <v>-</v>
      </c>
    </row>
    <row r="121" spans="2:5" x14ac:dyDescent="0.3">
      <c r="B121" s="14" t="s">
        <v>119</v>
      </c>
      <c r="C121" s="15" t="s">
        <v>142</v>
      </c>
      <c r="D121" s="16" t="s">
        <v>142</v>
      </c>
      <c r="E121" s="17" t="str">
        <f>IFERROR(IF(C121&gt;0, D121/C121, 0),"-")</f>
        <v>-</v>
      </c>
    </row>
    <row r="122" spans="2:5" x14ac:dyDescent="0.3">
      <c r="B122" s="14" t="s">
        <v>38</v>
      </c>
      <c r="C122" s="15" t="s">
        <v>142</v>
      </c>
      <c r="D122" s="16" t="s">
        <v>142</v>
      </c>
      <c r="E122" s="17" t="str">
        <f>IFERROR(IF(C122&gt;0, D122/C122, 0),"-")</f>
        <v>-</v>
      </c>
    </row>
    <row r="123" spans="2:5" x14ac:dyDescent="0.3">
      <c r="B123" s="14" t="s">
        <v>26</v>
      </c>
      <c r="C123" s="15" t="s">
        <v>142</v>
      </c>
      <c r="D123" s="16" t="s">
        <v>142</v>
      </c>
      <c r="E123" s="17" t="str">
        <f>IFERROR(IF(C123&gt;0, D123/C123, 0),"-")</f>
        <v>-</v>
      </c>
    </row>
    <row r="124" spans="2:5" x14ac:dyDescent="0.3">
      <c r="B124" s="14" t="s">
        <v>111</v>
      </c>
      <c r="C124" s="15" t="s">
        <v>142</v>
      </c>
      <c r="D124" s="16" t="s">
        <v>142</v>
      </c>
      <c r="E124" s="17" t="str">
        <f>IFERROR(IF(C124&gt;0, D124/C124, 0),"-")</f>
        <v>-</v>
      </c>
    </row>
    <row r="125" spans="2:5" x14ac:dyDescent="0.3">
      <c r="B125" s="14" t="s">
        <v>6</v>
      </c>
      <c r="C125" s="15" t="s">
        <v>142</v>
      </c>
      <c r="D125" s="16" t="s">
        <v>142</v>
      </c>
      <c r="E125" s="17" t="str">
        <f>IFERROR(IF(C125&gt;0, D125/C125, 0),"-")</f>
        <v>-</v>
      </c>
    </row>
    <row r="126" spans="2:5" x14ac:dyDescent="0.3">
      <c r="B126" s="14" t="s">
        <v>42</v>
      </c>
      <c r="C126" s="15" t="s">
        <v>142</v>
      </c>
      <c r="D126" s="16" t="s">
        <v>142</v>
      </c>
      <c r="E126" s="17" t="str">
        <f>IFERROR(IF(C126&gt;0, D126/C126, 0),"-")</f>
        <v>-</v>
      </c>
    </row>
    <row r="127" spans="2:5" x14ac:dyDescent="0.3">
      <c r="B127" s="14" t="s">
        <v>57</v>
      </c>
      <c r="C127" s="15" t="s">
        <v>142</v>
      </c>
      <c r="D127" s="16" t="s">
        <v>142</v>
      </c>
      <c r="E127" s="17" t="str">
        <f>IFERROR(IF(C127&gt;0, D127/C127, 0),"-")</f>
        <v>-</v>
      </c>
    </row>
    <row r="128" spans="2:5" x14ac:dyDescent="0.3">
      <c r="B128" s="14" t="s">
        <v>46</v>
      </c>
      <c r="C128" s="15" t="s">
        <v>142</v>
      </c>
      <c r="D128" s="16" t="s">
        <v>142</v>
      </c>
      <c r="E128" s="17" t="str">
        <f>IFERROR(IF(C128&gt;0, D128/C128, 0),"-")</f>
        <v>-</v>
      </c>
    </row>
    <row r="129" spans="2:5" x14ac:dyDescent="0.3">
      <c r="B129" s="14" t="s">
        <v>98</v>
      </c>
      <c r="C129" s="15" t="s">
        <v>142</v>
      </c>
      <c r="D129" s="16" t="s">
        <v>142</v>
      </c>
      <c r="E129" s="17" t="str">
        <f>IFERROR(IF(C129&gt;0, D129/C129, 0),"-")</f>
        <v>-</v>
      </c>
    </row>
    <row r="130" spans="2:5" x14ac:dyDescent="0.3">
      <c r="B130" s="14" t="s">
        <v>55</v>
      </c>
      <c r="C130" s="15" t="s">
        <v>142</v>
      </c>
      <c r="D130" s="16" t="s">
        <v>142</v>
      </c>
      <c r="E130" s="17" t="str">
        <f>IFERROR(IF(C130&gt;0, D130/C130, 0),"-")</f>
        <v>-</v>
      </c>
    </row>
    <row r="131" spans="2:5" x14ac:dyDescent="0.3">
      <c r="B131" s="14" t="s">
        <v>78</v>
      </c>
      <c r="C131" s="15" t="s">
        <v>142</v>
      </c>
      <c r="D131" s="16" t="s">
        <v>142</v>
      </c>
      <c r="E131" s="17" t="str">
        <f>IFERROR(IF(C131&gt;0, D131/C131, 0),"-")</f>
        <v>-</v>
      </c>
    </row>
    <row r="132" spans="2:5" x14ac:dyDescent="0.3">
      <c r="B132" s="14" t="s">
        <v>48</v>
      </c>
      <c r="C132" s="15" t="s">
        <v>142</v>
      </c>
      <c r="D132" s="16" t="s">
        <v>142</v>
      </c>
      <c r="E132" s="17" t="str">
        <f>IFERROR(IF(C132&gt;0, D132/C132, 0),"-")</f>
        <v>-</v>
      </c>
    </row>
    <row r="133" spans="2:5" x14ac:dyDescent="0.3">
      <c r="B133" s="14" t="s">
        <v>88</v>
      </c>
      <c r="C133" s="15" t="s">
        <v>142</v>
      </c>
      <c r="D133" s="16" t="s">
        <v>142</v>
      </c>
      <c r="E133" s="17" t="str">
        <f>IFERROR(IF(C133&gt;0, D133/C133, 0),"-")</f>
        <v>-</v>
      </c>
    </row>
    <row r="134" spans="2:5" x14ac:dyDescent="0.3">
      <c r="B134" s="14" t="s">
        <v>117</v>
      </c>
      <c r="C134" s="15" t="s">
        <v>142</v>
      </c>
      <c r="D134" s="16" t="s">
        <v>142</v>
      </c>
      <c r="E134" s="17" t="str">
        <f>IFERROR(IF(C134&gt;0, D134/C134, 0),"-")</f>
        <v>-</v>
      </c>
    </row>
    <row r="135" spans="2:5" x14ac:dyDescent="0.3">
      <c r="B135" s="14" t="s">
        <v>8</v>
      </c>
      <c r="C135" s="15" t="s">
        <v>142</v>
      </c>
      <c r="D135" s="16" t="s">
        <v>142</v>
      </c>
      <c r="E135" s="17" t="str">
        <f>IFERROR(IF(C135&gt;0, D135/C135, 0),"-")</f>
        <v>-</v>
      </c>
    </row>
    <row r="136" spans="2:5" x14ac:dyDescent="0.3">
      <c r="B136" s="14" t="s">
        <v>107</v>
      </c>
      <c r="C136" s="15" t="s">
        <v>142</v>
      </c>
      <c r="D136" s="16" t="s">
        <v>142</v>
      </c>
      <c r="E136" s="17" t="str">
        <f>IFERROR(IF(C136&gt;0, D136/C136, 0),"-")</f>
        <v>-</v>
      </c>
    </row>
    <row r="137" spans="2:5" x14ac:dyDescent="0.3">
      <c r="B137" s="14" t="s">
        <v>33</v>
      </c>
      <c r="C137" s="15" t="s">
        <v>142</v>
      </c>
      <c r="D137" s="16" t="s">
        <v>142</v>
      </c>
      <c r="E137" s="17" t="str">
        <f>IFERROR(IF(C137&gt;0, D137/C137, 0),"-")</f>
        <v>-</v>
      </c>
    </row>
    <row r="138" spans="2:5" x14ac:dyDescent="0.3">
      <c r="B138" s="14" t="s">
        <v>54</v>
      </c>
      <c r="C138" s="15" t="s">
        <v>142</v>
      </c>
      <c r="D138" s="16" t="s">
        <v>142</v>
      </c>
      <c r="E138" s="17" t="str">
        <f>IFERROR(IF(C138&gt;0, D138/C138, 0),"-")</f>
        <v>-</v>
      </c>
    </row>
    <row r="139" spans="2:5" x14ac:dyDescent="0.3">
      <c r="B139" s="14" t="s">
        <v>71</v>
      </c>
      <c r="C139" s="15">
        <v>1</v>
      </c>
      <c r="D139" s="16" t="s">
        <v>142</v>
      </c>
      <c r="E139" s="17" t="str">
        <f>IFERROR(IF(C139&gt;0, D139/C139, 0),"-")</f>
        <v>-</v>
      </c>
    </row>
    <row r="140" spans="2:5" x14ac:dyDescent="0.3">
      <c r="B140" s="14" t="s">
        <v>9</v>
      </c>
      <c r="C140" s="15" t="s">
        <v>142</v>
      </c>
      <c r="D140" s="16" t="s">
        <v>142</v>
      </c>
      <c r="E140" s="17" t="str">
        <f>IFERROR(IF(C140&gt;0, D140/C140, 0),"-")</f>
        <v>-</v>
      </c>
    </row>
    <row r="141" spans="2:5" x14ac:dyDescent="0.3">
      <c r="B141" s="14" t="s">
        <v>39</v>
      </c>
      <c r="C141" s="15" t="s">
        <v>142</v>
      </c>
      <c r="D141" s="16" t="s">
        <v>142</v>
      </c>
      <c r="E141" s="17" t="str">
        <f>IFERROR(IF(C141&gt;0, D141/C141, 0),"-")</f>
        <v>-</v>
      </c>
    </row>
    <row r="142" spans="2:5" x14ac:dyDescent="0.3">
      <c r="B142" s="14" t="s">
        <v>25</v>
      </c>
      <c r="C142" s="15" t="s">
        <v>142</v>
      </c>
      <c r="D142" s="16" t="s">
        <v>142</v>
      </c>
      <c r="E142" s="17" t="str">
        <f>IFERROR(IF(C142&gt;0, D142/C142, 0),"-")</f>
        <v>-</v>
      </c>
    </row>
    <row r="143" spans="2:5" x14ac:dyDescent="0.3">
      <c r="B143" s="14" t="s">
        <v>102</v>
      </c>
      <c r="C143" s="15">
        <v>28</v>
      </c>
      <c r="D143" s="16" t="s">
        <v>142</v>
      </c>
      <c r="E143" s="17" t="str">
        <f>IFERROR(IF(C143&gt;0, D143/C143, 0),"-")</f>
        <v>-</v>
      </c>
    </row>
    <row r="144" spans="2:5" x14ac:dyDescent="0.3">
      <c r="B144" s="14" t="s">
        <v>14</v>
      </c>
      <c r="C144" s="15" t="s">
        <v>142</v>
      </c>
      <c r="D144" s="16" t="s">
        <v>142</v>
      </c>
      <c r="E144" s="17" t="str">
        <f>IFERROR(IF(C144&gt;0, D144/C144, 0),"-")</f>
        <v>-</v>
      </c>
    </row>
    <row r="145" spans="2:5" x14ac:dyDescent="0.3">
      <c r="B145" s="14" t="s">
        <v>125</v>
      </c>
      <c r="C145" s="15" t="s">
        <v>142</v>
      </c>
      <c r="D145" s="16" t="s">
        <v>142</v>
      </c>
      <c r="E145" s="17" t="str">
        <f>IFERROR(IF(C145&gt;0, D145/C145, 0),"-")</f>
        <v>-</v>
      </c>
    </row>
    <row r="146" spans="2:5" x14ac:dyDescent="0.3">
      <c r="B146" s="14" t="s">
        <v>40</v>
      </c>
      <c r="C146" s="15" t="s">
        <v>142</v>
      </c>
      <c r="D146" s="16" t="s">
        <v>142</v>
      </c>
      <c r="E146" s="17" t="str">
        <f>IFERROR(IF(C146&gt;0, D146/C146, 0),"-")</f>
        <v>-</v>
      </c>
    </row>
    <row r="147" spans="2:5" x14ac:dyDescent="0.3">
      <c r="B147" s="14" t="s">
        <v>126</v>
      </c>
      <c r="C147" s="15" t="s">
        <v>142</v>
      </c>
      <c r="D147" s="16" t="s">
        <v>142</v>
      </c>
      <c r="E147" s="17" t="str">
        <f>IFERROR(IF(C147&gt;0, D147/C147, 0),"-")</f>
        <v>-</v>
      </c>
    </row>
    <row r="148" spans="2:5" x14ac:dyDescent="0.3">
      <c r="B148" s="14" t="s">
        <v>47</v>
      </c>
      <c r="C148" s="15" t="s">
        <v>142</v>
      </c>
      <c r="D148" s="16" t="s">
        <v>142</v>
      </c>
      <c r="E148" s="17" t="str">
        <f>IFERROR(IF(C148&gt;0, D148/C148, 0),"-")</f>
        <v>-</v>
      </c>
    </row>
    <row r="149" spans="2:5" x14ac:dyDescent="0.3">
      <c r="B149" s="14" t="s">
        <v>61</v>
      </c>
      <c r="C149" s="15" t="s">
        <v>142</v>
      </c>
      <c r="D149" s="16" t="s">
        <v>142</v>
      </c>
      <c r="E149" s="17" t="str">
        <f>IFERROR(IF(C149&gt;0, D149/C149, 0),"-")</f>
        <v>-</v>
      </c>
    </row>
    <row r="150" spans="2:5" x14ac:dyDescent="0.3">
      <c r="B150" s="14" t="s">
        <v>127</v>
      </c>
      <c r="C150" s="15" t="s">
        <v>142</v>
      </c>
      <c r="D150" s="16" t="s">
        <v>142</v>
      </c>
      <c r="E150" s="17" t="str">
        <f>IFERROR(IF(C150&gt;0, D150/C150, 0),"-")</f>
        <v>-</v>
      </c>
    </row>
    <row r="151" spans="2:5" x14ac:dyDescent="0.3">
      <c r="B151" s="14" t="s">
        <v>92</v>
      </c>
      <c r="C151" s="15" t="s">
        <v>142</v>
      </c>
      <c r="D151" s="16" t="s">
        <v>142</v>
      </c>
      <c r="E151" s="17" t="str">
        <f>IFERROR(IF(C151&gt;0, D151/C151, 0),"-")</f>
        <v>-</v>
      </c>
    </row>
    <row r="152" spans="2:5" x14ac:dyDescent="0.3">
      <c r="B152" s="14" t="s">
        <v>56</v>
      </c>
      <c r="C152" s="15" t="s">
        <v>142</v>
      </c>
      <c r="D152" s="16" t="s">
        <v>142</v>
      </c>
      <c r="E152" s="17" t="str">
        <f>IFERROR(IF(C152&gt;0, D152/C152, 0),"-")</f>
        <v>-</v>
      </c>
    </row>
    <row r="153" spans="2:5" x14ac:dyDescent="0.3">
      <c r="B153" s="14" t="s">
        <v>60</v>
      </c>
      <c r="C153" s="15">
        <v>3</v>
      </c>
      <c r="D153" s="16" t="s">
        <v>142</v>
      </c>
      <c r="E153" s="17" t="str">
        <f>IFERROR(IF(C153&gt;0, D153/C153, 0),"-")</f>
        <v>-</v>
      </c>
    </row>
    <row r="154" spans="2:5" x14ac:dyDescent="0.3">
      <c r="B154" s="14" t="s">
        <v>104</v>
      </c>
      <c r="C154" s="15" t="s">
        <v>142</v>
      </c>
      <c r="D154" s="16" t="s">
        <v>142</v>
      </c>
      <c r="E154" s="17" t="str">
        <f>IFERROR(IF(C154&gt;0, D154/C154, 0),"-")</f>
        <v>-</v>
      </c>
    </row>
    <row r="155" spans="2:5" x14ac:dyDescent="0.3">
      <c r="B155" s="14" t="s">
        <v>135</v>
      </c>
      <c r="C155" s="15" t="s">
        <v>142</v>
      </c>
      <c r="D155" s="16" t="s">
        <v>142</v>
      </c>
      <c r="E155" s="17" t="str">
        <f>IFERROR(IF(C155&gt;0, D155/C155, 0),"-")</f>
        <v>-</v>
      </c>
    </row>
    <row r="156" spans="2:5" x14ac:dyDescent="0.3">
      <c r="B156" s="14" t="s">
        <v>116</v>
      </c>
      <c r="C156" s="15" t="s">
        <v>142</v>
      </c>
      <c r="D156" s="16" t="s">
        <v>142</v>
      </c>
      <c r="E156" s="17" t="str">
        <f>IFERROR(IF(C156&gt;0, D156/C156, 0),"-")</f>
        <v>-</v>
      </c>
    </row>
    <row r="157" spans="2:5" x14ac:dyDescent="0.3">
      <c r="B157" s="14" t="s">
        <v>96</v>
      </c>
      <c r="C157" s="15" t="s">
        <v>142</v>
      </c>
      <c r="D157" s="16" t="s">
        <v>142</v>
      </c>
      <c r="E157" s="17" t="str">
        <f>IFERROR(IF(C157&gt;0, D157/C157, 0),"-")</f>
        <v>-</v>
      </c>
    </row>
    <row r="158" spans="2:5" x14ac:dyDescent="0.3">
      <c r="B158" s="14" t="s">
        <v>63</v>
      </c>
      <c r="C158" s="15" t="s">
        <v>142</v>
      </c>
      <c r="D158" s="16" t="s">
        <v>142</v>
      </c>
      <c r="E158" s="17" t="str">
        <f>IFERROR(IF(C158&gt;0, D158/C158, 0),"-")</f>
        <v>-</v>
      </c>
    </row>
    <row r="159" spans="2:5" x14ac:dyDescent="0.3">
      <c r="B159" s="14" t="s">
        <v>45</v>
      </c>
      <c r="C159" s="15" t="s">
        <v>142</v>
      </c>
      <c r="D159" s="16" t="s">
        <v>142</v>
      </c>
      <c r="E159" s="17" t="str">
        <f>IFERROR(IF(C159&gt;0, D159/C159, 0),"-")</f>
        <v>-</v>
      </c>
    </row>
    <row r="160" spans="2:5" x14ac:dyDescent="0.3">
      <c r="B160" s="14" t="s">
        <v>62</v>
      </c>
      <c r="C160" s="15" t="s">
        <v>142</v>
      </c>
      <c r="D160" s="16" t="s">
        <v>142</v>
      </c>
      <c r="E160" s="17" t="str">
        <f>IFERROR(IF(C160&gt;0, D160/C160, 0),"-")</f>
        <v>-</v>
      </c>
    </row>
    <row r="161" spans="2:5" x14ac:dyDescent="0.3">
      <c r="B161" s="14" t="s">
        <v>132</v>
      </c>
      <c r="C161" s="15">
        <v>52</v>
      </c>
      <c r="D161" s="16" t="s">
        <v>142</v>
      </c>
      <c r="E161" s="17" t="str">
        <f>IFERROR(IF(C161&gt;0, D161/C161, 0),"-")</f>
        <v>-</v>
      </c>
    </row>
    <row r="162" spans="2:5" x14ac:dyDescent="0.3">
      <c r="B162" s="14" t="s">
        <v>70</v>
      </c>
      <c r="C162" s="15" t="s">
        <v>142</v>
      </c>
      <c r="D162" s="16" t="s">
        <v>142</v>
      </c>
      <c r="E162" s="17" t="str">
        <f>IFERROR(IF(C162&gt;0, D162/C162, 0),"-")</f>
        <v>-</v>
      </c>
    </row>
    <row r="163" spans="2:5" x14ac:dyDescent="0.3">
      <c r="B163" s="14" t="s">
        <v>28</v>
      </c>
      <c r="C163" s="15" t="s">
        <v>142</v>
      </c>
      <c r="D163" s="16" t="s">
        <v>142</v>
      </c>
      <c r="E163" s="17" t="str">
        <f>IFERROR(IF(C163&gt;0, D163/C163, 0),"-")</f>
        <v>-</v>
      </c>
    </row>
    <row r="164" spans="2:5" x14ac:dyDescent="0.3">
      <c r="B164" s="14" t="s">
        <v>84</v>
      </c>
      <c r="C164" s="15" t="s">
        <v>142</v>
      </c>
      <c r="D164" s="16" t="s">
        <v>142</v>
      </c>
      <c r="E164" s="17" t="str">
        <f>IFERROR(IF(C164&gt;0, D164/C164, 0),"-")</f>
        <v>-</v>
      </c>
    </row>
    <row r="165" spans="2:5" x14ac:dyDescent="0.3">
      <c r="B165" s="14" t="s">
        <v>5</v>
      </c>
      <c r="C165" s="15" t="s">
        <v>142</v>
      </c>
      <c r="D165" s="16" t="s">
        <v>142</v>
      </c>
      <c r="E165" s="17" t="str">
        <f>IFERROR(IF(C165&gt;0, D165/C165, 0),"-")</f>
        <v>-</v>
      </c>
    </row>
    <row r="166" spans="2:5" x14ac:dyDescent="0.3">
      <c r="B166" s="14" t="s">
        <v>34</v>
      </c>
      <c r="C166" s="15" t="s">
        <v>142</v>
      </c>
      <c r="D166" s="16" t="s">
        <v>142</v>
      </c>
      <c r="E166" s="17" t="str">
        <f>IFERROR(IF(C166&gt;0, D166/C166, 0),"-")</f>
        <v>-</v>
      </c>
    </row>
    <row r="167" spans="2:5" x14ac:dyDescent="0.3">
      <c r="B167" s="14" t="s">
        <v>74</v>
      </c>
      <c r="C167" s="15" t="s">
        <v>142</v>
      </c>
      <c r="D167" s="16" t="s">
        <v>142</v>
      </c>
      <c r="E167" s="17" t="str">
        <f>IFERROR(IF(C167&gt;0, D167/C167, 0),"-")</f>
        <v>-</v>
      </c>
    </row>
    <row r="168" spans="2:5" x14ac:dyDescent="0.3">
      <c r="B168" s="14" t="s">
        <v>64</v>
      </c>
      <c r="C168" s="15" t="s">
        <v>142</v>
      </c>
      <c r="D168" s="16" t="s">
        <v>142</v>
      </c>
      <c r="E168" s="17" t="str">
        <f>IFERROR(IF(C168&gt;0, D168/C168, 0),"-")</f>
        <v>-</v>
      </c>
    </row>
    <row r="169" spans="2:5" x14ac:dyDescent="0.3">
      <c r="B169" s="14" t="s">
        <v>43</v>
      </c>
      <c r="C169" s="15" t="s">
        <v>142</v>
      </c>
      <c r="D169" s="16" t="s">
        <v>142</v>
      </c>
      <c r="E169" s="17" t="str">
        <f>IFERROR(IF(C169&gt;0, D169/C169, 0),"-")</f>
        <v>-</v>
      </c>
    </row>
    <row r="170" spans="2:5" x14ac:dyDescent="0.3">
      <c r="B170" s="14" t="s">
        <v>68</v>
      </c>
      <c r="C170" s="15" t="s">
        <v>142</v>
      </c>
      <c r="D170" s="16" t="s">
        <v>142</v>
      </c>
      <c r="E170" s="17" t="str">
        <f>IFERROR(IF(C170&gt;0, D170/C170, 0),"-")</f>
        <v>-</v>
      </c>
    </row>
    <row r="171" spans="2:5" x14ac:dyDescent="0.3">
      <c r="B171" s="14" t="s">
        <v>67</v>
      </c>
      <c r="C171" s="15" t="s">
        <v>142</v>
      </c>
      <c r="D171" s="16" t="s">
        <v>142</v>
      </c>
      <c r="E171" s="17" t="str">
        <f>IFERROR(IF(C171&gt;0, D171/C171, 0),"-")</f>
        <v>-</v>
      </c>
    </row>
    <row r="172" spans="2:5" x14ac:dyDescent="0.3">
      <c r="B172" s="14" t="s">
        <v>79</v>
      </c>
      <c r="C172" s="15" t="s">
        <v>142</v>
      </c>
      <c r="D172" s="16" t="s">
        <v>142</v>
      </c>
      <c r="E172" s="17" t="str">
        <f>IFERROR(IF(C172&gt;0, D172/C172, 0),"-")</f>
        <v>-</v>
      </c>
    </row>
    <row r="173" spans="2:5" x14ac:dyDescent="0.3">
      <c r="B173" s="14" t="s">
        <v>75</v>
      </c>
      <c r="C173" s="15" t="s">
        <v>142</v>
      </c>
      <c r="D173" s="16" t="s">
        <v>142</v>
      </c>
      <c r="E173" s="17" t="str">
        <f>IFERROR(IF(C173&gt;0, D173/C173, 0),"-")</f>
        <v>-</v>
      </c>
    </row>
    <row r="174" spans="2:5" x14ac:dyDescent="0.3">
      <c r="B174" s="14" t="s">
        <v>118</v>
      </c>
      <c r="C174" s="15" t="s">
        <v>142</v>
      </c>
      <c r="D174" s="16" t="s">
        <v>142</v>
      </c>
      <c r="E174" s="17" t="str">
        <f>IFERROR(IF(C174&gt;0, D174/C174, 0),"-")</f>
        <v>-</v>
      </c>
    </row>
    <row r="175" spans="2:5" x14ac:dyDescent="0.3">
      <c r="B175" s="14" t="s">
        <v>41</v>
      </c>
      <c r="C175" s="15" t="s">
        <v>142</v>
      </c>
      <c r="D175" s="16" t="s">
        <v>142</v>
      </c>
      <c r="E175" s="17" t="str">
        <f>IFERROR(IF(C175&gt;0, D175/C175, 0),"-")</f>
        <v>-</v>
      </c>
    </row>
    <row r="176" spans="2:5" x14ac:dyDescent="0.3">
      <c r="B176" s="14" t="s">
        <v>124</v>
      </c>
      <c r="C176" s="15">
        <v>4</v>
      </c>
      <c r="D176" s="16" t="s">
        <v>142</v>
      </c>
      <c r="E176" s="17" t="str">
        <f>IFERROR(IF(C176&gt;0, D176/C176, 0),"-")</f>
        <v>-</v>
      </c>
    </row>
    <row r="177" spans="2:5" x14ac:dyDescent="0.3">
      <c r="B177" s="14" t="s">
        <v>22</v>
      </c>
      <c r="C177" s="15" t="s">
        <v>142</v>
      </c>
      <c r="D177" s="16" t="s">
        <v>142</v>
      </c>
      <c r="E177" s="17" t="str">
        <f>IFERROR(IF(C177&gt;0, D177/C177, 0),"-")</f>
        <v>-</v>
      </c>
    </row>
    <row r="178" spans="2:5" x14ac:dyDescent="0.3">
      <c r="B178" s="14" t="s">
        <v>1</v>
      </c>
      <c r="C178" s="15" t="s">
        <v>142</v>
      </c>
      <c r="D178" s="16" t="s">
        <v>142</v>
      </c>
      <c r="E178" s="17" t="str">
        <f>IFERROR(IF(C178&gt;0, D178/C178, 0),"-")</f>
        <v>-</v>
      </c>
    </row>
    <row r="179" spans="2:5" x14ac:dyDescent="0.3">
      <c r="B179" s="14" t="s">
        <v>99</v>
      </c>
      <c r="C179" s="15" t="s">
        <v>142</v>
      </c>
      <c r="D179" s="16" t="s">
        <v>142</v>
      </c>
      <c r="E179" s="17" t="str">
        <f>IFERROR(IF(C179&gt;0, D179/C179, 0),"-")</f>
        <v>-</v>
      </c>
    </row>
    <row r="180" spans="2:5" x14ac:dyDescent="0.3">
      <c r="B180" s="14" t="s">
        <v>59</v>
      </c>
      <c r="C180" s="15">
        <v>62</v>
      </c>
      <c r="D180" s="16" t="s">
        <v>142</v>
      </c>
      <c r="E180" s="17" t="str">
        <f>IFERROR(IF(C180&gt;0, D180/C180, 0),"-")</f>
        <v>-</v>
      </c>
    </row>
    <row r="181" spans="2:5" x14ac:dyDescent="0.3">
      <c r="B181" s="14" t="s">
        <v>37</v>
      </c>
      <c r="C181" s="15" t="s">
        <v>142</v>
      </c>
      <c r="D181" s="16" t="s">
        <v>142</v>
      </c>
      <c r="E181" s="17" t="str">
        <f>IFERROR(IF(C181&gt;0, D181/C181, 0),"-")</f>
        <v>-</v>
      </c>
    </row>
    <row r="182" spans="2:5" x14ac:dyDescent="0.3">
      <c r="B182" s="14" t="s">
        <v>86</v>
      </c>
      <c r="C182" s="15">
        <v>12</v>
      </c>
      <c r="D182" s="16" t="s">
        <v>142</v>
      </c>
      <c r="E182" s="17" t="str">
        <f>IFERROR(IF(C182&gt;0, D182/C182, 0),"-")</f>
        <v>-</v>
      </c>
    </row>
    <row r="183" spans="2:5" x14ac:dyDescent="0.3">
      <c r="B183" s="14" t="s">
        <v>115</v>
      </c>
      <c r="C183" s="15" t="s">
        <v>142</v>
      </c>
      <c r="D183" s="16" t="s">
        <v>142</v>
      </c>
      <c r="E183" s="17" t="str">
        <f>IFERROR(IF(C183&gt;0, D183/C183, 0),"-")</f>
        <v>-</v>
      </c>
    </row>
    <row r="184" spans="2:5" x14ac:dyDescent="0.3">
      <c r="B184" s="12" t="s">
        <v>138</v>
      </c>
      <c r="C184" s="13">
        <f>SUM(C57:C183)</f>
        <v>180</v>
      </c>
      <c r="D184" s="13">
        <f>SUM(D57:D183)</f>
        <v>0</v>
      </c>
      <c r="E184" s="18">
        <f>IFERROR(IF(C184&gt;0, D184/C184, 0),"-")</f>
        <v>0</v>
      </c>
    </row>
    <row r="188" spans="2:5" ht="18" x14ac:dyDescent="0.35">
      <c r="B188" s="23" t="s">
        <v>164</v>
      </c>
      <c r="C188" s="23"/>
      <c r="D188" s="23"/>
      <c r="E188" s="23"/>
    </row>
    <row r="190" spans="2:5" x14ac:dyDescent="0.3">
      <c r="B190" s="2" t="s">
        <v>182</v>
      </c>
      <c r="C190" s="2"/>
      <c r="D190" s="2"/>
      <c r="E190" s="2"/>
    </row>
    <row r="191" spans="2:5" x14ac:dyDescent="0.3">
      <c r="B191" s="4" t="s">
        <v>144</v>
      </c>
      <c r="C191" s="2" t="s">
        <v>153</v>
      </c>
      <c r="D191" s="2"/>
      <c r="E191" s="2"/>
    </row>
    <row r="192" spans="2:5" x14ac:dyDescent="0.3">
      <c r="B192" s="4"/>
      <c r="C192" s="6" t="s">
        <v>146</v>
      </c>
      <c r="D192" s="7" t="s">
        <v>158</v>
      </c>
      <c r="E192" s="8" t="s">
        <v>141</v>
      </c>
    </row>
    <row r="193" spans="2:5" x14ac:dyDescent="0.3">
      <c r="C193" s="6"/>
      <c r="D193" s="7"/>
      <c r="E193" s="8"/>
    </row>
    <row r="194" spans="2:5" x14ac:dyDescent="0.3">
      <c r="B194" s="14" t="s">
        <v>2</v>
      </c>
      <c r="C194" s="15" t="s">
        <v>142</v>
      </c>
      <c r="D194" s="16" t="s">
        <v>142</v>
      </c>
      <c r="E194" s="17" t="str">
        <f>IFERROR(IF(C194&gt;0, D194/C194, 0),"-")</f>
        <v>-</v>
      </c>
    </row>
    <row r="195" spans="2:5" x14ac:dyDescent="0.3">
      <c r="B195" s="14" t="s">
        <v>21</v>
      </c>
      <c r="C195" s="15">
        <v>104</v>
      </c>
      <c r="D195" s="16" t="s">
        <v>142</v>
      </c>
      <c r="E195" s="17" t="str">
        <f>IFERROR(IF(C195&gt;0, D195/C195, 0),"-")</f>
        <v>-</v>
      </c>
    </row>
    <row r="196" spans="2:5" x14ac:dyDescent="0.3">
      <c r="B196" s="14" t="s">
        <v>7</v>
      </c>
      <c r="C196" s="15">
        <v>68</v>
      </c>
      <c r="D196" s="16" t="s">
        <v>142</v>
      </c>
      <c r="E196" s="17" t="str">
        <f>IFERROR(IF(C196&gt;0, D196/C196, 0),"-")</f>
        <v>-</v>
      </c>
    </row>
    <row r="197" spans="2:5" x14ac:dyDescent="0.3">
      <c r="B197" s="14" t="s">
        <v>0</v>
      </c>
      <c r="C197" s="15" t="s">
        <v>142</v>
      </c>
      <c r="D197" s="16" t="s">
        <v>142</v>
      </c>
      <c r="E197" s="17" t="str">
        <f>IFERROR(IF(C197&gt;0, D197/C197, 0),"-")</f>
        <v>-</v>
      </c>
    </row>
    <row r="198" spans="2:5" x14ac:dyDescent="0.3">
      <c r="B198" s="14" t="s">
        <v>1</v>
      </c>
      <c r="C198" s="15">
        <v>3</v>
      </c>
      <c r="D198" s="16" t="s">
        <v>142</v>
      </c>
      <c r="E198" s="17" t="str">
        <f>IFERROR(IF(C198&gt;0, D198/C198, 0),"-")</f>
        <v>-</v>
      </c>
    </row>
    <row r="199" spans="2:5" x14ac:dyDescent="0.3">
      <c r="B199" s="12" t="s">
        <v>138</v>
      </c>
      <c r="C199" s="13">
        <f>SUM(C194:C198)</f>
        <v>175</v>
      </c>
      <c r="D199" s="13">
        <f>SUM(D194:D198)</f>
        <v>0</v>
      </c>
      <c r="E199" s="18">
        <f>IFERROR(IF(C199&gt;0, D199/C199, 0),"-")</f>
        <v>0</v>
      </c>
    </row>
    <row r="203" spans="2:5" ht="18" x14ac:dyDescent="0.35">
      <c r="B203" s="23" t="s">
        <v>165</v>
      </c>
      <c r="C203" s="23"/>
      <c r="D203" s="23"/>
      <c r="E203" s="23"/>
    </row>
    <row r="205" spans="2:5" x14ac:dyDescent="0.3">
      <c r="B205" s="2" t="s">
        <v>182</v>
      </c>
      <c r="C205" s="2"/>
      <c r="D205" s="2"/>
      <c r="E205" s="2"/>
    </row>
    <row r="206" spans="2:5" x14ac:dyDescent="0.3">
      <c r="B206" s="4" t="s">
        <v>144</v>
      </c>
      <c r="C206" s="2" t="s">
        <v>153</v>
      </c>
      <c r="D206" s="2"/>
      <c r="E206" s="2"/>
    </row>
    <row r="207" spans="2:5" x14ac:dyDescent="0.3">
      <c r="B207" s="4"/>
      <c r="C207" s="6" t="s">
        <v>146</v>
      </c>
      <c r="D207" s="7" t="s">
        <v>158</v>
      </c>
      <c r="E207" s="8" t="s">
        <v>141</v>
      </c>
    </row>
    <row r="208" spans="2:5" x14ac:dyDescent="0.3">
      <c r="C208" s="6"/>
      <c r="D208" s="7"/>
      <c r="E208" s="8"/>
    </row>
    <row r="209" spans="2:5" x14ac:dyDescent="0.3">
      <c r="B209" s="14" t="s">
        <v>2</v>
      </c>
      <c r="C209" s="15" t="s">
        <v>142</v>
      </c>
      <c r="D209" s="16" t="s">
        <v>142</v>
      </c>
      <c r="E209" s="17" t="str">
        <f>IFERROR(IF(C209&gt;0, D209/C209, 0),"-")</f>
        <v>-</v>
      </c>
    </row>
    <row r="210" spans="2:5" x14ac:dyDescent="0.3">
      <c r="B210" s="14" t="s">
        <v>21</v>
      </c>
      <c r="C210" s="15">
        <v>2</v>
      </c>
      <c r="D210" s="16" t="s">
        <v>142</v>
      </c>
      <c r="E210" s="17" t="str">
        <f>IFERROR(IF(C210&gt;0, D210/C210, 0),"-")</f>
        <v>-</v>
      </c>
    </row>
    <row r="211" spans="2:5" x14ac:dyDescent="0.3">
      <c r="B211" s="14" t="s">
        <v>7</v>
      </c>
      <c r="C211" s="15">
        <v>1</v>
      </c>
      <c r="D211" s="16" t="s">
        <v>142</v>
      </c>
      <c r="E211" s="17" t="str">
        <f>IFERROR(IF(C211&gt;0, D211/C211, 0),"-")</f>
        <v>-</v>
      </c>
    </row>
    <row r="212" spans="2:5" x14ac:dyDescent="0.3">
      <c r="B212" s="14" t="s">
        <v>0</v>
      </c>
      <c r="C212" s="15" t="s">
        <v>142</v>
      </c>
      <c r="D212" s="16" t="s">
        <v>142</v>
      </c>
      <c r="E212" s="17" t="str">
        <f>IFERROR(IF(C212&gt;0, D212/C212, 0),"-")</f>
        <v>-</v>
      </c>
    </row>
    <row r="213" spans="2:5" x14ac:dyDescent="0.3">
      <c r="B213" s="14" t="s">
        <v>1</v>
      </c>
      <c r="C213" s="15">
        <v>1</v>
      </c>
      <c r="D213" s="16" t="s">
        <v>142</v>
      </c>
      <c r="E213" s="17" t="str">
        <f>IFERROR(IF(C213&gt;0, D213/C213, 0),"-")</f>
        <v>-</v>
      </c>
    </row>
    <row r="214" spans="2:5" x14ac:dyDescent="0.3">
      <c r="B214" s="12" t="s">
        <v>138</v>
      </c>
      <c r="C214" s="13">
        <f>SUM(C209:C213)</f>
        <v>4</v>
      </c>
      <c r="D214" s="13">
        <f>SUM(D209:D213)</f>
        <v>0</v>
      </c>
      <c r="E214" s="18">
        <f>IFERROR(IF(C214&gt;0, D214/C214, 0),"-")</f>
        <v>0</v>
      </c>
    </row>
    <row r="218" spans="2:5" ht="18" x14ac:dyDescent="0.35">
      <c r="B218" s="23" t="s">
        <v>166</v>
      </c>
      <c r="C218" s="23"/>
      <c r="D218" s="23"/>
      <c r="E218" s="23"/>
    </row>
    <row r="220" spans="2:5" x14ac:dyDescent="0.3">
      <c r="B220" s="2" t="s">
        <v>182</v>
      </c>
      <c r="C220" s="2"/>
      <c r="D220" s="2"/>
      <c r="E220" s="2"/>
    </row>
    <row r="221" spans="2:5" x14ac:dyDescent="0.3">
      <c r="B221" s="4" t="s">
        <v>144</v>
      </c>
      <c r="C221" s="2" t="s">
        <v>153</v>
      </c>
      <c r="D221" s="2"/>
      <c r="E221" s="2"/>
    </row>
    <row r="222" spans="2:5" x14ac:dyDescent="0.3">
      <c r="B222" s="4"/>
      <c r="C222" s="6" t="s">
        <v>146</v>
      </c>
      <c r="D222" s="7" t="s">
        <v>158</v>
      </c>
      <c r="E222" s="8" t="s">
        <v>141</v>
      </c>
    </row>
    <row r="223" spans="2:5" x14ac:dyDescent="0.3">
      <c r="C223" s="6"/>
      <c r="D223" s="7"/>
      <c r="E223" s="8"/>
    </row>
    <row r="224" spans="2:5" x14ac:dyDescent="0.3">
      <c r="B224" s="14" t="s">
        <v>2</v>
      </c>
      <c r="C224" s="15" t="s">
        <v>142</v>
      </c>
      <c r="D224" s="16" t="s">
        <v>142</v>
      </c>
      <c r="E224" s="17" t="str">
        <f>IFERROR(IF(C224&gt;0, D224/C224, 0),"-")</f>
        <v>-</v>
      </c>
    </row>
    <row r="225" spans="2:5" x14ac:dyDescent="0.3">
      <c r="B225" s="14" t="s">
        <v>21</v>
      </c>
      <c r="C225" s="15" t="s">
        <v>142</v>
      </c>
      <c r="D225" s="16" t="s">
        <v>142</v>
      </c>
      <c r="E225" s="17" t="str">
        <f>IFERROR(IF(C225&gt;0, D225/C225, 0),"-")</f>
        <v>-</v>
      </c>
    </row>
    <row r="226" spans="2:5" x14ac:dyDescent="0.3">
      <c r="B226" s="14" t="s">
        <v>7</v>
      </c>
      <c r="C226" s="15" t="s">
        <v>142</v>
      </c>
      <c r="D226" s="16" t="s">
        <v>142</v>
      </c>
      <c r="E226" s="17" t="str">
        <f>IFERROR(IF(C226&gt;0, D226/C226, 0),"-")</f>
        <v>-</v>
      </c>
    </row>
    <row r="227" spans="2:5" x14ac:dyDescent="0.3">
      <c r="B227" s="14" t="s">
        <v>0</v>
      </c>
      <c r="C227" s="15" t="s">
        <v>142</v>
      </c>
      <c r="D227" s="16" t="s">
        <v>142</v>
      </c>
      <c r="E227" s="17" t="str">
        <f>IFERROR(IF(C227&gt;0, D227/C227, 0),"-")</f>
        <v>-</v>
      </c>
    </row>
    <row r="228" spans="2:5" x14ac:dyDescent="0.3">
      <c r="B228" s="14" t="s">
        <v>1</v>
      </c>
      <c r="C228" s="15">
        <v>1</v>
      </c>
      <c r="D228" s="16" t="s">
        <v>142</v>
      </c>
      <c r="E228" s="17" t="str">
        <f>IFERROR(IF(C228&gt;0, D228/C228, 0),"-")</f>
        <v>-</v>
      </c>
    </row>
    <row r="229" spans="2:5" x14ac:dyDescent="0.3">
      <c r="B229" s="12" t="s">
        <v>138</v>
      </c>
      <c r="C229" s="13">
        <f>SUM(C224:C228)</f>
        <v>1</v>
      </c>
      <c r="D229" s="13">
        <f>SUM(D224:D228)</f>
        <v>0</v>
      </c>
      <c r="E229" s="18">
        <f>IFERROR(IF(C229&gt;0, D229/C229, 0),"-")</f>
        <v>0</v>
      </c>
    </row>
  </sheetData>
  <mergeCells count="39"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BANK</cp:lastModifiedBy>
  <dcterms:created xsi:type="dcterms:W3CDTF">2026-02-20T06:15:37Z</dcterms:created>
  <dcterms:modified xsi:type="dcterms:W3CDTF">2026-02-20T06:20:03Z</dcterms:modified>
</cp:coreProperties>
</file>