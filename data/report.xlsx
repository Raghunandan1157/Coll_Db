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raghunandanmali/Downloads/"/>
    </mc:Choice>
  </mc:AlternateContent>
  <xr:revisionPtr revIDLastSave="0" documentId="8_{29BE1443-1A7A-3F48-A745-562C1BE9F9B2}" xr6:coauthVersionLast="47" xr6:coauthVersionMax="47" xr10:uidLastSave="{00000000-0000-0000-0000-000000000000}"/>
  <bookViews>
    <workbookView xWindow="4280" yWindow="640" windowWidth="16100" windowHeight="9660" firstSheet="2" activeTab="5" xr2:uid="{00000000-000D-0000-FFFF-FFFF00000000}"/>
  </bookViews>
  <sheets>
    <sheet name="OverAll" sheetId="2" r:id="rId1"/>
    <sheet name="OverAll_On-Date" sheetId="3" r:id="rId2"/>
    <sheet name="tom_OverAll_On-Date" sheetId="4" r:id="rId3"/>
    <sheet name="FY_25-26" sheetId="5" r:id="rId4"/>
    <sheet name="FY_25-26_On-Date" sheetId="6" r:id="rId5"/>
    <sheet name="tom_FY_25-26_On-Date" sheetId="7" r:id="rId6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81" i="7" l="1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29" i="7"/>
  <c r="D229" i="7"/>
  <c r="C229" i="7"/>
  <c r="E228" i="7"/>
  <c r="E227" i="7"/>
  <c r="E226" i="7"/>
  <c r="E225" i="7"/>
  <c r="E224" i="7"/>
  <c r="D214" i="7"/>
  <c r="C214" i="7"/>
  <c r="E214" i="7" s="1"/>
  <c r="E213" i="7"/>
  <c r="E212" i="7"/>
  <c r="E211" i="7"/>
  <c r="E210" i="7"/>
  <c r="E209" i="7"/>
  <c r="D199" i="7"/>
  <c r="C199" i="7"/>
  <c r="E199" i="7" s="1"/>
  <c r="E198" i="7"/>
  <c r="E197" i="7"/>
  <c r="E196" i="7"/>
  <c r="E195" i="7"/>
  <c r="E194" i="7"/>
  <c r="D184" i="7"/>
  <c r="C184" i="7"/>
  <c r="E184" i="7" s="1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49" i="7"/>
  <c r="D49" i="7"/>
  <c r="C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1" i="7"/>
  <c r="D11" i="7"/>
  <c r="C11" i="7"/>
  <c r="E10" i="7"/>
  <c r="E9" i="7"/>
  <c r="E8" i="7"/>
  <c r="E7" i="7"/>
  <c r="E6" i="7"/>
  <c r="R1181" i="5"/>
  <c r="Q1181" i="5"/>
  <c r="N1181" i="5"/>
  <c r="M1181" i="5"/>
  <c r="J1181" i="5"/>
  <c r="I1181" i="5"/>
  <c r="F1181" i="5"/>
  <c r="E1181" i="5"/>
  <c r="R1180" i="5"/>
  <c r="Q1180" i="5"/>
  <c r="N1180" i="5"/>
  <c r="M1180" i="5"/>
  <c r="J1180" i="5"/>
  <c r="I1180" i="5"/>
  <c r="F1180" i="5"/>
  <c r="E1180" i="5"/>
  <c r="R1179" i="5"/>
  <c r="Q1179" i="5"/>
  <c r="N1179" i="5"/>
  <c r="M1179" i="5"/>
  <c r="J1179" i="5"/>
  <c r="I1179" i="5"/>
  <c r="F1179" i="5"/>
  <c r="E1179" i="5"/>
  <c r="R1178" i="5"/>
  <c r="Q1178" i="5"/>
  <c r="N1178" i="5"/>
  <c r="M1178" i="5"/>
  <c r="J1178" i="5"/>
  <c r="I1178" i="5"/>
  <c r="F1178" i="5"/>
  <c r="E1178" i="5"/>
  <c r="R1177" i="5"/>
  <c r="Q1177" i="5"/>
  <c r="N1177" i="5"/>
  <c r="M1177" i="5"/>
  <c r="J1177" i="5"/>
  <c r="I1177" i="5"/>
  <c r="F1177" i="5"/>
  <c r="E1177" i="5"/>
  <c r="R1176" i="5"/>
  <c r="Q1176" i="5"/>
  <c r="N1176" i="5"/>
  <c r="M1176" i="5"/>
  <c r="J1176" i="5"/>
  <c r="I1176" i="5"/>
  <c r="F1176" i="5"/>
  <c r="E1176" i="5"/>
  <c r="R1175" i="5"/>
  <c r="Q1175" i="5"/>
  <c r="N1175" i="5"/>
  <c r="M1175" i="5"/>
  <c r="J1175" i="5"/>
  <c r="I1175" i="5"/>
  <c r="F1175" i="5"/>
  <c r="E1175" i="5"/>
  <c r="R1174" i="5"/>
  <c r="Q1174" i="5"/>
  <c r="N1174" i="5"/>
  <c r="M1174" i="5"/>
  <c r="J1174" i="5"/>
  <c r="I1174" i="5"/>
  <c r="F1174" i="5"/>
  <c r="E1174" i="5"/>
  <c r="R1173" i="5"/>
  <c r="Q1173" i="5"/>
  <c r="N1173" i="5"/>
  <c r="M1173" i="5"/>
  <c r="J1173" i="5"/>
  <c r="I1173" i="5"/>
  <c r="F1173" i="5"/>
  <c r="E1173" i="5"/>
  <c r="R1172" i="5"/>
  <c r="Q1172" i="5"/>
  <c r="N1172" i="5"/>
  <c r="M1172" i="5"/>
  <c r="J1172" i="5"/>
  <c r="I1172" i="5"/>
  <c r="F1172" i="5"/>
  <c r="E1172" i="5"/>
  <c r="R1171" i="5"/>
  <c r="Q1171" i="5"/>
  <c r="N1171" i="5"/>
  <c r="M1171" i="5"/>
  <c r="J1171" i="5"/>
  <c r="I1171" i="5"/>
  <c r="F1171" i="5"/>
  <c r="E1171" i="5"/>
  <c r="R1170" i="5"/>
  <c r="Q1170" i="5"/>
  <c r="N1170" i="5"/>
  <c r="M1170" i="5"/>
  <c r="J1170" i="5"/>
  <c r="I1170" i="5"/>
  <c r="F1170" i="5"/>
  <c r="E1170" i="5"/>
  <c r="R1169" i="5"/>
  <c r="Q1169" i="5"/>
  <c r="N1169" i="5"/>
  <c r="M1169" i="5"/>
  <c r="J1169" i="5"/>
  <c r="I1169" i="5"/>
  <c r="F1169" i="5"/>
  <c r="E1169" i="5"/>
  <c r="R1168" i="5"/>
  <c r="Q1168" i="5"/>
  <c r="N1168" i="5"/>
  <c r="M1168" i="5"/>
  <c r="J1168" i="5"/>
  <c r="I1168" i="5"/>
  <c r="F1168" i="5"/>
  <c r="E1168" i="5"/>
  <c r="R1167" i="5"/>
  <c r="Q1167" i="5"/>
  <c r="N1167" i="5"/>
  <c r="M1167" i="5"/>
  <c r="J1167" i="5"/>
  <c r="I1167" i="5"/>
  <c r="F1167" i="5"/>
  <c r="E1167" i="5"/>
  <c r="R1166" i="5"/>
  <c r="Q1166" i="5"/>
  <c r="N1166" i="5"/>
  <c r="M1166" i="5"/>
  <c r="J1166" i="5"/>
  <c r="I1166" i="5"/>
  <c r="F1166" i="5"/>
  <c r="E1166" i="5"/>
  <c r="R1165" i="5"/>
  <c r="Q1165" i="5"/>
  <c r="N1165" i="5"/>
  <c r="M1165" i="5"/>
  <c r="J1165" i="5"/>
  <c r="I1165" i="5"/>
  <c r="F1165" i="5"/>
  <c r="E1165" i="5"/>
  <c r="R1164" i="5"/>
  <c r="Q1164" i="5"/>
  <c r="N1164" i="5"/>
  <c r="M1164" i="5"/>
  <c r="J1164" i="5"/>
  <c r="I1164" i="5"/>
  <c r="F1164" i="5"/>
  <c r="E1164" i="5"/>
  <c r="R1163" i="5"/>
  <c r="Q1163" i="5"/>
  <c r="N1163" i="5"/>
  <c r="M1163" i="5"/>
  <c r="J1163" i="5"/>
  <c r="I1163" i="5"/>
  <c r="F1163" i="5"/>
  <c r="E1163" i="5"/>
  <c r="R1162" i="5"/>
  <c r="Q1162" i="5"/>
  <c r="N1162" i="5"/>
  <c r="M1162" i="5"/>
  <c r="J1162" i="5"/>
  <c r="I1162" i="5"/>
  <c r="F1162" i="5"/>
  <c r="E1162" i="5"/>
  <c r="R1161" i="5"/>
  <c r="Q1161" i="5"/>
  <c r="N1161" i="5"/>
  <c r="M1161" i="5"/>
  <c r="J1161" i="5"/>
  <c r="I1161" i="5"/>
  <c r="F1161" i="5"/>
  <c r="E1161" i="5"/>
  <c r="R1160" i="5"/>
  <c r="Q1160" i="5"/>
  <c r="N1160" i="5"/>
  <c r="M1160" i="5"/>
  <c r="J1160" i="5"/>
  <c r="I1160" i="5"/>
  <c r="F1160" i="5"/>
  <c r="E1160" i="5"/>
  <c r="R1159" i="5"/>
  <c r="Q1159" i="5"/>
  <c r="N1159" i="5"/>
  <c r="M1159" i="5"/>
  <c r="J1159" i="5"/>
  <c r="I1159" i="5"/>
  <c r="F1159" i="5"/>
  <c r="E1159" i="5"/>
  <c r="R1158" i="5"/>
  <c r="Q1158" i="5"/>
  <c r="N1158" i="5"/>
  <c r="M1158" i="5"/>
  <c r="J1158" i="5"/>
  <c r="I1158" i="5"/>
  <c r="F1158" i="5"/>
  <c r="E1158" i="5"/>
  <c r="R1157" i="5"/>
  <c r="Q1157" i="5"/>
  <c r="N1157" i="5"/>
  <c r="M1157" i="5"/>
  <c r="J1157" i="5"/>
  <c r="I1157" i="5"/>
  <c r="F1157" i="5"/>
  <c r="E1157" i="5"/>
  <c r="R1156" i="5"/>
  <c r="Q1156" i="5"/>
  <c r="N1156" i="5"/>
  <c r="M1156" i="5"/>
  <c r="J1156" i="5"/>
  <c r="I1156" i="5"/>
  <c r="F1156" i="5"/>
  <c r="E1156" i="5"/>
  <c r="R1155" i="5"/>
  <c r="Q1155" i="5"/>
  <c r="N1155" i="5"/>
  <c r="M1155" i="5"/>
  <c r="J1155" i="5"/>
  <c r="I1155" i="5"/>
  <c r="F1155" i="5"/>
  <c r="E1155" i="5"/>
  <c r="R1154" i="5"/>
  <c r="Q1154" i="5"/>
  <c r="N1154" i="5"/>
  <c r="M1154" i="5"/>
  <c r="J1154" i="5"/>
  <c r="I1154" i="5"/>
  <c r="F1154" i="5"/>
  <c r="E1154" i="5"/>
  <c r="R1153" i="5"/>
  <c r="Q1153" i="5"/>
  <c r="N1153" i="5"/>
  <c r="M1153" i="5"/>
  <c r="J1153" i="5"/>
  <c r="I1153" i="5"/>
  <c r="F1153" i="5"/>
  <c r="E1153" i="5"/>
  <c r="R1152" i="5"/>
  <c r="Q1152" i="5"/>
  <c r="N1152" i="5"/>
  <c r="M1152" i="5"/>
  <c r="J1152" i="5"/>
  <c r="I1152" i="5"/>
  <c r="F1152" i="5"/>
  <c r="E1152" i="5"/>
  <c r="R1151" i="5"/>
  <c r="Q1151" i="5"/>
  <c r="N1151" i="5"/>
  <c r="M1151" i="5"/>
  <c r="J1151" i="5"/>
  <c r="I1151" i="5"/>
  <c r="F1151" i="5"/>
  <c r="E1151" i="5"/>
  <c r="R1150" i="5"/>
  <c r="Q1150" i="5"/>
  <c r="N1150" i="5"/>
  <c r="M1150" i="5"/>
  <c r="J1150" i="5"/>
  <c r="I1150" i="5"/>
  <c r="F1150" i="5"/>
  <c r="E1150" i="5"/>
  <c r="R1149" i="5"/>
  <c r="Q1149" i="5"/>
  <c r="N1149" i="5"/>
  <c r="M1149" i="5"/>
  <c r="J1149" i="5"/>
  <c r="I1149" i="5"/>
  <c r="F1149" i="5"/>
  <c r="E1149" i="5"/>
  <c r="R1148" i="5"/>
  <c r="Q1148" i="5"/>
  <c r="N1148" i="5"/>
  <c r="M1148" i="5"/>
  <c r="J1148" i="5"/>
  <c r="I1148" i="5"/>
  <c r="F1148" i="5"/>
  <c r="E1148" i="5"/>
  <c r="R1147" i="5"/>
  <c r="Q1147" i="5"/>
  <c r="N1147" i="5"/>
  <c r="M1147" i="5"/>
  <c r="J1147" i="5"/>
  <c r="I1147" i="5"/>
  <c r="F1147" i="5"/>
  <c r="E1147" i="5"/>
  <c r="R1146" i="5"/>
  <c r="Q1146" i="5"/>
  <c r="N1146" i="5"/>
  <c r="M1146" i="5"/>
  <c r="J1146" i="5"/>
  <c r="I1146" i="5"/>
  <c r="F1146" i="5"/>
  <c r="E1146" i="5"/>
  <c r="R1145" i="5"/>
  <c r="Q1145" i="5"/>
  <c r="N1145" i="5"/>
  <c r="M1145" i="5"/>
  <c r="J1145" i="5"/>
  <c r="I1145" i="5"/>
  <c r="F1145" i="5"/>
  <c r="E1145" i="5"/>
  <c r="R1144" i="5"/>
  <c r="Q1144" i="5"/>
  <c r="N1144" i="5"/>
  <c r="M1144" i="5"/>
  <c r="J1144" i="5"/>
  <c r="I1144" i="5"/>
  <c r="F1144" i="5"/>
  <c r="E1144" i="5"/>
  <c r="R1143" i="5"/>
  <c r="Q1143" i="5"/>
  <c r="N1143" i="5"/>
  <c r="M1143" i="5"/>
  <c r="J1143" i="5"/>
  <c r="I1143" i="5"/>
  <c r="F1143" i="5"/>
  <c r="E1143" i="5"/>
  <c r="R1142" i="5"/>
  <c r="Q1142" i="5"/>
  <c r="N1142" i="5"/>
  <c r="M1142" i="5"/>
  <c r="J1142" i="5"/>
  <c r="I1142" i="5"/>
  <c r="F1142" i="5"/>
  <c r="E1142" i="5"/>
  <c r="R1141" i="5"/>
  <c r="Q1141" i="5"/>
  <c r="N1141" i="5"/>
  <c r="M1141" i="5"/>
  <c r="J1141" i="5"/>
  <c r="I1141" i="5"/>
  <c r="F1141" i="5"/>
  <c r="E1141" i="5"/>
  <c r="R1140" i="5"/>
  <c r="Q1140" i="5"/>
  <c r="N1140" i="5"/>
  <c r="M1140" i="5"/>
  <c r="J1140" i="5"/>
  <c r="I1140" i="5"/>
  <c r="F1140" i="5"/>
  <c r="E1140" i="5"/>
  <c r="R1139" i="5"/>
  <c r="Q1139" i="5"/>
  <c r="N1139" i="5"/>
  <c r="M1139" i="5"/>
  <c r="J1139" i="5"/>
  <c r="I1139" i="5"/>
  <c r="F1139" i="5"/>
  <c r="E1139" i="5"/>
  <c r="R1138" i="5"/>
  <c r="Q1138" i="5"/>
  <c r="N1138" i="5"/>
  <c r="M1138" i="5"/>
  <c r="J1138" i="5"/>
  <c r="I1138" i="5"/>
  <c r="F1138" i="5"/>
  <c r="E1138" i="5"/>
  <c r="R1137" i="5"/>
  <c r="Q1137" i="5"/>
  <c r="N1137" i="5"/>
  <c r="M1137" i="5"/>
  <c r="J1137" i="5"/>
  <c r="I1137" i="5"/>
  <c r="F1137" i="5"/>
  <c r="E1137" i="5"/>
  <c r="R1136" i="5"/>
  <c r="Q1136" i="5"/>
  <c r="N1136" i="5"/>
  <c r="M1136" i="5"/>
  <c r="J1136" i="5"/>
  <c r="I1136" i="5"/>
  <c r="F1136" i="5"/>
  <c r="E1136" i="5"/>
  <c r="R1135" i="5"/>
  <c r="Q1135" i="5"/>
  <c r="N1135" i="5"/>
  <c r="M1135" i="5"/>
  <c r="J1135" i="5"/>
  <c r="I1135" i="5"/>
  <c r="F1135" i="5"/>
  <c r="E1135" i="5"/>
  <c r="R1134" i="5"/>
  <c r="Q1134" i="5"/>
  <c r="N1134" i="5"/>
  <c r="M1134" i="5"/>
  <c r="J1134" i="5"/>
  <c r="I1134" i="5"/>
  <c r="F1134" i="5"/>
  <c r="E1134" i="5"/>
  <c r="R1133" i="5"/>
  <c r="Q1133" i="5"/>
  <c r="N1133" i="5"/>
  <c r="M1133" i="5"/>
  <c r="J1133" i="5"/>
  <c r="I1133" i="5"/>
  <c r="F1133" i="5"/>
  <c r="E1133" i="5"/>
  <c r="R1132" i="5"/>
  <c r="Q1132" i="5"/>
  <c r="N1132" i="5"/>
  <c r="M1132" i="5"/>
  <c r="J1132" i="5"/>
  <c r="I1132" i="5"/>
  <c r="F1132" i="5"/>
  <c r="E1132" i="5"/>
  <c r="R1131" i="5"/>
  <c r="Q1131" i="5"/>
  <c r="N1131" i="5"/>
  <c r="M1131" i="5"/>
  <c r="J1131" i="5"/>
  <c r="I1131" i="5"/>
  <c r="F1131" i="5"/>
  <c r="E1131" i="5"/>
  <c r="R1130" i="5"/>
  <c r="Q1130" i="5"/>
  <c r="N1130" i="5"/>
  <c r="M1130" i="5"/>
  <c r="J1130" i="5"/>
  <c r="I1130" i="5"/>
  <c r="F1130" i="5"/>
  <c r="E1130" i="5"/>
  <c r="R1129" i="5"/>
  <c r="Q1129" i="5"/>
  <c r="N1129" i="5"/>
  <c r="M1129" i="5"/>
  <c r="J1129" i="5"/>
  <c r="I1129" i="5"/>
  <c r="F1129" i="5"/>
  <c r="E1129" i="5"/>
  <c r="R1128" i="5"/>
  <c r="Q1128" i="5"/>
  <c r="N1128" i="5"/>
  <c r="M1128" i="5"/>
  <c r="J1128" i="5"/>
  <c r="I1128" i="5"/>
  <c r="F1128" i="5"/>
  <c r="E1128" i="5"/>
  <c r="R1127" i="5"/>
  <c r="Q1127" i="5"/>
  <c r="N1127" i="5"/>
  <c r="M1127" i="5"/>
  <c r="J1127" i="5"/>
  <c r="I1127" i="5"/>
  <c r="F1127" i="5"/>
  <c r="E1127" i="5"/>
  <c r="R1126" i="5"/>
  <c r="Q1126" i="5"/>
  <c r="N1126" i="5"/>
  <c r="M1126" i="5"/>
  <c r="J1126" i="5"/>
  <c r="I1126" i="5"/>
  <c r="F1126" i="5"/>
  <c r="E1126" i="5"/>
  <c r="R1125" i="5"/>
  <c r="Q1125" i="5"/>
  <c r="N1125" i="5"/>
  <c r="M1125" i="5"/>
  <c r="J1125" i="5"/>
  <c r="I1125" i="5"/>
  <c r="F1125" i="5"/>
  <c r="E1125" i="5"/>
  <c r="R1124" i="5"/>
  <c r="Q1124" i="5"/>
  <c r="N1124" i="5"/>
  <c r="M1124" i="5"/>
  <c r="J1124" i="5"/>
  <c r="I1124" i="5"/>
  <c r="F1124" i="5"/>
  <c r="E1124" i="5"/>
  <c r="R1123" i="5"/>
  <c r="Q1123" i="5"/>
  <c r="N1123" i="5"/>
  <c r="M1123" i="5"/>
  <c r="J1123" i="5"/>
  <c r="I1123" i="5"/>
  <c r="F1123" i="5"/>
  <c r="E1123" i="5"/>
  <c r="R1122" i="5"/>
  <c r="Q1122" i="5"/>
  <c r="N1122" i="5"/>
  <c r="M1122" i="5"/>
  <c r="J1122" i="5"/>
  <c r="I1122" i="5"/>
  <c r="F1122" i="5"/>
  <c r="E1122" i="5"/>
  <c r="R1121" i="5"/>
  <c r="Q1121" i="5"/>
  <c r="N1121" i="5"/>
  <c r="M1121" i="5"/>
  <c r="J1121" i="5"/>
  <c r="I1121" i="5"/>
  <c r="F1121" i="5"/>
  <c r="E1121" i="5"/>
  <c r="R1120" i="5"/>
  <c r="Q1120" i="5"/>
  <c r="N1120" i="5"/>
  <c r="M1120" i="5"/>
  <c r="J1120" i="5"/>
  <c r="I1120" i="5"/>
  <c r="F1120" i="5"/>
  <c r="E1120" i="5"/>
  <c r="R1119" i="5"/>
  <c r="Q1119" i="5"/>
  <c r="N1119" i="5"/>
  <c r="M1119" i="5"/>
  <c r="J1119" i="5"/>
  <c r="I1119" i="5"/>
  <c r="F1119" i="5"/>
  <c r="E1119" i="5"/>
  <c r="R1118" i="5"/>
  <c r="Q1118" i="5"/>
  <c r="N1118" i="5"/>
  <c r="M1118" i="5"/>
  <c r="J1118" i="5"/>
  <c r="I1118" i="5"/>
  <c r="F1118" i="5"/>
  <c r="E1118" i="5"/>
  <c r="R1117" i="5"/>
  <c r="Q1117" i="5"/>
  <c r="N1117" i="5"/>
  <c r="M1117" i="5"/>
  <c r="J1117" i="5"/>
  <c r="I1117" i="5"/>
  <c r="F1117" i="5"/>
  <c r="E1117" i="5"/>
  <c r="R1116" i="5"/>
  <c r="Q1116" i="5"/>
  <c r="N1116" i="5"/>
  <c r="M1116" i="5"/>
  <c r="J1116" i="5"/>
  <c r="I1116" i="5"/>
  <c r="F1116" i="5"/>
  <c r="E1116" i="5"/>
  <c r="R1115" i="5"/>
  <c r="Q1115" i="5"/>
  <c r="N1115" i="5"/>
  <c r="M1115" i="5"/>
  <c r="J1115" i="5"/>
  <c r="I1115" i="5"/>
  <c r="F1115" i="5"/>
  <c r="E1115" i="5"/>
  <c r="R1114" i="5"/>
  <c r="Q1114" i="5"/>
  <c r="N1114" i="5"/>
  <c r="M1114" i="5"/>
  <c r="J1114" i="5"/>
  <c r="I1114" i="5"/>
  <c r="F1114" i="5"/>
  <c r="E1114" i="5"/>
  <c r="R1113" i="5"/>
  <c r="Q1113" i="5"/>
  <c r="N1113" i="5"/>
  <c r="M1113" i="5"/>
  <c r="J1113" i="5"/>
  <c r="I1113" i="5"/>
  <c r="F1113" i="5"/>
  <c r="E1113" i="5"/>
  <c r="R1112" i="5"/>
  <c r="Q1112" i="5"/>
  <c r="N1112" i="5"/>
  <c r="M1112" i="5"/>
  <c r="J1112" i="5"/>
  <c r="I1112" i="5"/>
  <c r="F1112" i="5"/>
  <c r="E1112" i="5"/>
  <c r="R1111" i="5"/>
  <c r="Q1111" i="5"/>
  <c r="N1111" i="5"/>
  <c r="M1111" i="5"/>
  <c r="J1111" i="5"/>
  <c r="I1111" i="5"/>
  <c r="F1111" i="5"/>
  <c r="E1111" i="5"/>
  <c r="R1110" i="5"/>
  <c r="Q1110" i="5"/>
  <c r="N1110" i="5"/>
  <c r="M1110" i="5"/>
  <c r="J1110" i="5"/>
  <c r="I1110" i="5"/>
  <c r="F1110" i="5"/>
  <c r="E1110" i="5"/>
  <c r="R1109" i="5"/>
  <c r="Q1109" i="5"/>
  <c r="N1109" i="5"/>
  <c r="M1109" i="5"/>
  <c r="J1109" i="5"/>
  <c r="I1109" i="5"/>
  <c r="F1109" i="5"/>
  <c r="E1109" i="5"/>
  <c r="R1108" i="5"/>
  <c r="Q1108" i="5"/>
  <c r="N1108" i="5"/>
  <c r="M1108" i="5"/>
  <c r="J1108" i="5"/>
  <c r="I1108" i="5"/>
  <c r="F1108" i="5"/>
  <c r="E1108" i="5"/>
  <c r="R1107" i="5"/>
  <c r="Q1107" i="5"/>
  <c r="N1107" i="5"/>
  <c r="M1107" i="5"/>
  <c r="J1107" i="5"/>
  <c r="I1107" i="5"/>
  <c r="F1107" i="5"/>
  <c r="E1107" i="5"/>
  <c r="R1106" i="5"/>
  <c r="Q1106" i="5"/>
  <c r="N1106" i="5"/>
  <c r="M1106" i="5"/>
  <c r="J1106" i="5"/>
  <c r="I1106" i="5"/>
  <c r="F1106" i="5"/>
  <c r="E1106" i="5"/>
  <c r="R1105" i="5"/>
  <c r="Q1105" i="5"/>
  <c r="N1105" i="5"/>
  <c r="M1105" i="5"/>
  <c r="J1105" i="5"/>
  <c r="I1105" i="5"/>
  <c r="F1105" i="5"/>
  <c r="E1105" i="5"/>
  <c r="R1104" i="5"/>
  <c r="Q1104" i="5"/>
  <c r="N1104" i="5"/>
  <c r="M1104" i="5"/>
  <c r="J1104" i="5"/>
  <c r="I1104" i="5"/>
  <c r="F1104" i="5"/>
  <c r="E1104" i="5"/>
  <c r="R1103" i="5"/>
  <c r="Q1103" i="5"/>
  <c r="N1103" i="5"/>
  <c r="M1103" i="5"/>
  <c r="J1103" i="5"/>
  <c r="I1103" i="5"/>
  <c r="F1103" i="5"/>
  <c r="E1103" i="5"/>
  <c r="R1102" i="5"/>
  <c r="Q1102" i="5"/>
  <c r="N1102" i="5"/>
  <c r="M1102" i="5"/>
  <c r="J1102" i="5"/>
  <c r="I1102" i="5"/>
  <c r="F1102" i="5"/>
  <c r="E1102" i="5"/>
  <c r="R1101" i="5"/>
  <c r="Q1101" i="5"/>
  <c r="N1101" i="5"/>
  <c r="M1101" i="5"/>
  <c r="J1101" i="5"/>
  <c r="I1101" i="5"/>
  <c r="F1101" i="5"/>
  <c r="E1101" i="5"/>
  <c r="R1100" i="5"/>
  <c r="Q1100" i="5"/>
  <c r="N1100" i="5"/>
  <c r="M1100" i="5"/>
  <c r="J1100" i="5"/>
  <c r="I1100" i="5"/>
  <c r="F1100" i="5"/>
  <c r="E1100" i="5"/>
  <c r="R1099" i="5"/>
  <c r="Q1099" i="5"/>
  <c r="N1099" i="5"/>
  <c r="M1099" i="5"/>
  <c r="J1099" i="5"/>
  <c r="I1099" i="5"/>
  <c r="F1099" i="5"/>
  <c r="E1099" i="5"/>
  <c r="R1098" i="5"/>
  <c r="Q1098" i="5"/>
  <c r="N1098" i="5"/>
  <c r="M1098" i="5"/>
  <c r="J1098" i="5"/>
  <c r="I1098" i="5"/>
  <c r="F1098" i="5"/>
  <c r="E1098" i="5"/>
  <c r="R1097" i="5"/>
  <c r="Q1097" i="5"/>
  <c r="N1097" i="5"/>
  <c r="M1097" i="5"/>
  <c r="J1097" i="5"/>
  <c r="I1097" i="5"/>
  <c r="F1097" i="5"/>
  <c r="E1097" i="5"/>
  <c r="R1096" i="5"/>
  <c r="Q1096" i="5"/>
  <c r="N1096" i="5"/>
  <c r="M1096" i="5"/>
  <c r="J1096" i="5"/>
  <c r="I1096" i="5"/>
  <c r="F1096" i="5"/>
  <c r="E1096" i="5"/>
  <c r="R1095" i="5"/>
  <c r="Q1095" i="5"/>
  <c r="N1095" i="5"/>
  <c r="M1095" i="5"/>
  <c r="J1095" i="5"/>
  <c r="I1095" i="5"/>
  <c r="F1095" i="5"/>
  <c r="E1095" i="5"/>
  <c r="R1094" i="5"/>
  <c r="Q1094" i="5"/>
  <c r="N1094" i="5"/>
  <c r="M1094" i="5"/>
  <c r="J1094" i="5"/>
  <c r="I1094" i="5"/>
  <c r="F1094" i="5"/>
  <c r="E1094" i="5"/>
  <c r="R1093" i="5"/>
  <c r="Q1093" i="5"/>
  <c r="N1093" i="5"/>
  <c r="M1093" i="5"/>
  <c r="J1093" i="5"/>
  <c r="I1093" i="5"/>
  <c r="F1093" i="5"/>
  <c r="E1093" i="5"/>
  <c r="R1092" i="5"/>
  <c r="Q1092" i="5"/>
  <c r="N1092" i="5"/>
  <c r="M1092" i="5"/>
  <c r="J1092" i="5"/>
  <c r="I1092" i="5"/>
  <c r="F1092" i="5"/>
  <c r="E1092" i="5"/>
  <c r="R1091" i="5"/>
  <c r="Q1091" i="5"/>
  <c r="N1091" i="5"/>
  <c r="M1091" i="5"/>
  <c r="J1091" i="5"/>
  <c r="I1091" i="5"/>
  <c r="F1091" i="5"/>
  <c r="E1091" i="5"/>
  <c r="R1090" i="5"/>
  <c r="Q1090" i="5"/>
  <c r="N1090" i="5"/>
  <c r="M1090" i="5"/>
  <c r="J1090" i="5"/>
  <c r="I1090" i="5"/>
  <c r="F1090" i="5"/>
  <c r="E1090" i="5"/>
  <c r="R1089" i="5"/>
  <c r="Q1089" i="5"/>
  <c r="N1089" i="5"/>
  <c r="M1089" i="5"/>
  <c r="J1089" i="5"/>
  <c r="I1089" i="5"/>
  <c r="F1089" i="5"/>
  <c r="E1089" i="5"/>
  <c r="R1088" i="5"/>
  <c r="Q1088" i="5"/>
  <c r="N1088" i="5"/>
  <c r="M1088" i="5"/>
  <c r="J1088" i="5"/>
  <c r="I1088" i="5"/>
  <c r="F1088" i="5"/>
  <c r="E1088" i="5"/>
  <c r="R1087" i="5"/>
  <c r="Q1087" i="5"/>
  <c r="N1087" i="5"/>
  <c r="M1087" i="5"/>
  <c r="J1087" i="5"/>
  <c r="I1087" i="5"/>
  <c r="F1087" i="5"/>
  <c r="E1087" i="5"/>
  <c r="R1086" i="5"/>
  <c r="Q1086" i="5"/>
  <c r="N1086" i="5"/>
  <c r="M1086" i="5"/>
  <c r="J1086" i="5"/>
  <c r="I1086" i="5"/>
  <c r="F1086" i="5"/>
  <c r="E1086" i="5"/>
  <c r="R1085" i="5"/>
  <c r="Q1085" i="5"/>
  <c r="N1085" i="5"/>
  <c r="M1085" i="5"/>
  <c r="J1085" i="5"/>
  <c r="I1085" i="5"/>
  <c r="F1085" i="5"/>
  <c r="E1085" i="5"/>
  <c r="R1084" i="5"/>
  <c r="Q1084" i="5"/>
  <c r="N1084" i="5"/>
  <c r="M1084" i="5"/>
  <c r="J1084" i="5"/>
  <c r="I1084" i="5"/>
  <c r="F1084" i="5"/>
  <c r="E1084" i="5"/>
  <c r="R1083" i="5"/>
  <c r="Q1083" i="5"/>
  <c r="N1083" i="5"/>
  <c r="M1083" i="5"/>
  <c r="J1083" i="5"/>
  <c r="I1083" i="5"/>
  <c r="F1083" i="5"/>
  <c r="E1083" i="5"/>
  <c r="R1082" i="5"/>
  <c r="Q1082" i="5"/>
  <c r="N1082" i="5"/>
  <c r="M1082" i="5"/>
  <c r="J1082" i="5"/>
  <c r="I1082" i="5"/>
  <c r="F1082" i="5"/>
  <c r="E1082" i="5"/>
  <c r="R1081" i="5"/>
  <c r="Q1081" i="5"/>
  <c r="N1081" i="5"/>
  <c r="M1081" i="5"/>
  <c r="J1081" i="5"/>
  <c r="I1081" i="5"/>
  <c r="F1081" i="5"/>
  <c r="E1081" i="5"/>
  <c r="R1080" i="5"/>
  <c r="Q1080" i="5"/>
  <c r="N1080" i="5"/>
  <c r="M1080" i="5"/>
  <c r="J1080" i="5"/>
  <c r="I1080" i="5"/>
  <c r="F1080" i="5"/>
  <c r="E1080" i="5"/>
  <c r="R1079" i="5"/>
  <c r="Q1079" i="5"/>
  <c r="N1079" i="5"/>
  <c r="M1079" i="5"/>
  <c r="J1079" i="5"/>
  <c r="I1079" i="5"/>
  <c r="F1079" i="5"/>
  <c r="E1079" i="5"/>
  <c r="R1078" i="5"/>
  <c r="Q1078" i="5"/>
  <c r="N1078" i="5"/>
  <c r="M1078" i="5"/>
  <c r="J1078" i="5"/>
  <c r="I1078" i="5"/>
  <c r="F1078" i="5"/>
  <c r="E1078" i="5"/>
  <c r="R1077" i="5"/>
  <c r="Q1077" i="5"/>
  <c r="N1077" i="5"/>
  <c r="M1077" i="5"/>
  <c r="J1077" i="5"/>
  <c r="I1077" i="5"/>
  <c r="F1077" i="5"/>
  <c r="E1077" i="5"/>
  <c r="R1076" i="5"/>
  <c r="Q1076" i="5"/>
  <c r="N1076" i="5"/>
  <c r="M1076" i="5"/>
  <c r="J1076" i="5"/>
  <c r="I1076" i="5"/>
  <c r="F1076" i="5"/>
  <c r="E1076" i="5"/>
  <c r="R1075" i="5"/>
  <c r="Q1075" i="5"/>
  <c r="N1075" i="5"/>
  <c r="M1075" i="5"/>
  <c r="J1075" i="5"/>
  <c r="I1075" i="5"/>
  <c r="F1075" i="5"/>
  <c r="E1075" i="5"/>
  <c r="R1074" i="5"/>
  <c r="Q1074" i="5"/>
  <c r="N1074" i="5"/>
  <c r="M1074" i="5"/>
  <c r="J1074" i="5"/>
  <c r="I1074" i="5"/>
  <c r="F1074" i="5"/>
  <c r="E1074" i="5"/>
  <c r="R1073" i="5"/>
  <c r="Q1073" i="5"/>
  <c r="N1073" i="5"/>
  <c r="M1073" i="5"/>
  <c r="J1073" i="5"/>
  <c r="I1073" i="5"/>
  <c r="F1073" i="5"/>
  <c r="E1073" i="5"/>
  <c r="R1072" i="5"/>
  <c r="Q1072" i="5"/>
  <c r="N1072" i="5"/>
  <c r="M1072" i="5"/>
  <c r="J1072" i="5"/>
  <c r="I1072" i="5"/>
  <c r="F1072" i="5"/>
  <c r="E1072" i="5"/>
  <c r="R1071" i="5"/>
  <c r="Q1071" i="5"/>
  <c r="N1071" i="5"/>
  <c r="M1071" i="5"/>
  <c r="J1071" i="5"/>
  <c r="I1071" i="5"/>
  <c r="F1071" i="5"/>
  <c r="E1071" i="5"/>
  <c r="R1070" i="5"/>
  <c r="Q1070" i="5"/>
  <c r="N1070" i="5"/>
  <c r="M1070" i="5"/>
  <c r="J1070" i="5"/>
  <c r="I1070" i="5"/>
  <c r="F1070" i="5"/>
  <c r="E1070" i="5"/>
  <c r="R1069" i="5"/>
  <c r="Q1069" i="5"/>
  <c r="N1069" i="5"/>
  <c r="M1069" i="5"/>
  <c r="J1069" i="5"/>
  <c r="I1069" i="5"/>
  <c r="F1069" i="5"/>
  <c r="E1069" i="5"/>
  <c r="R1068" i="5"/>
  <c r="Q1068" i="5"/>
  <c r="N1068" i="5"/>
  <c r="M1068" i="5"/>
  <c r="J1068" i="5"/>
  <c r="I1068" i="5"/>
  <c r="F1068" i="5"/>
  <c r="E1068" i="5"/>
  <c r="R1067" i="5"/>
  <c r="Q1067" i="5"/>
  <c r="N1067" i="5"/>
  <c r="M1067" i="5"/>
  <c r="J1067" i="5"/>
  <c r="I1067" i="5"/>
  <c r="F1067" i="5"/>
  <c r="E1067" i="5"/>
  <c r="R1066" i="5"/>
  <c r="Q1066" i="5"/>
  <c r="N1066" i="5"/>
  <c r="M1066" i="5"/>
  <c r="J1066" i="5"/>
  <c r="I1066" i="5"/>
  <c r="F1066" i="5"/>
  <c r="E1066" i="5"/>
  <c r="R1065" i="5"/>
  <c r="Q1065" i="5"/>
  <c r="N1065" i="5"/>
  <c r="M1065" i="5"/>
  <c r="J1065" i="5"/>
  <c r="I1065" i="5"/>
  <c r="F1065" i="5"/>
  <c r="E1065" i="5"/>
  <c r="R1064" i="5"/>
  <c r="Q1064" i="5"/>
  <c r="N1064" i="5"/>
  <c r="M1064" i="5"/>
  <c r="J1064" i="5"/>
  <c r="I1064" i="5"/>
  <c r="F1064" i="5"/>
  <c r="E1064" i="5"/>
  <c r="R1063" i="5"/>
  <c r="Q1063" i="5"/>
  <c r="N1063" i="5"/>
  <c r="M1063" i="5"/>
  <c r="J1063" i="5"/>
  <c r="I1063" i="5"/>
  <c r="F1063" i="5"/>
  <c r="E1063" i="5"/>
  <c r="R1062" i="5"/>
  <c r="Q1062" i="5"/>
  <c r="N1062" i="5"/>
  <c r="M1062" i="5"/>
  <c r="J1062" i="5"/>
  <c r="I1062" i="5"/>
  <c r="F1062" i="5"/>
  <c r="E1062" i="5"/>
  <c r="R1061" i="5"/>
  <c r="Q1061" i="5"/>
  <c r="N1061" i="5"/>
  <c r="M1061" i="5"/>
  <c r="J1061" i="5"/>
  <c r="I1061" i="5"/>
  <c r="F1061" i="5"/>
  <c r="E1061" i="5"/>
  <c r="R1060" i="5"/>
  <c r="Q1060" i="5"/>
  <c r="N1060" i="5"/>
  <c r="M1060" i="5"/>
  <c r="J1060" i="5"/>
  <c r="I1060" i="5"/>
  <c r="F1060" i="5"/>
  <c r="E1060" i="5"/>
  <c r="R1059" i="5"/>
  <c r="Q1059" i="5"/>
  <c r="N1059" i="5"/>
  <c r="M1059" i="5"/>
  <c r="J1059" i="5"/>
  <c r="I1059" i="5"/>
  <c r="F1059" i="5"/>
  <c r="E1059" i="5"/>
  <c r="R1058" i="5"/>
  <c r="Q1058" i="5"/>
  <c r="N1058" i="5"/>
  <c r="M1058" i="5"/>
  <c r="J1058" i="5"/>
  <c r="I1058" i="5"/>
  <c r="F1058" i="5"/>
  <c r="E1058" i="5"/>
  <c r="R1057" i="5"/>
  <c r="Q1057" i="5"/>
  <c r="N1057" i="5"/>
  <c r="M1057" i="5"/>
  <c r="J1057" i="5"/>
  <c r="I1057" i="5"/>
  <c r="F1057" i="5"/>
  <c r="E1057" i="5"/>
  <c r="R1056" i="5"/>
  <c r="Q1056" i="5"/>
  <c r="N1056" i="5"/>
  <c r="M1056" i="5"/>
  <c r="J1056" i="5"/>
  <c r="I1056" i="5"/>
  <c r="F1056" i="5"/>
  <c r="E1056" i="5"/>
  <c r="R1055" i="5"/>
  <c r="Q1055" i="5"/>
  <c r="N1055" i="5"/>
  <c r="M1055" i="5"/>
  <c r="J1055" i="5"/>
  <c r="I1055" i="5"/>
  <c r="F1055" i="5"/>
  <c r="E1055" i="5"/>
  <c r="R1054" i="5"/>
  <c r="Q1054" i="5"/>
  <c r="N1054" i="5"/>
  <c r="M1054" i="5"/>
  <c r="J1054" i="5"/>
  <c r="I1054" i="5"/>
  <c r="F1054" i="5"/>
  <c r="E1054" i="5"/>
  <c r="R1053" i="5"/>
  <c r="Q1053" i="5"/>
  <c r="N1053" i="5"/>
  <c r="M1053" i="5"/>
  <c r="J1053" i="5"/>
  <c r="I1053" i="5"/>
  <c r="F1053" i="5"/>
  <c r="E1053" i="5"/>
  <c r="R1052" i="5"/>
  <c r="Q1052" i="5"/>
  <c r="N1052" i="5"/>
  <c r="M1052" i="5"/>
  <c r="J1052" i="5"/>
  <c r="I1052" i="5"/>
  <c r="F1052" i="5"/>
  <c r="E1052" i="5"/>
  <c r="R1051" i="5"/>
  <c r="Q1051" i="5"/>
  <c r="N1051" i="5"/>
  <c r="M1051" i="5"/>
  <c r="J1051" i="5"/>
  <c r="I1051" i="5"/>
  <c r="F1051" i="5"/>
  <c r="E1051" i="5"/>
  <c r="R1050" i="5"/>
  <c r="Q1050" i="5"/>
  <c r="N1050" i="5"/>
  <c r="M1050" i="5"/>
  <c r="J1050" i="5"/>
  <c r="I1050" i="5"/>
  <c r="F1050" i="5"/>
  <c r="E1050" i="5"/>
  <c r="R1049" i="5"/>
  <c r="Q1049" i="5"/>
  <c r="N1049" i="5"/>
  <c r="M1049" i="5"/>
  <c r="J1049" i="5"/>
  <c r="I1049" i="5"/>
  <c r="F1049" i="5"/>
  <c r="E1049" i="5"/>
  <c r="R1048" i="5"/>
  <c r="Q1048" i="5"/>
  <c r="N1048" i="5"/>
  <c r="M1048" i="5"/>
  <c r="J1048" i="5"/>
  <c r="I1048" i="5"/>
  <c r="F1048" i="5"/>
  <c r="E1048" i="5"/>
  <c r="R1047" i="5"/>
  <c r="Q1047" i="5"/>
  <c r="N1047" i="5"/>
  <c r="M1047" i="5"/>
  <c r="J1047" i="5"/>
  <c r="I1047" i="5"/>
  <c r="F1047" i="5"/>
  <c r="E1047" i="5"/>
  <c r="R1046" i="5"/>
  <c r="Q1046" i="5"/>
  <c r="N1046" i="5"/>
  <c r="M1046" i="5"/>
  <c r="J1046" i="5"/>
  <c r="I1046" i="5"/>
  <c r="F1046" i="5"/>
  <c r="E1046" i="5"/>
  <c r="R1045" i="5"/>
  <c r="Q1045" i="5"/>
  <c r="N1045" i="5"/>
  <c r="M1045" i="5"/>
  <c r="J1045" i="5"/>
  <c r="I1045" i="5"/>
  <c r="F1045" i="5"/>
  <c r="E1045" i="5"/>
  <c r="R1044" i="5"/>
  <c r="Q1044" i="5"/>
  <c r="N1044" i="5"/>
  <c r="M1044" i="5"/>
  <c r="J1044" i="5"/>
  <c r="I1044" i="5"/>
  <c r="F1044" i="5"/>
  <c r="E1044" i="5"/>
  <c r="R1043" i="5"/>
  <c r="Q1043" i="5"/>
  <c r="N1043" i="5"/>
  <c r="M1043" i="5"/>
  <c r="J1043" i="5"/>
  <c r="I1043" i="5"/>
  <c r="F1043" i="5"/>
  <c r="E1043" i="5"/>
  <c r="R1042" i="5"/>
  <c r="Q1042" i="5"/>
  <c r="N1042" i="5"/>
  <c r="M1042" i="5"/>
  <c r="J1042" i="5"/>
  <c r="I1042" i="5"/>
  <c r="F1042" i="5"/>
  <c r="E1042" i="5"/>
  <c r="R1041" i="5"/>
  <c r="Q1041" i="5"/>
  <c r="N1041" i="5"/>
  <c r="M1041" i="5"/>
  <c r="J1041" i="5"/>
  <c r="I1041" i="5"/>
  <c r="F1041" i="5"/>
  <c r="E1041" i="5"/>
  <c r="R1040" i="5"/>
  <c r="Q1040" i="5"/>
  <c r="N1040" i="5"/>
  <c r="M1040" i="5"/>
  <c r="J1040" i="5"/>
  <c r="I1040" i="5"/>
  <c r="F1040" i="5"/>
  <c r="E1040" i="5"/>
  <c r="R1039" i="5"/>
  <c r="Q1039" i="5"/>
  <c r="N1039" i="5"/>
  <c r="M1039" i="5"/>
  <c r="J1039" i="5"/>
  <c r="I1039" i="5"/>
  <c r="F1039" i="5"/>
  <c r="E1039" i="5"/>
  <c r="R1038" i="5"/>
  <c r="Q1038" i="5"/>
  <c r="N1038" i="5"/>
  <c r="M1038" i="5"/>
  <c r="J1038" i="5"/>
  <c r="I1038" i="5"/>
  <c r="F1038" i="5"/>
  <c r="E1038" i="5"/>
  <c r="R1037" i="5"/>
  <c r="Q1037" i="5"/>
  <c r="N1037" i="5"/>
  <c r="M1037" i="5"/>
  <c r="J1037" i="5"/>
  <c r="I1037" i="5"/>
  <c r="F1037" i="5"/>
  <c r="E1037" i="5"/>
  <c r="R1036" i="5"/>
  <c r="Q1036" i="5"/>
  <c r="N1036" i="5"/>
  <c r="M1036" i="5"/>
  <c r="J1036" i="5"/>
  <c r="I1036" i="5"/>
  <c r="F1036" i="5"/>
  <c r="E1036" i="5"/>
  <c r="R1035" i="5"/>
  <c r="Q1035" i="5"/>
  <c r="N1035" i="5"/>
  <c r="M1035" i="5"/>
  <c r="J1035" i="5"/>
  <c r="I1035" i="5"/>
  <c r="F1035" i="5"/>
  <c r="E1035" i="5"/>
  <c r="R1034" i="5"/>
  <c r="Q1034" i="5"/>
  <c r="N1034" i="5"/>
  <c r="M1034" i="5"/>
  <c r="J1034" i="5"/>
  <c r="I1034" i="5"/>
  <c r="F1034" i="5"/>
  <c r="E1034" i="5"/>
  <c r="R1033" i="5"/>
  <c r="Q1033" i="5"/>
  <c r="N1033" i="5"/>
  <c r="M1033" i="5"/>
  <c r="J1033" i="5"/>
  <c r="I1033" i="5"/>
  <c r="F1033" i="5"/>
  <c r="E1033" i="5"/>
  <c r="R1032" i="5"/>
  <c r="Q1032" i="5"/>
  <c r="N1032" i="5"/>
  <c r="M1032" i="5"/>
  <c r="J1032" i="5"/>
  <c r="I1032" i="5"/>
  <c r="F1032" i="5"/>
  <c r="E1032" i="5"/>
  <c r="R1031" i="5"/>
  <c r="Q1031" i="5"/>
  <c r="N1031" i="5"/>
  <c r="M1031" i="5"/>
  <c r="J1031" i="5"/>
  <c r="I1031" i="5"/>
  <c r="F1031" i="5"/>
  <c r="E1031" i="5"/>
  <c r="R1030" i="5"/>
  <c r="Q1030" i="5"/>
  <c r="N1030" i="5"/>
  <c r="M1030" i="5"/>
  <c r="J1030" i="5"/>
  <c r="I1030" i="5"/>
  <c r="F1030" i="5"/>
  <c r="E1030" i="5"/>
  <c r="R1029" i="5"/>
  <c r="Q1029" i="5"/>
  <c r="N1029" i="5"/>
  <c r="M1029" i="5"/>
  <c r="J1029" i="5"/>
  <c r="I1029" i="5"/>
  <c r="F1029" i="5"/>
  <c r="E1029" i="5"/>
  <c r="R1028" i="5"/>
  <c r="Q1028" i="5"/>
  <c r="N1028" i="5"/>
  <c r="M1028" i="5"/>
  <c r="J1028" i="5"/>
  <c r="I1028" i="5"/>
  <c r="F1028" i="5"/>
  <c r="E1028" i="5"/>
  <c r="R1027" i="5"/>
  <c r="Q1027" i="5"/>
  <c r="N1027" i="5"/>
  <c r="M1027" i="5"/>
  <c r="J1027" i="5"/>
  <c r="I1027" i="5"/>
  <c r="F1027" i="5"/>
  <c r="E1027" i="5"/>
  <c r="R1026" i="5"/>
  <c r="Q1026" i="5"/>
  <c r="N1026" i="5"/>
  <c r="M1026" i="5"/>
  <c r="J1026" i="5"/>
  <c r="I1026" i="5"/>
  <c r="F1026" i="5"/>
  <c r="E1026" i="5"/>
  <c r="R1025" i="5"/>
  <c r="Q1025" i="5"/>
  <c r="N1025" i="5"/>
  <c r="M1025" i="5"/>
  <c r="J1025" i="5"/>
  <c r="I1025" i="5"/>
  <c r="F1025" i="5"/>
  <c r="E1025" i="5"/>
  <c r="R1024" i="5"/>
  <c r="Q1024" i="5"/>
  <c r="N1024" i="5"/>
  <c r="M1024" i="5"/>
  <c r="J1024" i="5"/>
  <c r="I1024" i="5"/>
  <c r="F1024" i="5"/>
  <c r="E1024" i="5"/>
  <c r="R1023" i="5"/>
  <c r="Q1023" i="5"/>
  <c r="N1023" i="5"/>
  <c r="M1023" i="5"/>
  <c r="J1023" i="5"/>
  <c r="I1023" i="5"/>
  <c r="F1023" i="5"/>
  <c r="E1023" i="5"/>
  <c r="R1022" i="5"/>
  <c r="Q1022" i="5"/>
  <c r="N1022" i="5"/>
  <c r="M1022" i="5"/>
  <c r="J1022" i="5"/>
  <c r="I1022" i="5"/>
  <c r="F1022" i="5"/>
  <c r="E1022" i="5"/>
  <c r="R1021" i="5"/>
  <c r="Q1021" i="5"/>
  <c r="N1021" i="5"/>
  <c r="M1021" i="5"/>
  <c r="J1021" i="5"/>
  <c r="I1021" i="5"/>
  <c r="F1021" i="5"/>
  <c r="E1021" i="5"/>
  <c r="R1020" i="5"/>
  <c r="Q1020" i="5"/>
  <c r="N1020" i="5"/>
  <c r="M1020" i="5"/>
  <c r="J1020" i="5"/>
  <c r="I1020" i="5"/>
  <c r="F1020" i="5"/>
  <c r="E1020" i="5"/>
  <c r="R1019" i="5"/>
  <c r="Q1019" i="5"/>
  <c r="N1019" i="5"/>
  <c r="M1019" i="5"/>
  <c r="J1019" i="5"/>
  <c r="I1019" i="5"/>
  <c r="F1019" i="5"/>
  <c r="E1019" i="5"/>
  <c r="R1018" i="5"/>
  <c r="Q1018" i="5"/>
  <c r="N1018" i="5"/>
  <c r="M1018" i="5"/>
  <c r="J1018" i="5"/>
  <c r="I1018" i="5"/>
  <c r="F1018" i="5"/>
  <c r="E1018" i="5"/>
  <c r="R1017" i="5"/>
  <c r="Q1017" i="5"/>
  <c r="N1017" i="5"/>
  <c r="M1017" i="5"/>
  <c r="J1017" i="5"/>
  <c r="I1017" i="5"/>
  <c r="F1017" i="5"/>
  <c r="E1017" i="5"/>
  <c r="R1016" i="5"/>
  <c r="Q1016" i="5"/>
  <c r="N1016" i="5"/>
  <c r="M1016" i="5"/>
  <c r="J1016" i="5"/>
  <c r="I1016" i="5"/>
  <c r="F1016" i="5"/>
  <c r="E1016" i="5"/>
  <c r="R1015" i="5"/>
  <c r="Q1015" i="5"/>
  <c r="N1015" i="5"/>
  <c r="M1015" i="5"/>
  <c r="J1015" i="5"/>
  <c r="I1015" i="5"/>
  <c r="F1015" i="5"/>
  <c r="E1015" i="5"/>
  <c r="R1014" i="5"/>
  <c r="Q1014" i="5"/>
  <c r="N1014" i="5"/>
  <c r="M1014" i="5"/>
  <c r="J1014" i="5"/>
  <c r="I1014" i="5"/>
  <c r="F1014" i="5"/>
  <c r="E1014" i="5"/>
  <c r="R1013" i="5"/>
  <c r="Q1013" i="5"/>
  <c r="N1013" i="5"/>
  <c r="M1013" i="5"/>
  <c r="J1013" i="5"/>
  <c r="I1013" i="5"/>
  <c r="F1013" i="5"/>
  <c r="E1013" i="5"/>
  <c r="R1012" i="5"/>
  <c r="Q1012" i="5"/>
  <c r="N1012" i="5"/>
  <c r="M1012" i="5"/>
  <c r="J1012" i="5"/>
  <c r="I1012" i="5"/>
  <c r="F1012" i="5"/>
  <c r="E1012" i="5"/>
  <c r="R1011" i="5"/>
  <c r="Q1011" i="5"/>
  <c r="N1011" i="5"/>
  <c r="M1011" i="5"/>
  <c r="J1011" i="5"/>
  <c r="I1011" i="5"/>
  <c r="F1011" i="5"/>
  <c r="E1011" i="5"/>
  <c r="R1010" i="5"/>
  <c r="Q1010" i="5"/>
  <c r="N1010" i="5"/>
  <c r="M1010" i="5"/>
  <c r="J1010" i="5"/>
  <c r="I1010" i="5"/>
  <c r="F1010" i="5"/>
  <c r="E1010" i="5"/>
  <c r="R1009" i="5"/>
  <c r="Q1009" i="5"/>
  <c r="N1009" i="5"/>
  <c r="M1009" i="5"/>
  <c r="J1009" i="5"/>
  <c r="I1009" i="5"/>
  <c r="F1009" i="5"/>
  <c r="E1009" i="5"/>
  <c r="R1008" i="5"/>
  <c r="Q1008" i="5"/>
  <c r="N1008" i="5"/>
  <c r="M1008" i="5"/>
  <c r="J1008" i="5"/>
  <c r="I1008" i="5"/>
  <c r="F1008" i="5"/>
  <c r="E1008" i="5"/>
  <c r="R1007" i="5"/>
  <c r="Q1007" i="5"/>
  <c r="N1007" i="5"/>
  <c r="M1007" i="5"/>
  <c r="J1007" i="5"/>
  <c r="I1007" i="5"/>
  <c r="F1007" i="5"/>
  <c r="E1007" i="5"/>
  <c r="R1006" i="5"/>
  <c r="Q1006" i="5"/>
  <c r="N1006" i="5"/>
  <c r="M1006" i="5"/>
  <c r="J1006" i="5"/>
  <c r="I1006" i="5"/>
  <c r="F1006" i="5"/>
  <c r="E1006" i="5"/>
  <c r="R1005" i="5"/>
  <c r="Q1005" i="5"/>
  <c r="N1005" i="5"/>
  <c r="M1005" i="5"/>
  <c r="J1005" i="5"/>
  <c r="I1005" i="5"/>
  <c r="F1005" i="5"/>
  <c r="E1005" i="5"/>
  <c r="R1004" i="5"/>
  <c r="Q1004" i="5"/>
  <c r="N1004" i="5"/>
  <c r="M1004" i="5"/>
  <c r="J1004" i="5"/>
  <c r="I1004" i="5"/>
  <c r="F1004" i="5"/>
  <c r="E1004" i="5"/>
  <c r="R1003" i="5"/>
  <c r="Q1003" i="5"/>
  <c r="N1003" i="5"/>
  <c r="M1003" i="5"/>
  <c r="J1003" i="5"/>
  <c r="I1003" i="5"/>
  <c r="F1003" i="5"/>
  <c r="E1003" i="5"/>
  <c r="R1002" i="5"/>
  <c r="Q1002" i="5"/>
  <c r="N1002" i="5"/>
  <c r="M1002" i="5"/>
  <c r="J1002" i="5"/>
  <c r="I1002" i="5"/>
  <c r="F1002" i="5"/>
  <c r="E1002" i="5"/>
  <c r="R1001" i="5"/>
  <c r="Q1001" i="5"/>
  <c r="N1001" i="5"/>
  <c r="M1001" i="5"/>
  <c r="J1001" i="5"/>
  <c r="I1001" i="5"/>
  <c r="F1001" i="5"/>
  <c r="E1001" i="5"/>
  <c r="R1000" i="5"/>
  <c r="Q1000" i="5"/>
  <c r="N1000" i="5"/>
  <c r="M1000" i="5"/>
  <c r="J1000" i="5"/>
  <c r="I1000" i="5"/>
  <c r="F1000" i="5"/>
  <c r="E1000" i="5"/>
  <c r="R999" i="5"/>
  <c r="Q999" i="5"/>
  <c r="N999" i="5"/>
  <c r="M999" i="5"/>
  <c r="J999" i="5"/>
  <c r="I999" i="5"/>
  <c r="F999" i="5"/>
  <c r="E999" i="5"/>
  <c r="R998" i="5"/>
  <c r="Q998" i="5"/>
  <c r="N998" i="5"/>
  <c r="M998" i="5"/>
  <c r="J998" i="5"/>
  <c r="I998" i="5"/>
  <c r="F998" i="5"/>
  <c r="E998" i="5"/>
  <c r="R997" i="5"/>
  <c r="Q997" i="5"/>
  <c r="N997" i="5"/>
  <c r="M997" i="5"/>
  <c r="J997" i="5"/>
  <c r="I997" i="5"/>
  <c r="F997" i="5"/>
  <c r="E997" i="5"/>
  <c r="R996" i="5"/>
  <c r="Q996" i="5"/>
  <c r="N996" i="5"/>
  <c r="M996" i="5"/>
  <c r="J996" i="5"/>
  <c r="I996" i="5"/>
  <c r="F996" i="5"/>
  <c r="E996" i="5"/>
  <c r="R995" i="5"/>
  <c r="Q995" i="5"/>
  <c r="N995" i="5"/>
  <c r="M995" i="5"/>
  <c r="J995" i="5"/>
  <c r="I995" i="5"/>
  <c r="F995" i="5"/>
  <c r="E995" i="5"/>
  <c r="R994" i="5"/>
  <c r="Q994" i="5"/>
  <c r="N994" i="5"/>
  <c r="M994" i="5"/>
  <c r="J994" i="5"/>
  <c r="I994" i="5"/>
  <c r="F994" i="5"/>
  <c r="E994" i="5"/>
  <c r="R993" i="5"/>
  <c r="Q993" i="5"/>
  <c r="N993" i="5"/>
  <c r="M993" i="5"/>
  <c r="J993" i="5"/>
  <c r="I993" i="5"/>
  <c r="F993" i="5"/>
  <c r="E993" i="5"/>
  <c r="R992" i="5"/>
  <c r="Q992" i="5"/>
  <c r="N992" i="5"/>
  <c r="M992" i="5"/>
  <c r="J992" i="5"/>
  <c r="I992" i="5"/>
  <c r="F992" i="5"/>
  <c r="E992" i="5"/>
  <c r="R991" i="5"/>
  <c r="Q991" i="5"/>
  <c r="N991" i="5"/>
  <c r="M991" i="5"/>
  <c r="J991" i="5"/>
  <c r="I991" i="5"/>
  <c r="F991" i="5"/>
  <c r="E991" i="5"/>
  <c r="R990" i="5"/>
  <c r="Q990" i="5"/>
  <c r="N990" i="5"/>
  <c r="M990" i="5"/>
  <c r="J990" i="5"/>
  <c r="I990" i="5"/>
  <c r="F990" i="5"/>
  <c r="E990" i="5"/>
  <c r="R989" i="5"/>
  <c r="Q989" i="5"/>
  <c r="N989" i="5"/>
  <c r="M989" i="5"/>
  <c r="J989" i="5"/>
  <c r="I989" i="5"/>
  <c r="F989" i="5"/>
  <c r="E989" i="5"/>
  <c r="R988" i="5"/>
  <c r="Q988" i="5"/>
  <c r="N988" i="5"/>
  <c r="M988" i="5"/>
  <c r="J988" i="5"/>
  <c r="I988" i="5"/>
  <c r="F988" i="5"/>
  <c r="E988" i="5"/>
  <c r="R987" i="5"/>
  <c r="Q987" i="5"/>
  <c r="N987" i="5"/>
  <c r="M987" i="5"/>
  <c r="J987" i="5"/>
  <c r="I987" i="5"/>
  <c r="F987" i="5"/>
  <c r="E987" i="5"/>
  <c r="R986" i="5"/>
  <c r="Q986" i="5"/>
  <c r="N986" i="5"/>
  <c r="M986" i="5"/>
  <c r="J986" i="5"/>
  <c r="I986" i="5"/>
  <c r="F986" i="5"/>
  <c r="E986" i="5"/>
  <c r="R985" i="5"/>
  <c r="Q985" i="5"/>
  <c r="N985" i="5"/>
  <c r="M985" i="5"/>
  <c r="J985" i="5"/>
  <c r="I985" i="5"/>
  <c r="F985" i="5"/>
  <c r="E985" i="5"/>
  <c r="R984" i="5"/>
  <c r="Q984" i="5"/>
  <c r="N984" i="5"/>
  <c r="M984" i="5"/>
  <c r="J984" i="5"/>
  <c r="I984" i="5"/>
  <c r="F984" i="5"/>
  <c r="E984" i="5"/>
  <c r="R983" i="5"/>
  <c r="Q983" i="5"/>
  <c r="N983" i="5"/>
  <c r="M983" i="5"/>
  <c r="J983" i="5"/>
  <c r="I983" i="5"/>
  <c r="F983" i="5"/>
  <c r="E983" i="5"/>
  <c r="R982" i="5"/>
  <c r="Q982" i="5"/>
  <c r="N982" i="5"/>
  <c r="M982" i="5"/>
  <c r="J982" i="5"/>
  <c r="I982" i="5"/>
  <c r="F982" i="5"/>
  <c r="E982" i="5"/>
  <c r="R981" i="5"/>
  <c r="Q981" i="5"/>
  <c r="N981" i="5"/>
  <c r="M981" i="5"/>
  <c r="J981" i="5"/>
  <c r="I981" i="5"/>
  <c r="F981" i="5"/>
  <c r="E981" i="5"/>
  <c r="R980" i="5"/>
  <c r="Q980" i="5"/>
  <c r="N980" i="5"/>
  <c r="M980" i="5"/>
  <c r="J980" i="5"/>
  <c r="I980" i="5"/>
  <c r="F980" i="5"/>
  <c r="E980" i="5"/>
  <c r="R979" i="5"/>
  <c r="Q979" i="5"/>
  <c r="N979" i="5"/>
  <c r="M979" i="5"/>
  <c r="J979" i="5"/>
  <c r="I979" i="5"/>
  <c r="F979" i="5"/>
  <c r="E979" i="5"/>
  <c r="R978" i="5"/>
  <c r="Q978" i="5"/>
  <c r="N978" i="5"/>
  <c r="M978" i="5"/>
  <c r="J978" i="5"/>
  <c r="I978" i="5"/>
  <c r="F978" i="5"/>
  <c r="E978" i="5"/>
  <c r="R977" i="5"/>
  <c r="Q977" i="5"/>
  <c r="N977" i="5"/>
  <c r="M977" i="5"/>
  <c r="J977" i="5"/>
  <c r="I977" i="5"/>
  <c r="F977" i="5"/>
  <c r="E977" i="5"/>
  <c r="R976" i="5"/>
  <c r="Q976" i="5"/>
  <c r="N976" i="5"/>
  <c r="M976" i="5"/>
  <c r="J976" i="5"/>
  <c r="I976" i="5"/>
  <c r="F976" i="5"/>
  <c r="E976" i="5"/>
  <c r="R975" i="5"/>
  <c r="Q975" i="5"/>
  <c r="N975" i="5"/>
  <c r="M975" i="5"/>
  <c r="J975" i="5"/>
  <c r="I975" i="5"/>
  <c r="F975" i="5"/>
  <c r="E975" i="5"/>
  <c r="R974" i="5"/>
  <c r="Q974" i="5"/>
  <c r="N974" i="5"/>
  <c r="M974" i="5"/>
  <c r="J974" i="5"/>
  <c r="I974" i="5"/>
  <c r="F974" i="5"/>
  <c r="E974" i="5"/>
  <c r="R973" i="5"/>
  <c r="Q973" i="5"/>
  <c r="N973" i="5"/>
  <c r="M973" i="5"/>
  <c r="J973" i="5"/>
  <c r="I973" i="5"/>
  <c r="F973" i="5"/>
  <c r="E973" i="5"/>
  <c r="R972" i="5"/>
  <c r="Q972" i="5"/>
  <c r="N972" i="5"/>
  <c r="M972" i="5"/>
  <c r="J972" i="5"/>
  <c r="I972" i="5"/>
  <c r="F972" i="5"/>
  <c r="E972" i="5"/>
  <c r="R971" i="5"/>
  <c r="Q971" i="5"/>
  <c r="N971" i="5"/>
  <c r="M971" i="5"/>
  <c r="J971" i="5"/>
  <c r="I971" i="5"/>
  <c r="F971" i="5"/>
  <c r="E971" i="5"/>
  <c r="R970" i="5"/>
  <c r="Q970" i="5"/>
  <c r="N970" i="5"/>
  <c r="M970" i="5"/>
  <c r="J970" i="5"/>
  <c r="I970" i="5"/>
  <c r="F970" i="5"/>
  <c r="E970" i="5"/>
  <c r="R969" i="5"/>
  <c r="Q969" i="5"/>
  <c r="N969" i="5"/>
  <c r="M969" i="5"/>
  <c r="J969" i="5"/>
  <c r="I969" i="5"/>
  <c r="F969" i="5"/>
  <c r="E969" i="5"/>
  <c r="R968" i="5"/>
  <c r="Q968" i="5"/>
  <c r="N968" i="5"/>
  <c r="M968" i="5"/>
  <c r="J968" i="5"/>
  <c r="I968" i="5"/>
  <c r="F968" i="5"/>
  <c r="E968" i="5"/>
  <c r="R967" i="5"/>
  <c r="Q967" i="5"/>
  <c r="N967" i="5"/>
  <c r="M967" i="5"/>
  <c r="J967" i="5"/>
  <c r="I967" i="5"/>
  <c r="F967" i="5"/>
  <c r="E967" i="5"/>
  <c r="R966" i="5"/>
  <c r="Q966" i="5"/>
  <c r="N966" i="5"/>
  <c r="M966" i="5"/>
  <c r="J966" i="5"/>
  <c r="I966" i="5"/>
  <c r="F966" i="5"/>
  <c r="E966" i="5"/>
  <c r="R965" i="5"/>
  <c r="Q965" i="5"/>
  <c r="N965" i="5"/>
  <c r="M965" i="5"/>
  <c r="J965" i="5"/>
  <c r="I965" i="5"/>
  <c r="F965" i="5"/>
  <c r="E965" i="5"/>
  <c r="R964" i="5"/>
  <c r="Q964" i="5"/>
  <c r="N964" i="5"/>
  <c r="M964" i="5"/>
  <c r="J964" i="5"/>
  <c r="I964" i="5"/>
  <c r="F964" i="5"/>
  <c r="E964" i="5"/>
  <c r="R963" i="5"/>
  <c r="Q963" i="5"/>
  <c r="N963" i="5"/>
  <c r="M963" i="5"/>
  <c r="J963" i="5"/>
  <c r="I963" i="5"/>
  <c r="F963" i="5"/>
  <c r="E963" i="5"/>
  <c r="R962" i="5"/>
  <c r="Q962" i="5"/>
  <c r="N962" i="5"/>
  <c r="M962" i="5"/>
  <c r="J962" i="5"/>
  <c r="I962" i="5"/>
  <c r="F962" i="5"/>
  <c r="E962" i="5"/>
  <c r="R961" i="5"/>
  <c r="Q961" i="5"/>
  <c r="N961" i="5"/>
  <c r="M961" i="5"/>
  <c r="J961" i="5"/>
  <c r="I961" i="5"/>
  <c r="F961" i="5"/>
  <c r="E961" i="5"/>
  <c r="R960" i="5"/>
  <c r="Q960" i="5"/>
  <c r="N960" i="5"/>
  <c r="M960" i="5"/>
  <c r="J960" i="5"/>
  <c r="I960" i="5"/>
  <c r="F960" i="5"/>
  <c r="E960" i="5"/>
  <c r="R959" i="5"/>
  <c r="Q959" i="5"/>
  <c r="N959" i="5"/>
  <c r="M959" i="5"/>
  <c r="J959" i="5"/>
  <c r="I959" i="5"/>
  <c r="F959" i="5"/>
  <c r="E959" i="5"/>
  <c r="R958" i="5"/>
  <c r="Q958" i="5"/>
  <c r="N958" i="5"/>
  <c r="M958" i="5"/>
  <c r="J958" i="5"/>
  <c r="I958" i="5"/>
  <c r="F958" i="5"/>
  <c r="E958" i="5"/>
  <c r="R957" i="5"/>
  <c r="Q957" i="5"/>
  <c r="N957" i="5"/>
  <c r="M957" i="5"/>
  <c r="J957" i="5"/>
  <c r="I957" i="5"/>
  <c r="F957" i="5"/>
  <c r="E957" i="5"/>
  <c r="R956" i="5"/>
  <c r="Q956" i="5"/>
  <c r="N956" i="5"/>
  <c r="M956" i="5"/>
  <c r="J956" i="5"/>
  <c r="I956" i="5"/>
  <c r="F956" i="5"/>
  <c r="E956" i="5"/>
  <c r="R955" i="5"/>
  <c r="Q955" i="5"/>
  <c r="N955" i="5"/>
  <c r="M955" i="5"/>
  <c r="J955" i="5"/>
  <c r="I955" i="5"/>
  <c r="F955" i="5"/>
  <c r="E955" i="5"/>
  <c r="R954" i="5"/>
  <c r="Q954" i="5"/>
  <c r="N954" i="5"/>
  <c r="M954" i="5"/>
  <c r="J954" i="5"/>
  <c r="I954" i="5"/>
  <c r="F954" i="5"/>
  <c r="E954" i="5"/>
  <c r="R953" i="5"/>
  <c r="Q953" i="5"/>
  <c r="N953" i="5"/>
  <c r="M953" i="5"/>
  <c r="J953" i="5"/>
  <c r="I953" i="5"/>
  <c r="F953" i="5"/>
  <c r="E953" i="5"/>
  <c r="R952" i="5"/>
  <c r="Q952" i="5"/>
  <c r="N952" i="5"/>
  <c r="M952" i="5"/>
  <c r="J952" i="5"/>
  <c r="I952" i="5"/>
  <c r="F952" i="5"/>
  <c r="E952" i="5"/>
  <c r="R951" i="5"/>
  <c r="Q951" i="5"/>
  <c r="N951" i="5"/>
  <c r="M951" i="5"/>
  <c r="J951" i="5"/>
  <c r="I951" i="5"/>
  <c r="F951" i="5"/>
  <c r="E951" i="5"/>
  <c r="R950" i="5"/>
  <c r="Q950" i="5"/>
  <c r="N950" i="5"/>
  <c r="M950" i="5"/>
  <c r="J950" i="5"/>
  <c r="I950" i="5"/>
  <c r="F950" i="5"/>
  <c r="E950" i="5"/>
  <c r="R949" i="5"/>
  <c r="Q949" i="5"/>
  <c r="N949" i="5"/>
  <c r="M949" i="5"/>
  <c r="J949" i="5"/>
  <c r="I949" i="5"/>
  <c r="F949" i="5"/>
  <c r="E949" i="5"/>
  <c r="R948" i="5"/>
  <c r="Q948" i="5"/>
  <c r="N948" i="5"/>
  <c r="M948" i="5"/>
  <c r="J948" i="5"/>
  <c r="I948" i="5"/>
  <c r="F948" i="5"/>
  <c r="E948" i="5"/>
  <c r="R947" i="5"/>
  <c r="Q947" i="5"/>
  <c r="N947" i="5"/>
  <c r="M947" i="5"/>
  <c r="J947" i="5"/>
  <c r="I947" i="5"/>
  <c r="F947" i="5"/>
  <c r="E947" i="5"/>
  <c r="R946" i="5"/>
  <c r="Q946" i="5"/>
  <c r="N946" i="5"/>
  <c r="M946" i="5"/>
  <c r="J946" i="5"/>
  <c r="I946" i="5"/>
  <c r="F946" i="5"/>
  <c r="E946" i="5"/>
  <c r="R945" i="5"/>
  <c r="Q945" i="5"/>
  <c r="N945" i="5"/>
  <c r="M945" i="5"/>
  <c r="J945" i="5"/>
  <c r="I945" i="5"/>
  <c r="F945" i="5"/>
  <c r="E945" i="5"/>
  <c r="R944" i="5"/>
  <c r="Q944" i="5"/>
  <c r="N944" i="5"/>
  <c r="M944" i="5"/>
  <c r="J944" i="5"/>
  <c r="I944" i="5"/>
  <c r="F944" i="5"/>
  <c r="E944" i="5"/>
  <c r="R943" i="5"/>
  <c r="Q943" i="5"/>
  <c r="N943" i="5"/>
  <c r="M943" i="5"/>
  <c r="J943" i="5"/>
  <c r="I943" i="5"/>
  <c r="F943" i="5"/>
  <c r="E943" i="5"/>
  <c r="R942" i="5"/>
  <c r="Q942" i="5"/>
  <c r="N942" i="5"/>
  <c r="M942" i="5"/>
  <c r="J942" i="5"/>
  <c r="I942" i="5"/>
  <c r="F942" i="5"/>
  <c r="E942" i="5"/>
  <c r="R941" i="5"/>
  <c r="Q941" i="5"/>
  <c r="N941" i="5"/>
  <c r="M941" i="5"/>
  <c r="J941" i="5"/>
  <c r="I941" i="5"/>
  <c r="F941" i="5"/>
  <c r="E941" i="5"/>
  <c r="R940" i="5"/>
  <c r="Q940" i="5"/>
  <c r="N940" i="5"/>
  <c r="M940" i="5"/>
  <c r="J940" i="5"/>
  <c r="I940" i="5"/>
  <c r="F940" i="5"/>
  <c r="E940" i="5"/>
  <c r="R939" i="5"/>
  <c r="Q939" i="5"/>
  <c r="N939" i="5"/>
  <c r="M939" i="5"/>
  <c r="J939" i="5"/>
  <c r="I939" i="5"/>
  <c r="F939" i="5"/>
  <c r="E939" i="5"/>
  <c r="R938" i="5"/>
  <c r="Q938" i="5"/>
  <c r="N938" i="5"/>
  <c r="M938" i="5"/>
  <c r="J938" i="5"/>
  <c r="I938" i="5"/>
  <c r="F938" i="5"/>
  <c r="E938" i="5"/>
  <c r="R937" i="5"/>
  <c r="Q937" i="5"/>
  <c r="N937" i="5"/>
  <c r="M937" i="5"/>
  <c r="J937" i="5"/>
  <c r="I937" i="5"/>
  <c r="F937" i="5"/>
  <c r="E937" i="5"/>
  <c r="R936" i="5"/>
  <c r="Q936" i="5"/>
  <c r="N936" i="5"/>
  <c r="M936" i="5"/>
  <c r="J936" i="5"/>
  <c r="I936" i="5"/>
  <c r="F936" i="5"/>
  <c r="E936" i="5"/>
  <c r="R935" i="5"/>
  <c r="Q935" i="5"/>
  <c r="N935" i="5"/>
  <c r="M935" i="5"/>
  <c r="J935" i="5"/>
  <c r="I935" i="5"/>
  <c r="F935" i="5"/>
  <c r="E935" i="5"/>
  <c r="R934" i="5"/>
  <c r="Q934" i="5"/>
  <c r="N934" i="5"/>
  <c r="M934" i="5"/>
  <c r="J934" i="5"/>
  <c r="I934" i="5"/>
  <c r="F934" i="5"/>
  <c r="E934" i="5"/>
  <c r="R933" i="5"/>
  <c r="Q933" i="5"/>
  <c r="N933" i="5"/>
  <c r="M933" i="5"/>
  <c r="J933" i="5"/>
  <c r="I933" i="5"/>
  <c r="F933" i="5"/>
  <c r="E933" i="5"/>
  <c r="R932" i="5"/>
  <c r="Q932" i="5"/>
  <c r="N932" i="5"/>
  <c r="M932" i="5"/>
  <c r="J932" i="5"/>
  <c r="I932" i="5"/>
  <c r="F932" i="5"/>
  <c r="E932" i="5"/>
  <c r="R931" i="5"/>
  <c r="Q931" i="5"/>
  <c r="N931" i="5"/>
  <c r="M931" i="5"/>
  <c r="J931" i="5"/>
  <c r="I931" i="5"/>
  <c r="F931" i="5"/>
  <c r="E931" i="5"/>
  <c r="R930" i="5"/>
  <c r="Q930" i="5"/>
  <c r="N930" i="5"/>
  <c r="M930" i="5"/>
  <c r="J930" i="5"/>
  <c r="I930" i="5"/>
  <c r="F930" i="5"/>
  <c r="E930" i="5"/>
  <c r="R929" i="5"/>
  <c r="Q929" i="5"/>
  <c r="N929" i="5"/>
  <c r="M929" i="5"/>
  <c r="J929" i="5"/>
  <c r="I929" i="5"/>
  <c r="F929" i="5"/>
  <c r="E929" i="5"/>
  <c r="R928" i="5"/>
  <c r="Q928" i="5"/>
  <c r="N928" i="5"/>
  <c r="M928" i="5"/>
  <c r="J928" i="5"/>
  <c r="I928" i="5"/>
  <c r="F928" i="5"/>
  <c r="E928" i="5"/>
  <c r="R927" i="5"/>
  <c r="Q927" i="5"/>
  <c r="N927" i="5"/>
  <c r="M927" i="5"/>
  <c r="J927" i="5"/>
  <c r="I927" i="5"/>
  <c r="F927" i="5"/>
  <c r="E927" i="5"/>
  <c r="R926" i="5"/>
  <c r="Q926" i="5"/>
  <c r="N926" i="5"/>
  <c r="M926" i="5"/>
  <c r="J926" i="5"/>
  <c r="I926" i="5"/>
  <c r="F926" i="5"/>
  <c r="E926" i="5"/>
  <c r="R925" i="5"/>
  <c r="Q925" i="5"/>
  <c r="N925" i="5"/>
  <c r="M925" i="5"/>
  <c r="J925" i="5"/>
  <c r="I925" i="5"/>
  <c r="F925" i="5"/>
  <c r="E925" i="5"/>
  <c r="R924" i="5"/>
  <c r="Q924" i="5"/>
  <c r="N924" i="5"/>
  <c r="M924" i="5"/>
  <c r="J924" i="5"/>
  <c r="I924" i="5"/>
  <c r="F924" i="5"/>
  <c r="E924" i="5"/>
  <c r="R923" i="5"/>
  <c r="Q923" i="5"/>
  <c r="N923" i="5"/>
  <c r="M923" i="5"/>
  <c r="J923" i="5"/>
  <c r="I923" i="5"/>
  <c r="F923" i="5"/>
  <c r="E923" i="5"/>
  <c r="R922" i="5"/>
  <c r="Q922" i="5"/>
  <c r="N922" i="5"/>
  <c r="M922" i="5"/>
  <c r="J922" i="5"/>
  <c r="I922" i="5"/>
  <c r="F922" i="5"/>
  <c r="E922" i="5"/>
  <c r="R921" i="5"/>
  <c r="Q921" i="5"/>
  <c r="N921" i="5"/>
  <c r="M921" i="5"/>
  <c r="J921" i="5"/>
  <c r="I921" i="5"/>
  <c r="F921" i="5"/>
  <c r="E921" i="5"/>
  <c r="R920" i="5"/>
  <c r="Q920" i="5"/>
  <c r="N920" i="5"/>
  <c r="M920" i="5"/>
  <c r="J920" i="5"/>
  <c r="I920" i="5"/>
  <c r="F920" i="5"/>
  <c r="E920" i="5"/>
  <c r="R919" i="5"/>
  <c r="Q919" i="5"/>
  <c r="N919" i="5"/>
  <c r="M919" i="5"/>
  <c r="J919" i="5"/>
  <c r="I919" i="5"/>
  <c r="F919" i="5"/>
  <c r="E919" i="5"/>
  <c r="R918" i="5"/>
  <c r="Q918" i="5"/>
  <c r="N918" i="5"/>
  <c r="M918" i="5"/>
  <c r="J918" i="5"/>
  <c r="I918" i="5"/>
  <c r="F918" i="5"/>
  <c r="E918" i="5"/>
  <c r="R917" i="5"/>
  <c r="Q917" i="5"/>
  <c r="N917" i="5"/>
  <c r="M917" i="5"/>
  <c r="J917" i="5"/>
  <c r="I917" i="5"/>
  <c r="F917" i="5"/>
  <c r="E917" i="5"/>
  <c r="R916" i="5"/>
  <c r="Q916" i="5"/>
  <c r="N916" i="5"/>
  <c r="M916" i="5"/>
  <c r="J916" i="5"/>
  <c r="I916" i="5"/>
  <c r="F916" i="5"/>
  <c r="E916" i="5"/>
  <c r="R915" i="5"/>
  <c r="Q915" i="5"/>
  <c r="N915" i="5"/>
  <c r="M915" i="5"/>
  <c r="J915" i="5"/>
  <c r="I915" i="5"/>
  <c r="F915" i="5"/>
  <c r="E915" i="5"/>
  <c r="R914" i="5"/>
  <c r="Q914" i="5"/>
  <c r="N914" i="5"/>
  <c r="M914" i="5"/>
  <c r="J914" i="5"/>
  <c r="I914" i="5"/>
  <c r="F914" i="5"/>
  <c r="E914" i="5"/>
  <c r="R913" i="5"/>
  <c r="Q913" i="5"/>
  <c r="N913" i="5"/>
  <c r="M913" i="5"/>
  <c r="J913" i="5"/>
  <c r="I913" i="5"/>
  <c r="F913" i="5"/>
  <c r="E913" i="5"/>
  <c r="R912" i="5"/>
  <c r="Q912" i="5"/>
  <c r="N912" i="5"/>
  <c r="M912" i="5"/>
  <c r="J912" i="5"/>
  <c r="I912" i="5"/>
  <c r="F912" i="5"/>
  <c r="E912" i="5"/>
  <c r="R911" i="5"/>
  <c r="Q911" i="5"/>
  <c r="N911" i="5"/>
  <c r="M911" i="5"/>
  <c r="J911" i="5"/>
  <c r="I911" i="5"/>
  <c r="F911" i="5"/>
  <c r="E911" i="5"/>
  <c r="R910" i="5"/>
  <c r="Q910" i="5"/>
  <c r="N910" i="5"/>
  <c r="M910" i="5"/>
  <c r="J910" i="5"/>
  <c r="I910" i="5"/>
  <c r="F910" i="5"/>
  <c r="E910" i="5"/>
  <c r="R909" i="5"/>
  <c r="Q909" i="5"/>
  <c r="N909" i="5"/>
  <c r="M909" i="5"/>
  <c r="J909" i="5"/>
  <c r="I909" i="5"/>
  <c r="F909" i="5"/>
  <c r="E909" i="5"/>
  <c r="R908" i="5"/>
  <c r="Q908" i="5"/>
  <c r="N908" i="5"/>
  <c r="M908" i="5"/>
  <c r="J908" i="5"/>
  <c r="I908" i="5"/>
  <c r="F908" i="5"/>
  <c r="E908" i="5"/>
  <c r="R907" i="5"/>
  <c r="Q907" i="5"/>
  <c r="N907" i="5"/>
  <c r="M907" i="5"/>
  <c r="J907" i="5"/>
  <c r="I907" i="5"/>
  <c r="F907" i="5"/>
  <c r="E907" i="5"/>
  <c r="R906" i="5"/>
  <c r="Q906" i="5"/>
  <c r="N906" i="5"/>
  <c r="M906" i="5"/>
  <c r="J906" i="5"/>
  <c r="I906" i="5"/>
  <c r="F906" i="5"/>
  <c r="E906" i="5"/>
  <c r="R905" i="5"/>
  <c r="Q905" i="5"/>
  <c r="N905" i="5"/>
  <c r="M905" i="5"/>
  <c r="J905" i="5"/>
  <c r="I905" i="5"/>
  <c r="F905" i="5"/>
  <c r="E905" i="5"/>
  <c r="R904" i="5"/>
  <c r="Q904" i="5"/>
  <c r="N904" i="5"/>
  <c r="M904" i="5"/>
  <c r="J904" i="5"/>
  <c r="I904" i="5"/>
  <c r="F904" i="5"/>
  <c r="E904" i="5"/>
  <c r="R903" i="5"/>
  <c r="Q903" i="5"/>
  <c r="N903" i="5"/>
  <c r="M903" i="5"/>
  <c r="J903" i="5"/>
  <c r="I903" i="5"/>
  <c r="F903" i="5"/>
  <c r="E903" i="5"/>
  <c r="R902" i="5"/>
  <c r="Q902" i="5"/>
  <c r="N902" i="5"/>
  <c r="M902" i="5"/>
  <c r="J902" i="5"/>
  <c r="I902" i="5"/>
  <c r="F902" i="5"/>
  <c r="E902" i="5"/>
  <c r="R901" i="5"/>
  <c r="Q901" i="5"/>
  <c r="N901" i="5"/>
  <c r="M901" i="5"/>
  <c r="J901" i="5"/>
  <c r="I901" i="5"/>
  <c r="F901" i="5"/>
  <c r="E901" i="5"/>
  <c r="R900" i="5"/>
  <c r="Q900" i="5"/>
  <c r="N900" i="5"/>
  <c r="M900" i="5"/>
  <c r="J900" i="5"/>
  <c r="I900" i="5"/>
  <c r="F900" i="5"/>
  <c r="E900" i="5"/>
  <c r="R899" i="5"/>
  <c r="Q899" i="5"/>
  <c r="N899" i="5"/>
  <c r="M899" i="5"/>
  <c r="J899" i="5"/>
  <c r="I899" i="5"/>
  <c r="F899" i="5"/>
  <c r="E899" i="5"/>
  <c r="R898" i="5"/>
  <c r="Q898" i="5"/>
  <c r="N898" i="5"/>
  <c r="M898" i="5"/>
  <c r="J898" i="5"/>
  <c r="I898" i="5"/>
  <c r="F898" i="5"/>
  <c r="E898" i="5"/>
  <c r="R897" i="5"/>
  <c r="Q897" i="5"/>
  <c r="N897" i="5"/>
  <c r="M897" i="5"/>
  <c r="J897" i="5"/>
  <c r="I897" i="5"/>
  <c r="F897" i="5"/>
  <c r="E897" i="5"/>
  <c r="R896" i="5"/>
  <c r="Q896" i="5"/>
  <c r="N896" i="5"/>
  <c r="M896" i="5"/>
  <c r="J896" i="5"/>
  <c r="I896" i="5"/>
  <c r="F896" i="5"/>
  <c r="E896" i="5"/>
  <c r="R895" i="5"/>
  <c r="Q895" i="5"/>
  <c r="N895" i="5"/>
  <c r="M895" i="5"/>
  <c r="J895" i="5"/>
  <c r="I895" i="5"/>
  <c r="F895" i="5"/>
  <c r="E895" i="5"/>
  <c r="R894" i="5"/>
  <c r="Q894" i="5"/>
  <c r="N894" i="5"/>
  <c r="M894" i="5"/>
  <c r="J894" i="5"/>
  <c r="I894" i="5"/>
  <c r="F894" i="5"/>
  <c r="E894" i="5"/>
  <c r="R893" i="5"/>
  <c r="Q893" i="5"/>
  <c r="N893" i="5"/>
  <c r="M893" i="5"/>
  <c r="J893" i="5"/>
  <c r="I893" i="5"/>
  <c r="F893" i="5"/>
  <c r="E893" i="5"/>
  <c r="R892" i="5"/>
  <c r="Q892" i="5"/>
  <c r="N892" i="5"/>
  <c r="M892" i="5"/>
  <c r="J892" i="5"/>
  <c r="I892" i="5"/>
  <c r="F892" i="5"/>
  <c r="E892" i="5"/>
  <c r="R891" i="5"/>
  <c r="Q891" i="5"/>
  <c r="N891" i="5"/>
  <c r="M891" i="5"/>
  <c r="J891" i="5"/>
  <c r="I891" i="5"/>
  <c r="F891" i="5"/>
  <c r="E891" i="5"/>
  <c r="R890" i="5"/>
  <c r="Q890" i="5"/>
  <c r="N890" i="5"/>
  <c r="M890" i="5"/>
  <c r="J890" i="5"/>
  <c r="I890" i="5"/>
  <c r="F890" i="5"/>
  <c r="E890" i="5"/>
  <c r="R889" i="5"/>
  <c r="Q889" i="5"/>
  <c r="N889" i="5"/>
  <c r="M889" i="5"/>
  <c r="J889" i="5"/>
  <c r="I889" i="5"/>
  <c r="F889" i="5"/>
  <c r="E889" i="5"/>
  <c r="R888" i="5"/>
  <c r="Q888" i="5"/>
  <c r="N888" i="5"/>
  <c r="M888" i="5"/>
  <c r="J888" i="5"/>
  <c r="I888" i="5"/>
  <c r="F888" i="5"/>
  <c r="E888" i="5"/>
  <c r="R887" i="5"/>
  <c r="Q887" i="5"/>
  <c r="N887" i="5"/>
  <c r="M887" i="5"/>
  <c r="J887" i="5"/>
  <c r="I887" i="5"/>
  <c r="F887" i="5"/>
  <c r="E887" i="5"/>
  <c r="R886" i="5"/>
  <c r="Q886" i="5"/>
  <c r="N886" i="5"/>
  <c r="M886" i="5"/>
  <c r="J886" i="5"/>
  <c r="I886" i="5"/>
  <c r="F886" i="5"/>
  <c r="E886" i="5"/>
  <c r="R885" i="5"/>
  <c r="Q885" i="5"/>
  <c r="N885" i="5"/>
  <c r="M885" i="5"/>
  <c r="J885" i="5"/>
  <c r="I885" i="5"/>
  <c r="F885" i="5"/>
  <c r="E885" i="5"/>
  <c r="R884" i="5"/>
  <c r="Q884" i="5"/>
  <c r="N884" i="5"/>
  <c r="M884" i="5"/>
  <c r="J884" i="5"/>
  <c r="I884" i="5"/>
  <c r="F884" i="5"/>
  <c r="E884" i="5"/>
  <c r="R883" i="5"/>
  <c r="Q883" i="5"/>
  <c r="N883" i="5"/>
  <c r="M883" i="5"/>
  <c r="J883" i="5"/>
  <c r="I883" i="5"/>
  <c r="F883" i="5"/>
  <c r="E883" i="5"/>
  <c r="R882" i="5"/>
  <c r="Q882" i="5"/>
  <c r="N882" i="5"/>
  <c r="M882" i="5"/>
  <c r="J882" i="5"/>
  <c r="I882" i="5"/>
  <c r="F882" i="5"/>
  <c r="E882" i="5"/>
  <c r="R881" i="5"/>
  <c r="Q881" i="5"/>
  <c r="N881" i="5"/>
  <c r="M881" i="5"/>
  <c r="J881" i="5"/>
  <c r="I881" i="5"/>
  <c r="F881" i="5"/>
  <c r="E881" i="5"/>
  <c r="R880" i="5"/>
  <c r="Q880" i="5"/>
  <c r="N880" i="5"/>
  <c r="M880" i="5"/>
  <c r="J880" i="5"/>
  <c r="I880" i="5"/>
  <c r="F880" i="5"/>
  <c r="E880" i="5"/>
  <c r="R879" i="5"/>
  <c r="Q879" i="5"/>
  <c r="N879" i="5"/>
  <c r="M879" i="5"/>
  <c r="J879" i="5"/>
  <c r="I879" i="5"/>
  <c r="F879" i="5"/>
  <c r="E879" i="5"/>
  <c r="R878" i="5"/>
  <c r="Q878" i="5"/>
  <c r="N878" i="5"/>
  <c r="M878" i="5"/>
  <c r="J878" i="5"/>
  <c r="I878" i="5"/>
  <c r="F878" i="5"/>
  <c r="E878" i="5"/>
  <c r="R877" i="5"/>
  <c r="Q877" i="5"/>
  <c r="N877" i="5"/>
  <c r="M877" i="5"/>
  <c r="J877" i="5"/>
  <c r="I877" i="5"/>
  <c r="F877" i="5"/>
  <c r="E877" i="5"/>
  <c r="R876" i="5"/>
  <c r="Q876" i="5"/>
  <c r="N876" i="5"/>
  <c r="M876" i="5"/>
  <c r="J876" i="5"/>
  <c r="I876" i="5"/>
  <c r="F876" i="5"/>
  <c r="E876" i="5"/>
  <c r="R875" i="5"/>
  <c r="Q875" i="5"/>
  <c r="N875" i="5"/>
  <c r="M875" i="5"/>
  <c r="J875" i="5"/>
  <c r="I875" i="5"/>
  <c r="F875" i="5"/>
  <c r="E875" i="5"/>
  <c r="R874" i="5"/>
  <c r="Q874" i="5"/>
  <c r="N874" i="5"/>
  <c r="M874" i="5"/>
  <c r="J874" i="5"/>
  <c r="I874" i="5"/>
  <c r="F874" i="5"/>
  <c r="E874" i="5"/>
  <c r="R873" i="5"/>
  <c r="Q873" i="5"/>
  <c r="N873" i="5"/>
  <c r="M873" i="5"/>
  <c r="J873" i="5"/>
  <c r="I873" i="5"/>
  <c r="F873" i="5"/>
  <c r="E873" i="5"/>
  <c r="R872" i="5"/>
  <c r="Q872" i="5"/>
  <c r="N872" i="5"/>
  <c r="M872" i="5"/>
  <c r="J872" i="5"/>
  <c r="I872" i="5"/>
  <c r="F872" i="5"/>
  <c r="E872" i="5"/>
  <c r="R871" i="5"/>
  <c r="Q871" i="5"/>
  <c r="N871" i="5"/>
  <c r="M871" i="5"/>
  <c r="J871" i="5"/>
  <c r="I871" i="5"/>
  <c r="F871" i="5"/>
  <c r="E871" i="5"/>
  <c r="R870" i="5"/>
  <c r="Q870" i="5"/>
  <c r="N870" i="5"/>
  <c r="M870" i="5"/>
  <c r="J870" i="5"/>
  <c r="I870" i="5"/>
  <c r="F870" i="5"/>
  <c r="E870" i="5"/>
  <c r="R869" i="5"/>
  <c r="Q869" i="5"/>
  <c r="N869" i="5"/>
  <c r="M869" i="5"/>
  <c r="J869" i="5"/>
  <c r="I869" i="5"/>
  <c r="F869" i="5"/>
  <c r="E869" i="5"/>
  <c r="R868" i="5"/>
  <c r="Q868" i="5"/>
  <c r="N868" i="5"/>
  <c r="M868" i="5"/>
  <c r="J868" i="5"/>
  <c r="I868" i="5"/>
  <c r="F868" i="5"/>
  <c r="E868" i="5"/>
  <c r="R867" i="5"/>
  <c r="Q867" i="5"/>
  <c r="N867" i="5"/>
  <c r="M867" i="5"/>
  <c r="J867" i="5"/>
  <c r="I867" i="5"/>
  <c r="F867" i="5"/>
  <c r="E867" i="5"/>
  <c r="R866" i="5"/>
  <c r="Q866" i="5"/>
  <c r="N866" i="5"/>
  <c r="M866" i="5"/>
  <c r="J866" i="5"/>
  <c r="I866" i="5"/>
  <c r="F866" i="5"/>
  <c r="E866" i="5"/>
  <c r="R865" i="5"/>
  <c r="Q865" i="5"/>
  <c r="N865" i="5"/>
  <c r="M865" i="5"/>
  <c r="J865" i="5"/>
  <c r="I865" i="5"/>
  <c r="F865" i="5"/>
  <c r="E865" i="5"/>
  <c r="R864" i="5"/>
  <c r="Q864" i="5"/>
  <c r="N864" i="5"/>
  <c r="M864" i="5"/>
  <c r="J864" i="5"/>
  <c r="I864" i="5"/>
  <c r="F864" i="5"/>
  <c r="E864" i="5"/>
  <c r="R863" i="5"/>
  <c r="Q863" i="5"/>
  <c r="N863" i="5"/>
  <c r="M863" i="5"/>
  <c r="J863" i="5"/>
  <c r="I863" i="5"/>
  <c r="F863" i="5"/>
  <c r="E863" i="5"/>
  <c r="R862" i="5"/>
  <c r="Q862" i="5"/>
  <c r="N862" i="5"/>
  <c r="M862" i="5"/>
  <c r="J862" i="5"/>
  <c r="I862" i="5"/>
  <c r="F862" i="5"/>
  <c r="E862" i="5"/>
  <c r="R861" i="5"/>
  <c r="Q861" i="5"/>
  <c r="N861" i="5"/>
  <c r="M861" i="5"/>
  <c r="J861" i="5"/>
  <c r="I861" i="5"/>
  <c r="F861" i="5"/>
  <c r="E861" i="5"/>
  <c r="R860" i="5"/>
  <c r="Q860" i="5"/>
  <c r="N860" i="5"/>
  <c r="M860" i="5"/>
  <c r="J860" i="5"/>
  <c r="I860" i="5"/>
  <c r="F860" i="5"/>
  <c r="E860" i="5"/>
  <c r="R859" i="5"/>
  <c r="Q859" i="5"/>
  <c r="N859" i="5"/>
  <c r="M859" i="5"/>
  <c r="J859" i="5"/>
  <c r="I859" i="5"/>
  <c r="F859" i="5"/>
  <c r="E859" i="5"/>
  <c r="R858" i="5"/>
  <c r="Q858" i="5"/>
  <c r="N858" i="5"/>
  <c r="M858" i="5"/>
  <c r="J858" i="5"/>
  <c r="I858" i="5"/>
  <c r="F858" i="5"/>
  <c r="E858" i="5"/>
  <c r="R857" i="5"/>
  <c r="Q857" i="5"/>
  <c r="N857" i="5"/>
  <c r="M857" i="5"/>
  <c r="J857" i="5"/>
  <c r="I857" i="5"/>
  <c r="F857" i="5"/>
  <c r="E857" i="5"/>
  <c r="R856" i="5"/>
  <c r="Q856" i="5"/>
  <c r="N856" i="5"/>
  <c r="M856" i="5"/>
  <c r="J856" i="5"/>
  <c r="I856" i="5"/>
  <c r="F856" i="5"/>
  <c r="E856" i="5"/>
  <c r="R855" i="5"/>
  <c r="Q855" i="5"/>
  <c r="N855" i="5"/>
  <c r="M855" i="5"/>
  <c r="J855" i="5"/>
  <c r="I855" i="5"/>
  <c r="F855" i="5"/>
  <c r="E855" i="5"/>
  <c r="R854" i="5"/>
  <c r="Q854" i="5"/>
  <c r="N854" i="5"/>
  <c r="M854" i="5"/>
  <c r="J854" i="5"/>
  <c r="I854" i="5"/>
  <c r="F854" i="5"/>
  <c r="E854" i="5"/>
  <c r="R853" i="5"/>
  <c r="Q853" i="5"/>
  <c r="N853" i="5"/>
  <c r="M853" i="5"/>
  <c r="J853" i="5"/>
  <c r="I853" i="5"/>
  <c r="F853" i="5"/>
  <c r="E853" i="5"/>
  <c r="R852" i="5"/>
  <c r="Q852" i="5"/>
  <c r="N852" i="5"/>
  <c r="M852" i="5"/>
  <c r="J852" i="5"/>
  <c r="I852" i="5"/>
  <c r="F852" i="5"/>
  <c r="E852" i="5"/>
  <c r="R851" i="5"/>
  <c r="Q851" i="5"/>
  <c r="N851" i="5"/>
  <c r="M851" i="5"/>
  <c r="J851" i="5"/>
  <c r="I851" i="5"/>
  <c r="F851" i="5"/>
  <c r="E851" i="5"/>
  <c r="R850" i="5"/>
  <c r="Q850" i="5"/>
  <c r="N850" i="5"/>
  <c r="M850" i="5"/>
  <c r="J850" i="5"/>
  <c r="I850" i="5"/>
  <c r="F850" i="5"/>
  <c r="E850" i="5"/>
  <c r="R849" i="5"/>
  <c r="Q849" i="5"/>
  <c r="N849" i="5"/>
  <c r="M849" i="5"/>
  <c r="J849" i="5"/>
  <c r="I849" i="5"/>
  <c r="F849" i="5"/>
  <c r="E849" i="5"/>
  <c r="R848" i="5"/>
  <c r="Q848" i="5"/>
  <c r="N848" i="5"/>
  <c r="M848" i="5"/>
  <c r="J848" i="5"/>
  <c r="I848" i="5"/>
  <c r="F848" i="5"/>
  <c r="E848" i="5"/>
  <c r="R847" i="5"/>
  <c r="Q847" i="5"/>
  <c r="N847" i="5"/>
  <c r="M847" i="5"/>
  <c r="J847" i="5"/>
  <c r="I847" i="5"/>
  <c r="F847" i="5"/>
  <c r="E847" i="5"/>
  <c r="R846" i="5"/>
  <c r="Q846" i="5"/>
  <c r="N846" i="5"/>
  <c r="M846" i="5"/>
  <c r="J846" i="5"/>
  <c r="I846" i="5"/>
  <c r="F846" i="5"/>
  <c r="E846" i="5"/>
  <c r="R845" i="5"/>
  <c r="Q845" i="5"/>
  <c r="N845" i="5"/>
  <c r="M845" i="5"/>
  <c r="J845" i="5"/>
  <c r="I845" i="5"/>
  <c r="F845" i="5"/>
  <c r="E845" i="5"/>
  <c r="R844" i="5"/>
  <c r="Q844" i="5"/>
  <c r="N844" i="5"/>
  <c r="M844" i="5"/>
  <c r="J844" i="5"/>
  <c r="I844" i="5"/>
  <c r="F844" i="5"/>
  <c r="E844" i="5"/>
  <c r="R843" i="5"/>
  <c r="Q843" i="5"/>
  <c r="N843" i="5"/>
  <c r="M843" i="5"/>
  <c r="J843" i="5"/>
  <c r="I843" i="5"/>
  <c r="F843" i="5"/>
  <c r="E843" i="5"/>
  <c r="R842" i="5"/>
  <c r="Q842" i="5"/>
  <c r="N842" i="5"/>
  <c r="M842" i="5"/>
  <c r="J842" i="5"/>
  <c r="I842" i="5"/>
  <c r="F842" i="5"/>
  <c r="E842" i="5"/>
  <c r="R841" i="5"/>
  <c r="Q841" i="5"/>
  <c r="N841" i="5"/>
  <c r="M841" i="5"/>
  <c r="J841" i="5"/>
  <c r="I841" i="5"/>
  <c r="F841" i="5"/>
  <c r="E841" i="5"/>
  <c r="R840" i="5"/>
  <c r="Q840" i="5"/>
  <c r="N840" i="5"/>
  <c r="M840" i="5"/>
  <c r="J840" i="5"/>
  <c r="I840" i="5"/>
  <c r="F840" i="5"/>
  <c r="E840" i="5"/>
  <c r="R839" i="5"/>
  <c r="Q839" i="5"/>
  <c r="N839" i="5"/>
  <c r="M839" i="5"/>
  <c r="J839" i="5"/>
  <c r="I839" i="5"/>
  <c r="F839" i="5"/>
  <c r="E839" i="5"/>
  <c r="R838" i="5"/>
  <c r="Q838" i="5"/>
  <c r="N838" i="5"/>
  <c r="M838" i="5"/>
  <c r="J838" i="5"/>
  <c r="I838" i="5"/>
  <c r="F838" i="5"/>
  <c r="E838" i="5"/>
  <c r="R837" i="5"/>
  <c r="Q837" i="5"/>
  <c r="N837" i="5"/>
  <c r="M837" i="5"/>
  <c r="J837" i="5"/>
  <c r="I837" i="5"/>
  <c r="F837" i="5"/>
  <c r="E837" i="5"/>
  <c r="R836" i="5"/>
  <c r="Q836" i="5"/>
  <c r="N836" i="5"/>
  <c r="M836" i="5"/>
  <c r="J836" i="5"/>
  <c r="I836" i="5"/>
  <c r="F836" i="5"/>
  <c r="E836" i="5"/>
  <c r="R835" i="5"/>
  <c r="Q835" i="5"/>
  <c r="N835" i="5"/>
  <c r="M835" i="5"/>
  <c r="J835" i="5"/>
  <c r="I835" i="5"/>
  <c r="F835" i="5"/>
  <c r="E835" i="5"/>
  <c r="R834" i="5"/>
  <c r="Q834" i="5"/>
  <c r="N834" i="5"/>
  <c r="M834" i="5"/>
  <c r="J834" i="5"/>
  <c r="I834" i="5"/>
  <c r="F834" i="5"/>
  <c r="E834" i="5"/>
  <c r="R833" i="5"/>
  <c r="Q833" i="5"/>
  <c r="N833" i="5"/>
  <c r="M833" i="5"/>
  <c r="J833" i="5"/>
  <c r="I833" i="5"/>
  <c r="F833" i="5"/>
  <c r="E833" i="5"/>
  <c r="R832" i="5"/>
  <c r="Q832" i="5"/>
  <c r="N832" i="5"/>
  <c r="M832" i="5"/>
  <c r="J832" i="5"/>
  <c r="I832" i="5"/>
  <c r="F832" i="5"/>
  <c r="E832" i="5"/>
  <c r="R831" i="5"/>
  <c r="Q831" i="5"/>
  <c r="N831" i="5"/>
  <c r="M831" i="5"/>
  <c r="J831" i="5"/>
  <c r="I831" i="5"/>
  <c r="F831" i="5"/>
  <c r="E831" i="5"/>
  <c r="R830" i="5"/>
  <c r="Q830" i="5"/>
  <c r="N830" i="5"/>
  <c r="M830" i="5"/>
  <c r="J830" i="5"/>
  <c r="I830" i="5"/>
  <c r="F830" i="5"/>
  <c r="E830" i="5"/>
  <c r="R829" i="5"/>
  <c r="Q829" i="5"/>
  <c r="N829" i="5"/>
  <c r="M829" i="5"/>
  <c r="J829" i="5"/>
  <c r="I829" i="5"/>
  <c r="F829" i="5"/>
  <c r="E829" i="5"/>
  <c r="R828" i="5"/>
  <c r="Q828" i="5"/>
  <c r="N828" i="5"/>
  <c r="M828" i="5"/>
  <c r="J828" i="5"/>
  <c r="I828" i="5"/>
  <c r="F828" i="5"/>
  <c r="E828" i="5"/>
  <c r="R827" i="5"/>
  <c r="Q827" i="5"/>
  <c r="N827" i="5"/>
  <c r="M827" i="5"/>
  <c r="J827" i="5"/>
  <c r="I827" i="5"/>
  <c r="F827" i="5"/>
  <c r="E827" i="5"/>
  <c r="R826" i="5"/>
  <c r="Q826" i="5"/>
  <c r="N826" i="5"/>
  <c r="M826" i="5"/>
  <c r="J826" i="5"/>
  <c r="I826" i="5"/>
  <c r="F826" i="5"/>
  <c r="E826" i="5"/>
  <c r="R825" i="5"/>
  <c r="Q825" i="5"/>
  <c r="N825" i="5"/>
  <c r="M825" i="5"/>
  <c r="J825" i="5"/>
  <c r="I825" i="5"/>
  <c r="F825" i="5"/>
  <c r="E825" i="5"/>
  <c r="R824" i="5"/>
  <c r="Q824" i="5"/>
  <c r="N824" i="5"/>
  <c r="M824" i="5"/>
  <c r="J824" i="5"/>
  <c r="I824" i="5"/>
  <c r="F824" i="5"/>
  <c r="E824" i="5"/>
  <c r="R823" i="5"/>
  <c r="Q823" i="5"/>
  <c r="N823" i="5"/>
  <c r="M823" i="5"/>
  <c r="J823" i="5"/>
  <c r="I823" i="5"/>
  <c r="F823" i="5"/>
  <c r="E823" i="5"/>
  <c r="R822" i="5"/>
  <c r="Q822" i="5"/>
  <c r="N822" i="5"/>
  <c r="M822" i="5"/>
  <c r="J822" i="5"/>
  <c r="I822" i="5"/>
  <c r="F822" i="5"/>
  <c r="E822" i="5"/>
  <c r="R821" i="5"/>
  <c r="Q821" i="5"/>
  <c r="N821" i="5"/>
  <c r="M821" i="5"/>
  <c r="J821" i="5"/>
  <c r="I821" i="5"/>
  <c r="F821" i="5"/>
  <c r="E821" i="5"/>
  <c r="R820" i="5"/>
  <c r="Q820" i="5"/>
  <c r="N820" i="5"/>
  <c r="M820" i="5"/>
  <c r="J820" i="5"/>
  <c r="I820" i="5"/>
  <c r="F820" i="5"/>
  <c r="E820" i="5"/>
  <c r="R819" i="5"/>
  <c r="Q819" i="5"/>
  <c r="N819" i="5"/>
  <c r="M819" i="5"/>
  <c r="J819" i="5"/>
  <c r="I819" i="5"/>
  <c r="F819" i="5"/>
  <c r="E819" i="5"/>
  <c r="R818" i="5"/>
  <c r="Q818" i="5"/>
  <c r="N818" i="5"/>
  <c r="M818" i="5"/>
  <c r="J818" i="5"/>
  <c r="I818" i="5"/>
  <c r="F818" i="5"/>
  <c r="E818" i="5"/>
  <c r="R817" i="5"/>
  <c r="Q817" i="5"/>
  <c r="N817" i="5"/>
  <c r="M817" i="5"/>
  <c r="J817" i="5"/>
  <c r="I817" i="5"/>
  <c r="F817" i="5"/>
  <c r="E817" i="5"/>
  <c r="R816" i="5"/>
  <c r="Q816" i="5"/>
  <c r="N816" i="5"/>
  <c r="M816" i="5"/>
  <c r="J816" i="5"/>
  <c r="I816" i="5"/>
  <c r="F816" i="5"/>
  <c r="E816" i="5"/>
  <c r="R815" i="5"/>
  <c r="Q815" i="5"/>
  <c r="N815" i="5"/>
  <c r="M815" i="5"/>
  <c r="J815" i="5"/>
  <c r="I815" i="5"/>
  <c r="F815" i="5"/>
  <c r="E815" i="5"/>
  <c r="R814" i="5"/>
  <c r="Q814" i="5"/>
  <c r="N814" i="5"/>
  <c r="M814" i="5"/>
  <c r="J814" i="5"/>
  <c r="I814" i="5"/>
  <c r="F814" i="5"/>
  <c r="E814" i="5"/>
  <c r="R813" i="5"/>
  <c r="Q813" i="5"/>
  <c r="N813" i="5"/>
  <c r="M813" i="5"/>
  <c r="J813" i="5"/>
  <c r="I813" i="5"/>
  <c r="F813" i="5"/>
  <c r="E813" i="5"/>
  <c r="R812" i="5"/>
  <c r="Q812" i="5"/>
  <c r="N812" i="5"/>
  <c r="M812" i="5"/>
  <c r="J812" i="5"/>
  <c r="I812" i="5"/>
  <c r="F812" i="5"/>
  <c r="E812" i="5"/>
  <c r="R811" i="5"/>
  <c r="Q811" i="5"/>
  <c r="N811" i="5"/>
  <c r="M811" i="5"/>
  <c r="J811" i="5"/>
  <c r="I811" i="5"/>
  <c r="F811" i="5"/>
  <c r="E811" i="5"/>
  <c r="R810" i="5"/>
  <c r="Q810" i="5"/>
  <c r="N810" i="5"/>
  <c r="M810" i="5"/>
  <c r="J810" i="5"/>
  <c r="I810" i="5"/>
  <c r="F810" i="5"/>
  <c r="E810" i="5"/>
  <c r="R809" i="5"/>
  <c r="Q809" i="5"/>
  <c r="N809" i="5"/>
  <c r="M809" i="5"/>
  <c r="J809" i="5"/>
  <c r="I809" i="5"/>
  <c r="F809" i="5"/>
  <c r="E809" i="5"/>
  <c r="R808" i="5"/>
  <c r="Q808" i="5"/>
  <c r="N808" i="5"/>
  <c r="M808" i="5"/>
  <c r="J808" i="5"/>
  <c r="I808" i="5"/>
  <c r="F808" i="5"/>
  <c r="E808" i="5"/>
  <c r="R807" i="5"/>
  <c r="Q807" i="5"/>
  <c r="N807" i="5"/>
  <c r="M807" i="5"/>
  <c r="J807" i="5"/>
  <c r="I807" i="5"/>
  <c r="F807" i="5"/>
  <c r="E807" i="5"/>
  <c r="R806" i="5"/>
  <c r="Q806" i="5"/>
  <c r="N806" i="5"/>
  <c r="M806" i="5"/>
  <c r="J806" i="5"/>
  <c r="I806" i="5"/>
  <c r="F806" i="5"/>
  <c r="E806" i="5"/>
  <c r="R805" i="5"/>
  <c r="Q805" i="5"/>
  <c r="N805" i="5"/>
  <c r="M805" i="5"/>
  <c r="J805" i="5"/>
  <c r="I805" i="5"/>
  <c r="F805" i="5"/>
  <c r="E805" i="5"/>
  <c r="R804" i="5"/>
  <c r="Q804" i="5"/>
  <c r="N804" i="5"/>
  <c r="M804" i="5"/>
  <c r="J804" i="5"/>
  <c r="I804" i="5"/>
  <c r="F804" i="5"/>
  <c r="E804" i="5"/>
  <c r="R803" i="5"/>
  <c r="Q803" i="5"/>
  <c r="N803" i="5"/>
  <c r="M803" i="5"/>
  <c r="J803" i="5"/>
  <c r="I803" i="5"/>
  <c r="F803" i="5"/>
  <c r="E803" i="5"/>
  <c r="R802" i="5"/>
  <c r="Q802" i="5"/>
  <c r="N802" i="5"/>
  <c r="M802" i="5"/>
  <c r="J802" i="5"/>
  <c r="I802" i="5"/>
  <c r="F802" i="5"/>
  <c r="E802" i="5"/>
  <c r="R801" i="5"/>
  <c r="Q801" i="5"/>
  <c r="N801" i="5"/>
  <c r="M801" i="5"/>
  <c r="J801" i="5"/>
  <c r="I801" i="5"/>
  <c r="F801" i="5"/>
  <c r="E801" i="5"/>
  <c r="R800" i="5"/>
  <c r="Q800" i="5"/>
  <c r="N800" i="5"/>
  <c r="M800" i="5"/>
  <c r="J800" i="5"/>
  <c r="I800" i="5"/>
  <c r="F800" i="5"/>
  <c r="E800" i="5"/>
  <c r="R799" i="5"/>
  <c r="Q799" i="5"/>
  <c r="N799" i="5"/>
  <c r="M799" i="5"/>
  <c r="J799" i="5"/>
  <c r="I799" i="5"/>
  <c r="F799" i="5"/>
  <c r="E799" i="5"/>
  <c r="R798" i="5"/>
  <c r="Q798" i="5"/>
  <c r="N798" i="5"/>
  <c r="M798" i="5"/>
  <c r="J798" i="5"/>
  <c r="I798" i="5"/>
  <c r="F798" i="5"/>
  <c r="E798" i="5"/>
  <c r="R797" i="5"/>
  <c r="Q797" i="5"/>
  <c r="N797" i="5"/>
  <c r="M797" i="5"/>
  <c r="J797" i="5"/>
  <c r="I797" i="5"/>
  <c r="F797" i="5"/>
  <c r="E797" i="5"/>
  <c r="R796" i="5"/>
  <c r="Q796" i="5"/>
  <c r="N796" i="5"/>
  <c r="M796" i="5"/>
  <c r="J796" i="5"/>
  <c r="I796" i="5"/>
  <c r="F796" i="5"/>
  <c r="E796" i="5"/>
  <c r="R795" i="5"/>
  <c r="Q795" i="5"/>
  <c r="N795" i="5"/>
  <c r="M795" i="5"/>
  <c r="J795" i="5"/>
  <c r="I795" i="5"/>
  <c r="F795" i="5"/>
  <c r="E795" i="5"/>
  <c r="R794" i="5"/>
  <c r="Q794" i="5"/>
  <c r="N794" i="5"/>
  <c r="M794" i="5"/>
  <c r="J794" i="5"/>
  <c r="I794" i="5"/>
  <c r="F794" i="5"/>
  <c r="E794" i="5"/>
  <c r="R793" i="5"/>
  <c r="Q793" i="5"/>
  <c r="N793" i="5"/>
  <c r="M793" i="5"/>
  <c r="J793" i="5"/>
  <c r="I793" i="5"/>
  <c r="F793" i="5"/>
  <c r="E793" i="5"/>
  <c r="R792" i="5"/>
  <c r="Q792" i="5"/>
  <c r="N792" i="5"/>
  <c r="M792" i="5"/>
  <c r="J792" i="5"/>
  <c r="I792" i="5"/>
  <c r="F792" i="5"/>
  <c r="E792" i="5"/>
  <c r="R791" i="5"/>
  <c r="Q791" i="5"/>
  <c r="N791" i="5"/>
  <c r="M791" i="5"/>
  <c r="J791" i="5"/>
  <c r="I791" i="5"/>
  <c r="F791" i="5"/>
  <c r="E791" i="5"/>
  <c r="R790" i="5"/>
  <c r="Q790" i="5"/>
  <c r="N790" i="5"/>
  <c r="M790" i="5"/>
  <c r="J790" i="5"/>
  <c r="I790" i="5"/>
  <c r="F790" i="5"/>
  <c r="E790" i="5"/>
  <c r="R789" i="5"/>
  <c r="Q789" i="5"/>
  <c r="N789" i="5"/>
  <c r="M789" i="5"/>
  <c r="J789" i="5"/>
  <c r="I789" i="5"/>
  <c r="F789" i="5"/>
  <c r="E789" i="5"/>
  <c r="R788" i="5"/>
  <c r="Q788" i="5"/>
  <c r="N788" i="5"/>
  <c r="M788" i="5"/>
  <c r="J788" i="5"/>
  <c r="I788" i="5"/>
  <c r="F788" i="5"/>
  <c r="E788" i="5"/>
  <c r="R787" i="5"/>
  <c r="Q787" i="5"/>
  <c r="N787" i="5"/>
  <c r="M787" i="5"/>
  <c r="J787" i="5"/>
  <c r="I787" i="5"/>
  <c r="F787" i="5"/>
  <c r="E787" i="5"/>
  <c r="R786" i="5"/>
  <c r="Q786" i="5"/>
  <c r="N786" i="5"/>
  <c r="M786" i="5"/>
  <c r="J786" i="5"/>
  <c r="I786" i="5"/>
  <c r="F786" i="5"/>
  <c r="E786" i="5"/>
  <c r="R785" i="5"/>
  <c r="Q785" i="5"/>
  <c r="N785" i="5"/>
  <c r="M785" i="5"/>
  <c r="J785" i="5"/>
  <c r="I785" i="5"/>
  <c r="F785" i="5"/>
  <c r="E785" i="5"/>
  <c r="R784" i="5"/>
  <c r="Q784" i="5"/>
  <c r="N784" i="5"/>
  <c r="M784" i="5"/>
  <c r="J784" i="5"/>
  <c r="I784" i="5"/>
  <c r="F784" i="5"/>
  <c r="E784" i="5"/>
  <c r="R783" i="5"/>
  <c r="Q783" i="5"/>
  <c r="N783" i="5"/>
  <c r="M783" i="5"/>
  <c r="J783" i="5"/>
  <c r="I783" i="5"/>
  <c r="F783" i="5"/>
  <c r="E783" i="5"/>
  <c r="R782" i="5"/>
  <c r="Q782" i="5"/>
  <c r="N782" i="5"/>
  <c r="M782" i="5"/>
  <c r="J782" i="5"/>
  <c r="I782" i="5"/>
  <c r="F782" i="5"/>
  <c r="E782" i="5"/>
  <c r="R781" i="5"/>
  <c r="Q781" i="5"/>
  <c r="N781" i="5"/>
  <c r="M781" i="5"/>
  <c r="J781" i="5"/>
  <c r="I781" i="5"/>
  <c r="F781" i="5"/>
  <c r="E781" i="5"/>
  <c r="R780" i="5"/>
  <c r="Q780" i="5"/>
  <c r="N780" i="5"/>
  <c r="M780" i="5"/>
  <c r="J780" i="5"/>
  <c r="I780" i="5"/>
  <c r="F780" i="5"/>
  <c r="E780" i="5"/>
  <c r="R779" i="5"/>
  <c r="Q779" i="5"/>
  <c r="N779" i="5"/>
  <c r="M779" i="5"/>
  <c r="J779" i="5"/>
  <c r="I779" i="5"/>
  <c r="F779" i="5"/>
  <c r="E779" i="5"/>
  <c r="R778" i="5"/>
  <c r="Q778" i="5"/>
  <c r="N778" i="5"/>
  <c r="M778" i="5"/>
  <c r="J778" i="5"/>
  <c r="I778" i="5"/>
  <c r="F778" i="5"/>
  <c r="E778" i="5"/>
  <c r="R777" i="5"/>
  <c r="Q777" i="5"/>
  <c r="N777" i="5"/>
  <c r="M777" i="5"/>
  <c r="J777" i="5"/>
  <c r="I777" i="5"/>
  <c r="F777" i="5"/>
  <c r="E777" i="5"/>
  <c r="R776" i="5"/>
  <c r="Q776" i="5"/>
  <c r="N776" i="5"/>
  <c r="M776" i="5"/>
  <c r="J776" i="5"/>
  <c r="I776" i="5"/>
  <c r="F776" i="5"/>
  <c r="E776" i="5"/>
  <c r="R775" i="5"/>
  <c r="Q775" i="5"/>
  <c r="N775" i="5"/>
  <c r="M775" i="5"/>
  <c r="J775" i="5"/>
  <c r="I775" i="5"/>
  <c r="F775" i="5"/>
  <c r="E775" i="5"/>
  <c r="R774" i="5"/>
  <c r="Q774" i="5"/>
  <c r="N774" i="5"/>
  <c r="M774" i="5"/>
  <c r="J774" i="5"/>
  <c r="I774" i="5"/>
  <c r="F774" i="5"/>
  <c r="E774" i="5"/>
  <c r="R773" i="5"/>
  <c r="Q773" i="5"/>
  <c r="N773" i="5"/>
  <c r="M773" i="5"/>
  <c r="J773" i="5"/>
  <c r="I773" i="5"/>
  <c r="F773" i="5"/>
  <c r="E773" i="5"/>
  <c r="R772" i="5"/>
  <c r="Q772" i="5"/>
  <c r="N772" i="5"/>
  <c r="M772" i="5"/>
  <c r="J772" i="5"/>
  <c r="I772" i="5"/>
  <c r="F772" i="5"/>
  <c r="E772" i="5"/>
  <c r="R771" i="5"/>
  <c r="Q771" i="5"/>
  <c r="N771" i="5"/>
  <c r="M771" i="5"/>
  <c r="J771" i="5"/>
  <c r="I771" i="5"/>
  <c r="F771" i="5"/>
  <c r="E771" i="5"/>
  <c r="R770" i="5"/>
  <c r="Q770" i="5"/>
  <c r="N770" i="5"/>
  <c r="M770" i="5"/>
  <c r="J770" i="5"/>
  <c r="I770" i="5"/>
  <c r="F770" i="5"/>
  <c r="E770" i="5"/>
  <c r="R769" i="5"/>
  <c r="Q769" i="5"/>
  <c r="N769" i="5"/>
  <c r="M769" i="5"/>
  <c r="J769" i="5"/>
  <c r="I769" i="5"/>
  <c r="F769" i="5"/>
  <c r="E769" i="5"/>
  <c r="R768" i="5"/>
  <c r="Q768" i="5"/>
  <c r="N768" i="5"/>
  <c r="M768" i="5"/>
  <c r="J768" i="5"/>
  <c r="I768" i="5"/>
  <c r="F768" i="5"/>
  <c r="E768" i="5"/>
  <c r="R767" i="5"/>
  <c r="Q767" i="5"/>
  <c r="N767" i="5"/>
  <c r="M767" i="5"/>
  <c r="J767" i="5"/>
  <c r="I767" i="5"/>
  <c r="F767" i="5"/>
  <c r="E767" i="5"/>
  <c r="R766" i="5"/>
  <c r="Q766" i="5"/>
  <c r="N766" i="5"/>
  <c r="M766" i="5"/>
  <c r="J766" i="5"/>
  <c r="I766" i="5"/>
  <c r="F766" i="5"/>
  <c r="E766" i="5"/>
  <c r="R765" i="5"/>
  <c r="Q765" i="5"/>
  <c r="N765" i="5"/>
  <c r="M765" i="5"/>
  <c r="J765" i="5"/>
  <c r="I765" i="5"/>
  <c r="F765" i="5"/>
  <c r="E765" i="5"/>
  <c r="R764" i="5"/>
  <c r="Q764" i="5"/>
  <c r="N764" i="5"/>
  <c r="M764" i="5"/>
  <c r="J764" i="5"/>
  <c r="I764" i="5"/>
  <c r="F764" i="5"/>
  <c r="E764" i="5"/>
  <c r="R763" i="5"/>
  <c r="Q763" i="5"/>
  <c r="N763" i="5"/>
  <c r="M763" i="5"/>
  <c r="J763" i="5"/>
  <c r="I763" i="5"/>
  <c r="F763" i="5"/>
  <c r="E763" i="5"/>
  <c r="R762" i="5"/>
  <c r="Q762" i="5"/>
  <c r="N762" i="5"/>
  <c r="M762" i="5"/>
  <c r="J762" i="5"/>
  <c r="I762" i="5"/>
  <c r="F762" i="5"/>
  <c r="E762" i="5"/>
  <c r="R761" i="5"/>
  <c r="Q761" i="5"/>
  <c r="N761" i="5"/>
  <c r="M761" i="5"/>
  <c r="J761" i="5"/>
  <c r="I761" i="5"/>
  <c r="F761" i="5"/>
  <c r="E761" i="5"/>
  <c r="R760" i="5"/>
  <c r="Q760" i="5"/>
  <c r="N760" i="5"/>
  <c r="M760" i="5"/>
  <c r="J760" i="5"/>
  <c r="I760" i="5"/>
  <c r="F760" i="5"/>
  <c r="E760" i="5"/>
  <c r="R759" i="5"/>
  <c r="Q759" i="5"/>
  <c r="N759" i="5"/>
  <c r="M759" i="5"/>
  <c r="J759" i="5"/>
  <c r="I759" i="5"/>
  <c r="F759" i="5"/>
  <c r="E759" i="5"/>
  <c r="R758" i="5"/>
  <c r="Q758" i="5"/>
  <c r="N758" i="5"/>
  <c r="M758" i="5"/>
  <c r="J758" i="5"/>
  <c r="I758" i="5"/>
  <c r="F758" i="5"/>
  <c r="E758" i="5"/>
  <c r="R757" i="5"/>
  <c r="Q757" i="5"/>
  <c r="N757" i="5"/>
  <c r="M757" i="5"/>
  <c r="J757" i="5"/>
  <c r="I757" i="5"/>
  <c r="F757" i="5"/>
  <c r="E757" i="5"/>
  <c r="R756" i="5"/>
  <c r="Q756" i="5"/>
  <c r="N756" i="5"/>
  <c r="M756" i="5"/>
  <c r="J756" i="5"/>
  <c r="I756" i="5"/>
  <c r="F756" i="5"/>
  <c r="E756" i="5"/>
  <c r="R755" i="5"/>
  <c r="Q755" i="5"/>
  <c r="N755" i="5"/>
  <c r="M755" i="5"/>
  <c r="J755" i="5"/>
  <c r="I755" i="5"/>
  <c r="F755" i="5"/>
  <c r="E755" i="5"/>
  <c r="R754" i="5"/>
  <c r="Q754" i="5"/>
  <c r="N754" i="5"/>
  <c r="M754" i="5"/>
  <c r="J754" i="5"/>
  <c r="I754" i="5"/>
  <c r="F754" i="5"/>
  <c r="E754" i="5"/>
  <c r="R753" i="5"/>
  <c r="Q753" i="5"/>
  <c r="N753" i="5"/>
  <c r="M753" i="5"/>
  <c r="J753" i="5"/>
  <c r="I753" i="5"/>
  <c r="F753" i="5"/>
  <c r="E753" i="5"/>
  <c r="R752" i="5"/>
  <c r="Q752" i="5"/>
  <c r="N752" i="5"/>
  <c r="M752" i="5"/>
  <c r="J752" i="5"/>
  <c r="I752" i="5"/>
  <c r="F752" i="5"/>
  <c r="E752" i="5"/>
  <c r="R751" i="5"/>
  <c r="Q751" i="5"/>
  <c r="N751" i="5"/>
  <c r="M751" i="5"/>
  <c r="J751" i="5"/>
  <c r="I751" i="5"/>
  <c r="F751" i="5"/>
  <c r="E751" i="5"/>
  <c r="R750" i="5"/>
  <c r="Q750" i="5"/>
  <c r="N750" i="5"/>
  <c r="M750" i="5"/>
  <c r="J750" i="5"/>
  <c r="I750" i="5"/>
  <c r="F750" i="5"/>
  <c r="E750" i="5"/>
  <c r="R749" i="5"/>
  <c r="Q749" i="5"/>
  <c r="N749" i="5"/>
  <c r="M749" i="5"/>
  <c r="J749" i="5"/>
  <c r="I749" i="5"/>
  <c r="F749" i="5"/>
  <c r="E749" i="5"/>
  <c r="R748" i="5"/>
  <c r="Q748" i="5"/>
  <c r="N748" i="5"/>
  <c r="M748" i="5"/>
  <c r="J748" i="5"/>
  <c r="I748" i="5"/>
  <c r="F748" i="5"/>
  <c r="E748" i="5"/>
  <c r="R747" i="5"/>
  <c r="Q747" i="5"/>
  <c r="N747" i="5"/>
  <c r="M747" i="5"/>
  <c r="J747" i="5"/>
  <c r="I747" i="5"/>
  <c r="F747" i="5"/>
  <c r="E747" i="5"/>
  <c r="R746" i="5"/>
  <c r="Q746" i="5"/>
  <c r="N746" i="5"/>
  <c r="M746" i="5"/>
  <c r="J746" i="5"/>
  <c r="I746" i="5"/>
  <c r="F746" i="5"/>
  <c r="E746" i="5"/>
  <c r="R745" i="5"/>
  <c r="Q745" i="5"/>
  <c r="N745" i="5"/>
  <c r="M745" i="5"/>
  <c r="J745" i="5"/>
  <c r="I745" i="5"/>
  <c r="F745" i="5"/>
  <c r="E745" i="5"/>
  <c r="R744" i="5"/>
  <c r="Q744" i="5"/>
  <c r="N744" i="5"/>
  <c r="M744" i="5"/>
  <c r="J744" i="5"/>
  <c r="I744" i="5"/>
  <c r="F744" i="5"/>
  <c r="E744" i="5"/>
  <c r="R743" i="5"/>
  <c r="Q743" i="5"/>
  <c r="N743" i="5"/>
  <c r="M743" i="5"/>
  <c r="J743" i="5"/>
  <c r="I743" i="5"/>
  <c r="F743" i="5"/>
  <c r="E743" i="5"/>
  <c r="R742" i="5"/>
  <c r="Q742" i="5"/>
  <c r="N742" i="5"/>
  <c r="M742" i="5"/>
  <c r="J742" i="5"/>
  <c r="I742" i="5"/>
  <c r="F742" i="5"/>
  <c r="E742" i="5"/>
  <c r="R741" i="5"/>
  <c r="Q741" i="5"/>
  <c r="N741" i="5"/>
  <c r="M741" i="5"/>
  <c r="J741" i="5"/>
  <c r="I741" i="5"/>
  <c r="F741" i="5"/>
  <c r="E741" i="5"/>
  <c r="R740" i="5"/>
  <c r="Q740" i="5"/>
  <c r="N740" i="5"/>
  <c r="M740" i="5"/>
  <c r="J740" i="5"/>
  <c r="I740" i="5"/>
  <c r="F740" i="5"/>
  <c r="E740" i="5"/>
  <c r="R739" i="5"/>
  <c r="Q739" i="5"/>
  <c r="N739" i="5"/>
  <c r="M739" i="5"/>
  <c r="J739" i="5"/>
  <c r="I739" i="5"/>
  <c r="F739" i="5"/>
  <c r="E739" i="5"/>
  <c r="R738" i="5"/>
  <c r="Q738" i="5"/>
  <c r="N738" i="5"/>
  <c r="M738" i="5"/>
  <c r="J738" i="5"/>
  <c r="I738" i="5"/>
  <c r="F738" i="5"/>
  <c r="E738" i="5"/>
  <c r="R737" i="5"/>
  <c r="Q737" i="5"/>
  <c r="N737" i="5"/>
  <c r="M737" i="5"/>
  <c r="J737" i="5"/>
  <c r="I737" i="5"/>
  <c r="F737" i="5"/>
  <c r="E737" i="5"/>
  <c r="R736" i="5"/>
  <c r="Q736" i="5"/>
  <c r="N736" i="5"/>
  <c r="M736" i="5"/>
  <c r="J736" i="5"/>
  <c r="I736" i="5"/>
  <c r="F736" i="5"/>
  <c r="E736" i="5"/>
  <c r="R735" i="5"/>
  <c r="Q735" i="5"/>
  <c r="N735" i="5"/>
  <c r="M735" i="5"/>
  <c r="J735" i="5"/>
  <c r="I735" i="5"/>
  <c r="F735" i="5"/>
  <c r="E735" i="5"/>
  <c r="R734" i="5"/>
  <c r="Q734" i="5"/>
  <c r="N734" i="5"/>
  <c r="M734" i="5"/>
  <c r="J734" i="5"/>
  <c r="I734" i="5"/>
  <c r="F734" i="5"/>
  <c r="E734" i="5"/>
  <c r="R733" i="5"/>
  <c r="Q733" i="5"/>
  <c r="N733" i="5"/>
  <c r="M733" i="5"/>
  <c r="J733" i="5"/>
  <c r="I733" i="5"/>
  <c r="F733" i="5"/>
  <c r="E733" i="5"/>
  <c r="R732" i="5"/>
  <c r="Q732" i="5"/>
  <c r="N732" i="5"/>
  <c r="M732" i="5"/>
  <c r="J732" i="5"/>
  <c r="I732" i="5"/>
  <c r="F732" i="5"/>
  <c r="E732" i="5"/>
  <c r="R731" i="5"/>
  <c r="Q731" i="5"/>
  <c r="N731" i="5"/>
  <c r="M731" i="5"/>
  <c r="J731" i="5"/>
  <c r="I731" i="5"/>
  <c r="F731" i="5"/>
  <c r="E731" i="5"/>
  <c r="R730" i="5"/>
  <c r="Q730" i="5"/>
  <c r="N730" i="5"/>
  <c r="M730" i="5"/>
  <c r="J730" i="5"/>
  <c r="I730" i="5"/>
  <c r="F730" i="5"/>
  <c r="E730" i="5"/>
  <c r="R729" i="5"/>
  <c r="Q729" i="5"/>
  <c r="N729" i="5"/>
  <c r="M729" i="5"/>
  <c r="J729" i="5"/>
  <c r="I729" i="5"/>
  <c r="F729" i="5"/>
  <c r="E729" i="5"/>
  <c r="R728" i="5"/>
  <c r="Q728" i="5"/>
  <c r="N728" i="5"/>
  <c r="M728" i="5"/>
  <c r="J728" i="5"/>
  <c r="I728" i="5"/>
  <c r="F728" i="5"/>
  <c r="E728" i="5"/>
  <c r="R727" i="5"/>
  <c r="Q727" i="5"/>
  <c r="N727" i="5"/>
  <c r="M727" i="5"/>
  <c r="J727" i="5"/>
  <c r="I727" i="5"/>
  <c r="F727" i="5"/>
  <c r="E727" i="5"/>
  <c r="R726" i="5"/>
  <c r="Q726" i="5"/>
  <c r="N726" i="5"/>
  <c r="M726" i="5"/>
  <c r="J726" i="5"/>
  <c r="I726" i="5"/>
  <c r="F726" i="5"/>
  <c r="E726" i="5"/>
  <c r="R725" i="5"/>
  <c r="Q725" i="5"/>
  <c r="N725" i="5"/>
  <c r="M725" i="5"/>
  <c r="J725" i="5"/>
  <c r="I725" i="5"/>
  <c r="F725" i="5"/>
  <c r="E725" i="5"/>
  <c r="R724" i="5"/>
  <c r="Q724" i="5"/>
  <c r="N724" i="5"/>
  <c r="M724" i="5"/>
  <c r="J724" i="5"/>
  <c r="I724" i="5"/>
  <c r="F724" i="5"/>
  <c r="E724" i="5"/>
  <c r="R723" i="5"/>
  <c r="Q723" i="5"/>
  <c r="N723" i="5"/>
  <c r="M723" i="5"/>
  <c r="J723" i="5"/>
  <c r="I723" i="5"/>
  <c r="F723" i="5"/>
  <c r="E723" i="5"/>
  <c r="R722" i="5"/>
  <c r="Q722" i="5"/>
  <c r="N722" i="5"/>
  <c r="M722" i="5"/>
  <c r="J722" i="5"/>
  <c r="I722" i="5"/>
  <c r="F722" i="5"/>
  <c r="E722" i="5"/>
  <c r="R721" i="5"/>
  <c r="Q721" i="5"/>
  <c r="N721" i="5"/>
  <c r="M721" i="5"/>
  <c r="J721" i="5"/>
  <c r="I721" i="5"/>
  <c r="F721" i="5"/>
  <c r="E721" i="5"/>
  <c r="R720" i="5"/>
  <c r="Q720" i="5"/>
  <c r="N720" i="5"/>
  <c r="M720" i="5"/>
  <c r="J720" i="5"/>
  <c r="I720" i="5"/>
  <c r="F720" i="5"/>
  <c r="E720" i="5"/>
  <c r="R719" i="5"/>
  <c r="Q719" i="5"/>
  <c r="N719" i="5"/>
  <c r="M719" i="5"/>
  <c r="J719" i="5"/>
  <c r="I719" i="5"/>
  <c r="F719" i="5"/>
  <c r="E719" i="5"/>
  <c r="R718" i="5"/>
  <c r="Q718" i="5"/>
  <c r="N718" i="5"/>
  <c r="M718" i="5"/>
  <c r="J718" i="5"/>
  <c r="I718" i="5"/>
  <c r="F718" i="5"/>
  <c r="E718" i="5"/>
  <c r="R717" i="5"/>
  <c r="Q717" i="5"/>
  <c r="N717" i="5"/>
  <c r="M717" i="5"/>
  <c r="J717" i="5"/>
  <c r="I717" i="5"/>
  <c r="F717" i="5"/>
  <c r="E717" i="5"/>
  <c r="R716" i="5"/>
  <c r="Q716" i="5"/>
  <c r="N716" i="5"/>
  <c r="M716" i="5"/>
  <c r="J716" i="5"/>
  <c r="I716" i="5"/>
  <c r="F716" i="5"/>
  <c r="E716" i="5"/>
  <c r="R715" i="5"/>
  <c r="Q715" i="5"/>
  <c r="N715" i="5"/>
  <c r="M715" i="5"/>
  <c r="J715" i="5"/>
  <c r="I715" i="5"/>
  <c r="F715" i="5"/>
  <c r="E715" i="5"/>
  <c r="R714" i="5"/>
  <c r="Q714" i="5"/>
  <c r="N714" i="5"/>
  <c r="M714" i="5"/>
  <c r="J714" i="5"/>
  <c r="I714" i="5"/>
  <c r="F714" i="5"/>
  <c r="E714" i="5"/>
  <c r="R713" i="5"/>
  <c r="Q713" i="5"/>
  <c r="N713" i="5"/>
  <c r="M713" i="5"/>
  <c r="J713" i="5"/>
  <c r="I713" i="5"/>
  <c r="F713" i="5"/>
  <c r="E713" i="5"/>
  <c r="R712" i="5"/>
  <c r="Q712" i="5"/>
  <c r="N712" i="5"/>
  <c r="M712" i="5"/>
  <c r="J712" i="5"/>
  <c r="I712" i="5"/>
  <c r="F712" i="5"/>
  <c r="E712" i="5"/>
  <c r="R711" i="5"/>
  <c r="Q711" i="5"/>
  <c r="N711" i="5"/>
  <c r="M711" i="5"/>
  <c r="J711" i="5"/>
  <c r="I711" i="5"/>
  <c r="F711" i="5"/>
  <c r="E711" i="5"/>
  <c r="R710" i="5"/>
  <c r="Q710" i="5"/>
  <c r="N710" i="5"/>
  <c r="M710" i="5"/>
  <c r="J710" i="5"/>
  <c r="I710" i="5"/>
  <c r="F710" i="5"/>
  <c r="E710" i="5"/>
  <c r="R709" i="5"/>
  <c r="Q709" i="5"/>
  <c r="N709" i="5"/>
  <c r="M709" i="5"/>
  <c r="J709" i="5"/>
  <c r="I709" i="5"/>
  <c r="F709" i="5"/>
  <c r="E709" i="5"/>
  <c r="R708" i="5"/>
  <c r="Q708" i="5"/>
  <c r="N708" i="5"/>
  <c r="M708" i="5"/>
  <c r="J708" i="5"/>
  <c r="I708" i="5"/>
  <c r="F708" i="5"/>
  <c r="E708" i="5"/>
  <c r="R707" i="5"/>
  <c r="Q707" i="5"/>
  <c r="N707" i="5"/>
  <c r="M707" i="5"/>
  <c r="J707" i="5"/>
  <c r="I707" i="5"/>
  <c r="F707" i="5"/>
  <c r="E707" i="5"/>
  <c r="R706" i="5"/>
  <c r="Q706" i="5"/>
  <c r="N706" i="5"/>
  <c r="M706" i="5"/>
  <c r="J706" i="5"/>
  <c r="I706" i="5"/>
  <c r="F706" i="5"/>
  <c r="E706" i="5"/>
  <c r="R705" i="5"/>
  <c r="Q705" i="5"/>
  <c r="N705" i="5"/>
  <c r="M705" i="5"/>
  <c r="J705" i="5"/>
  <c r="I705" i="5"/>
  <c r="F705" i="5"/>
  <c r="E705" i="5"/>
  <c r="R704" i="5"/>
  <c r="Q704" i="5"/>
  <c r="N704" i="5"/>
  <c r="M704" i="5"/>
  <c r="J704" i="5"/>
  <c r="I704" i="5"/>
  <c r="F704" i="5"/>
  <c r="E704" i="5"/>
  <c r="R703" i="5"/>
  <c r="Q703" i="5"/>
  <c r="N703" i="5"/>
  <c r="M703" i="5"/>
  <c r="J703" i="5"/>
  <c r="I703" i="5"/>
  <c r="F703" i="5"/>
  <c r="E703" i="5"/>
  <c r="R702" i="5"/>
  <c r="Q702" i="5"/>
  <c r="N702" i="5"/>
  <c r="M702" i="5"/>
  <c r="J702" i="5"/>
  <c r="I702" i="5"/>
  <c r="F702" i="5"/>
  <c r="E702" i="5"/>
  <c r="R701" i="5"/>
  <c r="Q701" i="5"/>
  <c r="N701" i="5"/>
  <c r="M701" i="5"/>
  <c r="J701" i="5"/>
  <c r="I701" i="5"/>
  <c r="F701" i="5"/>
  <c r="E701" i="5"/>
  <c r="R700" i="5"/>
  <c r="Q700" i="5"/>
  <c r="N700" i="5"/>
  <c r="M700" i="5"/>
  <c r="J700" i="5"/>
  <c r="I700" i="5"/>
  <c r="F700" i="5"/>
  <c r="E700" i="5"/>
  <c r="R699" i="5"/>
  <c r="Q699" i="5"/>
  <c r="N699" i="5"/>
  <c r="M699" i="5"/>
  <c r="J699" i="5"/>
  <c r="I699" i="5"/>
  <c r="F699" i="5"/>
  <c r="E699" i="5"/>
  <c r="R698" i="5"/>
  <c r="Q698" i="5"/>
  <c r="N698" i="5"/>
  <c r="M698" i="5"/>
  <c r="J698" i="5"/>
  <c r="I698" i="5"/>
  <c r="F698" i="5"/>
  <c r="E698" i="5"/>
  <c r="R697" i="5"/>
  <c r="Q697" i="5"/>
  <c r="N697" i="5"/>
  <c r="M697" i="5"/>
  <c r="J697" i="5"/>
  <c r="I697" i="5"/>
  <c r="F697" i="5"/>
  <c r="E697" i="5"/>
  <c r="R696" i="5"/>
  <c r="Q696" i="5"/>
  <c r="N696" i="5"/>
  <c r="M696" i="5"/>
  <c r="J696" i="5"/>
  <c r="I696" i="5"/>
  <c r="F696" i="5"/>
  <c r="E696" i="5"/>
  <c r="R695" i="5"/>
  <c r="Q695" i="5"/>
  <c r="N695" i="5"/>
  <c r="M695" i="5"/>
  <c r="J695" i="5"/>
  <c r="I695" i="5"/>
  <c r="F695" i="5"/>
  <c r="E695" i="5"/>
  <c r="R694" i="5"/>
  <c r="Q694" i="5"/>
  <c r="N694" i="5"/>
  <c r="M694" i="5"/>
  <c r="J694" i="5"/>
  <c r="I694" i="5"/>
  <c r="F694" i="5"/>
  <c r="E694" i="5"/>
  <c r="R693" i="5"/>
  <c r="Q693" i="5"/>
  <c r="N693" i="5"/>
  <c r="M693" i="5"/>
  <c r="J693" i="5"/>
  <c r="I693" i="5"/>
  <c r="F693" i="5"/>
  <c r="E693" i="5"/>
  <c r="R692" i="5"/>
  <c r="Q692" i="5"/>
  <c r="N692" i="5"/>
  <c r="M692" i="5"/>
  <c r="J692" i="5"/>
  <c r="I692" i="5"/>
  <c r="F692" i="5"/>
  <c r="E692" i="5"/>
  <c r="R691" i="5"/>
  <c r="Q691" i="5"/>
  <c r="N691" i="5"/>
  <c r="M691" i="5"/>
  <c r="J691" i="5"/>
  <c r="I691" i="5"/>
  <c r="F691" i="5"/>
  <c r="E691" i="5"/>
  <c r="R690" i="5"/>
  <c r="Q690" i="5"/>
  <c r="N690" i="5"/>
  <c r="M690" i="5"/>
  <c r="J690" i="5"/>
  <c r="I690" i="5"/>
  <c r="F690" i="5"/>
  <c r="E690" i="5"/>
  <c r="R689" i="5"/>
  <c r="Q689" i="5"/>
  <c r="N689" i="5"/>
  <c r="M689" i="5"/>
  <c r="J689" i="5"/>
  <c r="I689" i="5"/>
  <c r="F689" i="5"/>
  <c r="E689" i="5"/>
  <c r="R688" i="5"/>
  <c r="Q688" i="5"/>
  <c r="N688" i="5"/>
  <c r="M688" i="5"/>
  <c r="J688" i="5"/>
  <c r="I688" i="5"/>
  <c r="F688" i="5"/>
  <c r="E688" i="5"/>
  <c r="R687" i="5"/>
  <c r="Q687" i="5"/>
  <c r="N687" i="5"/>
  <c r="M687" i="5"/>
  <c r="J687" i="5"/>
  <c r="I687" i="5"/>
  <c r="F687" i="5"/>
  <c r="E687" i="5"/>
  <c r="R686" i="5"/>
  <c r="Q686" i="5"/>
  <c r="N686" i="5"/>
  <c r="M686" i="5"/>
  <c r="J686" i="5"/>
  <c r="I686" i="5"/>
  <c r="F686" i="5"/>
  <c r="E686" i="5"/>
  <c r="R685" i="5"/>
  <c r="Q685" i="5"/>
  <c r="N685" i="5"/>
  <c r="M685" i="5"/>
  <c r="J685" i="5"/>
  <c r="I685" i="5"/>
  <c r="F685" i="5"/>
  <c r="E685" i="5"/>
  <c r="R684" i="5"/>
  <c r="Q684" i="5"/>
  <c r="N684" i="5"/>
  <c r="M684" i="5"/>
  <c r="J684" i="5"/>
  <c r="I684" i="5"/>
  <c r="F684" i="5"/>
  <c r="E684" i="5"/>
  <c r="R683" i="5"/>
  <c r="Q683" i="5"/>
  <c r="N683" i="5"/>
  <c r="M683" i="5"/>
  <c r="J683" i="5"/>
  <c r="I683" i="5"/>
  <c r="F683" i="5"/>
  <c r="E683" i="5"/>
  <c r="R682" i="5"/>
  <c r="Q682" i="5"/>
  <c r="N682" i="5"/>
  <c r="M682" i="5"/>
  <c r="J682" i="5"/>
  <c r="I682" i="5"/>
  <c r="F682" i="5"/>
  <c r="E682" i="5"/>
  <c r="R681" i="5"/>
  <c r="Q681" i="5"/>
  <c r="N681" i="5"/>
  <c r="M681" i="5"/>
  <c r="J681" i="5"/>
  <c r="I681" i="5"/>
  <c r="F681" i="5"/>
  <c r="E681" i="5"/>
  <c r="R680" i="5"/>
  <c r="Q680" i="5"/>
  <c r="N680" i="5"/>
  <c r="M680" i="5"/>
  <c r="J680" i="5"/>
  <c r="I680" i="5"/>
  <c r="F680" i="5"/>
  <c r="E680" i="5"/>
  <c r="R679" i="5"/>
  <c r="Q679" i="5"/>
  <c r="N679" i="5"/>
  <c r="M679" i="5"/>
  <c r="J679" i="5"/>
  <c r="I679" i="5"/>
  <c r="F679" i="5"/>
  <c r="E679" i="5"/>
  <c r="R678" i="5"/>
  <c r="Q678" i="5"/>
  <c r="N678" i="5"/>
  <c r="M678" i="5"/>
  <c r="J678" i="5"/>
  <c r="I678" i="5"/>
  <c r="F678" i="5"/>
  <c r="E678" i="5"/>
  <c r="R677" i="5"/>
  <c r="Q677" i="5"/>
  <c r="N677" i="5"/>
  <c r="M677" i="5"/>
  <c r="J677" i="5"/>
  <c r="I677" i="5"/>
  <c r="F677" i="5"/>
  <c r="E677" i="5"/>
  <c r="R676" i="5"/>
  <c r="Q676" i="5"/>
  <c r="N676" i="5"/>
  <c r="M676" i="5"/>
  <c r="J676" i="5"/>
  <c r="I676" i="5"/>
  <c r="F676" i="5"/>
  <c r="E676" i="5"/>
  <c r="R675" i="5"/>
  <c r="Q675" i="5"/>
  <c r="N675" i="5"/>
  <c r="M675" i="5"/>
  <c r="J675" i="5"/>
  <c r="I675" i="5"/>
  <c r="F675" i="5"/>
  <c r="E675" i="5"/>
  <c r="R674" i="5"/>
  <c r="Q674" i="5"/>
  <c r="N674" i="5"/>
  <c r="M674" i="5"/>
  <c r="J674" i="5"/>
  <c r="I674" i="5"/>
  <c r="F674" i="5"/>
  <c r="E674" i="5"/>
  <c r="R673" i="5"/>
  <c r="Q673" i="5"/>
  <c r="N673" i="5"/>
  <c r="M673" i="5"/>
  <c r="J673" i="5"/>
  <c r="I673" i="5"/>
  <c r="F673" i="5"/>
  <c r="E673" i="5"/>
  <c r="R672" i="5"/>
  <c r="Q672" i="5"/>
  <c r="N672" i="5"/>
  <c r="M672" i="5"/>
  <c r="J672" i="5"/>
  <c r="I672" i="5"/>
  <c r="F672" i="5"/>
  <c r="E672" i="5"/>
  <c r="R671" i="5"/>
  <c r="Q671" i="5"/>
  <c r="N671" i="5"/>
  <c r="M671" i="5"/>
  <c r="J671" i="5"/>
  <c r="I671" i="5"/>
  <c r="F671" i="5"/>
  <c r="E671" i="5"/>
  <c r="R670" i="5"/>
  <c r="Q670" i="5"/>
  <c r="N670" i="5"/>
  <c r="M670" i="5"/>
  <c r="J670" i="5"/>
  <c r="I670" i="5"/>
  <c r="F670" i="5"/>
  <c r="E670" i="5"/>
  <c r="R669" i="5"/>
  <c r="Q669" i="5"/>
  <c r="N669" i="5"/>
  <c r="M669" i="5"/>
  <c r="J669" i="5"/>
  <c r="I669" i="5"/>
  <c r="F669" i="5"/>
  <c r="E669" i="5"/>
  <c r="R668" i="5"/>
  <c r="Q668" i="5"/>
  <c r="N668" i="5"/>
  <c r="M668" i="5"/>
  <c r="J668" i="5"/>
  <c r="I668" i="5"/>
  <c r="F668" i="5"/>
  <c r="E668" i="5"/>
  <c r="R667" i="5"/>
  <c r="Q667" i="5"/>
  <c r="N667" i="5"/>
  <c r="M667" i="5"/>
  <c r="J667" i="5"/>
  <c r="I667" i="5"/>
  <c r="F667" i="5"/>
  <c r="E667" i="5"/>
  <c r="R666" i="5"/>
  <c r="Q666" i="5"/>
  <c r="N666" i="5"/>
  <c r="M666" i="5"/>
  <c r="J666" i="5"/>
  <c r="I666" i="5"/>
  <c r="F666" i="5"/>
  <c r="E666" i="5"/>
  <c r="R665" i="5"/>
  <c r="Q665" i="5"/>
  <c r="N665" i="5"/>
  <c r="M665" i="5"/>
  <c r="J665" i="5"/>
  <c r="I665" i="5"/>
  <c r="F665" i="5"/>
  <c r="E665" i="5"/>
  <c r="R664" i="5"/>
  <c r="Q664" i="5"/>
  <c r="N664" i="5"/>
  <c r="M664" i="5"/>
  <c r="J664" i="5"/>
  <c r="I664" i="5"/>
  <c r="F664" i="5"/>
  <c r="E664" i="5"/>
  <c r="R663" i="5"/>
  <c r="Q663" i="5"/>
  <c r="N663" i="5"/>
  <c r="M663" i="5"/>
  <c r="J663" i="5"/>
  <c r="I663" i="5"/>
  <c r="F663" i="5"/>
  <c r="E663" i="5"/>
  <c r="R662" i="5"/>
  <c r="Q662" i="5"/>
  <c r="N662" i="5"/>
  <c r="M662" i="5"/>
  <c r="J662" i="5"/>
  <c r="I662" i="5"/>
  <c r="F662" i="5"/>
  <c r="E662" i="5"/>
  <c r="R661" i="5"/>
  <c r="Q661" i="5"/>
  <c r="N661" i="5"/>
  <c r="M661" i="5"/>
  <c r="J661" i="5"/>
  <c r="I661" i="5"/>
  <c r="F661" i="5"/>
  <c r="E661" i="5"/>
  <c r="R660" i="5"/>
  <c r="Q660" i="5"/>
  <c r="N660" i="5"/>
  <c r="M660" i="5"/>
  <c r="J660" i="5"/>
  <c r="I660" i="5"/>
  <c r="F660" i="5"/>
  <c r="E660" i="5"/>
  <c r="R659" i="5"/>
  <c r="Q659" i="5"/>
  <c r="N659" i="5"/>
  <c r="M659" i="5"/>
  <c r="J659" i="5"/>
  <c r="I659" i="5"/>
  <c r="F659" i="5"/>
  <c r="E659" i="5"/>
  <c r="R658" i="5"/>
  <c r="Q658" i="5"/>
  <c r="N658" i="5"/>
  <c r="M658" i="5"/>
  <c r="J658" i="5"/>
  <c r="I658" i="5"/>
  <c r="F658" i="5"/>
  <c r="E658" i="5"/>
  <c r="R657" i="5"/>
  <c r="Q657" i="5"/>
  <c r="N657" i="5"/>
  <c r="M657" i="5"/>
  <c r="J657" i="5"/>
  <c r="I657" i="5"/>
  <c r="F657" i="5"/>
  <c r="E657" i="5"/>
  <c r="R656" i="5"/>
  <c r="Q656" i="5"/>
  <c r="N656" i="5"/>
  <c r="M656" i="5"/>
  <c r="J656" i="5"/>
  <c r="I656" i="5"/>
  <c r="F656" i="5"/>
  <c r="E656" i="5"/>
  <c r="R655" i="5"/>
  <c r="Q655" i="5"/>
  <c r="N655" i="5"/>
  <c r="M655" i="5"/>
  <c r="J655" i="5"/>
  <c r="I655" i="5"/>
  <c r="F655" i="5"/>
  <c r="E655" i="5"/>
  <c r="R654" i="5"/>
  <c r="Q654" i="5"/>
  <c r="N654" i="5"/>
  <c r="M654" i="5"/>
  <c r="J654" i="5"/>
  <c r="I654" i="5"/>
  <c r="F654" i="5"/>
  <c r="E654" i="5"/>
  <c r="R653" i="5"/>
  <c r="Q653" i="5"/>
  <c r="N653" i="5"/>
  <c r="M653" i="5"/>
  <c r="J653" i="5"/>
  <c r="I653" i="5"/>
  <c r="F653" i="5"/>
  <c r="E653" i="5"/>
  <c r="R652" i="5"/>
  <c r="Q652" i="5"/>
  <c r="N652" i="5"/>
  <c r="M652" i="5"/>
  <c r="J652" i="5"/>
  <c r="I652" i="5"/>
  <c r="F652" i="5"/>
  <c r="E652" i="5"/>
  <c r="R651" i="5"/>
  <c r="Q651" i="5"/>
  <c r="N651" i="5"/>
  <c r="M651" i="5"/>
  <c r="J651" i="5"/>
  <c r="I651" i="5"/>
  <c r="F651" i="5"/>
  <c r="E651" i="5"/>
  <c r="R650" i="5"/>
  <c r="Q650" i="5"/>
  <c r="N650" i="5"/>
  <c r="M650" i="5"/>
  <c r="J650" i="5"/>
  <c r="I650" i="5"/>
  <c r="F650" i="5"/>
  <c r="E650" i="5"/>
  <c r="R649" i="5"/>
  <c r="Q649" i="5"/>
  <c r="N649" i="5"/>
  <c r="M649" i="5"/>
  <c r="J649" i="5"/>
  <c r="I649" i="5"/>
  <c r="F649" i="5"/>
  <c r="E649" i="5"/>
  <c r="R648" i="5"/>
  <c r="Q648" i="5"/>
  <c r="N648" i="5"/>
  <c r="M648" i="5"/>
  <c r="J648" i="5"/>
  <c r="I648" i="5"/>
  <c r="F648" i="5"/>
  <c r="E648" i="5"/>
  <c r="R647" i="5"/>
  <c r="Q647" i="5"/>
  <c r="N647" i="5"/>
  <c r="M647" i="5"/>
  <c r="J647" i="5"/>
  <c r="I647" i="5"/>
  <c r="F647" i="5"/>
  <c r="E647" i="5"/>
  <c r="R646" i="5"/>
  <c r="Q646" i="5"/>
  <c r="N646" i="5"/>
  <c r="M646" i="5"/>
  <c r="J646" i="5"/>
  <c r="I646" i="5"/>
  <c r="F646" i="5"/>
  <c r="E646" i="5"/>
  <c r="R645" i="5"/>
  <c r="Q645" i="5"/>
  <c r="N645" i="5"/>
  <c r="M645" i="5"/>
  <c r="J645" i="5"/>
  <c r="I645" i="5"/>
  <c r="F645" i="5"/>
  <c r="E645" i="5"/>
  <c r="R644" i="5"/>
  <c r="Q644" i="5"/>
  <c r="N644" i="5"/>
  <c r="M644" i="5"/>
  <c r="J644" i="5"/>
  <c r="I644" i="5"/>
  <c r="F644" i="5"/>
  <c r="E644" i="5"/>
  <c r="R643" i="5"/>
  <c r="Q643" i="5"/>
  <c r="N643" i="5"/>
  <c r="M643" i="5"/>
  <c r="J643" i="5"/>
  <c r="I643" i="5"/>
  <c r="F643" i="5"/>
  <c r="E643" i="5"/>
  <c r="R642" i="5"/>
  <c r="Q642" i="5"/>
  <c r="N642" i="5"/>
  <c r="M642" i="5"/>
  <c r="J642" i="5"/>
  <c r="I642" i="5"/>
  <c r="F642" i="5"/>
  <c r="E642" i="5"/>
  <c r="R641" i="5"/>
  <c r="Q641" i="5"/>
  <c r="N641" i="5"/>
  <c r="M641" i="5"/>
  <c r="J641" i="5"/>
  <c r="I641" i="5"/>
  <c r="F641" i="5"/>
  <c r="E641" i="5"/>
  <c r="R640" i="5"/>
  <c r="Q640" i="5"/>
  <c r="N640" i="5"/>
  <c r="M640" i="5"/>
  <c r="J640" i="5"/>
  <c r="I640" i="5"/>
  <c r="F640" i="5"/>
  <c r="E640" i="5"/>
  <c r="R639" i="5"/>
  <c r="Q639" i="5"/>
  <c r="N639" i="5"/>
  <c r="M639" i="5"/>
  <c r="J639" i="5"/>
  <c r="I639" i="5"/>
  <c r="F639" i="5"/>
  <c r="E639" i="5"/>
  <c r="R638" i="5"/>
  <c r="Q638" i="5"/>
  <c r="N638" i="5"/>
  <c r="M638" i="5"/>
  <c r="J638" i="5"/>
  <c r="I638" i="5"/>
  <c r="F638" i="5"/>
  <c r="E638" i="5"/>
  <c r="R637" i="5"/>
  <c r="Q637" i="5"/>
  <c r="N637" i="5"/>
  <c r="M637" i="5"/>
  <c r="J637" i="5"/>
  <c r="I637" i="5"/>
  <c r="F637" i="5"/>
  <c r="E637" i="5"/>
  <c r="R636" i="5"/>
  <c r="Q636" i="5"/>
  <c r="N636" i="5"/>
  <c r="M636" i="5"/>
  <c r="J636" i="5"/>
  <c r="I636" i="5"/>
  <c r="F636" i="5"/>
  <c r="E636" i="5"/>
  <c r="R635" i="5"/>
  <c r="Q635" i="5"/>
  <c r="N635" i="5"/>
  <c r="M635" i="5"/>
  <c r="J635" i="5"/>
  <c r="I635" i="5"/>
  <c r="F635" i="5"/>
  <c r="E635" i="5"/>
  <c r="R634" i="5"/>
  <c r="Q634" i="5"/>
  <c r="N634" i="5"/>
  <c r="M634" i="5"/>
  <c r="J634" i="5"/>
  <c r="I634" i="5"/>
  <c r="F634" i="5"/>
  <c r="E634" i="5"/>
  <c r="R633" i="5"/>
  <c r="Q633" i="5"/>
  <c r="N633" i="5"/>
  <c r="M633" i="5"/>
  <c r="J633" i="5"/>
  <c r="I633" i="5"/>
  <c r="F633" i="5"/>
  <c r="E633" i="5"/>
  <c r="R632" i="5"/>
  <c r="Q632" i="5"/>
  <c r="N632" i="5"/>
  <c r="M632" i="5"/>
  <c r="J632" i="5"/>
  <c r="I632" i="5"/>
  <c r="F632" i="5"/>
  <c r="E632" i="5"/>
  <c r="R631" i="5"/>
  <c r="Q631" i="5"/>
  <c r="N631" i="5"/>
  <c r="M631" i="5"/>
  <c r="J631" i="5"/>
  <c r="I631" i="5"/>
  <c r="F631" i="5"/>
  <c r="E631" i="5"/>
  <c r="R630" i="5"/>
  <c r="Q630" i="5"/>
  <c r="N630" i="5"/>
  <c r="M630" i="5"/>
  <c r="J630" i="5"/>
  <c r="I630" i="5"/>
  <c r="F630" i="5"/>
  <c r="E630" i="5"/>
  <c r="R629" i="5"/>
  <c r="Q629" i="5"/>
  <c r="N629" i="5"/>
  <c r="M629" i="5"/>
  <c r="J629" i="5"/>
  <c r="I629" i="5"/>
  <c r="F629" i="5"/>
  <c r="E629" i="5"/>
  <c r="R628" i="5"/>
  <c r="Q628" i="5"/>
  <c r="N628" i="5"/>
  <c r="M628" i="5"/>
  <c r="J628" i="5"/>
  <c r="I628" i="5"/>
  <c r="F628" i="5"/>
  <c r="E628" i="5"/>
  <c r="R627" i="5"/>
  <c r="Q627" i="5"/>
  <c r="N627" i="5"/>
  <c r="M627" i="5"/>
  <c r="J627" i="5"/>
  <c r="I627" i="5"/>
  <c r="F627" i="5"/>
  <c r="E627" i="5"/>
  <c r="R626" i="5"/>
  <c r="Q626" i="5"/>
  <c r="N626" i="5"/>
  <c r="M626" i="5"/>
  <c r="J626" i="5"/>
  <c r="I626" i="5"/>
  <c r="F626" i="5"/>
  <c r="E626" i="5"/>
  <c r="R625" i="5"/>
  <c r="Q625" i="5"/>
  <c r="N625" i="5"/>
  <c r="M625" i="5"/>
  <c r="J625" i="5"/>
  <c r="I625" i="5"/>
  <c r="F625" i="5"/>
  <c r="E625" i="5"/>
  <c r="R624" i="5"/>
  <c r="Q624" i="5"/>
  <c r="N624" i="5"/>
  <c r="M624" i="5"/>
  <c r="J624" i="5"/>
  <c r="I624" i="5"/>
  <c r="F624" i="5"/>
  <c r="E624" i="5"/>
  <c r="R623" i="5"/>
  <c r="Q623" i="5"/>
  <c r="N623" i="5"/>
  <c r="M623" i="5"/>
  <c r="J623" i="5"/>
  <c r="I623" i="5"/>
  <c r="F623" i="5"/>
  <c r="E623" i="5"/>
  <c r="R622" i="5"/>
  <c r="Q622" i="5"/>
  <c r="N622" i="5"/>
  <c r="M622" i="5"/>
  <c r="J622" i="5"/>
  <c r="I622" i="5"/>
  <c r="F622" i="5"/>
  <c r="E622" i="5"/>
  <c r="R621" i="5"/>
  <c r="Q621" i="5"/>
  <c r="N621" i="5"/>
  <c r="M621" i="5"/>
  <c r="J621" i="5"/>
  <c r="I621" i="5"/>
  <c r="F621" i="5"/>
  <c r="E621" i="5"/>
  <c r="R620" i="5"/>
  <c r="Q620" i="5"/>
  <c r="N620" i="5"/>
  <c r="M620" i="5"/>
  <c r="J620" i="5"/>
  <c r="I620" i="5"/>
  <c r="F620" i="5"/>
  <c r="E620" i="5"/>
  <c r="R619" i="5"/>
  <c r="Q619" i="5"/>
  <c r="N619" i="5"/>
  <c r="M619" i="5"/>
  <c r="J619" i="5"/>
  <c r="I619" i="5"/>
  <c r="F619" i="5"/>
  <c r="E619" i="5"/>
  <c r="R618" i="5"/>
  <c r="Q618" i="5"/>
  <c r="N618" i="5"/>
  <c r="M618" i="5"/>
  <c r="J618" i="5"/>
  <c r="I618" i="5"/>
  <c r="F618" i="5"/>
  <c r="E618" i="5"/>
  <c r="R617" i="5"/>
  <c r="Q617" i="5"/>
  <c r="N617" i="5"/>
  <c r="M617" i="5"/>
  <c r="J617" i="5"/>
  <c r="I617" i="5"/>
  <c r="F617" i="5"/>
  <c r="E617" i="5"/>
  <c r="R616" i="5"/>
  <c r="Q616" i="5"/>
  <c r="N616" i="5"/>
  <c r="M616" i="5"/>
  <c r="J616" i="5"/>
  <c r="I616" i="5"/>
  <c r="F616" i="5"/>
  <c r="E616" i="5"/>
  <c r="R615" i="5"/>
  <c r="Q615" i="5"/>
  <c r="N615" i="5"/>
  <c r="M615" i="5"/>
  <c r="J615" i="5"/>
  <c r="I615" i="5"/>
  <c r="F615" i="5"/>
  <c r="E615" i="5"/>
  <c r="R614" i="5"/>
  <c r="Q614" i="5"/>
  <c r="N614" i="5"/>
  <c r="M614" i="5"/>
  <c r="J614" i="5"/>
  <c r="I614" i="5"/>
  <c r="F614" i="5"/>
  <c r="E614" i="5"/>
  <c r="R613" i="5"/>
  <c r="Q613" i="5"/>
  <c r="N613" i="5"/>
  <c r="M613" i="5"/>
  <c r="J613" i="5"/>
  <c r="I613" i="5"/>
  <c r="F613" i="5"/>
  <c r="E613" i="5"/>
  <c r="R612" i="5"/>
  <c r="Q612" i="5"/>
  <c r="N612" i="5"/>
  <c r="M612" i="5"/>
  <c r="J612" i="5"/>
  <c r="I612" i="5"/>
  <c r="F612" i="5"/>
  <c r="E612" i="5"/>
  <c r="R611" i="5"/>
  <c r="Q611" i="5"/>
  <c r="N611" i="5"/>
  <c r="M611" i="5"/>
  <c r="J611" i="5"/>
  <c r="I611" i="5"/>
  <c r="F611" i="5"/>
  <c r="E611" i="5"/>
  <c r="R610" i="5"/>
  <c r="Q610" i="5"/>
  <c r="N610" i="5"/>
  <c r="M610" i="5"/>
  <c r="J610" i="5"/>
  <c r="I610" i="5"/>
  <c r="F610" i="5"/>
  <c r="E610" i="5"/>
  <c r="R609" i="5"/>
  <c r="Q609" i="5"/>
  <c r="N609" i="5"/>
  <c r="M609" i="5"/>
  <c r="J609" i="5"/>
  <c r="I609" i="5"/>
  <c r="F609" i="5"/>
  <c r="E609" i="5"/>
  <c r="R608" i="5"/>
  <c r="Q608" i="5"/>
  <c r="N608" i="5"/>
  <c r="M608" i="5"/>
  <c r="J608" i="5"/>
  <c r="I608" i="5"/>
  <c r="F608" i="5"/>
  <c r="E608" i="5"/>
  <c r="R607" i="5"/>
  <c r="Q607" i="5"/>
  <c r="N607" i="5"/>
  <c r="M607" i="5"/>
  <c r="J607" i="5"/>
  <c r="I607" i="5"/>
  <c r="F607" i="5"/>
  <c r="E607" i="5"/>
  <c r="R606" i="5"/>
  <c r="Q606" i="5"/>
  <c r="N606" i="5"/>
  <c r="M606" i="5"/>
  <c r="J606" i="5"/>
  <c r="I606" i="5"/>
  <c r="F606" i="5"/>
  <c r="E606" i="5"/>
  <c r="R605" i="5"/>
  <c r="Q605" i="5"/>
  <c r="N605" i="5"/>
  <c r="M605" i="5"/>
  <c r="J605" i="5"/>
  <c r="I605" i="5"/>
  <c r="F605" i="5"/>
  <c r="E605" i="5"/>
  <c r="R604" i="5"/>
  <c r="Q604" i="5"/>
  <c r="N604" i="5"/>
  <c r="M604" i="5"/>
  <c r="J604" i="5"/>
  <c r="I604" i="5"/>
  <c r="F604" i="5"/>
  <c r="E604" i="5"/>
  <c r="R603" i="5"/>
  <c r="Q603" i="5"/>
  <c r="N603" i="5"/>
  <c r="M603" i="5"/>
  <c r="J603" i="5"/>
  <c r="I603" i="5"/>
  <c r="F603" i="5"/>
  <c r="E603" i="5"/>
  <c r="R602" i="5"/>
  <c r="Q602" i="5"/>
  <c r="N602" i="5"/>
  <c r="M602" i="5"/>
  <c r="J602" i="5"/>
  <c r="I602" i="5"/>
  <c r="F602" i="5"/>
  <c r="E602" i="5"/>
  <c r="R601" i="5"/>
  <c r="Q601" i="5"/>
  <c r="N601" i="5"/>
  <c r="M601" i="5"/>
  <c r="J601" i="5"/>
  <c r="I601" i="5"/>
  <c r="F601" i="5"/>
  <c r="E601" i="5"/>
  <c r="R600" i="5"/>
  <c r="Q600" i="5"/>
  <c r="N600" i="5"/>
  <c r="M600" i="5"/>
  <c r="J600" i="5"/>
  <c r="I600" i="5"/>
  <c r="F600" i="5"/>
  <c r="E600" i="5"/>
  <c r="R599" i="5"/>
  <c r="Q599" i="5"/>
  <c r="N599" i="5"/>
  <c r="M599" i="5"/>
  <c r="J599" i="5"/>
  <c r="I599" i="5"/>
  <c r="F599" i="5"/>
  <c r="E599" i="5"/>
  <c r="R598" i="5"/>
  <c r="Q598" i="5"/>
  <c r="N598" i="5"/>
  <c r="M598" i="5"/>
  <c r="J598" i="5"/>
  <c r="I598" i="5"/>
  <c r="F598" i="5"/>
  <c r="E598" i="5"/>
  <c r="R597" i="5"/>
  <c r="Q597" i="5"/>
  <c r="N597" i="5"/>
  <c r="M597" i="5"/>
  <c r="J597" i="5"/>
  <c r="I597" i="5"/>
  <c r="F597" i="5"/>
  <c r="E597" i="5"/>
  <c r="R596" i="5"/>
  <c r="Q596" i="5"/>
  <c r="N596" i="5"/>
  <c r="M596" i="5"/>
  <c r="J596" i="5"/>
  <c r="I596" i="5"/>
  <c r="F596" i="5"/>
  <c r="E596" i="5"/>
  <c r="R595" i="5"/>
  <c r="Q595" i="5"/>
  <c r="N595" i="5"/>
  <c r="M595" i="5"/>
  <c r="J595" i="5"/>
  <c r="I595" i="5"/>
  <c r="F595" i="5"/>
  <c r="E595" i="5"/>
  <c r="R594" i="5"/>
  <c r="Q594" i="5"/>
  <c r="N594" i="5"/>
  <c r="M594" i="5"/>
  <c r="J594" i="5"/>
  <c r="I594" i="5"/>
  <c r="F594" i="5"/>
  <c r="E594" i="5"/>
  <c r="R593" i="5"/>
  <c r="Q593" i="5"/>
  <c r="N593" i="5"/>
  <c r="M593" i="5"/>
  <c r="J593" i="5"/>
  <c r="I593" i="5"/>
  <c r="F593" i="5"/>
  <c r="E593" i="5"/>
  <c r="R592" i="5"/>
  <c r="Q592" i="5"/>
  <c r="N592" i="5"/>
  <c r="M592" i="5"/>
  <c r="J592" i="5"/>
  <c r="I592" i="5"/>
  <c r="F592" i="5"/>
  <c r="E592" i="5"/>
  <c r="R591" i="5"/>
  <c r="Q591" i="5"/>
  <c r="N591" i="5"/>
  <c r="M591" i="5"/>
  <c r="J591" i="5"/>
  <c r="I591" i="5"/>
  <c r="F591" i="5"/>
  <c r="E591" i="5"/>
  <c r="R590" i="5"/>
  <c r="Q590" i="5"/>
  <c r="N590" i="5"/>
  <c r="M590" i="5"/>
  <c r="J590" i="5"/>
  <c r="I590" i="5"/>
  <c r="F590" i="5"/>
  <c r="E590" i="5"/>
  <c r="R589" i="5"/>
  <c r="Q589" i="5"/>
  <c r="N589" i="5"/>
  <c r="M589" i="5"/>
  <c r="J589" i="5"/>
  <c r="I589" i="5"/>
  <c r="F589" i="5"/>
  <c r="E589" i="5"/>
  <c r="R588" i="5"/>
  <c r="Q588" i="5"/>
  <c r="N588" i="5"/>
  <c r="M588" i="5"/>
  <c r="J588" i="5"/>
  <c r="I588" i="5"/>
  <c r="F588" i="5"/>
  <c r="E588" i="5"/>
  <c r="R587" i="5"/>
  <c r="Q587" i="5"/>
  <c r="N587" i="5"/>
  <c r="M587" i="5"/>
  <c r="J587" i="5"/>
  <c r="I587" i="5"/>
  <c r="F587" i="5"/>
  <c r="E587" i="5"/>
  <c r="R586" i="5"/>
  <c r="Q586" i="5"/>
  <c r="N586" i="5"/>
  <c r="M586" i="5"/>
  <c r="J586" i="5"/>
  <c r="I586" i="5"/>
  <c r="F586" i="5"/>
  <c r="E586" i="5"/>
  <c r="R585" i="5"/>
  <c r="Q585" i="5"/>
  <c r="N585" i="5"/>
  <c r="M585" i="5"/>
  <c r="J585" i="5"/>
  <c r="I585" i="5"/>
  <c r="F585" i="5"/>
  <c r="E585" i="5"/>
  <c r="R584" i="5"/>
  <c r="Q584" i="5"/>
  <c r="N584" i="5"/>
  <c r="M584" i="5"/>
  <c r="J584" i="5"/>
  <c r="I584" i="5"/>
  <c r="F584" i="5"/>
  <c r="E584" i="5"/>
  <c r="R583" i="5"/>
  <c r="Q583" i="5"/>
  <c r="N583" i="5"/>
  <c r="M583" i="5"/>
  <c r="J583" i="5"/>
  <c r="I583" i="5"/>
  <c r="F583" i="5"/>
  <c r="E583" i="5"/>
  <c r="R582" i="5"/>
  <c r="Q582" i="5"/>
  <c r="N582" i="5"/>
  <c r="M582" i="5"/>
  <c r="J582" i="5"/>
  <c r="I582" i="5"/>
  <c r="F582" i="5"/>
  <c r="E582" i="5"/>
  <c r="R581" i="5"/>
  <c r="Q581" i="5"/>
  <c r="N581" i="5"/>
  <c r="M581" i="5"/>
  <c r="J581" i="5"/>
  <c r="I581" i="5"/>
  <c r="F581" i="5"/>
  <c r="E581" i="5"/>
  <c r="R580" i="5"/>
  <c r="Q580" i="5"/>
  <c r="N580" i="5"/>
  <c r="M580" i="5"/>
  <c r="J580" i="5"/>
  <c r="I580" i="5"/>
  <c r="F580" i="5"/>
  <c r="E580" i="5"/>
  <c r="R579" i="5"/>
  <c r="Q579" i="5"/>
  <c r="N579" i="5"/>
  <c r="M579" i="5"/>
  <c r="J579" i="5"/>
  <c r="I579" i="5"/>
  <c r="F579" i="5"/>
  <c r="E579" i="5"/>
  <c r="R578" i="5"/>
  <c r="Q578" i="5"/>
  <c r="N578" i="5"/>
  <c r="M578" i="5"/>
  <c r="J578" i="5"/>
  <c r="I578" i="5"/>
  <c r="F578" i="5"/>
  <c r="E578" i="5"/>
  <c r="R577" i="5"/>
  <c r="Q577" i="5"/>
  <c r="N577" i="5"/>
  <c r="M577" i="5"/>
  <c r="J577" i="5"/>
  <c r="I577" i="5"/>
  <c r="F577" i="5"/>
  <c r="E577" i="5"/>
  <c r="R576" i="5"/>
  <c r="Q576" i="5"/>
  <c r="N576" i="5"/>
  <c r="M576" i="5"/>
  <c r="J576" i="5"/>
  <c r="I576" i="5"/>
  <c r="F576" i="5"/>
  <c r="E576" i="5"/>
  <c r="R575" i="5"/>
  <c r="Q575" i="5"/>
  <c r="N575" i="5"/>
  <c r="M575" i="5"/>
  <c r="J575" i="5"/>
  <c r="I575" i="5"/>
  <c r="F575" i="5"/>
  <c r="E575" i="5"/>
  <c r="R574" i="5"/>
  <c r="Q574" i="5"/>
  <c r="N574" i="5"/>
  <c r="M574" i="5"/>
  <c r="J574" i="5"/>
  <c r="I574" i="5"/>
  <c r="F574" i="5"/>
  <c r="E574" i="5"/>
  <c r="R573" i="5"/>
  <c r="Q573" i="5"/>
  <c r="N573" i="5"/>
  <c r="M573" i="5"/>
  <c r="J573" i="5"/>
  <c r="I573" i="5"/>
  <c r="F573" i="5"/>
  <c r="E573" i="5"/>
  <c r="R572" i="5"/>
  <c r="Q572" i="5"/>
  <c r="N572" i="5"/>
  <c r="M572" i="5"/>
  <c r="J572" i="5"/>
  <c r="I572" i="5"/>
  <c r="F572" i="5"/>
  <c r="E572" i="5"/>
  <c r="R571" i="5"/>
  <c r="Q571" i="5"/>
  <c r="N571" i="5"/>
  <c r="M571" i="5"/>
  <c r="J571" i="5"/>
  <c r="I571" i="5"/>
  <c r="F571" i="5"/>
  <c r="E571" i="5"/>
  <c r="R570" i="5"/>
  <c r="Q570" i="5"/>
  <c r="N570" i="5"/>
  <c r="M570" i="5"/>
  <c r="J570" i="5"/>
  <c r="I570" i="5"/>
  <c r="F570" i="5"/>
  <c r="E570" i="5"/>
  <c r="R569" i="5"/>
  <c r="Q569" i="5"/>
  <c r="N569" i="5"/>
  <c r="M569" i="5"/>
  <c r="J569" i="5"/>
  <c r="I569" i="5"/>
  <c r="F569" i="5"/>
  <c r="E569" i="5"/>
  <c r="R568" i="5"/>
  <c r="Q568" i="5"/>
  <c r="N568" i="5"/>
  <c r="M568" i="5"/>
  <c r="J568" i="5"/>
  <c r="I568" i="5"/>
  <c r="F568" i="5"/>
  <c r="E568" i="5"/>
  <c r="R567" i="5"/>
  <c r="Q567" i="5"/>
  <c r="N567" i="5"/>
  <c r="M567" i="5"/>
  <c r="J567" i="5"/>
  <c r="I567" i="5"/>
  <c r="F567" i="5"/>
  <c r="E567" i="5"/>
  <c r="R566" i="5"/>
  <c r="Q566" i="5"/>
  <c r="N566" i="5"/>
  <c r="M566" i="5"/>
  <c r="J566" i="5"/>
  <c r="I566" i="5"/>
  <c r="F566" i="5"/>
  <c r="E566" i="5"/>
  <c r="R565" i="5"/>
  <c r="Q565" i="5"/>
  <c r="N565" i="5"/>
  <c r="M565" i="5"/>
  <c r="J565" i="5"/>
  <c r="I565" i="5"/>
  <c r="F565" i="5"/>
  <c r="E565" i="5"/>
  <c r="R564" i="5"/>
  <c r="Q564" i="5"/>
  <c r="N564" i="5"/>
  <c r="M564" i="5"/>
  <c r="J564" i="5"/>
  <c r="I564" i="5"/>
  <c r="F564" i="5"/>
  <c r="E564" i="5"/>
  <c r="R563" i="5"/>
  <c r="Q563" i="5"/>
  <c r="N563" i="5"/>
  <c r="M563" i="5"/>
  <c r="J563" i="5"/>
  <c r="I563" i="5"/>
  <c r="F563" i="5"/>
  <c r="E563" i="5"/>
  <c r="R562" i="5"/>
  <c r="Q562" i="5"/>
  <c r="N562" i="5"/>
  <c r="M562" i="5"/>
  <c r="J562" i="5"/>
  <c r="I562" i="5"/>
  <c r="F562" i="5"/>
  <c r="E562" i="5"/>
  <c r="R561" i="5"/>
  <c r="Q561" i="5"/>
  <c r="N561" i="5"/>
  <c r="M561" i="5"/>
  <c r="J561" i="5"/>
  <c r="I561" i="5"/>
  <c r="F561" i="5"/>
  <c r="E561" i="5"/>
  <c r="R560" i="5"/>
  <c r="Q560" i="5"/>
  <c r="N560" i="5"/>
  <c r="M560" i="5"/>
  <c r="J560" i="5"/>
  <c r="I560" i="5"/>
  <c r="F560" i="5"/>
  <c r="E560" i="5"/>
  <c r="R559" i="5"/>
  <c r="Q559" i="5"/>
  <c r="N559" i="5"/>
  <c r="M559" i="5"/>
  <c r="J559" i="5"/>
  <c r="I559" i="5"/>
  <c r="F559" i="5"/>
  <c r="E559" i="5"/>
  <c r="R558" i="5"/>
  <c r="Q558" i="5"/>
  <c r="N558" i="5"/>
  <c r="M558" i="5"/>
  <c r="J558" i="5"/>
  <c r="I558" i="5"/>
  <c r="F558" i="5"/>
  <c r="E558" i="5"/>
  <c r="R557" i="5"/>
  <c r="Q557" i="5"/>
  <c r="N557" i="5"/>
  <c r="M557" i="5"/>
  <c r="J557" i="5"/>
  <c r="I557" i="5"/>
  <c r="F557" i="5"/>
  <c r="E557" i="5"/>
  <c r="R556" i="5"/>
  <c r="Q556" i="5"/>
  <c r="N556" i="5"/>
  <c r="M556" i="5"/>
  <c r="J556" i="5"/>
  <c r="I556" i="5"/>
  <c r="F556" i="5"/>
  <c r="E556" i="5"/>
  <c r="R555" i="5"/>
  <c r="Q555" i="5"/>
  <c r="N555" i="5"/>
  <c r="M555" i="5"/>
  <c r="J555" i="5"/>
  <c r="I555" i="5"/>
  <c r="F555" i="5"/>
  <c r="E555" i="5"/>
  <c r="R554" i="5"/>
  <c r="Q554" i="5"/>
  <c r="N554" i="5"/>
  <c r="M554" i="5"/>
  <c r="J554" i="5"/>
  <c r="I554" i="5"/>
  <c r="F554" i="5"/>
  <c r="E554" i="5"/>
  <c r="R553" i="5"/>
  <c r="Q553" i="5"/>
  <c r="N553" i="5"/>
  <c r="M553" i="5"/>
  <c r="J553" i="5"/>
  <c r="I553" i="5"/>
  <c r="F553" i="5"/>
  <c r="E553" i="5"/>
  <c r="R552" i="5"/>
  <c r="Q552" i="5"/>
  <c r="N552" i="5"/>
  <c r="M552" i="5"/>
  <c r="J552" i="5"/>
  <c r="I552" i="5"/>
  <c r="F552" i="5"/>
  <c r="E552" i="5"/>
  <c r="R551" i="5"/>
  <c r="Q551" i="5"/>
  <c r="N551" i="5"/>
  <c r="M551" i="5"/>
  <c r="J551" i="5"/>
  <c r="I551" i="5"/>
  <c r="F551" i="5"/>
  <c r="E551" i="5"/>
  <c r="R550" i="5"/>
  <c r="Q550" i="5"/>
  <c r="N550" i="5"/>
  <c r="M550" i="5"/>
  <c r="J550" i="5"/>
  <c r="I550" i="5"/>
  <c r="F550" i="5"/>
  <c r="E550" i="5"/>
  <c r="R549" i="5"/>
  <c r="Q549" i="5"/>
  <c r="N549" i="5"/>
  <c r="M549" i="5"/>
  <c r="J549" i="5"/>
  <c r="I549" i="5"/>
  <c r="F549" i="5"/>
  <c r="E549" i="5"/>
  <c r="R548" i="5"/>
  <c r="Q548" i="5"/>
  <c r="N548" i="5"/>
  <c r="M548" i="5"/>
  <c r="J548" i="5"/>
  <c r="I548" i="5"/>
  <c r="F548" i="5"/>
  <c r="E548" i="5"/>
  <c r="R547" i="5"/>
  <c r="Q547" i="5"/>
  <c r="N547" i="5"/>
  <c r="M547" i="5"/>
  <c r="J547" i="5"/>
  <c r="I547" i="5"/>
  <c r="F547" i="5"/>
  <c r="E547" i="5"/>
  <c r="R546" i="5"/>
  <c r="Q546" i="5"/>
  <c r="N546" i="5"/>
  <c r="M546" i="5"/>
  <c r="J546" i="5"/>
  <c r="I546" i="5"/>
  <c r="F546" i="5"/>
  <c r="E546" i="5"/>
  <c r="R545" i="5"/>
  <c r="Q545" i="5"/>
  <c r="N545" i="5"/>
  <c r="M545" i="5"/>
  <c r="J545" i="5"/>
  <c r="I545" i="5"/>
  <c r="F545" i="5"/>
  <c r="E545" i="5"/>
  <c r="R544" i="5"/>
  <c r="Q544" i="5"/>
  <c r="N544" i="5"/>
  <c r="M544" i="5"/>
  <c r="J544" i="5"/>
  <c r="I544" i="5"/>
  <c r="F544" i="5"/>
  <c r="E544" i="5"/>
  <c r="R543" i="5"/>
  <c r="Q543" i="5"/>
  <c r="N543" i="5"/>
  <c r="M543" i="5"/>
  <c r="J543" i="5"/>
  <c r="I543" i="5"/>
  <c r="F543" i="5"/>
  <c r="E543" i="5"/>
  <c r="R542" i="5"/>
  <c r="Q542" i="5"/>
  <c r="N542" i="5"/>
  <c r="M542" i="5"/>
  <c r="J542" i="5"/>
  <c r="I542" i="5"/>
  <c r="F542" i="5"/>
  <c r="E542" i="5"/>
  <c r="R541" i="5"/>
  <c r="Q541" i="5"/>
  <c r="N541" i="5"/>
  <c r="M541" i="5"/>
  <c r="J541" i="5"/>
  <c r="I541" i="5"/>
  <c r="F541" i="5"/>
  <c r="E541" i="5"/>
  <c r="R540" i="5"/>
  <c r="Q540" i="5"/>
  <c r="N540" i="5"/>
  <c r="M540" i="5"/>
  <c r="J540" i="5"/>
  <c r="I540" i="5"/>
  <c r="F540" i="5"/>
  <c r="E540" i="5"/>
  <c r="R539" i="5"/>
  <c r="Q539" i="5"/>
  <c r="N539" i="5"/>
  <c r="M539" i="5"/>
  <c r="J539" i="5"/>
  <c r="I539" i="5"/>
  <c r="F539" i="5"/>
  <c r="E539" i="5"/>
  <c r="R538" i="5"/>
  <c r="Q538" i="5"/>
  <c r="N538" i="5"/>
  <c r="M538" i="5"/>
  <c r="J538" i="5"/>
  <c r="I538" i="5"/>
  <c r="F538" i="5"/>
  <c r="E538" i="5"/>
  <c r="R537" i="5"/>
  <c r="Q537" i="5"/>
  <c r="N537" i="5"/>
  <c r="M537" i="5"/>
  <c r="J537" i="5"/>
  <c r="I537" i="5"/>
  <c r="F537" i="5"/>
  <c r="E537" i="5"/>
  <c r="R536" i="5"/>
  <c r="Q536" i="5"/>
  <c r="N536" i="5"/>
  <c r="M536" i="5"/>
  <c r="J536" i="5"/>
  <c r="I536" i="5"/>
  <c r="F536" i="5"/>
  <c r="E536" i="5"/>
  <c r="R535" i="5"/>
  <c r="Q535" i="5"/>
  <c r="N535" i="5"/>
  <c r="M535" i="5"/>
  <c r="J535" i="5"/>
  <c r="I535" i="5"/>
  <c r="F535" i="5"/>
  <c r="E535" i="5"/>
  <c r="R534" i="5"/>
  <c r="Q534" i="5"/>
  <c r="N534" i="5"/>
  <c r="M534" i="5"/>
  <c r="J534" i="5"/>
  <c r="I534" i="5"/>
  <c r="F534" i="5"/>
  <c r="E534" i="5"/>
  <c r="R533" i="5"/>
  <c r="Q533" i="5"/>
  <c r="N533" i="5"/>
  <c r="M533" i="5"/>
  <c r="J533" i="5"/>
  <c r="I533" i="5"/>
  <c r="F533" i="5"/>
  <c r="E533" i="5"/>
  <c r="R532" i="5"/>
  <c r="Q532" i="5"/>
  <c r="N532" i="5"/>
  <c r="M532" i="5"/>
  <c r="J532" i="5"/>
  <c r="I532" i="5"/>
  <c r="F532" i="5"/>
  <c r="E532" i="5"/>
  <c r="R531" i="5"/>
  <c r="Q531" i="5"/>
  <c r="N531" i="5"/>
  <c r="M531" i="5"/>
  <c r="J531" i="5"/>
  <c r="I531" i="5"/>
  <c r="F531" i="5"/>
  <c r="E531" i="5"/>
  <c r="R530" i="5"/>
  <c r="Q530" i="5"/>
  <c r="N530" i="5"/>
  <c r="M530" i="5"/>
  <c r="J530" i="5"/>
  <c r="I530" i="5"/>
  <c r="F530" i="5"/>
  <c r="E530" i="5"/>
  <c r="R529" i="5"/>
  <c r="Q529" i="5"/>
  <c r="N529" i="5"/>
  <c r="M529" i="5"/>
  <c r="J529" i="5"/>
  <c r="I529" i="5"/>
  <c r="F529" i="5"/>
  <c r="E529" i="5"/>
  <c r="R528" i="5"/>
  <c r="Q528" i="5"/>
  <c r="N528" i="5"/>
  <c r="M528" i="5"/>
  <c r="J528" i="5"/>
  <c r="I528" i="5"/>
  <c r="F528" i="5"/>
  <c r="E528" i="5"/>
  <c r="R527" i="5"/>
  <c r="Q527" i="5"/>
  <c r="N527" i="5"/>
  <c r="M527" i="5"/>
  <c r="J527" i="5"/>
  <c r="I527" i="5"/>
  <c r="F527" i="5"/>
  <c r="E527" i="5"/>
  <c r="R526" i="5"/>
  <c r="Q526" i="5"/>
  <c r="N526" i="5"/>
  <c r="M526" i="5"/>
  <c r="J526" i="5"/>
  <c r="I526" i="5"/>
  <c r="F526" i="5"/>
  <c r="E526" i="5"/>
  <c r="R525" i="5"/>
  <c r="Q525" i="5"/>
  <c r="N525" i="5"/>
  <c r="M525" i="5"/>
  <c r="J525" i="5"/>
  <c r="I525" i="5"/>
  <c r="F525" i="5"/>
  <c r="E525" i="5"/>
  <c r="R524" i="5"/>
  <c r="Q524" i="5"/>
  <c r="N524" i="5"/>
  <c r="M524" i="5"/>
  <c r="J524" i="5"/>
  <c r="I524" i="5"/>
  <c r="F524" i="5"/>
  <c r="E524" i="5"/>
  <c r="R523" i="5"/>
  <c r="Q523" i="5"/>
  <c r="N523" i="5"/>
  <c r="M523" i="5"/>
  <c r="J523" i="5"/>
  <c r="I523" i="5"/>
  <c r="F523" i="5"/>
  <c r="E523" i="5"/>
  <c r="R522" i="5"/>
  <c r="Q522" i="5"/>
  <c r="N522" i="5"/>
  <c r="M522" i="5"/>
  <c r="J522" i="5"/>
  <c r="I522" i="5"/>
  <c r="F522" i="5"/>
  <c r="E522" i="5"/>
  <c r="R521" i="5"/>
  <c r="Q521" i="5"/>
  <c r="N521" i="5"/>
  <c r="M521" i="5"/>
  <c r="J521" i="5"/>
  <c r="I521" i="5"/>
  <c r="F521" i="5"/>
  <c r="E521" i="5"/>
  <c r="R520" i="5"/>
  <c r="Q520" i="5"/>
  <c r="N520" i="5"/>
  <c r="M520" i="5"/>
  <c r="J520" i="5"/>
  <c r="I520" i="5"/>
  <c r="F520" i="5"/>
  <c r="E520" i="5"/>
  <c r="R519" i="5"/>
  <c r="Q519" i="5"/>
  <c r="N519" i="5"/>
  <c r="M519" i="5"/>
  <c r="J519" i="5"/>
  <c r="I519" i="5"/>
  <c r="F519" i="5"/>
  <c r="E519" i="5"/>
  <c r="R518" i="5"/>
  <c r="Q518" i="5"/>
  <c r="N518" i="5"/>
  <c r="M518" i="5"/>
  <c r="J518" i="5"/>
  <c r="I518" i="5"/>
  <c r="F518" i="5"/>
  <c r="E518" i="5"/>
  <c r="R517" i="5"/>
  <c r="Q517" i="5"/>
  <c r="N517" i="5"/>
  <c r="M517" i="5"/>
  <c r="J517" i="5"/>
  <c r="I517" i="5"/>
  <c r="F517" i="5"/>
  <c r="E517" i="5"/>
  <c r="R516" i="5"/>
  <c r="Q516" i="5"/>
  <c r="N516" i="5"/>
  <c r="M516" i="5"/>
  <c r="J516" i="5"/>
  <c r="I516" i="5"/>
  <c r="F516" i="5"/>
  <c r="E516" i="5"/>
  <c r="R515" i="5"/>
  <c r="Q515" i="5"/>
  <c r="N515" i="5"/>
  <c r="M515" i="5"/>
  <c r="J515" i="5"/>
  <c r="I515" i="5"/>
  <c r="F515" i="5"/>
  <c r="E515" i="5"/>
  <c r="R514" i="5"/>
  <c r="Q514" i="5"/>
  <c r="N514" i="5"/>
  <c r="M514" i="5"/>
  <c r="J514" i="5"/>
  <c r="I514" i="5"/>
  <c r="F514" i="5"/>
  <c r="E514" i="5"/>
  <c r="R513" i="5"/>
  <c r="Q513" i="5"/>
  <c r="N513" i="5"/>
  <c r="M513" i="5"/>
  <c r="J513" i="5"/>
  <c r="I513" i="5"/>
  <c r="F513" i="5"/>
  <c r="E513" i="5"/>
  <c r="R512" i="5"/>
  <c r="Q512" i="5"/>
  <c r="N512" i="5"/>
  <c r="M512" i="5"/>
  <c r="J512" i="5"/>
  <c r="I512" i="5"/>
  <c r="F512" i="5"/>
  <c r="E512" i="5"/>
  <c r="R511" i="5"/>
  <c r="Q511" i="5"/>
  <c r="N511" i="5"/>
  <c r="M511" i="5"/>
  <c r="J511" i="5"/>
  <c r="I511" i="5"/>
  <c r="F511" i="5"/>
  <c r="E511" i="5"/>
  <c r="R510" i="5"/>
  <c r="Q510" i="5"/>
  <c r="N510" i="5"/>
  <c r="M510" i="5"/>
  <c r="J510" i="5"/>
  <c r="I510" i="5"/>
  <c r="F510" i="5"/>
  <c r="E510" i="5"/>
  <c r="R509" i="5"/>
  <c r="Q509" i="5"/>
  <c r="N509" i="5"/>
  <c r="M509" i="5"/>
  <c r="J509" i="5"/>
  <c r="I509" i="5"/>
  <c r="F509" i="5"/>
  <c r="E509" i="5"/>
  <c r="R508" i="5"/>
  <c r="Q508" i="5"/>
  <c r="N508" i="5"/>
  <c r="M508" i="5"/>
  <c r="J508" i="5"/>
  <c r="I508" i="5"/>
  <c r="F508" i="5"/>
  <c r="E508" i="5"/>
  <c r="R507" i="5"/>
  <c r="Q507" i="5"/>
  <c r="N507" i="5"/>
  <c r="M507" i="5"/>
  <c r="J507" i="5"/>
  <c r="I507" i="5"/>
  <c r="F507" i="5"/>
  <c r="E507" i="5"/>
  <c r="R506" i="5"/>
  <c r="Q506" i="5"/>
  <c r="N506" i="5"/>
  <c r="M506" i="5"/>
  <c r="J506" i="5"/>
  <c r="I506" i="5"/>
  <c r="F506" i="5"/>
  <c r="E506" i="5"/>
  <c r="R505" i="5"/>
  <c r="Q505" i="5"/>
  <c r="N505" i="5"/>
  <c r="M505" i="5"/>
  <c r="J505" i="5"/>
  <c r="I505" i="5"/>
  <c r="F505" i="5"/>
  <c r="E505" i="5"/>
  <c r="R504" i="5"/>
  <c r="Q504" i="5"/>
  <c r="N504" i="5"/>
  <c r="M504" i="5"/>
  <c r="J504" i="5"/>
  <c r="I504" i="5"/>
  <c r="F504" i="5"/>
  <c r="E504" i="5"/>
  <c r="R503" i="5"/>
  <c r="Q503" i="5"/>
  <c r="N503" i="5"/>
  <c r="M503" i="5"/>
  <c r="J503" i="5"/>
  <c r="I503" i="5"/>
  <c r="F503" i="5"/>
  <c r="E503" i="5"/>
  <c r="R502" i="5"/>
  <c r="Q502" i="5"/>
  <c r="N502" i="5"/>
  <c r="M502" i="5"/>
  <c r="J502" i="5"/>
  <c r="I502" i="5"/>
  <c r="F502" i="5"/>
  <c r="E502" i="5"/>
  <c r="R501" i="5"/>
  <c r="Q501" i="5"/>
  <c r="N501" i="5"/>
  <c r="M501" i="5"/>
  <c r="J501" i="5"/>
  <c r="I501" i="5"/>
  <c r="F501" i="5"/>
  <c r="E501" i="5"/>
  <c r="R500" i="5"/>
  <c r="Q500" i="5"/>
  <c r="N500" i="5"/>
  <c r="M500" i="5"/>
  <c r="J500" i="5"/>
  <c r="I500" i="5"/>
  <c r="F500" i="5"/>
  <c r="E500" i="5"/>
  <c r="R499" i="5"/>
  <c r="Q499" i="5"/>
  <c r="N499" i="5"/>
  <c r="M499" i="5"/>
  <c r="J499" i="5"/>
  <c r="I499" i="5"/>
  <c r="F499" i="5"/>
  <c r="E499" i="5"/>
  <c r="R498" i="5"/>
  <c r="Q498" i="5"/>
  <c r="N498" i="5"/>
  <c r="M498" i="5"/>
  <c r="J498" i="5"/>
  <c r="I498" i="5"/>
  <c r="F498" i="5"/>
  <c r="E498" i="5"/>
  <c r="R497" i="5"/>
  <c r="Q497" i="5"/>
  <c r="N497" i="5"/>
  <c r="M497" i="5"/>
  <c r="J497" i="5"/>
  <c r="I497" i="5"/>
  <c r="F497" i="5"/>
  <c r="E497" i="5"/>
  <c r="R496" i="5"/>
  <c r="Q496" i="5"/>
  <c r="N496" i="5"/>
  <c r="M496" i="5"/>
  <c r="J496" i="5"/>
  <c r="I496" i="5"/>
  <c r="F496" i="5"/>
  <c r="E496" i="5"/>
  <c r="R495" i="5"/>
  <c r="Q495" i="5"/>
  <c r="N495" i="5"/>
  <c r="M495" i="5"/>
  <c r="J495" i="5"/>
  <c r="I495" i="5"/>
  <c r="F495" i="5"/>
  <c r="E495" i="5"/>
  <c r="R494" i="5"/>
  <c r="Q494" i="5"/>
  <c r="N494" i="5"/>
  <c r="M494" i="5"/>
  <c r="J494" i="5"/>
  <c r="I494" i="5"/>
  <c r="F494" i="5"/>
  <c r="E494" i="5"/>
  <c r="R493" i="5"/>
  <c r="Q493" i="5"/>
  <c r="N493" i="5"/>
  <c r="M493" i="5"/>
  <c r="J493" i="5"/>
  <c r="I493" i="5"/>
  <c r="F493" i="5"/>
  <c r="E493" i="5"/>
  <c r="R492" i="5"/>
  <c r="Q492" i="5"/>
  <c r="N492" i="5"/>
  <c r="M492" i="5"/>
  <c r="J492" i="5"/>
  <c r="I492" i="5"/>
  <c r="F492" i="5"/>
  <c r="E492" i="5"/>
  <c r="R491" i="5"/>
  <c r="Q491" i="5"/>
  <c r="N491" i="5"/>
  <c r="M491" i="5"/>
  <c r="J491" i="5"/>
  <c r="I491" i="5"/>
  <c r="F491" i="5"/>
  <c r="E491" i="5"/>
  <c r="R490" i="5"/>
  <c r="Q490" i="5"/>
  <c r="N490" i="5"/>
  <c r="M490" i="5"/>
  <c r="J490" i="5"/>
  <c r="I490" i="5"/>
  <c r="F490" i="5"/>
  <c r="E490" i="5"/>
  <c r="R489" i="5"/>
  <c r="Q489" i="5"/>
  <c r="N489" i="5"/>
  <c r="M489" i="5"/>
  <c r="J489" i="5"/>
  <c r="I489" i="5"/>
  <c r="F489" i="5"/>
  <c r="E489" i="5"/>
  <c r="R488" i="5"/>
  <c r="Q488" i="5"/>
  <c r="N488" i="5"/>
  <c r="M488" i="5"/>
  <c r="J488" i="5"/>
  <c r="I488" i="5"/>
  <c r="F488" i="5"/>
  <c r="E488" i="5"/>
  <c r="R487" i="5"/>
  <c r="Q487" i="5"/>
  <c r="N487" i="5"/>
  <c r="M487" i="5"/>
  <c r="J487" i="5"/>
  <c r="I487" i="5"/>
  <c r="F487" i="5"/>
  <c r="E487" i="5"/>
  <c r="R486" i="5"/>
  <c r="Q486" i="5"/>
  <c r="N486" i="5"/>
  <c r="M486" i="5"/>
  <c r="J486" i="5"/>
  <c r="I486" i="5"/>
  <c r="F486" i="5"/>
  <c r="E486" i="5"/>
  <c r="R485" i="5"/>
  <c r="Q485" i="5"/>
  <c r="N485" i="5"/>
  <c r="M485" i="5"/>
  <c r="J485" i="5"/>
  <c r="I485" i="5"/>
  <c r="F485" i="5"/>
  <c r="E485" i="5"/>
  <c r="R484" i="5"/>
  <c r="Q484" i="5"/>
  <c r="N484" i="5"/>
  <c r="M484" i="5"/>
  <c r="J484" i="5"/>
  <c r="I484" i="5"/>
  <c r="F484" i="5"/>
  <c r="E484" i="5"/>
  <c r="R483" i="5"/>
  <c r="Q483" i="5"/>
  <c r="N483" i="5"/>
  <c r="M483" i="5"/>
  <c r="J483" i="5"/>
  <c r="I483" i="5"/>
  <c r="F483" i="5"/>
  <c r="E483" i="5"/>
  <c r="R482" i="5"/>
  <c r="Q482" i="5"/>
  <c r="N482" i="5"/>
  <c r="M482" i="5"/>
  <c r="J482" i="5"/>
  <c r="I482" i="5"/>
  <c r="F482" i="5"/>
  <c r="E482" i="5"/>
  <c r="R481" i="5"/>
  <c r="Q481" i="5"/>
  <c r="N481" i="5"/>
  <c r="M481" i="5"/>
  <c r="J481" i="5"/>
  <c r="I481" i="5"/>
  <c r="F481" i="5"/>
  <c r="E481" i="5"/>
  <c r="R480" i="5"/>
  <c r="Q480" i="5"/>
  <c r="N480" i="5"/>
  <c r="M480" i="5"/>
  <c r="J480" i="5"/>
  <c r="I480" i="5"/>
  <c r="F480" i="5"/>
  <c r="E480" i="5"/>
  <c r="R479" i="5"/>
  <c r="Q479" i="5"/>
  <c r="N479" i="5"/>
  <c r="M479" i="5"/>
  <c r="J479" i="5"/>
  <c r="I479" i="5"/>
  <c r="F479" i="5"/>
  <c r="E479" i="5"/>
  <c r="R478" i="5"/>
  <c r="Q478" i="5"/>
  <c r="N478" i="5"/>
  <c r="M478" i="5"/>
  <c r="J478" i="5"/>
  <c r="I478" i="5"/>
  <c r="F478" i="5"/>
  <c r="E478" i="5"/>
  <c r="R477" i="5"/>
  <c r="Q477" i="5"/>
  <c r="N477" i="5"/>
  <c r="M477" i="5"/>
  <c r="J477" i="5"/>
  <c r="I477" i="5"/>
  <c r="F477" i="5"/>
  <c r="E477" i="5"/>
  <c r="R476" i="5"/>
  <c r="Q476" i="5"/>
  <c r="N476" i="5"/>
  <c r="M476" i="5"/>
  <c r="J476" i="5"/>
  <c r="I476" i="5"/>
  <c r="F476" i="5"/>
  <c r="E476" i="5"/>
  <c r="R475" i="5"/>
  <c r="Q475" i="5"/>
  <c r="N475" i="5"/>
  <c r="M475" i="5"/>
  <c r="J475" i="5"/>
  <c r="I475" i="5"/>
  <c r="F475" i="5"/>
  <c r="E475" i="5"/>
  <c r="R474" i="5"/>
  <c r="Q474" i="5"/>
  <c r="N474" i="5"/>
  <c r="M474" i="5"/>
  <c r="J474" i="5"/>
  <c r="I474" i="5"/>
  <c r="F474" i="5"/>
  <c r="E474" i="5"/>
  <c r="R473" i="5"/>
  <c r="Q473" i="5"/>
  <c r="N473" i="5"/>
  <c r="M473" i="5"/>
  <c r="J473" i="5"/>
  <c r="I473" i="5"/>
  <c r="F473" i="5"/>
  <c r="E473" i="5"/>
  <c r="R472" i="5"/>
  <c r="Q472" i="5"/>
  <c r="N472" i="5"/>
  <c r="M472" i="5"/>
  <c r="J472" i="5"/>
  <c r="I472" i="5"/>
  <c r="F472" i="5"/>
  <c r="E472" i="5"/>
  <c r="R471" i="5"/>
  <c r="Q471" i="5"/>
  <c r="N471" i="5"/>
  <c r="M471" i="5"/>
  <c r="J471" i="5"/>
  <c r="I471" i="5"/>
  <c r="F471" i="5"/>
  <c r="E471" i="5"/>
  <c r="R470" i="5"/>
  <c r="Q470" i="5"/>
  <c r="N470" i="5"/>
  <c r="M470" i="5"/>
  <c r="J470" i="5"/>
  <c r="I470" i="5"/>
  <c r="F470" i="5"/>
  <c r="E470" i="5"/>
  <c r="R469" i="5"/>
  <c r="Q469" i="5"/>
  <c r="N469" i="5"/>
  <c r="M469" i="5"/>
  <c r="J469" i="5"/>
  <c r="I469" i="5"/>
  <c r="F469" i="5"/>
  <c r="E469" i="5"/>
  <c r="R468" i="5"/>
  <c r="Q468" i="5"/>
  <c r="N468" i="5"/>
  <c r="M468" i="5"/>
  <c r="J468" i="5"/>
  <c r="I468" i="5"/>
  <c r="F468" i="5"/>
  <c r="E468" i="5"/>
  <c r="R467" i="5"/>
  <c r="Q467" i="5"/>
  <c r="N467" i="5"/>
  <c r="M467" i="5"/>
  <c r="J467" i="5"/>
  <c r="I467" i="5"/>
  <c r="F467" i="5"/>
  <c r="E467" i="5"/>
  <c r="R466" i="5"/>
  <c r="Q466" i="5"/>
  <c r="N466" i="5"/>
  <c r="M466" i="5"/>
  <c r="J466" i="5"/>
  <c r="I466" i="5"/>
  <c r="F466" i="5"/>
  <c r="E466" i="5"/>
  <c r="R465" i="5"/>
  <c r="Q465" i="5"/>
  <c r="N465" i="5"/>
  <c r="M465" i="5"/>
  <c r="J465" i="5"/>
  <c r="I465" i="5"/>
  <c r="F465" i="5"/>
  <c r="E465" i="5"/>
  <c r="R464" i="5"/>
  <c r="Q464" i="5"/>
  <c r="N464" i="5"/>
  <c r="M464" i="5"/>
  <c r="J464" i="5"/>
  <c r="I464" i="5"/>
  <c r="F464" i="5"/>
  <c r="E464" i="5"/>
  <c r="R463" i="5"/>
  <c r="Q463" i="5"/>
  <c r="N463" i="5"/>
  <c r="M463" i="5"/>
  <c r="J463" i="5"/>
  <c r="I463" i="5"/>
  <c r="F463" i="5"/>
  <c r="E463" i="5"/>
  <c r="R462" i="5"/>
  <c r="Q462" i="5"/>
  <c r="N462" i="5"/>
  <c r="M462" i="5"/>
  <c r="J462" i="5"/>
  <c r="I462" i="5"/>
  <c r="F462" i="5"/>
  <c r="E462" i="5"/>
  <c r="R461" i="5"/>
  <c r="Q461" i="5"/>
  <c r="N461" i="5"/>
  <c r="M461" i="5"/>
  <c r="J461" i="5"/>
  <c r="I461" i="5"/>
  <c r="F461" i="5"/>
  <c r="E461" i="5"/>
  <c r="R460" i="5"/>
  <c r="Q460" i="5"/>
  <c r="N460" i="5"/>
  <c r="M460" i="5"/>
  <c r="J460" i="5"/>
  <c r="I460" i="5"/>
  <c r="F460" i="5"/>
  <c r="E460" i="5"/>
  <c r="R459" i="5"/>
  <c r="Q459" i="5"/>
  <c r="N459" i="5"/>
  <c r="M459" i="5"/>
  <c r="J459" i="5"/>
  <c r="I459" i="5"/>
  <c r="F459" i="5"/>
  <c r="E459" i="5"/>
  <c r="R458" i="5"/>
  <c r="Q458" i="5"/>
  <c r="N458" i="5"/>
  <c r="M458" i="5"/>
  <c r="J458" i="5"/>
  <c r="I458" i="5"/>
  <c r="F458" i="5"/>
  <c r="E458" i="5"/>
  <c r="R457" i="5"/>
  <c r="Q457" i="5"/>
  <c r="N457" i="5"/>
  <c r="M457" i="5"/>
  <c r="J457" i="5"/>
  <c r="I457" i="5"/>
  <c r="F457" i="5"/>
  <c r="E457" i="5"/>
  <c r="R456" i="5"/>
  <c r="Q456" i="5"/>
  <c r="N456" i="5"/>
  <c r="M456" i="5"/>
  <c r="J456" i="5"/>
  <c r="I456" i="5"/>
  <c r="F456" i="5"/>
  <c r="E456" i="5"/>
  <c r="R455" i="5"/>
  <c r="Q455" i="5"/>
  <c r="N455" i="5"/>
  <c r="M455" i="5"/>
  <c r="J455" i="5"/>
  <c r="I455" i="5"/>
  <c r="F455" i="5"/>
  <c r="E455" i="5"/>
  <c r="R454" i="5"/>
  <c r="Q454" i="5"/>
  <c r="N454" i="5"/>
  <c r="M454" i="5"/>
  <c r="J454" i="5"/>
  <c r="I454" i="5"/>
  <c r="F454" i="5"/>
  <c r="E454" i="5"/>
  <c r="R453" i="5"/>
  <c r="Q453" i="5"/>
  <c r="N453" i="5"/>
  <c r="M453" i="5"/>
  <c r="J453" i="5"/>
  <c r="I453" i="5"/>
  <c r="F453" i="5"/>
  <c r="E453" i="5"/>
  <c r="R452" i="5"/>
  <c r="Q452" i="5"/>
  <c r="N452" i="5"/>
  <c r="M452" i="5"/>
  <c r="J452" i="5"/>
  <c r="I452" i="5"/>
  <c r="F452" i="5"/>
  <c r="E452" i="5"/>
  <c r="R451" i="5"/>
  <c r="Q451" i="5"/>
  <c r="N451" i="5"/>
  <c r="M451" i="5"/>
  <c r="J451" i="5"/>
  <c r="I451" i="5"/>
  <c r="F451" i="5"/>
  <c r="E451" i="5"/>
  <c r="R450" i="5"/>
  <c r="Q450" i="5"/>
  <c r="N450" i="5"/>
  <c r="M450" i="5"/>
  <c r="J450" i="5"/>
  <c r="I450" i="5"/>
  <c r="F450" i="5"/>
  <c r="E450" i="5"/>
  <c r="R449" i="5"/>
  <c r="Q449" i="5"/>
  <c r="N449" i="5"/>
  <c r="M449" i="5"/>
  <c r="J449" i="5"/>
  <c r="I449" i="5"/>
  <c r="F449" i="5"/>
  <c r="E449" i="5"/>
  <c r="R448" i="5"/>
  <c r="Q448" i="5"/>
  <c r="N448" i="5"/>
  <c r="M448" i="5"/>
  <c r="J448" i="5"/>
  <c r="I448" i="5"/>
  <c r="F448" i="5"/>
  <c r="E448" i="5"/>
  <c r="R447" i="5"/>
  <c r="Q447" i="5"/>
  <c r="N447" i="5"/>
  <c r="M447" i="5"/>
  <c r="J447" i="5"/>
  <c r="I447" i="5"/>
  <c r="F447" i="5"/>
  <c r="E447" i="5"/>
  <c r="R446" i="5"/>
  <c r="Q446" i="5"/>
  <c r="N446" i="5"/>
  <c r="M446" i="5"/>
  <c r="J446" i="5"/>
  <c r="I446" i="5"/>
  <c r="F446" i="5"/>
  <c r="E446" i="5"/>
  <c r="R445" i="5"/>
  <c r="Q445" i="5"/>
  <c r="N445" i="5"/>
  <c r="M445" i="5"/>
  <c r="J445" i="5"/>
  <c r="I445" i="5"/>
  <c r="F445" i="5"/>
  <c r="E445" i="5"/>
  <c r="R444" i="5"/>
  <c r="Q444" i="5"/>
  <c r="N444" i="5"/>
  <c r="M444" i="5"/>
  <c r="J444" i="5"/>
  <c r="I444" i="5"/>
  <c r="F444" i="5"/>
  <c r="E444" i="5"/>
  <c r="R443" i="5"/>
  <c r="Q443" i="5"/>
  <c r="N443" i="5"/>
  <c r="M443" i="5"/>
  <c r="J443" i="5"/>
  <c r="I443" i="5"/>
  <c r="F443" i="5"/>
  <c r="E443" i="5"/>
  <c r="R442" i="5"/>
  <c r="Q442" i="5"/>
  <c r="N442" i="5"/>
  <c r="M442" i="5"/>
  <c r="J442" i="5"/>
  <c r="I442" i="5"/>
  <c r="F442" i="5"/>
  <c r="E442" i="5"/>
  <c r="R441" i="5"/>
  <c r="Q441" i="5"/>
  <c r="N441" i="5"/>
  <c r="M441" i="5"/>
  <c r="J441" i="5"/>
  <c r="I441" i="5"/>
  <c r="F441" i="5"/>
  <c r="E441" i="5"/>
  <c r="R440" i="5"/>
  <c r="Q440" i="5"/>
  <c r="N440" i="5"/>
  <c r="M440" i="5"/>
  <c r="J440" i="5"/>
  <c r="I440" i="5"/>
  <c r="F440" i="5"/>
  <c r="E440" i="5"/>
  <c r="R439" i="5"/>
  <c r="Q439" i="5"/>
  <c r="N439" i="5"/>
  <c r="M439" i="5"/>
  <c r="J439" i="5"/>
  <c r="I439" i="5"/>
  <c r="F439" i="5"/>
  <c r="E439" i="5"/>
  <c r="R438" i="5"/>
  <c r="Q438" i="5"/>
  <c r="N438" i="5"/>
  <c r="M438" i="5"/>
  <c r="J438" i="5"/>
  <c r="I438" i="5"/>
  <c r="F438" i="5"/>
  <c r="E438" i="5"/>
  <c r="R437" i="5"/>
  <c r="Q437" i="5"/>
  <c r="N437" i="5"/>
  <c r="M437" i="5"/>
  <c r="J437" i="5"/>
  <c r="I437" i="5"/>
  <c r="F437" i="5"/>
  <c r="E437" i="5"/>
  <c r="R436" i="5"/>
  <c r="Q436" i="5"/>
  <c r="N436" i="5"/>
  <c r="M436" i="5"/>
  <c r="J436" i="5"/>
  <c r="I436" i="5"/>
  <c r="F436" i="5"/>
  <c r="E436" i="5"/>
  <c r="R435" i="5"/>
  <c r="Q435" i="5"/>
  <c r="N435" i="5"/>
  <c r="M435" i="5"/>
  <c r="J435" i="5"/>
  <c r="I435" i="5"/>
  <c r="F435" i="5"/>
  <c r="E435" i="5"/>
  <c r="R434" i="5"/>
  <c r="Q434" i="5"/>
  <c r="N434" i="5"/>
  <c r="M434" i="5"/>
  <c r="J434" i="5"/>
  <c r="I434" i="5"/>
  <c r="F434" i="5"/>
  <c r="E434" i="5"/>
  <c r="R433" i="5"/>
  <c r="Q433" i="5"/>
  <c r="N433" i="5"/>
  <c r="M433" i="5"/>
  <c r="J433" i="5"/>
  <c r="I433" i="5"/>
  <c r="F433" i="5"/>
  <c r="E433" i="5"/>
  <c r="R432" i="5"/>
  <c r="Q432" i="5"/>
  <c r="N432" i="5"/>
  <c r="M432" i="5"/>
  <c r="J432" i="5"/>
  <c r="I432" i="5"/>
  <c r="F432" i="5"/>
  <c r="E432" i="5"/>
  <c r="R431" i="5"/>
  <c r="Q431" i="5"/>
  <c r="N431" i="5"/>
  <c r="M431" i="5"/>
  <c r="J431" i="5"/>
  <c r="I431" i="5"/>
  <c r="F431" i="5"/>
  <c r="E431" i="5"/>
  <c r="R430" i="5"/>
  <c r="Q430" i="5"/>
  <c r="N430" i="5"/>
  <c r="M430" i="5"/>
  <c r="J430" i="5"/>
  <c r="I430" i="5"/>
  <c r="F430" i="5"/>
  <c r="E430" i="5"/>
  <c r="R429" i="5"/>
  <c r="Q429" i="5"/>
  <c r="N429" i="5"/>
  <c r="M429" i="5"/>
  <c r="J429" i="5"/>
  <c r="I429" i="5"/>
  <c r="F429" i="5"/>
  <c r="E429" i="5"/>
  <c r="R428" i="5"/>
  <c r="Q428" i="5"/>
  <c r="N428" i="5"/>
  <c r="M428" i="5"/>
  <c r="J428" i="5"/>
  <c r="I428" i="5"/>
  <c r="F428" i="5"/>
  <c r="E428" i="5"/>
  <c r="R427" i="5"/>
  <c r="Q427" i="5"/>
  <c r="N427" i="5"/>
  <c r="M427" i="5"/>
  <c r="J427" i="5"/>
  <c r="I427" i="5"/>
  <c r="F427" i="5"/>
  <c r="E427" i="5"/>
  <c r="R426" i="5"/>
  <c r="Q426" i="5"/>
  <c r="N426" i="5"/>
  <c r="M426" i="5"/>
  <c r="J426" i="5"/>
  <c r="I426" i="5"/>
  <c r="F426" i="5"/>
  <c r="E426" i="5"/>
  <c r="R425" i="5"/>
  <c r="Q425" i="5"/>
  <c r="N425" i="5"/>
  <c r="M425" i="5"/>
  <c r="J425" i="5"/>
  <c r="I425" i="5"/>
  <c r="F425" i="5"/>
  <c r="E425" i="5"/>
  <c r="R424" i="5"/>
  <c r="Q424" i="5"/>
  <c r="N424" i="5"/>
  <c r="M424" i="5"/>
  <c r="J424" i="5"/>
  <c r="I424" i="5"/>
  <c r="F424" i="5"/>
  <c r="E424" i="5"/>
  <c r="R423" i="5"/>
  <c r="Q423" i="5"/>
  <c r="N423" i="5"/>
  <c r="M423" i="5"/>
  <c r="J423" i="5"/>
  <c r="I423" i="5"/>
  <c r="F423" i="5"/>
  <c r="E423" i="5"/>
  <c r="R422" i="5"/>
  <c r="Q422" i="5"/>
  <c r="N422" i="5"/>
  <c r="M422" i="5"/>
  <c r="J422" i="5"/>
  <c r="I422" i="5"/>
  <c r="F422" i="5"/>
  <c r="E422" i="5"/>
  <c r="R421" i="5"/>
  <c r="Q421" i="5"/>
  <c r="N421" i="5"/>
  <c r="M421" i="5"/>
  <c r="J421" i="5"/>
  <c r="I421" i="5"/>
  <c r="F421" i="5"/>
  <c r="E421" i="5"/>
  <c r="R420" i="5"/>
  <c r="Q420" i="5"/>
  <c r="N420" i="5"/>
  <c r="M420" i="5"/>
  <c r="J420" i="5"/>
  <c r="I420" i="5"/>
  <c r="F420" i="5"/>
  <c r="E420" i="5"/>
  <c r="R419" i="5"/>
  <c r="Q419" i="5"/>
  <c r="N419" i="5"/>
  <c r="M419" i="5"/>
  <c r="J419" i="5"/>
  <c r="I419" i="5"/>
  <c r="F419" i="5"/>
  <c r="E419" i="5"/>
  <c r="R418" i="5"/>
  <c r="Q418" i="5"/>
  <c r="N418" i="5"/>
  <c r="M418" i="5"/>
  <c r="J418" i="5"/>
  <c r="I418" i="5"/>
  <c r="F418" i="5"/>
  <c r="E418" i="5"/>
  <c r="R417" i="5"/>
  <c r="Q417" i="5"/>
  <c r="N417" i="5"/>
  <c r="M417" i="5"/>
  <c r="J417" i="5"/>
  <c r="I417" i="5"/>
  <c r="F417" i="5"/>
  <c r="E417" i="5"/>
  <c r="R416" i="5"/>
  <c r="Q416" i="5"/>
  <c r="N416" i="5"/>
  <c r="M416" i="5"/>
  <c r="J416" i="5"/>
  <c r="I416" i="5"/>
  <c r="F416" i="5"/>
  <c r="E416" i="5"/>
  <c r="R415" i="5"/>
  <c r="Q415" i="5"/>
  <c r="N415" i="5"/>
  <c r="M415" i="5"/>
  <c r="J415" i="5"/>
  <c r="I415" i="5"/>
  <c r="F415" i="5"/>
  <c r="E415" i="5"/>
  <c r="R414" i="5"/>
  <c r="Q414" i="5"/>
  <c r="N414" i="5"/>
  <c r="M414" i="5"/>
  <c r="J414" i="5"/>
  <c r="I414" i="5"/>
  <c r="F414" i="5"/>
  <c r="E414" i="5"/>
  <c r="R413" i="5"/>
  <c r="Q413" i="5"/>
  <c r="N413" i="5"/>
  <c r="M413" i="5"/>
  <c r="J413" i="5"/>
  <c r="I413" i="5"/>
  <c r="F413" i="5"/>
  <c r="E413" i="5"/>
  <c r="R412" i="5"/>
  <c r="Q412" i="5"/>
  <c r="N412" i="5"/>
  <c r="M412" i="5"/>
  <c r="J412" i="5"/>
  <c r="I412" i="5"/>
  <c r="F412" i="5"/>
  <c r="E412" i="5"/>
  <c r="R411" i="5"/>
  <c r="Q411" i="5"/>
  <c r="N411" i="5"/>
  <c r="M411" i="5"/>
  <c r="J411" i="5"/>
  <c r="I411" i="5"/>
  <c r="F411" i="5"/>
  <c r="E411" i="5"/>
  <c r="R410" i="5"/>
  <c r="Q410" i="5"/>
  <c r="N410" i="5"/>
  <c r="M410" i="5"/>
  <c r="J410" i="5"/>
  <c r="I410" i="5"/>
  <c r="F410" i="5"/>
  <c r="E410" i="5"/>
  <c r="R409" i="5"/>
  <c r="Q409" i="5"/>
  <c r="N409" i="5"/>
  <c r="M409" i="5"/>
  <c r="J409" i="5"/>
  <c r="I409" i="5"/>
  <c r="F409" i="5"/>
  <c r="E409" i="5"/>
  <c r="R408" i="5"/>
  <c r="Q408" i="5"/>
  <c r="N408" i="5"/>
  <c r="M408" i="5"/>
  <c r="J408" i="5"/>
  <c r="I408" i="5"/>
  <c r="F408" i="5"/>
  <c r="E408" i="5"/>
  <c r="R407" i="5"/>
  <c r="Q407" i="5"/>
  <c r="N407" i="5"/>
  <c r="M407" i="5"/>
  <c r="J407" i="5"/>
  <c r="I407" i="5"/>
  <c r="F407" i="5"/>
  <c r="E407" i="5"/>
  <c r="R406" i="5"/>
  <c r="Q406" i="5"/>
  <c r="N406" i="5"/>
  <c r="M406" i="5"/>
  <c r="J406" i="5"/>
  <c r="I406" i="5"/>
  <c r="F406" i="5"/>
  <c r="E406" i="5"/>
  <c r="R405" i="5"/>
  <c r="Q405" i="5"/>
  <c r="N405" i="5"/>
  <c r="M405" i="5"/>
  <c r="J405" i="5"/>
  <c r="I405" i="5"/>
  <c r="F405" i="5"/>
  <c r="E405" i="5"/>
  <c r="R404" i="5"/>
  <c r="Q404" i="5"/>
  <c r="N404" i="5"/>
  <c r="M404" i="5"/>
  <c r="J404" i="5"/>
  <c r="I404" i="5"/>
  <c r="F404" i="5"/>
  <c r="E404" i="5"/>
  <c r="R403" i="5"/>
  <c r="Q403" i="5"/>
  <c r="N403" i="5"/>
  <c r="M403" i="5"/>
  <c r="J403" i="5"/>
  <c r="I403" i="5"/>
  <c r="F403" i="5"/>
  <c r="E403" i="5"/>
  <c r="R402" i="5"/>
  <c r="Q402" i="5"/>
  <c r="N402" i="5"/>
  <c r="M402" i="5"/>
  <c r="J402" i="5"/>
  <c r="I402" i="5"/>
  <c r="F402" i="5"/>
  <c r="E402" i="5"/>
  <c r="R401" i="5"/>
  <c r="Q401" i="5"/>
  <c r="N401" i="5"/>
  <c r="M401" i="5"/>
  <c r="J401" i="5"/>
  <c r="I401" i="5"/>
  <c r="F401" i="5"/>
  <c r="E401" i="5"/>
  <c r="R400" i="5"/>
  <c r="Q400" i="5"/>
  <c r="N400" i="5"/>
  <c r="M400" i="5"/>
  <c r="J400" i="5"/>
  <c r="I400" i="5"/>
  <c r="F400" i="5"/>
  <c r="E400" i="5"/>
  <c r="R399" i="5"/>
  <c r="Q399" i="5"/>
  <c r="N399" i="5"/>
  <c r="M399" i="5"/>
  <c r="J399" i="5"/>
  <c r="I399" i="5"/>
  <c r="F399" i="5"/>
  <c r="E399" i="5"/>
  <c r="R398" i="5"/>
  <c r="Q398" i="5"/>
  <c r="N398" i="5"/>
  <c r="M398" i="5"/>
  <c r="J398" i="5"/>
  <c r="I398" i="5"/>
  <c r="F398" i="5"/>
  <c r="E398" i="5"/>
  <c r="R397" i="5"/>
  <c r="Q397" i="5"/>
  <c r="N397" i="5"/>
  <c r="M397" i="5"/>
  <c r="J397" i="5"/>
  <c r="I397" i="5"/>
  <c r="F397" i="5"/>
  <c r="E397" i="5"/>
  <c r="R396" i="5"/>
  <c r="Q396" i="5"/>
  <c r="N396" i="5"/>
  <c r="M396" i="5"/>
  <c r="J396" i="5"/>
  <c r="I396" i="5"/>
  <c r="F396" i="5"/>
  <c r="E396" i="5"/>
  <c r="R395" i="5"/>
  <c r="Q395" i="5"/>
  <c r="N395" i="5"/>
  <c r="M395" i="5"/>
  <c r="J395" i="5"/>
  <c r="I395" i="5"/>
  <c r="F395" i="5"/>
  <c r="E395" i="5"/>
  <c r="R394" i="5"/>
  <c r="Q394" i="5"/>
  <c r="N394" i="5"/>
  <c r="M394" i="5"/>
  <c r="J394" i="5"/>
  <c r="I394" i="5"/>
  <c r="F394" i="5"/>
  <c r="E394" i="5"/>
  <c r="R393" i="5"/>
  <c r="Q393" i="5"/>
  <c r="N393" i="5"/>
  <c r="M393" i="5"/>
  <c r="J393" i="5"/>
  <c r="I393" i="5"/>
  <c r="F393" i="5"/>
  <c r="E393" i="5"/>
  <c r="R392" i="5"/>
  <c r="Q392" i="5"/>
  <c r="N392" i="5"/>
  <c r="M392" i="5"/>
  <c r="J392" i="5"/>
  <c r="I392" i="5"/>
  <c r="F392" i="5"/>
  <c r="E392" i="5"/>
  <c r="R391" i="5"/>
  <c r="Q391" i="5"/>
  <c r="N391" i="5"/>
  <c r="M391" i="5"/>
  <c r="J391" i="5"/>
  <c r="I391" i="5"/>
  <c r="F391" i="5"/>
  <c r="E391" i="5"/>
  <c r="R390" i="5"/>
  <c r="Q390" i="5"/>
  <c r="N390" i="5"/>
  <c r="M390" i="5"/>
  <c r="J390" i="5"/>
  <c r="I390" i="5"/>
  <c r="F390" i="5"/>
  <c r="E390" i="5"/>
  <c r="R389" i="5"/>
  <c r="Q389" i="5"/>
  <c r="N389" i="5"/>
  <c r="M389" i="5"/>
  <c r="J389" i="5"/>
  <c r="I389" i="5"/>
  <c r="F389" i="5"/>
  <c r="E389" i="5"/>
  <c r="R388" i="5"/>
  <c r="Q388" i="5"/>
  <c r="N388" i="5"/>
  <c r="M388" i="5"/>
  <c r="J388" i="5"/>
  <c r="I388" i="5"/>
  <c r="F388" i="5"/>
  <c r="E388" i="5"/>
  <c r="R387" i="5"/>
  <c r="Q387" i="5"/>
  <c r="N387" i="5"/>
  <c r="M387" i="5"/>
  <c r="J387" i="5"/>
  <c r="I387" i="5"/>
  <c r="F387" i="5"/>
  <c r="E387" i="5"/>
  <c r="R386" i="5"/>
  <c r="Q386" i="5"/>
  <c r="N386" i="5"/>
  <c r="M386" i="5"/>
  <c r="J386" i="5"/>
  <c r="I386" i="5"/>
  <c r="F386" i="5"/>
  <c r="E386" i="5"/>
  <c r="R385" i="5"/>
  <c r="Q385" i="5"/>
  <c r="N385" i="5"/>
  <c r="M385" i="5"/>
  <c r="J385" i="5"/>
  <c r="I385" i="5"/>
  <c r="F385" i="5"/>
  <c r="E385" i="5"/>
  <c r="R384" i="5"/>
  <c r="Q384" i="5"/>
  <c r="N384" i="5"/>
  <c r="M384" i="5"/>
  <c r="J384" i="5"/>
  <c r="I384" i="5"/>
  <c r="F384" i="5"/>
  <c r="E384" i="5"/>
  <c r="R383" i="5"/>
  <c r="Q383" i="5"/>
  <c r="N383" i="5"/>
  <c r="M383" i="5"/>
  <c r="J383" i="5"/>
  <c r="I383" i="5"/>
  <c r="F383" i="5"/>
  <c r="E383" i="5"/>
  <c r="R382" i="5"/>
  <c r="Q382" i="5"/>
  <c r="N382" i="5"/>
  <c r="M382" i="5"/>
  <c r="J382" i="5"/>
  <c r="I382" i="5"/>
  <c r="F382" i="5"/>
  <c r="E382" i="5"/>
  <c r="R381" i="5"/>
  <c r="Q381" i="5"/>
  <c r="N381" i="5"/>
  <c r="M381" i="5"/>
  <c r="J381" i="5"/>
  <c r="I381" i="5"/>
  <c r="F381" i="5"/>
  <c r="E381" i="5"/>
  <c r="R380" i="5"/>
  <c r="Q380" i="5"/>
  <c r="N380" i="5"/>
  <c r="M380" i="5"/>
  <c r="J380" i="5"/>
  <c r="I380" i="5"/>
  <c r="F380" i="5"/>
  <c r="E380" i="5"/>
  <c r="R379" i="5"/>
  <c r="Q379" i="5"/>
  <c r="N379" i="5"/>
  <c r="M379" i="5"/>
  <c r="J379" i="5"/>
  <c r="I379" i="5"/>
  <c r="F379" i="5"/>
  <c r="E379" i="5"/>
  <c r="R378" i="5"/>
  <c r="Q378" i="5"/>
  <c r="N378" i="5"/>
  <c r="M378" i="5"/>
  <c r="J378" i="5"/>
  <c r="I378" i="5"/>
  <c r="F378" i="5"/>
  <c r="E378" i="5"/>
  <c r="R377" i="5"/>
  <c r="Q377" i="5"/>
  <c r="N377" i="5"/>
  <c r="M377" i="5"/>
  <c r="J377" i="5"/>
  <c r="I377" i="5"/>
  <c r="F377" i="5"/>
  <c r="E377" i="5"/>
  <c r="R376" i="5"/>
  <c r="Q376" i="5"/>
  <c r="N376" i="5"/>
  <c r="M376" i="5"/>
  <c r="J376" i="5"/>
  <c r="I376" i="5"/>
  <c r="F376" i="5"/>
  <c r="E376" i="5"/>
  <c r="R375" i="5"/>
  <c r="Q375" i="5"/>
  <c r="N375" i="5"/>
  <c r="M375" i="5"/>
  <c r="J375" i="5"/>
  <c r="I375" i="5"/>
  <c r="F375" i="5"/>
  <c r="E375" i="5"/>
  <c r="R374" i="5"/>
  <c r="Q374" i="5"/>
  <c r="N374" i="5"/>
  <c r="M374" i="5"/>
  <c r="J374" i="5"/>
  <c r="I374" i="5"/>
  <c r="F374" i="5"/>
  <c r="E374" i="5"/>
  <c r="R373" i="5"/>
  <c r="Q373" i="5"/>
  <c r="N373" i="5"/>
  <c r="M373" i="5"/>
  <c r="J373" i="5"/>
  <c r="I373" i="5"/>
  <c r="F373" i="5"/>
  <c r="E373" i="5"/>
  <c r="R372" i="5"/>
  <c r="Q372" i="5"/>
  <c r="N372" i="5"/>
  <c r="M372" i="5"/>
  <c r="J372" i="5"/>
  <c r="I372" i="5"/>
  <c r="F372" i="5"/>
  <c r="E372" i="5"/>
  <c r="R371" i="5"/>
  <c r="Q371" i="5"/>
  <c r="N371" i="5"/>
  <c r="M371" i="5"/>
  <c r="J371" i="5"/>
  <c r="I371" i="5"/>
  <c r="F371" i="5"/>
  <c r="E371" i="5"/>
  <c r="R370" i="5"/>
  <c r="Q370" i="5"/>
  <c r="N370" i="5"/>
  <c r="M370" i="5"/>
  <c r="J370" i="5"/>
  <c r="I370" i="5"/>
  <c r="F370" i="5"/>
  <c r="E370" i="5"/>
  <c r="R369" i="5"/>
  <c r="Q369" i="5"/>
  <c r="N369" i="5"/>
  <c r="M369" i="5"/>
  <c r="J369" i="5"/>
  <c r="I369" i="5"/>
  <c r="F369" i="5"/>
  <c r="E369" i="5"/>
  <c r="R368" i="5"/>
  <c r="Q368" i="5"/>
  <c r="N368" i="5"/>
  <c r="M368" i="5"/>
  <c r="J368" i="5"/>
  <c r="I368" i="5"/>
  <c r="F368" i="5"/>
  <c r="E368" i="5"/>
  <c r="R367" i="5"/>
  <c r="Q367" i="5"/>
  <c r="N367" i="5"/>
  <c r="M367" i="5"/>
  <c r="J367" i="5"/>
  <c r="I367" i="5"/>
  <c r="F367" i="5"/>
  <c r="E367" i="5"/>
  <c r="R366" i="5"/>
  <c r="Q366" i="5"/>
  <c r="N366" i="5"/>
  <c r="M366" i="5"/>
  <c r="J366" i="5"/>
  <c r="I366" i="5"/>
  <c r="F366" i="5"/>
  <c r="E366" i="5"/>
  <c r="R365" i="5"/>
  <c r="Q365" i="5"/>
  <c r="N365" i="5"/>
  <c r="M365" i="5"/>
  <c r="J365" i="5"/>
  <c r="I365" i="5"/>
  <c r="F365" i="5"/>
  <c r="E365" i="5"/>
  <c r="R364" i="5"/>
  <c r="Q364" i="5"/>
  <c r="N364" i="5"/>
  <c r="M364" i="5"/>
  <c r="J364" i="5"/>
  <c r="I364" i="5"/>
  <c r="F364" i="5"/>
  <c r="E364" i="5"/>
  <c r="R363" i="5"/>
  <c r="Q363" i="5"/>
  <c r="N363" i="5"/>
  <c r="M363" i="5"/>
  <c r="J363" i="5"/>
  <c r="I363" i="5"/>
  <c r="F363" i="5"/>
  <c r="E363" i="5"/>
  <c r="R362" i="5"/>
  <c r="Q362" i="5"/>
  <c r="N362" i="5"/>
  <c r="M362" i="5"/>
  <c r="J362" i="5"/>
  <c r="I362" i="5"/>
  <c r="F362" i="5"/>
  <c r="E362" i="5"/>
  <c r="R361" i="5"/>
  <c r="Q361" i="5"/>
  <c r="N361" i="5"/>
  <c r="M361" i="5"/>
  <c r="J361" i="5"/>
  <c r="I361" i="5"/>
  <c r="F361" i="5"/>
  <c r="E361" i="5"/>
  <c r="R360" i="5"/>
  <c r="Q360" i="5"/>
  <c r="N360" i="5"/>
  <c r="M360" i="5"/>
  <c r="J360" i="5"/>
  <c r="I360" i="5"/>
  <c r="F360" i="5"/>
  <c r="E360" i="5"/>
  <c r="R359" i="5"/>
  <c r="Q359" i="5"/>
  <c r="N359" i="5"/>
  <c r="M359" i="5"/>
  <c r="J359" i="5"/>
  <c r="I359" i="5"/>
  <c r="F359" i="5"/>
  <c r="E359" i="5"/>
  <c r="R358" i="5"/>
  <c r="Q358" i="5"/>
  <c r="N358" i="5"/>
  <c r="M358" i="5"/>
  <c r="J358" i="5"/>
  <c r="I358" i="5"/>
  <c r="F358" i="5"/>
  <c r="E358" i="5"/>
  <c r="R357" i="5"/>
  <c r="Q357" i="5"/>
  <c r="N357" i="5"/>
  <c r="M357" i="5"/>
  <c r="J357" i="5"/>
  <c r="I357" i="5"/>
  <c r="F357" i="5"/>
  <c r="E357" i="5"/>
  <c r="R356" i="5"/>
  <c r="Q356" i="5"/>
  <c r="N356" i="5"/>
  <c r="M356" i="5"/>
  <c r="J356" i="5"/>
  <c r="I356" i="5"/>
  <c r="F356" i="5"/>
  <c r="E356" i="5"/>
  <c r="R355" i="5"/>
  <c r="Q355" i="5"/>
  <c r="N355" i="5"/>
  <c r="M355" i="5"/>
  <c r="J355" i="5"/>
  <c r="I355" i="5"/>
  <c r="F355" i="5"/>
  <c r="E355" i="5"/>
  <c r="R354" i="5"/>
  <c r="Q354" i="5"/>
  <c r="N354" i="5"/>
  <c r="M354" i="5"/>
  <c r="J354" i="5"/>
  <c r="I354" i="5"/>
  <c r="F354" i="5"/>
  <c r="E354" i="5"/>
  <c r="R353" i="5"/>
  <c r="Q353" i="5"/>
  <c r="N353" i="5"/>
  <c r="M353" i="5"/>
  <c r="J353" i="5"/>
  <c r="I353" i="5"/>
  <c r="F353" i="5"/>
  <c r="E353" i="5"/>
  <c r="R352" i="5"/>
  <c r="Q352" i="5"/>
  <c r="N352" i="5"/>
  <c r="M352" i="5"/>
  <c r="J352" i="5"/>
  <c r="I352" i="5"/>
  <c r="F352" i="5"/>
  <c r="E352" i="5"/>
  <c r="R351" i="5"/>
  <c r="Q351" i="5"/>
  <c r="N351" i="5"/>
  <c r="M351" i="5"/>
  <c r="J351" i="5"/>
  <c r="I351" i="5"/>
  <c r="F351" i="5"/>
  <c r="E351" i="5"/>
  <c r="R350" i="5"/>
  <c r="Q350" i="5"/>
  <c r="N350" i="5"/>
  <c r="M350" i="5"/>
  <c r="J350" i="5"/>
  <c r="I350" i="5"/>
  <c r="F350" i="5"/>
  <c r="E350" i="5"/>
  <c r="R349" i="5"/>
  <c r="Q349" i="5"/>
  <c r="N349" i="5"/>
  <c r="M349" i="5"/>
  <c r="J349" i="5"/>
  <c r="I349" i="5"/>
  <c r="F349" i="5"/>
  <c r="E349" i="5"/>
  <c r="R348" i="5"/>
  <c r="Q348" i="5"/>
  <c r="N348" i="5"/>
  <c r="M348" i="5"/>
  <c r="J348" i="5"/>
  <c r="I348" i="5"/>
  <c r="F348" i="5"/>
  <c r="E348" i="5"/>
  <c r="R347" i="5"/>
  <c r="Q347" i="5"/>
  <c r="N347" i="5"/>
  <c r="M347" i="5"/>
  <c r="J347" i="5"/>
  <c r="I347" i="5"/>
  <c r="F347" i="5"/>
  <c r="E347" i="5"/>
  <c r="R346" i="5"/>
  <c r="Q346" i="5"/>
  <c r="N346" i="5"/>
  <c r="M346" i="5"/>
  <c r="J346" i="5"/>
  <c r="I346" i="5"/>
  <c r="F346" i="5"/>
  <c r="E346" i="5"/>
  <c r="R345" i="5"/>
  <c r="Q345" i="5"/>
  <c r="N345" i="5"/>
  <c r="M345" i="5"/>
  <c r="J345" i="5"/>
  <c r="I345" i="5"/>
  <c r="F345" i="5"/>
  <c r="E345" i="5"/>
  <c r="R344" i="5"/>
  <c r="Q344" i="5"/>
  <c r="N344" i="5"/>
  <c r="M344" i="5"/>
  <c r="J344" i="5"/>
  <c r="I344" i="5"/>
  <c r="F344" i="5"/>
  <c r="E344" i="5"/>
  <c r="R343" i="5"/>
  <c r="Q343" i="5"/>
  <c r="N343" i="5"/>
  <c r="M343" i="5"/>
  <c r="J343" i="5"/>
  <c r="I343" i="5"/>
  <c r="F343" i="5"/>
  <c r="E343" i="5"/>
  <c r="R342" i="5"/>
  <c r="Q342" i="5"/>
  <c r="N342" i="5"/>
  <c r="M342" i="5"/>
  <c r="J342" i="5"/>
  <c r="I342" i="5"/>
  <c r="F342" i="5"/>
  <c r="E342" i="5"/>
  <c r="R341" i="5"/>
  <c r="Q341" i="5"/>
  <c r="N341" i="5"/>
  <c r="M341" i="5"/>
  <c r="J341" i="5"/>
  <c r="I341" i="5"/>
  <c r="F341" i="5"/>
  <c r="E341" i="5"/>
  <c r="R340" i="5"/>
  <c r="Q340" i="5"/>
  <c r="N340" i="5"/>
  <c r="M340" i="5"/>
  <c r="J340" i="5"/>
  <c r="I340" i="5"/>
  <c r="F340" i="5"/>
  <c r="E340" i="5"/>
  <c r="R339" i="5"/>
  <c r="Q339" i="5"/>
  <c r="N339" i="5"/>
  <c r="M339" i="5"/>
  <c r="J339" i="5"/>
  <c r="I339" i="5"/>
  <c r="F339" i="5"/>
  <c r="E339" i="5"/>
  <c r="R338" i="5"/>
  <c r="Q338" i="5"/>
  <c r="N338" i="5"/>
  <c r="M338" i="5"/>
  <c r="J338" i="5"/>
  <c r="I338" i="5"/>
  <c r="F338" i="5"/>
  <c r="E338" i="5"/>
  <c r="R337" i="5"/>
  <c r="Q337" i="5"/>
  <c r="N337" i="5"/>
  <c r="M337" i="5"/>
  <c r="J337" i="5"/>
  <c r="I337" i="5"/>
  <c r="F337" i="5"/>
  <c r="E337" i="5"/>
  <c r="R336" i="5"/>
  <c r="Q336" i="5"/>
  <c r="N336" i="5"/>
  <c r="M336" i="5"/>
  <c r="J336" i="5"/>
  <c r="I336" i="5"/>
  <c r="F336" i="5"/>
  <c r="E336" i="5"/>
  <c r="R335" i="5"/>
  <c r="Q335" i="5"/>
  <c r="N335" i="5"/>
  <c r="M335" i="5"/>
  <c r="J335" i="5"/>
  <c r="I335" i="5"/>
  <c r="F335" i="5"/>
  <c r="E335" i="5"/>
  <c r="R334" i="5"/>
  <c r="Q334" i="5"/>
  <c r="N334" i="5"/>
  <c r="M334" i="5"/>
  <c r="J334" i="5"/>
  <c r="I334" i="5"/>
  <c r="F334" i="5"/>
  <c r="E334" i="5"/>
  <c r="R333" i="5"/>
  <c r="Q333" i="5"/>
  <c r="N333" i="5"/>
  <c r="M333" i="5"/>
  <c r="J333" i="5"/>
  <c r="I333" i="5"/>
  <c r="F333" i="5"/>
  <c r="E333" i="5"/>
  <c r="R332" i="5"/>
  <c r="Q332" i="5"/>
  <c r="N332" i="5"/>
  <c r="M332" i="5"/>
  <c r="J332" i="5"/>
  <c r="I332" i="5"/>
  <c r="F332" i="5"/>
  <c r="E332" i="5"/>
  <c r="R331" i="5"/>
  <c r="Q331" i="5"/>
  <c r="N331" i="5"/>
  <c r="M331" i="5"/>
  <c r="J331" i="5"/>
  <c r="I331" i="5"/>
  <c r="F331" i="5"/>
  <c r="E331" i="5"/>
  <c r="R330" i="5"/>
  <c r="Q330" i="5"/>
  <c r="N330" i="5"/>
  <c r="M330" i="5"/>
  <c r="J330" i="5"/>
  <c r="I330" i="5"/>
  <c r="F330" i="5"/>
  <c r="E330" i="5"/>
  <c r="R329" i="5"/>
  <c r="Q329" i="5"/>
  <c r="N329" i="5"/>
  <c r="M329" i="5"/>
  <c r="J329" i="5"/>
  <c r="I329" i="5"/>
  <c r="F329" i="5"/>
  <c r="E329" i="5"/>
  <c r="R328" i="5"/>
  <c r="Q328" i="5"/>
  <c r="N328" i="5"/>
  <c r="M328" i="5"/>
  <c r="J328" i="5"/>
  <c r="I328" i="5"/>
  <c r="F328" i="5"/>
  <c r="E328" i="5"/>
  <c r="R327" i="5"/>
  <c r="Q327" i="5"/>
  <c r="N327" i="5"/>
  <c r="M327" i="5"/>
  <c r="J327" i="5"/>
  <c r="I327" i="5"/>
  <c r="F327" i="5"/>
  <c r="E327" i="5"/>
  <c r="R326" i="5"/>
  <c r="Q326" i="5"/>
  <c r="N326" i="5"/>
  <c r="M326" i="5"/>
  <c r="J326" i="5"/>
  <c r="I326" i="5"/>
  <c r="F326" i="5"/>
  <c r="E326" i="5"/>
  <c r="R325" i="5"/>
  <c r="Q325" i="5"/>
  <c r="N325" i="5"/>
  <c r="M325" i="5"/>
  <c r="J325" i="5"/>
  <c r="I325" i="5"/>
  <c r="F325" i="5"/>
  <c r="E325" i="5"/>
  <c r="R324" i="5"/>
  <c r="Q324" i="5"/>
  <c r="N324" i="5"/>
  <c r="M324" i="5"/>
  <c r="J324" i="5"/>
  <c r="I324" i="5"/>
  <c r="F324" i="5"/>
  <c r="E324" i="5"/>
  <c r="R323" i="5"/>
  <c r="Q323" i="5"/>
  <c r="N323" i="5"/>
  <c r="M323" i="5"/>
  <c r="J323" i="5"/>
  <c r="I323" i="5"/>
  <c r="F323" i="5"/>
  <c r="E323" i="5"/>
  <c r="R322" i="5"/>
  <c r="Q322" i="5"/>
  <c r="N322" i="5"/>
  <c r="M322" i="5"/>
  <c r="J322" i="5"/>
  <c r="I322" i="5"/>
  <c r="F322" i="5"/>
  <c r="E322" i="5"/>
  <c r="R321" i="5"/>
  <c r="Q321" i="5"/>
  <c r="N321" i="5"/>
  <c r="M321" i="5"/>
  <c r="J321" i="5"/>
  <c r="I321" i="5"/>
  <c r="F321" i="5"/>
  <c r="E321" i="5"/>
  <c r="R320" i="5"/>
  <c r="Q320" i="5"/>
  <c r="N320" i="5"/>
  <c r="M320" i="5"/>
  <c r="J320" i="5"/>
  <c r="I320" i="5"/>
  <c r="F320" i="5"/>
  <c r="E320" i="5"/>
  <c r="R319" i="5"/>
  <c r="Q319" i="5"/>
  <c r="N319" i="5"/>
  <c r="M319" i="5"/>
  <c r="J319" i="5"/>
  <c r="I319" i="5"/>
  <c r="F319" i="5"/>
  <c r="E319" i="5"/>
  <c r="R318" i="5"/>
  <c r="Q318" i="5"/>
  <c r="N318" i="5"/>
  <c r="M318" i="5"/>
  <c r="J318" i="5"/>
  <c r="I318" i="5"/>
  <c r="F318" i="5"/>
  <c r="E318" i="5"/>
  <c r="R317" i="5"/>
  <c r="Q317" i="5"/>
  <c r="N317" i="5"/>
  <c r="M317" i="5"/>
  <c r="J317" i="5"/>
  <c r="I317" i="5"/>
  <c r="F317" i="5"/>
  <c r="E317" i="5"/>
  <c r="R316" i="5"/>
  <c r="Q316" i="5"/>
  <c r="N316" i="5"/>
  <c r="M316" i="5"/>
  <c r="J316" i="5"/>
  <c r="I316" i="5"/>
  <c r="F316" i="5"/>
  <c r="E316" i="5"/>
  <c r="R315" i="5"/>
  <c r="Q315" i="5"/>
  <c r="N315" i="5"/>
  <c r="M315" i="5"/>
  <c r="J315" i="5"/>
  <c r="I315" i="5"/>
  <c r="F315" i="5"/>
  <c r="E315" i="5"/>
  <c r="R314" i="5"/>
  <c r="Q314" i="5"/>
  <c r="N314" i="5"/>
  <c r="M314" i="5"/>
  <c r="J314" i="5"/>
  <c r="I314" i="5"/>
  <c r="F314" i="5"/>
  <c r="E314" i="5"/>
  <c r="R313" i="5"/>
  <c r="Q313" i="5"/>
  <c r="N313" i="5"/>
  <c r="M313" i="5"/>
  <c r="J313" i="5"/>
  <c r="I313" i="5"/>
  <c r="F313" i="5"/>
  <c r="E313" i="5"/>
  <c r="R312" i="5"/>
  <c r="Q312" i="5"/>
  <c r="N312" i="5"/>
  <c r="M312" i="5"/>
  <c r="J312" i="5"/>
  <c r="I312" i="5"/>
  <c r="F312" i="5"/>
  <c r="E312" i="5"/>
  <c r="R311" i="5"/>
  <c r="Q311" i="5"/>
  <c r="N311" i="5"/>
  <c r="M311" i="5"/>
  <c r="J311" i="5"/>
  <c r="I311" i="5"/>
  <c r="F311" i="5"/>
  <c r="E311" i="5"/>
  <c r="R310" i="5"/>
  <c r="Q310" i="5"/>
  <c r="N310" i="5"/>
  <c r="M310" i="5"/>
  <c r="J310" i="5"/>
  <c r="I310" i="5"/>
  <c r="F310" i="5"/>
  <c r="E310" i="5"/>
  <c r="R309" i="5"/>
  <c r="Q309" i="5"/>
  <c r="N309" i="5"/>
  <c r="M309" i="5"/>
  <c r="J309" i="5"/>
  <c r="I309" i="5"/>
  <c r="F309" i="5"/>
  <c r="E309" i="5"/>
  <c r="R308" i="5"/>
  <c r="Q308" i="5"/>
  <c r="N308" i="5"/>
  <c r="M308" i="5"/>
  <c r="J308" i="5"/>
  <c r="I308" i="5"/>
  <c r="F308" i="5"/>
  <c r="E308" i="5"/>
  <c r="R307" i="5"/>
  <c r="Q307" i="5"/>
  <c r="N307" i="5"/>
  <c r="M307" i="5"/>
  <c r="J307" i="5"/>
  <c r="I307" i="5"/>
  <c r="F307" i="5"/>
  <c r="E307" i="5"/>
  <c r="R306" i="5"/>
  <c r="Q306" i="5"/>
  <c r="N306" i="5"/>
  <c r="M306" i="5"/>
  <c r="J306" i="5"/>
  <c r="I306" i="5"/>
  <c r="F306" i="5"/>
  <c r="E306" i="5"/>
  <c r="R305" i="5"/>
  <c r="Q305" i="5"/>
  <c r="N305" i="5"/>
  <c r="M305" i="5"/>
  <c r="J305" i="5"/>
  <c r="I305" i="5"/>
  <c r="F305" i="5"/>
  <c r="E305" i="5"/>
  <c r="R304" i="5"/>
  <c r="Q304" i="5"/>
  <c r="N304" i="5"/>
  <c r="M304" i="5"/>
  <c r="J304" i="5"/>
  <c r="I304" i="5"/>
  <c r="F304" i="5"/>
  <c r="E304" i="5"/>
  <c r="R303" i="5"/>
  <c r="Q303" i="5"/>
  <c r="N303" i="5"/>
  <c r="M303" i="5"/>
  <c r="J303" i="5"/>
  <c r="I303" i="5"/>
  <c r="F303" i="5"/>
  <c r="E303" i="5"/>
  <c r="R302" i="5"/>
  <c r="Q302" i="5"/>
  <c r="N302" i="5"/>
  <c r="M302" i="5"/>
  <c r="J302" i="5"/>
  <c r="I302" i="5"/>
  <c r="F302" i="5"/>
  <c r="E302" i="5"/>
  <c r="R301" i="5"/>
  <c r="Q301" i="5"/>
  <c r="N301" i="5"/>
  <c r="M301" i="5"/>
  <c r="J301" i="5"/>
  <c r="I301" i="5"/>
  <c r="F301" i="5"/>
  <c r="E301" i="5"/>
  <c r="R300" i="5"/>
  <c r="Q300" i="5"/>
  <c r="N300" i="5"/>
  <c r="M300" i="5"/>
  <c r="J300" i="5"/>
  <c r="I300" i="5"/>
  <c r="F300" i="5"/>
  <c r="E300" i="5"/>
  <c r="R299" i="5"/>
  <c r="Q299" i="5"/>
  <c r="N299" i="5"/>
  <c r="M299" i="5"/>
  <c r="J299" i="5"/>
  <c r="I299" i="5"/>
  <c r="F299" i="5"/>
  <c r="E299" i="5"/>
  <c r="R298" i="5"/>
  <c r="Q298" i="5"/>
  <c r="N298" i="5"/>
  <c r="M298" i="5"/>
  <c r="J298" i="5"/>
  <c r="I298" i="5"/>
  <c r="F298" i="5"/>
  <c r="E298" i="5"/>
  <c r="R297" i="5"/>
  <c r="Q297" i="5"/>
  <c r="N297" i="5"/>
  <c r="M297" i="5"/>
  <c r="J297" i="5"/>
  <c r="I297" i="5"/>
  <c r="F297" i="5"/>
  <c r="E297" i="5"/>
  <c r="R296" i="5"/>
  <c r="Q296" i="5"/>
  <c r="N296" i="5"/>
  <c r="M296" i="5"/>
  <c r="J296" i="5"/>
  <c r="I296" i="5"/>
  <c r="F296" i="5"/>
  <c r="E296" i="5"/>
  <c r="R295" i="5"/>
  <c r="Q295" i="5"/>
  <c r="N295" i="5"/>
  <c r="M295" i="5"/>
  <c r="J295" i="5"/>
  <c r="I295" i="5"/>
  <c r="F295" i="5"/>
  <c r="E295" i="5"/>
  <c r="R294" i="5"/>
  <c r="Q294" i="5"/>
  <c r="N294" i="5"/>
  <c r="M294" i="5"/>
  <c r="J294" i="5"/>
  <c r="I294" i="5"/>
  <c r="F294" i="5"/>
  <c r="E294" i="5"/>
  <c r="R293" i="5"/>
  <c r="Q293" i="5"/>
  <c r="N293" i="5"/>
  <c r="M293" i="5"/>
  <c r="J293" i="5"/>
  <c r="I293" i="5"/>
  <c r="F293" i="5"/>
  <c r="E293" i="5"/>
  <c r="R292" i="5"/>
  <c r="Q292" i="5"/>
  <c r="N292" i="5"/>
  <c r="M292" i="5"/>
  <c r="J292" i="5"/>
  <c r="I292" i="5"/>
  <c r="F292" i="5"/>
  <c r="E292" i="5"/>
  <c r="R291" i="5"/>
  <c r="Q291" i="5"/>
  <c r="N291" i="5"/>
  <c r="M291" i="5"/>
  <c r="J291" i="5"/>
  <c r="I291" i="5"/>
  <c r="F291" i="5"/>
  <c r="E291" i="5"/>
  <c r="R290" i="5"/>
  <c r="Q290" i="5"/>
  <c r="N290" i="5"/>
  <c r="M290" i="5"/>
  <c r="J290" i="5"/>
  <c r="I290" i="5"/>
  <c r="F290" i="5"/>
  <c r="E290" i="5"/>
  <c r="R289" i="5"/>
  <c r="Q289" i="5"/>
  <c r="N289" i="5"/>
  <c r="M289" i="5"/>
  <c r="J289" i="5"/>
  <c r="I289" i="5"/>
  <c r="F289" i="5"/>
  <c r="E289" i="5"/>
  <c r="R288" i="5"/>
  <c r="Q288" i="5"/>
  <c r="N288" i="5"/>
  <c r="M288" i="5"/>
  <c r="J288" i="5"/>
  <c r="I288" i="5"/>
  <c r="F288" i="5"/>
  <c r="E288" i="5"/>
  <c r="R287" i="5"/>
  <c r="Q287" i="5"/>
  <c r="N287" i="5"/>
  <c r="M287" i="5"/>
  <c r="J287" i="5"/>
  <c r="I287" i="5"/>
  <c r="F287" i="5"/>
  <c r="E287" i="5"/>
  <c r="R286" i="5"/>
  <c r="Q286" i="5"/>
  <c r="N286" i="5"/>
  <c r="M286" i="5"/>
  <c r="J286" i="5"/>
  <c r="I286" i="5"/>
  <c r="F286" i="5"/>
  <c r="E286" i="5"/>
  <c r="R285" i="5"/>
  <c r="Q285" i="5"/>
  <c r="N285" i="5"/>
  <c r="M285" i="5"/>
  <c r="J285" i="5"/>
  <c r="I285" i="5"/>
  <c r="F285" i="5"/>
  <c r="E285" i="5"/>
  <c r="R284" i="5"/>
  <c r="Q284" i="5"/>
  <c r="N284" i="5"/>
  <c r="M284" i="5"/>
  <c r="J284" i="5"/>
  <c r="I284" i="5"/>
  <c r="F284" i="5"/>
  <c r="E284" i="5"/>
  <c r="R283" i="5"/>
  <c r="Q283" i="5"/>
  <c r="N283" i="5"/>
  <c r="M283" i="5"/>
  <c r="J283" i="5"/>
  <c r="I283" i="5"/>
  <c r="F283" i="5"/>
  <c r="E283" i="5"/>
  <c r="R282" i="5"/>
  <c r="Q282" i="5"/>
  <c r="N282" i="5"/>
  <c r="M282" i="5"/>
  <c r="J282" i="5"/>
  <c r="I282" i="5"/>
  <c r="F282" i="5"/>
  <c r="E282" i="5"/>
  <c r="R281" i="5"/>
  <c r="Q281" i="5"/>
  <c r="N281" i="5"/>
  <c r="M281" i="5"/>
  <c r="J281" i="5"/>
  <c r="I281" i="5"/>
  <c r="F281" i="5"/>
  <c r="E281" i="5"/>
  <c r="R280" i="5"/>
  <c r="Q280" i="5"/>
  <c r="N280" i="5"/>
  <c r="M280" i="5"/>
  <c r="J280" i="5"/>
  <c r="I280" i="5"/>
  <c r="F280" i="5"/>
  <c r="E280" i="5"/>
  <c r="R279" i="5"/>
  <c r="Q279" i="5"/>
  <c r="N279" i="5"/>
  <c r="M279" i="5"/>
  <c r="J279" i="5"/>
  <c r="I279" i="5"/>
  <c r="F279" i="5"/>
  <c r="E279" i="5"/>
  <c r="R278" i="5"/>
  <c r="Q278" i="5"/>
  <c r="N278" i="5"/>
  <c r="M278" i="5"/>
  <c r="J278" i="5"/>
  <c r="I278" i="5"/>
  <c r="F278" i="5"/>
  <c r="E278" i="5"/>
  <c r="R277" i="5"/>
  <c r="Q277" i="5"/>
  <c r="N277" i="5"/>
  <c r="M277" i="5"/>
  <c r="J277" i="5"/>
  <c r="I277" i="5"/>
  <c r="F277" i="5"/>
  <c r="E277" i="5"/>
  <c r="R276" i="5"/>
  <c r="Q276" i="5"/>
  <c r="N276" i="5"/>
  <c r="M276" i="5"/>
  <c r="J276" i="5"/>
  <c r="I276" i="5"/>
  <c r="F276" i="5"/>
  <c r="E276" i="5"/>
  <c r="R275" i="5"/>
  <c r="Q275" i="5"/>
  <c r="N275" i="5"/>
  <c r="M275" i="5"/>
  <c r="J275" i="5"/>
  <c r="I275" i="5"/>
  <c r="F275" i="5"/>
  <c r="E275" i="5"/>
  <c r="R274" i="5"/>
  <c r="Q274" i="5"/>
  <c r="N274" i="5"/>
  <c r="M274" i="5"/>
  <c r="J274" i="5"/>
  <c r="I274" i="5"/>
  <c r="F274" i="5"/>
  <c r="E274" i="5"/>
  <c r="R273" i="5"/>
  <c r="Q273" i="5"/>
  <c r="N273" i="5"/>
  <c r="M273" i="5"/>
  <c r="J273" i="5"/>
  <c r="I273" i="5"/>
  <c r="F273" i="5"/>
  <c r="E273" i="5"/>
  <c r="R272" i="5"/>
  <c r="Q272" i="5"/>
  <c r="N272" i="5"/>
  <c r="M272" i="5"/>
  <c r="J272" i="5"/>
  <c r="I272" i="5"/>
  <c r="F272" i="5"/>
  <c r="E272" i="5"/>
  <c r="R271" i="5"/>
  <c r="Q271" i="5"/>
  <c r="N271" i="5"/>
  <c r="M271" i="5"/>
  <c r="J271" i="5"/>
  <c r="I271" i="5"/>
  <c r="F271" i="5"/>
  <c r="E271" i="5"/>
  <c r="R270" i="5"/>
  <c r="Q270" i="5"/>
  <c r="N270" i="5"/>
  <c r="M270" i="5"/>
  <c r="J270" i="5"/>
  <c r="I270" i="5"/>
  <c r="F270" i="5"/>
  <c r="E270" i="5"/>
  <c r="R269" i="5"/>
  <c r="Q269" i="5"/>
  <c r="N269" i="5"/>
  <c r="M269" i="5"/>
  <c r="J269" i="5"/>
  <c r="I269" i="5"/>
  <c r="F269" i="5"/>
  <c r="E269" i="5"/>
  <c r="R268" i="5"/>
  <c r="Q268" i="5"/>
  <c r="N268" i="5"/>
  <c r="M268" i="5"/>
  <c r="J268" i="5"/>
  <c r="I268" i="5"/>
  <c r="F268" i="5"/>
  <c r="E268" i="5"/>
  <c r="R267" i="5"/>
  <c r="Q267" i="5"/>
  <c r="N267" i="5"/>
  <c r="M267" i="5"/>
  <c r="J267" i="5"/>
  <c r="I267" i="5"/>
  <c r="F267" i="5"/>
  <c r="E267" i="5"/>
  <c r="R266" i="5"/>
  <c r="Q266" i="5"/>
  <c r="N266" i="5"/>
  <c r="M266" i="5"/>
  <c r="J266" i="5"/>
  <c r="I266" i="5"/>
  <c r="F266" i="5"/>
  <c r="E266" i="5"/>
  <c r="R265" i="5"/>
  <c r="Q265" i="5"/>
  <c r="N265" i="5"/>
  <c r="M265" i="5"/>
  <c r="J265" i="5"/>
  <c r="I265" i="5"/>
  <c r="F265" i="5"/>
  <c r="E265" i="5"/>
  <c r="R264" i="5"/>
  <c r="Q264" i="5"/>
  <c r="N264" i="5"/>
  <c r="M264" i="5"/>
  <c r="J264" i="5"/>
  <c r="I264" i="5"/>
  <c r="F264" i="5"/>
  <c r="E264" i="5"/>
  <c r="R263" i="5"/>
  <c r="Q263" i="5"/>
  <c r="N263" i="5"/>
  <c r="M263" i="5"/>
  <c r="J263" i="5"/>
  <c r="I263" i="5"/>
  <c r="F263" i="5"/>
  <c r="E263" i="5"/>
  <c r="R262" i="5"/>
  <c r="Q262" i="5"/>
  <c r="N262" i="5"/>
  <c r="M262" i="5"/>
  <c r="J262" i="5"/>
  <c r="I262" i="5"/>
  <c r="F262" i="5"/>
  <c r="E262" i="5"/>
  <c r="R261" i="5"/>
  <c r="Q261" i="5"/>
  <c r="N261" i="5"/>
  <c r="M261" i="5"/>
  <c r="J261" i="5"/>
  <c r="I261" i="5"/>
  <c r="F261" i="5"/>
  <c r="E261" i="5"/>
  <c r="R260" i="5"/>
  <c r="Q260" i="5"/>
  <c r="N260" i="5"/>
  <c r="M260" i="5"/>
  <c r="J260" i="5"/>
  <c r="I260" i="5"/>
  <c r="F260" i="5"/>
  <c r="E260" i="5"/>
  <c r="R259" i="5"/>
  <c r="Q259" i="5"/>
  <c r="N259" i="5"/>
  <c r="M259" i="5"/>
  <c r="J259" i="5"/>
  <c r="I259" i="5"/>
  <c r="F259" i="5"/>
  <c r="E259" i="5"/>
  <c r="R258" i="5"/>
  <c r="Q258" i="5"/>
  <c r="N258" i="5"/>
  <c r="M258" i="5"/>
  <c r="J258" i="5"/>
  <c r="I258" i="5"/>
  <c r="F258" i="5"/>
  <c r="E258" i="5"/>
  <c r="R257" i="5"/>
  <c r="Q257" i="5"/>
  <c r="N257" i="5"/>
  <c r="M257" i="5"/>
  <c r="J257" i="5"/>
  <c r="I257" i="5"/>
  <c r="F257" i="5"/>
  <c r="E257" i="5"/>
  <c r="R256" i="5"/>
  <c r="Q256" i="5"/>
  <c r="N256" i="5"/>
  <c r="M256" i="5"/>
  <c r="J256" i="5"/>
  <c r="I256" i="5"/>
  <c r="F256" i="5"/>
  <c r="E256" i="5"/>
  <c r="R255" i="5"/>
  <c r="Q255" i="5"/>
  <c r="N255" i="5"/>
  <c r="M255" i="5"/>
  <c r="J255" i="5"/>
  <c r="I255" i="5"/>
  <c r="F255" i="5"/>
  <c r="E255" i="5"/>
  <c r="R254" i="5"/>
  <c r="Q254" i="5"/>
  <c r="N254" i="5"/>
  <c r="M254" i="5"/>
  <c r="J254" i="5"/>
  <c r="I254" i="5"/>
  <c r="F254" i="5"/>
  <c r="E254" i="5"/>
  <c r="R253" i="5"/>
  <c r="Q253" i="5"/>
  <c r="N253" i="5"/>
  <c r="M253" i="5"/>
  <c r="J253" i="5"/>
  <c r="I253" i="5"/>
  <c r="F253" i="5"/>
  <c r="E253" i="5"/>
  <c r="R252" i="5"/>
  <c r="Q252" i="5"/>
  <c r="N252" i="5"/>
  <c r="M252" i="5"/>
  <c r="J252" i="5"/>
  <c r="I252" i="5"/>
  <c r="F252" i="5"/>
  <c r="E252" i="5"/>
  <c r="R251" i="5"/>
  <c r="Q251" i="5"/>
  <c r="N251" i="5"/>
  <c r="M251" i="5"/>
  <c r="J251" i="5"/>
  <c r="I251" i="5"/>
  <c r="F251" i="5"/>
  <c r="E251" i="5"/>
  <c r="R250" i="5"/>
  <c r="Q250" i="5"/>
  <c r="N250" i="5"/>
  <c r="M250" i="5"/>
  <c r="J250" i="5"/>
  <c r="I250" i="5"/>
  <c r="F250" i="5"/>
  <c r="E250" i="5"/>
  <c r="R249" i="5"/>
  <c r="Q249" i="5"/>
  <c r="N249" i="5"/>
  <c r="M249" i="5"/>
  <c r="J249" i="5"/>
  <c r="I249" i="5"/>
  <c r="F249" i="5"/>
  <c r="E249" i="5"/>
  <c r="R248" i="5"/>
  <c r="Q248" i="5"/>
  <c r="N248" i="5"/>
  <c r="M248" i="5"/>
  <c r="J248" i="5"/>
  <c r="I248" i="5"/>
  <c r="F248" i="5"/>
  <c r="E248" i="5"/>
  <c r="R247" i="5"/>
  <c r="Q247" i="5"/>
  <c r="N247" i="5"/>
  <c r="M247" i="5"/>
  <c r="J247" i="5"/>
  <c r="I247" i="5"/>
  <c r="F247" i="5"/>
  <c r="E247" i="5"/>
  <c r="R246" i="5"/>
  <c r="Q246" i="5"/>
  <c r="N246" i="5"/>
  <c r="M246" i="5"/>
  <c r="J246" i="5"/>
  <c r="I246" i="5"/>
  <c r="F246" i="5"/>
  <c r="E246" i="5"/>
  <c r="R245" i="5"/>
  <c r="Q245" i="5"/>
  <c r="N245" i="5"/>
  <c r="M245" i="5"/>
  <c r="J245" i="5"/>
  <c r="I245" i="5"/>
  <c r="F245" i="5"/>
  <c r="E245" i="5"/>
  <c r="R244" i="5"/>
  <c r="Q244" i="5"/>
  <c r="N244" i="5"/>
  <c r="M244" i="5"/>
  <c r="J244" i="5"/>
  <c r="I244" i="5"/>
  <c r="F244" i="5"/>
  <c r="E244" i="5"/>
  <c r="R243" i="5"/>
  <c r="Q243" i="5"/>
  <c r="N243" i="5"/>
  <c r="M243" i="5"/>
  <c r="J243" i="5"/>
  <c r="I243" i="5"/>
  <c r="F243" i="5"/>
  <c r="E243" i="5"/>
  <c r="R242" i="5"/>
  <c r="Q242" i="5"/>
  <c r="N242" i="5"/>
  <c r="M242" i="5"/>
  <c r="J242" i="5"/>
  <c r="I242" i="5"/>
  <c r="F242" i="5"/>
  <c r="E242" i="5"/>
  <c r="R241" i="5"/>
  <c r="Q241" i="5"/>
  <c r="N241" i="5"/>
  <c r="M241" i="5"/>
  <c r="J241" i="5"/>
  <c r="I241" i="5"/>
  <c r="F241" i="5"/>
  <c r="E241" i="5"/>
  <c r="R240" i="5"/>
  <c r="Q240" i="5"/>
  <c r="N240" i="5"/>
  <c r="M240" i="5"/>
  <c r="J240" i="5"/>
  <c r="I240" i="5"/>
  <c r="F240" i="5"/>
  <c r="E240" i="5"/>
  <c r="R239" i="5"/>
  <c r="Q239" i="5"/>
  <c r="N239" i="5"/>
  <c r="M239" i="5"/>
  <c r="J239" i="5"/>
  <c r="I239" i="5"/>
  <c r="F239" i="5"/>
  <c r="E239" i="5"/>
  <c r="W229" i="5"/>
  <c r="V229" i="5"/>
  <c r="U229" i="5"/>
  <c r="T229" i="5"/>
  <c r="S229" i="5"/>
  <c r="P229" i="5"/>
  <c r="O229" i="5"/>
  <c r="R229" i="5" s="1"/>
  <c r="N229" i="5"/>
  <c r="M229" i="5"/>
  <c r="L229" i="5"/>
  <c r="K229" i="5"/>
  <c r="H229" i="5"/>
  <c r="G229" i="5"/>
  <c r="J229" i="5" s="1"/>
  <c r="D229" i="5"/>
  <c r="C229" i="5"/>
  <c r="F229" i="5" s="1"/>
  <c r="R227" i="5"/>
  <c r="Q227" i="5"/>
  <c r="N227" i="5"/>
  <c r="M227" i="5"/>
  <c r="J227" i="5"/>
  <c r="I227" i="5"/>
  <c r="F227" i="5"/>
  <c r="E227" i="5"/>
  <c r="R225" i="5"/>
  <c r="Q225" i="5"/>
  <c r="N225" i="5"/>
  <c r="M225" i="5"/>
  <c r="J225" i="5"/>
  <c r="I225" i="5"/>
  <c r="F225" i="5"/>
  <c r="X225" i="5" s="1"/>
  <c r="E225" i="5"/>
  <c r="R226" i="5"/>
  <c r="Q226" i="5"/>
  <c r="N226" i="5"/>
  <c r="M226" i="5"/>
  <c r="J226" i="5"/>
  <c r="I226" i="5"/>
  <c r="F226" i="5"/>
  <c r="E226" i="5"/>
  <c r="R228" i="5"/>
  <c r="Q228" i="5"/>
  <c r="N228" i="5"/>
  <c r="M228" i="5"/>
  <c r="J228" i="5"/>
  <c r="I228" i="5"/>
  <c r="F228" i="5"/>
  <c r="E228" i="5"/>
  <c r="R224" i="5"/>
  <c r="Q224" i="5"/>
  <c r="N224" i="5"/>
  <c r="M224" i="5"/>
  <c r="J224" i="5"/>
  <c r="I224" i="5"/>
  <c r="F224" i="5"/>
  <c r="E224" i="5"/>
  <c r="Y211" i="5"/>
  <c r="Y212" i="5"/>
  <c r="W214" i="5"/>
  <c r="V214" i="5"/>
  <c r="U214" i="5"/>
  <c r="T214" i="5"/>
  <c r="S214" i="5"/>
  <c r="R214" i="5"/>
  <c r="Q214" i="5"/>
  <c r="P214" i="5"/>
  <c r="O214" i="5"/>
  <c r="L214" i="5"/>
  <c r="N214" i="5" s="1"/>
  <c r="K214" i="5"/>
  <c r="M214" i="5" s="1"/>
  <c r="H214" i="5"/>
  <c r="G214" i="5"/>
  <c r="F214" i="5"/>
  <c r="E214" i="5"/>
  <c r="D214" i="5"/>
  <c r="C214" i="5"/>
  <c r="R213" i="5"/>
  <c r="Q213" i="5"/>
  <c r="N213" i="5"/>
  <c r="M213" i="5"/>
  <c r="J213" i="5"/>
  <c r="I213" i="5"/>
  <c r="F213" i="5"/>
  <c r="E213" i="5"/>
  <c r="R211" i="5"/>
  <c r="Q211" i="5"/>
  <c r="N211" i="5"/>
  <c r="M211" i="5"/>
  <c r="J211" i="5"/>
  <c r="I211" i="5"/>
  <c r="F211" i="5"/>
  <c r="E211" i="5"/>
  <c r="R212" i="5"/>
  <c r="Q212" i="5"/>
  <c r="N212" i="5"/>
  <c r="M212" i="5"/>
  <c r="J212" i="5"/>
  <c r="I212" i="5"/>
  <c r="F212" i="5"/>
  <c r="E212" i="5"/>
  <c r="R210" i="5"/>
  <c r="Q210" i="5"/>
  <c r="N210" i="5"/>
  <c r="M210" i="5"/>
  <c r="J210" i="5"/>
  <c r="I210" i="5"/>
  <c r="F210" i="5"/>
  <c r="Y210" i="5" s="1"/>
  <c r="E210" i="5"/>
  <c r="R209" i="5"/>
  <c r="Q209" i="5"/>
  <c r="N209" i="5"/>
  <c r="M209" i="5"/>
  <c r="J209" i="5"/>
  <c r="I209" i="5"/>
  <c r="F209" i="5"/>
  <c r="E209" i="5"/>
  <c r="X195" i="5"/>
  <c r="W199" i="5"/>
  <c r="V199" i="5"/>
  <c r="U199" i="5"/>
  <c r="T199" i="5"/>
  <c r="S199" i="5"/>
  <c r="Q199" i="5"/>
  <c r="P199" i="5"/>
  <c r="O199" i="5"/>
  <c r="R199" i="5" s="1"/>
  <c r="L199" i="5"/>
  <c r="K199" i="5"/>
  <c r="J199" i="5"/>
  <c r="H199" i="5"/>
  <c r="G199" i="5"/>
  <c r="I199" i="5" s="1"/>
  <c r="D199" i="5"/>
  <c r="C199" i="5"/>
  <c r="F199" i="5" s="1"/>
  <c r="R197" i="5"/>
  <c r="Q197" i="5"/>
  <c r="N197" i="5"/>
  <c r="M197" i="5"/>
  <c r="J197" i="5"/>
  <c r="I197" i="5"/>
  <c r="F197" i="5"/>
  <c r="E197" i="5"/>
  <c r="R198" i="5"/>
  <c r="Q198" i="5"/>
  <c r="N198" i="5"/>
  <c r="M198" i="5"/>
  <c r="J198" i="5"/>
  <c r="I198" i="5"/>
  <c r="F198" i="5"/>
  <c r="E198" i="5"/>
  <c r="R195" i="5"/>
  <c r="Q195" i="5"/>
  <c r="N195" i="5"/>
  <c r="M195" i="5"/>
  <c r="J195" i="5"/>
  <c r="I195" i="5"/>
  <c r="F195" i="5"/>
  <c r="X194" i="5" s="1"/>
  <c r="E195" i="5"/>
  <c r="R196" i="5"/>
  <c r="Q196" i="5"/>
  <c r="N196" i="5"/>
  <c r="M196" i="5"/>
  <c r="J196" i="5"/>
  <c r="I196" i="5"/>
  <c r="F196" i="5"/>
  <c r="E196" i="5"/>
  <c r="R194" i="5"/>
  <c r="Q194" i="5"/>
  <c r="N194" i="5"/>
  <c r="M194" i="5"/>
  <c r="J194" i="5"/>
  <c r="I194" i="5"/>
  <c r="F194" i="5"/>
  <c r="E194" i="5"/>
  <c r="Y179" i="5"/>
  <c r="Y157" i="5"/>
  <c r="Y69" i="5"/>
  <c r="Y120" i="5"/>
  <c r="Y166" i="5"/>
  <c r="Y134" i="5"/>
  <c r="Y115" i="5"/>
  <c r="Y81" i="5"/>
  <c r="Y59" i="5"/>
  <c r="Y128" i="5"/>
  <c r="Y83" i="5"/>
  <c r="Y78" i="5"/>
  <c r="Y64" i="5"/>
  <c r="Y146" i="5"/>
  <c r="Y123" i="5"/>
  <c r="Y137" i="5"/>
  <c r="Y99" i="5"/>
  <c r="Y57" i="5"/>
  <c r="Y96" i="5"/>
  <c r="Y170" i="5"/>
  <c r="Y121" i="5"/>
  <c r="Y183" i="5"/>
  <c r="Y85" i="5"/>
  <c r="Y140" i="5"/>
  <c r="Y91" i="5"/>
  <c r="Y63" i="5"/>
  <c r="Y122" i="5"/>
  <c r="Y173" i="5"/>
  <c r="Y106" i="5"/>
  <c r="Y152" i="5"/>
  <c r="Y174" i="5"/>
  <c r="Y87" i="5"/>
  <c r="Y71" i="5"/>
  <c r="Y84" i="5"/>
  <c r="Y118" i="5"/>
  <c r="Y97" i="5"/>
  <c r="Y112" i="5"/>
  <c r="Y159" i="5"/>
  <c r="Y61" i="5"/>
  <c r="Y90" i="5"/>
  <c r="Y82" i="5"/>
  <c r="Y74" i="5"/>
  <c r="Y117" i="5"/>
  <c r="Y161" i="5"/>
  <c r="Y89" i="5"/>
  <c r="Y98" i="5"/>
  <c r="W184" i="5"/>
  <c r="V184" i="5"/>
  <c r="U184" i="5"/>
  <c r="T184" i="5"/>
  <c r="S184" i="5"/>
  <c r="R184" i="5"/>
  <c r="Q184" i="5"/>
  <c r="P184" i="5"/>
  <c r="O184" i="5"/>
  <c r="M184" i="5"/>
  <c r="L184" i="5"/>
  <c r="K184" i="5"/>
  <c r="N184" i="5" s="1"/>
  <c r="H184" i="5"/>
  <c r="G184" i="5"/>
  <c r="F184" i="5"/>
  <c r="Y181" i="5" s="1"/>
  <c r="D184" i="5"/>
  <c r="C184" i="5"/>
  <c r="E184" i="5" s="1"/>
  <c r="R179" i="5"/>
  <c r="Q179" i="5"/>
  <c r="N179" i="5"/>
  <c r="M179" i="5"/>
  <c r="J179" i="5"/>
  <c r="I179" i="5"/>
  <c r="F179" i="5"/>
  <c r="E179" i="5"/>
  <c r="R95" i="5"/>
  <c r="Q95" i="5"/>
  <c r="N95" i="5"/>
  <c r="M95" i="5"/>
  <c r="J95" i="5"/>
  <c r="I95" i="5"/>
  <c r="F95" i="5"/>
  <c r="Y95" i="5" s="1"/>
  <c r="E95" i="5"/>
  <c r="R60" i="5"/>
  <c r="Q60" i="5"/>
  <c r="N60" i="5"/>
  <c r="M60" i="5"/>
  <c r="J60" i="5"/>
  <c r="I60" i="5"/>
  <c r="F60" i="5"/>
  <c r="Y60" i="5" s="1"/>
  <c r="E60" i="5"/>
  <c r="R157" i="5"/>
  <c r="Q157" i="5"/>
  <c r="N157" i="5"/>
  <c r="M157" i="5"/>
  <c r="J157" i="5"/>
  <c r="I157" i="5"/>
  <c r="F157" i="5"/>
  <c r="E157" i="5"/>
  <c r="R125" i="5"/>
  <c r="Q125" i="5"/>
  <c r="N125" i="5"/>
  <c r="M125" i="5"/>
  <c r="J125" i="5"/>
  <c r="I125" i="5"/>
  <c r="F125" i="5"/>
  <c r="E125" i="5"/>
  <c r="R169" i="5"/>
  <c r="Q169" i="5"/>
  <c r="N169" i="5"/>
  <c r="M169" i="5"/>
  <c r="J169" i="5"/>
  <c r="I169" i="5"/>
  <c r="F169" i="5"/>
  <c r="Y169" i="5" s="1"/>
  <c r="E169" i="5"/>
  <c r="R147" i="5"/>
  <c r="Q147" i="5"/>
  <c r="N147" i="5"/>
  <c r="M147" i="5"/>
  <c r="J147" i="5"/>
  <c r="I147" i="5"/>
  <c r="F147" i="5"/>
  <c r="E147" i="5"/>
  <c r="R69" i="5"/>
  <c r="Q69" i="5"/>
  <c r="N69" i="5"/>
  <c r="M69" i="5"/>
  <c r="J69" i="5"/>
  <c r="I69" i="5"/>
  <c r="F69" i="5"/>
  <c r="E69" i="5"/>
  <c r="R120" i="5"/>
  <c r="Q120" i="5"/>
  <c r="N120" i="5"/>
  <c r="M120" i="5"/>
  <c r="J120" i="5"/>
  <c r="I120" i="5"/>
  <c r="F120" i="5"/>
  <c r="E120" i="5"/>
  <c r="R181" i="5"/>
  <c r="Q181" i="5"/>
  <c r="N181" i="5"/>
  <c r="M181" i="5"/>
  <c r="J181" i="5"/>
  <c r="I181" i="5"/>
  <c r="F181" i="5"/>
  <c r="E181" i="5"/>
  <c r="R103" i="5"/>
  <c r="Q103" i="5"/>
  <c r="N103" i="5"/>
  <c r="M103" i="5"/>
  <c r="J103" i="5"/>
  <c r="I103" i="5"/>
  <c r="F103" i="5"/>
  <c r="Y103" i="5" s="1"/>
  <c r="E103" i="5"/>
  <c r="R166" i="5"/>
  <c r="Q166" i="5"/>
  <c r="N166" i="5"/>
  <c r="M166" i="5"/>
  <c r="J166" i="5"/>
  <c r="I166" i="5"/>
  <c r="F166" i="5"/>
  <c r="E166" i="5"/>
  <c r="R110" i="5"/>
  <c r="Q110" i="5"/>
  <c r="N110" i="5"/>
  <c r="M110" i="5"/>
  <c r="J110" i="5"/>
  <c r="I110" i="5"/>
  <c r="F110" i="5"/>
  <c r="Y110" i="5" s="1"/>
  <c r="E110" i="5"/>
  <c r="R88" i="5"/>
  <c r="Q88" i="5"/>
  <c r="N88" i="5"/>
  <c r="M88" i="5"/>
  <c r="J88" i="5"/>
  <c r="I88" i="5"/>
  <c r="F88" i="5"/>
  <c r="Y88" i="5" s="1"/>
  <c r="E88" i="5"/>
  <c r="R134" i="5"/>
  <c r="Q134" i="5"/>
  <c r="N134" i="5"/>
  <c r="M134" i="5"/>
  <c r="J134" i="5"/>
  <c r="I134" i="5"/>
  <c r="F134" i="5"/>
  <c r="E134" i="5"/>
  <c r="R139" i="5"/>
  <c r="Q139" i="5"/>
  <c r="N139" i="5"/>
  <c r="M139" i="5"/>
  <c r="J139" i="5"/>
  <c r="I139" i="5"/>
  <c r="F139" i="5"/>
  <c r="E139" i="5"/>
  <c r="R163" i="5"/>
  <c r="Q163" i="5"/>
  <c r="N163" i="5"/>
  <c r="M163" i="5"/>
  <c r="J163" i="5"/>
  <c r="I163" i="5"/>
  <c r="F163" i="5"/>
  <c r="Y163" i="5" s="1"/>
  <c r="E163" i="5"/>
  <c r="R155" i="5"/>
  <c r="Q155" i="5"/>
  <c r="N155" i="5"/>
  <c r="M155" i="5"/>
  <c r="J155" i="5"/>
  <c r="I155" i="5"/>
  <c r="F155" i="5"/>
  <c r="E155" i="5"/>
  <c r="R115" i="5"/>
  <c r="Q115" i="5"/>
  <c r="N115" i="5"/>
  <c r="M115" i="5"/>
  <c r="J115" i="5"/>
  <c r="I115" i="5"/>
  <c r="F115" i="5"/>
  <c r="E115" i="5"/>
  <c r="R81" i="5"/>
  <c r="Q81" i="5"/>
  <c r="N81" i="5"/>
  <c r="M81" i="5"/>
  <c r="J81" i="5"/>
  <c r="I81" i="5"/>
  <c r="F81" i="5"/>
  <c r="E81" i="5"/>
  <c r="R143" i="5"/>
  <c r="Q143" i="5"/>
  <c r="N143" i="5"/>
  <c r="M143" i="5"/>
  <c r="J143" i="5"/>
  <c r="I143" i="5"/>
  <c r="F143" i="5"/>
  <c r="E143" i="5"/>
  <c r="R67" i="5"/>
  <c r="Q67" i="5"/>
  <c r="N67" i="5"/>
  <c r="M67" i="5"/>
  <c r="J67" i="5"/>
  <c r="I67" i="5"/>
  <c r="F67" i="5"/>
  <c r="Y67" i="5" s="1"/>
  <c r="E67" i="5"/>
  <c r="R59" i="5"/>
  <c r="Q59" i="5"/>
  <c r="N59" i="5"/>
  <c r="M59" i="5"/>
  <c r="J59" i="5"/>
  <c r="I59" i="5"/>
  <c r="F59" i="5"/>
  <c r="E59" i="5"/>
  <c r="R76" i="5"/>
  <c r="Q76" i="5"/>
  <c r="N76" i="5"/>
  <c r="M76" i="5"/>
  <c r="J76" i="5"/>
  <c r="I76" i="5"/>
  <c r="F76" i="5"/>
  <c r="Y76" i="5" s="1"/>
  <c r="E76" i="5"/>
  <c r="R142" i="5"/>
  <c r="Q142" i="5"/>
  <c r="N142" i="5"/>
  <c r="M142" i="5"/>
  <c r="J142" i="5"/>
  <c r="I142" i="5"/>
  <c r="F142" i="5"/>
  <c r="Y142" i="5" s="1"/>
  <c r="E142" i="5"/>
  <c r="R128" i="5"/>
  <c r="Q128" i="5"/>
  <c r="N128" i="5"/>
  <c r="M128" i="5"/>
  <c r="J128" i="5"/>
  <c r="I128" i="5"/>
  <c r="F128" i="5"/>
  <c r="E128" i="5"/>
  <c r="R93" i="5"/>
  <c r="Q93" i="5"/>
  <c r="N93" i="5"/>
  <c r="M93" i="5"/>
  <c r="J93" i="5"/>
  <c r="I93" i="5"/>
  <c r="F93" i="5"/>
  <c r="E93" i="5"/>
  <c r="R58" i="5"/>
  <c r="Q58" i="5"/>
  <c r="N58" i="5"/>
  <c r="M58" i="5"/>
  <c r="J58" i="5"/>
  <c r="I58" i="5"/>
  <c r="F58" i="5"/>
  <c r="E58" i="5"/>
  <c r="R79" i="5"/>
  <c r="Q79" i="5"/>
  <c r="N79" i="5"/>
  <c r="M79" i="5"/>
  <c r="J79" i="5"/>
  <c r="I79" i="5"/>
  <c r="F79" i="5"/>
  <c r="E79" i="5"/>
  <c r="R83" i="5"/>
  <c r="Q83" i="5"/>
  <c r="N83" i="5"/>
  <c r="M83" i="5"/>
  <c r="J83" i="5"/>
  <c r="I83" i="5"/>
  <c r="F83" i="5"/>
  <c r="E83" i="5"/>
  <c r="R78" i="5"/>
  <c r="Q78" i="5"/>
  <c r="N78" i="5"/>
  <c r="M78" i="5"/>
  <c r="J78" i="5"/>
  <c r="I78" i="5"/>
  <c r="F78" i="5"/>
  <c r="E78" i="5"/>
  <c r="R86" i="5"/>
  <c r="Q86" i="5"/>
  <c r="N86" i="5"/>
  <c r="M86" i="5"/>
  <c r="J86" i="5"/>
  <c r="I86" i="5"/>
  <c r="F86" i="5"/>
  <c r="E86" i="5"/>
  <c r="R132" i="5"/>
  <c r="Q132" i="5"/>
  <c r="N132" i="5"/>
  <c r="M132" i="5"/>
  <c r="J132" i="5"/>
  <c r="I132" i="5"/>
  <c r="F132" i="5"/>
  <c r="Y132" i="5" s="1"/>
  <c r="E132" i="5"/>
  <c r="R64" i="5"/>
  <c r="Q64" i="5"/>
  <c r="N64" i="5"/>
  <c r="M64" i="5"/>
  <c r="J64" i="5"/>
  <c r="I64" i="5"/>
  <c r="F64" i="5"/>
  <c r="E64" i="5"/>
  <c r="R165" i="5"/>
  <c r="Q165" i="5"/>
  <c r="N165" i="5"/>
  <c r="M165" i="5"/>
  <c r="J165" i="5"/>
  <c r="I165" i="5"/>
  <c r="F165" i="5"/>
  <c r="Y165" i="5" s="1"/>
  <c r="E165" i="5"/>
  <c r="R171" i="5"/>
  <c r="Q171" i="5"/>
  <c r="N171" i="5"/>
  <c r="M171" i="5"/>
  <c r="J171" i="5"/>
  <c r="I171" i="5"/>
  <c r="F171" i="5"/>
  <c r="Y171" i="5" s="1"/>
  <c r="E171" i="5"/>
  <c r="R146" i="5"/>
  <c r="Q146" i="5"/>
  <c r="N146" i="5"/>
  <c r="M146" i="5"/>
  <c r="J146" i="5"/>
  <c r="I146" i="5"/>
  <c r="F146" i="5"/>
  <c r="E146" i="5"/>
  <c r="R156" i="5"/>
  <c r="Q156" i="5"/>
  <c r="N156" i="5"/>
  <c r="M156" i="5"/>
  <c r="J156" i="5"/>
  <c r="I156" i="5"/>
  <c r="F156" i="5"/>
  <c r="E156" i="5"/>
  <c r="R119" i="5"/>
  <c r="Q119" i="5"/>
  <c r="N119" i="5"/>
  <c r="M119" i="5"/>
  <c r="J119" i="5"/>
  <c r="I119" i="5"/>
  <c r="F119" i="5"/>
  <c r="Y119" i="5" s="1"/>
  <c r="E119" i="5"/>
  <c r="R127" i="5"/>
  <c r="Q127" i="5"/>
  <c r="N127" i="5"/>
  <c r="M127" i="5"/>
  <c r="J127" i="5"/>
  <c r="I127" i="5"/>
  <c r="F127" i="5"/>
  <c r="E127" i="5"/>
  <c r="R123" i="5"/>
  <c r="Q123" i="5"/>
  <c r="N123" i="5"/>
  <c r="M123" i="5"/>
  <c r="J123" i="5"/>
  <c r="I123" i="5"/>
  <c r="F123" i="5"/>
  <c r="E123" i="5"/>
  <c r="R137" i="5"/>
  <c r="Q137" i="5"/>
  <c r="N137" i="5"/>
  <c r="M137" i="5"/>
  <c r="J137" i="5"/>
  <c r="I137" i="5"/>
  <c r="F137" i="5"/>
  <c r="E137" i="5"/>
  <c r="R105" i="5"/>
  <c r="Q105" i="5"/>
  <c r="N105" i="5"/>
  <c r="M105" i="5"/>
  <c r="J105" i="5"/>
  <c r="I105" i="5"/>
  <c r="F105" i="5"/>
  <c r="E105" i="5"/>
  <c r="R77" i="5"/>
  <c r="Q77" i="5"/>
  <c r="N77" i="5"/>
  <c r="M77" i="5"/>
  <c r="J77" i="5"/>
  <c r="I77" i="5"/>
  <c r="F77" i="5"/>
  <c r="Y77" i="5" s="1"/>
  <c r="E77" i="5"/>
  <c r="R99" i="5"/>
  <c r="Q99" i="5"/>
  <c r="N99" i="5"/>
  <c r="M99" i="5"/>
  <c r="J99" i="5"/>
  <c r="I99" i="5"/>
  <c r="F99" i="5"/>
  <c r="E99" i="5"/>
  <c r="R65" i="5"/>
  <c r="Q65" i="5"/>
  <c r="N65" i="5"/>
  <c r="M65" i="5"/>
  <c r="J65" i="5"/>
  <c r="I65" i="5"/>
  <c r="F65" i="5"/>
  <c r="Y65" i="5" s="1"/>
  <c r="E65" i="5"/>
  <c r="R167" i="5"/>
  <c r="Q167" i="5"/>
  <c r="N167" i="5"/>
  <c r="M167" i="5"/>
  <c r="J167" i="5"/>
  <c r="I167" i="5"/>
  <c r="F167" i="5"/>
  <c r="Y167" i="5" s="1"/>
  <c r="E167" i="5"/>
  <c r="R57" i="5"/>
  <c r="Q57" i="5"/>
  <c r="N57" i="5"/>
  <c r="M57" i="5"/>
  <c r="J57" i="5"/>
  <c r="I57" i="5"/>
  <c r="F57" i="5"/>
  <c r="E57" i="5"/>
  <c r="R175" i="5"/>
  <c r="Q175" i="5"/>
  <c r="N175" i="5"/>
  <c r="M175" i="5"/>
  <c r="J175" i="5"/>
  <c r="I175" i="5"/>
  <c r="F175" i="5"/>
  <c r="E175" i="5"/>
  <c r="R180" i="5"/>
  <c r="Q180" i="5"/>
  <c r="N180" i="5"/>
  <c r="M180" i="5"/>
  <c r="J180" i="5"/>
  <c r="I180" i="5"/>
  <c r="F180" i="5"/>
  <c r="Y180" i="5" s="1"/>
  <c r="E180" i="5"/>
  <c r="R107" i="5"/>
  <c r="Q107" i="5"/>
  <c r="N107" i="5"/>
  <c r="M107" i="5"/>
  <c r="J107" i="5"/>
  <c r="I107" i="5"/>
  <c r="F107" i="5"/>
  <c r="E107" i="5"/>
  <c r="R96" i="5"/>
  <c r="Q96" i="5"/>
  <c r="N96" i="5"/>
  <c r="M96" i="5"/>
  <c r="J96" i="5"/>
  <c r="I96" i="5"/>
  <c r="F96" i="5"/>
  <c r="E96" i="5"/>
  <c r="R170" i="5"/>
  <c r="Q170" i="5"/>
  <c r="N170" i="5"/>
  <c r="M170" i="5"/>
  <c r="J170" i="5"/>
  <c r="I170" i="5"/>
  <c r="F170" i="5"/>
  <c r="E170" i="5"/>
  <c r="R101" i="5"/>
  <c r="Q101" i="5"/>
  <c r="N101" i="5"/>
  <c r="M101" i="5"/>
  <c r="J101" i="5"/>
  <c r="I101" i="5"/>
  <c r="F101" i="5"/>
  <c r="E101" i="5"/>
  <c r="R154" i="5"/>
  <c r="Q154" i="5"/>
  <c r="N154" i="5"/>
  <c r="M154" i="5"/>
  <c r="J154" i="5"/>
  <c r="I154" i="5"/>
  <c r="F154" i="5"/>
  <c r="Y154" i="5" s="1"/>
  <c r="E154" i="5"/>
  <c r="R121" i="5"/>
  <c r="Q121" i="5"/>
  <c r="N121" i="5"/>
  <c r="M121" i="5"/>
  <c r="J121" i="5"/>
  <c r="I121" i="5"/>
  <c r="F121" i="5"/>
  <c r="E121" i="5"/>
  <c r="R102" i="5"/>
  <c r="Q102" i="5"/>
  <c r="N102" i="5"/>
  <c r="M102" i="5"/>
  <c r="J102" i="5"/>
  <c r="I102" i="5"/>
  <c r="F102" i="5"/>
  <c r="Y102" i="5" s="1"/>
  <c r="E102" i="5"/>
  <c r="R92" i="5"/>
  <c r="Q92" i="5"/>
  <c r="N92" i="5"/>
  <c r="M92" i="5"/>
  <c r="J92" i="5"/>
  <c r="I92" i="5"/>
  <c r="F92" i="5"/>
  <c r="Y92" i="5" s="1"/>
  <c r="E92" i="5"/>
  <c r="R183" i="5"/>
  <c r="Q183" i="5"/>
  <c r="N183" i="5"/>
  <c r="M183" i="5"/>
  <c r="J183" i="5"/>
  <c r="I183" i="5"/>
  <c r="F183" i="5"/>
  <c r="E183" i="5"/>
  <c r="R66" i="5"/>
  <c r="Q66" i="5"/>
  <c r="N66" i="5"/>
  <c r="M66" i="5"/>
  <c r="J66" i="5"/>
  <c r="I66" i="5"/>
  <c r="F66" i="5"/>
  <c r="X136" i="5" s="1"/>
  <c r="E66" i="5"/>
  <c r="R68" i="5"/>
  <c r="Q68" i="5"/>
  <c r="N68" i="5"/>
  <c r="M68" i="5"/>
  <c r="J68" i="5"/>
  <c r="I68" i="5"/>
  <c r="F68" i="5"/>
  <c r="Y68" i="5" s="1"/>
  <c r="E68" i="5"/>
  <c r="R135" i="5"/>
  <c r="Q135" i="5"/>
  <c r="N135" i="5"/>
  <c r="M135" i="5"/>
  <c r="J135" i="5"/>
  <c r="I135" i="5"/>
  <c r="F135" i="5"/>
  <c r="E135" i="5"/>
  <c r="R85" i="5"/>
  <c r="Q85" i="5"/>
  <c r="N85" i="5"/>
  <c r="M85" i="5"/>
  <c r="J85" i="5"/>
  <c r="I85" i="5"/>
  <c r="F85" i="5"/>
  <c r="E85" i="5"/>
  <c r="R140" i="5"/>
  <c r="Q140" i="5"/>
  <c r="N140" i="5"/>
  <c r="M140" i="5"/>
  <c r="J140" i="5"/>
  <c r="I140" i="5"/>
  <c r="F140" i="5"/>
  <c r="E140" i="5"/>
  <c r="R144" i="5"/>
  <c r="Q144" i="5"/>
  <c r="N144" i="5"/>
  <c r="M144" i="5"/>
  <c r="J144" i="5"/>
  <c r="I144" i="5"/>
  <c r="F144" i="5"/>
  <c r="E144" i="5"/>
  <c r="R168" i="5"/>
  <c r="Q168" i="5"/>
  <c r="N168" i="5"/>
  <c r="M168" i="5"/>
  <c r="J168" i="5"/>
  <c r="I168" i="5"/>
  <c r="F168" i="5"/>
  <c r="Y168" i="5" s="1"/>
  <c r="E168" i="5"/>
  <c r="R91" i="5"/>
  <c r="Q91" i="5"/>
  <c r="N91" i="5"/>
  <c r="M91" i="5"/>
  <c r="J91" i="5"/>
  <c r="I91" i="5"/>
  <c r="F91" i="5"/>
  <c r="E91" i="5"/>
  <c r="R70" i="5"/>
  <c r="Q70" i="5"/>
  <c r="N70" i="5"/>
  <c r="M70" i="5"/>
  <c r="J70" i="5"/>
  <c r="I70" i="5"/>
  <c r="F70" i="5"/>
  <c r="Y70" i="5" s="1"/>
  <c r="E70" i="5"/>
  <c r="R94" i="5"/>
  <c r="Q94" i="5"/>
  <c r="N94" i="5"/>
  <c r="M94" i="5"/>
  <c r="J94" i="5"/>
  <c r="I94" i="5"/>
  <c r="F94" i="5"/>
  <c r="Y94" i="5" s="1"/>
  <c r="E94" i="5"/>
  <c r="R63" i="5"/>
  <c r="Q63" i="5"/>
  <c r="N63" i="5"/>
  <c r="M63" i="5"/>
  <c r="J63" i="5"/>
  <c r="I63" i="5"/>
  <c r="F63" i="5"/>
  <c r="E63" i="5"/>
  <c r="R177" i="5"/>
  <c r="Q177" i="5"/>
  <c r="N177" i="5"/>
  <c r="M177" i="5"/>
  <c r="J177" i="5"/>
  <c r="I177" i="5"/>
  <c r="F177" i="5"/>
  <c r="E177" i="5"/>
  <c r="R75" i="5"/>
  <c r="Q75" i="5"/>
  <c r="N75" i="5"/>
  <c r="M75" i="5"/>
  <c r="J75" i="5"/>
  <c r="I75" i="5"/>
  <c r="F75" i="5"/>
  <c r="Y75" i="5" s="1"/>
  <c r="E75" i="5"/>
  <c r="R104" i="5"/>
  <c r="Q104" i="5"/>
  <c r="N104" i="5"/>
  <c r="M104" i="5"/>
  <c r="J104" i="5"/>
  <c r="I104" i="5"/>
  <c r="F104" i="5"/>
  <c r="E104" i="5"/>
  <c r="R122" i="5"/>
  <c r="Q122" i="5"/>
  <c r="N122" i="5"/>
  <c r="M122" i="5"/>
  <c r="J122" i="5"/>
  <c r="I122" i="5"/>
  <c r="F122" i="5"/>
  <c r="E122" i="5"/>
  <c r="R173" i="5"/>
  <c r="Q173" i="5"/>
  <c r="N173" i="5"/>
  <c r="M173" i="5"/>
  <c r="J173" i="5"/>
  <c r="I173" i="5"/>
  <c r="F173" i="5"/>
  <c r="E173" i="5"/>
  <c r="R176" i="5"/>
  <c r="Q176" i="5"/>
  <c r="N176" i="5"/>
  <c r="M176" i="5"/>
  <c r="J176" i="5"/>
  <c r="I176" i="5"/>
  <c r="F176" i="5"/>
  <c r="E176" i="5"/>
  <c r="R116" i="5"/>
  <c r="Q116" i="5"/>
  <c r="N116" i="5"/>
  <c r="M116" i="5"/>
  <c r="J116" i="5"/>
  <c r="I116" i="5"/>
  <c r="F116" i="5"/>
  <c r="Y116" i="5" s="1"/>
  <c r="E116" i="5"/>
  <c r="R106" i="5"/>
  <c r="Q106" i="5"/>
  <c r="N106" i="5"/>
  <c r="M106" i="5"/>
  <c r="J106" i="5"/>
  <c r="I106" i="5"/>
  <c r="F106" i="5"/>
  <c r="E106" i="5"/>
  <c r="R72" i="5"/>
  <c r="Q72" i="5"/>
  <c r="N72" i="5"/>
  <c r="M72" i="5"/>
  <c r="J72" i="5"/>
  <c r="I72" i="5"/>
  <c r="F72" i="5"/>
  <c r="Y72" i="5" s="1"/>
  <c r="E72" i="5"/>
  <c r="R158" i="5"/>
  <c r="Q158" i="5"/>
  <c r="N158" i="5"/>
  <c r="M158" i="5"/>
  <c r="J158" i="5"/>
  <c r="I158" i="5"/>
  <c r="F158" i="5"/>
  <c r="Y158" i="5" s="1"/>
  <c r="E158" i="5"/>
  <c r="R152" i="5"/>
  <c r="Q152" i="5"/>
  <c r="N152" i="5"/>
  <c r="M152" i="5"/>
  <c r="J152" i="5"/>
  <c r="I152" i="5"/>
  <c r="F152" i="5"/>
  <c r="E152" i="5"/>
  <c r="R145" i="5"/>
  <c r="Q145" i="5"/>
  <c r="N145" i="5"/>
  <c r="M145" i="5"/>
  <c r="J145" i="5"/>
  <c r="I145" i="5"/>
  <c r="F145" i="5"/>
  <c r="E145" i="5"/>
  <c r="R178" i="5"/>
  <c r="Q178" i="5"/>
  <c r="N178" i="5"/>
  <c r="M178" i="5"/>
  <c r="J178" i="5"/>
  <c r="I178" i="5"/>
  <c r="F178" i="5"/>
  <c r="Y178" i="5" s="1"/>
  <c r="E178" i="5"/>
  <c r="R133" i="5"/>
  <c r="Q133" i="5"/>
  <c r="N133" i="5"/>
  <c r="M133" i="5"/>
  <c r="J133" i="5"/>
  <c r="I133" i="5"/>
  <c r="F133" i="5"/>
  <c r="E133" i="5"/>
  <c r="R174" i="5"/>
  <c r="Q174" i="5"/>
  <c r="N174" i="5"/>
  <c r="M174" i="5"/>
  <c r="J174" i="5"/>
  <c r="I174" i="5"/>
  <c r="F174" i="5"/>
  <c r="E174" i="5"/>
  <c r="R87" i="5"/>
  <c r="Q87" i="5"/>
  <c r="N87" i="5"/>
  <c r="M87" i="5"/>
  <c r="J87" i="5"/>
  <c r="I87" i="5"/>
  <c r="F87" i="5"/>
  <c r="E87" i="5"/>
  <c r="R108" i="5"/>
  <c r="Q108" i="5"/>
  <c r="N108" i="5"/>
  <c r="M108" i="5"/>
  <c r="J108" i="5"/>
  <c r="I108" i="5"/>
  <c r="F108" i="5"/>
  <c r="E108" i="5"/>
  <c r="R151" i="5"/>
  <c r="Q151" i="5"/>
  <c r="N151" i="5"/>
  <c r="M151" i="5"/>
  <c r="J151" i="5"/>
  <c r="I151" i="5"/>
  <c r="F151" i="5"/>
  <c r="Y151" i="5" s="1"/>
  <c r="E151" i="5"/>
  <c r="R71" i="5"/>
  <c r="Q71" i="5"/>
  <c r="N71" i="5"/>
  <c r="M71" i="5"/>
  <c r="J71" i="5"/>
  <c r="I71" i="5"/>
  <c r="F71" i="5"/>
  <c r="E71" i="5"/>
  <c r="R113" i="5"/>
  <c r="Q113" i="5"/>
  <c r="N113" i="5"/>
  <c r="M113" i="5"/>
  <c r="J113" i="5"/>
  <c r="I113" i="5"/>
  <c r="F113" i="5"/>
  <c r="Y113" i="5" s="1"/>
  <c r="E113" i="5"/>
  <c r="R124" i="5"/>
  <c r="Q124" i="5"/>
  <c r="N124" i="5"/>
  <c r="M124" i="5"/>
  <c r="J124" i="5"/>
  <c r="I124" i="5"/>
  <c r="F124" i="5"/>
  <c r="Y124" i="5" s="1"/>
  <c r="E124" i="5"/>
  <c r="R84" i="5"/>
  <c r="Q84" i="5"/>
  <c r="N84" i="5"/>
  <c r="M84" i="5"/>
  <c r="J84" i="5"/>
  <c r="I84" i="5"/>
  <c r="F84" i="5"/>
  <c r="E84" i="5"/>
  <c r="R164" i="5"/>
  <c r="Q164" i="5"/>
  <c r="N164" i="5"/>
  <c r="M164" i="5"/>
  <c r="J164" i="5"/>
  <c r="I164" i="5"/>
  <c r="F164" i="5"/>
  <c r="E164" i="5"/>
  <c r="R148" i="5"/>
  <c r="Q148" i="5"/>
  <c r="N148" i="5"/>
  <c r="M148" i="5"/>
  <c r="J148" i="5"/>
  <c r="I148" i="5"/>
  <c r="F148" i="5"/>
  <c r="Y148" i="5" s="1"/>
  <c r="E148" i="5"/>
  <c r="R182" i="5"/>
  <c r="Q182" i="5"/>
  <c r="N182" i="5"/>
  <c r="M182" i="5"/>
  <c r="J182" i="5"/>
  <c r="I182" i="5"/>
  <c r="F182" i="5"/>
  <c r="Y182" i="5" s="1"/>
  <c r="E182" i="5"/>
  <c r="R118" i="5"/>
  <c r="Q118" i="5"/>
  <c r="N118" i="5"/>
  <c r="M118" i="5"/>
  <c r="J118" i="5"/>
  <c r="I118" i="5"/>
  <c r="F118" i="5"/>
  <c r="E118" i="5"/>
  <c r="R97" i="5"/>
  <c r="Q97" i="5"/>
  <c r="N97" i="5"/>
  <c r="M97" i="5"/>
  <c r="J97" i="5"/>
  <c r="I97" i="5"/>
  <c r="F97" i="5"/>
  <c r="E97" i="5"/>
  <c r="R130" i="5"/>
  <c r="Q130" i="5"/>
  <c r="N130" i="5"/>
  <c r="M130" i="5"/>
  <c r="J130" i="5"/>
  <c r="I130" i="5"/>
  <c r="F130" i="5"/>
  <c r="E130" i="5"/>
  <c r="R153" i="5"/>
  <c r="Q153" i="5"/>
  <c r="N153" i="5"/>
  <c r="M153" i="5"/>
  <c r="J153" i="5"/>
  <c r="I153" i="5"/>
  <c r="F153" i="5"/>
  <c r="Y153" i="5" s="1"/>
  <c r="E153" i="5"/>
  <c r="R112" i="5"/>
  <c r="Q112" i="5"/>
  <c r="N112" i="5"/>
  <c r="M112" i="5"/>
  <c r="J112" i="5"/>
  <c r="I112" i="5"/>
  <c r="F112" i="5"/>
  <c r="E112" i="5"/>
  <c r="R131" i="5"/>
  <c r="Q131" i="5"/>
  <c r="N131" i="5"/>
  <c r="M131" i="5"/>
  <c r="J131" i="5"/>
  <c r="I131" i="5"/>
  <c r="F131" i="5"/>
  <c r="Y131" i="5" s="1"/>
  <c r="E131" i="5"/>
  <c r="R138" i="5"/>
  <c r="Q138" i="5"/>
  <c r="N138" i="5"/>
  <c r="M138" i="5"/>
  <c r="J138" i="5"/>
  <c r="I138" i="5"/>
  <c r="F138" i="5"/>
  <c r="Y138" i="5" s="1"/>
  <c r="E138" i="5"/>
  <c r="R159" i="5"/>
  <c r="Q159" i="5"/>
  <c r="N159" i="5"/>
  <c r="M159" i="5"/>
  <c r="J159" i="5"/>
  <c r="I159" i="5"/>
  <c r="F159" i="5"/>
  <c r="E159" i="5"/>
  <c r="R141" i="5"/>
  <c r="Q141" i="5"/>
  <c r="N141" i="5"/>
  <c r="M141" i="5"/>
  <c r="J141" i="5"/>
  <c r="I141" i="5"/>
  <c r="F141" i="5"/>
  <c r="E141" i="5"/>
  <c r="R62" i="5"/>
  <c r="Q62" i="5"/>
  <c r="N62" i="5"/>
  <c r="M62" i="5"/>
  <c r="J62" i="5"/>
  <c r="I62" i="5"/>
  <c r="F62" i="5"/>
  <c r="Y62" i="5" s="1"/>
  <c r="E62" i="5"/>
  <c r="R172" i="5"/>
  <c r="Q172" i="5"/>
  <c r="N172" i="5"/>
  <c r="M172" i="5"/>
  <c r="J172" i="5"/>
  <c r="I172" i="5"/>
  <c r="F172" i="5"/>
  <c r="Y172" i="5" s="1"/>
  <c r="E172" i="5"/>
  <c r="R61" i="5"/>
  <c r="Q61" i="5"/>
  <c r="N61" i="5"/>
  <c r="M61" i="5"/>
  <c r="J61" i="5"/>
  <c r="I61" i="5"/>
  <c r="F61" i="5"/>
  <c r="E61" i="5"/>
  <c r="R90" i="5"/>
  <c r="Q90" i="5"/>
  <c r="N90" i="5"/>
  <c r="M90" i="5"/>
  <c r="J90" i="5"/>
  <c r="I90" i="5"/>
  <c r="F90" i="5"/>
  <c r="E90" i="5"/>
  <c r="R109" i="5"/>
  <c r="Q109" i="5"/>
  <c r="N109" i="5"/>
  <c r="M109" i="5"/>
  <c r="J109" i="5"/>
  <c r="I109" i="5"/>
  <c r="F109" i="5"/>
  <c r="E109" i="5"/>
  <c r="R149" i="5"/>
  <c r="Q149" i="5"/>
  <c r="N149" i="5"/>
  <c r="M149" i="5"/>
  <c r="J149" i="5"/>
  <c r="I149" i="5"/>
  <c r="F149" i="5"/>
  <c r="Y149" i="5" s="1"/>
  <c r="E149" i="5"/>
  <c r="R82" i="5"/>
  <c r="Q82" i="5"/>
  <c r="N82" i="5"/>
  <c r="M82" i="5"/>
  <c r="J82" i="5"/>
  <c r="I82" i="5"/>
  <c r="F82" i="5"/>
  <c r="E82" i="5"/>
  <c r="R80" i="5"/>
  <c r="Q80" i="5"/>
  <c r="N80" i="5"/>
  <c r="M80" i="5"/>
  <c r="J80" i="5"/>
  <c r="I80" i="5"/>
  <c r="F80" i="5"/>
  <c r="Y80" i="5" s="1"/>
  <c r="E80" i="5"/>
  <c r="R136" i="5"/>
  <c r="Q136" i="5"/>
  <c r="N136" i="5"/>
  <c r="M136" i="5"/>
  <c r="J136" i="5"/>
  <c r="I136" i="5"/>
  <c r="F136" i="5"/>
  <c r="Y136" i="5" s="1"/>
  <c r="E136" i="5"/>
  <c r="R74" i="5"/>
  <c r="Q74" i="5"/>
  <c r="N74" i="5"/>
  <c r="M74" i="5"/>
  <c r="J74" i="5"/>
  <c r="I74" i="5"/>
  <c r="F74" i="5"/>
  <c r="E74" i="5"/>
  <c r="R111" i="5"/>
  <c r="Q111" i="5"/>
  <c r="N111" i="5"/>
  <c r="M111" i="5"/>
  <c r="J111" i="5"/>
  <c r="I111" i="5"/>
  <c r="F111" i="5"/>
  <c r="E111" i="5"/>
  <c r="R160" i="5"/>
  <c r="Q160" i="5"/>
  <c r="N160" i="5"/>
  <c r="M160" i="5"/>
  <c r="J160" i="5"/>
  <c r="I160" i="5"/>
  <c r="F160" i="5"/>
  <c r="Y160" i="5" s="1"/>
  <c r="E160" i="5"/>
  <c r="R73" i="5"/>
  <c r="Q73" i="5"/>
  <c r="N73" i="5"/>
  <c r="M73" i="5"/>
  <c r="J73" i="5"/>
  <c r="I73" i="5"/>
  <c r="F73" i="5"/>
  <c r="Y73" i="5" s="1"/>
  <c r="E73" i="5"/>
  <c r="R117" i="5"/>
  <c r="Q117" i="5"/>
  <c r="N117" i="5"/>
  <c r="M117" i="5"/>
  <c r="J117" i="5"/>
  <c r="I117" i="5"/>
  <c r="F117" i="5"/>
  <c r="E117" i="5"/>
  <c r="R161" i="5"/>
  <c r="Q161" i="5"/>
  <c r="N161" i="5"/>
  <c r="M161" i="5"/>
  <c r="J161" i="5"/>
  <c r="I161" i="5"/>
  <c r="F161" i="5"/>
  <c r="E161" i="5"/>
  <c r="R100" i="5"/>
  <c r="Q100" i="5"/>
  <c r="N100" i="5"/>
  <c r="M100" i="5"/>
  <c r="J100" i="5"/>
  <c r="I100" i="5"/>
  <c r="F100" i="5"/>
  <c r="E100" i="5"/>
  <c r="R114" i="5"/>
  <c r="Q114" i="5"/>
  <c r="N114" i="5"/>
  <c r="M114" i="5"/>
  <c r="J114" i="5"/>
  <c r="I114" i="5"/>
  <c r="F114" i="5"/>
  <c r="Y114" i="5" s="1"/>
  <c r="E114" i="5"/>
  <c r="R89" i="5"/>
  <c r="Q89" i="5"/>
  <c r="N89" i="5"/>
  <c r="M89" i="5"/>
  <c r="J89" i="5"/>
  <c r="I89" i="5"/>
  <c r="F89" i="5"/>
  <c r="E89" i="5"/>
  <c r="R162" i="5"/>
  <c r="Q162" i="5"/>
  <c r="N162" i="5"/>
  <c r="M162" i="5"/>
  <c r="J162" i="5"/>
  <c r="I162" i="5"/>
  <c r="F162" i="5"/>
  <c r="Y162" i="5" s="1"/>
  <c r="E162" i="5"/>
  <c r="R126" i="5"/>
  <c r="Q126" i="5"/>
  <c r="N126" i="5"/>
  <c r="M126" i="5"/>
  <c r="J126" i="5"/>
  <c r="I126" i="5"/>
  <c r="F126" i="5"/>
  <c r="Y126" i="5" s="1"/>
  <c r="E126" i="5"/>
  <c r="R98" i="5"/>
  <c r="Q98" i="5"/>
  <c r="N98" i="5"/>
  <c r="M98" i="5"/>
  <c r="J98" i="5"/>
  <c r="I98" i="5"/>
  <c r="F98" i="5"/>
  <c r="E98" i="5"/>
  <c r="R150" i="5"/>
  <c r="Q150" i="5"/>
  <c r="N150" i="5"/>
  <c r="M150" i="5"/>
  <c r="J150" i="5"/>
  <c r="I150" i="5"/>
  <c r="F150" i="5"/>
  <c r="E150" i="5"/>
  <c r="R129" i="5"/>
  <c r="Q129" i="5"/>
  <c r="N129" i="5"/>
  <c r="M129" i="5"/>
  <c r="J129" i="5"/>
  <c r="I129" i="5"/>
  <c r="F129" i="5"/>
  <c r="Y129" i="5" s="1"/>
  <c r="E129" i="5"/>
  <c r="X35" i="5"/>
  <c r="Y46" i="5"/>
  <c r="Y45" i="5"/>
  <c r="Y25" i="5"/>
  <c r="Y42" i="5"/>
  <c r="Y22" i="5"/>
  <c r="Y39" i="5"/>
  <c r="Y37" i="5"/>
  <c r="X28" i="5"/>
  <c r="Y31" i="5"/>
  <c r="Y20" i="5"/>
  <c r="W49" i="5"/>
  <c r="V49" i="5"/>
  <c r="U49" i="5"/>
  <c r="T49" i="5"/>
  <c r="S49" i="5"/>
  <c r="P49" i="5"/>
  <c r="O49" i="5"/>
  <c r="N49" i="5"/>
  <c r="L49" i="5"/>
  <c r="K49" i="5"/>
  <c r="M49" i="5" s="1"/>
  <c r="J49" i="5"/>
  <c r="H49" i="5"/>
  <c r="G49" i="5"/>
  <c r="I49" i="5" s="1"/>
  <c r="F49" i="5"/>
  <c r="Y23" i="5" s="1"/>
  <c r="E49" i="5"/>
  <c r="D49" i="5"/>
  <c r="C49" i="5"/>
  <c r="R35" i="5"/>
  <c r="Q35" i="5"/>
  <c r="N35" i="5"/>
  <c r="M35" i="5"/>
  <c r="J35" i="5"/>
  <c r="I35" i="5"/>
  <c r="F35" i="5"/>
  <c r="Y35" i="5" s="1"/>
  <c r="E35" i="5"/>
  <c r="R33" i="5"/>
  <c r="Q33" i="5"/>
  <c r="N33" i="5"/>
  <c r="M33" i="5"/>
  <c r="J33" i="5"/>
  <c r="I33" i="5"/>
  <c r="F33" i="5"/>
  <c r="Y33" i="5" s="1"/>
  <c r="E33" i="5"/>
  <c r="R40" i="5"/>
  <c r="Q40" i="5"/>
  <c r="N40" i="5"/>
  <c r="M40" i="5"/>
  <c r="J40" i="5"/>
  <c r="I40" i="5"/>
  <c r="F40" i="5"/>
  <c r="Y40" i="5" s="1"/>
  <c r="E40" i="5"/>
  <c r="R43" i="5"/>
  <c r="Q43" i="5"/>
  <c r="N43" i="5"/>
  <c r="M43" i="5"/>
  <c r="J43" i="5"/>
  <c r="I43" i="5"/>
  <c r="F43" i="5"/>
  <c r="E43" i="5"/>
  <c r="R30" i="5"/>
  <c r="Q30" i="5"/>
  <c r="N30" i="5"/>
  <c r="M30" i="5"/>
  <c r="J30" i="5"/>
  <c r="I30" i="5"/>
  <c r="F30" i="5"/>
  <c r="Y30" i="5" s="1"/>
  <c r="E30" i="5"/>
  <c r="R46" i="5"/>
  <c r="Q46" i="5"/>
  <c r="N46" i="5"/>
  <c r="M46" i="5"/>
  <c r="J46" i="5"/>
  <c r="I46" i="5"/>
  <c r="F46" i="5"/>
  <c r="E46" i="5"/>
  <c r="R45" i="5"/>
  <c r="Q45" i="5"/>
  <c r="N45" i="5"/>
  <c r="M45" i="5"/>
  <c r="J45" i="5"/>
  <c r="I45" i="5"/>
  <c r="F45" i="5"/>
  <c r="E45" i="5"/>
  <c r="R36" i="5"/>
  <c r="Q36" i="5"/>
  <c r="N36" i="5"/>
  <c r="M36" i="5"/>
  <c r="J36" i="5"/>
  <c r="I36" i="5"/>
  <c r="F36" i="5"/>
  <c r="Y36" i="5" s="1"/>
  <c r="E36" i="5"/>
  <c r="R23" i="5"/>
  <c r="Q23" i="5"/>
  <c r="N23" i="5"/>
  <c r="M23" i="5"/>
  <c r="J23" i="5"/>
  <c r="I23" i="5"/>
  <c r="F23" i="5"/>
  <c r="X23" i="5" s="1"/>
  <c r="E23" i="5"/>
  <c r="R25" i="5"/>
  <c r="Q25" i="5"/>
  <c r="N25" i="5"/>
  <c r="M25" i="5"/>
  <c r="J25" i="5"/>
  <c r="I25" i="5"/>
  <c r="F25" i="5"/>
  <c r="X25" i="5" s="1"/>
  <c r="E25" i="5"/>
  <c r="R44" i="5"/>
  <c r="Q44" i="5"/>
  <c r="N44" i="5"/>
  <c r="M44" i="5"/>
  <c r="J44" i="5"/>
  <c r="I44" i="5"/>
  <c r="F44" i="5"/>
  <c r="E44" i="5"/>
  <c r="R29" i="5"/>
  <c r="Q29" i="5"/>
  <c r="N29" i="5"/>
  <c r="M29" i="5"/>
  <c r="J29" i="5"/>
  <c r="I29" i="5"/>
  <c r="F29" i="5"/>
  <c r="Y29" i="5" s="1"/>
  <c r="E29" i="5"/>
  <c r="R47" i="5"/>
  <c r="Q47" i="5"/>
  <c r="N47" i="5"/>
  <c r="M47" i="5"/>
  <c r="J47" i="5"/>
  <c r="I47" i="5"/>
  <c r="F47" i="5"/>
  <c r="Y47" i="5" s="1"/>
  <c r="E47" i="5"/>
  <c r="R19" i="5"/>
  <c r="Q19" i="5"/>
  <c r="N19" i="5"/>
  <c r="M19" i="5"/>
  <c r="J19" i="5"/>
  <c r="I19" i="5"/>
  <c r="F19" i="5"/>
  <c r="Y19" i="5" s="1"/>
  <c r="E19" i="5"/>
  <c r="R38" i="5"/>
  <c r="Q38" i="5"/>
  <c r="N38" i="5"/>
  <c r="M38" i="5"/>
  <c r="J38" i="5"/>
  <c r="I38" i="5"/>
  <c r="F38" i="5"/>
  <c r="E38" i="5"/>
  <c r="R24" i="5"/>
  <c r="Q24" i="5"/>
  <c r="N24" i="5"/>
  <c r="M24" i="5"/>
  <c r="J24" i="5"/>
  <c r="I24" i="5"/>
  <c r="F24" i="5"/>
  <c r="Y24" i="5" s="1"/>
  <c r="E24" i="5"/>
  <c r="R42" i="5"/>
  <c r="Q42" i="5"/>
  <c r="N42" i="5"/>
  <c r="M42" i="5"/>
  <c r="J42" i="5"/>
  <c r="I42" i="5"/>
  <c r="F42" i="5"/>
  <c r="E42" i="5"/>
  <c r="R22" i="5"/>
  <c r="Q22" i="5"/>
  <c r="N22" i="5"/>
  <c r="M22" i="5"/>
  <c r="J22" i="5"/>
  <c r="I22" i="5"/>
  <c r="F22" i="5"/>
  <c r="E22" i="5"/>
  <c r="R34" i="5"/>
  <c r="Q34" i="5"/>
  <c r="N34" i="5"/>
  <c r="M34" i="5"/>
  <c r="J34" i="5"/>
  <c r="I34" i="5"/>
  <c r="F34" i="5"/>
  <c r="Y34" i="5" s="1"/>
  <c r="E34" i="5"/>
  <c r="R48" i="5"/>
  <c r="Q48" i="5"/>
  <c r="N48" i="5"/>
  <c r="M48" i="5"/>
  <c r="J48" i="5"/>
  <c r="I48" i="5"/>
  <c r="F48" i="5"/>
  <c r="X48" i="5" s="1"/>
  <c r="E48" i="5"/>
  <c r="R39" i="5"/>
  <c r="Q39" i="5"/>
  <c r="N39" i="5"/>
  <c r="M39" i="5"/>
  <c r="J39" i="5"/>
  <c r="I39" i="5"/>
  <c r="F39" i="5"/>
  <c r="X39" i="5" s="1"/>
  <c r="E39" i="5"/>
  <c r="R37" i="5"/>
  <c r="Q37" i="5"/>
  <c r="N37" i="5"/>
  <c r="M37" i="5"/>
  <c r="J37" i="5"/>
  <c r="I37" i="5"/>
  <c r="F37" i="5"/>
  <c r="E37" i="5"/>
  <c r="R28" i="5"/>
  <c r="Q28" i="5"/>
  <c r="N28" i="5"/>
  <c r="M28" i="5"/>
  <c r="J28" i="5"/>
  <c r="I28" i="5"/>
  <c r="F28" i="5"/>
  <c r="Y28" i="5" s="1"/>
  <c r="E28" i="5"/>
  <c r="R41" i="5"/>
  <c r="Q41" i="5"/>
  <c r="N41" i="5"/>
  <c r="M41" i="5"/>
  <c r="J41" i="5"/>
  <c r="I41" i="5"/>
  <c r="F41" i="5"/>
  <c r="Y41" i="5" s="1"/>
  <c r="E41" i="5"/>
  <c r="R26" i="5"/>
  <c r="Q26" i="5"/>
  <c r="N26" i="5"/>
  <c r="M26" i="5"/>
  <c r="J26" i="5"/>
  <c r="I26" i="5"/>
  <c r="F26" i="5"/>
  <c r="Y26" i="5" s="1"/>
  <c r="E26" i="5"/>
  <c r="R27" i="5"/>
  <c r="Q27" i="5"/>
  <c r="N27" i="5"/>
  <c r="M27" i="5"/>
  <c r="J27" i="5"/>
  <c r="I27" i="5"/>
  <c r="F27" i="5"/>
  <c r="E27" i="5"/>
  <c r="R32" i="5"/>
  <c r="Q32" i="5"/>
  <c r="N32" i="5"/>
  <c r="M32" i="5"/>
  <c r="J32" i="5"/>
  <c r="I32" i="5"/>
  <c r="F32" i="5"/>
  <c r="Y32" i="5" s="1"/>
  <c r="E32" i="5"/>
  <c r="R31" i="5"/>
  <c r="Q31" i="5"/>
  <c r="N31" i="5"/>
  <c r="M31" i="5"/>
  <c r="J31" i="5"/>
  <c r="I31" i="5"/>
  <c r="F31" i="5"/>
  <c r="E31" i="5"/>
  <c r="R20" i="5"/>
  <c r="Q20" i="5"/>
  <c r="N20" i="5"/>
  <c r="M20" i="5"/>
  <c r="J20" i="5"/>
  <c r="I20" i="5"/>
  <c r="F20" i="5"/>
  <c r="X40" i="5" s="1"/>
  <c r="E20" i="5"/>
  <c r="R21" i="5"/>
  <c r="Q21" i="5"/>
  <c r="N21" i="5"/>
  <c r="M21" i="5"/>
  <c r="J21" i="5"/>
  <c r="I21" i="5"/>
  <c r="F21" i="5"/>
  <c r="X46" i="5" s="1"/>
  <c r="E21" i="5"/>
  <c r="X7" i="5"/>
  <c r="X8" i="5"/>
  <c r="W11" i="5"/>
  <c r="V11" i="5"/>
  <c r="U11" i="5"/>
  <c r="T11" i="5"/>
  <c r="S11" i="5"/>
  <c r="Q11" i="5"/>
  <c r="P11" i="5"/>
  <c r="O11" i="5"/>
  <c r="R11" i="5" s="1"/>
  <c r="L11" i="5"/>
  <c r="K11" i="5"/>
  <c r="J11" i="5"/>
  <c r="H11" i="5"/>
  <c r="I11" i="5" s="1"/>
  <c r="G11" i="5"/>
  <c r="F11" i="5"/>
  <c r="Y9" i="5" s="1"/>
  <c r="D11" i="5"/>
  <c r="C11" i="5"/>
  <c r="E11" i="5" s="1"/>
  <c r="R9" i="5"/>
  <c r="Q9" i="5"/>
  <c r="N9" i="5"/>
  <c r="M9" i="5"/>
  <c r="J9" i="5"/>
  <c r="I9" i="5"/>
  <c r="F9" i="5"/>
  <c r="E9" i="5"/>
  <c r="R10" i="5"/>
  <c r="Q10" i="5"/>
  <c r="N10" i="5"/>
  <c r="M10" i="5"/>
  <c r="J10" i="5"/>
  <c r="I10" i="5"/>
  <c r="F10" i="5"/>
  <c r="Y10" i="5" s="1"/>
  <c r="E10" i="5"/>
  <c r="R7" i="5"/>
  <c r="Q7" i="5"/>
  <c r="N7" i="5"/>
  <c r="M7" i="5"/>
  <c r="J7" i="5"/>
  <c r="I7" i="5"/>
  <c r="F7" i="5"/>
  <c r="X6" i="5" s="1"/>
  <c r="E7" i="5"/>
  <c r="R8" i="5"/>
  <c r="Q8" i="5"/>
  <c r="N8" i="5"/>
  <c r="M8" i="5"/>
  <c r="J8" i="5"/>
  <c r="I8" i="5"/>
  <c r="F8" i="5"/>
  <c r="Y8" i="5" s="1"/>
  <c r="E8" i="5"/>
  <c r="R6" i="5"/>
  <c r="Q6" i="5"/>
  <c r="N6" i="5"/>
  <c r="M6" i="5"/>
  <c r="J6" i="5"/>
  <c r="I6" i="5"/>
  <c r="F6" i="5"/>
  <c r="E6" i="5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D229" i="4"/>
  <c r="C229" i="4"/>
  <c r="E229" i="4" s="1"/>
  <c r="E228" i="4"/>
  <c r="E227" i="4"/>
  <c r="E226" i="4"/>
  <c r="E225" i="4"/>
  <c r="E224" i="4"/>
  <c r="E214" i="4"/>
  <c r="D214" i="4"/>
  <c r="C214" i="4"/>
  <c r="E213" i="4"/>
  <c r="E212" i="4"/>
  <c r="E211" i="4"/>
  <c r="E210" i="4"/>
  <c r="E209" i="4"/>
  <c r="E199" i="4"/>
  <c r="D199" i="4"/>
  <c r="C199" i="4"/>
  <c r="E198" i="4"/>
  <c r="E197" i="4"/>
  <c r="E196" i="4"/>
  <c r="E195" i="4"/>
  <c r="E194" i="4"/>
  <c r="D184" i="4"/>
  <c r="C184" i="4"/>
  <c r="E184" i="4" s="1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D49" i="4"/>
  <c r="C49" i="4"/>
  <c r="E49" i="4" s="1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D11" i="4"/>
  <c r="C11" i="4"/>
  <c r="E11" i="4" s="1"/>
  <c r="E10" i="4"/>
  <c r="E9" i="4"/>
  <c r="E8" i="4"/>
  <c r="E7" i="4"/>
  <c r="E6" i="4"/>
  <c r="R1181" i="2"/>
  <c r="Q1181" i="2"/>
  <c r="N1181" i="2"/>
  <c r="M1181" i="2"/>
  <c r="J1181" i="2"/>
  <c r="I1181" i="2"/>
  <c r="F1181" i="2"/>
  <c r="E1181" i="2"/>
  <c r="R1180" i="2"/>
  <c r="Q1180" i="2"/>
  <c r="N1180" i="2"/>
  <c r="M1180" i="2"/>
  <c r="J1180" i="2"/>
  <c r="I1180" i="2"/>
  <c r="F1180" i="2"/>
  <c r="E1180" i="2"/>
  <c r="R1179" i="2"/>
  <c r="Q1179" i="2"/>
  <c r="N1179" i="2"/>
  <c r="M1179" i="2"/>
  <c r="J1179" i="2"/>
  <c r="I1179" i="2"/>
  <c r="F1179" i="2"/>
  <c r="E1179" i="2"/>
  <c r="R1178" i="2"/>
  <c r="Q1178" i="2"/>
  <c r="N1178" i="2"/>
  <c r="M1178" i="2"/>
  <c r="J1178" i="2"/>
  <c r="I1178" i="2"/>
  <c r="F1178" i="2"/>
  <c r="E1178" i="2"/>
  <c r="R1177" i="2"/>
  <c r="Q1177" i="2"/>
  <c r="N1177" i="2"/>
  <c r="M1177" i="2"/>
  <c r="J1177" i="2"/>
  <c r="I1177" i="2"/>
  <c r="F1177" i="2"/>
  <c r="E1177" i="2"/>
  <c r="R1176" i="2"/>
  <c r="Q1176" i="2"/>
  <c r="N1176" i="2"/>
  <c r="M1176" i="2"/>
  <c r="J1176" i="2"/>
  <c r="I1176" i="2"/>
  <c r="F1176" i="2"/>
  <c r="E1176" i="2"/>
  <c r="R1175" i="2"/>
  <c r="Q1175" i="2"/>
  <c r="N1175" i="2"/>
  <c r="M1175" i="2"/>
  <c r="J1175" i="2"/>
  <c r="I1175" i="2"/>
  <c r="F1175" i="2"/>
  <c r="E1175" i="2"/>
  <c r="R1174" i="2"/>
  <c r="Q1174" i="2"/>
  <c r="N1174" i="2"/>
  <c r="M1174" i="2"/>
  <c r="J1174" i="2"/>
  <c r="I1174" i="2"/>
  <c r="F1174" i="2"/>
  <c r="E1174" i="2"/>
  <c r="R1173" i="2"/>
  <c r="Q1173" i="2"/>
  <c r="N1173" i="2"/>
  <c r="M1173" i="2"/>
  <c r="J1173" i="2"/>
  <c r="I1173" i="2"/>
  <c r="F1173" i="2"/>
  <c r="E1173" i="2"/>
  <c r="R1172" i="2"/>
  <c r="Q1172" i="2"/>
  <c r="N1172" i="2"/>
  <c r="M1172" i="2"/>
  <c r="J1172" i="2"/>
  <c r="I1172" i="2"/>
  <c r="F1172" i="2"/>
  <c r="E1172" i="2"/>
  <c r="R1171" i="2"/>
  <c r="Q1171" i="2"/>
  <c r="N1171" i="2"/>
  <c r="M1171" i="2"/>
  <c r="J1171" i="2"/>
  <c r="I1171" i="2"/>
  <c r="F1171" i="2"/>
  <c r="E1171" i="2"/>
  <c r="R1170" i="2"/>
  <c r="Q1170" i="2"/>
  <c r="N1170" i="2"/>
  <c r="M1170" i="2"/>
  <c r="J1170" i="2"/>
  <c r="I1170" i="2"/>
  <c r="F1170" i="2"/>
  <c r="E1170" i="2"/>
  <c r="R1169" i="2"/>
  <c r="Q1169" i="2"/>
  <c r="N1169" i="2"/>
  <c r="M1169" i="2"/>
  <c r="J1169" i="2"/>
  <c r="I1169" i="2"/>
  <c r="F1169" i="2"/>
  <c r="E1169" i="2"/>
  <c r="R1168" i="2"/>
  <c r="Q1168" i="2"/>
  <c r="N1168" i="2"/>
  <c r="M1168" i="2"/>
  <c r="J1168" i="2"/>
  <c r="I1168" i="2"/>
  <c r="F1168" i="2"/>
  <c r="E1168" i="2"/>
  <c r="R1167" i="2"/>
  <c r="Q1167" i="2"/>
  <c r="N1167" i="2"/>
  <c r="M1167" i="2"/>
  <c r="J1167" i="2"/>
  <c r="I1167" i="2"/>
  <c r="F1167" i="2"/>
  <c r="E1167" i="2"/>
  <c r="R1166" i="2"/>
  <c r="Q1166" i="2"/>
  <c r="N1166" i="2"/>
  <c r="M1166" i="2"/>
  <c r="J1166" i="2"/>
  <c r="I1166" i="2"/>
  <c r="F1166" i="2"/>
  <c r="E1166" i="2"/>
  <c r="R1165" i="2"/>
  <c r="Q1165" i="2"/>
  <c r="N1165" i="2"/>
  <c r="M1165" i="2"/>
  <c r="J1165" i="2"/>
  <c r="I1165" i="2"/>
  <c r="F1165" i="2"/>
  <c r="E1165" i="2"/>
  <c r="R1164" i="2"/>
  <c r="Q1164" i="2"/>
  <c r="N1164" i="2"/>
  <c r="M1164" i="2"/>
  <c r="J1164" i="2"/>
  <c r="I1164" i="2"/>
  <c r="F1164" i="2"/>
  <c r="E1164" i="2"/>
  <c r="R1163" i="2"/>
  <c r="Q1163" i="2"/>
  <c r="N1163" i="2"/>
  <c r="M1163" i="2"/>
  <c r="J1163" i="2"/>
  <c r="I1163" i="2"/>
  <c r="F1163" i="2"/>
  <c r="E1163" i="2"/>
  <c r="R1162" i="2"/>
  <c r="Q1162" i="2"/>
  <c r="N1162" i="2"/>
  <c r="M1162" i="2"/>
  <c r="J1162" i="2"/>
  <c r="I1162" i="2"/>
  <c r="F1162" i="2"/>
  <c r="E1162" i="2"/>
  <c r="R1161" i="2"/>
  <c r="Q1161" i="2"/>
  <c r="N1161" i="2"/>
  <c r="M1161" i="2"/>
  <c r="J1161" i="2"/>
  <c r="I1161" i="2"/>
  <c r="F1161" i="2"/>
  <c r="E1161" i="2"/>
  <c r="R1160" i="2"/>
  <c r="Q1160" i="2"/>
  <c r="N1160" i="2"/>
  <c r="M1160" i="2"/>
  <c r="J1160" i="2"/>
  <c r="I1160" i="2"/>
  <c r="F1160" i="2"/>
  <c r="E1160" i="2"/>
  <c r="R1159" i="2"/>
  <c r="Q1159" i="2"/>
  <c r="N1159" i="2"/>
  <c r="M1159" i="2"/>
  <c r="J1159" i="2"/>
  <c r="I1159" i="2"/>
  <c r="F1159" i="2"/>
  <c r="E1159" i="2"/>
  <c r="R1158" i="2"/>
  <c r="Q1158" i="2"/>
  <c r="N1158" i="2"/>
  <c r="M1158" i="2"/>
  <c r="J1158" i="2"/>
  <c r="I1158" i="2"/>
  <c r="F1158" i="2"/>
  <c r="E1158" i="2"/>
  <c r="R1157" i="2"/>
  <c r="Q1157" i="2"/>
  <c r="N1157" i="2"/>
  <c r="M1157" i="2"/>
  <c r="J1157" i="2"/>
  <c r="I1157" i="2"/>
  <c r="F1157" i="2"/>
  <c r="E1157" i="2"/>
  <c r="R1156" i="2"/>
  <c r="Q1156" i="2"/>
  <c r="N1156" i="2"/>
  <c r="M1156" i="2"/>
  <c r="J1156" i="2"/>
  <c r="I1156" i="2"/>
  <c r="F1156" i="2"/>
  <c r="E1156" i="2"/>
  <c r="R1155" i="2"/>
  <c r="Q1155" i="2"/>
  <c r="N1155" i="2"/>
  <c r="M1155" i="2"/>
  <c r="J1155" i="2"/>
  <c r="I1155" i="2"/>
  <c r="F1155" i="2"/>
  <c r="E1155" i="2"/>
  <c r="R1154" i="2"/>
  <c r="Q1154" i="2"/>
  <c r="N1154" i="2"/>
  <c r="M1154" i="2"/>
  <c r="J1154" i="2"/>
  <c r="I1154" i="2"/>
  <c r="F1154" i="2"/>
  <c r="E1154" i="2"/>
  <c r="R1153" i="2"/>
  <c r="Q1153" i="2"/>
  <c r="N1153" i="2"/>
  <c r="M1153" i="2"/>
  <c r="J1153" i="2"/>
  <c r="I1153" i="2"/>
  <c r="F1153" i="2"/>
  <c r="E1153" i="2"/>
  <c r="R1152" i="2"/>
  <c r="Q1152" i="2"/>
  <c r="N1152" i="2"/>
  <c r="M1152" i="2"/>
  <c r="J1152" i="2"/>
  <c r="I1152" i="2"/>
  <c r="F1152" i="2"/>
  <c r="E1152" i="2"/>
  <c r="R1151" i="2"/>
  <c r="Q1151" i="2"/>
  <c r="N1151" i="2"/>
  <c r="M1151" i="2"/>
  <c r="J1151" i="2"/>
  <c r="I1151" i="2"/>
  <c r="F1151" i="2"/>
  <c r="E1151" i="2"/>
  <c r="R1150" i="2"/>
  <c r="Q1150" i="2"/>
  <c r="N1150" i="2"/>
  <c r="M1150" i="2"/>
  <c r="J1150" i="2"/>
  <c r="I1150" i="2"/>
  <c r="F1150" i="2"/>
  <c r="E1150" i="2"/>
  <c r="R1149" i="2"/>
  <c r="Q1149" i="2"/>
  <c r="N1149" i="2"/>
  <c r="M1149" i="2"/>
  <c r="J1149" i="2"/>
  <c r="I1149" i="2"/>
  <c r="F1149" i="2"/>
  <c r="E1149" i="2"/>
  <c r="R1148" i="2"/>
  <c r="Q1148" i="2"/>
  <c r="N1148" i="2"/>
  <c r="M1148" i="2"/>
  <c r="J1148" i="2"/>
  <c r="I1148" i="2"/>
  <c r="F1148" i="2"/>
  <c r="E1148" i="2"/>
  <c r="R1147" i="2"/>
  <c r="Q1147" i="2"/>
  <c r="N1147" i="2"/>
  <c r="M1147" i="2"/>
  <c r="J1147" i="2"/>
  <c r="I1147" i="2"/>
  <c r="F1147" i="2"/>
  <c r="E1147" i="2"/>
  <c r="R1146" i="2"/>
  <c r="Q1146" i="2"/>
  <c r="N1146" i="2"/>
  <c r="M1146" i="2"/>
  <c r="J1146" i="2"/>
  <c r="I1146" i="2"/>
  <c r="F1146" i="2"/>
  <c r="E1146" i="2"/>
  <c r="R1145" i="2"/>
  <c r="Q1145" i="2"/>
  <c r="N1145" i="2"/>
  <c r="M1145" i="2"/>
  <c r="J1145" i="2"/>
  <c r="I1145" i="2"/>
  <c r="F1145" i="2"/>
  <c r="E1145" i="2"/>
  <c r="R1144" i="2"/>
  <c r="Q1144" i="2"/>
  <c r="N1144" i="2"/>
  <c r="M1144" i="2"/>
  <c r="J1144" i="2"/>
  <c r="I1144" i="2"/>
  <c r="F1144" i="2"/>
  <c r="E1144" i="2"/>
  <c r="R1143" i="2"/>
  <c r="Q1143" i="2"/>
  <c r="N1143" i="2"/>
  <c r="M1143" i="2"/>
  <c r="J1143" i="2"/>
  <c r="I1143" i="2"/>
  <c r="F1143" i="2"/>
  <c r="E1143" i="2"/>
  <c r="R1142" i="2"/>
  <c r="Q1142" i="2"/>
  <c r="N1142" i="2"/>
  <c r="M1142" i="2"/>
  <c r="J1142" i="2"/>
  <c r="I1142" i="2"/>
  <c r="F1142" i="2"/>
  <c r="E1142" i="2"/>
  <c r="R1141" i="2"/>
  <c r="Q1141" i="2"/>
  <c r="N1141" i="2"/>
  <c r="M1141" i="2"/>
  <c r="J1141" i="2"/>
  <c r="I1141" i="2"/>
  <c r="F1141" i="2"/>
  <c r="E1141" i="2"/>
  <c r="R1140" i="2"/>
  <c r="Q1140" i="2"/>
  <c r="N1140" i="2"/>
  <c r="M1140" i="2"/>
  <c r="J1140" i="2"/>
  <c r="I1140" i="2"/>
  <c r="F1140" i="2"/>
  <c r="E1140" i="2"/>
  <c r="R1139" i="2"/>
  <c r="Q1139" i="2"/>
  <c r="N1139" i="2"/>
  <c r="M1139" i="2"/>
  <c r="J1139" i="2"/>
  <c r="I1139" i="2"/>
  <c r="F1139" i="2"/>
  <c r="E1139" i="2"/>
  <c r="R1138" i="2"/>
  <c r="Q1138" i="2"/>
  <c r="N1138" i="2"/>
  <c r="M1138" i="2"/>
  <c r="J1138" i="2"/>
  <c r="I1138" i="2"/>
  <c r="F1138" i="2"/>
  <c r="E1138" i="2"/>
  <c r="R1137" i="2"/>
  <c r="Q1137" i="2"/>
  <c r="N1137" i="2"/>
  <c r="M1137" i="2"/>
  <c r="J1137" i="2"/>
  <c r="I1137" i="2"/>
  <c r="F1137" i="2"/>
  <c r="E1137" i="2"/>
  <c r="R1136" i="2"/>
  <c r="Q1136" i="2"/>
  <c r="N1136" i="2"/>
  <c r="M1136" i="2"/>
  <c r="J1136" i="2"/>
  <c r="I1136" i="2"/>
  <c r="F1136" i="2"/>
  <c r="E1136" i="2"/>
  <c r="R1135" i="2"/>
  <c r="Q1135" i="2"/>
  <c r="N1135" i="2"/>
  <c r="M1135" i="2"/>
  <c r="J1135" i="2"/>
  <c r="I1135" i="2"/>
  <c r="F1135" i="2"/>
  <c r="E1135" i="2"/>
  <c r="R1134" i="2"/>
  <c r="Q1134" i="2"/>
  <c r="N1134" i="2"/>
  <c r="M1134" i="2"/>
  <c r="J1134" i="2"/>
  <c r="I1134" i="2"/>
  <c r="F1134" i="2"/>
  <c r="E1134" i="2"/>
  <c r="R1133" i="2"/>
  <c r="Q1133" i="2"/>
  <c r="N1133" i="2"/>
  <c r="M1133" i="2"/>
  <c r="J1133" i="2"/>
  <c r="I1133" i="2"/>
  <c r="F1133" i="2"/>
  <c r="E1133" i="2"/>
  <c r="R1132" i="2"/>
  <c r="Q1132" i="2"/>
  <c r="N1132" i="2"/>
  <c r="M1132" i="2"/>
  <c r="J1132" i="2"/>
  <c r="I1132" i="2"/>
  <c r="F1132" i="2"/>
  <c r="E1132" i="2"/>
  <c r="R1131" i="2"/>
  <c r="Q1131" i="2"/>
  <c r="N1131" i="2"/>
  <c r="M1131" i="2"/>
  <c r="J1131" i="2"/>
  <c r="I1131" i="2"/>
  <c r="F1131" i="2"/>
  <c r="E1131" i="2"/>
  <c r="R1130" i="2"/>
  <c r="Q1130" i="2"/>
  <c r="N1130" i="2"/>
  <c r="M1130" i="2"/>
  <c r="J1130" i="2"/>
  <c r="I1130" i="2"/>
  <c r="F1130" i="2"/>
  <c r="E1130" i="2"/>
  <c r="R1129" i="2"/>
  <c r="Q1129" i="2"/>
  <c r="N1129" i="2"/>
  <c r="M1129" i="2"/>
  <c r="J1129" i="2"/>
  <c r="I1129" i="2"/>
  <c r="F1129" i="2"/>
  <c r="E1129" i="2"/>
  <c r="R1128" i="2"/>
  <c r="Q1128" i="2"/>
  <c r="N1128" i="2"/>
  <c r="M1128" i="2"/>
  <c r="J1128" i="2"/>
  <c r="I1128" i="2"/>
  <c r="F1128" i="2"/>
  <c r="E1128" i="2"/>
  <c r="R1127" i="2"/>
  <c r="Q1127" i="2"/>
  <c r="N1127" i="2"/>
  <c r="M1127" i="2"/>
  <c r="J1127" i="2"/>
  <c r="I1127" i="2"/>
  <c r="F1127" i="2"/>
  <c r="E1127" i="2"/>
  <c r="R1126" i="2"/>
  <c r="Q1126" i="2"/>
  <c r="N1126" i="2"/>
  <c r="M1126" i="2"/>
  <c r="J1126" i="2"/>
  <c r="I1126" i="2"/>
  <c r="F1126" i="2"/>
  <c r="E1126" i="2"/>
  <c r="R1125" i="2"/>
  <c r="Q1125" i="2"/>
  <c r="N1125" i="2"/>
  <c r="M1125" i="2"/>
  <c r="J1125" i="2"/>
  <c r="I1125" i="2"/>
  <c r="F1125" i="2"/>
  <c r="E1125" i="2"/>
  <c r="R1124" i="2"/>
  <c r="Q1124" i="2"/>
  <c r="N1124" i="2"/>
  <c r="M1124" i="2"/>
  <c r="J1124" i="2"/>
  <c r="I1124" i="2"/>
  <c r="F1124" i="2"/>
  <c r="E1124" i="2"/>
  <c r="R1123" i="2"/>
  <c r="Q1123" i="2"/>
  <c r="N1123" i="2"/>
  <c r="M1123" i="2"/>
  <c r="J1123" i="2"/>
  <c r="I1123" i="2"/>
  <c r="F1123" i="2"/>
  <c r="E1123" i="2"/>
  <c r="R1122" i="2"/>
  <c r="Q1122" i="2"/>
  <c r="N1122" i="2"/>
  <c r="M1122" i="2"/>
  <c r="J1122" i="2"/>
  <c r="I1122" i="2"/>
  <c r="F1122" i="2"/>
  <c r="E1122" i="2"/>
  <c r="R1121" i="2"/>
  <c r="Q1121" i="2"/>
  <c r="N1121" i="2"/>
  <c r="M1121" i="2"/>
  <c r="J1121" i="2"/>
  <c r="I1121" i="2"/>
  <c r="F1121" i="2"/>
  <c r="E1121" i="2"/>
  <c r="R1120" i="2"/>
  <c r="Q1120" i="2"/>
  <c r="N1120" i="2"/>
  <c r="M1120" i="2"/>
  <c r="J1120" i="2"/>
  <c r="I1120" i="2"/>
  <c r="F1120" i="2"/>
  <c r="E1120" i="2"/>
  <c r="R1119" i="2"/>
  <c r="Q1119" i="2"/>
  <c r="N1119" i="2"/>
  <c r="M1119" i="2"/>
  <c r="J1119" i="2"/>
  <c r="I1119" i="2"/>
  <c r="F1119" i="2"/>
  <c r="E1119" i="2"/>
  <c r="R1118" i="2"/>
  <c r="Q1118" i="2"/>
  <c r="N1118" i="2"/>
  <c r="M1118" i="2"/>
  <c r="J1118" i="2"/>
  <c r="I1118" i="2"/>
  <c r="F1118" i="2"/>
  <c r="E1118" i="2"/>
  <c r="R1117" i="2"/>
  <c r="Q1117" i="2"/>
  <c r="N1117" i="2"/>
  <c r="M1117" i="2"/>
  <c r="J1117" i="2"/>
  <c r="I1117" i="2"/>
  <c r="F1117" i="2"/>
  <c r="E1117" i="2"/>
  <c r="R1116" i="2"/>
  <c r="Q1116" i="2"/>
  <c r="N1116" i="2"/>
  <c r="M1116" i="2"/>
  <c r="J1116" i="2"/>
  <c r="I1116" i="2"/>
  <c r="F1116" i="2"/>
  <c r="E1116" i="2"/>
  <c r="R1115" i="2"/>
  <c r="Q1115" i="2"/>
  <c r="N1115" i="2"/>
  <c r="M1115" i="2"/>
  <c r="J1115" i="2"/>
  <c r="I1115" i="2"/>
  <c r="F1115" i="2"/>
  <c r="E1115" i="2"/>
  <c r="R1114" i="2"/>
  <c r="Q1114" i="2"/>
  <c r="N1114" i="2"/>
  <c r="M1114" i="2"/>
  <c r="J1114" i="2"/>
  <c r="I1114" i="2"/>
  <c r="F1114" i="2"/>
  <c r="E1114" i="2"/>
  <c r="R1113" i="2"/>
  <c r="Q1113" i="2"/>
  <c r="N1113" i="2"/>
  <c r="M1113" i="2"/>
  <c r="J1113" i="2"/>
  <c r="I1113" i="2"/>
  <c r="F1113" i="2"/>
  <c r="E1113" i="2"/>
  <c r="R1112" i="2"/>
  <c r="Q1112" i="2"/>
  <c r="N1112" i="2"/>
  <c r="M1112" i="2"/>
  <c r="J1112" i="2"/>
  <c r="I1112" i="2"/>
  <c r="F1112" i="2"/>
  <c r="E1112" i="2"/>
  <c r="R1111" i="2"/>
  <c r="Q1111" i="2"/>
  <c r="N1111" i="2"/>
  <c r="M1111" i="2"/>
  <c r="J1111" i="2"/>
  <c r="I1111" i="2"/>
  <c r="F1111" i="2"/>
  <c r="E1111" i="2"/>
  <c r="R1110" i="2"/>
  <c r="Q1110" i="2"/>
  <c r="N1110" i="2"/>
  <c r="M1110" i="2"/>
  <c r="J1110" i="2"/>
  <c r="I1110" i="2"/>
  <c r="F1110" i="2"/>
  <c r="E1110" i="2"/>
  <c r="R1109" i="2"/>
  <c r="Q1109" i="2"/>
  <c r="N1109" i="2"/>
  <c r="M1109" i="2"/>
  <c r="J1109" i="2"/>
  <c r="I1109" i="2"/>
  <c r="F1109" i="2"/>
  <c r="E1109" i="2"/>
  <c r="R1108" i="2"/>
  <c r="Q1108" i="2"/>
  <c r="N1108" i="2"/>
  <c r="M1108" i="2"/>
  <c r="J1108" i="2"/>
  <c r="I1108" i="2"/>
  <c r="F1108" i="2"/>
  <c r="E1108" i="2"/>
  <c r="R1107" i="2"/>
  <c r="Q1107" i="2"/>
  <c r="N1107" i="2"/>
  <c r="M1107" i="2"/>
  <c r="J1107" i="2"/>
  <c r="I1107" i="2"/>
  <c r="F1107" i="2"/>
  <c r="E1107" i="2"/>
  <c r="R1106" i="2"/>
  <c r="Q1106" i="2"/>
  <c r="N1106" i="2"/>
  <c r="M1106" i="2"/>
  <c r="J1106" i="2"/>
  <c r="I1106" i="2"/>
  <c r="F1106" i="2"/>
  <c r="E1106" i="2"/>
  <c r="R1105" i="2"/>
  <c r="Q1105" i="2"/>
  <c r="N1105" i="2"/>
  <c r="M1105" i="2"/>
  <c r="J1105" i="2"/>
  <c r="I1105" i="2"/>
  <c r="F1105" i="2"/>
  <c r="E1105" i="2"/>
  <c r="R1104" i="2"/>
  <c r="Q1104" i="2"/>
  <c r="N1104" i="2"/>
  <c r="M1104" i="2"/>
  <c r="J1104" i="2"/>
  <c r="I1104" i="2"/>
  <c r="F1104" i="2"/>
  <c r="E1104" i="2"/>
  <c r="R1103" i="2"/>
  <c r="Q1103" i="2"/>
  <c r="N1103" i="2"/>
  <c r="M1103" i="2"/>
  <c r="J1103" i="2"/>
  <c r="I1103" i="2"/>
  <c r="F1103" i="2"/>
  <c r="E1103" i="2"/>
  <c r="R1102" i="2"/>
  <c r="Q1102" i="2"/>
  <c r="N1102" i="2"/>
  <c r="M1102" i="2"/>
  <c r="J1102" i="2"/>
  <c r="I1102" i="2"/>
  <c r="F1102" i="2"/>
  <c r="E1102" i="2"/>
  <c r="R1101" i="2"/>
  <c r="Q1101" i="2"/>
  <c r="N1101" i="2"/>
  <c r="M1101" i="2"/>
  <c r="J1101" i="2"/>
  <c r="I1101" i="2"/>
  <c r="F1101" i="2"/>
  <c r="E1101" i="2"/>
  <c r="R1100" i="2"/>
  <c r="Q1100" i="2"/>
  <c r="N1100" i="2"/>
  <c r="M1100" i="2"/>
  <c r="J1100" i="2"/>
  <c r="I1100" i="2"/>
  <c r="F1100" i="2"/>
  <c r="E1100" i="2"/>
  <c r="R1099" i="2"/>
  <c r="Q1099" i="2"/>
  <c r="N1099" i="2"/>
  <c r="M1099" i="2"/>
  <c r="J1099" i="2"/>
  <c r="I1099" i="2"/>
  <c r="F1099" i="2"/>
  <c r="E1099" i="2"/>
  <c r="R1098" i="2"/>
  <c r="Q1098" i="2"/>
  <c r="N1098" i="2"/>
  <c r="M1098" i="2"/>
  <c r="J1098" i="2"/>
  <c r="I1098" i="2"/>
  <c r="F1098" i="2"/>
  <c r="E1098" i="2"/>
  <c r="R1097" i="2"/>
  <c r="Q1097" i="2"/>
  <c r="N1097" i="2"/>
  <c r="M1097" i="2"/>
  <c r="J1097" i="2"/>
  <c r="I1097" i="2"/>
  <c r="F1097" i="2"/>
  <c r="E1097" i="2"/>
  <c r="R1096" i="2"/>
  <c r="Q1096" i="2"/>
  <c r="N1096" i="2"/>
  <c r="M1096" i="2"/>
  <c r="J1096" i="2"/>
  <c r="I1096" i="2"/>
  <c r="F1096" i="2"/>
  <c r="E1096" i="2"/>
  <c r="R1095" i="2"/>
  <c r="Q1095" i="2"/>
  <c r="N1095" i="2"/>
  <c r="M1095" i="2"/>
  <c r="J1095" i="2"/>
  <c r="I1095" i="2"/>
  <c r="F1095" i="2"/>
  <c r="E1095" i="2"/>
  <c r="R1094" i="2"/>
  <c r="Q1094" i="2"/>
  <c r="N1094" i="2"/>
  <c r="M1094" i="2"/>
  <c r="J1094" i="2"/>
  <c r="I1094" i="2"/>
  <c r="F1094" i="2"/>
  <c r="E1094" i="2"/>
  <c r="R1093" i="2"/>
  <c r="Q1093" i="2"/>
  <c r="N1093" i="2"/>
  <c r="M1093" i="2"/>
  <c r="J1093" i="2"/>
  <c r="I1093" i="2"/>
  <c r="F1093" i="2"/>
  <c r="E1093" i="2"/>
  <c r="R1092" i="2"/>
  <c r="Q1092" i="2"/>
  <c r="N1092" i="2"/>
  <c r="M1092" i="2"/>
  <c r="J1092" i="2"/>
  <c r="I1092" i="2"/>
  <c r="F1092" i="2"/>
  <c r="E1092" i="2"/>
  <c r="R1091" i="2"/>
  <c r="Q1091" i="2"/>
  <c r="N1091" i="2"/>
  <c r="M1091" i="2"/>
  <c r="J1091" i="2"/>
  <c r="I1091" i="2"/>
  <c r="F1091" i="2"/>
  <c r="E1091" i="2"/>
  <c r="R1090" i="2"/>
  <c r="Q1090" i="2"/>
  <c r="N1090" i="2"/>
  <c r="M1090" i="2"/>
  <c r="J1090" i="2"/>
  <c r="I1090" i="2"/>
  <c r="F1090" i="2"/>
  <c r="E1090" i="2"/>
  <c r="R1089" i="2"/>
  <c r="Q1089" i="2"/>
  <c r="N1089" i="2"/>
  <c r="M1089" i="2"/>
  <c r="J1089" i="2"/>
  <c r="I1089" i="2"/>
  <c r="F1089" i="2"/>
  <c r="E1089" i="2"/>
  <c r="R1088" i="2"/>
  <c r="Q1088" i="2"/>
  <c r="N1088" i="2"/>
  <c r="M1088" i="2"/>
  <c r="J1088" i="2"/>
  <c r="I1088" i="2"/>
  <c r="F1088" i="2"/>
  <c r="E1088" i="2"/>
  <c r="R1087" i="2"/>
  <c r="Q1087" i="2"/>
  <c r="N1087" i="2"/>
  <c r="M1087" i="2"/>
  <c r="J1087" i="2"/>
  <c r="I1087" i="2"/>
  <c r="F1087" i="2"/>
  <c r="E1087" i="2"/>
  <c r="R1086" i="2"/>
  <c r="Q1086" i="2"/>
  <c r="N1086" i="2"/>
  <c r="M1086" i="2"/>
  <c r="J1086" i="2"/>
  <c r="I1086" i="2"/>
  <c r="F1086" i="2"/>
  <c r="E1086" i="2"/>
  <c r="R1085" i="2"/>
  <c r="Q1085" i="2"/>
  <c r="N1085" i="2"/>
  <c r="M1085" i="2"/>
  <c r="J1085" i="2"/>
  <c r="I1085" i="2"/>
  <c r="F1085" i="2"/>
  <c r="E1085" i="2"/>
  <c r="R1084" i="2"/>
  <c r="Q1084" i="2"/>
  <c r="N1084" i="2"/>
  <c r="M1084" i="2"/>
  <c r="J1084" i="2"/>
  <c r="I1084" i="2"/>
  <c r="F1084" i="2"/>
  <c r="E1084" i="2"/>
  <c r="R1083" i="2"/>
  <c r="Q1083" i="2"/>
  <c r="N1083" i="2"/>
  <c r="M1083" i="2"/>
  <c r="J1083" i="2"/>
  <c r="I1083" i="2"/>
  <c r="F1083" i="2"/>
  <c r="E1083" i="2"/>
  <c r="R1082" i="2"/>
  <c r="Q1082" i="2"/>
  <c r="N1082" i="2"/>
  <c r="M1082" i="2"/>
  <c r="J1082" i="2"/>
  <c r="I1082" i="2"/>
  <c r="F1082" i="2"/>
  <c r="E1082" i="2"/>
  <c r="R1081" i="2"/>
  <c r="Q1081" i="2"/>
  <c r="N1081" i="2"/>
  <c r="M1081" i="2"/>
  <c r="J1081" i="2"/>
  <c r="I1081" i="2"/>
  <c r="F1081" i="2"/>
  <c r="E1081" i="2"/>
  <c r="R1080" i="2"/>
  <c r="Q1080" i="2"/>
  <c r="N1080" i="2"/>
  <c r="M1080" i="2"/>
  <c r="J1080" i="2"/>
  <c r="I1080" i="2"/>
  <c r="F1080" i="2"/>
  <c r="E1080" i="2"/>
  <c r="R1079" i="2"/>
  <c r="Q1079" i="2"/>
  <c r="N1079" i="2"/>
  <c r="M1079" i="2"/>
  <c r="J1079" i="2"/>
  <c r="I1079" i="2"/>
  <c r="F1079" i="2"/>
  <c r="E1079" i="2"/>
  <c r="R1078" i="2"/>
  <c r="Q1078" i="2"/>
  <c r="N1078" i="2"/>
  <c r="M1078" i="2"/>
  <c r="J1078" i="2"/>
  <c r="I1078" i="2"/>
  <c r="F1078" i="2"/>
  <c r="E1078" i="2"/>
  <c r="R1077" i="2"/>
  <c r="Q1077" i="2"/>
  <c r="N1077" i="2"/>
  <c r="M1077" i="2"/>
  <c r="J1077" i="2"/>
  <c r="I1077" i="2"/>
  <c r="F1077" i="2"/>
  <c r="E1077" i="2"/>
  <c r="R1076" i="2"/>
  <c r="Q1076" i="2"/>
  <c r="N1076" i="2"/>
  <c r="M1076" i="2"/>
  <c r="J1076" i="2"/>
  <c r="I1076" i="2"/>
  <c r="F1076" i="2"/>
  <c r="E1076" i="2"/>
  <c r="R1075" i="2"/>
  <c r="Q1075" i="2"/>
  <c r="N1075" i="2"/>
  <c r="M1075" i="2"/>
  <c r="J1075" i="2"/>
  <c r="I1075" i="2"/>
  <c r="F1075" i="2"/>
  <c r="E1075" i="2"/>
  <c r="R1074" i="2"/>
  <c r="Q1074" i="2"/>
  <c r="N1074" i="2"/>
  <c r="M1074" i="2"/>
  <c r="J1074" i="2"/>
  <c r="I1074" i="2"/>
  <c r="F1074" i="2"/>
  <c r="E1074" i="2"/>
  <c r="R1073" i="2"/>
  <c r="Q1073" i="2"/>
  <c r="N1073" i="2"/>
  <c r="M1073" i="2"/>
  <c r="J1073" i="2"/>
  <c r="I1073" i="2"/>
  <c r="F1073" i="2"/>
  <c r="E1073" i="2"/>
  <c r="R1072" i="2"/>
  <c r="Q1072" i="2"/>
  <c r="N1072" i="2"/>
  <c r="M1072" i="2"/>
  <c r="J1072" i="2"/>
  <c r="I1072" i="2"/>
  <c r="F1072" i="2"/>
  <c r="E1072" i="2"/>
  <c r="R1071" i="2"/>
  <c r="Q1071" i="2"/>
  <c r="N1071" i="2"/>
  <c r="M1071" i="2"/>
  <c r="J1071" i="2"/>
  <c r="I1071" i="2"/>
  <c r="F1071" i="2"/>
  <c r="E1071" i="2"/>
  <c r="R1070" i="2"/>
  <c r="Q1070" i="2"/>
  <c r="N1070" i="2"/>
  <c r="M1070" i="2"/>
  <c r="J1070" i="2"/>
  <c r="I1070" i="2"/>
  <c r="F1070" i="2"/>
  <c r="E1070" i="2"/>
  <c r="R1069" i="2"/>
  <c r="Q1069" i="2"/>
  <c r="N1069" i="2"/>
  <c r="M1069" i="2"/>
  <c r="J1069" i="2"/>
  <c r="I1069" i="2"/>
  <c r="F1069" i="2"/>
  <c r="E1069" i="2"/>
  <c r="R1068" i="2"/>
  <c r="Q1068" i="2"/>
  <c r="N1068" i="2"/>
  <c r="M1068" i="2"/>
  <c r="J1068" i="2"/>
  <c r="I1068" i="2"/>
  <c r="F1068" i="2"/>
  <c r="E1068" i="2"/>
  <c r="R1067" i="2"/>
  <c r="Q1067" i="2"/>
  <c r="N1067" i="2"/>
  <c r="M1067" i="2"/>
  <c r="J1067" i="2"/>
  <c r="I1067" i="2"/>
  <c r="F1067" i="2"/>
  <c r="E1067" i="2"/>
  <c r="R1066" i="2"/>
  <c r="Q1066" i="2"/>
  <c r="N1066" i="2"/>
  <c r="M1066" i="2"/>
  <c r="J1066" i="2"/>
  <c r="I1066" i="2"/>
  <c r="F1066" i="2"/>
  <c r="E1066" i="2"/>
  <c r="R1065" i="2"/>
  <c r="Q1065" i="2"/>
  <c r="N1065" i="2"/>
  <c r="M1065" i="2"/>
  <c r="J1065" i="2"/>
  <c r="I1065" i="2"/>
  <c r="F1065" i="2"/>
  <c r="E1065" i="2"/>
  <c r="R1064" i="2"/>
  <c r="Q1064" i="2"/>
  <c r="N1064" i="2"/>
  <c r="M1064" i="2"/>
  <c r="J1064" i="2"/>
  <c r="I1064" i="2"/>
  <c r="F1064" i="2"/>
  <c r="E1064" i="2"/>
  <c r="R1063" i="2"/>
  <c r="Q1063" i="2"/>
  <c r="N1063" i="2"/>
  <c r="M1063" i="2"/>
  <c r="J1063" i="2"/>
  <c r="I1063" i="2"/>
  <c r="F1063" i="2"/>
  <c r="E1063" i="2"/>
  <c r="R1062" i="2"/>
  <c r="Q1062" i="2"/>
  <c r="N1062" i="2"/>
  <c r="M1062" i="2"/>
  <c r="J1062" i="2"/>
  <c r="I1062" i="2"/>
  <c r="F1062" i="2"/>
  <c r="E1062" i="2"/>
  <c r="R1061" i="2"/>
  <c r="Q1061" i="2"/>
  <c r="N1061" i="2"/>
  <c r="M1061" i="2"/>
  <c r="J1061" i="2"/>
  <c r="I1061" i="2"/>
  <c r="F1061" i="2"/>
  <c r="E1061" i="2"/>
  <c r="R1060" i="2"/>
  <c r="Q1060" i="2"/>
  <c r="N1060" i="2"/>
  <c r="M1060" i="2"/>
  <c r="J1060" i="2"/>
  <c r="I1060" i="2"/>
  <c r="F1060" i="2"/>
  <c r="E1060" i="2"/>
  <c r="R1059" i="2"/>
  <c r="Q1059" i="2"/>
  <c r="N1059" i="2"/>
  <c r="M1059" i="2"/>
  <c r="J1059" i="2"/>
  <c r="I1059" i="2"/>
  <c r="F1059" i="2"/>
  <c r="E1059" i="2"/>
  <c r="R1058" i="2"/>
  <c r="Q1058" i="2"/>
  <c r="N1058" i="2"/>
  <c r="M1058" i="2"/>
  <c r="J1058" i="2"/>
  <c r="I1058" i="2"/>
  <c r="F1058" i="2"/>
  <c r="E1058" i="2"/>
  <c r="R1057" i="2"/>
  <c r="Q1057" i="2"/>
  <c r="N1057" i="2"/>
  <c r="M1057" i="2"/>
  <c r="J1057" i="2"/>
  <c r="I1057" i="2"/>
  <c r="F1057" i="2"/>
  <c r="E1057" i="2"/>
  <c r="R1056" i="2"/>
  <c r="Q1056" i="2"/>
  <c r="N1056" i="2"/>
  <c r="M1056" i="2"/>
  <c r="J1056" i="2"/>
  <c r="I1056" i="2"/>
  <c r="F1056" i="2"/>
  <c r="E1056" i="2"/>
  <c r="R1055" i="2"/>
  <c r="Q1055" i="2"/>
  <c r="N1055" i="2"/>
  <c r="M1055" i="2"/>
  <c r="J1055" i="2"/>
  <c r="I1055" i="2"/>
  <c r="F1055" i="2"/>
  <c r="E1055" i="2"/>
  <c r="R1054" i="2"/>
  <c r="Q1054" i="2"/>
  <c r="N1054" i="2"/>
  <c r="M1054" i="2"/>
  <c r="J1054" i="2"/>
  <c r="I1054" i="2"/>
  <c r="F1054" i="2"/>
  <c r="E1054" i="2"/>
  <c r="R1053" i="2"/>
  <c r="Q1053" i="2"/>
  <c r="N1053" i="2"/>
  <c r="M1053" i="2"/>
  <c r="J1053" i="2"/>
  <c r="I1053" i="2"/>
  <c r="F1053" i="2"/>
  <c r="E1053" i="2"/>
  <c r="R1052" i="2"/>
  <c r="Q1052" i="2"/>
  <c r="N1052" i="2"/>
  <c r="M1052" i="2"/>
  <c r="J1052" i="2"/>
  <c r="I1052" i="2"/>
  <c r="F1052" i="2"/>
  <c r="E1052" i="2"/>
  <c r="R1051" i="2"/>
  <c r="Q1051" i="2"/>
  <c r="N1051" i="2"/>
  <c r="M1051" i="2"/>
  <c r="J1051" i="2"/>
  <c r="I1051" i="2"/>
  <c r="F1051" i="2"/>
  <c r="E1051" i="2"/>
  <c r="R1050" i="2"/>
  <c r="Q1050" i="2"/>
  <c r="N1050" i="2"/>
  <c r="M1050" i="2"/>
  <c r="J1050" i="2"/>
  <c r="I1050" i="2"/>
  <c r="F1050" i="2"/>
  <c r="E1050" i="2"/>
  <c r="R1049" i="2"/>
  <c r="Q1049" i="2"/>
  <c r="N1049" i="2"/>
  <c r="M1049" i="2"/>
  <c r="J1049" i="2"/>
  <c r="I1049" i="2"/>
  <c r="F1049" i="2"/>
  <c r="E1049" i="2"/>
  <c r="R1048" i="2"/>
  <c r="Q1048" i="2"/>
  <c r="N1048" i="2"/>
  <c r="M1048" i="2"/>
  <c r="J1048" i="2"/>
  <c r="I1048" i="2"/>
  <c r="F1048" i="2"/>
  <c r="E1048" i="2"/>
  <c r="R1047" i="2"/>
  <c r="Q1047" i="2"/>
  <c r="N1047" i="2"/>
  <c r="M1047" i="2"/>
  <c r="J1047" i="2"/>
  <c r="I1047" i="2"/>
  <c r="F1047" i="2"/>
  <c r="E1047" i="2"/>
  <c r="R1046" i="2"/>
  <c r="Q1046" i="2"/>
  <c r="N1046" i="2"/>
  <c r="M1046" i="2"/>
  <c r="J1046" i="2"/>
  <c r="I1046" i="2"/>
  <c r="F1046" i="2"/>
  <c r="E1046" i="2"/>
  <c r="R1045" i="2"/>
  <c r="Q1045" i="2"/>
  <c r="N1045" i="2"/>
  <c r="M1045" i="2"/>
  <c r="J1045" i="2"/>
  <c r="I1045" i="2"/>
  <c r="F1045" i="2"/>
  <c r="E1045" i="2"/>
  <c r="R1044" i="2"/>
  <c r="Q1044" i="2"/>
  <c r="N1044" i="2"/>
  <c r="M1044" i="2"/>
  <c r="J1044" i="2"/>
  <c r="I1044" i="2"/>
  <c r="F1044" i="2"/>
  <c r="E1044" i="2"/>
  <c r="R1043" i="2"/>
  <c r="Q1043" i="2"/>
  <c r="N1043" i="2"/>
  <c r="M1043" i="2"/>
  <c r="J1043" i="2"/>
  <c r="I1043" i="2"/>
  <c r="F1043" i="2"/>
  <c r="E1043" i="2"/>
  <c r="R1042" i="2"/>
  <c r="Q1042" i="2"/>
  <c r="N1042" i="2"/>
  <c r="M1042" i="2"/>
  <c r="J1042" i="2"/>
  <c r="I1042" i="2"/>
  <c r="F1042" i="2"/>
  <c r="E1042" i="2"/>
  <c r="R1041" i="2"/>
  <c r="Q1041" i="2"/>
  <c r="N1041" i="2"/>
  <c r="M1041" i="2"/>
  <c r="J1041" i="2"/>
  <c r="I1041" i="2"/>
  <c r="F1041" i="2"/>
  <c r="E1041" i="2"/>
  <c r="R1040" i="2"/>
  <c r="Q1040" i="2"/>
  <c r="N1040" i="2"/>
  <c r="M1040" i="2"/>
  <c r="J1040" i="2"/>
  <c r="I1040" i="2"/>
  <c r="F1040" i="2"/>
  <c r="E1040" i="2"/>
  <c r="R1039" i="2"/>
  <c r="Q1039" i="2"/>
  <c r="N1039" i="2"/>
  <c r="M1039" i="2"/>
  <c r="J1039" i="2"/>
  <c r="I1039" i="2"/>
  <c r="F1039" i="2"/>
  <c r="E1039" i="2"/>
  <c r="R1038" i="2"/>
  <c r="Q1038" i="2"/>
  <c r="N1038" i="2"/>
  <c r="M1038" i="2"/>
  <c r="J1038" i="2"/>
  <c r="I1038" i="2"/>
  <c r="F1038" i="2"/>
  <c r="E1038" i="2"/>
  <c r="R1037" i="2"/>
  <c r="Q1037" i="2"/>
  <c r="N1037" i="2"/>
  <c r="M1037" i="2"/>
  <c r="J1037" i="2"/>
  <c r="I1037" i="2"/>
  <c r="F1037" i="2"/>
  <c r="E1037" i="2"/>
  <c r="R1036" i="2"/>
  <c r="Q1036" i="2"/>
  <c r="N1036" i="2"/>
  <c r="M1036" i="2"/>
  <c r="J1036" i="2"/>
  <c r="I1036" i="2"/>
  <c r="F1036" i="2"/>
  <c r="E1036" i="2"/>
  <c r="R1035" i="2"/>
  <c r="Q1035" i="2"/>
  <c r="N1035" i="2"/>
  <c r="M1035" i="2"/>
  <c r="J1035" i="2"/>
  <c r="I1035" i="2"/>
  <c r="F1035" i="2"/>
  <c r="E1035" i="2"/>
  <c r="R1034" i="2"/>
  <c r="Q1034" i="2"/>
  <c r="N1034" i="2"/>
  <c r="M1034" i="2"/>
  <c r="J1034" i="2"/>
  <c r="I1034" i="2"/>
  <c r="F1034" i="2"/>
  <c r="E1034" i="2"/>
  <c r="R1033" i="2"/>
  <c r="Q1033" i="2"/>
  <c r="N1033" i="2"/>
  <c r="M1033" i="2"/>
  <c r="J1033" i="2"/>
  <c r="I1033" i="2"/>
  <c r="F1033" i="2"/>
  <c r="E1033" i="2"/>
  <c r="R1032" i="2"/>
  <c r="Q1032" i="2"/>
  <c r="N1032" i="2"/>
  <c r="M1032" i="2"/>
  <c r="J1032" i="2"/>
  <c r="I1032" i="2"/>
  <c r="F1032" i="2"/>
  <c r="E1032" i="2"/>
  <c r="R1031" i="2"/>
  <c r="Q1031" i="2"/>
  <c r="N1031" i="2"/>
  <c r="M1031" i="2"/>
  <c r="J1031" i="2"/>
  <c r="I1031" i="2"/>
  <c r="F1031" i="2"/>
  <c r="E1031" i="2"/>
  <c r="R1030" i="2"/>
  <c r="Q1030" i="2"/>
  <c r="N1030" i="2"/>
  <c r="M1030" i="2"/>
  <c r="J1030" i="2"/>
  <c r="I1030" i="2"/>
  <c r="F1030" i="2"/>
  <c r="E1030" i="2"/>
  <c r="R1029" i="2"/>
  <c r="Q1029" i="2"/>
  <c r="N1029" i="2"/>
  <c r="M1029" i="2"/>
  <c r="J1029" i="2"/>
  <c r="I1029" i="2"/>
  <c r="F1029" i="2"/>
  <c r="E1029" i="2"/>
  <c r="R1028" i="2"/>
  <c r="Q1028" i="2"/>
  <c r="N1028" i="2"/>
  <c r="M1028" i="2"/>
  <c r="J1028" i="2"/>
  <c r="I1028" i="2"/>
  <c r="F1028" i="2"/>
  <c r="E1028" i="2"/>
  <c r="R1027" i="2"/>
  <c r="Q1027" i="2"/>
  <c r="N1027" i="2"/>
  <c r="M1027" i="2"/>
  <c r="J1027" i="2"/>
  <c r="I1027" i="2"/>
  <c r="F1027" i="2"/>
  <c r="E1027" i="2"/>
  <c r="R1026" i="2"/>
  <c r="Q1026" i="2"/>
  <c r="N1026" i="2"/>
  <c r="M1026" i="2"/>
  <c r="J1026" i="2"/>
  <c r="I1026" i="2"/>
  <c r="F1026" i="2"/>
  <c r="E1026" i="2"/>
  <c r="R1025" i="2"/>
  <c r="Q1025" i="2"/>
  <c r="N1025" i="2"/>
  <c r="M1025" i="2"/>
  <c r="J1025" i="2"/>
  <c r="I1025" i="2"/>
  <c r="F1025" i="2"/>
  <c r="E1025" i="2"/>
  <c r="R1024" i="2"/>
  <c r="Q1024" i="2"/>
  <c r="N1024" i="2"/>
  <c r="M1024" i="2"/>
  <c r="J1024" i="2"/>
  <c r="I1024" i="2"/>
  <c r="F1024" i="2"/>
  <c r="E1024" i="2"/>
  <c r="R1023" i="2"/>
  <c r="Q1023" i="2"/>
  <c r="N1023" i="2"/>
  <c r="M1023" i="2"/>
  <c r="J1023" i="2"/>
  <c r="I1023" i="2"/>
  <c r="F1023" i="2"/>
  <c r="E1023" i="2"/>
  <c r="R1022" i="2"/>
  <c r="Q1022" i="2"/>
  <c r="N1022" i="2"/>
  <c r="M1022" i="2"/>
  <c r="J1022" i="2"/>
  <c r="I1022" i="2"/>
  <c r="F1022" i="2"/>
  <c r="E1022" i="2"/>
  <c r="R1021" i="2"/>
  <c r="Q1021" i="2"/>
  <c r="N1021" i="2"/>
  <c r="M1021" i="2"/>
  <c r="J1021" i="2"/>
  <c r="I1021" i="2"/>
  <c r="F1021" i="2"/>
  <c r="E1021" i="2"/>
  <c r="R1020" i="2"/>
  <c r="Q1020" i="2"/>
  <c r="N1020" i="2"/>
  <c r="M1020" i="2"/>
  <c r="J1020" i="2"/>
  <c r="I1020" i="2"/>
  <c r="F1020" i="2"/>
  <c r="E1020" i="2"/>
  <c r="R1019" i="2"/>
  <c r="Q1019" i="2"/>
  <c r="N1019" i="2"/>
  <c r="M1019" i="2"/>
  <c r="J1019" i="2"/>
  <c r="I1019" i="2"/>
  <c r="F1019" i="2"/>
  <c r="E1019" i="2"/>
  <c r="R1018" i="2"/>
  <c r="Q1018" i="2"/>
  <c r="N1018" i="2"/>
  <c r="M1018" i="2"/>
  <c r="J1018" i="2"/>
  <c r="I1018" i="2"/>
  <c r="F1018" i="2"/>
  <c r="E1018" i="2"/>
  <c r="R1017" i="2"/>
  <c r="Q1017" i="2"/>
  <c r="N1017" i="2"/>
  <c r="M1017" i="2"/>
  <c r="J1017" i="2"/>
  <c r="I1017" i="2"/>
  <c r="F1017" i="2"/>
  <c r="E1017" i="2"/>
  <c r="R1016" i="2"/>
  <c r="Q1016" i="2"/>
  <c r="N1016" i="2"/>
  <c r="M1016" i="2"/>
  <c r="J1016" i="2"/>
  <c r="I1016" i="2"/>
  <c r="F1016" i="2"/>
  <c r="E1016" i="2"/>
  <c r="R1015" i="2"/>
  <c r="Q1015" i="2"/>
  <c r="N1015" i="2"/>
  <c r="M1015" i="2"/>
  <c r="J1015" i="2"/>
  <c r="I1015" i="2"/>
  <c r="F1015" i="2"/>
  <c r="E1015" i="2"/>
  <c r="R1014" i="2"/>
  <c r="Q1014" i="2"/>
  <c r="N1014" i="2"/>
  <c r="M1014" i="2"/>
  <c r="J1014" i="2"/>
  <c r="I1014" i="2"/>
  <c r="F1014" i="2"/>
  <c r="E1014" i="2"/>
  <c r="R1013" i="2"/>
  <c r="Q1013" i="2"/>
  <c r="N1013" i="2"/>
  <c r="M1013" i="2"/>
  <c r="J1013" i="2"/>
  <c r="I1013" i="2"/>
  <c r="F1013" i="2"/>
  <c r="E1013" i="2"/>
  <c r="R1012" i="2"/>
  <c r="Q1012" i="2"/>
  <c r="N1012" i="2"/>
  <c r="M1012" i="2"/>
  <c r="J1012" i="2"/>
  <c r="I1012" i="2"/>
  <c r="F1012" i="2"/>
  <c r="E1012" i="2"/>
  <c r="R1011" i="2"/>
  <c r="Q1011" i="2"/>
  <c r="N1011" i="2"/>
  <c r="M1011" i="2"/>
  <c r="J1011" i="2"/>
  <c r="I1011" i="2"/>
  <c r="F1011" i="2"/>
  <c r="E1011" i="2"/>
  <c r="R1010" i="2"/>
  <c r="Q1010" i="2"/>
  <c r="N1010" i="2"/>
  <c r="M1010" i="2"/>
  <c r="J1010" i="2"/>
  <c r="I1010" i="2"/>
  <c r="F1010" i="2"/>
  <c r="E1010" i="2"/>
  <c r="R1009" i="2"/>
  <c r="Q1009" i="2"/>
  <c r="N1009" i="2"/>
  <c r="M1009" i="2"/>
  <c r="J1009" i="2"/>
  <c r="I1009" i="2"/>
  <c r="F1009" i="2"/>
  <c r="E1009" i="2"/>
  <c r="R1008" i="2"/>
  <c r="Q1008" i="2"/>
  <c r="N1008" i="2"/>
  <c r="M1008" i="2"/>
  <c r="J1008" i="2"/>
  <c r="I1008" i="2"/>
  <c r="F1008" i="2"/>
  <c r="E1008" i="2"/>
  <c r="R1007" i="2"/>
  <c r="Q1007" i="2"/>
  <c r="N1007" i="2"/>
  <c r="M1007" i="2"/>
  <c r="J1007" i="2"/>
  <c r="I1007" i="2"/>
  <c r="F1007" i="2"/>
  <c r="E1007" i="2"/>
  <c r="R1006" i="2"/>
  <c r="Q1006" i="2"/>
  <c r="N1006" i="2"/>
  <c r="M1006" i="2"/>
  <c r="J1006" i="2"/>
  <c r="I1006" i="2"/>
  <c r="F1006" i="2"/>
  <c r="E1006" i="2"/>
  <c r="R1005" i="2"/>
  <c r="Q1005" i="2"/>
  <c r="N1005" i="2"/>
  <c r="M1005" i="2"/>
  <c r="J1005" i="2"/>
  <c r="I1005" i="2"/>
  <c r="F1005" i="2"/>
  <c r="E1005" i="2"/>
  <c r="R1004" i="2"/>
  <c r="Q1004" i="2"/>
  <c r="N1004" i="2"/>
  <c r="M1004" i="2"/>
  <c r="J1004" i="2"/>
  <c r="I1004" i="2"/>
  <c r="F1004" i="2"/>
  <c r="E1004" i="2"/>
  <c r="R1003" i="2"/>
  <c r="Q1003" i="2"/>
  <c r="N1003" i="2"/>
  <c r="M1003" i="2"/>
  <c r="J1003" i="2"/>
  <c r="I1003" i="2"/>
  <c r="F1003" i="2"/>
  <c r="E1003" i="2"/>
  <c r="R1002" i="2"/>
  <c r="Q1002" i="2"/>
  <c r="N1002" i="2"/>
  <c r="M1002" i="2"/>
  <c r="J1002" i="2"/>
  <c r="I1002" i="2"/>
  <c r="F1002" i="2"/>
  <c r="E1002" i="2"/>
  <c r="R1001" i="2"/>
  <c r="Q1001" i="2"/>
  <c r="N1001" i="2"/>
  <c r="M1001" i="2"/>
  <c r="J1001" i="2"/>
  <c r="I1001" i="2"/>
  <c r="F1001" i="2"/>
  <c r="E1001" i="2"/>
  <c r="R1000" i="2"/>
  <c r="Q1000" i="2"/>
  <c r="N1000" i="2"/>
  <c r="M1000" i="2"/>
  <c r="J1000" i="2"/>
  <c r="I1000" i="2"/>
  <c r="F1000" i="2"/>
  <c r="E1000" i="2"/>
  <c r="R999" i="2"/>
  <c r="Q999" i="2"/>
  <c r="N999" i="2"/>
  <c r="M999" i="2"/>
  <c r="J999" i="2"/>
  <c r="I999" i="2"/>
  <c r="F999" i="2"/>
  <c r="E999" i="2"/>
  <c r="R998" i="2"/>
  <c r="Q998" i="2"/>
  <c r="N998" i="2"/>
  <c r="M998" i="2"/>
  <c r="J998" i="2"/>
  <c r="I998" i="2"/>
  <c r="F998" i="2"/>
  <c r="E998" i="2"/>
  <c r="R997" i="2"/>
  <c r="Q997" i="2"/>
  <c r="N997" i="2"/>
  <c r="M997" i="2"/>
  <c r="J997" i="2"/>
  <c r="I997" i="2"/>
  <c r="F997" i="2"/>
  <c r="E997" i="2"/>
  <c r="R996" i="2"/>
  <c r="Q996" i="2"/>
  <c r="N996" i="2"/>
  <c r="M996" i="2"/>
  <c r="J996" i="2"/>
  <c r="I996" i="2"/>
  <c r="F996" i="2"/>
  <c r="E996" i="2"/>
  <c r="R995" i="2"/>
  <c r="Q995" i="2"/>
  <c r="N995" i="2"/>
  <c r="M995" i="2"/>
  <c r="J995" i="2"/>
  <c r="I995" i="2"/>
  <c r="F995" i="2"/>
  <c r="E995" i="2"/>
  <c r="R994" i="2"/>
  <c r="Q994" i="2"/>
  <c r="N994" i="2"/>
  <c r="M994" i="2"/>
  <c r="J994" i="2"/>
  <c r="I994" i="2"/>
  <c r="F994" i="2"/>
  <c r="E994" i="2"/>
  <c r="R993" i="2"/>
  <c r="Q993" i="2"/>
  <c r="N993" i="2"/>
  <c r="M993" i="2"/>
  <c r="J993" i="2"/>
  <c r="I993" i="2"/>
  <c r="F993" i="2"/>
  <c r="E993" i="2"/>
  <c r="R992" i="2"/>
  <c r="Q992" i="2"/>
  <c r="N992" i="2"/>
  <c r="M992" i="2"/>
  <c r="J992" i="2"/>
  <c r="I992" i="2"/>
  <c r="F992" i="2"/>
  <c r="E992" i="2"/>
  <c r="R991" i="2"/>
  <c r="Q991" i="2"/>
  <c r="N991" i="2"/>
  <c r="M991" i="2"/>
  <c r="J991" i="2"/>
  <c r="I991" i="2"/>
  <c r="F991" i="2"/>
  <c r="E991" i="2"/>
  <c r="R990" i="2"/>
  <c r="Q990" i="2"/>
  <c r="N990" i="2"/>
  <c r="M990" i="2"/>
  <c r="J990" i="2"/>
  <c r="I990" i="2"/>
  <c r="F990" i="2"/>
  <c r="E990" i="2"/>
  <c r="R989" i="2"/>
  <c r="Q989" i="2"/>
  <c r="N989" i="2"/>
  <c r="M989" i="2"/>
  <c r="J989" i="2"/>
  <c r="I989" i="2"/>
  <c r="F989" i="2"/>
  <c r="E989" i="2"/>
  <c r="R988" i="2"/>
  <c r="Q988" i="2"/>
  <c r="N988" i="2"/>
  <c r="M988" i="2"/>
  <c r="J988" i="2"/>
  <c r="I988" i="2"/>
  <c r="F988" i="2"/>
  <c r="E988" i="2"/>
  <c r="R987" i="2"/>
  <c r="Q987" i="2"/>
  <c r="N987" i="2"/>
  <c r="M987" i="2"/>
  <c r="J987" i="2"/>
  <c r="I987" i="2"/>
  <c r="F987" i="2"/>
  <c r="E987" i="2"/>
  <c r="R986" i="2"/>
  <c r="Q986" i="2"/>
  <c r="N986" i="2"/>
  <c r="M986" i="2"/>
  <c r="J986" i="2"/>
  <c r="I986" i="2"/>
  <c r="F986" i="2"/>
  <c r="E986" i="2"/>
  <c r="R985" i="2"/>
  <c r="Q985" i="2"/>
  <c r="N985" i="2"/>
  <c r="M985" i="2"/>
  <c r="J985" i="2"/>
  <c r="I985" i="2"/>
  <c r="F985" i="2"/>
  <c r="E985" i="2"/>
  <c r="R984" i="2"/>
  <c r="Q984" i="2"/>
  <c r="N984" i="2"/>
  <c r="M984" i="2"/>
  <c r="J984" i="2"/>
  <c r="I984" i="2"/>
  <c r="F984" i="2"/>
  <c r="E984" i="2"/>
  <c r="R983" i="2"/>
  <c r="Q983" i="2"/>
  <c r="N983" i="2"/>
  <c r="M983" i="2"/>
  <c r="J983" i="2"/>
  <c r="I983" i="2"/>
  <c r="F983" i="2"/>
  <c r="E983" i="2"/>
  <c r="R982" i="2"/>
  <c r="Q982" i="2"/>
  <c r="N982" i="2"/>
  <c r="M982" i="2"/>
  <c r="J982" i="2"/>
  <c r="I982" i="2"/>
  <c r="F982" i="2"/>
  <c r="E982" i="2"/>
  <c r="R981" i="2"/>
  <c r="Q981" i="2"/>
  <c r="N981" i="2"/>
  <c r="M981" i="2"/>
  <c r="J981" i="2"/>
  <c r="I981" i="2"/>
  <c r="F981" i="2"/>
  <c r="E981" i="2"/>
  <c r="R980" i="2"/>
  <c r="Q980" i="2"/>
  <c r="N980" i="2"/>
  <c r="M980" i="2"/>
  <c r="J980" i="2"/>
  <c r="I980" i="2"/>
  <c r="F980" i="2"/>
  <c r="E980" i="2"/>
  <c r="R979" i="2"/>
  <c r="Q979" i="2"/>
  <c r="N979" i="2"/>
  <c r="M979" i="2"/>
  <c r="J979" i="2"/>
  <c r="I979" i="2"/>
  <c r="F979" i="2"/>
  <c r="E979" i="2"/>
  <c r="R978" i="2"/>
  <c r="Q978" i="2"/>
  <c r="N978" i="2"/>
  <c r="M978" i="2"/>
  <c r="J978" i="2"/>
  <c r="I978" i="2"/>
  <c r="F978" i="2"/>
  <c r="E978" i="2"/>
  <c r="R977" i="2"/>
  <c r="Q977" i="2"/>
  <c r="N977" i="2"/>
  <c r="M977" i="2"/>
  <c r="J977" i="2"/>
  <c r="I977" i="2"/>
  <c r="F977" i="2"/>
  <c r="E977" i="2"/>
  <c r="R976" i="2"/>
  <c r="Q976" i="2"/>
  <c r="N976" i="2"/>
  <c r="M976" i="2"/>
  <c r="J976" i="2"/>
  <c r="I976" i="2"/>
  <c r="F976" i="2"/>
  <c r="E976" i="2"/>
  <c r="R975" i="2"/>
  <c r="Q975" i="2"/>
  <c r="N975" i="2"/>
  <c r="M975" i="2"/>
  <c r="J975" i="2"/>
  <c r="I975" i="2"/>
  <c r="F975" i="2"/>
  <c r="E975" i="2"/>
  <c r="R974" i="2"/>
  <c r="Q974" i="2"/>
  <c r="N974" i="2"/>
  <c r="M974" i="2"/>
  <c r="J974" i="2"/>
  <c r="I974" i="2"/>
  <c r="F974" i="2"/>
  <c r="E974" i="2"/>
  <c r="R973" i="2"/>
  <c r="Q973" i="2"/>
  <c r="N973" i="2"/>
  <c r="M973" i="2"/>
  <c r="J973" i="2"/>
  <c r="I973" i="2"/>
  <c r="F973" i="2"/>
  <c r="E973" i="2"/>
  <c r="R972" i="2"/>
  <c r="Q972" i="2"/>
  <c r="N972" i="2"/>
  <c r="M972" i="2"/>
  <c r="J972" i="2"/>
  <c r="I972" i="2"/>
  <c r="F972" i="2"/>
  <c r="E972" i="2"/>
  <c r="R971" i="2"/>
  <c r="Q971" i="2"/>
  <c r="N971" i="2"/>
  <c r="M971" i="2"/>
  <c r="J971" i="2"/>
  <c r="I971" i="2"/>
  <c r="F971" i="2"/>
  <c r="E971" i="2"/>
  <c r="R970" i="2"/>
  <c r="Q970" i="2"/>
  <c r="N970" i="2"/>
  <c r="M970" i="2"/>
  <c r="J970" i="2"/>
  <c r="I970" i="2"/>
  <c r="F970" i="2"/>
  <c r="E970" i="2"/>
  <c r="R969" i="2"/>
  <c r="Q969" i="2"/>
  <c r="N969" i="2"/>
  <c r="M969" i="2"/>
  <c r="J969" i="2"/>
  <c r="I969" i="2"/>
  <c r="F969" i="2"/>
  <c r="E969" i="2"/>
  <c r="R968" i="2"/>
  <c r="Q968" i="2"/>
  <c r="N968" i="2"/>
  <c r="M968" i="2"/>
  <c r="J968" i="2"/>
  <c r="I968" i="2"/>
  <c r="F968" i="2"/>
  <c r="E968" i="2"/>
  <c r="R967" i="2"/>
  <c r="Q967" i="2"/>
  <c r="N967" i="2"/>
  <c r="M967" i="2"/>
  <c r="J967" i="2"/>
  <c r="I967" i="2"/>
  <c r="F967" i="2"/>
  <c r="E967" i="2"/>
  <c r="R966" i="2"/>
  <c r="Q966" i="2"/>
  <c r="N966" i="2"/>
  <c r="M966" i="2"/>
  <c r="J966" i="2"/>
  <c r="I966" i="2"/>
  <c r="F966" i="2"/>
  <c r="E966" i="2"/>
  <c r="R965" i="2"/>
  <c r="Q965" i="2"/>
  <c r="N965" i="2"/>
  <c r="M965" i="2"/>
  <c r="J965" i="2"/>
  <c r="I965" i="2"/>
  <c r="F965" i="2"/>
  <c r="E965" i="2"/>
  <c r="R964" i="2"/>
  <c r="Q964" i="2"/>
  <c r="N964" i="2"/>
  <c r="M964" i="2"/>
  <c r="J964" i="2"/>
  <c r="I964" i="2"/>
  <c r="F964" i="2"/>
  <c r="E964" i="2"/>
  <c r="R963" i="2"/>
  <c r="Q963" i="2"/>
  <c r="N963" i="2"/>
  <c r="M963" i="2"/>
  <c r="J963" i="2"/>
  <c r="I963" i="2"/>
  <c r="F963" i="2"/>
  <c r="E963" i="2"/>
  <c r="R962" i="2"/>
  <c r="Q962" i="2"/>
  <c r="N962" i="2"/>
  <c r="M962" i="2"/>
  <c r="J962" i="2"/>
  <c r="I962" i="2"/>
  <c r="F962" i="2"/>
  <c r="E962" i="2"/>
  <c r="R961" i="2"/>
  <c r="Q961" i="2"/>
  <c r="N961" i="2"/>
  <c r="M961" i="2"/>
  <c r="J961" i="2"/>
  <c r="I961" i="2"/>
  <c r="F961" i="2"/>
  <c r="E961" i="2"/>
  <c r="R960" i="2"/>
  <c r="Q960" i="2"/>
  <c r="N960" i="2"/>
  <c r="M960" i="2"/>
  <c r="J960" i="2"/>
  <c r="I960" i="2"/>
  <c r="F960" i="2"/>
  <c r="E960" i="2"/>
  <c r="R959" i="2"/>
  <c r="Q959" i="2"/>
  <c r="N959" i="2"/>
  <c r="M959" i="2"/>
  <c r="J959" i="2"/>
  <c r="I959" i="2"/>
  <c r="F959" i="2"/>
  <c r="E959" i="2"/>
  <c r="R958" i="2"/>
  <c r="Q958" i="2"/>
  <c r="N958" i="2"/>
  <c r="M958" i="2"/>
  <c r="J958" i="2"/>
  <c r="I958" i="2"/>
  <c r="F958" i="2"/>
  <c r="E958" i="2"/>
  <c r="R957" i="2"/>
  <c r="Q957" i="2"/>
  <c r="N957" i="2"/>
  <c r="M957" i="2"/>
  <c r="J957" i="2"/>
  <c r="I957" i="2"/>
  <c r="F957" i="2"/>
  <c r="E957" i="2"/>
  <c r="R956" i="2"/>
  <c r="Q956" i="2"/>
  <c r="N956" i="2"/>
  <c r="M956" i="2"/>
  <c r="J956" i="2"/>
  <c r="I956" i="2"/>
  <c r="F956" i="2"/>
  <c r="E956" i="2"/>
  <c r="R955" i="2"/>
  <c r="Q955" i="2"/>
  <c r="N955" i="2"/>
  <c r="M955" i="2"/>
  <c r="J955" i="2"/>
  <c r="I955" i="2"/>
  <c r="F955" i="2"/>
  <c r="E955" i="2"/>
  <c r="R954" i="2"/>
  <c r="Q954" i="2"/>
  <c r="N954" i="2"/>
  <c r="M954" i="2"/>
  <c r="J954" i="2"/>
  <c r="I954" i="2"/>
  <c r="F954" i="2"/>
  <c r="E954" i="2"/>
  <c r="R953" i="2"/>
  <c r="Q953" i="2"/>
  <c r="N953" i="2"/>
  <c r="M953" i="2"/>
  <c r="J953" i="2"/>
  <c r="I953" i="2"/>
  <c r="F953" i="2"/>
  <c r="E953" i="2"/>
  <c r="R952" i="2"/>
  <c r="Q952" i="2"/>
  <c r="N952" i="2"/>
  <c r="M952" i="2"/>
  <c r="J952" i="2"/>
  <c r="I952" i="2"/>
  <c r="F952" i="2"/>
  <c r="E952" i="2"/>
  <c r="R951" i="2"/>
  <c r="Q951" i="2"/>
  <c r="N951" i="2"/>
  <c r="M951" i="2"/>
  <c r="J951" i="2"/>
  <c r="I951" i="2"/>
  <c r="F951" i="2"/>
  <c r="E951" i="2"/>
  <c r="R950" i="2"/>
  <c r="Q950" i="2"/>
  <c r="N950" i="2"/>
  <c r="M950" i="2"/>
  <c r="J950" i="2"/>
  <c r="I950" i="2"/>
  <c r="F950" i="2"/>
  <c r="E950" i="2"/>
  <c r="R949" i="2"/>
  <c r="Q949" i="2"/>
  <c r="N949" i="2"/>
  <c r="M949" i="2"/>
  <c r="J949" i="2"/>
  <c r="I949" i="2"/>
  <c r="F949" i="2"/>
  <c r="E949" i="2"/>
  <c r="R948" i="2"/>
  <c r="Q948" i="2"/>
  <c r="N948" i="2"/>
  <c r="M948" i="2"/>
  <c r="J948" i="2"/>
  <c r="I948" i="2"/>
  <c r="F948" i="2"/>
  <c r="E948" i="2"/>
  <c r="R947" i="2"/>
  <c r="Q947" i="2"/>
  <c r="N947" i="2"/>
  <c r="M947" i="2"/>
  <c r="J947" i="2"/>
  <c r="I947" i="2"/>
  <c r="F947" i="2"/>
  <c r="E947" i="2"/>
  <c r="R946" i="2"/>
  <c r="Q946" i="2"/>
  <c r="N946" i="2"/>
  <c r="M946" i="2"/>
  <c r="J946" i="2"/>
  <c r="I946" i="2"/>
  <c r="F946" i="2"/>
  <c r="E946" i="2"/>
  <c r="R945" i="2"/>
  <c r="Q945" i="2"/>
  <c r="N945" i="2"/>
  <c r="M945" i="2"/>
  <c r="J945" i="2"/>
  <c r="I945" i="2"/>
  <c r="F945" i="2"/>
  <c r="E945" i="2"/>
  <c r="R944" i="2"/>
  <c r="Q944" i="2"/>
  <c r="N944" i="2"/>
  <c r="M944" i="2"/>
  <c r="J944" i="2"/>
  <c r="I944" i="2"/>
  <c r="F944" i="2"/>
  <c r="E944" i="2"/>
  <c r="R943" i="2"/>
  <c r="Q943" i="2"/>
  <c r="N943" i="2"/>
  <c r="M943" i="2"/>
  <c r="J943" i="2"/>
  <c r="I943" i="2"/>
  <c r="F943" i="2"/>
  <c r="E943" i="2"/>
  <c r="R942" i="2"/>
  <c r="Q942" i="2"/>
  <c r="N942" i="2"/>
  <c r="M942" i="2"/>
  <c r="J942" i="2"/>
  <c r="I942" i="2"/>
  <c r="F942" i="2"/>
  <c r="E942" i="2"/>
  <c r="R941" i="2"/>
  <c r="Q941" i="2"/>
  <c r="N941" i="2"/>
  <c r="M941" i="2"/>
  <c r="J941" i="2"/>
  <c r="I941" i="2"/>
  <c r="F941" i="2"/>
  <c r="E941" i="2"/>
  <c r="R940" i="2"/>
  <c r="Q940" i="2"/>
  <c r="N940" i="2"/>
  <c r="M940" i="2"/>
  <c r="J940" i="2"/>
  <c r="I940" i="2"/>
  <c r="F940" i="2"/>
  <c r="E940" i="2"/>
  <c r="R939" i="2"/>
  <c r="Q939" i="2"/>
  <c r="N939" i="2"/>
  <c r="M939" i="2"/>
  <c r="J939" i="2"/>
  <c r="I939" i="2"/>
  <c r="F939" i="2"/>
  <c r="E939" i="2"/>
  <c r="R938" i="2"/>
  <c r="Q938" i="2"/>
  <c r="N938" i="2"/>
  <c r="M938" i="2"/>
  <c r="J938" i="2"/>
  <c r="I938" i="2"/>
  <c r="F938" i="2"/>
  <c r="E938" i="2"/>
  <c r="R937" i="2"/>
  <c r="Q937" i="2"/>
  <c r="N937" i="2"/>
  <c r="M937" i="2"/>
  <c r="J937" i="2"/>
  <c r="I937" i="2"/>
  <c r="F937" i="2"/>
  <c r="E937" i="2"/>
  <c r="R936" i="2"/>
  <c r="Q936" i="2"/>
  <c r="N936" i="2"/>
  <c r="M936" i="2"/>
  <c r="J936" i="2"/>
  <c r="I936" i="2"/>
  <c r="F936" i="2"/>
  <c r="E936" i="2"/>
  <c r="R935" i="2"/>
  <c r="Q935" i="2"/>
  <c r="N935" i="2"/>
  <c r="M935" i="2"/>
  <c r="J935" i="2"/>
  <c r="I935" i="2"/>
  <c r="F935" i="2"/>
  <c r="E935" i="2"/>
  <c r="R934" i="2"/>
  <c r="Q934" i="2"/>
  <c r="N934" i="2"/>
  <c r="M934" i="2"/>
  <c r="J934" i="2"/>
  <c r="I934" i="2"/>
  <c r="F934" i="2"/>
  <c r="E934" i="2"/>
  <c r="R933" i="2"/>
  <c r="Q933" i="2"/>
  <c r="N933" i="2"/>
  <c r="M933" i="2"/>
  <c r="J933" i="2"/>
  <c r="I933" i="2"/>
  <c r="F933" i="2"/>
  <c r="E933" i="2"/>
  <c r="R932" i="2"/>
  <c r="Q932" i="2"/>
  <c r="N932" i="2"/>
  <c r="M932" i="2"/>
  <c r="J932" i="2"/>
  <c r="I932" i="2"/>
  <c r="F932" i="2"/>
  <c r="E932" i="2"/>
  <c r="R931" i="2"/>
  <c r="Q931" i="2"/>
  <c r="N931" i="2"/>
  <c r="M931" i="2"/>
  <c r="J931" i="2"/>
  <c r="I931" i="2"/>
  <c r="F931" i="2"/>
  <c r="E931" i="2"/>
  <c r="R930" i="2"/>
  <c r="Q930" i="2"/>
  <c r="N930" i="2"/>
  <c r="M930" i="2"/>
  <c r="J930" i="2"/>
  <c r="I930" i="2"/>
  <c r="F930" i="2"/>
  <c r="E930" i="2"/>
  <c r="R929" i="2"/>
  <c r="Q929" i="2"/>
  <c r="N929" i="2"/>
  <c r="M929" i="2"/>
  <c r="J929" i="2"/>
  <c r="I929" i="2"/>
  <c r="F929" i="2"/>
  <c r="E929" i="2"/>
  <c r="R928" i="2"/>
  <c r="Q928" i="2"/>
  <c r="N928" i="2"/>
  <c r="M928" i="2"/>
  <c r="J928" i="2"/>
  <c r="I928" i="2"/>
  <c r="F928" i="2"/>
  <c r="E928" i="2"/>
  <c r="R927" i="2"/>
  <c r="Q927" i="2"/>
  <c r="N927" i="2"/>
  <c r="M927" i="2"/>
  <c r="J927" i="2"/>
  <c r="I927" i="2"/>
  <c r="F927" i="2"/>
  <c r="E927" i="2"/>
  <c r="R926" i="2"/>
  <c r="Q926" i="2"/>
  <c r="N926" i="2"/>
  <c r="M926" i="2"/>
  <c r="J926" i="2"/>
  <c r="I926" i="2"/>
  <c r="F926" i="2"/>
  <c r="E926" i="2"/>
  <c r="R925" i="2"/>
  <c r="Q925" i="2"/>
  <c r="N925" i="2"/>
  <c r="M925" i="2"/>
  <c r="J925" i="2"/>
  <c r="I925" i="2"/>
  <c r="F925" i="2"/>
  <c r="E925" i="2"/>
  <c r="R924" i="2"/>
  <c r="Q924" i="2"/>
  <c r="N924" i="2"/>
  <c r="M924" i="2"/>
  <c r="J924" i="2"/>
  <c r="I924" i="2"/>
  <c r="F924" i="2"/>
  <c r="E924" i="2"/>
  <c r="R923" i="2"/>
  <c r="Q923" i="2"/>
  <c r="N923" i="2"/>
  <c r="M923" i="2"/>
  <c r="J923" i="2"/>
  <c r="I923" i="2"/>
  <c r="F923" i="2"/>
  <c r="E923" i="2"/>
  <c r="R922" i="2"/>
  <c r="Q922" i="2"/>
  <c r="N922" i="2"/>
  <c r="M922" i="2"/>
  <c r="J922" i="2"/>
  <c r="I922" i="2"/>
  <c r="F922" i="2"/>
  <c r="E922" i="2"/>
  <c r="R921" i="2"/>
  <c r="Q921" i="2"/>
  <c r="N921" i="2"/>
  <c r="M921" i="2"/>
  <c r="J921" i="2"/>
  <c r="I921" i="2"/>
  <c r="F921" i="2"/>
  <c r="E921" i="2"/>
  <c r="R920" i="2"/>
  <c r="Q920" i="2"/>
  <c r="N920" i="2"/>
  <c r="M920" i="2"/>
  <c r="J920" i="2"/>
  <c r="I920" i="2"/>
  <c r="F920" i="2"/>
  <c r="E920" i="2"/>
  <c r="R919" i="2"/>
  <c r="Q919" i="2"/>
  <c r="N919" i="2"/>
  <c r="M919" i="2"/>
  <c r="J919" i="2"/>
  <c r="I919" i="2"/>
  <c r="F919" i="2"/>
  <c r="E919" i="2"/>
  <c r="R918" i="2"/>
  <c r="Q918" i="2"/>
  <c r="N918" i="2"/>
  <c r="M918" i="2"/>
  <c r="J918" i="2"/>
  <c r="I918" i="2"/>
  <c r="F918" i="2"/>
  <c r="E918" i="2"/>
  <c r="R917" i="2"/>
  <c r="Q917" i="2"/>
  <c r="N917" i="2"/>
  <c r="M917" i="2"/>
  <c r="J917" i="2"/>
  <c r="I917" i="2"/>
  <c r="F917" i="2"/>
  <c r="E917" i="2"/>
  <c r="R916" i="2"/>
  <c r="Q916" i="2"/>
  <c r="N916" i="2"/>
  <c r="M916" i="2"/>
  <c r="J916" i="2"/>
  <c r="I916" i="2"/>
  <c r="F916" i="2"/>
  <c r="E916" i="2"/>
  <c r="R915" i="2"/>
  <c r="Q915" i="2"/>
  <c r="N915" i="2"/>
  <c r="M915" i="2"/>
  <c r="J915" i="2"/>
  <c r="I915" i="2"/>
  <c r="F915" i="2"/>
  <c r="E915" i="2"/>
  <c r="R914" i="2"/>
  <c r="Q914" i="2"/>
  <c r="N914" i="2"/>
  <c r="M914" i="2"/>
  <c r="J914" i="2"/>
  <c r="I914" i="2"/>
  <c r="F914" i="2"/>
  <c r="E914" i="2"/>
  <c r="R913" i="2"/>
  <c r="Q913" i="2"/>
  <c r="N913" i="2"/>
  <c r="M913" i="2"/>
  <c r="J913" i="2"/>
  <c r="I913" i="2"/>
  <c r="F913" i="2"/>
  <c r="E913" i="2"/>
  <c r="R912" i="2"/>
  <c r="Q912" i="2"/>
  <c r="N912" i="2"/>
  <c r="M912" i="2"/>
  <c r="J912" i="2"/>
  <c r="I912" i="2"/>
  <c r="F912" i="2"/>
  <c r="E912" i="2"/>
  <c r="R911" i="2"/>
  <c r="Q911" i="2"/>
  <c r="N911" i="2"/>
  <c r="M911" i="2"/>
  <c r="J911" i="2"/>
  <c r="I911" i="2"/>
  <c r="F911" i="2"/>
  <c r="E911" i="2"/>
  <c r="R910" i="2"/>
  <c r="Q910" i="2"/>
  <c r="N910" i="2"/>
  <c r="M910" i="2"/>
  <c r="J910" i="2"/>
  <c r="I910" i="2"/>
  <c r="F910" i="2"/>
  <c r="E910" i="2"/>
  <c r="R909" i="2"/>
  <c r="Q909" i="2"/>
  <c r="N909" i="2"/>
  <c r="M909" i="2"/>
  <c r="J909" i="2"/>
  <c r="I909" i="2"/>
  <c r="F909" i="2"/>
  <c r="E909" i="2"/>
  <c r="R908" i="2"/>
  <c r="Q908" i="2"/>
  <c r="N908" i="2"/>
  <c r="M908" i="2"/>
  <c r="J908" i="2"/>
  <c r="I908" i="2"/>
  <c r="F908" i="2"/>
  <c r="E908" i="2"/>
  <c r="R907" i="2"/>
  <c r="Q907" i="2"/>
  <c r="N907" i="2"/>
  <c r="M907" i="2"/>
  <c r="J907" i="2"/>
  <c r="I907" i="2"/>
  <c r="F907" i="2"/>
  <c r="E907" i="2"/>
  <c r="R906" i="2"/>
  <c r="Q906" i="2"/>
  <c r="N906" i="2"/>
  <c r="M906" i="2"/>
  <c r="J906" i="2"/>
  <c r="I906" i="2"/>
  <c r="F906" i="2"/>
  <c r="E906" i="2"/>
  <c r="R905" i="2"/>
  <c r="Q905" i="2"/>
  <c r="N905" i="2"/>
  <c r="M905" i="2"/>
  <c r="J905" i="2"/>
  <c r="I905" i="2"/>
  <c r="F905" i="2"/>
  <c r="E905" i="2"/>
  <c r="R904" i="2"/>
  <c r="Q904" i="2"/>
  <c r="N904" i="2"/>
  <c r="M904" i="2"/>
  <c r="J904" i="2"/>
  <c r="I904" i="2"/>
  <c r="F904" i="2"/>
  <c r="E904" i="2"/>
  <c r="R903" i="2"/>
  <c r="Q903" i="2"/>
  <c r="N903" i="2"/>
  <c r="M903" i="2"/>
  <c r="J903" i="2"/>
  <c r="I903" i="2"/>
  <c r="F903" i="2"/>
  <c r="E903" i="2"/>
  <c r="R902" i="2"/>
  <c r="Q902" i="2"/>
  <c r="N902" i="2"/>
  <c r="M902" i="2"/>
  <c r="J902" i="2"/>
  <c r="I902" i="2"/>
  <c r="F902" i="2"/>
  <c r="E902" i="2"/>
  <c r="R901" i="2"/>
  <c r="Q901" i="2"/>
  <c r="N901" i="2"/>
  <c r="M901" i="2"/>
  <c r="J901" i="2"/>
  <c r="I901" i="2"/>
  <c r="F901" i="2"/>
  <c r="E901" i="2"/>
  <c r="R900" i="2"/>
  <c r="Q900" i="2"/>
  <c r="N900" i="2"/>
  <c r="M900" i="2"/>
  <c r="J900" i="2"/>
  <c r="I900" i="2"/>
  <c r="F900" i="2"/>
  <c r="E900" i="2"/>
  <c r="R899" i="2"/>
  <c r="Q899" i="2"/>
  <c r="N899" i="2"/>
  <c r="M899" i="2"/>
  <c r="J899" i="2"/>
  <c r="I899" i="2"/>
  <c r="F899" i="2"/>
  <c r="E899" i="2"/>
  <c r="R898" i="2"/>
  <c r="Q898" i="2"/>
  <c r="N898" i="2"/>
  <c r="M898" i="2"/>
  <c r="J898" i="2"/>
  <c r="I898" i="2"/>
  <c r="F898" i="2"/>
  <c r="E898" i="2"/>
  <c r="R897" i="2"/>
  <c r="Q897" i="2"/>
  <c r="N897" i="2"/>
  <c r="M897" i="2"/>
  <c r="J897" i="2"/>
  <c r="I897" i="2"/>
  <c r="F897" i="2"/>
  <c r="E897" i="2"/>
  <c r="R896" i="2"/>
  <c r="Q896" i="2"/>
  <c r="N896" i="2"/>
  <c r="M896" i="2"/>
  <c r="J896" i="2"/>
  <c r="I896" i="2"/>
  <c r="F896" i="2"/>
  <c r="E896" i="2"/>
  <c r="R895" i="2"/>
  <c r="Q895" i="2"/>
  <c r="N895" i="2"/>
  <c r="M895" i="2"/>
  <c r="J895" i="2"/>
  <c r="I895" i="2"/>
  <c r="F895" i="2"/>
  <c r="E895" i="2"/>
  <c r="R894" i="2"/>
  <c r="Q894" i="2"/>
  <c r="N894" i="2"/>
  <c r="M894" i="2"/>
  <c r="J894" i="2"/>
  <c r="I894" i="2"/>
  <c r="F894" i="2"/>
  <c r="E894" i="2"/>
  <c r="R893" i="2"/>
  <c r="Q893" i="2"/>
  <c r="N893" i="2"/>
  <c r="M893" i="2"/>
  <c r="J893" i="2"/>
  <c r="I893" i="2"/>
  <c r="F893" i="2"/>
  <c r="E893" i="2"/>
  <c r="R892" i="2"/>
  <c r="Q892" i="2"/>
  <c r="N892" i="2"/>
  <c r="M892" i="2"/>
  <c r="J892" i="2"/>
  <c r="I892" i="2"/>
  <c r="F892" i="2"/>
  <c r="E892" i="2"/>
  <c r="R891" i="2"/>
  <c r="Q891" i="2"/>
  <c r="N891" i="2"/>
  <c r="M891" i="2"/>
  <c r="J891" i="2"/>
  <c r="I891" i="2"/>
  <c r="F891" i="2"/>
  <c r="E891" i="2"/>
  <c r="R890" i="2"/>
  <c r="Q890" i="2"/>
  <c r="N890" i="2"/>
  <c r="M890" i="2"/>
  <c r="J890" i="2"/>
  <c r="I890" i="2"/>
  <c r="F890" i="2"/>
  <c r="E890" i="2"/>
  <c r="R889" i="2"/>
  <c r="Q889" i="2"/>
  <c r="N889" i="2"/>
  <c r="M889" i="2"/>
  <c r="J889" i="2"/>
  <c r="I889" i="2"/>
  <c r="F889" i="2"/>
  <c r="E889" i="2"/>
  <c r="R888" i="2"/>
  <c r="Q888" i="2"/>
  <c r="N888" i="2"/>
  <c r="M888" i="2"/>
  <c r="J888" i="2"/>
  <c r="I888" i="2"/>
  <c r="F888" i="2"/>
  <c r="E888" i="2"/>
  <c r="R887" i="2"/>
  <c r="Q887" i="2"/>
  <c r="N887" i="2"/>
  <c r="M887" i="2"/>
  <c r="J887" i="2"/>
  <c r="I887" i="2"/>
  <c r="F887" i="2"/>
  <c r="E887" i="2"/>
  <c r="R886" i="2"/>
  <c r="Q886" i="2"/>
  <c r="N886" i="2"/>
  <c r="M886" i="2"/>
  <c r="J886" i="2"/>
  <c r="I886" i="2"/>
  <c r="F886" i="2"/>
  <c r="E886" i="2"/>
  <c r="R885" i="2"/>
  <c r="Q885" i="2"/>
  <c r="N885" i="2"/>
  <c r="M885" i="2"/>
  <c r="J885" i="2"/>
  <c r="I885" i="2"/>
  <c r="F885" i="2"/>
  <c r="E885" i="2"/>
  <c r="R884" i="2"/>
  <c r="Q884" i="2"/>
  <c r="N884" i="2"/>
  <c r="M884" i="2"/>
  <c r="J884" i="2"/>
  <c r="I884" i="2"/>
  <c r="F884" i="2"/>
  <c r="E884" i="2"/>
  <c r="R883" i="2"/>
  <c r="Q883" i="2"/>
  <c r="N883" i="2"/>
  <c r="M883" i="2"/>
  <c r="J883" i="2"/>
  <c r="I883" i="2"/>
  <c r="F883" i="2"/>
  <c r="E883" i="2"/>
  <c r="R882" i="2"/>
  <c r="Q882" i="2"/>
  <c r="N882" i="2"/>
  <c r="M882" i="2"/>
  <c r="J882" i="2"/>
  <c r="I882" i="2"/>
  <c r="F882" i="2"/>
  <c r="E882" i="2"/>
  <c r="R881" i="2"/>
  <c r="Q881" i="2"/>
  <c r="N881" i="2"/>
  <c r="M881" i="2"/>
  <c r="J881" i="2"/>
  <c r="I881" i="2"/>
  <c r="F881" i="2"/>
  <c r="E881" i="2"/>
  <c r="R880" i="2"/>
  <c r="Q880" i="2"/>
  <c r="N880" i="2"/>
  <c r="M880" i="2"/>
  <c r="J880" i="2"/>
  <c r="I880" i="2"/>
  <c r="F880" i="2"/>
  <c r="E880" i="2"/>
  <c r="R879" i="2"/>
  <c r="Q879" i="2"/>
  <c r="N879" i="2"/>
  <c r="M879" i="2"/>
  <c r="J879" i="2"/>
  <c r="I879" i="2"/>
  <c r="F879" i="2"/>
  <c r="E879" i="2"/>
  <c r="R878" i="2"/>
  <c r="Q878" i="2"/>
  <c r="N878" i="2"/>
  <c r="M878" i="2"/>
  <c r="J878" i="2"/>
  <c r="I878" i="2"/>
  <c r="F878" i="2"/>
  <c r="E878" i="2"/>
  <c r="R877" i="2"/>
  <c r="Q877" i="2"/>
  <c r="N877" i="2"/>
  <c r="M877" i="2"/>
  <c r="J877" i="2"/>
  <c r="I877" i="2"/>
  <c r="F877" i="2"/>
  <c r="E877" i="2"/>
  <c r="R876" i="2"/>
  <c r="Q876" i="2"/>
  <c r="N876" i="2"/>
  <c r="M876" i="2"/>
  <c r="J876" i="2"/>
  <c r="I876" i="2"/>
  <c r="F876" i="2"/>
  <c r="E876" i="2"/>
  <c r="R875" i="2"/>
  <c r="Q875" i="2"/>
  <c r="N875" i="2"/>
  <c r="M875" i="2"/>
  <c r="J875" i="2"/>
  <c r="I875" i="2"/>
  <c r="F875" i="2"/>
  <c r="E875" i="2"/>
  <c r="R874" i="2"/>
  <c r="Q874" i="2"/>
  <c r="N874" i="2"/>
  <c r="M874" i="2"/>
  <c r="J874" i="2"/>
  <c r="I874" i="2"/>
  <c r="F874" i="2"/>
  <c r="E874" i="2"/>
  <c r="R873" i="2"/>
  <c r="Q873" i="2"/>
  <c r="N873" i="2"/>
  <c r="M873" i="2"/>
  <c r="J873" i="2"/>
  <c r="I873" i="2"/>
  <c r="F873" i="2"/>
  <c r="E873" i="2"/>
  <c r="R872" i="2"/>
  <c r="Q872" i="2"/>
  <c r="N872" i="2"/>
  <c r="M872" i="2"/>
  <c r="J872" i="2"/>
  <c r="I872" i="2"/>
  <c r="F872" i="2"/>
  <c r="E872" i="2"/>
  <c r="R871" i="2"/>
  <c r="Q871" i="2"/>
  <c r="N871" i="2"/>
  <c r="M871" i="2"/>
  <c r="J871" i="2"/>
  <c r="I871" i="2"/>
  <c r="F871" i="2"/>
  <c r="E871" i="2"/>
  <c r="R870" i="2"/>
  <c r="Q870" i="2"/>
  <c r="N870" i="2"/>
  <c r="M870" i="2"/>
  <c r="J870" i="2"/>
  <c r="I870" i="2"/>
  <c r="F870" i="2"/>
  <c r="E870" i="2"/>
  <c r="R869" i="2"/>
  <c r="Q869" i="2"/>
  <c r="N869" i="2"/>
  <c r="M869" i="2"/>
  <c r="J869" i="2"/>
  <c r="I869" i="2"/>
  <c r="F869" i="2"/>
  <c r="E869" i="2"/>
  <c r="R868" i="2"/>
  <c r="Q868" i="2"/>
  <c r="N868" i="2"/>
  <c r="M868" i="2"/>
  <c r="J868" i="2"/>
  <c r="I868" i="2"/>
  <c r="F868" i="2"/>
  <c r="E868" i="2"/>
  <c r="R867" i="2"/>
  <c r="Q867" i="2"/>
  <c r="N867" i="2"/>
  <c r="M867" i="2"/>
  <c r="J867" i="2"/>
  <c r="I867" i="2"/>
  <c r="F867" i="2"/>
  <c r="E867" i="2"/>
  <c r="R866" i="2"/>
  <c r="Q866" i="2"/>
  <c r="N866" i="2"/>
  <c r="M866" i="2"/>
  <c r="J866" i="2"/>
  <c r="I866" i="2"/>
  <c r="F866" i="2"/>
  <c r="E866" i="2"/>
  <c r="R865" i="2"/>
  <c r="Q865" i="2"/>
  <c r="N865" i="2"/>
  <c r="M865" i="2"/>
  <c r="J865" i="2"/>
  <c r="I865" i="2"/>
  <c r="F865" i="2"/>
  <c r="E865" i="2"/>
  <c r="R864" i="2"/>
  <c r="Q864" i="2"/>
  <c r="N864" i="2"/>
  <c r="M864" i="2"/>
  <c r="J864" i="2"/>
  <c r="I864" i="2"/>
  <c r="F864" i="2"/>
  <c r="E864" i="2"/>
  <c r="R863" i="2"/>
  <c r="Q863" i="2"/>
  <c r="N863" i="2"/>
  <c r="M863" i="2"/>
  <c r="J863" i="2"/>
  <c r="I863" i="2"/>
  <c r="F863" i="2"/>
  <c r="E863" i="2"/>
  <c r="R862" i="2"/>
  <c r="Q862" i="2"/>
  <c r="N862" i="2"/>
  <c r="M862" i="2"/>
  <c r="J862" i="2"/>
  <c r="I862" i="2"/>
  <c r="F862" i="2"/>
  <c r="E862" i="2"/>
  <c r="R861" i="2"/>
  <c r="Q861" i="2"/>
  <c r="N861" i="2"/>
  <c r="M861" i="2"/>
  <c r="J861" i="2"/>
  <c r="I861" i="2"/>
  <c r="F861" i="2"/>
  <c r="E861" i="2"/>
  <c r="R860" i="2"/>
  <c r="Q860" i="2"/>
  <c r="N860" i="2"/>
  <c r="M860" i="2"/>
  <c r="J860" i="2"/>
  <c r="I860" i="2"/>
  <c r="F860" i="2"/>
  <c r="E860" i="2"/>
  <c r="R859" i="2"/>
  <c r="Q859" i="2"/>
  <c r="N859" i="2"/>
  <c r="M859" i="2"/>
  <c r="J859" i="2"/>
  <c r="I859" i="2"/>
  <c r="F859" i="2"/>
  <c r="E859" i="2"/>
  <c r="R858" i="2"/>
  <c r="Q858" i="2"/>
  <c r="N858" i="2"/>
  <c r="M858" i="2"/>
  <c r="J858" i="2"/>
  <c r="I858" i="2"/>
  <c r="F858" i="2"/>
  <c r="E858" i="2"/>
  <c r="R857" i="2"/>
  <c r="Q857" i="2"/>
  <c r="N857" i="2"/>
  <c r="M857" i="2"/>
  <c r="J857" i="2"/>
  <c r="I857" i="2"/>
  <c r="F857" i="2"/>
  <c r="E857" i="2"/>
  <c r="R856" i="2"/>
  <c r="Q856" i="2"/>
  <c r="N856" i="2"/>
  <c r="M856" i="2"/>
  <c r="J856" i="2"/>
  <c r="I856" i="2"/>
  <c r="F856" i="2"/>
  <c r="E856" i="2"/>
  <c r="R855" i="2"/>
  <c r="Q855" i="2"/>
  <c r="N855" i="2"/>
  <c r="M855" i="2"/>
  <c r="J855" i="2"/>
  <c r="I855" i="2"/>
  <c r="F855" i="2"/>
  <c r="E855" i="2"/>
  <c r="R854" i="2"/>
  <c r="Q854" i="2"/>
  <c r="N854" i="2"/>
  <c r="M854" i="2"/>
  <c r="J854" i="2"/>
  <c r="I854" i="2"/>
  <c r="F854" i="2"/>
  <c r="E854" i="2"/>
  <c r="R853" i="2"/>
  <c r="Q853" i="2"/>
  <c r="N853" i="2"/>
  <c r="M853" i="2"/>
  <c r="J853" i="2"/>
  <c r="I853" i="2"/>
  <c r="F853" i="2"/>
  <c r="E853" i="2"/>
  <c r="R852" i="2"/>
  <c r="Q852" i="2"/>
  <c r="N852" i="2"/>
  <c r="M852" i="2"/>
  <c r="J852" i="2"/>
  <c r="I852" i="2"/>
  <c r="F852" i="2"/>
  <c r="E852" i="2"/>
  <c r="R851" i="2"/>
  <c r="Q851" i="2"/>
  <c r="N851" i="2"/>
  <c r="M851" i="2"/>
  <c r="J851" i="2"/>
  <c r="I851" i="2"/>
  <c r="F851" i="2"/>
  <c r="E851" i="2"/>
  <c r="R850" i="2"/>
  <c r="Q850" i="2"/>
  <c r="N850" i="2"/>
  <c r="M850" i="2"/>
  <c r="J850" i="2"/>
  <c r="I850" i="2"/>
  <c r="F850" i="2"/>
  <c r="E850" i="2"/>
  <c r="R849" i="2"/>
  <c r="Q849" i="2"/>
  <c r="N849" i="2"/>
  <c r="M849" i="2"/>
  <c r="J849" i="2"/>
  <c r="I849" i="2"/>
  <c r="F849" i="2"/>
  <c r="E849" i="2"/>
  <c r="R848" i="2"/>
  <c r="Q848" i="2"/>
  <c r="N848" i="2"/>
  <c r="M848" i="2"/>
  <c r="J848" i="2"/>
  <c r="I848" i="2"/>
  <c r="F848" i="2"/>
  <c r="E848" i="2"/>
  <c r="R847" i="2"/>
  <c r="Q847" i="2"/>
  <c r="N847" i="2"/>
  <c r="M847" i="2"/>
  <c r="J847" i="2"/>
  <c r="I847" i="2"/>
  <c r="F847" i="2"/>
  <c r="E847" i="2"/>
  <c r="R846" i="2"/>
  <c r="Q846" i="2"/>
  <c r="N846" i="2"/>
  <c r="M846" i="2"/>
  <c r="J846" i="2"/>
  <c r="I846" i="2"/>
  <c r="F846" i="2"/>
  <c r="E846" i="2"/>
  <c r="R845" i="2"/>
  <c r="Q845" i="2"/>
  <c r="N845" i="2"/>
  <c r="M845" i="2"/>
  <c r="J845" i="2"/>
  <c r="I845" i="2"/>
  <c r="F845" i="2"/>
  <c r="E845" i="2"/>
  <c r="R844" i="2"/>
  <c r="Q844" i="2"/>
  <c r="N844" i="2"/>
  <c r="M844" i="2"/>
  <c r="J844" i="2"/>
  <c r="I844" i="2"/>
  <c r="F844" i="2"/>
  <c r="E844" i="2"/>
  <c r="R843" i="2"/>
  <c r="Q843" i="2"/>
  <c r="N843" i="2"/>
  <c r="M843" i="2"/>
  <c r="J843" i="2"/>
  <c r="I843" i="2"/>
  <c r="F843" i="2"/>
  <c r="E843" i="2"/>
  <c r="R842" i="2"/>
  <c r="Q842" i="2"/>
  <c r="N842" i="2"/>
  <c r="M842" i="2"/>
  <c r="J842" i="2"/>
  <c r="I842" i="2"/>
  <c r="F842" i="2"/>
  <c r="E842" i="2"/>
  <c r="R841" i="2"/>
  <c r="Q841" i="2"/>
  <c r="N841" i="2"/>
  <c r="M841" i="2"/>
  <c r="J841" i="2"/>
  <c r="I841" i="2"/>
  <c r="F841" i="2"/>
  <c r="E841" i="2"/>
  <c r="R840" i="2"/>
  <c r="Q840" i="2"/>
  <c r="N840" i="2"/>
  <c r="M840" i="2"/>
  <c r="J840" i="2"/>
  <c r="I840" i="2"/>
  <c r="F840" i="2"/>
  <c r="E840" i="2"/>
  <c r="R839" i="2"/>
  <c r="Q839" i="2"/>
  <c r="N839" i="2"/>
  <c r="M839" i="2"/>
  <c r="J839" i="2"/>
  <c r="I839" i="2"/>
  <c r="F839" i="2"/>
  <c r="E839" i="2"/>
  <c r="R838" i="2"/>
  <c r="Q838" i="2"/>
  <c r="N838" i="2"/>
  <c r="M838" i="2"/>
  <c r="J838" i="2"/>
  <c r="I838" i="2"/>
  <c r="F838" i="2"/>
  <c r="E838" i="2"/>
  <c r="R837" i="2"/>
  <c r="Q837" i="2"/>
  <c r="N837" i="2"/>
  <c r="M837" i="2"/>
  <c r="J837" i="2"/>
  <c r="I837" i="2"/>
  <c r="F837" i="2"/>
  <c r="E837" i="2"/>
  <c r="R836" i="2"/>
  <c r="Q836" i="2"/>
  <c r="N836" i="2"/>
  <c r="M836" i="2"/>
  <c r="J836" i="2"/>
  <c r="I836" i="2"/>
  <c r="F836" i="2"/>
  <c r="E836" i="2"/>
  <c r="R835" i="2"/>
  <c r="Q835" i="2"/>
  <c r="N835" i="2"/>
  <c r="M835" i="2"/>
  <c r="J835" i="2"/>
  <c r="I835" i="2"/>
  <c r="F835" i="2"/>
  <c r="E835" i="2"/>
  <c r="R834" i="2"/>
  <c r="Q834" i="2"/>
  <c r="N834" i="2"/>
  <c r="M834" i="2"/>
  <c r="J834" i="2"/>
  <c r="I834" i="2"/>
  <c r="F834" i="2"/>
  <c r="E834" i="2"/>
  <c r="R833" i="2"/>
  <c r="Q833" i="2"/>
  <c r="N833" i="2"/>
  <c r="M833" i="2"/>
  <c r="J833" i="2"/>
  <c r="I833" i="2"/>
  <c r="F833" i="2"/>
  <c r="E833" i="2"/>
  <c r="R832" i="2"/>
  <c r="Q832" i="2"/>
  <c r="N832" i="2"/>
  <c r="M832" i="2"/>
  <c r="J832" i="2"/>
  <c r="I832" i="2"/>
  <c r="F832" i="2"/>
  <c r="E832" i="2"/>
  <c r="R831" i="2"/>
  <c r="Q831" i="2"/>
  <c r="N831" i="2"/>
  <c r="M831" i="2"/>
  <c r="J831" i="2"/>
  <c r="I831" i="2"/>
  <c r="F831" i="2"/>
  <c r="E831" i="2"/>
  <c r="R830" i="2"/>
  <c r="Q830" i="2"/>
  <c r="N830" i="2"/>
  <c r="M830" i="2"/>
  <c r="J830" i="2"/>
  <c r="I830" i="2"/>
  <c r="F830" i="2"/>
  <c r="E830" i="2"/>
  <c r="R829" i="2"/>
  <c r="Q829" i="2"/>
  <c r="N829" i="2"/>
  <c r="M829" i="2"/>
  <c r="J829" i="2"/>
  <c r="I829" i="2"/>
  <c r="F829" i="2"/>
  <c r="E829" i="2"/>
  <c r="R828" i="2"/>
  <c r="Q828" i="2"/>
  <c r="N828" i="2"/>
  <c r="M828" i="2"/>
  <c r="J828" i="2"/>
  <c r="I828" i="2"/>
  <c r="F828" i="2"/>
  <c r="E828" i="2"/>
  <c r="R827" i="2"/>
  <c r="Q827" i="2"/>
  <c r="N827" i="2"/>
  <c r="M827" i="2"/>
  <c r="J827" i="2"/>
  <c r="I827" i="2"/>
  <c r="F827" i="2"/>
  <c r="E827" i="2"/>
  <c r="R826" i="2"/>
  <c r="Q826" i="2"/>
  <c r="N826" i="2"/>
  <c r="M826" i="2"/>
  <c r="J826" i="2"/>
  <c r="I826" i="2"/>
  <c r="F826" i="2"/>
  <c r="E826" i="2"/>
  <c r="R825" i="2"/>
  <c r="Q825" i="2"/>
  <c r="N825" i="2"/>
  <c r="M825" i="2"/>
  <c r="J825" i="2"/>
  <c r="I825" i="2"/>
  <c r="F825" i="2"/>
  <c r="E825" i="2"/>
  <c r="R824" i="2"/>
  <c r="Q824" i="2"/>
  <c r="N824" i="2"/>
  <c r="M824" i="2"/>
  <c r="J824" i="2"/>
  <c r="I824" i="2"/>
  <c r="F824" i="2"/>
  <c r="E824" i="2"/>
  <c r="R823" i="2"/>
  <c r="Q823" i="2"/>
  <c r="N823" i="2"/>
  <c r="M823" i="2"/>
  <c r="J823" i="2"/>
  <c r="I823" i="2"/>
  <c r="F823" i="2"/>
  <c r="E823" i="2"/>
  <c r="R822" i="2"/>
  <c r="Q822" i="2"/>
  <c r="N822" i="2"/>
  <c r="M822" i="2"/>
  <c r="J822" i="2"/>
  <c r="I822" i="2"/>
  <c r="F822" i="2"/>
  <c r="E822" i="2"/>
  <c r="R821" i="2"/>
  <c r="Q821" i="2"/>
  <c r="N821" i="2"/>
  <c r="M821" i="2"/>
  <c r="J821" i="2"/>
  <c r="I821" i="2"/>
  <c r="F821" i="2"/>
  <c r="E821" i="2"/>
  <c r="R820" i="2"/>
  <c r="Q820" i="2"/>
  <c r="N820" i="2"/>
  <c r="M820" i="2"/>
  <c r="J820" i="2"/>
  <c r="I820" i="2"/>
  <c r="F820" i="2"/>
  <c r="E820" i="2"/>
  <c r="R819" i="2"/>
  <c r="Q819" i="2"/>
  <c r="N819" i="2"/>
  <c r="M819" i="2"/>
  <c r="J819" i="2"/>
  <c r="I819" i="2"/>
  <c r="F819" i="2"/>
  <c r="E819" i="2"/>
  <c r="R818" i="2"/>
  <c r="Q818" i="2"/>
  <c r="N818" i="2"/>
  <c r="M818" i="2"/>
  <c r="J818" i="2"/>
  <c r="I818" i="2"/>
  <c r="F818" i="2"/>
  <c r="E818" i="2"/>
  <c r="R817" i="2"/>
  <c r="Q817" i="2"/>
  <c r="N817" i="2"/>
  <c r="M817" i="2"/>
  <c r="J817" i="2"/>
  <c r="I817" i="2"/>
  <c r="F817" i="2"/>
  <c r="E817" i="2"/>
  <c r="R816" i="2"/>
  <c r="Q816" i="2"/>
  <c r="N816" i="2"/>
  <c r="M816" i="2"/>
  <c r="J816" i="2"/>
  <c r="I816" i="2"/>
  <c r="F816" i="2"/>
  <c r="E816" i="2"/>
  <c r="R815" i="2"/>
  <c r="Q815" i="2"/>
  <c r="N815" i="2"/>
  <c r="M815" i="2"/>
  <c r="J815" i="2"/>
  <c r="I815" i="2"/>
  <c r="F815" i="2"/>
  <c r="E815" i="2"/>
  <c r="R814" i="2"/>
  <c r="Q814" i="2"/>
  <c r="N814" i="2"/>
  <c r="M814" i="2"/>
  <c r="J814" i="2"/>
  <c r="I814" i="2"/>
  <c r="F814" i="2"/>
  <c r="E814" i="2"/>
  <c r="R813" i="2"/>
  <c r="Q813" i="2"/>
  <c r="N813" i="2"/>
  <c r="M813" i="2"/>
  <c r="J813" i="2"/>
  <c r="I813" i="2"/>
  <c r="F813" i="2"/>
  <c r="E813" i="2"/>
  <c r="R812" i="2"/>
  <c r="Q812" i="2"/>
  <c r="N812" i="2"/>
  <c r="M812" i="2"/>
  <c r="J812" i="2"/>
  <c r="I812" i="2"/>
  <c r="F812" i="2"/>
  <c r="E812" i="2"/>
  <c r="R811" i="2"/>
  <c r="Q811" i="2"/>
  <c r="N811" i="2"/>
  <c r="M811" i="2"/>
  <c r="J811" i="2"/>
  <c r="I811" i="2"/>
  <c r="F811" i="2"/>
  <c r="E811" i="2"/>
  <c r="R810" i="2"/>
  <c r="Q810" i="2"/>
  <c r="N810" i="2"/>
  <c r="M810" i="2"/>
  <c r="J810" i="2"/>
  <c r="I810" i="2"/>
  <c r="F810" i="2"/>
  <c r="E810" i="2"/>
  <c r="R809" i="2"/>
  <c r="Q809" i="2"/>
  <c r="N809" i="2"/>
  <c r="M809" i="2"/>
  <c r="J809" i="2"/>
  <c r="I809" i="2"/>
  <c r="F809" i="2"/>
  <c r="E809" i="2"/>
  <c r="R808" i="2"/>
  <c r="Q808" i="2"/>
  <c r="N808" i="2"/>
  <c r="M808" i="2"/>
  <c r="J808" i="2"/>
  <c r="I808" i="2"/>
  <c r="F808" i="2"/>
  <c r="E808" i="2"/>
  <c r="R807" i="2"/>
  <c r="Q807" i="2"/>
  <c r="N807" i="2"/>
  <c r="M807" i="2"/>
  <c r="J807" i="2"/>
  <c r="I807" i="2"/>
  <c r="F807" i="2"/>
  <c r="E807" i="2"/>
  <c r="R806" i="2"/>
  <c r="Q806" i="2"/>
  <c r="N806" i="2"/>
  <c r="M806" i="2"/>
  <c r="J806" i="2"/>
  <c r="I806" i="2"/>
  <c r="F806" i="2"/>
  <c r="E806" i="2"/>
  <c r="R805" i="2"/>
  <c r="Q805" i="2"/>
  <c r="N805" i="2"/>
  <c r="M805" i="2"/>
  <c r="J805" i="2"/>
  <c r="I805" i="2"/>
  <c r="F805" i="2"/>
  <c r="E805" i="2"/>
  <c r="R804" i="2"/>
  <c r="Q804" i="2"/>
  <c r="N804" i="2"/>
  <c r="M804" i="2"/>
  <c r="J804" i="2"/>
  <c r="I804" i="2"/>
  <c r="F804" i="2"/>
  <c r="E804" i="2"/>
  <c r="R803" i="2"/>
  <c r="Q803" i="2"/>
  <c r="N803" i="2"/>
  <c r="M803" i="2"/>
  <c r="J803" i="2"/>
  <c r="I803" i="2"/>
  <c r="F803" i="2"/>
  <c r="E803" i="2"/>
  <c r="R802" i="2"/>
  <c r="Q802" i="2"/>
  <c r="N802" i="2"/>
  <c r="M802" i="2"/>
  <c r="J802" i="2"/>
  <c r="I802" i="2"/>
  <c r="F802" i="2"/>
  <c r="E802" i="2"/>
  <c r="R801" i="2"/>
  <c r="Q801" i="2"/>
  <c r="N801" i="2"/>
  <c r="M801" i="2"/>
  <c r="J801" i="2"/>
  <c r="I801" i="2"/>
  <c r="F801" i="2"/>
  <c r="E801" i="2"/>
  <c r="R800" i="2"/>
  <c r="Q800" i="2"/>
  <c r="N800" i="2"/>
  <c r="M800" i="2"/>
  <c r="J800" i="2"/>
  <c r="I800" i="2"/>
  <c r="F800" i="2"/>
  <c r="E800" i="2"/>
  <c r="R799" i="2"/>
  <c r="Q799" i="2"/>
  <c r="N799" i="2"/>
  <c r="M799" i="2"/>
  <c r="J799" i="2"/>
  <c r="I799" i="2"/>
  <c r="F799" i="2"/>
  <c r="E799" i="2"/>
  <c r="R798" i="2"/>
  <c r="Q798" i="2"/>
  <c r="N798" i="2"/>
  <c r="M798" i="2"/>
  <c r="J798" i="2"/>
  <c r="I798" i="2"/>
  <c r="F798" i="2"/>
  <c r="E798" i="2"/>
  <c r="R797" i="2"/>
  <c r="Q797" i="2"/>
  <c r="N797" i="2"/>
  <c r="M797" i="2"/>
  <c r="J797" i="2"/>
  <c r="I797" i="2"/>
  <c r="F797" i="2"/>
  <c r="E797" i="2"/>
  <c r="R796" i="2"/>
  <c r="Q796" i="2"/>
  <c r="N796" i="2"/>
  <c r="M796" i="2"/>
  <c r="J796" i="2"/>
  <c r="I796" i="2"/>
  <c r="F796" i="2"/>
  <c r="E796" i="2"/>
  <c r="R795" i="2"/>
  <c r="Q795" i="2"/>
  <c r="N795" i="2"/>
  <c r="M795" i="2"/>
  <c r="J795" i="2"/>
  <c r="I795" i="2"/>
  <c r="F795" i="2"/>
  <c r="E795" i="2"/>
  <c r="R794" i="2"/>
  <c r="Q794" i="2"/>
  <c r="N794" i="2"/>
  <c r="M794" i="2"/>
  <c r="J794" i="2"/>
  <c r="I794" i="2"/>
  <c r="F794" i="2"/>
  <c r="E794" i="2"/>
  <c r="R793" i="2"/>
  <c r="Q793" i="2"/>
  <c r="N793" i="2"/>
  <c r="M793" i="2"/>
  <c r="J793" i="2"/>
  <c r="I793" i="2"/>
  <c r="F793" i="2"/>
  <c r="E793" i="2"/>
  <c r="R792" i="2"/>
  <c r="Q792" i="2"/>
  <c r="N792" i="2"/>
  <c r="M792" i="2"/>
  <c r="J792" i="2"/>
  <c r="I792" i="2"/>
  <c r="F792" i="2"/>
  <c r="E792" i="2"/>
  <c r="R791" i="2"/>
  <c r="Q791" i="2"/>
  <c r="N791" i="2"/>
  <c r="M791" i="2"/>
  <c r="J791" i="2"/>
  <c r="I791" i="2"/>
  <c r="F791" i="2"/>
  <c r="E791" i="2"/>
  <c r="R790" i="2"/>
  <c r="Q790" i="2"/>
  <c r="N790" i="2"/>
  <c r="M790" i="2"/>
  <c r="J790" i="2"/>
  <c r="I790" i="2"/>
  <c r="F790" i="2"/>
  <c r="E790" i="2"/>
  <c r="R789" i="2"/>
  <c r="Q789" i="2"/>
  <c r="N789" i="2"/>
  <c r="M789" i="2"/>
  <c r="J789" i="2"/>
  <c r="I789" i="2"/>
  <c r="F789" i="2"/>
  <c r="E789" i="2"/>
  <c r="R788" i="2"/>
  <c r="Q788" i="2"/>
  <c r="N788" i="2"/>
  <c r="M788" i="2"/>
  <c r="J788" i="2"/>
  <c r="I788" i="2"/>
  <c r="F788" i="2"/>
  <c r="E788" i="2"/>
  <c r="R787" i="2"/>
  <c r="Q787" i="2"/>
  <c r="N787" i="2"/>
  <c r="M787" i="2"/>
  <c r="J787" i="2"/>
  <c r="I787" i="2"/>
  <c r="F787" i="2"/>
  <c r="E787" i="2"/>
  <c r="R786" i="2"/>
  <c r="Q786" i="2"/>
  <c r="N786" i="2"/>
  <c r="M786" i="2"/>
  <c r="J786" i="2"/>
  <c r="I786" i="2"/>
  <c r="F786" i="2"/>
  <c r="E786" i="2"/>
  <c r="R785" i="2"/>
  <c r="Q785" i="2"/>
  <c r="N785" i="2"/>
  <c r="M785" i="2"/>
  <c r="J785" i="2"/>
  <c r="I785" i="2"/>
  <c r="F785" i="2"/>
  <c r="E785" i="2"/>
  <c r="R784" i="2"/>
  <c r="Q784" i="2"/>
  <c r="N784" i="2"/>
  <c r="M784" i="2"/>
  <c r="J784" i="2"/>
  <c r="I784" i="2"/>
  <c r="F784" i="2"/>
  <c r="E784" i="2"/>
  <c r="R783" i="2"/>
  <c r="Q783" i="2"/>
  <c r="N783" i="2"/>
  <c r="M783" i="2"/>
  <c r="J783" i="2"/>
  <c r="I783" i="2"/>
  <c r="F783" i="2"/>
  <c r="E783" i="2"/>
  <c r="R782" i="2"/>
  <c r="Q782" i="2"/>
  <c r="N782" i="2"/>
  <c r="M782" i="2"/>
  <c r="J782" i="2"/>
  <c r="I782" i="2"/>
  <c r="F782" i="2"/>
  <c r="E782" i="2"/>
  <c r="R781" i="2"/>
  <c r="Q781" i="2"/>
  <c r="N781" i="2"/>
  <c r="M781" i="2"/>
  <c r="J781" i="2"/>
  <c r="I781" i="2"/>
  <c r="F781" i="2"/>
  <c r="E781" i="2"/>
  <c r="R780" i="2"/>
  <c r="Q780" i="2"/>
  <c r="N780" i="2"/>
  <c r="M780" i="2"/>
  <c r="J780" i="2"/>
  <c r="I780" i="2"/>
  <c r="F780" i="2"/>
  <c r="E780" i="2"/>
  <c r="R779" i="2"/>
  <c r="Q779" i="2"/>
  <c r="N779" i="2"/>
  <c r="M779" i="2"/>
  <c r="J779" i="2"/>
  <c r="I779" i="2"/>
  <c r="F779" i="2"/>
  <c r="E779" i="2"/>
  <c r="R778" i="2"/>
  <c r="Q778" i="2"/>
  <c r="N778" i="2"/>
  <c r="M778" i="2"/>
  <c r="J778" i="2"/>
  <c r="I778" i="2"/>
  <c r="F778" i="2"/>
  <c r="E778" i="2"/>
  <c r="R777" i="2"/>
  <c r="Q777" i="2"/>
  <c r="N777" i="2"/>
  <c r="M777" i="2"/>
  <c r="J777" i="2"/>
  <c r="I777" i="2"/>
  <c r="F777" i="2"/>
  <c r="E777" i="2"/>
  <c r="R776" i="2"/>
  <c r="Q776" i="2"/>
  <c r="N776" i="2"/>
  <c r="M776" i="2"/>
  <c r="J776" i="2"/>
  <c r="I776" i="2"/>
  <c r="F776" i="2"/>
  <c r="E776" i="2"/>
  <c r="R775" i="2"/>
  <c r="Q775" i="2"/>
  <c r="N775" i="2"/>
  <c r="M775" i="2"/>
  <c r="J775" i="2"/>
  <c r="I775" i="2"/>
  <c r="F775" i="2"/>
  <c r="E775" i="2"/>
  <c r="R774" i="2"/>
  <c r="Q774" i="2"/>
  <c r="N774" i="2"/>
  <c r="M774" i="2"/>
  <c r="J774" i="2"/>
  <c r="I774" i="2"/>
  <c r="F774" i="2"/>
  <c r="E774" i="2"/>
  <c r="R773" i="2"/>
  <c r="Q773" i="2"/>
  <c r="N773" i="2"/>
  <c r="M773" i="2"/>
  <c r="J773" i="2"/>
  <c r="I773" i="2"/>
  <c r="F773" i="2"/>
  <c r="E773" i="2"/>
  <c r="R772" i="2"/>
  <c r="Q772" i="2"/>
  <c r="N772" i="2"/>
  <c r="M772" i="2"/>
  <c r="J772" i="2"/>
  <c r="I772" i="2"/>
  <c r="F772" i="2"/>
  <c r="E772" i="2"/>
  <c r="R771" i="2"/>
  <c r="Q771" i="2"/>
  <c r="N771" i="2"/>
  <c r="M771" i="2"/>
  <c r="J771" i="2"/>
  <c r="I771" i="2"/>
  <c r="F771" i="2"/>
  <c r="E771" i="2"/>
  <c r="R770" i="2"/>
  <c r="Q770" i="2"/>
  <c r="N770" i="2"/>
  <c r="M770" i="2"/>
  <c r="J770" i="2"/>
  <c r="I770" i="2"/>
  <c r="F770" i="2"/>
  <c r="E770" i="2"/>
  <c r="R769" i="2"/>
  <c r="Q769" i="2"/>
  <c r="N769" i="2"/>
  <c r="M769" i="2"/>
  <c r="J769" i="2"/>
  <c r="I769" i="2"/>
  <c r="F769" i="2"/>
  <c r="E769" i="2"/>
  <c r="R768" i="2"/>
  <c r="Q768" i="2"/>
  <c r="N768" i="2"/>
  <c r="M768" i="2"/>
  <c r="J768" i="2"/>
  <c r="I768" i="2"/>
  <c r="F768" i="2"/>
  <c r="E768" i="2"/>
  <c r="R767" i="2"/>
  <c r="Q767" i="2"/>
  <c r="N767" i="2"/>
  <c r="M767" i="2"/>
  <c r="J767" i="2"/>
  <c r="I767" i="2"/>
  <c r="F767" i="2"/>
  <c r="E767" i="2"/>
  <c r="R766" i="2"/>
  <c r="Q766" i="2"/>
  <c r="N766" i="2"/>
  <c r="M766" i="2"/>
  <c r="J766" i="2"/>
  <c r="I766" i="2"/>
  <c r="F766" i="2"/>
  <c r="E766" i="2"/>
  <c r="R765" i="2"/>
  <c r="Q765" i="2"/>
  <c r="N765" i="2"/>
  <c r="M765" i="2"/>
  <c r="J765" i="2"/>
  <c r="I765" i="2"/>
  <c r="F765" i="2"/>
  <c r="E765" i="2"/>
  <c r="R764" i="2"/>
  <c r="Q764" i="2"/>
  <c r="N764" i="2"/>
  <c r="M764" i="2"/>
  <c r="J764" i="2"/>
  <c r="I764" i="2"/>
  <c r="F764" i="2"/>
  <c r="E764" i="2"/>
  <c r="R763" i="2"/>
  <c r="Q763" i="2"/>
  <c r="N763" i="2"/>
  <c r="M763" i="2"/>
  <c r="J763" i="2"/>
  <c r="I763" i="2"/>
  <c r="F763" i="2"/>
  <c r="E763" i="2"/>
  <c r="R762" i="2"/>
  <c r="Q762" i="2"/>
  <c r="N762" i="2"/>
  <c r="M762" i="2"/>
  <c r="J762" i="2"/>
  <c r="I762" i="2"/>
  <c r="F762" i="2"/>
  <c r="E762" i="2"/>
  <c r="R761" i="2"/>
  <c r="Q761" i="2"/>
  <c r="N761" i="2"/>
  <c r="M761" i="2"/>
  <c r="J761" i="2"/>
  <c r="I761" i="2"/>
  <c r="F761" i="2"/>
  <c r="E761" i="2"/>
  <c r="R760" i="2"/>
  <c r="Q760" i="2"/>
  <c r="N760" i="2"/>
  <c r="M760" i="2"/>
  <c r="J760" i="2"/>
  <c r="I760" i="2"/>
  <c r="F760" i="2"/>
  <c r="E760" i="2"/>
  <c r="R759" i="2"/>
  <c r="Q759" i="2"/>
  <c r="N759" i="2"/>
  <c r="M759" i="2"/>
  <c r="J759" i="2"/>
  <c r="I759" i="2"/>
  <c r="F759" i="2"/>
  <c r="E759" i="2"/>
  <c r="R758" i="2"/>
  <c r="Q758" i="2"/>
  <c r="N758" i="2"/>
  <c r="M758" i="2"/>
  <c r="J758" i="2"/>
  <c r="I758" i="2"/>
  <c r="F758" i="2"/>
  <c r="E758" i="2"/>
  <c r="R757" i="2"/>
  <c r="Q757" i="2"/>
  <c r="N757" i="2"/>
  <c r="M757" i="2"/>
  <c r="J757" i="2"/>
  <c r="I757" i="2"/>
  <c r="F757" i="2"/>
  <c r="E757" i="2"/>
  <c r="R756" i="2"/>
  <c r="Q756" i="2"/>
  <c r="N756" i="2"/>
  <c r="M756" i="2"/>
  <c r="J756" i="2"/>
  <c r="I756" i="2"/>
  <c r="F756" i="2"/>
  <c r="E756" i="2"/>
  <c r="R755" i="2"/>
  <c r="Q755" i="2"/>
  <c r="N755" i="2"/>
  <c r="M755" i="2"/>
  <c r="J755" i="2"/>
  <c r="I755" i="2"/>
  <c r="F755" i="2"/>
  <c r="E755" i="2"/>
  <c r="R754" i="2"/>
  <c r="Q754" i="2"/>
  <c r="N754" i="2"/>
  <c r="M754" i="2"/>
  <c r="J754" i="2"/>
  <c r="I754" i="2"/>
  <c r="F754" i="2"/>
  <c r="E754" i="2"/>
  <c r="R753" i="2"/>
  <c r="Q753" i="2"/>
  <c r="N753" i="2"/>
  <c r="M753" i="2"/>
  <c r="J753" i="2"/>
  <c r="I753" i="2"/>
  <c r="F753" i="2"/>
  <c r="E753" i="2"/>
  <c r="R752" i="2"/>
  <c r="Q752" i="2"/>
  <c r="N752" i="2"/>
  <c r="M752" i="2"/>
  <c r="J752" i="2"/>
  <c r="I752" i="2"/>
  <c r="F752" i="2"/>
  <c r="E752" i="2"/>
  <c r="R751" i="2"/>
  <c r="Q751" i="2"/>
  <c r="N751" i="2"/>
  <c r="M751" i="2"/>
  <c r="J751" i="2"/>
  <c r="I751" i="2"/>
  <c r="F751" i="2"/>
  <c r="E751" i="2"/>
  <c r="R750" i="2"/>
  <c r="Q750" i="2"/>
  <c r="N750" i="2"/>
  <c r="M750" i="2"/>
  <c r="J750" i="2"/>
  <c r="I750" i="2"/>
  <c r="F750" i="2"/>
  <c r="E750" i="2"/>
  <c r="R749" i="2"/>
  <c r="Q749" i="2"/>
  <c r="N749" i="2"/>
  <c r="M749" i="2"/>
  <c r="J749" i="2"/>
  <c r="I749" i="2"/>
  <c r="F749" i="2"/>
  <c r="E749" i="2"/>
  <c r="R748" i="2"/>
  <c r="Q748" i="2"/>
  <c r="N748" i="2"/>
  <c r="M748" i="2"/>
  <c r="J748" i="2"/>
  <c r="I748" i="2"/>
  <c r="F748" i="2"/>
  <c r="E748" i="2"/>
  <c r="R747" i="2"/>
  <c r="Q747" i="2"/>
  <c r="N747" i="2"/>
  <c r="M747" i="2"/>
  <c r="J747" i="2"/>
  <c r="I747" i="2"/>
  <c r="F747" i="2"/>
  <c r="E747" i="2"/>
  <c r="R746" i="2"/>
  <c r="Q746" i="2"/>
  <c r="N746" i="2"/>
  <c r="M746" i="2"/>
  <c r="J746" i="2"/>
  <c r="I746" i="2"/>
  <c r="F746" i="2"/>
  <c r="E746" i="2"/>
  <c r="R745" i="2"/>
  <c r="Q745" i="2"/>
  <c r="N745" i="2"/>
  <c r="M745" i="2"/>
  <c r="J745" i="2"/>
  <c r="I745" i="2"/>
  <c r="F745" i="2"/>
  <c r="E745" i="2"/>
  <c r="R744" i="2"/>
  <c r="Q744" i="2"/>
  <c r="N744" i="2"/>
  <c r="M744" i="2"/>
  <c r="J744" i="2"/>
  <c r="I744" i="2"/>
  <c r="F744" i="2"/>
  <c r="E744" i="2"/>
  <c r="R743" i="2"/>
  <c r="Q743" i="2"/>
  <c r="N743" i="2"/>
  <c r="M743" i="2"/>
  <c r="J743" i="2"/>
  <c r="I743" i="2"/>
  <c r="F743" i="2"/>
  <c r="E743" i="2"/>
  <c r="R742" i="2"/>
  <c r="Q742" i="2"/>
  <c r="N742" i="2"/>
  <c r="M742" i="2"/>
  <c r="J742" i="2"/>
  <c r="I742" i="2"/>
  <c r="F742" i="2"/>
  <c r="E742" i="2"/>
  <c r="R741" i="2"/>
  <c r="Q741" i="2"/>
  <c r="N741" i="2"/>
  <c r="M741" i="2"/>
  <c r="J741" i="2"/>
  <c r="I741" i="2"/>
  <c r="F741" i="2"/>
  <c r="E741" i="2"/>
  <c r="R740" i="2"/>
  <c r="Q740" i="2"/>
  <c r="N740" i="2"/>
  <c r="M740" i="2"/>
  <c r="J740" i="2"/>
  <c r="I740" i="2"/>
  <c r="F740" i="2"/>
  <c r="E740" i="2"/>
  <c r="R739" i="2"/>
  <c r="Q739" i="2"/>
  <c r="N739" i="2"/>
  <c r="M739" i="2"/>
  <c r="J739" i="2"/>
  <c r="I739" i="2"/>
  <c r="F739" i="2"/>
  <c r="E739" i="2"/>
  <c r="R738" i="2"/>
  <c r="Q738" i="2"/>
  <c r="N738" i="2"/>
  <c r="M738" i="2"/>
  <c r="J738" i="2"/>
  <c r="I738" i="2"/>
  <c r="F738" i="2"/>
  <c r="E738" i="2"/>
  <c r="R737" i="2"/>
  <c r="Q737" i="2"/>
  <c r="N737" i="2"/>
  <c r="M737" i="2"/>
  <c r="J737" i="2"/>
  <c r="I737" i="2"/>
  <c r="F737" i="2"/>
  <c r="E737" i="2"/>
  <c r="R736" i="2"/>
  <c r="Q736" i="2"/>
  <c r="N736" i="2"/>
  <c r="M736" i="2"/>
  <c r="J736" i="2"/>
  <c r="I736" i="2"/>
  <c r="F736" i="2"/>
  <c r="E736" i="2"/>
  <c r="R735" i="2"/>
  <c r="Q735" i="2"/>
  <c r="N735" i="2"/>
  <c r="M735" i="2"/>
  <c r="J735" i="2"/>
  <c r="I735" i="2"/>
  <c r="F735" i="2"/>
  <c r="E735" i="2"/>
  <c r="R734" i="2"/>
  <c r="Q734" i="2"/>
  <c r="N734" i="2"/>
  <c r="M734" i="2"/>
  <c r="J734" i="2"/>
  <c r="I734" i="2"/>
  <c r="F734" i="2"/>
  <c r="E734" i="2"/>
  <c r="R733" i="2"/>
  <c r="Q733" i="2"/>
  <c r="N733" i="2"/>
  <c r="M733" i="2"/>
  <c r="J733" i="2"/>
  <c r="I733" i="2"/>
  <c r="F733" i="2"/>
  <c r="E733" i="2"/>
  <c r="R732" i="2"/>
  <c r="Q732" i="2"/>
  <c r="N732" i="2"/>
  <c r="M732" i="2"/>
  <c r="J732" i="2"/>
  <c r="I732" i="2"/>
  <c r="F732" i="2"/>
  <c r="E732" i="2"/>
  <c r="R731" i="2"/>
  <c r="Q731" i="2"/>
  <c r="N731" i="2"/>
  <c r="M731" i="2"/>
  <c r="J731" i="2"/>
  <c r="I731" i="2"/>
  <c r="F731" i="2"/>
  <c r="E731" i="2"/>
  <c r="R730" i="2"/>
  <c r="Q730" i="2"/>
  <c r="N730" i="2"/>
  <c r="M730" i="2"/>
  <c r="J730" i="2"/>
  <c r="I730" i="2"/>
  <c r="F730" i="2"/>
  <c r="E730" i="2"/>
  <c r="R729" i="2"/>
  <c r="Q729" i="2"/>
  <c r="N729" i="2"/>
  <c r="M729" i="2"/>
  <c r="J729" i="2"/>
  <c r="I729" i="2"/>
  <c r="F729" i="2"/>
  <c r="E729" i="2"/>
  <c r="R728" i="2"/>
  <c r="Q728" i="2"/>
  <c r="N728" i="2"/>
  <c r="M728" i="2"/>
  <c r="J728" i="2"/>
  <c r="I728" i="2"/>
  <c r="F728" i="2"/>
  <c r="E728" i="2"/>
  <c r="R727" i="2"/>
  <c r="Q727" i="2"/>
  <c r="N727" i="2"/>
  <c r="M727" i="2"/>
  <c r="J727" i="2"/>
  <c r="I727" i="2"/>
  <c r="F727" i="2"/>
  <c r="E727" i="2"/>
  <c r="R726" i="2"/>
  <c r="Q726" i="2"/>
  <c r="N726" i="2"/>
  <c r="M726" i="2"/>
  <c r="J726" i="2"/>
  <c r="I726" i="2"/>
  <c r="F726" i="2"/>
  <c r="E726" i="2"/>
  <c r="R725" i="2"/>
  <c r="Q725" i="2"/>
  <c r="N725" i="2"/>
  <c r="M725" i="2"/>
  <c r="J725" i="2"/>
  <c r="I725" i="2"/>
  <c r="F725" i="2"/>
  <c r="E725" i="2"/>
  <c r="R724" i="2"/>
  <c r="Q724" i="2"/>
  <c r="N724" i="2"/>
  <c r="M724" i="2"/>
  <c r="J724" i="2"/>
  <c r="I724" i="2"/>
  <c r="F724" i="2"/>
  <c r="E724" i="2"/>
  <c r="R723" i="2"/>
  <c r="Q723" i="2"/>
  <c r="N723" i="2"/>
  <c r="M723" i="2"/>
  <c r="J723" i="2"/>
  <c r="I723" i="2"/>
  <c r="F723" i="2"/>
  <c r="E723" i="2"/>
  <c r="R722" i="2"/>
  <c r="Q722" i="2"/>
  <c r="N722" i="2"/>
  <c r="M722" i="2"/>
  <c r="J722" i="2"/>
  <c r="I722" i="2"/>
  <c r="F722" i="2"/>
  <c r="E722" i="2"/>
  <c r="R721" i="2"/>
  <c r="Q721" i="2"/>
  <c r="N721" i="2"/>
  <c r="M721" i="2"/>
  <c r="J721" i="2"/>
  <c r="I721" i="2"/>
  <c r="F721" i="2"/>
  <c r="E721" i="2"/>
  <c r="R720" i="2"/>
  <c r="Q720" i="2"/>
  <c r="N720" i="2"/>
  <c r="M720" i="2"/>
  <c r="J720" i="2"/>
  <c r="I720" i="2"/>
  <c r="F720" i="2"/>
  <c r="E720" i="2"/>
  <c r="R719" i="2"/>
  <c r="Q719" i="2"/>
  <c r="N719" i="2"/>
  <c r="M719" i="2"/>
  <c r="J719" i="2"/>
  <c r="I719" i="2"/>
  <c r="F719" i="2"/>
  <c r="E719" i="2"/>
  <c r="R718" i="2"/>
  <c r="Q718" i="2"/>
  <c r="N718" i="2"/>
  <c r="M718" i="2"/>
  <c r="J718" i="2"/>
  <c r="I718" i="2"/>
  <c r="F718" i="2"/>
  <c r="E718" i="2"/>
  <c r="R717" i="2"/>
  <c r="Q717" i="2"/>
  <c r="N717" i="2"/>
  <c r="M717" i="2"/>
  <c r="J717" i="2"/>
  <c r="I717" i="2"/>
  <c r="F717" i="2"/>
  <c r="E717" i="2"/>
  <c r="R716" i="2"/>
  <c r="Q716" i="2"/>
  <c r="N716" i="2"/>
  <c r="M716" i="2"/>
  <c r="J716" i="2"/>
  <c r="I716" i="2"/>
  <c r="F716" i="2"/>
  <c r="E716" i="2"/>
  <c r="R715" i="2"/>
  <c r="Q715" i="2"/>
  <c r="N715" i="2"/>
  <c r="M715" i="2"/>
  <c r="J715" i="2"/>
  <c r="I715" i="2"/>
  <c r="F715" i="2"/>
  <c r="E715" i="2"/>
  <c r="R714" i="2"/>
  <c r="Q714" i="2"/>
  <c r="N714" i="2"/>
  <c r="M714" i="2"/>
  <c r="J714" i="2"/>
  <c r="I714" i="2"/>
  <c r="F714" i="2"/>
  <c r="E714" i="2"/>
  <c r="R713" i="2"/>
  <c r="Q713" i="2"/>
  <c r="N713" i="2"/>
  <c r="M713" i="2"/>
  <c r="J713" i="2"/>
  <c r="I713" i="2"/>
  <c r="F713" i="2"/>
  <c r="E713" i="2"/>
  <c r="R712" i="2"/>
  <c r="Q712" i="2"/>
  <c r="N712" i="2"/>
  <c r="M712" i="2"/>
  <c r="J712" i="2"/>
  <c r="I712" i="2"/>
  <c r="F712" i="2"/>
  <c r="E712" i="2"/>
  <c r="R711" i="2"/>
  <c r="Q711" i="2"/>
  <c r="N711" i="2"/>
  <c r="M711" i="2"/>
  <c r="J711" i="2"/>
  <c r="I711" i="2"/>
  <c r="F711" i="2"/>
  <c r="E711" i="2"/>
  <c r="R710" i="2"/>
  <c r="Q710" i="2"/>
  <c r="N710" i="2"/>
  <c r="M710" i="2"/>
  <c r="J710" i="2"/>
  <c r="I710" i="2"/>
  <c r="F710" i="2"/>
  <c r="E710" i="2"/>
  <c r="R709" i="2"/>
  <c r="Q709" i="2"/>
  <c r="N709" i="2"/>
  <c r="M709" i="2"/>
  <c r="J709" i="2"/>
  <c r="I709" i="2"/>
  <c r="F709" i="2"/>
  <c r="E709" i="2"/>
  <c r="R708" i="2"/>
  <c r="Q708" i="2"/>
  <c r="N708" i="2"/>
  <c r="M708" i="2"/>
  <c r="J708" i="2"/>
  <c r="I708" i="2"/>
  <c r="F708" i="2"/>
  <c r="E708" i="2"/>
  <c r="R707" i="2"/>
  <c r="Q707" i="2"/>
  <c r="N707" i="2"/>
  <c r="M707" i="2"/>
  <c r="J707" i="2"/>
  <c r="I707" i="2"/>
  <c r="F707" i="2"/>
  <c r="E707" i="2"/>
  <c r="R706" i="2"/>
  <c r="Q706" i="2"/>
  <c r="N706" i="2"/>
  <c r="M706" i="2"/>
  <c r="J706" i="2"/>
  <c r="I706" i="2"/>
  <c r="F706" i="2"/>
  <c r="E706" i="2"/>
  <c r="R705" i="2"/>
  <c r="Q705" i="2"/>
  <c r="N705" i="2"/>
  <c r="M705" i="2"/>
  <c r="J705" i="2"/>
  <c r="I705" i="2"/>
  <c r="F705" i="2"/>
  <c r="E705" i="2"/>
  <c r="R704" i="2"/>
  <c r="Q704" i="2"/>
  <c r="N704" i="2"/>
  <c r="M704" i="2"/>
  <c r="J704" i="2"/>
  <c r="I704" i="2"/>
  <c r="F704" i="2"/>
  <c r="E704" i="2"/>
  <c r="R703" i="2"/>
  <c r="Q703" i="2"/>
  <c r="N703" i="2"/>
  <c r="M703" i="2"/>
  <c r="J703" i="2"/>
  <c r="I703" i="2"/>
  <c r="F703" i="2"/>
  <c r="E703" i="2"/>
  <c r="R702" i="2"/>
  <c r="Q702" i="2"/>
  <c r="N702" i="2"/>
  <c r="M702" i="2"/>
  <c r="J702" i="2"/>
  <c r="I702" i="2"/>
  <c r="F702" i="2"/>
  <c r="E702" i="2"/>
  <c r="R701" i="2"/>
  <c r="Q701" i="2"/>
  <c r="N701" i="2"/>
  <c r="M701" i="2"/>
  <c r="J701" i="2"/>
  <c r="I701" i="2"/>
  <c r="F701" i="2"/>
  <c r="E701" i="2"/>
  <c r="R700" i="2"/>
  <c r="Q700" i="2"/>
  <c r="N700" i="2"/>
  <c r="M700" i="2"/>
  <c r="J700" i="2"/>
  <c r="I700" i="2"/>
  <c r="F700" i="2"/>
  <c r="E700" i="2"/>
  <c r="R699" i="2"/>
  <c r="Q699" i="2"/>
  <c r="N699" i="2"/>
  <c r="M699" i="2"/>
  <c r="J699" i="2"/>
  <c r="I699" i="2"/>
  <c r="F699" i="2"/>
  <c r="E699" i="2"/>
  <c r="R698" i="2"/>
  <c r="Q698" i="2"/>
  <c r="N698" i="2"/>
  <c r="M698" i="2"/>
  <c r="J698" i="2"/>
  <c r="I698" i="2"/>
  <c r="F698" i="2"/>
  <c r="E698" i="2"/>
  <c r="R697" i="2"/>
  <c r="Q697" i="2"/>
  <c r="N697" i="2"/>
  <c r="M697" i="2"/>
  <c r="J697" i="2"/>
  <c r="I697" i="2"/>
  <c r="F697" i="2"/>
  <c r="E697" i="2"/>
  <c r="R696" i="2"/>
  <c r="Q696" i="2"/>
  <c r="N696" i="2"/>
  <c r="M696" i="2"/>
  <c r="J696" i="2"/>
  <c r="I696" i="2"/>
  <c r="F696" i="2"/>
  <c r="E696" i="2"/>
  <c r="R695" i="2"/>
  <c r="Q695" i="2"/>
  <c r="N695" i="2"/>
  <c r="M695" i="2"/>
  <c r="J695" i="2"/>
  <c r="I695" i="2"/>
  <c r="F695" i="2"/>
  <c r="E695" i="2"/>
  <c r="R694" i="2"/>
  <c r="Q694" i="2"/>
  <c r="N694" i="2"/>
  <c r="M694" i="2"/>
  <c r="J694" i="2"/>
  <c r="I694" i="2"/>
  <c r="F694" i="2"/>
  <c r="E694" i="2"/>
  <c r="R693" i="2"/>
  <c r="Q693" i="2"/>
  <c r="N693" i="2"/>
  <c r="M693" i="2"/>
  <c r="J693" i="2"/>
  <c r="I693" i="2"/>
  <c r="F693" i="2"/>
  <c r="E693" i="2"/>
  <c r="R692" i="2"/>
  <c r="Q692" i="2"/>
  <c r="N692" i="2"/>
  <c r="M692" i="2"/>
  <c r="J692" i="2"/>
  <c r="I692" i="2"/>
  <c r="F692" i="2"/>
  <c r="E692" i="2"/>
  <c r="R691" i="2"/>
  <c r="Q691" i="2"/>
  <c r="N691" i="2"/>
  <c r="M691" i="2"/>
  <c r="J691" i="2"/>
  <c r="I691" i="2"/>
  <c r="F691" i="2"/>
  <c r="E691" i="2"/>
  <c r="R690" i="2"/>
  <c r="Q690" i="2"/>
  <c r="N690" i="2"/>
  <c r="M690" i="2"/>
  <c r="J690" i="2"/>
  <c r="I690" i="2"/>
  <c r="F690" i="2"/>
  <c r="E690" i="2"/>
  <c r="R689" i="2"/>
  <c r="Q689" i="2"/>
  <c r="N689" i="2"/>
  <c r="M689" i="2"/>
  <c r="J689" i="2"/>
  <c r="I689" i="2"/>
  <c r="F689" i="2"/>
  <c r="E689" i="2"/>
  <c r="R688" i="2"/>
  <c r="Q688" i="2"/>
  <c r="N688" i="2"/>
  <c r="M688" i="2"/>
  <c r="J688" i="2"/>
  <c r="I688" i="2"/>
  <c r="F688" i="2"/>
  <c r="E688" i="2"/>
  <c r="R687" i="2"/>
  <c r="Q687" i="2"/>
  <c r="N687" i="2"/>
  <c r="M687" i="2"/>
  <c r="J687" i="2"/>
  <c r="I687" i="2"/>
  <c r="F687" i="2"/>
  <c r="E687" i="2"/>
  <c r="R686" i="2"/>
  <c r="Q686" i="2"/>
  <c r="N686" i="2"/>
  <c r="M686" i="2"/>
  <c r="J686" i="2"/>
  <c r="I686" i="2"/>
  <c r="F686" i="2"/>
  <c r="E686" i="2"/>
  <c r="R685" i="2"/>
  <c r="Q685" i="2"/>
  <c r="N685" i="2"/>
  <c r="M685" i="2"/>
  <c r="J685" i="2"/>
  <c r="I685" i="2"/>
  <c r="F685" i="2"/>
  <c r="E685" i="2"/>
  <c r="R684" i="2"/>
  <c r="Q684" i="2"/>
  <c r="N684" i="2"/>
  <c r="M684" i="2"/>
  <c r="J684" i="2"/>
  <c r="I684" i="2"/>
  <c r="F684" i="2"/>
  <c r="E684" i="2"/>
  <c r="R683" i="2"/>
  <c r="Q683" i="2"/>
  <c r="N683" i="2"/>
  <c r="M683" i="2"/>
  <c r="J683" i="2"/>
  <c r="I683" i="2"/>
  <c r="F683" i="2"/>
  <c r="E683" i="2"/>
  <c r="R682" i="2"/>
  <c r="Q682" i="2"/>
  <c r="N682" i="2"/>
  <c r="M682" i="2"/>
  <c r="J682" i="2"/>
  <c r="I682" i="2"/>
  <c r="F682" i="2"/>
  <c r="E682" i="2"/>
  <c r="R681" i="2"/>
  <c r="Q681" i="2"/>
  <c r="N681" i="2"/>
  <c r="M681" i="2"/>
  <c r="J681" i="2"/>
  <c r="I681" i="2"/>
  <c r="F681" i="2"/>
  <c r="E681" i="2"/>
  <c r="R680" i="2"/>
  <c r="Q680" i="2"/>
  <c r="N680" i="2"/>
  <c r="M680" i="2"/>
  <c r="J680" i="2"/>
  <c r="I680" i="2"/>
  <c r="F680" i="2"/>
  <c r="E680" i="2"/>
  <c r="R679" i="2"/>
  <c r="Q679" i="2"/>
  <c r="N679" i="2"/>
  <c r="M679" i="2"/>
  <c r="J679" i="2"/>
  <c r="I679" i="2"/>
  <c r="F679" i="2"/>
  <c r="E679" i="2"/>
  <c r="R678" i="2"/>
  <c r="Q678" i="2"/>
  <c r="N678" i="2"/>
  <c r="M678" i="2"/>
  <c r="J678" i="2"/>
  <c r="I678" i="2"/>
  <c r="F678" i="2"/>
  <c r="E678" i="2"/>
  <c r="R677" i="2"/>
  <c r="Q677" i="2"/>
  <c r="N677" i="2"/>
  <c r="M677" i="2"/>
  <c r="J677" i="2"/>
  <c r="I677" i="2"/>
  <c r="F677" i="2"/>
  <c r="E677" i="2"/>
  <c r="R676" i="2"/>
  <c r="Q676" i="2"/>
  <c r="N676" i="2"/>
  <c r="M676" i="2"/>
  <c r="J676" i="2"/>
  <c r="I676" i="2"/>
  <c r="F676" i="2"/>
  <c r="E676" i="2"/>
  <c r="R675" i="2"/>
  <c r="Q675" i="2"/>
  <c r="N675" i="2"/>
  <c r="M675" i="2"/>
  <c r="J675" i="2"/>
  <c r="I675" i="2"/>
  <c r="F675" i="2"/>
  <c r="E675" i="2"/>
  <c r="R674" i="2"/>
  <c r="Q674" i="2"/>
  <c r="N674" i="2"/>
  <c r="M674" i="2"/>
  <c r="J674" i="2"/>
  <c r="I674" i="2"/>
  <c r="F674" i="2"/>
  <c r="E674" i="2"/>
  <c r="R673" i="2"/>
  <c r="Q673" i="2"/>
  <c r="N673" i="2"/>
  <c r="M673" i="2"/>
  <c r="J673" i="2"/>
  <c r="I673" i="2"/>
  <c r="F673" i="2"/>
  <c r="E673" i="2"/>
  <c r="R672" i="2"/>
  <c r="Q672" i="2"/>
  <c r="N672" i="2"/>
  <c r="M672" i="2"/>
  <c r="J672" i="2"/>
  <c r="I672" i="2"/>
  <c r="F672" i="2"/>
  <c r="E672" i="2"/>
  <c r="R671" i="2"/>
  <c r="Q671" i="2"/>
  <c r="N671" i="2"/>
  <c r="M671" i="2"/>
  <c r="J671" i="2"/>
  <c r="I671" i="2"/>
  <c r="F671" i="2"/>
  <c r="E671" i="2"/>
  <c r="R670" i="2"/>
  <c r="Q670" i="2"/>
  <c r="N670" i="2"/>
  <c r="M670" i="2"/>
  <c r="J670" i="2"/>
  <c r="I670" i="2"/>
  <c r="F670" i="2"/>
  <c r="E670" i="2"/>
  <c r="R669" i="2"/>
  <c r="Q669" i="2"/>
  <c r="N669" i="2"/>
  <c r="M669" i="2"/>
  <c r="J669" i="2"/>
  <c r="I669" i="2"/>
  <c r="F669" i="2"/>
  <c r="E669" i="2"/>
  <c r="R668" i="2"/>
  <c r="Q668" i="2"/>
  <c r="N668" i="2"/>
  <c r="M668" i="2"/>
  <c r="J668" i="2"/>
  <c r="I668" i="2"/>
  <c r="F668" i="2"/>
  <c r="E668" i="2"/>
  <c r="R667" i="2"/>
  <c r="Q667" i="2"/>
  <c r="N667" i="2"/>
  <c r="M667" i="2"/>
  <c r="J667" i="2"/>
  <c r="I667" i="2"/>
  <c r="F667" i="2"/>
  <c r="E667" i="2"/>
  <c r="R666" i="2"/>
  <c r="Q666" i="2"/>
  <c r="N666" i="2"/>
  <c r="M666" i="2"/>
  <c r="J666" i="2"/>
  <c r="I666" i="2"/>
  <c r="F666" i="2"/>
  <c r="E666" i="2"/>
  <c r="R665" i="2"/>
  <c r="Q665" i="2"/>
  <c r="N665" i="2"/>
  <c r="M665" i="2"/>
  <c r="J665" i="2"/>
  <c r="I665" i="2"/>
  <c r="F665" i="2"/>
  <c r="E665" i="2"/>
  <c r="R664" i="2"/>
  <c r="Q664" i="2"/>
  <c r="N664" i="2"/>
  <c r="M664" i="2"/>
  <c r="J664" i="2"/>
  <c r="I664" i="2"/>
  <c r="F664" i="2"/>
  <c r="E664" i="2"/>
  <c r="R663" i="2"/>
  <c r="Q663" i="2"/>
  <c r="N663" i="2"/>
  <c r="M663" i="2"/>
  <c r="J663" i="2"/>
  <c r="I663" i="2"/>
  <c r="F663" i="2"/>
  <c r="E663" i="2"/>
  <c r="R662" i="2"/>
  <c r="Q662" i="2"/>
  <c r="N662" i="2"/>
  <c r="M662" i="2"/>
  <c r="J662" i="2"/>
  <c r="I662" i="2"/>
  <c r="F662" i="2"/>
  <c r="E662" i="2"/>
  <c r="R661" i="2"/>
  <c r="Q661" i="2"/>
  <c r="N661" i="2"/>
  <c r="M661" i="2"/>
  <c r="J661" i="2"/>
  <c r="I661" i="2"/>
  <c r="F661" i="2"/>
  <c r="E661" i="2"/>
  <c r="R660" i="2"/>
  <c r="Q660" i="2"/>
  <c r="N660" i="2"/>
  <c r="M660" i="2"/>
  <c r="J660" i="2"/>
  <c r="I660" i="2"/>
  <c r="F660" i="2"/>
  <c r="E660" i="2"/>
  <c r="R659" i="2"/>
  <c r="Q659" i="2"/>
  <c r="N659" i="2"/>
  <c r="M659" i="2"/>
  <c r="J659" i="2"/>
  <c r="I659" i="2"/>
  <c r="F659" i="2"/>
  <c r="E659" i="2"/>
  <c r="R658" i="2"/>
  <c r="Q658" i="2"/>
  <c r="N658" i="2"/>
  <c r="M658" i="2"/>
  <c r="J658" i="2"/>
  <c r="I658" i="2"/>
  <c r="F658" i="2"/>
  <c r="E658" i="2"/>
  <c r="R657" i="2"/>
  <c r="Q657" i="2"/>
  <c r="N657" i="2"/>
  <c r="M657" i="2"/>
  <c r="J657" i="2"/>
  <c r="I657" i="2"/>
  <c r="F657" i="2"/>
  <c r="E657" i="2"/>
  <c r="R656" i="2"/>
  <c r="Q656" i="2"/>
  <c r="N656" i="2"/>
  <c r="M656" i="2"/>
  <c r="J656" i="2"/>
  <c r="I656" i="2"/>
  <c r="F656" i="2"/>
  <c r="E656" i="2"/>
  <c r="R655" i="2"/>
  <c r="Q655" i="2"/>
  <c r="N655" i="2"/>
  <c r="M655" i="2"/>
  <c r="J655" i="2"/>
  <c r="I655" i="2"/>
  <c r="F655" i="2"/>
  <c r="E655" i="2"/>
  <c r="R654" i="2"/>
  <c r="Q654" i="2"/>
  <c r="N654" i="2"/>
  <c r="M654" i="2"/>
  <c r="J654" i="2"/>
  <c r="I654" i="2"/>
  <c r="F654" i="2"/>
  <c r="E654" i="2"/>
  <c r="R653" i="2"/>
  <c r="Q653" i="2"/>
  <c r="N653" i="2"/>
  <c r="M653" i="2"/>
  <c r="J653" i="2"/>
  <c r="I653" i="2"/>
  <c r="F653" i="2"/>
  <c r="E653" i="2"/>
  <c r="R652" i="2"/>
  <c r="Q652" i="2"/>
  <c r="N652" i="2"/>
  <c r="M652" i="2"/>
  <c r="J652" i="2"/>
  <c r="I652" i="2"/>
  <c r="F652" i="2"/>
  <c r="E652" i="2"/>
  <c r="R651" i="2"/>
  <c r="Q651" i="2"/>
  <c r="N651" i="2"/>
  <c r="M651" i="2"/>
  <c r="J651" i="2"/>
  <c r="I651" i="2"/>
  <c r="F651" i="2"/>
  <c r="E651" i="2"/>
  <c r="R650" i="2"/>
  <c r="Q650" i="2"/>
  <c r="N650" i="2"/>
  <c r="M650" i="2"/>
  <c r="J650" i="2"/>
  <c r="I650" i="2"/>
  <c r="F650" i="2"/>
  <c r="E650" i="2"/>
  <c r="R649" i="2"/>
  <c r="Q649" i="2"/>
  <c r="N649" i="2"/>
  <c r="M649" i="2"/>
  <c r="J649" i="2"/>
  <c r="I649" i="2"/>
  <c r="F649" i="2"/>
  <c r="E649" i="2"/>
  <c r="R648" i="2"/>
  <c r="Q648" i="2"/>
  <c r="N648" i="2"/>
  <c r="M648" i="2"/>
  <c r="J648" i="2"/>
  <c r="I648" i="2"/>
  <c r="F648" i="2"/>
  <c r="E648" i="2"/>
  <c r="R647" i="2"/>
  <c r="Q647" i="2"/>
  <c r="N647" i="2"/>
  <c r="M647" i="2"/>
  <c r="J647" i="2"/>
  <c r="I647" i="2"/>
  <c r="F647" i="2"/>
  <c r="E647" i="2"/>
  <c r="R646" i="2"/>
  <c r="Q646" i="2"/>
  <c r="N646" i="2"/>
  <c r="M646" i="2"/>
  <c r="J646" i="2"/>
  <c r="I646" i="2"/>
  <c r="F646" i="2"/>
  <c r="E646" i="2"/>
  <c r="R645" i="2"/>
  <c r="Q645" i="2"/>
  <c r="N645" i="2"/>
  <c r="M645" i="2"/>
  <c r="J645" i="2"/>
  <c r="I645" i="2"/>
  <c r="F645" i="2"/>
  <c r="E645" i="2"/>
  <c r="R644" i="2"/>
  <c r="Q644" i="2"/>
  <c r="N644" i="2"/>
  <c r="M644" i="2"/>
  <c r="J644" i="2"/>
  <c r="I644" i="2"/>
  <c r="F644" i="2"/>
  <c r="E644" i="2"/>
  <c r="R643" i="2"/>
  <c r="Q643" i="2"/>
  <c r="N643" i="2"/>
  <c r="M643" i="2"/>
  <c r="J643" i="2"/>
  <c r="I643" i="2"/>
  <c r="F643" i="2"/>
  <c r="E643" i="2"/>
  <c r="R642" i="2"/>
  <c r="Q642" i="2"/>
  <c r="N642" i="2"/>
  <c r="M642" i="2"/>
  <c r="J642" i="2"/>
  <c r="I642" i="2"/>
  <c r="F642" i="2"/>
  <c r="E642" i="2"/>
  <c r="R641" i="2"/>
  <c r="Q641" i="2"/>
  <c r="N641" i="2"/>
  <c r="M641" i="2"/>
  <c r="J641" i="2"/>
  <c r="I641" i="2"/>
  <c r="F641" i="2"/>
  <c r="E641" i="2"/>
  <c r="R640" i="2"/>
  <c r="Q640" i="2"/>
  <c r="N640" i="2"/>
  <c r="M640" i="2"/>
  <c r="J640" i="2"/>
  <c r="I640" i="2"/>
  <c r="F640" i="2"/>
  <c r="E640" i="2"/>
  <c r="R639" i="2"/>
  <c r="Q639" i="2"/>
  <c r="N639" i="2"/>
  <c r="M639" i="2"/>
  <c r="J639" i="2"/>
  <c r="I639" i="2"/>
  <c r="F639" i="2"/>
  <c r="E639" i="2"/>
  <c r="R638" i="2"/>
  <c r="Q638" i="2"/>
  <c r="N638" i="2"/>
  <c r="M638" i="2"/>
  <c r="J638" i="2"/>
  <c r="I638" i="2"/>
  <c r="F638" i="2"/>
  <c r="E638" i="2"/>
  <c r="R637" i="2"/>
  <c r="Q637" i="2"/>
  <c r="N637" i="2"/>
  <c r="M637" i="2"/>
  <c r="J637" i="2"/>
  <c r="I637" i="2"/>
  <c r="F637" i="2"/>
  <c r="E637" i="2"/>
  <c r="R636" i="2"/>
  <c r="Q636" i="2"/>
  <c r="N636" i="2"/>
  <c r="M636" i="2"/>
  <c r="J636" i="2"/>
  <c r="I636" i="2"/>
  <c r="F636" i="2"/>
  <c r="E636" i="2"/>
  <c r="R635" i="2"/>
  <c r="Q635" i="2"/>
  <c r="N635" i="2"/>
  <c r="M635" i="2"/>
  <c r="J635" i="2"/>
  <c r="I635" i="2"/>
  <c r="F635" i="2"/>
  <c r="E635" i="2"/>
  <c r="R634" i="2"/>
  <c r="Q634" i="2"/>
  <c r="N634" i="2"/>
  <c r="M634" i="2"/>
  <c r="J634" i="2"/>
  <c r="I634" i="2"/>
  <c r="F634" i="2"/>
  <c r="E634" i="2"/>
  <c r="R633" i="2"/>
  <c r="Q633" i="2"/>
  <c r="N633" i="2"/>
  <c r="M633" i="2"/>
  <c r="J633" i="2"/>
  <c r="I633" i="2"/>
  <c r="F633" i="2"/>
  <c r="E633" i="2"/>
  <c r="R632" i="2"/>
  <c r="Q632" i="2"/>
  <c r="N632" i="2"/>
  <c r="M632" i="2"/>
  <c r="J632" i="2"/>
  <c r="I632" i="2"/>
  <c r="F632" i="2"/>
  <c r="E632" i="2"/>
  <c r="R631" i="2"/>
  <c r="Q631" i="2"/>
  <c r="N631" i="2"/>
  <c r="M631" i="2"/>
  <c r="J631" i="2"/>
  <c r="I631" i="2"/>
  <c r="F631" i="2"/>
  <c r="E631" i="2"/>
  <c r="R630" i="2"/>
  <c r="Q630" i="2"/>
  <c r="N630" i="2"/>
  <c r="M630" i="2"/>
  <c r="J630" i="2"/>
  <c r="I630" i="2"/>
  <c r="F630" i="2"/>
  <c r="E630" i="2"/>
  <c r="R629" i="2"/>
  <c r="Q629" i="2"/>
  <c r="N629" i="2"/>
  <c r="M629" i="2"/>
  <c r="J629" i="2"/>
  <c r="I629" i="2"/>
  <c r="F629" i="2"/>
  <c r="E629" i="2"/>
  <c r="R628" i="2"/>
  <c r="Q628" i="2"/>
  <c r="N628" i="2"/>
  <c r="M628" i="2"/>
  <c r="J628" i="2"/>
  <c r="I628" i="2"/>
  <c r="F628" i="2"/>
  <c r="E628" i="2"/>
  <c r="R627" i="2"/>
  <c r="Q627" i="2"/>
  <c r="N627" i="2"/>
  <c r="M627" i="2"/>
  <c r="J627" i="2"/>
  <c r="I627" i="2"/>
  <c r="F627" i="2"/>
  <c r="E627" i="2"/>
  <c r="R626" i="2"/>
  <c r="Q626" i="2"/>
  <c r="N626" i="2"/>
  <c r="M626" i="2"/>
  <c r="J626" i="2"/>
  <c r="I626" i="2"/>
  <c r="F626" i="2"/>
  <c r="E626" i="2"/>
  <c r="R625" i="2"/>
  <c r="Q625" i="2"/>
  <c r="N625" i="2"/>
  <c r="M625" i="2"/>
  <c r="J625" i="2"/>
  <c r="I625" i="2"/>
  <c r="F625" i="2"/>
  <c r="E625" i="2"/>
  <c r="R624" i="2"/>
  <c r="Q624" i="2"/>
  <c r="N624" i="2"/>
  <c r="M624" i="2"/>
  <c r="J624" i="2"/>
  <c r="I624" i="2"/>
  <c r="F624" i="2"/>
  <c r="E624" i="2"/>
  <c r="R623" i="2"/>
  <c r="Q623" i="2"/>
  <c r="N623" i="2"/>
  <c r="M623" i="2"/>
  <c r="J623" i="2"/>
  <c r="I623" i="2"/>
  <c r="F623" i="2"/>
  <c r="E623" i="2"/>
  <c r="R622" i="2"/>
  <c r="Q622" i="2"/>
  <c r="N622" i="2"/>
  <c r="M622" i="2"/>
  <c r="J622" i="2"/>
  <c r="I622" i="2"/>
  <c r="F622" i="2"/>
  <c r="E622" i="2"/>
  <c r="R621" i="2"/>
  <c r="Q621" i="2"/>
  <c r="N621" i="2"/>
  <c r="M621" i="2"/>
  <c r="J621" i="2"/>
  <c r="I621" i="2"/>
  <c r="F621" i="2"/>
  <c r="E621" i="2"/>
  <c r="R620" i="2"/>
  <c r="Q620" i="2"/>
  <c r="N620" i="2"/>
  <c r="M620" i="2"/>
  <c r="J620" i="2"/>
  <c r="I620" i="2"/>
  <c r="F620" i="2"/>
  <c r="E620" i="2"/>
  <c r="R619" i="2"/>
  <c r="Q619" i="2"/>
  <c r="N619" i="2"/>
  <c r="M619" i="2"/>
  <c r="J619" i="2"/>
  <c r="I619" i="2"/>
  <c r="F619" i="2"/>
  <c r="E619" i="2"/>
  <c r="R618" i="2"/>
  <c r="Q618" i="2"/>
  <c r="N618" i="2"/>
  <c r="M618" i="2"/>
  <c r="J618" i="2"/>
  <c r="I618" i="2"/>
  <c r="F618" i="2"/>
  <c r="E618" i="2"/>
  <c r="R617" i="2"/>
  <c r="Q617" i="2"/>
  <c r="N617" i="2"/>
  <c r="M617" i="2"/>
  <c r="J617" i="2"/>
  <c r="I617" i="2"/>
  <c r="F617" i="2"/>
  <c r="E617" i="2"/>
  <c r="R616" i="2"/>
  <c r="Q616" i="2"/>
  <c r="N616" i="2"/>
  <c r="M616" i="2"/>
  <c r="J616" i="2"/>
  <c r="I616" i="2"/>
  <c r="F616" i="2"/>
  <c r="E616" i="2"/>
  <c r="R615" i="2"/>
  <c r="Q615" i="2"/>
  <c r="N615" i="2"/>
  <c r="M615" i="2"/>
  <c r="J615" i="2"/>
  <c r="I615" i="2"/>
  <c r="F615" i="2"/>
  <c r="E615" i="2"/>
  <c r="R614" i="2"/>
  <c r="Q614" i="2"/>
  <c r="N614" i="2"/>
  <c r="M614" i="2"/>
  <c r="J614" i="2"/>
  <c r="I614" i="2"/>
  <c r="F614" i="2"/>
  <c r="E614" i="2"/>
  <c r="R613" i="2"/>
  <c r="Q613" i="2"/>
  <c r="N613" i="2"/>
  <c r="M613" i="2"/>
  <c r="J613" i="2"/>
  <c r="I613" i="2"/>
  <c r="F613" i="2"/>
  <c r="E613" i="2"/>
  <c r="R612" i="2"/>
  <c r="Q612" i="2"/>
  <c r="N612" i="2"/>
  <c r="M612" i="2"/>
  <c r="J612" i="2"/>
  <c r="I612" i="2"/>
  <c r="F612" i="2"/>
  <c r="E612" i="2"/>
  <c r="R611" i="2"/>
  <c r="Q611" i="2"/>
  <c r="N611" i="2"/>
  <c r="M611" i="2"/>
  <c r="J611" i="2"/>
  <c r="I611" i="2"/>
  <c r="F611" i="2"/>
  <c r="E611" i="2"/>
  <c r="R610" i="2"/>
  <c r="Q610" i="2"/>
  <c r="N610" i="2"/>
  <c r="M610" i="2"/>
  <c r="J610" i="2"/>
  <c r="I610" i="2"/>
  <c r="F610" i="2"/>
  <c r="E610" i="2"/>
  <c r="R609" i="2"/>
  <c r="Q609" i="2"/>
  <c r="N609" i="2"/>
  <c r="M609" i="2"/>
  <c r="J609" i="2"/>
  <c r="I609" i="2"/>
  <c r="F609" i="2"/>
  <c r="E609" i="2"/>
  <c r="R608" i="2"/>
  <c r="Q608" i="2"/>
  <c r="N608" i="2"/>
  <c r="M608" i="2"/>
  <c r="J608" i="2"/>
  <c r="I608" i="2"/>
  <c r="F608" i="2"/>
  <c r="E608" i="2"/>
  <c r="R607" i="2"/>
  <c r="Q607" i="2"/>
  <c r="N607" i="2"/>
  <c r="M607" i="2"/>
  <c r="J607" i="2"/>
  <c r="I607" i="2"/>
  <c r="F607" i="2"/>
  <c r="E607" i="2"/>
  <c r="R606" i="2"/>
  <c r="Q606" i="2"/>
  <c r="N606" i="2"/>
  <c r="M606" i="2"/>
  <c r="J606" i="2"/>
  <c r="I606" i="2"/>
  <c r="F606" i="2"/>
  <c r="E606" i="2"/>
  <c r="R605" i="2"/>
  <c r="Q605" i="2"/>
  <c r="N605" i="2"/>
  <c r="M605" i="2"/>
  <c r="J605" i="2"/>
  <c r="I605" i="2"/>
  <c r="F605" i="2"/>
  <c r="E605" i="2"/>
  <c r="R604" i="2"/>
  <c r="Q604" i="2"/>
  <c r="N604" i="2"/>
  <c r="M604" i="2"/>
  <c r="J604" i="2"/>
  <c r="I604" i="2"/>
  <c r="F604" i="2"/>
  <c r="E604" i="2"/>
  <c r="R603" i="2"/>
  <c r="Q603" i="2"/>
  <c r="N603" i="2"/>
  <c r="M603" i="2"/>
  <c r="J603" i="2"/>
  <c r="I603" i="2"/>
  <c r="F603" i="2"/>
  <c r="E603" i="2"/>
  <c r="R602" i="2"/>
  <c r="Q602" i="2"/>
  <c r="N602" i="2"/>
  <c r="M602" i="2"/>
  <c r="J602" i="2"/>
  <c r="I602" i="2"/>
  <c r="F602" i="2"/>
  <c r="E602" i="2"/>
  <c r="R601" i="2"/>
  <c r="Q601" i="2"/>
  <c r="N601" i="2"/>
  <c r="M601" i="2"/>
  <c r="J601" i="2"/>
  <c r="I601" i="2"/>
  <c r="F601" i="2"/>
  <c r="E601" i="2"/>
  <c r="R600" i="2"/>
  <c r="Q600" i="2"/>
  <c r="N600" i="2"/>
  <c r="M600" i="2"/>
  <c r="J600" i="2"/>
  <c r="I600" i="2"/>
  <c r="F600" i="2"/>
  <c r="E600" i="2"/>
  <c r="R599" i="2"/>
  <c r="Q599" i="2"/>
  <c r="N599" i="2"/>
  <c r="M599" i="2"/>
  <c r="J599" i="2"/>
  <c r="I599" i="2"/>
  <c r="F599" i="2"/>
  <c r="E599" i="2"/>
  <c r="R598" i="2"/>
  <c r="Q598" i="2"/>
  <c r="N598" i="2"/>
  <c r="M598" i="2"/>
  <c r="J598" i="2"/>
  <c r="I598" i="2"/>
  <c r="F598" i="2"/>
  <c r="E598" i="2"/>
  <c r="R597" i="2"/>
  <c r="Q597" i="2"/>
  <c r="N597" i="2"/>
  <c r="M597" i="2"/>
  <c r="J597" i="2"/>
  <c r="I597" i="2"/>
  <c r="F597" i="2"/>
  <c r="E597" i="2"/>
  <c r="R596" i="2"/>
  <c r="Q596" i="2"/>
  <c r="N596" i="2"/>
  <c r="M596" i="2"/>
  <c r="J596" i="2"/>
  <c r="I596" i="2"/>
  <c r="F596" i="2"/>
  <c r="E596" i="2"/>
  <c r="R595" i="2"/>
  <c r="Q595" i="2"/>
  <c r="N595" i="2"/>
  <c r="M595" i="2"/>
  <c r="J595" i="2"/>
  <c r="I595" i="2"/>
  <c r="F595" i="2"/>
  <c r="E595" i="2"/>
  <c r="R594" i="2"/>
  <c r="Q594" i="2"/>
  <c r="N594" i="2"/>
  <c r="M594" i="2"/>
  <c r="J594" i="2"/>
  <c r="I594" i="2"/>
  <c r="F594" i="2"/>
  <c r="E594" i="2"/>
  <c r="R593" i="2"/>
  <c r="Q593" i="2"/>
  <c r="N593" i="2"/>
  <c r="M593" i="2"/>
  <c r="J593" i="2"/>
  <c r="I593" i="2"/>
  <c r="F593" i="2"/>
  <c r="E593" i="2"/>
  <c r="R592" i="2"/>
  <c r="Q592" i="2"/>
  <c r="N592" i="2"/>
  <c r="M592" i="2"/>
  <c r="J592" i="2"/>
  <c r="I592" i="2"/>
  <c r="F592" i="2"/>
  <c r="E592" i="2"/>
  <c r="R591" i="2"/>
  <c r="Q591" i="2"/>
  <c r="N591" i="2"/>
  <c r="M591" i="2"/>
  <c r="J591" i="2"/>
  <c r="I591" i="2"/>
  <c r="F591" i="2"/>
  <c r="E591" i="2"/>
  <c r="R590" i="2"/>
  <c r="Q590" i="2"/>
  <c r="N590" i="2"/>
  <c r="M590" i="2"/>
  <c r="J590" i="2"/>
  <c r="I590" i="2"/>
  <c r="F590" i="2"/>
  <c r="E590" i="2"/>
  <c r="R589" i="2"/>
  <c r="Q589" i="2"/>
  <c r="N589" i="2"/>
  <c r="M589" i="2"/>
  <c r="J589" i="2"/>
  <c r="I589" i="2"/>
  <c r="F589" i="2"/>
  <c r="E589" i="2"/>
  <c r="R588" i="2"/>
  <c r="Q588" i="2"/>
  <c r="N588" i="2"/>
  <c r="M588" i="2"/>
  <c r="J588" i="2"/>
  <c r="I588" i="2"/>
  <c r="F588" i="2"/>
  <c r="E588" i="2"/>
  <c r="R587" i="2"/>
  <c r="Q587" i="2"/>
  <c r="N587" i="2"/>
  <c r="M587" i="2"/>
  <c r="J587" i="2"/>
  <c r="I587" i="2"/>
  <c r="F587" i="2"/>
  <c r="E587" i="2"/>
  <c r="R586" i="2"/>
  <c r="Q586" i="2"/>
  <c r="N586" i="2"/>
  <c r="M586" i="2"/>
  <c r="J586" i="2"/>
  <c r="I586" i="2"/>
  <c r="F586" i="2"/>
  <c r="E586" i="2"/>
  <c r="R585" i="2"/>
  <c r="Q585" i="2"/>
  <c r="N585" i="2"/>
  <c r="M585" i="2"/>
  <c r="J585" i="2"/>
  <c r="I585" i="2"/>
  <c r="F585" i="2"/>
  <c r="E585" i="2"/>
  <c r="R584" i="2"/>
  <c r="Q584" i="2"/>
  <c r="N584" i="2"/>
  <c r="M584" i="2"/>
  <c r="J584" i="2"/>
  <c r="I584" i="2"/>
  <c r="F584" i="2"/>
  <c r="E584" i="2"/>
  <c r="R583" i="2"/>
  <c r="Q583" i="2"/>
  <c r="N583" i="2"/>
  <c r="M583" i="2"/>
  <c r="J583" i="2"/>
  <c r="I583" i="2"/>
  <c r="F583" i="2"/>
  <c r="E583" i="2"/>
  <c r="R582" i="2"/>
  <c r="Q582" i="2"/>
  <c r="N582" i="2"/>
  <c r="M582" i="2"/>
  <c r="J582" i="2"/>
  <c r="I582" i="2"/>
  <c r="F582" i="2"/>
  <c r="E582" i="2"/>
  <c r="R581" i="2"/>
  <c r="Q581" i="2"/>
  <c r="N581" i="2"/>
  <c r="M581" i="2"/>
  <c r="J581" i="2"/>
  <c r="I581" i="2"/>
  <c r="F581" i="2"/>
  <c r="E581" i="2"/>
  <c r="R580" i="2"/>
  <c r="Q580" i="2"/>
  <c r="N580" i="2"/>
  <c r="M580" i="2"/>
  <c r="J580" i="2"/>
  <c r="I580" i="2"/>
  <c r="F580" i="2"/>
  <c r="E580" i="2"/>
  <c r="R579" i="2"/>
  <c r="Q579" i="2"/>
  <c r="N579" i="2"/>
  <c r="M579" i="2"/>
  <c r="J579" i="2"/>
  <c r="I579" i="2"/>
  <c r="F579" i="2"/>
  <c r="E579" i="2"/>
  <c r="R578" i="2"/>
  <c r="Q578" i="2"/>
  <c r="N578" i="2"/>
  <c r="M578" i="2"/>
  <c r="J578" i="2"/>
  <c r="I578" i="2"/>
  <c r="F578" i="2"/>
  <c r="E578" i="2"/>
  <c r="R577" i="2"/>
  <c r="Q577" i="2"/>
  <c r="N577" i="2"/>
  <c r="M577" i="2"/>
  <c r="J577" i="2"/>
  <c r="I577" i="2"/>
  <c r="F577" i="2"/>
  <c r="E577" i="2"/>
  <c r="R576" i="2"/>
  <c r="Q576" i="2"/>
  <c r="N576" i="2"/>
  <c r="M576" i="2"/>
  <c r="J576" i="2"/>
  <c r="I576" i="2"/>
  <c r="F576" i="2"/>
  <c r="E576" i="2"/>
  <c r="R575" i="2"/>
  <c r="Q575" i="2"/>
  <c r="N575" i="2"/>
  <c r="M575" i="2"/>
  <c r="J575" i="2"/>
  <c r="I575" i="2"/>
  <c r="F575" i="2"/>
  <c r="E575" i="2"/>
  <c r="R574" i="2"/>
  <c r="Q574" i="2"/>
  <c r="N574" i="2"/>
  <c r="M574" i="2"/>
  <c r="J574" i="2"/>
  <c r="I574" i="2"/>
  <c r="F574" i="2"/>
  <c r="E574" i="2"/>
  <c r="R573" i="2"/>
  <c r="Q573" i="2"/>
  <c r="N573" i="2"/>
  <c r="M573" i="2"/>
  <c r="J573" i="2"/>
  <c r="I573" i="2"/>
  <c r="F573" i="2"/>
  <c r="E573" i="2"/>
  <c r="R572" i="2"/>
  <c r="Q572" i="2"/>
  <c r="N572" i="2"/>
  <c r="M572" i="2"/>
  <c r="J572" i="2"/>
  <c r="I572" i="2"/>
  <c r="F572" i="2"/>
  <c r="E572" i="2"/>
  <c r="R571" i="2"/>
  <c r="Q571" i="2"/>
  <c r="N571" i="2"/>
  <c r="M571" i="2"/>
  <c r="J571" i="2"/>
  <c r="I571" i="2"/>
  <c r="F571" i="2"/>
  <c r="E571" i="2"/>
  <c r="R570" i="2"/>
  <c r="Q570" i="2"/>
  <c r="N570" i="2"/>
  <c r="M570" i="2"/>
  <c r="J570" i="2"/>
  <c r="I570" i="2"/>
  <c r="F570" i="2"/>
  <c r="E570" i="2"/>
  <c r="R569" i="2"/>
  <c r="Q569" i="2"/>
  <c r="N569" i="2"/>
  <c r="M569" i="2"/>
  <c r="J569" i="2"/>
  <c r="I569" i="2"/>
  <c r="F569" i="2"/>
  <c r="E569" i="2"/>
  <c r="R568" i="2"/>
  <c r="Q568" i="2"/>
  <c r="N568" i="2"/>
  <c r="M568" i="2"/>
  <c r="J568" i="2"/>
  <c r="I568" i="2"/>
  <c r="F568" i="2"/>
  <c r="E568" i="2"/>
  <c r="R567" i="2"/>
  <c r="Q567" i="2"/>
  <c r="N567" i="2"/>
  <c r="M567" i="2"/>
  <c r="J567" i="2"/>
  <c r="I567" i="2"/>
  <c r="F567" i="2"/>
  <c r="E567" i="2"/>
  <c r="R566" i="2"/>
  <c r="Q566" i="2"/>
  <c r="N566" i="2"/>
  <c r="M566" i="2"/>
  <c r="J566" i="2"/>
  <c r="I566" i="2"/>
  <c r="F566" i="2"/>
  <c r="E566" i="2"/>
  <c r="R565" i="2"/>
  <c r="Q565" i="2"/>
  <c r="N565" i="2"/>
  <c r="M565" i="2"/>
  <c r="J565" i="2"/>
  <c r="I565" i="2"/>
  <c r="F565" i="2"/>
  <c r="E565" i="2"/>
  <c r="R564" i="2"/>
  <c r="Q564" i="2"/>
  <c r="N564" i="2"/>
  <c r="M564" i="2"/>
  <c r="J564" i="2"/>
  <c r="I564" i="2"/>
  <c r="F564" i="2"/>
  <c r="E564" i="2"/>
  <c r="R563" i="2"/>
  <c r="Q563" i="2"/>
  <c r="N563" i="2"/>
  <c r="M563" i="2"/>
  <c r="J563" i="2"/>
  <c r="I563" i="2"/>
  <c r="F563" i="2"/>
  <c r="E563" i="2"/>
  <c r="R562" i="2"/>
  <c r="Q562" i="2"/>
  <c r="N562" i="2"/>
  <c r="M562" i="2"/>
  <c r="J562" i="2"/>
  <c r="I562" i="2"/>
  <c r="F562" i="2"/>
  <c r="E562" i="2"/>
  <c r="R561" i="2"/>
  <c r="Q561" i="2"/>
  <c r="N561" i="2"/>
  <c r="M561" i="2"/>
  <c r="J561" i="2"/>
  <c r="I561" i="2"/>
  <c r="F561" i="2"/>
  <c r="E561" i="2"/>
  <c r="R560" i="2"/>
  <c r="Q560" i="2"/>
  <c r="N560" i="2"/>
  <c r="M560" i="2"/>
  <c r="J560" i="2"/>
  <c r="I560" i="2"/>
  <c r="F560" i="2"/>
  <c r="E560" i="2"/>
  <c r="R559" i="2"/>
  <c r="Q559" i="2"/>
  <c r="N559" i="2"/>
  <c r="M559" i="2"/>
  <c r="J559" i="2"/>
  <c r="I559" i="2"/>
  <c r="F559" i="2"/>
  <c r="E559" i="2"/>
  <c r="R558" i="2"/>
  <c r="Q558" i="2"/>
  <c r="N558" i="2"/>
  <c r="M558" i="2"/>
  <c r="J558" i="2"/>
  <c r="I558" i="2"/>
  <c r="F558" i="2"/>
  <c r="E558" i="2"/>
  <c r="R557" i="2"/>
  <c r="Q557" i="2"/>
  <c r="N557" i="2"/>
  <c r="M557" i="2"/>
  <c r="J557" i="2"/>
  <c r="I557" i="2"/>
  <c r="F557" i="2"/>
  <c r="E557" i="2"/>
  <c r="R556" i="2"/>
  <c r="Q556" i="2"/>
  <c r="N556" i="2"/>
  <c r="M556" i="2"/>
  <c r="J556" i="2"/>
  <c r="I556" i="2"/>
  <c r="F556" i="2"/>
  <c r="E556" i="2"/>
  <c r="R555" i="2"/>
  <c r="Q555" i="2"/>
  <c r="N555" i="2"/>
  <c r="M555" i="2"/>
  <c r="J555" i="2"/>
  <c r="I555" i="2"/>
  <c r="F555" i="2"/>
  <c r="E555" i="2"/>
  <c r="R554" i="2"/>
  <c r="Q554" i="2"/>
  <c r="N554" i="2"/>
  <c r="M554" i="2"/>
  <c r="J554" i="2"/>
  <c r="I554" i="2"/>
  <c r="F554" i="2"/>
  <c r="E554" i="2"/>
  <c r="R553" i="2"/>
  <c r="Q553" i="2"/>
  <c r="N553" i="2"/>
  <c r="M553" i="2"/>
  <c r="J553" i="2"/>
  <c r="I553" i="2"/>
  <c r="F553" i="2"/>
  <c r="E553" i="2"/>
  <c r="R552" i="2"/>
  <c r="Q552" i="2"/>
  <c r="N552" i="2"/>
  <c r="M552" i="2"/>
  <c r="J552" i="2"/>
  <c r="I552" i="2"/>
  <c r="F552" i="2"/>
  <c r="E552" i="2"/>
  <c r="R551" i="2"/>
  <c r="Q551" i="2"/>
  <c r="N551" i="2"/>
  <c r="M551" i="2"/>
  <c r="J551" i="2"/>
  <c r="I551" i="2"/>
  <c r="F551" i="2"/>
  <c r="E551" i="2"/>
  <c r="R550" i="2"/>
  <c r="Q550" i="2"/>
  <c r="N550" i="2"/>
  <c r="M550" i="2"/>
  <c r="J550" i="2"/>
  <c r="I550" i="2"/>
  <c r="F550" i="2"/>
  <c r="E550" i="2"/>
  <c r="R549" i="2"/>
  <c r="Q549" i="2"/>
  <c r="N549" i="2"/>
  <c r="M549" i="2"/>
  <c r="J549" i="2"/>
  <c r="I549" i="2"/>
  <c r="F549" i="2"/>
  <c r="E549" i="2"/>
  <c r="R548" i="2"/>
  <c r="Q548" i="2"/>
  <c r="N548" i="2"/>
  <c r="M548" i="2"/>
  <c r="J548" i="2"/>
  <c r="I548" i="2"/>
  <c r="F548" i="2"/>
  <c r="E548" i="2"/>
  <c r="R547" i="2"/>
  <c r="Q547" i="2"/>
  <c r="N547" i="2"/>
  <c r="M547" i="2"/>
  <c r="J547" i="2"/>
  <c r="I547" i="2"/>
  <c r="F547" i="2"/>
  <c r="E547" i="2"/>
  <c r="R546" i="2"/>
  <c r="Q546" i="2"/>
  <c r="N546" i="2"/>
  <c r="M546" i="2"/>
  <c r="J546" i="2"/>
  <c r="I546" i="2"/>
  <c r="F546" i="2"/>
  <c r="E546" i="2"/>
  <c r="R545" i="2"/>
  <c r="Q545" i="2"/>
  <c r="N545" i="2"/>
  <c r="M545" i="2"/>
  <c r="J545" i="2"/>
  <c r="I545" i="2"/>
  <c r="F545" i="2"/>
  <c r="E545" i="2"/>
  <c r="R544" i="2"/>
  <c r="Q544" i="2"/>
  <c r="N544" i="2"/>
  <c r="M544" i="2"/>
  <c r="J544" i="2"/>
  <c r="I544" i="2"/>
  <c r="F544" i="2"/>
  <c r="E544" i="2"/>
  <c r="R543" i="2"/>
  <c r="Q543" i="2"/>
  <c r="N543" i="2"/>
  <c r="M543" i="2"/>
  <c r="J543" i="2"/>
  <c r="I543" i="2"/>
  <c r="F543" i="2"/>
  <c r="E543" i="2"/>
  <c r="R542" i="2"/>
  <c r="Q542" i="2"/>
  <c r="N542" i="2"/>
  <c r="M542" i="2"/>
  <c r="J542" i="2"/>
  <c r="I542" i="2"/>
  <c r="F542" i="2"/>
  <c r="E542" i="2"/>
  <c r="R541" i="2"/>
  <c r="Q541" i="2"/>
  <c r="N541" i="2"/>
  <c r="M541" i="2"/>
  <c r="J541" i="2"/>
  <c r="I541" i="2"/>
  <c r="F541" i="2"/>
  <c r="E541" i="2"/>
  <c r="R540" i="2"/>
  <c r="Q540" i="2"/>
  <c r="N540" i="2"/>
  <c r="M540" i="2"/>
  <c r="J540" i="2"/>
  <c r="I540" i="2"/>
  <c r="F540" i="2"/>
  <c r="E540" i="2"/>
  <c r="R539" i="2"/>
  <c r="Q539" i="2"/>
  <c r="N539" i="2"/>
  <c r="M539" i="2"/>
  <c r="J539" i="2"/>
  <c r="I539" i="2"/>
  <c r="F539" i="2"/>
  <c r="E539" i="2"/>
  <c r="R538" i="2"/>
  <c r="Q538" i="2"/>
  <c r="N538" i="2"/>
  <c r="M538" i="2"/>
  <c r="J538" i="2"/>
  <c r="I538" i="2"/>
  <c r="F538" i="2"/>
  <c r="E538" i="2"/>
  <c r="R537" i="2"/>
  <c r="Q537" i="2"/>
  <c r="N537" i="2"/>
  <c r="M537" i="2"/>
  <c r="J537" i="2"/>
  <c r="I537" i="2"/>
  <c r="F537" i="2"/>
  <c r="E537" i="2"/>
  <c r="R536" i="2"/>
  <c r="Q536" i="2"/>
  <c r="N536" i="2"/>
  <c r="M536" i="2"/>
  <c r="J536" i="2"/>
  <c r="I536" i="2"/>
  <c r="F536" i="2"/>
  <c r="E536" i="2"/>
  <c r="R535" i="2"/>
  <c r="Q535" i="2"/>
  <c r="N535" i="2"/>
  <c r="M535" i="2"/>
  <c r="J535" i="2"/>
  <c r="I535" i="2"/>
  <c r="F535" i="2"/>
  <c r="E535" i="2"/>
  <c r="R534" i="2"/>
  <c r="Q534" i="2"/>
  <c r="N534" i="2"/>
  <c r="M534" i="2"/>
  <c r="J534" i="2"/>
  <c r="I534" i="2"/>
  <c r="F534" i="2"/>
  <c r="E534" i="2"/>
  <c r="R533" i="2"/>
  <c r="Q533" i="2"/>
  <c r="N533" i="2"/>
  <c r="M533" i="2"/>
  <c r="J533" i="2"/>
  <c r="I533" i="2"/>
  <c r="F533" i="2"/>
  <c r="E533" i="2"/>
  <c r="R532" i="2"/>
  <c r="Q532" i="2"/>
  <c r="N532" i="2"/>
  <c r="M532" i="2"/>
  <c r="J532" i="2"/>
  <c r="I532" i="2"/>
  <c r="F532" i="2"/>
  <c r="E532" i="2"/>
  <c r="R531" i="2"/>
  <c r="Q531" i="2"/>
  <c r="N531" i="2"/>
  <c r="M531" i="2"/>
  <c r="J531" i="2"/>
  <c r="I531" i="2"/>
  <c r="F531" i="2"/>
  <c r="E531" i="2"/>
  <c r="R530" i="2"/>
  <c r="Q530" i="2"/>
  <c r="N530" i="2"/>
  <c r="M530" i="2"/>
  <c r="J530" i="2"/>
  <c r="I530" i="2"/>
  <c r="F530" i="2"/>
  <c r="E530" i="2"/>
  <c r="R529" i="2"/>
  <c r="Q529" i="2"/>
  <c r="N529" i="2"/>
  <c r="M529" i="2"/>
  <c r="J529" i="2"/>
  <c r="I529" i="2"/>
  <c r="F529" i="2"/>
  <c r="E529" i="2"/>
  <c r="R528" i="2"/>
  <c r="Q528" i="2"/>
  <c r="N528" i="2"/>
  <c r="M528" i="2"/>
  <c r="J528" i="2"/>
  <c r="I528" i="2"/>
  <c r="F528" i="2"/>
  <c r="E528" i="2"/>
  <c r="R527" i="2"/>
  <c r="Q527" i="2"/>
  <c r="N527" i="2"/>
  <c r="M527" i="2"/>
  <c r="J527" i="2"/>
  <c r="I527" i="2"/>
  <c r="F527" i="2"/>
  <c r="E527" i="2"/>
  <c r="R526" i="2"/>
  <c r="Q526" i="2"/>
  <c r="N526" i="2"/>
  <c r="M526" i="2"/>
  <c r="J526" i="2"/>
  <c r="I526" i="2"/>
  <c r="F526" i="2"/>
  <c r="E526" i="2"/>
  <c r="R525" i="2"/>
  <c r="Q525" i="2"/>
  <c r="N525" i="2"/>
  <c r="M525" i="2"/>
  <c r="J525" i="2"/>
  <c r="I525" i="2"/>
  <c r="F525" i="2"/>
  <c r="E525" i="2"/>
  <c r="R524" i="2"/>
  <c r="Q524" i="2"/>
  <c r="N524" i="2"/>
  <c r="M524" i="2"/>
  <c r="J524" i="2"/>
  <c r="I524" i="2"/>
  <c r="F524" i="2"/>
  <c r="E524" i="2"/>
  <c r="R523" i="2"/>
  <c r="Q523" i="2"/>
  <c r="N523" i="2"/>
  <c r="M523" i="2"/>
  <c r="J523" i="2"/>
  <c r="I523" i="2"/>
  <c r="F523" i="2"/>
  <c r="E523" i="2"/>
  <c r="R522" i="2"/>
  <c r="Q522" i="2"/>
  <c r="N522" i="2"/>
  <c r="M522" i="2"/>
  <c r="J522" i="2"/>
  <c r="I522" i="2"/>
  <c r="F522" i="2"/>
  <c r="E522" i="2"/>
  <c r="R521" i="2"/>
  <c r="Q521" i="2"/>
  <c r="N521" i="2"/>
  <c r="M521" i="2"/>
  <c r="J521" i="2"/>
  <c r="I521" i="2"/>
  <c r="F521" i="2"/>
  <c r="E521" i="2"/>
  <c r="R520" i="2"/>
  <c r="Q520" i="2"/>
  <c r="N520" i="2"/>
  <c r="M520" i="2"/>
  <c r="J520" i="2"/>
  <c r="I520" i="2"/>
  <c r="F520" i="2"/>
  <c r="E520" i="2"/>
  <c r="R519" i="2"/>
  <c r="Q519" i="2"/>
  <c r="N519" i="2"/>
  <c r="M519" i="2"/>
  <c r="J519" i="2"/>
  <c r="I519" i="2"/>
  <c r="F519" i="2"/>
  <c r="E519" i="2"/>
  <c r="R518" i="2"/>
  <c r="Q518" i="2"/>
  <c r="N518" i="2"/>
  <c r="M518" i="2"/>
  <c r="J518" i="2"/>
  <c r="I518" i="2"/>
  <c r="F518" i="2"/>
  <c r="E518" i="2"/>
  <c r="R517" i="2"/>
  <c r="Q517" i="2"/>
  <c r="N517" i="2"/>
  <c r="M517" i="2"/>
  <c r="J517" i="2"/>
  <c r="I517" i="2"/>
  <c r="F517" i="2"/>
  <c r="E517" i="2"/>
  <c r="R516" i="2"/>
  <c r="Q516" i="2"/>
  <c r="N516" i="2"/>
  <c r="M516" i="2"/>
  <c r="J516" i="2"/>
  <c r="I516" i="2"/>
  <c r="F516" i="2"/>
  <c r="E516" i="2"/>
  <c r="R515" i="2"/>
  <c r="Q515" i="2"/>
  <c r="N515" i="2"/>
  <c r="M515" i="2"/>
  <c r="J515" i="2"/>
  <c r="I515" i="2"/>
  <c r="F515" i="2"/>
  <c r="E515" i="2"/>
  <c r="R514" i="2"/>
  <c r="Q514" i="2"/>
  <c r="N514" i="2"/>
  <c r="M514" i="2"/>
  <c r="J514" i="2"/>
  <c r="I514" i="2"/>
  <c r="F514" i="2"/>
  <c r="E514" i="2"/>
  <c r="R513" i="2"/>
  <c r="Q513" i="2"/>
  <c r="N513" i="2"/>
  <c r="M513" i="2"/>
  <c r="J513" i="2"/>
  <c r="I513" i="2"/>
  <c r="F513" i="2"/>
  <c r="E513" i="2"/>
  <c r="R512" i="2"/>
  <c r="Q512" i="2"/>
  <c r="N512" i="2"/>
  <c r="M512" i="2"/>
  <c r="J512" i="2"/>
  <c r="I512" i="2"/>
  <c r="F512" i="2"/>
  <c r="E512" i="2"/>
  <c r="R511" i="2"/>
  <c r="Q511" i="2"/>
  <c r="N511" i="2"/>
  <c r="M511" i="2"/>
  <c r="J511" i="2"/>
  <c r="I511" i="2"/>
  <c r="F511" i="2"/>
  <c r="E511" i="2"/>
  <c r="R510" i="2"/>
  <c r="Q510" i="2"/>
  <c r="N510" i="2"/>
  <c r="M510" i="2"/>
  <c r="J510" i="2"/>
  <c r="I510" i="2"/>
  <c r="F510" i="2"/>
  <c r="E510" i="2"/>
  <c r="R509" i="2"/>
  <c r="Q509" i="2"/>
  <c r="N509" i="2"/>
  <c r="M509" i="2"/>
  <c r="J509" i="2"/>
  <c r="I509" i="2"/>
  <c r="F509" i="2"/>
  <c r="E509" i="2"/>
  <c r="R508" i="2"/>
  <c r="Q508" i="2"/>
  <c r="N508" i="2"/>
  <c r="M508" i="2"/>
  <c r="J508" i="2"/>
  <c r="I508" i="2"/>
  <c r="F508" i="2"/>
  <c r="E508" i="2"/>
  <c r="R507" i="2"/>
  <c r="Q507" i="2"/>
  <c r="N507" i="2"/>
  <c r="M507" i="2"/>
  <c r="J507" i="2"/>
  <c r="I507" i="2"/>
  <c r="F507" i="2"/>
  <c r="E507" i="2"/>
  <c r="R506" i="2"/>
  <c r="Q506" i="2"/>
  <c r="N506" i="2"/>
  <c r="M506" i="2"/>
  <c r="J506" i="2"/>
  <c r="I506" i="2"/>
  <c r="F506" i="2"/>
  <c r="E506" i="2"/>
  <c r="R505" i="2"/>
  <c r="Q505" i="2"/>
  <c r="N505" i="2"/>
  <c r="M505" i="2"/>
  <c r="J505" i="2"/>
  <c r="I505" i="2"/>
  <c r="F505" i="2"/>
  <c r="E505" i="2"/>
  <c r="R504" i="2"/>
  <c r="Q504" i="2"/>
  <c r="N504" i="2"/>
  <c r="M504" i="2"/>
  <c r="J504" i="2"/>
  <c r="I504" i="2"/>
  <c r="F504" i="2"/>
  <c r="E504" i="2"/>
  <c r="R503" i="2"/>
  <c r="Q503" i="2"/>
  <c r="N503" i="2"/>
  <c r="M503" i="2"/>
  <c r="J503" i="2"/>
  <c r="I503" i="2"/>
  <c r="F503" i="2"/>
  <c r="E503" i="2"/>
  <c r="R502" i="2"/>
  <c r="Q502" i="2"/>
  <c r="N502" i="2"/>
  <c r="M502" i="2"/>
  <c r="J502" i="2"/>
  <c r="I502" i="2"/>
  <c r="F502" i="2"/>
  <c r="E502" i="2"/>
  <c r="R501" i="2"/>
  <c r="Q501" i="2"/>
  <c r="N501" i="2"/>
  <c r="M501" i="2"/>
  <c r="J501" i="2"/>
  <c r="I501" i="2"/>
  <c r="F501" i="2"/>
  <c r="E501" i="2"/>
  <c r="R500" i="2"/>
  <c r="Q500" i="2"/>
  <c r="N500" i="2"/>
  <c r="M500" i="2"/>
  <c r="J500" i="2"/>
  <c r="I500" i="2"/>
  <c r="F500" i="2"/>
  <c r="E500" i="2"/>
  <c r="R499" i="2"/>
  <c r="Q499" i="2"/>
  <c r="N499" i="2"/>
  <c r="M499" i="2"/>
  <c r="J499" i="2"/>
  <c r="I499" i="2"/>
  <c r="F499" i="2"/>
  <c r="E499" i="2"/>
  <c r="R498" i="2"/>
  <c r="Q498" i="2"/>
  <c r="N498" i="2"/>
  <c r="M498" i="2"/>
  <c r="J498" i="2"/>
  <c r="I498" i="2"/>
  <c r="F498" i="2"/>
  <c r="E498" i="2"/>
  <c r="R497" i="2"/>
  <c r="Q497" i="2"/>
  <c r="N497" i="2"/>
  <c r="M497" i="2"/>
  <c r="J497" i="2"/>
  <c r="I497" i="2"/>
  <c r="F497" i="2"/>
  <c r="E497" i="2"/>
  <c r="R496" i="2"/>
  <c r="Q496" i="2"/>
  <c r="N496" i="2"/>
  <c r="M496" i="2"/>
  <c r="J496" i="2"/>
  <c r="I496" i="2"/>
  <c r="F496" i="2"/>
  <c r="E496" i="2"/>
  <c r="R495" i="2"/>
  <c r="Q495" i="2"/>
  <c r="N495" i="2"/>
  <c r="M495" i="2"/>
  <c r="J495" i="2"/>
  <c r="I495" i="2"/>
  <c r="F495" i="2"/>
  <c r="E495" i="2"/>
  <c r="R494" i="2"/>
  <c r="Q494" i="2"/>
  <c r="N494" i="2"/>
  <c r="M494" i="2"/>
  <c r="J494" i="2"/>
  <c r="I494" i="2"/>
  <c r="F494" i="2"/>
  <c r="E494" i="2"/>
  <c r="R493" i="2"/>
  <c r="Q493" i="2"/>
  <c r="N493" i="2"/>
  <c r="M493" i="2"/>
  <c r="J493" i="2"/>
  <c r="I493" i="2"/>
  <c r="F493" i="2"/>
  <c r="E493" i="2"/>
  <c r="R492" i="2"/>
  <c r="Q492" i="2"/>
  <c r="N492" i="2"/>
  <c r="M492" i="2"/>
  <c r="J492" i="2"/>
  <c r="I492" i="2"/>
  <c r="F492" i="2"/>
  <c r="E492" i="2"/>
  <c r="R491" i="2"/>
  <c r="Q491" i="2"/>
  <c r="N491" i="2"/>
  <c r="M491" i="2"/>
  <c r="J491" i="2"/>
  <c r="I491" i="2"/>
  <c r="F491" i="2"/>
  <c r="E491" i="2"/>
  <c r="R490" i="2"/>
  <c r="Q490" i="2"/>
  <c r="N490" i="2"/>
  <c r="M490" i="2"/>
  <c r="J490" i="2"/>
  <c r="I490" i="2"/>
  <c r="F490" i="2"/>
  <c r="E490" i="2"/>
  <c r="R489" i="2"/>
  <c r="Q489" i="2"/>
  <c r="N489" i="2"/>
  <c r="M489" i="2"/>
  <c r="J489" i="2"/>
  <c r="I489" i="2"/>
  <c r="F489" i="2"/>
  <c r="E489" i="2"/>
  <c r="R488" i="2"/>
  <c r="Q488" i="2"/>
  <c r="N488" i="2"/>
  <c r="M488" i="2"/>
  <c r="J488" i="2"/>
  <c r="I488" i="2"/>
  <c r="F488" i="2"/>
  <c r="E488" i="2"/>
  <c r="R487" i="2"/>
  <c r="Q487" i="2"/>
  <c r="N487" i="2"/>
  <c r="M487" i="2"/>
  <c r="J487" i="2"/>
  <c r="I487" i="2"/>
  <c r="F487" i="2"/>
  <c r="E487" i="2"/>
  <c r="R486" i="2"/>
  <c r="Q486" i="2"/>
  <c r="N486" i="2"/>
  <c r="M486" i="2"/>
  <c r="J486" i="2"/>
  <c r="I486" i="2"/>
  <c r="F486" i="2"/>
  <c r="E486" i="2"/>
  <c r="R485" i="2"/>
  <c r="Q485" i="2"/>
  <c r="N485" i="2"/>
  <c r="M485" i="2"/>
  <c r="J485" i="2"/>
  <c r="I485" i="2"/>
  <c r="F485" i="2"/>
  <c r="E485" i="2"/>
  <c r="R484" i="2"/>
  <c r="Q484" i="2"/>
  <c r="N484" i="2"/>
  <c r="M484" i="2"/>
  <c r="J484" i="2"/>
  <c r="I484" i="2"/>
  <c r="F484" i="2"/>
  <c r="E484" i="2"/>
  <c r="R483" i="2"/>
  <c r="Q483" i="2"/>
  <c r="N483" i="2"/>
  <c r="M483" i="2"/>
  <c r="J483" i="2"/>
  <c r="I483" i="2"/>
  <c r="F483" i="2"/>
  <c r="E483" i="2"/>
  <c r="R482" i="2"/>
  <c r="Q482" i="2"/>
  <c r="N482" i="2"/>
  <c r="M482" i="2"/>
  <c r="J482" i="2"/>
  <c r="I482" i="2"/>
  <c r="F482" i="2"/>
  <c r="E482" i="2"/>
  <c r="R481" i="2"/>
  <c r="Q481" i="2"/>
  <c r="N481" i="2"/>
  <c r="M481" i="2"/>
  <c r="J481" i="2"/>
  <c r="I481" i="2"/>
  <c r="F481" i="2"/>
  <c r="E481" i="2"/>
  <c r="R480" i="2"/>
  <c r="Q480" i="2"/>
  <c r="N480" i="2"/>
  <c r="M480" i="2"/>
  <c r="J480" i="2"/>
  <c r="I480" i="2"/>
  <c r="F480" i="2"/>
  <c r="E480" i="2"/>
  <c r="R479" i="2"/>
  <c r="Q479" i="2"/>
  <c r="N479" i="2"/>
  <c r="M479" i="2"/>
  <c r="J479" i="2"/>
  <c r="I479" i="2"/>
  <c r="F479" i="2"/>
  <c r="E479" i="2"/>
  <c r="R478" i="2"/>
  <c r="Q478" i="2"/>
  <c r="N478" i="2"/>
  <c r="M478" i="2"/>
  <c r="J478" i="2"/>
  <c r="I478" i="2"/>
  <c r="F478" i="2"/>
  <c r="E478" i="2"/>
  <c r="R477" i="2"/>
  <c r="Q477" i="2"/>
  <c r="N477" i="2"/>
  <c r="M477" i="2"/>
  <c r="J477" i="2"/>
  <c r="I477" i="2"/>
  <c r="F477" i="2"/>
  <c r="E477" i="2"/>
  <c r="R476" i="2"/>
  <c r="Q476" i="2"/>
  <c r="N476" i="2"/>
  <c r="M476" i="2"/>
  <c r="J476" i="2"/>
  <c r="I476" i="2"/>
  <c r="F476" i="2"/>
  <c r="E476" i="2"/>
  <c r="R475" i="2"/>
  <c r="Q475" i="2"/>
  <c r="N475" i="2"/>
  <c r="M475" i="2"/>
  <c r="J475" i="2"/>
  <c r="I475" i="2"/>
  <c r="F475" i="2"/>
  <c r="E475" i="2"/>
  <c r="R474" i="2"/>
  <c r="Q474" i="2"/>
  <c r="N474" i="2"/>
  <c r="M474" i="2"/>
  <c r="J474" i="2"/>
  <c r="I474" i="2"/>
  <c r="F474" i="2"/>
  <c r="E474" i="2"/>
  <c r="R473" i="2"/>
  <c r="Q473" i="2"/>
  <c r="N473" i="2"/>
  <c r="M473" i="2"/>
  <c r="J473" i="2"/>
  <c r="I473" i="2"/>
  <c r="F473" i="2"/>
  <c r="E473" i="2"/>
  <c r="R472" i="2"/>
  <c r="Q472" i="2"/>
  <c r="N472" i="2"/>
  <c r="M472" i="2"/>
  <c r="J472" i="2"/>
  <c r="I472" i="2"/>
  <c r="F472" i="2"/>
  <c r="E472" i="2"/>
  <c r="R471" i="2"/>
  <c r="Q471" i="2"/>
  <c r="N471" i="2"/>
  <c r="M471" i="2"/>
  <c r="J471" i="2"/>
  <c r="I471" i="2"/>
  <c r="F471" i="2"/>
  <c r="E471" i="2"/>
  <c r="R470" i="2"/>
  <c r="Q470" i="2"/>
  <c r="N470" i="2"/>
  <c r="M470" i="2"/>
  <c r="J470" i="2"/>
  <c r="I470" i="2"/>
  <c r="F470" i="2"/>
  <c r="E470" i="2"/>
  <c r="R469" i="2"/>
  <c r="Q469" i="2"/>
  <c r="N469" i="2"/>
  <c r="M469" i="2"/>
  <c r="J469" i="2"/>
  <c r="I469" i="2"/>
  <c r="F469" i="2"/>
  <c r="E469" i="2"/>
  <c r="R468" i="2"/>
  <c r="Q468" i="2"/>
  <c r="N468" i="2"/>
  <c r="M468" i="2"/>
  <c r="J468" i="2"/>
  <c r="I468" i="2"/>
  <c r="F468" i="2"/>
  <c r="E468" i="2"/>
  <c r="R467" i="2"/>
  <c r="Q467" i="2"/>
  <c r="N467" i="2"/>
  <c r="M467" i="2"/>
  <c r="J467" i="2"/>
  <c r="I467" i="2"/>
  <c r="F467" i="2"/>
  <c r="E467" i="2"/>
  <c r="R466" i="2"/>
  <c r="Q466" i="2"/>
  <c r="N466" i="2"/>
  <c r="M466" i="2"/>
  <c r="J466" i="2"/>
  <c r="I466" i="2"/>
  <c r="F466" i="2"/>
  <c r="E466" i="2"/>
  <c r="R465" i="2"/>
  <c r="Q465" i="2"/>
  <c r="N465" i="2"/>
  <c r="M465" i="2"/>
  <c r="J465" i="2"/>
  <c r="I465" i="2"/>
  <c r="F465" i="2"/>
  <c r="E465" i="2"/>
  <c r="R464" i="2"/>
  <c r="Q464" i="2"/>
  <c r="N464" i="2"/>
  <c r="M464" i="2"/>
  <c r="J464" i="2"/>
  <c r="I464" i="2"/>
  <c r="F464" i="2"/>
  <c r="E464" i="2"/>
  <c r="R463" i="2"/>
  <c r="Q463" i="2"/>
  <c r="N463" i="2"/>
  <c r="M463" i="2"/>
  <c r="J463" i="2"/>
  <c r="I463" i="2"/>
  <c r="F463" i="2"/>
  <c r="E463" i="2"/>
  <c r="R462" i="2"/>
  <c r="Q462" i="2"/>
  <c r="N462" i="2"/>
  <c r="M462" i="2"/>
  <c r="J462" i="2"/>
  <c r="I462" i="2"/>
  <c r="F462" i="2"/>
  <c r="E462" i="2"/>
  <c r="R461" i="2"/>
  <c r="Q461" i="2"/>
  <c r="N461" i="2"/>
  <c r="M461" i="2"/>
  <c r="J461" i="2"/>
  <c r="I461" i="2"/>
  <c r="F461" i="2"/>
  <c r="E461" i="2"/>
  <c r="R460" i="2"/>
  <c r="Q460" i="2"/>
  <c r="N460" i="2"/>
  <c r="M460" i="2"/>
  <c r="J460" i="2"/>
  <c r="I460" i="2"/>
  <c r="F460" i="2"/>
  <c r="E460" i="2"/>
  <c r="R459" i="2"/>
  <c r="Q459" i="2"/>
  <c r="N459" i="2"/>
  <c r="M459" i="2"/>
  <c r="J459" i="2"/>
  <c r="I459" i="2"/>
  <c r="F459" i="2"/>
  <c r="E459" i="2"/>
  <c r="R458" i="2"/>
  <c r="Q458" i="2"/>
  <c r="N458" i="2"/>
  <c r="M458" i="2"/>
  <c r="J458" i="2"/>
  <c r="I458" i="2"/>
  <c r="F458" i="2"/>
  <c r="E458" i="2"/>
  <c r="R457" i="2"/>
  <c r="Q457" i="2"/>
  <c r="N457" i="2"/>
  <c r="M457" i="2"/>
  <c r="J457" i="2"/>
  <c r="I457" i="2"/>
  <c r="F457" i="2"/>
  <c r="E457" i="2"/>
  <c r="R456" i="2"/>
  <c r="Q456" i="2"/>
  <c r="N456" i="2"/>
  <c r="M456" i="2"/>
  <c r="J456" i="2"/>
  <c r="I456" i="2"/>
  <c r="F456" i="2"/>
  <c r="E456" i="2"/>
  <c r="R455" i="2"/>
  <c r="Q455" i="2"/>
  <c r="N455" i="2"/>
  <c r="M455" i="2"/>
  <c r="J455" i="2"/>
  <c r="I455" i="2"/>
  <c r="F455" i="2"/>
  <c r="E455" i="2"/>
  <c r="R454" i="2"/>
  <c r="Q454" i="2"/>
  <c r="N454" i="2"/>
  <c r="M454" i="2"/>
  <c r="J454" i="2"/>
  <c r="I454" i="2"/>
  <c r="F454" i="2"/>
  <c r="E454" i="2"/>
  <c r="R453" i="2"/>
  <c r="Q453" i="2"/>
  <c r="N453" i="2"/>
  <c r="M453" i="2"/>
  <c r="J453" i="2"/>
  <c r="I453" i="2"/>
  <c r="F453" i="2"/>
  <c r="E453" i="2"/>
  <c r="R452" i="2"/>
  <c r="Q452" i="2"/>
  <c r="N452" i="2"/>
  <c r="M452" i="2"/>
  <c r="J452" i="2"/>
  <c r="I452" i="2"/>
  <c r="F452" i="2"/>
  <c r="E452" i="2"/>
  <c r="R451" i="2"/>
  <c r="Q451" i="2"/>
  <c r="N451" i="2"/>
  <c r="M451" i="2"/>
  <c r="J451" i="2"/>
  <c r="I451" i="2"/>
  <c r="F451" i="2"/>
  <c r="E451" i="2"/>
  <c r="R450" i="2"/>
  <c r="Q450" i="2"/>
  <c r="N450" i="2"/>
  <c r="M450" i="2"/>
  <c r="J450" i="2"/>
  <c r="I450" i="2"/>
  <c r="F450" i="2"/>
  <c r="E450" i="2"/>
  <c r="R449" i="2"/>
  <c r="Q449" i="2"/>
  <c r="N449" i="2"/>
  <c r="M449" i="2"/>
  <c r="J449" i="2"/>
  <c r="I449" i="2"/>
  <c r="F449" i="2"/>
  <c r="E449" i="2"/>
  <c r="R448" i="2"/>
  <c r="Q448" i="2"/>
  <c r="N448" i="2"/>
  <c r="M448" i="2"/>
  <c r="J448" i="2"/>
  <c r="I448" i="2"/>
  <c r="F448" i="2"/>
  <c r="E448" i="2"/>
  <c r="R447" i="2"/>
  <c r="Q447" i="2"/>
  <c r="N447" i="2"/>
  <c r="M447" i="2"/>
  <c r="J447" i="2"/>
  <c r="I447" i="2"/>
  <c r="F447" i="2"/>
  <c r="E447" i="2"/>
  <c r="R446" i="2"/>
  <c r="Q446" i="2"/>
  <c r="N446" i="2"/>
  <c r="M446" i="2"/>
  <c r="J446" i="2"/>
  <c r="I446" i="2"/>
  <c r="F446" i="2"/>
  <c r="E446" i="2"/>
  <c r="R445" i="2"/>
  <c r="Q445" i="2"/>
  <c r="N445" i="2"/>
  <c r="M445" i="2"/>
  <c r="J445" i="2"/>
  <c r="I445" i="2"/>
  <c r="F445" i="2"/>
  <c r="E445" i="2"/>
  <c r="R444" i="2"/>
  <c r="Q444" i="2"/>
  <c r="N444" i="2"/>
  <c r="M444" i="2"/>
  <c r="J444" i="2"/>
  <c r="I444" i="2"/>
  <c r="F444" i="2"/>
  <c r="E444" i="2"/>
  <c r="R443" i="2"/>
  <c r="Q443" i="2"/>
  <c r="N443" i="2"/>
  <c r="M443" i="2"/>
  <c r="J443" i="2"/>
  <c r="I443" i="2"/>
  <c r="F443" i="2"/>
  <c r="E443" i="2"/>
  <c r="R442" i="2"/>
  <c r="Q442" i="2"/>
  <c r="N442" i="2"/>
  <c r="M442" i="2"/>
  <c r="J442" i="2"/>
  <c r="I442" i="2"/>
  <c r="F442" i="2"/>
  <c r="E442" i="2"/>
  <c r="R441" i="2"/>
  <c r="Q441" i="2"/>
  <c r="N441" i="2"/>
  <c r="M441" i="2"/>
  <c r="J441" i="2"/>
  <c r="I441" i="2"/>
  <c r="F441" i="2"/>
  <c r="E441" i="2"/>
  <c r="R440" i="2"/>
  <c r="Q440" i="2"/>
  <c r="N440" i="2"/>
  <c r="M440" i="2"/>
  <c r="J440" i="2"/>
  <c r="I440" i="2"/>
  <c r="F440" i="2"/>
  <c r="E440" i="2"/>
  <c r="R439" i="2"/>
  <c r="Q439" i="2"/>
  <c r="N439" i="2"/>
  <c r="M439" i="2"/>
  <c r="J439" i="2"/>
  <c r="I439" i="2"/>
  <c r="F439" i="2"/>
  <c r="E439" i="2"/>
  <c r="R438" i="2"/>
  <c r="Q438" i="2"/>
  <c r="N438" i="2"/>
  <c r="M438" i="2"/>
  <c r="J438" i="2"/>
  <c r="I438" i="2"/>
  <c r="F438" i="2"/>
  <c r="E438" i="2"/>
  <c r="R437" i="2"/>
  <c r="Q437" i="2"/>
  <c r="N437" i="2"/>
  <c r="M437" i="2"/>
  <c r="J437" i="2"/>
  <c r="I437" i="2"/>
  <c r="F437" i="2"/>
  <c r="E437" i="2"/>
  <c r="R436" i="2"/>
  <c r="Q436" i="2"/>
  <c r="N436" i="2"/>
  <c r="M436" i="2"/>
  <c r="J436" i="2"/>
  <c r="I436" i="2"/>
  <c r="F436" i="2"/>
  <c r="E436" i="2"/>
  <c r="R435" i="2"/>
  <c r="Q435" i="2"/>
  <c r="N435" i="2"/>
  <c r="M435" i="2"/>
  <c r="J435" i="2"/>
  <c r="I435" i="2"/>
  <c r="F435" i="2"/>
  <c r="E435" i="2"/>
  <c r="R434" i="2"/>
  <c r="Q434" i="2"/>
  <c r="N434" i="2"/>
  <c r="M434" i="2"/>
  <c r="J434" i="2"/>
  <c r="I434" i="2"/>
  <c r="F434" i="2"/>
  <c r="E434" i="2"/>
  <c r="R433" i="2"/>
  <c r="Q433" i="2"/>
  <c r="N433" i="2"/>
  <c r="M433" i="2"/>
  <c r="J433" i="2"/>
  <c r="I433" i="2"/>
  <c r="F433" i="2"/>
  <c r="E433" i="2"/>
  <c r="R432" i="2"/>
  <c r="Q432" i="2"/>
  <c r="N432" i="2"/>
  <c r="M432" i="2"/>
  <c r="J432" i="2"/>
  <c r="I432" i="2"/>
  <c r="F432" i="2"/>
  <c r="E432" i="2"/>
  <c r="R431" i="2"/>
  <c r="Q431" i="2"/>
  <c r="N431" i="2"/>
  <c r="M431" i="2"/>
  <c r="J431" i="2"/>
  <c r="I431" i="2"/>
  <c r="F431" i="2"/>
  <c r="E431" i="2"/>
  <c r="R430" i="2"/>
  <c r="Q430" i="2"/>
  <c r="N430" i="2"/>
  <c r="M430" i="2"/>
  <c r="J430" i="2"/>
  <c r="I430" i="2"/>
  <c r="F430" i="2"/>
  <c r="E430" i="2"/>
  <c r="R429" i="2"/>
  <c r="Q429" i="2"/>
  <c r="N429" i="2"/>
  <c r="M429" i="2"/>
  <c r="J429" i="2"/>
  <c r="I429" i="2"/>
  <c r="F429" i="2"/>
  <c r="E429" i="2"/>
  <c r="R428" i="2"/>
  <c r="Q428" i="2"/>
  <c r="N428" i="2"/>
  <c r="M428" i="2"/>
  <c r="J428" i="2"/>
  <c r="I428" i="2"/>
  <c r="F428" i="2"/>
  <c r="E428" i="2"/>
  <c r="R427" i="2"/>
  <c r="Q427" i="2"/>
  <c r="N427" i="2"/>
  <c r="M427" i="2"/>
  <c r="J427" i="2"/>
  <c r="I427" i="2"/>
  <c r="F427" i="2"/>
  <c r="E427" i="2"/>
  <c r="R426" i="2"/>
  <c r="Q426" i="2"/>
  <c r="N426" i="2"/>
  <c r="M426" i="2"/>
  <c r="J426" i="2"/>
  <c r="I426" i="2"/>
  <c r="F426" i="2"/>
  <c r="E426" i="2"/>
  <c r="R425" i="2"/>
  <c r="Q425" i="2"/>
  <c r="N425" i="2"/>
  <c r="M425" i="2"/>
  <c r="J425" i="2"/>
  <c r="I425" i="2"/>
  <c r="F425" i="2"/>
  <c r="E425" i="2"/>
  <c r="R424" i="2"/>
  <c r="Q424" i="2"/>
  <c r="N424" i="2"/>
  <c r="M424" i="2"/>
  <c r="J424" i="2"/>
  <c r="I424" i="2"/>
  <c r="F424" i="2"/>
  <c r="E424" i="2"/>
  <c r="R423" i="2"/>
  <c r="Q423" i="2"/>
  <c r="N423" i="2"/>
  <c r="M423" i="2"/>
  <c r="J423" i="2"/>
  <c r="I423" i="2"/>
  <c r="F423" i="2"/>
  <c r="E423" i="2"/>
  <c r="R422" i="2"/>
  <c r="Q422" i="2"/>
  <c r="N422" i="2"/>
  <c r="M422" i="2"/>
  <c r="J422" i="2"/>
  <c r="I422" i="2"/>
  <c r="F422" i="2"/>
  <c r="E422" i="2"/>
  <c r="R421" i="2"/>
  <c r="Q421" i="2"/>
  <c r="N421" i="2"/>
  <c r="M421" i="2"/>
  <c r="J421" i="2"/>
  <c r="I421" i="2"/>
  <c r="F421" i="2"/>
  <c r="E421" i="2"/>
  <c r="R420" i="2"/>
  <c r="Q420" i="2"/>
  <c r="N420" i="2"/>
  <c r="M420" i="2"/>
  <c r="J420" i="2"/>
  <c r="I420" i="2"/>
  <c r="F420" i="2"/>
  <c r="E420" i="2"/>
  <c r="R419" i="2"/>
  <c r="Q419" i="2"/>
  <c r="N419" i="2"/>
  <c r="M419" i="2"/>
  <c r="J419" i="2"/>
  <c r="I419" i="2"/>
  <c r="F419" i="2"/>
  <c r="E419" i="2"/>
  <c r="R418" i="2"/>
  <c r="Q418" i="2"/>
  <c r="N418" i="2"/>
  <c r="M418" i="2"/>
  <c r="J418" i="2"/>
  <c r="I418" i="2"/>
  <c r="F418" i="2"/>
  <c r="E418" i="2"/>
  <c r="R417" i="2"/>
  <c r="Q417" i="2"/>
  <c r="N417" i="2"/>
  <c r="M417" i="2"/>
  <c r="J417" i="2"/>
  <c r="I417" i="2"/>
  <c r="F417" i="2"/>
  <c r="E417" i="2"/>
  <c r="R416" i="2"/>
  <c r="Q416" i="2"/>
  <c r="N416" i="2"/>
  <c r="M416" i="2"/>
  <c r="J416" i="2"/>
  <c r="I416" i="2"/>
  <c r="F416" i="2"/>
  <c r="E416" i="2"/>
  <c r="R415" i="2"/>
  <c r="Q415" i="2"/>
  <c r="N415" i="2"/>
  <c r="M415" i="2"/>
  <c r="J415" i="2"/>
  <c r="I415" i="2"/>
  <c r="F415" i="2"/>
  <c r="E415" i="2"/>
  <c r="R414" i="2"/>
  <c r="Q414" i="2"/>
  <c r="N414" i="2"/>
  <c r="M414" i="2"/>
  <c r="J414" i="2"/>
  <c r="I414" i="2"/>
  <c r="F414" i="2"/>
  <c r="E414" i="2"/>
  <c r="R413" i="2"/>
  <c r="Q413" i="2"/>
  <c r="N413" i="2"/>
  <c r="M413" i="2"/>
  <c r="J413" i="2"/>
  <c r="I413" i="2"/>
  <c r="F413" i="2"/>
  <c r="E413" i="2"/>
  <c r="R412" i="2"/>
  <c r="Q412" i="2"/>
  <c r="N412" i="2"/>
  <c r="M412" i="2"/>
  <c r="J412" i="2"/>
  <c r="I412" i="2"/>
  <c r="F412" i="2"/>
  <c r="E412" i="2"/>
  <c r="R411" i="2"/>
  <c r="Q411" i="2"/>
  <c r="N411" i="2"/>
  <c r="M411" i="2"/>
  <c r="J411" i="2"/>
  <c r="I411" i="2"/>
  <c r="F411" i="2"/>
  <c r="E411" i="2"/>
  <c r="R410" i="2"/>
  <c r="Q410" i="2"/>
  <c r="N410" i="2"/>
  <c r="M410" i="2"/>
  <c r="J410" i="2"/>
  <c r="I410" i="2"/>
  <c r="F410" i="2"/>
  <c r="E410" i="2"/>
  <c r="R409" i="2"/>
  <c r="Q409" i="2"/>
  <c r="N409" i="2"/>
  <c r="M409" i="2"/>
  <c r="J409" i="2"/>
  <c r="I409" i="2"/>
  <c r="F409" i="2"/>
  <c r="E409" i="2"/>
  <c r="R408" i="2"/>
  <c r="Q408" i="2"/>
  <c r="N408" i="2"/>
  <c r="M408" i="2"/>
  <c r="J408" i="2"/>
  <c r="I408" i="2"/>
  <c r="F408" i="2"/>
  <c r="E408" i="2"/>
  <c r="R407" i="2"/>
  <c r="Q407" i="2"/>
  <c r="N407" i="2"/>
  <c r="M407" i="2"/>
  <c r="J407" i="2"/>
  <c r="I407" i="2"/>
  <c r="F407" i="2"/>
  <c r="E407" i="2"/>
  <c r="R406" i="2"/>
  <c r="Q406" i="2"/>
  <c r="N406" i="2"/>
  <c r="M406" i="2"/>
  <c r="J406" i="2"/>
  <c r="I406" i="2"/>
  <c r="F406" i="2"/>
  <c r="E406" i="2"/>
  <c r="R405" i="2"/>
  <c r="Q405" i="2"/>
  <c r="N405" i="2"/>
  <c r="M405" i="2"/>
  <c r="J405" i="2"/>
  <c r="I405" i="2"/>
  <c r="F405" i="2"/>
  <c r="E405" i="2"/>
  <c r="R404" i="2"/>
  <c r="Q404" i="2"/>
  <c r="N404" i="2"/>
  <c r="M404" i="2"/>
  <c r="J404" i="2"/>
  <c r="I404" i="2"/>
  <c r="F404" i="2"/>
  <c r="E404" i="2"/>
  <c r="R403" i="2"/>
  <c r="Q403" i="2"/>
  <c r="N403" i="2"/>
  <c r="M403" i="2"/>
  <c r="J403" i="2"/>
  <c r="I403" i="2"/>
  <c r="F403" i="2"/>
  <c r="E403" i="2"/>
  <c r="R402" i="2"/>
  <c r="Q402" i="2"/>
  <c r="N402" i="2"/>
  <c r="M402" i="2"/>
  <c r="J402" i="2"/>
  <c r="I402" i="2"/>
  <c r="F402" i="2"/>
  <c r="E402" i="2"/>
  <c r="R401" i="2"/>
  <c r="Q401" i="2"/>
  <c r="N401" i="2"/>
  <c r="M401" i="2"/>
  <c r="J401" i="2"/>
  <c r="I401" i="2"/>
  <c r="F401" i="2"/>
  <c r="E401" i="2"/>
  <c r="R400" i="2"/>
  <c r="Q400" i="2"/>
  <c r="N400" i="2"/>
  <c r="M400" i="2"/>
  <c r="J400" i="2"/>
  <c r="I400" i="2"/>
  <c r="F400" i="2"/>
  <c r="E400" i="2"/>
  <c r="R399" i="2"/>
  <c r="Q399" i="2"/>
  <c r="N399" i="2"/>
  <c r="M399" i="2"/>
  <c r="J399" i="2"/>
  <c r="I399" i="2"/>
  <c r="F399" i="2"/>
  <c r="E399" i="2"/>
  <c r="R398" i="2"/>
  <c r="Q398" i="2"/>
  <c r="N398" i="2"/>
  <c r="M398" i="2"/>
  <c r="J398" i="2"/>
  <c r="I398" i="2"/>
  <c r="F398" i="2"/>
  <c r="E398" i="2"/>
  <c r="R397" i="2"/>
  <c r="Q397" i="2"/>
  <c r="N397" i="2"/>
  <c r="M397" i="2"/>
  <c r="J397" i="2"/>
  <c r="I397" i="2"/>
  <c r="F397" i="2"/>
  <c r="E397" i="2"/>
  <c r="R396" i="2"/>
  <c r="Q396" i="2"/>
  <c r="N396" i="2"/>
  <c r="M396" i="2"/>
  <c r="J396" i="2"/>
  <c r="I396" i="2"/>
  <c r="F396" i="2"/>
  <c r="E396" i="2"/>
  <c r="R395" i="2"/>
  <c r="Q395" i="2"/>
  <c r="N395" i="2"/>
  <c r="M395" i="2"/>
  <c r="J395" i="2"/>
  <c r="I395" i="2"/>
  <c r="F395" i="2"/>
  <c r="E395" i="2"/>
  <c r="R394" i="2"/>
  <c r="Q394" i="2"/>
  <c r="N394" i="2"/>
  <c r="M394" i="2"/>
  <c r="J394" i="2"/>
  <c r="I394" i="2"/>
  <c r="F394" i="2"/>
  <c r="E394" i="2"/>
  <c r="R393" i="2"/>
  <c r="Q393" i="2"/>
  <c r="N393" i="2"/>
  <c r="M393" i="2"/>
  <c r="J393" i="2"/>
  <c r="I393" i="2"/>
  <c r="F393" i="2"/>
  <c r="E393" i="2"/>
  <c r="R392" i="2"/>
  <c r="Q392" i="2"/>
  <c r="N392" i="2"/>
  <c r="M392" i="2"/>
  <c r="J392" i="2"/>
  <c r="I392" i="2"/>
  <c r="F392" i="2"/>
  <c r="E392" i="2"/>
  <c r="R391" i="2"/>
  <c r="Q391" i="2"/>
  <c r="N391" i="2"/>
  <c r="M391" i="2"/>
  <c r="J391" i="2"/>
  <c r="I391" i="2"/>
  <c r="F391" i="2"/>
  <c r="E391" i="2"/>
  <c r="R390" i="2"/>
  <c r="Q390" i="2"/>
  <c r="N390" i="2"/>
  <c r="M390" i="2"/>
  <c r="J390" i="2"/>
  <c r="I390" i="2"/>
  <c r="F390" i="2"/>
  <c r="E390" i="2"/>
  <c r="R389" i="2"/>
  <c r="Q389" i="2"/>
  <c r="N389" i="2"/>
  <c r="M389" i="2"/>
  <c r="J389" i="2"/>
  <c r="I389" i="2"/>
  <c r="F389" i="2"/>
  <c r="E389" i="2"/>
  <c r="R388" i="2"/>
  <c r="Q388" i="2"/>
  <c r="N388" i="2"/>
  <c r="M388" i="2"/>
  <c r="J388" i="2"/>
  <c r="I388" i="2"/>
  <c r="F388" i="2"/>
  <c r="E388" i="2"/>
  <c r="R387" i="2"/>
  <c r="Q387" i="2"/>
  <c r="N387" i="2"/>
  <c r="M387" i="2"/>
  <c r="J387" i="2"/>
  <c r="I387" i="2"/>
  <c r="F387" i="2"/>
  <c r="E387" i="2"/>
  <c r="R386" i="2"/>
  <c r="Q386" i="2"/>
  <c r="N386" i="2"/>
  <c r="M386" i="2"/>
  <c r="J386" i="2"/>
  <c r="I386" i="2"/>
  <c r="F386" i="2"/>
  <c r="E386" i="2"/>
  <c r="R385" i="2"/>
  <c r="Q385" i="2"/>
  <c r="N385" i="2"/>
  <c r="M385" i="2"/>
  <c r="J385" i="2"/>
  <c r="I385" i="2"/>
  <c r="F385" i="2"/>
  <c r="E385" i="2"/>
  <c r="R384" i="2"/>
  <c r="Q384" i="2"/>
  <c r="N384" i="2"/>
  <c r="M384" i="2"/>
  <c r="J384" i="2"/>
  <c r="I384" i="2"/>
  <c r="F384" i="2"/>
  <c r="E384" i="2"/>
  <c r="R383" i="2"/>
  <c r="Q383" i="2"/>
  <c r="N383" i="2"/>
  <c r="M383" i="2"/>
  <c r="J383" i="2"/>
  <c r="I383" i="2"/>
  <c r="F383" i="2"/>
  <c r="E383" i="2"/>
  <c r="R382" i="2"/>
  <c r="Q382" i="2"/>
  <c r="N382" i="2"/>
  <c r="M382" i="2"/>
  <c r="J382" i="2"/>
  <c r="I382" i="2"/>
  <c r="F382" i="2"/>
  <c r="E382" i="2"/>
  <c r="R381" i="2"/>
  <c r="Q381" i="2"/>
  <c r="N381" i="2"/>
  <c r="M381" i="2"/>
  <c r="J381" i="2"/>
  <c r="I381" i="2"/>
  <c r="F381" i="2"/>
  <c r="E381" i="2"/>
  <c r="R380" i="2"/>
  <c r="Q380" i="2"/>
  <c r="N380" i="2"/>
  <c r="M380" i="2"/>
  <c r="J380" i="2"/>
  <c r="I380" i="2"/>
  <c r="F380" i="2"/>
  <c r="E380" i="2"/>
  <c r="R379" i="2"/>
  <c r="Q379" i="2"/>
  <c r="N379" i="2"/>
  <c r="M379" i="2"/>
  <c r="J379" i="2"/>
  <c r="I379" i="2"/>
  <c r="F379" i="2"/>
  <c r="E379" i="2"/>
  <c r="R378" i="2"/>
  <c r="Q378" i="2"/>
  <c r="N378" i="2"/>
  <c r="M378" i="2"/>
  <c r="J378" i="2"/>
  <c r="I378" i="2"/>
  <c r="F378" i="2"/>
  <c r="E378" i="2"/>
  <c r="R377" i="2"/>
  <c r="Q377" i="2"/>
  <c r="N377" i="2"/>
  <c r="M377" i="2"/>
  <c r="J377" i="2"/>
  <c r="I377" i="2"/>
  <c r="F377" i="2"/>
  <c r="E377" i="2"/>
  <c r="R376" i="2"/>
  <c r="Q376" i="2"/>
  <c r="N376" i="2"/>
  <c r="M376" i="2"/>
  <c r="J376" i="2"/>
  <c r="I376" i="2"/>
  <c r="F376" i="2"/>
  <c r="E376" i="2"/>
  <c r="R375" i="2"/>
  <c r="Q375" i="2"/>
  <c r="N375" i="2"/>
  <c r="M375" i="2"/>
  <c r="J375" i="2"/>
  <c r="I375" i="2"/>
  <c r="F375" i="2"/>
  <c r="E375" i="2"/>
  <c r="R374" i="2"/>
  <c r="Q374" i="2"/>
  <c r="N374" i="2"/>
  <c r="M374" i="2"/>
  <c r="J374" i="2"/>
  <c r="I374" i="2"/>
  <c r="F374" i="2"/>
  <c r="E374" i="2"/>
  <c r="R373" i="2"/>
  <c r="Q373" i="2"/>
  <c r="N373" i="2"/>
  <c r="M373" i="2"/>
  <c r="J373" i="2"/>
  <c r="I373" i="2"/>
  <c r="F373" i="2"/>
  <c r="E373" i="2"/>
  <c r="R372" i="2"/>
  <c r="Q372" i="2"/>
  <c r="N372" i="2"/>
  <c r="M372" i="2"/>
  <c r="J372" i="2"/>
  <c r="I372" i="2"/>
  <c r="F372" i="2"/>
  <c r="E372" i="2"/>
  <c r="R371" i="2"/>
  <c r="Q371" i="2"/>
  <c r="N371" i="2"/>
  <c r="M371" i="2"/>
  <c r="J371" i="2"/>
  <c r="I371" i="2"/>
  <c r="F371" i="2"/>
  <c r="E371" i="2"/>
  <c r="R370" i="2"/>
  <c r="Q370" i="2"/>
  <c r="N370" i="2"/>
  <c r="M370" i="2"/>
  <c r="J370" i="2"/>
  <c r="I370" i="2"/>
  <c r="F370" i="2"/>
  <c r="E370" i="2"/>
  <c r="R369" i="2"/>
  <c r="Q369" i="2"/>
  <c r="N369" i="2"/>
  <c r="M369" i="2"/>
  <c r="J369" i="2"/>
  <c r="I369" i="2"/>
  <c r="F369" i="2"/>
  <c r="E369" i="2"/>
  <c r="R368" i="2"/>
  <c r="Q368" i="2"/>
  <c r="N368" i="2"/>
  <c r="M368" i="2"/>
  <c r="J368" i="2"/>
  <c r="I368" i="2"/>
  <c r="F368" i="2"/>
  <c r="E368" i="2"/>
  <c r="R367" i="2"/>
  <c r="Q367" i="2"/>
  <c r="N367" i="2"/>
  <c r="M367" i="2"/>
  <c r="J367" i="2"/>
  <c r="I367" i="2"/>
  <c r="F367" i="2"/>
  <c r="E367" i="2"/>
  <c r="R366" i="2"/>
  <c r="Q366" i="2"/>
  <c r="N366" i="2"/>
  <c r="M366" i="2"/>
  <c r="J366" i="2"/>
  <c r="I366" i="2"/>
  <c r="F366" i="2"/>
  <c r="E366" i="2"/>
  <c r="R365" i="2"/>
  <c r="Q365" i="2"/>
  <c r="N365" i="2"/>
  <c r="M365" i="2"/>
  <c r="J365" i="2"/>
  <c r="I365" i="2"/>
  <c r="F365" i="2"/>
  <c r="E365" i="2"/>
  <c r="R364" i="2"/>
  <c r="Q364" i="2"/>
  <c r="N364" i="2"/>
  <c r="M364" i="2"/>
  <c r="J364" i="2"/>
  <c r="I364" i="2"/>
  <c r="F364" i="2"/>
  <c r="E364" i="2"/>
  <c r="R363" i="2"/>
  <c r="Q363" i="2"/>
  <c r="N363" i="2"/>
  <c r="M363" i="2"/>
  <c r="J363" i="2"/>
  <c r="I363" i="2"/>
  <c r="F363" i="2"/>
  <c r="E363" i="2"/>
  <c r="R362" i="2"/>
  <c r="Q362" i="2"/>
  <c r="N362" i="2"/>
  <c r="M362" i="2"/>
  <c r="J362" i="2"/>
  <c r="I362" i="2"/>
  <c r="F362" i="2"/>
  <c r="E362" i="2"/>
  <c r="R361" i="2"/>
  <c r="Q361" i="2"/>
  <c r="N361" i="2"/>
  <c r="M361" i="2"/>
  <c r="J361" i="2"/>
  <c r="I361" i="2"/>
  <c r="F361" i="2"/>
  <c r="E361" i="2"/>
  <c r="R360" i="2"/>
  <c r="Q360" i="2"/>
  <c r="N360" i="2"/>
  <c r="M360" i="2"/>
  <c r="J360" i="2"/>
  <c r="I360" i="2"/>
  <c r="F360" i="2"/>
  <c r="E360" i="2"/>
  <c r="R359" i="2"/>
  <c r="Q359" i="2"/>
  <c r="N359" i="2"/>
  <c r="M359" i="2"/>
  <c r="J359" i="2"/>
  <c r="I359" i="2"/>
  <c r="F359" i="2"/>
  <c r="E359" i="2"/>
  <c r="R358" i="2"/>
  <c r="Q358" i="2"/>
  <c r="N358" i="2"/>
  <c r="M358" i="2"/>
  <c r="J358" i="2"/>
  <c r="I358" i="2"/>
  <c r="F358" i="2"/>
  <c r="E358" i="2"/>
  <c r="R357" i="2"/>
  <c r="Q357" i="2"/>
  <c r="N357" i="2"/>
  <c r="M357" i="2"/>
  <c r="J357" i="2"/>
  <c r="I357" i="2"/>
  <c r="F357" i="2"/>
  <c r="E357" i="2"/>
  <c r="R356" i="2"/>
  <c r="Q356" i="2"/>
  <c r="N356" i="2"/>
  <c r="M356" i="2"/>
  <c r="J356" i="2"/>
  <c r="I356" i="2"/>
  <c r="F356" i="2"/>
  <c r="E356" i="2"/>
  <c r="R355" i="2"/>
  <c r="Q355" i="2"/>
  <c r="N355" i="2"/>
  <c r="M355" i="2"/>
  <c r="J355" i="2"/>
  <c r="I355" i="2"/>
  <c r="F355" i="2"/>
  <c r="E355" i="2"/>
  <c r="R354" i="2"/>
  <c r="Q354" i="2"/>
  <c r="N354" i="2"/>
  <c r="M354" i="2"/>
  <c r="J354" i="2"/>
  <c r="I354" i="2"/>
  <c r="F354" i="2"/>
  <c r="E354" i="2"/>
  <c r="R353" i="2"/>
  <c r="Q353" i="2"/>
  <c r="N353" i="2"/>
  <c r="M353" i="2"/>
  <c r="J353" i="2"/>
  <c r="I353" i="2"/>
  <c r="F353" i="2"/>
  <c r="E353" i="2"/>
  <c r="R352" i="2"/>
  <c r="Q352" i="2"/>
  <c r="N352" i="2"/>
  <c r="M352" i="2"/>
  <c r="J352" i="2"/>
  <c r="I352" i="2"/>
  <c r="F352" i="2"/>
  <c r="E352" i="2"/>
  <c r="R351" i="2"/>
  <c r="Q351" i="2"/>
  <c r="N351" i="2"/>
  <c r="M351" i="2"/>
  <c r="J351" i="2"/>
  <c r="I351" i="2"/>
  <c r="F351" i="2"/>
  <c r="E351" i="2"/>
  <c r="R350" i="2"/>
  <c r="Q350" i="2"/>
  <c r="N350" i="2"/>
  <c r="M350" i="2"/>
  <c r="J350" i="2"/>
  <c r="I350" i="2"/>
  <c r="F350" i="2"/>
  <c r="E350" i="2"/>
  <c r="R349" i="2"/>
  <c r="Q349" i="2"/>
  <c r="N349" i="2"/>
  <c r="M349" i="2"/>
  <c r="J349" i="2"/>
  <c r="I349" i="2"/>
  <c r="F349" i="2"/>
  <c r="E349" i="2"/>
  <c r="R348" i="2"/>
  <c r="Q348" i="2"/>
  <c r="N348" i="2"/>
  <c r="M348" i="2"/>
  <c r="J348" i="2"/>
  <c r="I348" i="2"/>
  <c r="F348" i="2"/>
  <c r="E348" i="2"/>
  <c r="R347" i="2"/>
  <c r="Q347" i="2"/>
  <c r="N347" i="2"/>
  <c r="M347" i="2"/>
  <c r="J347" i="2"/>
  <c r="I347" i="2"/>
  <c r="F347" i="2"/>
  <c r="E347" i="2"/>
  <c r="R346" i="2"/>
  <c r="Q346" i="2"/>
  <c r="N346" i="2"/>
  <c r="M346" i="2"/>
  <c r="J346" i="2"/>
  <c r="I346" i="2"/>
  <c r="F346" i="2"/>
  <c r="E346" i="2"/>
  <c r="R345" i="2"/>
  <c r="Q345" i="2"/>
  <c r="N345" i="2"/>
  <c r="M345" i="2"/>
  <c r="J345" i="2"/>
  <c r="I345" i="2"/>
  <c r="F345" i="2"/>
  <c r="E345" i="2"/>
  <c r="R344" i="2"/>
  <c r="Q344" i="2"/>
  <c r="N344" i="2"/>
  <c r="M344" i="2"/>
  <c r="J344" i="2"/>
  <c r="I344" i="2"/>
  <c r="F344" i="2"/>
  <c r="E344" i="2"/>
  <c r="R343" i="2"/>
  <c r="Q343" i="2"/>
  <c r="N343" i="2"/>
  <c r="M343" i="2"/>
  <c r="J343" i="2"/>
  <c r="I343" i="2"/>
  <c r="F343" i="2"/>
  <c r="E343" i="2"/>
  <c r="R342" i="2"/>
  <c r="Q342" i="2"/>
  <c r="N342" i="2"/>
  <c r="M342" i="2"/>
  <c r="J342" i="2"/>
  <c r="I342" i="2"/>
  <c r="F342" i="2"/>
  <c r="E342" i="2"/>
  <c r="R341" i="2"/>
  <c r="Q341" i="2"/>
  <c r="N341" i="2"/>
  <c r="M341" i="2"/>
  <c r="J341" i="2"/>
  <c r="I341" i="2"/>
  <c r="F341" i="2"/>
  <c r="E341" i="2"/>
  <c r="R340" i="2"/>
  <c r="Q340" i="2"/>
  <c r="N340" i="2"/>
  <c r="M340" i="2"/>
  <c r="J340" i="2"/>
  <c r="I340" i="2"/>
  <c r="F340" i="2"/>
  <c r="E340" i="2"/>
  <c r="R339" i="2"/>
  <c r="Q339" i="2"/>
  <c r="N339" i="2"/>
  <c r="M339" i="2"/>
  <c r="J339" i="2"/>
  <c r="I339" i="2"/>
  <c r="F339" i="2"/>
  <c r="E339" i="2"/>
  <c r="R338" i="2"/>
  <c r="Q338" i="2"/>
  <c r="N338" i="2"/>
  <c r="M338" i="2"/>
  <c r="J338" i="2"/>
  <c r="I338" i="2"/>
  <c r="F338" i="2"/>
  <c r="E338" i="2"/>
  <c r="R337" i="2"/>
  <c r="Q337" i="2"/>
  <c r="N337" i="2"/>
  <c r="M337" i="2"/>
  <c r="J337" i="2"/>
  <c r="I337" i="2"/>
  <c r="F337" i="2"/>
  <c r="E337" i="2"/>
  <c r="R336" i="2"/>
  <c r="Q336" i="2"/>
  <c r="N336" i="2"/>
  <c r="M336" i="2"/>
  <c r="J336" i="2"/>
  <c r="I336" i="2"/>
  <c r="F336" i="2"/>
  <c r="E336" i="2"/>
  <c r="R335" i="2"/>
  <c r="Q335" i="2"/>
  <c r="N335" i="2"/>
  <c r="M335" i="2"/>
  <c r="J335" i="2"/>
  <c r="I335" i="2"/>
  <c r="F335" i="2"/>
  <c r="E335" i="2"/>
  <c r="R334" i="2"/>
  <c r="Q334" i="2"/>
  <c r="N334" i="2"/>
  <c r="M334" i="2"/>
  <c r="J334" i="2"/>
  <c r="I334" i="2"/>
  <c r="F334" i="2"/>
  <c r="E334" i="2"/>
  <c r="R333" i="2"/>
  <c r="Q333" i="2"/>
  <c r="N333" i="2"/>
  <c r="M333" i="2"/>
  <c r="J333" i="2"/>
  <c r="I333" i="2"/>
  <c r="F333" i="2"/>
  <c r="E333" i="2"/>
  <c r="R332" i="2"/>
  <c r="Q332" i="2"/>
  <c r="N332" i="2"/>
  <c r="M332" i="2"/>
  <c r="J332" i="2"/>
  <c r="I332" i="2"/>
  <c r="F332" i="2"/>
  <c r="E332" i="2"/>
  <c r="R331" i="2"/>
  <c r="Q331" i="2"/>
  <c r="N331" i="2"/>
  <c r="M331" i="2"/>
  <c r="J331" i="2"/>
  <c r="I331" i="2"/>
  <c r="F331" i="2"/>
  <c r="E331" i="2"/>
  <c r="R330" i="2"/>
  <c r="Q330" i="2"/>
  <c r="N330" i="2"/>
  <c r="M330" i="2"/>
  <c r="J330" i="2"/>
  <c r="I330" i="2"/>
  <c r="F330" i="2"/>
  <c r="E330" i="2"/>
  <c r="R329" i="2"/>
  <c r="Q329" i="2"/>
  <c r="N329" i="2"/>
  <c r="M329" i="2"/>
  <c r="J329" i="2"/>
  <c r="I329" i="2"/>
  <c r="F329" i="2"/>
  <c r="E329" i="2"/>
  <c r="R328" i="2"/>
  <c r="Q328" i="2"/>
  <c r="N328" i="2"/>
  <c r="M328" i="2"/>
  <c r="J328" i="2"/>
  <c r="I328" i="2"/>
  <c r="F328" i="2"/>
  <c r="E328" i="2"/>
  <c r="R327" i="2"/>
  <c r="Q327" i="2"/>
  <c r="N327" i="2"/>
  <c r="M327" i="2"/>
  <c r="J327" i="2"/>
  <c r="I327" i="2"/>
  <c r="F327" i="2"/>
  <c r="E327" i="2"/>
  <c r="R326" i="2"/>
  <c r="Q326" i="2"/>
  <c r="N326" i="2"/>
  <c r="M326" i="2"/>
  <c r="J326" i="2"/>
  <c r="I326" i="2"/>
  <c r="F326" i="2"/>
  <c r="E326" i="2"/>
  <c r="R325" i="2"/>
  <c r="Q325" i="2"/>
  <c r="N325" i="2"/>
  <c r="M325" i="2"/>
  <c r="J325" i="2"/>
  <c r="I325" i="2"/>
  <c r="F325" i="2"/>
  <c r="E325" i="2"/>
  <c r="R324" i="2"/>
  <c r="Q324" i="2"/>
  <c r="N324" i="2"/>
  <c r="M324" i="2"/>
  <c r="J324" i="2"/>
  <c r="I324" i="2"/>
  <c r="F324" i="2"/>
  <c r="E324" i="2"/>
  <c r="R323" i="2"/>
  <c r="Q323" i="2"/>
  <c r="N323" i="2"/>
  <c r="M323" i="2"/>
  <c r="J323" i="2"/>
  <c r="I323" i="2"/>
  <c r="F323" i="2"/>
  <c r="E323" i="2"/>
  <c r="R322" i="2"/>
  <c r="Q322" i="2"/>
  <c r="N322" i="2"/>
  <c r="M322" i="2"/>
  <c r="J322" i="2"/>
  <c r="I322" i="2"/>
  <c r="F322" i="2"/>
  <c r="E322" i="2"/>
  <c r="R321" i="2"/>
  <c r="Q321" i="2"/>
  <c r="N321" i="2"/>
  <c r="M321" i="2"/>
  <c r="J321" i="2"/>
  <c r="I321" i="2"/>
  <c r="F321" i="2"/>
  <c r="E321" i="2"/>
  <c r="R320" i="2"/>
  <c r="Q320" i="2"/>
  <c r="N320" i="2"/>
  <c r="M320" i="2"/>
  <c r="J320" i="2"/>
  <c r="I320" i="2"/>
  <c r="F320" i="2"/>
  <c r="E320" i="2"/>
  <c r="R319" i="2"/>
  <c r="Q319" i="2"/>
  <c r="N319" i="2"/>
  <c r="M319" i="2"/>
  <c r="J319" i="2"/>
  <c r="I319" i="2"/>
  <c r="F319" i="2"/>
  <c r="E319" i="2"/>
  <c r="R318" i="2"/>
  <c r="Q318" i="2"/>
  <c r="N318" i="2"/>
  <c r="M318" i="2"/>
  <c r="J318" i="2"/>
  <c r="I318" i="2"/>
  <c r="F318" i="2"/>
  <c r="E318" i="2"/>
  <c r="R317" i="2"/>
  <c r="Q317" i="2"/>
  <c r="N317" i="2"/>
  <c r="M317" i="2"/>
  <c r="J317" i="2"/>
  <c r="I317" i="2"/>
  <c r="F317" i="2"/>
  <c r="E317" i="2"/>
  <c r="R316" i="2"/>
  <c r="Q316" i="2"/>
  <c r="N316" i="2"/>
  <c r="M316" i="2"/>
  <c r="J316" i="2"/>
  <c r="I316" i="2"/>
  <c r="F316" i="2"/>
  <c r="E316" i="2"/>
  <c r="R315" i="2"/>
  <c r="Q315" i="2"/>
  <c r="N315" i="2"/>
  <c r="M315" i="2"/>
  <c r="J315" i="2"/>
  <c r="I315" i="2"/>
  <c r="F315" i="2"/>
  <c r="E315" i="2"/>
  <c r="R314" i="2"/>
  <c r="Q314" i="2"/>
  <c r="N314" i="2"/>
  <c r="M314" i="2"/>
  <c r="J314" i="2"/>
  <c r="I314" i="2"/>
  <c r="F314" i="2"/>
  <c r="E314" i="2"/>
  <c r="R313" i="2"/>
  <c r="Q313" i="2"/>
  <c r="N313" i="2"/>
  <c r="M313" i="2"/>
  <c r="J313" i="2"/>
  <c r="I313" i="2"/>
  <c r="F313" i="2"/>
  <c r="E313" i="2"/>
  <c r="R312" i="2"/>
  <c r="Q312" i="2"/>
  <c r="N312" i="2"/>
  <c r="M312" i="2"/>
  <c r="J312" i="2"/>
  <c r="I312" i="2"/>
  <c r="F312" i="2"/>
  <c r="E312" i="2"/>
  <c r="R311" i="2"/>
  <c r="Q311" i="2"/>
  <c r="N311" i="2"/>
  <c r="M311" i="2"/>
  <c r="J311" i="2"/>
  <c r="I311" i="2"/>
  <c r="F311" i="2"/>
  <c r="E311" i="2"/>
  <c r="R310" i="2"/>
  <c r="Q310" i="2"/>
  <c r="N310" i="2"/>
  <c r="M310" i="2"/>
  <c r="J310" i="2"/>
  <c r="I310" i="2"/>
  <c r="F310" i="2"/>
  <c r="E310" i="2"/>
  <c r="R309" i="2"/>
  <c r="Q309" i="2"/>
  <c r="N309" i="2"/>
  <c r="M309" i="2"/>
  <c r="J309" i="2"/>
  <c r="I309" i="2"/>
  <c r="F309" i="2"/>
  <c r="E309" i="2"/>
  <c r="R308" i="2"/>
  <c r="Q308" i="2"/>
  <c r="N308" i="2"/>
  <c r="M308" i="2"/>
  <c r="J308" i="2"/>
  <c r="I308" i="2"/>
  <c r="F308" i="2"/>
  <c r="E308" i="2"/>
  <c r="R307" i="2"/>
  <c r="Q307" i="2"/>
  <c r="N307" i="2"/>
  <c r="M307" i="2"/>
  <c r="J307" i="2"/>
  <c r="I307" i="2"/>
  <c r="F307" i="2"/>
  <c r="E307" i="2"/>
  <c r="R306" i="2"/>
  <c r="Q306" i="2"/>
  <c r="N306" i="2"/>
  <c r="M306" i="2"/>
  <c r="J306" i="2"/>
  <c r="I306" i="2"/>
  <c r="F306" i="2"/>
  <c r="E306" i="2"/>
  <c r="R305" i="2"/>
  <c r="Q305" i="2"/>
  <c r="N305" i="2"/>
  <c r="M305" i="2"/>
  <c r="J305" i="2"/>
  <c r="I305" i="2"/>
  <c r="F305" i="2"/>
  <c r="E305" i="2"/>
  <c r="R304" i="2"/>
  <c r="Q304" i="2"/>
  <c r="N304" i="2"/>
  <c r="M304" i="2"/>
  <c r="J304" i="2"/>
  <c r="I304" i="2"/>
  <c r="F304" i="2"/>
  <c r="E304" i="2"/>
  <c r="R303" i="2"/>
  <c r="Q303" i="2"/>
  <c r="N303" i="2"/>
  <c r="M303" i="2"/>
  <c r="J303" i="2"/>
  <c r="I303" i="2"/>
  <c r="F303" i="2"/>
  <c r="E303" i="2"/>
  <c r="R302" i="2"/>
  <c r="Q302" i="2"/>
  <c r="N302" i="2"/>
  <c r="M302" i="2"/>
  <c r="J302" i="2"/>
  <c r="I302" i="2"/>
  <c r="F302" i="2"/>
  <c r="E302" i="2"/>
  <c r="R301" i="2"/>
  <c r="Q301" i="2"/>
  <c r="N301" i="2"/>
  <c r="M301" i="2"/>
  <c r="J301" i="2"/>
  <c r="I301" i="2"/>
  <c r="F301" i="2"/>
  <c r="E301" i="2"/>
  <c r="R300" i="2"/>
  <c r="Q300" i="2"/>
  <c r="N300" i="2"/>
  <c r="M300" i="2"/>
  <c r="J300" i="2"/>
  <c r="I300" i="2"/>
  <c r="F300" i="2"/>
  <c r="E300" i="2"/>
  <c r="R299" i="2"/>
  <c r="Q299" i="2"/>
  <c r="N299" i="2"/>
  <c r="M299" i="2"/>
  <c r="J299" i="2"/>
  <c r="I299" i="2"/>
  <c r="F299" i="2"/>
  <c r="E299" i="2"/>
  <c r="R298" i="2"/>
  <c r="Q298" i="2"/>
  <c r="N298" i="2"/>
  <c r="M298" i="2"/>
  <c r="J298" i="2"/>
  <c r="I298" i="2"/>
  <c r="F298" i="2"/>
  <c r="E298" i="2"/>
  <c r="R297" i="2"/>
  <c r="Q297" i="2"/>
  <c r="N297" i="2"/>
  <c r="M297" i="2"/>
  <c r="J297" i="2"/>
  <c r="I297" i="2"/>
  <c r="F297" i="2"/>
  <c r="E297" i="2"/>
  <c r="R296" i="2"/>
  <c r="Q296" i="2"/>
  <c r="N296" i="2"/>
  <c r="M296" i="2"/>
  <c r="J296" i="2"/>
  <c r="I296" i="2"/>
  <c r="F296" i="2"/>
  <c r="E296" i="2"/>
  <c r="R295" i="2"/>
  <c r="Q295" i="2"/>
  <c r="N295" i="2"/>
  <c r="M295" i="2"/>
  <c r="J295" i="2"/>
  <c r="I295" i="2"/>
  <c r="F295" i="2"/>
  <c r="E295" i="2"/>
  <c r="R294" i="2"/>
  <c r="Q294" i="2"/>
  <c r="N294" i="2"/>
  <c r="M294" i="2"/>
  <c r="J294" i="2"/>
  <c r="I294" i="2"/>
  <c r="F294" i="2"/>
  <c r="E294" i="2"/>
  <c r="R293" i="2"/>
  <c r="Q293" i="2"/>
  <c r="N293" i="2"/>
  <c r="M293" i="2"/>
  <c r="J293" i="2"/>
  <c r="I293" i="2"/>
  <c r="F293" i="2"/>
  <c r="E293" i="2"/>
  <c r="R292" i="2"/>
  <c r="Q292" i="2"/>
  <c r="N292" i="2"/>
  <c r="M292" i="2"/>
  <c r="J292" i="2"/>
  <c r="I292" i="2"/>
  <c r="F292" i="2"/>
  <c r="E292" i="2"/>
  <c r="R291" i="2"/>
  <c r="Q291" i="2"/>
  <c r="N291" i="2"/>
  <c r="M291" i="2"/>
  <c r="J291" i="2"/>
  <c r="I291" i="2"/>
  <c r="F291" i="2"/>
  <c r="E291" i="2"/>
  <c r="R290" i="2"/>
  <c r="Q290" i="2"/>
  <c r="N290" i="2"/>
  <c r="M290" i="2"/>
  <c r="J290" i="2"/>
  <c r="I290" i="2"/>
  <c r="F290" i="2"/>
  <c r="E290" i="2"/>
  <c r="R289" i="2"/>
  <c r="Q289" i="2"/>
  <c r="N289" i="2"/>
  <c r="M289" i="2"/>
  <c r="J289" i="2"/>
  <c r="I289" i="2"/>
  <c r="F289" i="2"/>
  <c r="E289" i="2"/>
  <c r="R288" i="2"/>
  <c r="Q288" i="2"/>
  <c r="N288" i="2"/>
  <c r="M288" i="2"/>
  <c r="J288" i="2"/>
  <c r="I288" i="2"/>
  <c r="F288" i="2"/>
  <c r="E288" i="2"/>
  <c r="R287" i="2"/>
  <c r="Q287" i="2"/>
  <c r="N287" i="2"/>
  <c r="M287" i="2"/>
  <c r="J287" i="2"/>
  <c r="I287" i="2"/>
  <c r="F287" i="2"/>
  <c r="E287" i="2"/>
  <c r="R286" i="2"/>
  <c r="Q286" i="2"/>
  <c r="N286" i="2"/>
  <c r="M286" i="2"/>
  <c r="J286" i="2"/>
  <c r="I286" i="2"/>
  <c r="F286" i="2"/>
  <c r="E286" i="2"/>
  <c r="R285" i="2"/>
  <c r="Q285" i="2"/>
  <c r="N285" i="2"/>
  <c r="M285" i="2"/>
  <c r="J285" i="2"/>
  <c r="I285" i="2"/>
  <c r="F285" i="2"/>
  <c r="E285" i="2"/>
  <c r="R284" i="2"/>
  <c r="Q284" i="2"/>
  <c r="N284" i="2"/>
  <c r="M284" i="2"/>
  <c r="J284" i="2"/>
  <c r="I284" i="2"/>
  <c r="F284" i="2"/>
  <c r="E284" i="2"/>
  <c r="R283" i="2"/>
  <c r="Q283" i="2"/>
  <c r="N283" i="2"/>
  <c r="M283" i="2"/>
  <c r="J283" i="2"/>
  <c r="I283" i="2"/>
  <c r="F283" i="2"/>
  <c r="E283" i="2"/>
  <c r="R282" i="2"/>
  <c r="Q282" i="2"/>
  <c r="N282" i="2"/>
  <c r="M282" i="2"/>
  <c r="J282" i="2"/>
  <c r="I282" i="2"/>
  <c r="F282" i="2"/>
  <c r="E282" i="2"/>
  <c r="R281" i="2"/>
  <c r="Q281" i="2"/>
  <c r="N281" i="2"/>
  <c r="M281" i="2"/>
  <c r="J281" i="2"/>
  <c r="I281" i="2"/>
  <c r="F281" i="2"/>
  <c r="E281" i="2"/>
  <c r="R280" i="2"/>
  <c r="Q280" i="2"/>
  <c r="N280" i="2"/>
  <c r="M280" i="2"/>
  <c r="J280" i="2"/>
  <c r="I280" i="2"/>
  <c r="F280" i="2"/>
  <c r="E280" i="2"/>
  <c r="R279" i="2"/>
  <c r="Q279" i="2"/>
  <c r="N279" i="2"/>
  <c r="M279" i="2"/>
  <c r="J279" i="2"/>
  <c r="I279" i="2"/>
  <c r="F279" i="2"/>
  <c r="E279" i="2"/>
  <c r="R278" i="2"/>
  <c r="Q278" i="2"/>
  <c r="N278" i="2"/>
  <c r="M278" i="2"/>
  <c r="J278" i="2"/>
  <c r="I278" i="2"/>
  <c r="F278" i="2"/>
  <c r="E278" i="2"/>
  <c r="R277" i="2"/>
  <c r="Q277" i="2"/>
  <c r="N277" i="2"/>
  <c r="M277" i="2"/>
  <c r="J277" i="2"/>
  <c r="I277" i="2"/>
  <c r="F277" i="2"/>
  <c r="E277" i="2"/>
  <c r="R276" i="2"/>
  <c r="Q276" i="2"/>
  <c r="N276" i="2"/>
  <c r="M276" i="2"/>
  <c r="J276" i="2"/>
  <c r="I276" i="2"/>
  <c r="F276" i="2"/>
  <c r="E276" i="2"/>
  <c r="R275" i="2"/>
  <c r="Q275" i="2"/>
  <c r="N275" i="2"/>
  <c r="M275" i="2"/>
  <c r="J275" i="2"/>
  <c r="I275" i="2"/>
  <c r="F275" i="2"/>
  <c r="E275" i="2"/>
  <c r="R274" i="2"/>
  <c r="Q274" i="2"/>
  <c r="N274" i="2"/>
  <c r="M274" i="2"/>
  <c r="J274" i="2"/>
  <c r="I274" i="2"/>
  <c r="F274" i="2"/>
  <c r="E274" i="2"/>
  <c r="R273" i="2"/>
  <c r="Q273" i="2"/>
  <c r="N273" i="2"/>
  <c r="M273" i="2"/>
  <c r="J273" i="2"/>
  <c r="I273" i="2"/>
  <c r="F273" i="2"/>
  <c r="E273" i="2"/>
  <c r="R272" i="2"/>
  <c r="Q272" i="2"/>
  <c r="N272" i="2"/>
  <c r="M272" i="2"/>
  <c r="J272" i="2"/>
  <c r="I272" i="2"/>
  <c r="F272" i="2"/>
  <c r="E272" i="2"/>
  <c r="R271" i="2"/>
  <c r="Q271" i="2"/>
  <c r="N271" i="2"/>
  <c r="M271" i="2"/>
  <c r="J271" i="2"/>
  <c r="I271" i="2"/>
  <c r="F271" i="2"/>
  <c r="E271" i="2"/>
  <c r="R270" i="2"/>
  <c r="Q270" i="2"/>
  <c r="N270" i="2"/>
  <c r="M270" i="2"/>
  <c r="J270" i="2"/>
  <c r="I270" i="2"/>
  <c r="F270" i="2"/>
  <c r="E270" i="2"/>
  <c r="R269" i="2"/>
  <c r="Q269" i="2"/>
  <c r="N269" i="2"/>
  <c r="M269" i="2"/>
  <c r="J269" i="2"/>
  <c r="I269" i="2"/>
  <c r="F269" i="2"/>
  <c r="E269" i="2"/>
  <c r="R268" i="2"/>
  <c r="Q268" i="2"/>
  <c r="N268" i="2"/>
  <c r="M268" i="2"/>
  <c r="J268" i="2"/>
  <c r="I268" i="2"/>
  <c r="F268" i="2"/>
  <c r="E268" i="2"/>
  <c r="R267" i="2"/>
  <c r="Q267" i="2"/>
  <c r="N267" i="2"/>
  <c r="M267" i="2"/>
  <c r="J267" i="2"/>
  <c r="I267" i="2"/>
  <c r="F267" i="2"/>
  <c r="E267" i="2"/>
  <c r="R266" i="2"/>
  <c r="Q266" i="2"/>
  <c r="N266" i="2"/>
  <c r="M266" i="2"/>
  <c r="J266" i="2"/>
  <c r="I266" i="2"/>
  <c r="F266" i="2"/>
  <c r="E266" i="2"/>
  <c r="R265" i="2"/>
  <c r="Q265" i="2"/>
  <c r="N265" i="2"/>
  <c r="M265" i="2"/>
  <c r="J265" i="2"/>
  <c r="I265" i="2"/>
  <c r="F265" i="2"/>
  <c r="E265" i="2"/>
  <c r="R264" i="2"/>
  <c r="Q264" i="2"/>
  <c r="N264" i="2"/>
  <c r="M264" i="2"/>
  <c r="J264" i="2"/>
  <c r="I264" i="2"/>
  <c r="F264" i="2"/>
  <c r="E264" i="2"/>
  <c r="R263" i="2"/>
  <c r="Q263" i="2"/>
  <c r="N263" i="2"/>
  <c r="M263" i="2"/>
  <c r="J263" i="2"/>
  <c r="I263" i="2"/>
  <c r="F263" i="2"/>
  <c r="E263" i="2"/>
  <c r="R262" i="2"/>
  <c r="Q262" i="2"/>
  <c r="N262" i="2"/>
  <c r="M262" i="2"/>
  <c r="J262" i="2"/>
  <c r="I262" i="2"/>
  <c r="F262" i="2"/>
  <c r="E262" i="2"/>
  <c r="R261" i="2"/>
  <c r="Q261" i="2"/>
  <c r="N261" i="2"/>
  <c r="M261" i="2"/>
  <c r="J261" i="2"/>
  <c r="I261" i="2"/>
  <c r="F261" i="2"/>
  <c r="E261" i="2"/>
  <c r="R260" i="2"/>
  <c r="Q260" i="2"/>
  <c r="N260" i="2"/>
  <c r="M260" i="2"/>
  <c r="J260" i="2"/>
  <c r="I260" i="2"/>
  <c r="F260" i="2"/>
  <c r="E260" i="2"/>
  <c r="R259" i="2"/>
  <c r="Q259" i="2"/>
  <c r="N259" i="2"/>
  <c r="M259" i="2"/>
  <c r="J259" i="2"/>
  <c r="I259" i="2"/>
  <c r="F259" i="2"/>
  <c r="E259" i="2"/>
  <c r="R258" i="2"/>
  <c r="Q258" i="2"/>
  <c r="N258" i="2"/>
  <c r="M258" i="2"/>
  <c r="J258" i="2"/>
  <c r="I258" i="2"/>
  <c r="F258" i="2"/>
  <c r="E258" i="2"/>
  <c r="R257" i="2"/>
  <c r="Q257" i="2"/>
  <c r="N257" i="2"/>
  <c r="M257" i="2"/>
  <c r="J257" i="2"/>
  <c r="I257" i="2"/>
  <c r="F257" i="2"/>
  <c r="E257" i="2"/>
  <c r="R256" i="2"/>
  <c r="Q256" i="2"/>
  <c r="N256" i="2"/>
  <c r="M256" i="2"/>
  <c r="J256" i="2"/>
  <c r="I256" i="2"/>
  <c r="F256" i="2"/>
  <c r="E256" i="2"/>
  <c r="R255" i="2"/>
  <c r="Q255" i="2"/>
  <c r="N255" i="2"/>
  <c r="M255" i="2"/>
  <c r="J255" i="2"/>
  <c r="I255" i="2"/>
  <c r="F255" i="2"/>
  <c r="E255" i="2"/>
  <c r="R254" i="2"/>
  <c r="Q254" i="2"/>
  <c r="N254" i="2"/>
  <c r="M254" i="2"/>
  <c r="J254" i="2"/>
  <c r="I254" i="2"/>
  <c r="F254" i="2"/>
  <c r="E254" i="2"/>
  <c r="R253" i="2"/>
  <c r="Q253" i="2"/>
  <c r="N253" i="2"/>
  <c r="M253" i="2"/>
  <c r="J253" i="2"/>
  <c r="I253" i="2"/>
  <c r="F253" i="2"/>
  <c r="E253" i="2"/>
  <c r="R252" i="2"/>
  <c r="Q252" i="2"/>
  <c r="N252" i="2"/>
  <c r="M252" i="2"/>
  <c r="J252" i="2"/>
  <c r="I252" i="2"/>
  <c r="F252" i="2"/>
  <c r="E252" i="2"/>
  <c r="R251" i="2"/>
  <c r="Q251" i="2"/>
  <c r="N251" i="2"/>
  <c r="M251" i="2"/>
  <c r="J251" i="2"/>
  <c r="I251" i="2"/>
  <c r="F251" i="2"/>
  <c r="E251" i="2"/>
  <c r="R250" i="2"/>
  <c r="Q250" i="2"/>
  <c r="N250" i="2"/>
  <c r="M250" i="2"/>
  <c r="J250" i="2"/>
  <c r="I250" i="2"/>
  <c r="F250" i="2"/>
  <c r="E250" i="2"/>
  <c r="R249" i="2"/>
  <c r="Q249" i="2"/>
  <c r="N249" i="2"/>
  <c r="M249" i="2"/>
  <c r="J249" i="2"/>
  <c r="I249" i="2"/>
  <c r="F249" i="2"/>
  <c r="E249" i="2"/>
  <c r="R248" i="2"/>
  <c r="Q248" i="2"/>
  <c r="N248" i="2"/>
  <c r="M248" i="2"/>
  <c r="J248" i="2"/>
  <c r="I248" i="2"/>
  <c r="F248" i="2"/>
  <c r="E248" i="2"/>
  <c r="R247" i="2"/>
  <c r="Q247" i="2"/>
  <c r="N247" i="2"/>
  <c r="M247" i="2"/>
  <c r="J247" i="2"/>
  <c r="I247" i="2"/>
  <c r="F247" i="2"/>
  <c r="E247" i="2"/>
  <c r="R246" i="2"/>
  <c r="Q246" i="2"/>
  <c r="N246" i="2"/>
  <c r="M246" i="2"/>
  <c r="J246" i="2"/>
  <c r="I246" i="2"/>
  <c r="F246" i="2"/>
  <c r="E246" i="2"/>
  <c r="R245" i="2"/>
  <c r="Q245" i="2"/>
  <c r="N245" i="2"/>
  <c r="M245" i="2"/>
  <c r="J245" i="2"/>
  <c r="I245" i="2"/>
  <c r="F245" i="2"/>
  <c r="E245" i="2"/>
  <c r="R244" i="2"/>
  <c r="Q244" i="2"/>
  <c r="N244" i="2"/>
  <c r="M244" i="2"/>
  <c r="J244" i="2"/>
  <c r="I244" i="2"/>
  <c r="F244" i="2"/>
  <c r="E244" i="2"/>
  <c r="R243" i="2"/>
  <c r="Q243" i="2"/>
  <c r="N243" i="2"/>
  <c r="M243" i="2"/>
  <c r="J243" i="2"/>
  <c r="I243" i="2"/>
  <c r="F243" i="2"/>
  <c r="E243" i="2"/>
  <c r="R242" i="2"/>
  <c r="Q242" i="2"/>
  <c r="N242" i="2"/>
  <c r="M242" i="2"/>
  <c r="J242" i="2"/>
  <c r="I242" i="2"/>
  <c r="F242" i="2"/>
  <c r="E242" i="2"/>
  <c r="R241" i="2"/>
  <c r="Q241" i="2"/>
  <c r="N241" i="2"/>
  <c r="M241" i="2"/>
  <c r="J241" i="2"/>
  <c r="I241" i="2"/>
  <c r="F241" i="2"/>
  <c r="E241" i="2"/>
  <c r="R240" i="2"/>
  <c r="Q240" i="2"/>
  <c r="N240" i="2"/>
  <c r="M240" i="2"/>
  <c r="J240" i="2"/>
  <c r="I240" i="2"/>
  <c r="F240" i="2"/>
  <c r="E240" i="2"/>
  <c r="R239" i="2"/>
  <c r="Q239" i="2"/>
  <c r="N239" i="2"/>
  <c r="M239" i="2"/>
  <c r="J239" i="2"/>
  <c r="I239" i="2"/>
  <c r="F239" i="2"/>
  <c r="E239" i="2"/>
  <c r="Y226" i="2"/>
  <c r="W229" i="2"/>
  <c r="V229" i="2"/>
  <c r="U229" i="2"/>
  <c r="T229" i="2"/>
  <c r="S229" i="2"/>
  <c r="R229" i="2"/>
  <c r="P229" i="2"/>
  <c r="O229" i="2"/>
  <c r="Q229" i="2" s="1"/>
  <c r="L229" i="2"/>
  <c r="K229" i="2"/>
  <c r="H229" i="2"/>
  <c r="J229" i="2" s="1"/>
  <c r="G229" i="2"/>
  <c r="D229" i="2"/>
  <c r="C229" i="2"/>
  <c r="F229" i="2" s="1"/>
  <c r="R227" i="2"/>
  <c r="Q227" i="2"/>
  <c r="N227" i="2"/>
  <c r="M227" i="2"/>
  <c r="J227" i="2"/>
  <c r="I227" i="2"/>
  <c r="F227" i="2"/>
  <c r="Y227" i="2" s="1"/>
  <c r="E227" i="2"/>
  <c r="R225" i="2"/>
  <c r="Q225" i="2"/>
  <c r="N225" i="2"/>
  <c r="M225" i="2"/>
  <c r="J225" i="2"/>
  <c r="I225" i="2"/>
  <c r="F225" i="2"/>
  <c r="Y225" i="2" s="1"/>
  <c r="E225" i="2"/>
  <c r="R226" i="2"/>
  <c r="Q226" i="2"/>
  <c r="N226" i="2"/>
  <c r="M226" i="2"/>
  <c r="J226" i="2"/>
  <c r="I226" i="2"/>
  <c r="F226" i="2"/>
  <c r="E226" i="2"/>
  <c r="R228" i="2"/>
  <c r="Q228" i="2"/>
  <c r="N228" i="2"/>
  <c r="M228" i="2"/>
  <c r="J228" i="2"/>
  <c r="I228" i="2"/>
  <c r="F228" i="2"/>
  <c r="E228" i="2"/>
  <c r="R224" i="2"/>
  <c r="Q224" i="2"/>
  <c r="N224" i="2"/>
  <c r="M224" i="2"/>
  <c r="J224" i="2"/>
  <c r="I224" i="2"/>
  <c r="F224" i="2"/>
  <c r="E224" i="2"/>
  <c r="X211" i="2"/>
  <c r="W214" i="2"/>
  <c r="V214" i="2"/>
  <c r="U214" i="2"/>
  <c r="T214" i="2"/>
  <c r="S214" i="2"/>
  <c r="P214" i="2"/>
  <c r="Q214" i="2" s="1"/>
  <c r="O214" i="2"/>
  <c r="M214" i="2"/>
  <c r="L214" i="2"/>
  <c r="N214" i="2" s="1"/>
  <c r="K214" i="2"/>
  <c r="H214" i="2"/>
  <c r="G214" i="2"/>
  <c r="J214" i="2" s="1"/>
  <c r="D214" i="2"/>
  <c r="C214" i="2"/>
  <c r="F214" i="2" s="1"/>
  <c r="Y209" i="2" s="1"/>
  <c r="R213" i="2"/>
  <c r="Q213" i="2"/>
  <c r="N213" i="2"/>
  <c r="M213" i="2"/>
  <c r="J213" i="2"/>
  <c r="I213" i="2"/>
  <c r="F213" i="2"/>
  <c r="E213" i="2"/>
  <c r="R212" i="2"/>
  <c r="Q212" i="2"/>
  <c r="N212" i="2"/>
  <c r="M212" i="2"/>
  <c r="J212" i="2"/>
  <c r="I212" i="2"/>
  <c r="F212" i="2"/>
  <c r="E212" i="2"/>
  <c r="R211" i="2"/>
  <c r="Q211" i="2"/>
  <c r="N211" i="2"/>
  <c r="M211" i="2"/>
  <c r="J211" i="2"/>
  <c r="I211" i="2"/>
  <c r="F211" i="2"/>
  <c r="E211" i="2"/>
  <c r="R210" i="2"/>
  <c r="Q210" i="2"/>
  <c r="N210" i="2"/>
  <c r="M210" i="2"/>
  <c r="J210" i="2"/>
  <c r="I210" i="2"/>
  <c r="F210" i="2"/>
  <c r="E210" i="2"/>
  <c r="R209" i="2"/>
  <c r="Q209" i="2"/>
  <c r="N209" i="2"/>
  <c r="M209" i="2"/>
  <c r="J209" i="2"/>
  <c r="I209" i="2"/>
  <c r="F209" i="2"/>
  <c r="E209" i="2"/>
  <c r="Y195" i="2"/>
  <c r="X195" i="2"/>
  <c r="Y198" i="2"/>
  <c r="X198" i="2"/>
  <c r="W199" i="2"/>
  <c r="V199" i="2"/>
  <c r="U199" i="2"/>
  <c r="T199" i="2"/>
  <c r="S199" i="2"/>
  <c r="R199" i="2"/>
  <c r="Q199" i="2"/>
  <c r="P199" i="2"/>
  <c r="O199" i="2"/>
  <c r="L199" i="2"/>
  <c r="K199" i="2"/>
  <c r="H199" i="2"/>
  <c r="G199" i="2"/>
  <c r="J199" i="2" s="1"/>
  <c r="F199" i="2"/>
  <c r="Y194" i="2" s="1"/>
  <c r="D199" i="2"/>
  <c r="C199" i="2"/>
  <c r="E199" i="2" s="1"/>
  <c r="R195" i="2"/>
  <c r="Q195" i="2"/>
  <c r="N195" i="2"/>
  <c r="M195" i="2"/>
  <c r="J195" i="2"/>
  <c r="I195" i="2"/>
  <c r="F195" i="2"/>
  <c r="X194" i="2" s="1"/>
  <c r="E195" i="2"/>
  <c r="R198" i="2"/>
  <c r="Q198" i="2"/>
  <c r="N198" i="2"/>
  <c r="M198" i="2"/>
  <c r="J198" i="2"/>
  <c r="I198" i="2"/>
  <c r="F198" i="2"/>
  <c r="E198" i="2"/>
  <c r="R194" i="2"/>
  <c r="Q194" i="2"/>
  <c r="N194" i="2"/>
  <c r="M194" i="2"/>
  <c r="J194" i="2"/>
  <c r="I194" i="2"/>
  <c r="F194" i="2"/>
  <c r="E194" i="2"/>
  <c r="R196" i="2"/>
  <c r="Q196" i="2"/>
  <c r="N196" i="2"/>
  <c r="M196" i="2"/>
  <c r="J196" i="2"/>
  <c r="I196" i="2"/>
  <c r="F196" i="2"/>
  <c r="Y196" i="2" s="1"/>
  <c r="E196" i="2"/>
  <c r="R197" i="2"/>
  <c r="Q197" i="2"/>
  <c r="N197" i="2"/>
  <c r="M197" i="2"/>
  <c r="J197" i="2"/>
  <c r="I197" i="2"/>
  <c r="F197" i="2"/>
  <c r="E197" i="2"/>
  <c r="W184" i="2"/>
  <c r="V184" i="2"/>
  <c r="U184" i="2"/>
  <c r="T184" i="2"/>
  <c r="S184" i="2"/>
  <c r="P184" i="2"/>
  <c r="O184" i="2"/>
  <c r="Q184" i="2" s="1"/>
  <c r="N184" i="2"/>
  <c r="M184" i="2"/>
  <c r="L184" i="2"/>
  <c r="K184" i="2"/>
  <c r="H184" i="2"/>
  <c r="G184" i="2"/>
  <c r="J184" i="2" s="1"/>
  <c r="D184" i="2"/>
  <c r="C184" i="2"/>
  <c r="E184" i="2" s="1"/>
  <c r="R181" i="2"/>
  <c r="Q181" i="2"/>
  <c r="N181" i="2"/>
  <c r="M181" i="2"/>
  <c r="J181" i="2"/>
  <c r="I181" i="2"/>
  <c r="F181" i="2"/>
  <c r="E181" i="2"/>
  <c r="R104" i="2"/>
  <c r="Q104" i="2"/>
  <c r="N104" i="2"/>
  <c r="M104" i="2"/>
  <c r="J104" i="2"/>
  <c r="I104" i="2"/>
  <c r="F104" i="2"/>
  <c r="E104" i="2"/>
  <c r="R68" i="2"/>
  <c r="Q68" i="2"/>
  <c r="N68" i="2"/>
  <c r="M68" i="2"/>
  <c r="J68" i="2"/>
  <c r="I68" i="2"/>
  <c r="F68" i="2"/>
  <c r="E68" i="2"/>
  <c r="R134" i="2"/>
  <c r="Q134" i="2"/>
  <c r="N134" i="2"/>
  <c r="M134" i="2"/>
  <c r="J134" i="2"/>
  <c r="I134" i="2"/>
  <c r="F134" i="2"/>
  <c r="X134" i="2" s="1"/>
  <c r="E134" i="2"/>
  <c r="R92" i="2"/>
  <c r="Q92" i="2"/>
  <c r="N92" i="2"/>
  <c r="M92" i="2"/>
  <c r="J92" i="2"/>
  <c r="I92" i="2"/>
  <c r="F92" i="2"/>
  <c r="E92" i="2"/>
  <c r="R163" i="2"/>
  <c r="Q163" i="2"/>
  <c r="N163" i="2"/>
  <c r="M163" i="2"/>
  <c r="J163" i="2"/>
  <c r="I163" i="2"/>
  <c r="F163" i="2"/>
  <c r="E163" i="2"/>
  <c r="R90" i="2"/>
  <c r="Q90" i="2"/>
  <c r="N90" i="2"/>
  <c r="M90" i="2"/>
  <c r="J90" i="2"/>
  <c r="I90" i="2"/>
  <c r="F90" i="2"/>
  <c r="E90" i="2"/>
  <c r="R81" i="2"/>
  <c r="Q81" i="2"/>
  <c r="N81" i="2"/>
  <c r="M81" i="2"/>
  <c r="J81" i="2"/>
  <c r="I81" i="2"/>
  <c r="F81" i="2"/>
  <c r="E81" i="2"/>
  <c r="R127" i="2"/>
  <c r="Q127" i="2"/>
  <c r="N127" i="2"/>
  <c r="M127" i="2"/>
  <c r="J127" i="2"/>
  <c r="I127" i="2"/>
  <c r="F127" i="2"/>
  <c r="E127" i="2"/>
  <c r="R180" i="2"/>
  <c r="Q180" i="2"/>
  <c r="N180" i="2"/>
  <c r="M180" i="2"/>
  <c r="J180" i="2"/>
  <c r="I180" i="2"/>
  <c r="F180" i="2"/>
  <c r="E180" i="2"/>
  <c r="R105" i="2"/>
  <c r="Q105" i="2"/>
  <c r="N105" i="2"/>
  <c r="M105" i="2"/>
  <c r="J105" i="2"/>
  <c r="I105" i="2"/>
  <c r="F105" i="2"/>
  <c r="E105" i="2"/>
  <c r="R168" i="2"/>
  <c r="Q168" i="2"/>
  <c r="N168" i="2"/>
  <c r="M168" i="2"/>
  <c r="J168" i="2"/>
  <c r="I168" i="2"/>
  <c r="F168" i="2"/>
  <c r="E168" i="2"/>
  <c r="R100" i="2"/>
  <c r="Q100" i="2"/>
  <c r="N100" i="2"/>
  <c r="M100" i="2"/>
  <c r="J100" i="2"/>
  <c r="I100" i="2"/>
  <c r="F100" i="2"/>
  <c r="E100" i="2"/>
  <c r="R65" i="2"/>
  <c r="Q65" i="2"/>
  <c r="N65" i="2"/>
  <c r="M65" i="2"/>
  <c r="J65" i="2"/>
  <c r="I65" i="2"/>
  <c r="F65" i="2"/>
  <c r="E65" i="2"/>
  <c r="R132" i="2"/>
  <c r="Q132" i="2"/>
  <c r="N132" i="2"/>
  <c r="M132" i="2"/>
  <c r="J132" i="2"/>
  <c r="I132" i="2"/>
  <c r="F132" i="2"/>
  <c r="E132" i="2"/>
  <c r="R138" i="2"/>
  <c r="Q138" i="2"/>
  <c r="N138" i="2"/>
  <c r="M138" i="2"/>
  <c r="J138" i="2"/>
  <c r="I138" i="2"/>
  <c r="F138" i="2"/>
  <c r="E138" i="2"/>
  <c r="R146" i="2"/>
  <c r="Q146" i="2"/>
  <c r="N146" i="2"/>
  <c r="M146" i="2"/>
  <c r="J146" i="2"/>
  <c r="I146" i="2"/>
  <c r="F146" i="2"/>
  <c r="E146" i="2"/>
  <c r="R136" i="2"/>
  <c r="Q136" i="2"/>
  <c r="N136" i="2"/>
  <c r="M136" i="2"/>
  <c r="J136" i="2"/>
  <c r="I136" i="2"/>
  <c r="F136" i="2"/>
  <c r="E136" i="2"/>
  <c r="R115" i="2"/>
  <c r="Q115" i="2"/>
  <c r="N115" i="2"/>
  <c r="M115" i="2"/>
  <c r="J115" i="2"/>
  <c r="I115" i="2"/>
  <c r="F115" i="2"/>
  <c r="E115" i="2"/>
  <c r="R99" i="2"/>
  <c r="Q99" i="2"/>
  <c r="N99" i="2"/>
  <c r="M99" i="2"/>
  <c r="J99" i="2"/>
  <c r="I99" i="2"/>
  <c r="F99" i="2"/>
  <c r="E99" i="2"/>
  <c r="R137" i="2"/>
  <c r="Q137" i="2"/>
  <c r="N137" i="2"/>
  <c r="M137" i="2"/>
  <c r="J137" i="2"/>
  <c r="I137" i="2"/>
  <c r="F137" i="2"/>
  <c r="E137" i="2"/>
  <c r="R79" i="2"/>
  <c r="Q79" i="2"/>
  <c r="N79" i="2"/>
  <c r="M79" i="2"/>
  <c r="J79" i="2"/>
  <c r="I79" i="2"/>
  <c r="F79" i="2"/>
  <c r="E79" i="2"/>
  <c r="R83" i="2"/>
  <c r="Q83" i="2"/>
  <c r="N83" i="2"/>
  <c r="M83" i="2"/>
  <c r="J83" i="2"/>
  <c r="I83" i="2"/>
  <c r="F83" i="2"/>
  <c r="E83" i="2"/>
  <c r="R88" i="2"/>
  <c r="Q88" i="2"/>
  <c r="N88" i="2"/>
  <c r="M88" i="2"/>
  <c r="J88" i="2"/>
  <c r="I88" i="2"/>
  <c r="F88" i="2"/>
  <c r="E88" i="2"/>
  <c r="R156" i="2"/>
  <c r="Q156" i="2"/>
  <c r="N156" i="2"/>
  <c r="M156" i="2"/>
  <c r="J156" i="2"/>
  <c r="I156" i="2"/>
  <c r="F156" i="2"/>
  <c r="E156" i="2"/>
  <c r="R150" i="2"/>
  <c r="Q150" i="2"/>
  <c r="N150" i="2"/>
  <c r="M150" i="2"/>
  <c r="J150" i="2"/>
  <c r="I150" i="2"/>
  <c r="F150" i="2"/>
  <c r="E150" i="2"/>
  <c r="R111" i="2"/>
  <c r="Q111" i="2"/>
  <c r="N111" i="2"/>
  <c r="M111" i="2"/>
  <c r="J111" i="2"/>
  <c r="I111" i="2"/>
  <c r="F111" i="2"/>
  <c r="E111" i="2"/>
  <c r="R57" i="2"/>
  <c r="Q57" i="2"/>
  <c r="N57" i="2"/>
  <c r="M57" i="2"/>
  <c r="J57" i="2"/>
  <c r="I57" i="2"/>
  <c r="F57" i="2"/>
  <c r="E57" i="2"/>
  <c r="R95" i="2"/>
  <c r="Q95" i="2"/>
  <c r="N95" i="2"/>
  <c r="M95" i="2"/>
  <c r="J95" i="2"/>
  <c r="I95" i="2"/>
  <c r="F95" i="2"/>
  <c r="E95" i="2"/>
  <c r="R75" i="2"/>
  <c r="Q75" i="2"/>
  <c r="N75" i="2"/>
  <c r="M75" i="2"/>
  <c r="J75" i="2"/>
  <c r="I75" i="2"/>
  <c r="F75" i="2"/>
  <c r="E75" i="2"/>
  <c r="R67" i="2"/>
  <c r="Q67" i="2"/>
  <c r="N67" i="2"/>
  <c r="M67" i="2"/>
  <c r="J67" i="2"/>
  <c r="I67" i="2"/>
  <c r="F67" i="2"/>
  <c r="E67" i="2"/>
  <c r="R165" i="2"/>
  <c r="Q165" i="2"/>
  <c r="N165" i="2"/>
  <c r="M165" i="2"/>
  <c r="J165" i="2"/>
  <c r="I165" i="2"/>
  <c r="F165" i="2"/>
  <c r="E165" i="2"/>
  <c r="R97" i="2"/>
  <c r="Q97" i="2"/>
  <c r="N97" i="2"/>
  <c r="M97" i="2"/>
  <c r="J97" i="2"/>
  <c r="I97" i="2"/>
  <c r="F97" i="2"/>
  <c r="E97" i="2"/>
  <c r="R62" i="2"/>
  <c r="Q62" i="2"/>
  <c r="N62" i="2"/>
  <c r="M62" i="2"/>
  <c r="J62" i="2"/>
  <c r="I62" i="2"/>
  <c r="F62" i="2"/>
  <c r="E62" i="2"/>
  <c r="R131" i="2"/>
  <c r="Q131" i="2"/>
  <c r="N131" i="2"/>
  <c r="M131" i="2"/>
  <c r="J131" i="2"/>
  <c r="I131" i="2"/>
  <c r="F131" i="2"/>
  <c r="E131" i="2"/>
  <c r="R151" i="2"/>
  <c r="Q151" i="2"/>
  <c r="N151" i="2"/>
  <c r="M151" i="2"/>
  <c r="J151" i="2"/>
  <c r="I151" i="2"/>
  <c r="F151" i="2"/>
  <c r="E151" i="2"/>
  <c r="R171" i="2"/>
  <c r="Q171" i="2"/>
  <c r="N171" i="2"/>
  <c r="M171" i="2"/>
  <c r="J171" i="2"/>
  <c r="I171" i="2"/>
  <c r="F171" i="2"/>
  <c r="E171" i="2"/>
  <c r="R145" i="2"/>
  <c r="Q145" i="2"/>
  <c r="N145" i="2"/>
  <c r="M145" i="2"/>
  <c r="J145" i="2"/>
  <c r="I145" i="2"/>
  <c r="F145" i="2"/>
  <c r="E145" i="2"/>
  <c r="R155" i="2"/>
  <c r="Q155" i="2"/>
  <c r="N155" i="2"/>
  <c r="M155" i="2"/>
  <c r="J155" i="2"/>
  <c r="I155" i="2"/>
  <c r="F155" i="2"/>
  <c r="E155" i="2"/>
  <c r="R113" i="2"/>
  <c r="Q113" i="2"/>
  <c r="N113" i="2"/>
  <c r="M113" i="2"/>
  <c r="J113" i="2"/>
  <c r="I113" i="2"/>
  <c r="F113" i="2"/>
  <c r="E113" i="2"/>
  <c r="R140" i="2"/>
  <c r="Q140" i="2"/>
  <c r="N140" i="2"/>
  <c r="M140" i="2"/>
  <c r="J140" i="2"/>
  <c r="I140" i="2"/>
  <c r="F140" i="2"/>
  <c r="E140" i="2"/>
  <c r="R152" i="2"/>
  <c r="Q152" i="2"/>
  <c r="N152" i="2"/>
  <c r="M152" i="2"/>
  <c r="J152" i="2"/>
  <c r="I152" i="2"/>
  <c r="F152" i="2"/>
  <c r="E152" i="2"/>
  <c r="R118" i="2"/>
  <c r="Q118" i="2"/>
  <c r="N118" i="2"/>
  <c r="M118" i="2"/>
  <c r="J118" i="2"/>
  <c r="I118" i="2"/>
  <c r="F118" i="2"/>
  <c r="E118" i="2"/>
  <c r="R78" i="2"/>
  <c r="Q78" i="2"/>
  <c r="N78" i="2"/>
  <c r="M78" i="2"/>
  <c r="J78" i="2"/>
  <c r="I78" i="2"/>
  <c r="F78" i="2"/>
  <c r="X78" i="2" s="1"/>
  <c r="E78" i="2"/>
  <c r="R91" i="2"/>
  <c r="Q91" i="2"/>
  <c r="N91" i="2"/>
  <c r="M91" i="2"/>
  <c r="J91" i="2"/>
  <c r="I91" i="2"/>
  <c r="F91" i="2"/>
  <c r="E91" i="2"/>
  <c r="R71" i="2"/>
  <c r="Q71" i="2"/>
  <c r="N71" i="2"/>
  <c r="M71" i="2"/>
  <c r="J71" i="2"/>
  <c r="I71" i="2"/>
  <c r="F71" i="2"/>
  <c r="E71" i="2"/>
  <c r="R157" i="2"/>
  <c r="Q157" i="2"/>
  <c r="N157" i="2"/>
  <c r="M157" i="2"/>
  <c r="J157" i="2"/>
  <c r="I157" i="2"/>
  <c r="F157" i="2"/>
  <c r="E157" i="2"/>
  <c r="R70" i="2"/>
  <c r="Q70" i="2"/>
  <c r="N70" i="2"/>
  <c r="M70" i="2"/>
  <c r="J70" i="2"/>
  <c r="I70" i="2"/>
  <c r="F70" i="2"/>
  <c r="X70" i="2" s="1"/>
  <c r="E70" i="2"/>
  <c r="R174" i="2"/>
  <c r="Q174" i="2"/>
  <c r="N174" i="2"/>
  <c r="M174" i="2"/>
  <c r="J174" i="2"/>
  <c r="I174" i="2"/>
  <c r="F174" i="2"/>
  <c r="E174" i="2"/>
  <c r="R183" i="2"/>
  <c r="Q183" i="2"/>
  <c r="N183" i="2"/>
  <c r="M183" i="2"/>
  <c r="J183" i="2"/>
  <c r="I183" i="2"/>
  <c r="F183" i="2"/>
  <c r="E183" i="2"/>
  <c r="R167" i="2"/>
  <c r="Q167" i="2"/>
  <c r="N167" i="2"/>
  <c r="M167" i="2"/>
  <c r="J167" i="2"/>
  <c r="I167" i="2"/>
  <c r="F167" i="2"/>
  <c r="E167" i="2"/>
  <c r="R98" i="2"/>
  <c r="Q98" i="2"/>
  <c r="N98" i="2"/>
  <c r="M98" i="2"/>
  <c r="J98" i="2"/>
  <c r="I98" i="2"/>
  <c r="F98" i="2"/>
  <c r="E98" i="2"/>
  <c r="R143" i="2"/>
  <c r="Q143" i="2"/>
  <c r="N143" i="2"/>
  <c r="M143" i="2"/>
  <c r="J143" i="2"/>
  <c r="I143" i="2"/>
  <c r="F143" i="2"/>
  <c r="E143" i="2"/>
  <c r="R149" i="2"/>
  <c r="Q149" i="2"/>
  <c r="N149" i="2"/>
  <c r="M149" i="2"/>
  <c r="J149" i="2"/>
  <c r="I149" i="2"/>
  <c r="F149" i="2"/>
  <c r="E149" i="2"/>
  <c r="R153" i="2"/>
  <c r="Q153" i="2"/>
  <c r="N153" i="2"/>
  <c r="M153" i="2"/>
  <c r="J153" i="2"/>
  <c r="I153" i="2"/>
  <c r="F153" i="2"/>
  <c r="E153" i="2"/>
  <c r="R80" i="2"/>
  <c r="Q80" i="2"/>
  <c r="N80" i="2"/>
  <c r="M80" i="2"/>
  <c r="J80" i="2"/>
  <c r="I80" i="2"/>
  <c r="F80" i="2"/>
  <c r="E80" i="2"/>
  <c r="R96" i="2"/>
  <c r="Q96" i="2"/>
  <c r="N96" i="2"/>
  <c r="M96" i="2"/>
  <c r="J96" i="2"/>
  <c r="I96" i="2"/>
  <c r="F96" i="2"/>
  <c r="E96" i="2"/>
  <c r="R84" i="2"/>
  <c r="Q84" i="2"/>
  <c r="N84" i="2"/>
  <c r="M84" i="2"/>
  <c r="J84" i="2"/>
  <c r="I84" i="2"/>
  <c r="F84" i="2"/>
  <c r="E84" i="2"/>
  <c r="R178" i="2"/>
  <c r="Q178" i="2"/>
  <c r="N178" i="2"/>
  <c r="M178" i="2"/>
  <c r="J178" i="2"/>
  <c r="I178" i="2"/>
  <c r="F178" i="2"/>
  <c r="E178" i="2"/>
  <c r="R106" i="2"/>
  <c r="Q106" i="2"/>
  <c r="N106" i="2"/>
  <c r="M106" i="2"/>
  <c r="J106" i="2"/>
  <c r="I106" i="2"/>
  <c r="F106" i="2"/>
  <c r="E106" i="2"/>
  <c r="R121" i="2"/>
  <c r="Q121" i="2"/>
  <c r="N121" i="2"/>
  <c r="M121" i="2"/>
  <c r="J121" i="2"/>
  <c r="I121" i="2"/>
  <c r="F121" i="2"/>
  <c r="E121" i="2"/>
  <c r="R123" i="2"/>
  <c r="Q123" i="2"/>
  <c r="N123" i="2"/>
  <c r="M123" i="2"/>
  <c r="J123" i="2"/>
  <c r="I123" i="2"/>
  <c r="F123" i="2"/>
  <c r="E123" i="2"/>
  <c r="R94" i="2"/>
  <c r="Q94" i="2"/>
  <c r="N94" i="2"/>
  <c r="M94" i="2"/>
  <c r="J94" i="2"/>
  <c r="I94" i="2"/>
  <c r="F94" i="2"/>
  <c r="E94" i="2"/>
  <c r="R159" i="2"/>
  <c r="Q159" i="2"/>
  <c r="N159" i="2"/>
  <c r="M159" i="2"/>
  <c r="J159" i="2"/>
  <c r="I159" i="2"/>
  <c r="F159" i="2"/>
  <c r="E159" i="2"/>
  <c r="R102" i="2"/>
  <c r="Q102" i="2"/>
  <c r="N102" i="2"/>
  <c r="M102" i="2"/>
  <c r="J102" i="2"/>
  <c r="I102" i="2"/>
  <c r="F102" i="2"/>
  <c r="E102" i="2"/>
  <c r="R130" i="2"/>
  <c r="Q130" i="2"/>
  <c r="N130" i="2"/>
  <c r="M130" i="2"/>
  <c r="J130" i="2"/>
  <c r="I130" i="2"/>
  <c r="F130" i="2"/>
  <c r="E130" i="2"/>
  <c r="R114" i="2"/>
  <c r="Q114" i="2"/>
  <c r="N114" i="2"/>
  <c r="M114" i="2"/>
  <c r="J114" i="2"/>
  <c r="I114" i="2"/>
  <c r="F114" i="2"/>
  <c r="E114" i="2"/>
  <c r="R66" i="2"/>
  <c r="Q66" i="2"/>
  <c r="N66" i="2"/>
  <c r="M66" i="2"/>
  <c r="J66" i="2"/>
  <c r="I66" i="2"/>
  <c r="F66" i="2"/>
  <c r="E66" i="2"/>
  <c r="R101" i="2"/>
  <c r="Q101" i="2"/>
  <c r="N101" i="2"/>
  <c r="M101" i="2"/>
  <c r="J101" i="2"/>
  <c r="I101" i="2"/>
  <c r="F101" i="2"/>
  <c r="E101" i="2"/>
  <c r="R169" i="2"/>
  <c r="Q169" i="2"/>
  <c r="N169" i="2"/>
  <c r="M169" i="2"/>
  <c r="J169" i="2"/>
  <c r="I169" i="2"/>
  <c r="F169" i="2"/>
  <c r="E169" i="2"/>
  <c r="R161" i="2"/>
  <c r="Q161" i="2"/>
  <c r="N161" i="2"/>
  <c r="M161" i="2"/>
  <c r="J161" i="2"/>
  <c r="I161" i="2"/>
  <c r="F161" i="2"/>
  <c r="E161" i="2"/>
  <c r="R139" i="2"/>
  <c r="Q139" i="2"/>
  <c r="N139" i="2"/>
  <c r="M139" i="2"/>
  <c r="J139" i="2"/>
  <c r="I139" i="2"/>
  <c r="F139" i="2"/>
  <c r="E139" i="2"/>
  <c r="R142" i="2"/>
  <c r="Q142" i="2"/>
  <c r="N142" i="2"/>
  <c r="M142" i="2"/>
  <c r="J142" i="2"/>
  <c r="I142" i="2"/>
  <c r="F142" i="2"/>
  <c r="E142" i="2"/>
  <c r="R133" i="2"/>
  <c r="Q133" i="2"/>
  <c r="N133" i="2"/>
  <c r="M133" i="2"/>
  <c r="J133" i="2"/>
  <c r="I133" i="2"/>
  <c r="F133" i="2"/>
  <c r="E133" i="2"/>
  <c r="R164" i="2"/>
  <c r="Q164" i="2"/>
  <c r="N164" i="2"/>
  <c r="M164" i="2"/>
  <c r="J164" i="2"/>
  <c r="I164" i="2"/>
  <c r="F164" i="2"/>
  <c r="E164" i="2"/>
  <c r="R179" i="2"/>
  <c r="Q179" i="2"/>
  <c r="N179" i="2"/>
  <c r="M179" i="2"/>
  <c r="J179" i="2"/>
  <c r="I179" i="2"/>
  <c r="F179" i="2"/>
  <c r="E179" i="2"/>
  <c r="R120" i="2"/>
  <c r="Q120" i="2"/>
  <c r="N120" i="2"/>
  <c r="M120" i="2"/>
  <c r="J120" i="2"/>
  <c r="I120" i="2"/>
  <c r="F120" i="2"/>
  <c r="E120" i="2"/>
  <c r="R117" i="2"/>
  <c r="Q117" i="2"/>
  <c r="N117" i="2"/>
  <c r="M117" i="2"/>
  <c r="J117" i="2"/>
  <c r="I117" i="2"/>
  <c r="F117" i="2"/>
  <c r="E117" i="2"/>
  <c r="R58" i="2"/>
  <c r="Q58" i="2"/>
  <c r="N58" i="2"/>
  <c r="M58" i="2"/>
  <c r="J58" i="2"/>
  <c r="I58" i="2"/>
  <c r="F58" i="2"/>
  <c r="E58" i="2"/>
  <c r="R173" i="2"/>
  <c r="Q173" i="2"/>
  <c r="N173" i="2"/>
  <c r="M173" i="2"/>
  <c r="J173" i="2"/>
  <c r="I173" i="2"/>
  <c r="F173" i="2"/>
  <c r="E173" i="2"/>
  <c r="R128" i="2"/>
  <c r="Q128" i="2"/>
  <c r="N128" i="2"/>
  <c r="M128" i="2"/>
  <c r="J128" i="2"/>
  <c r="I128" i="2"/>
  <c r="F128" i="2"/>
  <c r="X128" i="2" s="1"/>
  <c r="E128" i="2"/>
  <c r="R89" i="2"/>
  <c r="Q89" i="2"/>
  <c r="N89" i="2"/>
  <c r="M89" i="2"/>
  <c r="J89" i="2"/>
  <c r="I89" i="2"/>
  <c r="F89" i="2"/>
  <c r="E89" i="2"/>
  <c r="R172" i="2"/>
  <c r="Q172" i="2"/>
  <c r="N172" i="2"/>
  <c r="M172" i="2"/>
  <c r="J172" i="2"/>
  <c r="I172" i="2"/>
  <c r="F172" i="2"/>
  <c r="E172" i="2"/>
  <c r="R119" i="2"/>
  <c r="Q119" i="2"/>
  <c r="N119" i="2"/>
  <c r="M119" i="2"/>
  <c r="J119" i="2"/>
  <c r="I119" i="2"/>
  <c r="F119" i="2"/>
  <c r="E119" i="2"/>
  <c r="R177" i="2"/>
  <c r="Q177" i="2"/>
  <c r="N177" i="2"/>
  <c r="M177" i="2"/>
  <c r="J177" i="2"/>
  <c r="I177" i="2"/>
  <c r="F177" i="2"/>
  <c r="E177" i="2"/>
  <c r="R77" i="2"/>
  <c r="Q77" i="2"/>
  <c r="N77" i="2"/>
  <c r="M77" i="2"/>
  <c r="J77" i="2"/>
  <c r="I77" i="2"/>
  <c r="F77" i="2"/>
  <c r="E77" i="2"/>
  <c r="R129" i="2"/>
  <c r="Q129" i="2"/>
  <c r="N129" i="2"/>
  <c r="M129" i="2"/>
  <c r="J129" i="2"/>
  <c r="I129" i="2"/>
  <c r="F129" i="2"/>
  <c r="E129" i="2"/>
  <c r="R170" i="2"/>
  <c r="Q170" i="2"/>
  <c r="N170" i="2"/>
  <c r="M170" i="2"/>
  <c r="J170" i="2"/>
  <c r="I170" i="2"/>
  <c r="F170" i="2"/>
  <c r="E170" i="2"/>
  <c r="R82" i="2"/>
  <c r="Q82" i="2"/>
  <c r="N82" i="2"/>
  <c r="M82" i="2"/>
  <c r="J82" i="2"/>
  <c r="I82" i="2"/>
  <c r="F82" i="2"/>
  <c r="E82" i="2"/>
  <c r="R64" i="2"/>
  <c r="Q64" i="2"/>
  <c r="N64" i="2"/>
  <c r="M64" i="2"/>
  <c r="J64" i="2"/>
  <c r="I64" i="2"/>
  <c r="F64" i="2"/>
  <c r="E64" i="2"/>
  <c r="R147" i="2"/>
  <c r="Q147" i="2"/>
  <c r="N147" i="2"/>
  <c r="M147" i="2"/>
  <c r="J147" i="2"/>
  <c r="I147" i="2"/>
  <c r="F147" i="2"/>
  <c r="E147" i="2"/>
  <c r="R176" i="2"/>
  <c r="Q176" i="2"/>
  <c r="N176" i="2"/>
  <c r="M176" i="2"/>
  <c r="J176" i="2"/>
  <c r="I176" i="2"/>
  <c r="F176" i="2"/>
  <c r="E176" i="2"/>
  <c r="R175" i="2"/>
  <c r="Q175" i="2"/>
  <c r="N175" i="2"/>
  <c r="M175" i="2"/>
  <c r="J175" i="2"/>
  <c r="I175" i="2"/>
  <c r="F175" i="2"/>
  <c r="E175" i="2"/>
  <c r="R122" i="2"/>
  <c r="Q122" i="2"/>
  <c r="N122" i="2"/>
  <c r="M122" i="2"/>
  <c r="J122" i="2"/>
  <c r="I122" i="2"/>
  <c r="F122" i="2"/>
  <c r="E122" i="2"/>
  <c r="R182" i="2"/>
  <c r="Q182" i="2"/>
  <c r="N182" i="2"/>
  <c r="M182" i="2"/>
  <c r="J182" i="2"/>
  <c r="I182" i="2"/>
  <c r="F182" i="2"/>
  <c r="E182" i="2"/>
  <c r="R76" i="2"/>
  <c r="Q76" i="2"/>
  <c r="N76" i="2"/>
  <c r="M76" i="2"/>
  <c r="J76" i="2"/>
  <c r="I76" i="2"/>
  <c r="F76" i="2"/>
  <c r="X76" i="2" s="1"/>
  <c r="E76" i="2"/>
  <c r="R116" i="2"/>
  <c r="Q116" i="2"/>
  <c r="N116" i="2"/>
  <c r="M116" i="2"/>
  <c r="J116" i="2"/>
  <c r="I116" i="2"/>
  <c r="F116" i="2"/>
  <c r="E116" i="2"/>
  <c r="R107" i="2"/>
  <c r="Q107" i="2"/>
  <c r="N107" i="2"/>
  <c r="M107" i="2"/>
  <c r="J107" i="2"/>
  <c r="I107" i="2"/>
  <c r="F107" i="2"/>
  <c r="E107" i="2"/>
  <c r="R108" i="2"/>
  <c r="Q108" i="2"/>
  <c r="N108" i="2"/>
  <c r="M108" i="2"/>
  <c r="J108" i="2"/>
  <c r="I108" i="2"/>
  <c r="F108" i="2"/>
  <c r="X108" i="2" s="1"/>
  <c r="E108" i="2"/>
  <c r="R158" i="2"/>
  <c r="Q158" i="2"/>
  <c r="N158" i="2"/>
  <c r="M158" i="2"/>
  <c r="J158" i="2"/>
  <c r="I158" i="2"/>
  <c r="F158" i="2"/>
  <c r="E158" i="2"/>
  <c r="R87" i="2"/>
  <c r="Q87" i="2"/>
  <c r="N87" i="2"/>
  <c r="M87" i="2"/>
  <c r="J87" i="2"/>
  <c r="I87" i="2"/>
  <c r="F87" i="2"/>
  <c r="E87" i="2"/>
  <c r="R93" i="2"/>
  <c r="Q93" i="2"/>
  <c r="N93" i="2"/>
  <c r="M93" i="2"/>
  <c r="J93" i="2"/>
  <c r="I93" i="2"/>
  <c r="F93" i="2"/>
  <c r="E93" i="2"/>
  <c r="R144" i="2"/>
  <c r="Q144" i="2"/>
  <c r="N144" i="2"/>
  <c r="M144" i="2"/>
  <c r="J144" i="2"/>
  <c r="I144" i="2"/>
  <c r="F144" i="2"/>
  <c r="E144" i="2"/>
  <c r="R124" i="2"/>
  <c r="Q124" i="2"/>
  <c r="N124" i="2"/>
  <c r="M124" i="2"/>
  <c r="J124" i="2"/>
  <c r="I124" i="2"/>
  <c r="F124" i="2"/>
  <c r="E124" i="2"/>
  <c r="R135" i="2"/>
  <c r="Q135" i="2"/>
  <c r="N135" i="2"/>
  <c r="M135" i="2"/>
  <c r="J135" i="2"/>
  <c r="I135" i="2"/>
  <c r="F135" i="2"/>
  <c r="E135" i="2"/>
  <c r="R166" i="2"/>
  <c r="Q166" i="2"/>
  <c r="N166" i="2"/>
  <c r="M166" i="2"/>
  <c r="J166" i="2"/>
  <c r="I166" i="2"/>
  <c r="F166" i="2"/>
  <c r="E166" i="2"/>
  <c r="R60" i="2"/>
  <c r="Q60" i="2"/>
  <c r="N60" i="2"/>
  <c r="M60" i="2"/>
  <c r="J60" i="2"/>
  <c r="I60" i="2"/>
  <c r="F60" i="2"/>
  <c r="E60" i="2"/>
  <c r="R86" i="2"/>
  <c r="Q86" i="2"/>
  <c r="N86" i="2"/>
  <c r="M86" i="2"/>
  <c r="J86" i="2"/>
  <c r="I86" i="2"/>
  <c r="F86" i="2"/>
  <c r="E86" i="2"/>
  <c r="R109" i="2"/>
  <c r="Q109" i="2"/>
  <c r="N109" i="2"/>
  <c r="M109" i="2"/>
  <c r="J109" i="2"/>
  <c r="I109" i="2"/>
  <c r="F109" i="2"/>
  <c r="E109" i="2"/>
  <c r="R125" i="2"/>
  <c r="Q125" i="2"/>
  <c r="N125" i="2"/>
  <c r="M125" i="2"/>
  <c r="J125" i="2"/>
  <c r="I125" i="2"/>
  <c r="F125" i="2"/>
  <c r="X125" i="2" s="1"/>
  <c r="E125" i="2"/>
  <c r="R69" i="2"/>
  <c r="Q69" i="2"/>
  <c r="N69" i="2"/>
  <c r="M69" i="2"/>
  <c r="J69" i="2"/>
  <c r="I69" i="2"/>
  <c r="F69" i="2"/>
  <c r="E69" i="2"/>
  <c r="R61" i="2"/>
  <c r="Q61" i="2"/>
  <c r="N61" i="2"/>
  <c r="M61" i="2"/>
  <c r="J61" i="2"/>
  <c r="I61" i="2"/>
  <c r="F61" i="2"/>
  <c r="E61" i="2"/>
  <c r="R110" i="2"/>
  <c r="Q110" i="2"/>
  <c r="N110" i="2"/>
  <c r="M110" i="2"/>
  <c r="J110" i="2"/>
  <c r="I110" i="2"/>
  <c r="F110" i="2"/>
  <c r="E110" i="2"/>
  <c r="R103" i="2"/>
  <c r="Q103" i="2"/>
  <c r="N103" i="2"/>
  <c r="M103" i="2"/>
  <c r="J103" i="2"/>
  <c r="I103" i="2"/>
  <c r="F103" i="2"/>
  <c r="E103" i="2"/>
  <c r="R72" i="2"/>
  <c r="Q72" i="2"/>
  <c r="N72" i="2"/>
  <c r="M72" i="2"/>
  <c r="J72" i="2"/>
  <c r="I72" i="2"/>
  <c r="F72" i="2"/>
  <c r="E72" i="2"/>
  <c r="R141" i="2"/>
  <c r="Q141" i="2"/>
  <c r="N141" i="2"/>
  <c r="M141" i="2"/>
  <c r="J141" i="2"/>
  <c r="I141" i="2"/>
  <c r="F141" i="2"/>
  <c r="E141" i="2"/>
  <c r="R59" i="2"/>
  <c r="Q59" i="2"/>
  <c r="N59" i="2"/>
  <c r="M59" i="2"/>
  <c r="J59" i="2"/>
  <c r="I59" i="2"/>
  <c r="F59" i="2"/>
  <c r="E59" i="2"/>
  <c r="R160" i="2"/>
  <c r="Q160" i="2"/>
  <c r="N160" i="2"/>
  <c r="M160" i="2"/>
  <c r="J160" i="2"/>
  <c r="I160" i="2"/>
  <c r="F160" i="2"/>
  <c r="E160" i="2"/>
  <c r="R112" i="2"/>
  <c r="Q112" i="2"/>
  <c r="N112" i="2"/>
  <c r="M112" i="2"/>
  <c r="J112" i="2"/>
  <c r="I112" i="2"/>
  <c r="F112" i="2"/>
  <c r="E112" i="2"/>
  <c r="R154" i="2"/>
  <c r="Q154" i="2"/>
  <c r="N154" i="2"/>
  <c r="M154" i="2"/>
  <c r="J154" i="2"/>
  <c r="I154" i="2"/>
  <c r="F154" i="2"/>
  <c r="E154" i="2"/>
  <c r="R74" i="2"/>
  <c r="Q74" i="2"/>
  <c r="N74" i="2"/>
  <c r="M74" i="2"/>
  <c r="J74" i="2"/>
  <c r="I74" i="2"/>
  <c r="F74" i="2"/>
  <c r="E74" i="2"/>
  <c r="R85" i="2"/>
  <c r="Q85" i="2"/>
  <c r="N85" i="2"/>
  <c r="M85" i="2"/>
  <c r="J85" i="2"/>
  <c r="I85" i="2"/>
  <c r="F85" i="2"/>
  <c r="E85" i="2"/>
  <c r="R148" i="2"/>
  <c r="Q148" i="2"/>
  <c r="N148" i="2"/>
  <c r="M148" i="2"/>
  <c r="J148" i="2"/>
  <c r="I148" i="2"/>
  <c r="F148" i="2"/>
  <c r="E148" i="2"/>
  <c r="R162" i="2"/>
  <c r="Q162" i="2"/>
  <c r="N162" i="2"/>
  <c r="M162" i="2"/>
  <c r="J162" i="2"/>
  <c r="I162" i="2"/>
  <c r="F162" i="2"/>
  <c r="X162" i="2" s="1"/>
  <c r="E162" i="2"/>
  <c r="R63" i="2"/>
  <c r="Q63" i="2"/>
  <c r="N63" i="2"/>
  <c r="M63" i="2"/>
  <c r="J63" i="2"/>
  <c r="I63" i="2"/>
  <c r="F63" i="2"/>
  <c r="E63" i="2"/>
  <c r="R126" i="2"/>
  <c r="Q126" i="2"/>
  <c r="N126" i="2"/>
  <c r="M126" i="2"/>
  <c r="J126" i="2"/>
  <c r="I126" i="2"/>
  <c r="F126" i="2"/>
  <c r="E126" i="2"/>
  <c r="R73" i="2"/>
  <c r="Q73" i="2"/>
  <c r="N73" i="2"/>
  <c r="M73" i="2"/>
  <c r="J73" i="2"/>
  <c r="I73" i="2"/>
  <c r="F73" i="2"/>
  <c r="E73" i="2"/>
  <c r="X35" i="2"/>
  <c r="X47" i="2"/>
  <c r="X36" i="2"/>
  <c r="W49" i="2"/>
  <c r="V49" i="2"/>
  <c r="U49" i="2"/>
  <c r="T49" i="2"/>
  <c r="S49" i="2"/>
  <c r="P49" i="2"/>
  <c r="O49" i="2"/>
  <c r="R49" i="2" s="1"/>
  <c r="L49" i="2"/>
  <c r="K49" i="2"/>
  <c r="M49" i="2" s="1"/>
  <c r="J49" i="2"/>
  <c r="H49" i="2"/>
  <c r="I49" i="2" s="1"/>
  <c r="G49" i="2"/>
  <c r="D49" i="2"/>
  <c r="C49" i="2"/>
  <c r="E49" i="2" s="1"/>
  <c r="R34" i="2"/>
  <c r="Q34" i="2"/>
  <c r="N34" i="2"/>
  <c r="M34" i="2"/>
  <c r="J34" i="2"/>
  <c r="I34" i="2"/>
  <c r="F34" i="2"/>
  <c r="E34" i="2"/>
  <c r="R30" i="2"/>
  <c r="Q30" i="2"/>
  <c r="N30" i="2"/>
  <c r="M30" i="2"/>
  <c r="J30" i="2"/>
  <c r="I30" i="2"/>
  <c r="F30" i="2"/>
  <c r="E30" i="2"/>
  <c r="R41" i="2"/>
  <c r="Q41" i="2"/>
  <c r="N41" i="2"/>
  <c r="M41" i="2"/>
  <c r="J41" i="2"/>
  <c r="I41" i="2"/>
  <c r="F41" i="2"/>
  <c r="E41" i="2"/>
  <c r="R35" i="2"/>
  <c r="Q35" i="2"/>
  <c r="N35" i="2"/>
  <c r="M35" i="2"/>
  <c r="J35" i="2"/>
  <c r="I35" i="2"/>
  <c r="F35" i="2"/>
  <c r="E35" i="2"/>
  <c r="R28" i="2"/>
  <c r="Q28" i="2"/>
  <c r="N28" i="2"/>
  <c r="M28" i="2"/>
  <c r="J28" i="2"/>
  <c r="I28" i="2"/>
  <c r="F28" i="2"/>
  <c r="E28" i="2"/>
  <c r="R47" i="2"/>
  <c r="Q47" i="2"/>
  <c r="N47" i="2"/>
  <c r="M47" i="2"/>
  <c r="J47" i="2"/>
  <c r="I47" i="2"/>
  <c r="F47" i="2"/>
  <c r="E47" i="2"/>
  <c r="R46" i="2"/>
  <c r="Q46" i="2"/>
  <c r="N46" i="2"/>
  <c r="M46" i="2"/>
  <c r="J46" i="2"/>
  <c r="I46" i="2"/>
  <c r="F46" i="2"/>
  <c r="E46" i="2"/>
  <c r="R31" i="2"/>
  <c r="Q31" i="2"/>
  <c r="N31" i="2"/>
  <c r="M31" i="2"/>
  <c r="J31" i="2"/>
  <c r="I31" i="2"/>
  <c r="F31" i="2"/>
  <c r="E31" i="2"/>
  <c r="R32" i="2"/>
  <c r="Q32" i="2"/>
  <c r="N32" i="2"/>
  <c r="M32" i="2"/>
  <c r="J32" i="2"/>
  <c r="I32" i="2"/>
  <c r="F32" i="2"/>
  <c r="E32" i="2"/>
  <c r="R27" i="2"/>
  <c r="Q27" i="2"/>
  <c r="N27" i="2"/>
  <c r="M27" i="2"/>
  <c r="J27" i="2"/>
  <c r="I27" i="2"/>
  <c r="F27" i="2"/>
  <c r="E27" i="2"/>
  <c r="R44" i="2"/>
  <c r="Q44" i="2"/>
  <c r="N44" i="2"/>
  <c r="M44" i="2"/>
  <c r="J44" i="2"/>
  <c r="I44" i="2"/>
  <c r="F44" i="2"/>
  <c r="E44" i="2"/>
  <c r="R21" i="2"/>
  <c r="Q21" i="2"/>
  <c r="N21" i="2"/>
  <c r="M21" i="2"/>
  <c r="J21" i="2"/>
  <c r="I21" i="2"/>
  <c r="F21" i="2"/>
  <c r="E21" i="2"/>
  <c r="R45" i="2"/>
  <c r="Q45" i="2"/>
  <c r="N45" i="2"/>
  <c r="M45" i="2"/>
  <c r="J45" i="2"/>
  <c r="I45" i="2"/>
  <c r="F45" i="2"/>
  <c r="X45" i="2" s="1"/>
  <c r="E45" i="2"/>
  <c r="R36" i="2"/>
  <c r="Q36" i="2"/>
  <c r="N36" i="2"/>
  <c r="M36" i="2"/>
  <c r="J36" i="2"/>
  <c r="I36" i="2"/>
  <c r="F36" i="2"/>
  <c r="E36" i="2"/>
  <c r="R29" i="2"/>
  <c r="Q29" i="2"/>
  <c r="N29" i="2"/>
  <c r="M29" i="2"/>
  <c r="J29" i="2"/>
  <c r="I29" i="2"/>
  <c r="F29" i="2"/>
  <c r="E29" i="2"/>
  <c r="R33" i="2"/>
  <c r="Q33" i="2"/>
  <c r="N33" i="2"/>
  <c r="M33" i="2"/>
  <c r="J33" i="2"/>
  <c r="I33" i="2"/>
  <c r="F33" i="2"/>
  <c r="E33" i="2"/>
  <c r="R38" i="2"/>
  <c r="Q38" i="2"/>
  <c r="N38" i="2"/>
  <c r="M38" i="2"/>
  <c r="J38" i="2"/>
  <c r="I38" i="2"/>
  <c r="F38" i="2"/>
  <c r="E38" i="2"/>
  <c r="R26" i="2"/>
  <c r="Q26" i="2"/>
  <c r="N26" i="2"/>
  <c r="M26" i="2"/>
  <c r="J26" i="2"/>
  <c r="I26" i="2"/>
  <c r="F26" i="2"/>
  <c r="E26" i="2"/>
  <c r="R42" i="2"/>
  <c r="Q42" i="2"/>
  <c r="N42" i="2"/>
  <c r="M42" i="2"/>
  <c r="J42" i="2"/>
  <c r="I42" i="2"/>
  <c r="F42" i="2"/>
  <c r="E42" i="2"/>
  <c r="R48" i="2"/>
  <c r="Q48" i="2"/>
  <c r="N48" i="2"/>
  <c r="M48" i="2"/>
  <c r="J48" i="2"/>
  <c r="I48" i="2"/>
  <c r="F48" i="2"/>
  <c r="E48" i="2"/>
  <c r="R40" i="2"/>
  <c r="Q40" i="2"/>
  <c r="N40" i="2"/>
  <c r="M40" i="2"/>
  <c r="J40" i="2"/>
  <c r="I40" i="2"/>
  <c r="F40" i="2"/>
  <c r="E40" i="2"/>
  <c r="R37" i="2"/>
  <c r="Q37" i="2"/>
  <c r="N37" i="2"/>
  <c r="M37" i="2"/>
  <c r="J37" i="2"/>
  <c r="I37" i="2"/>
  <c r="F37" i="2"/>
  <c r="E37" i="2"/>
  <c r="R24" i="2"/>
  <c r="Q24" i="2"/>
  <c r="N24" i="2"/>
  <c r="M24" i="2"/>
  <c r="J24" i="2"/>
  <c r="I24" i="2"/>
  <c r="F24" i="2"/>
  <c r="E24" i="2"/>
  <c r="R39" i="2"/>
  <c r="Q39" i="2"/>
  <c r="N39" i="2"/>
  <c r="M39" i="2"/>
  <c r="J39" i="2"/>
  <c r="I39" i="2"/>
  <c r="F39" i="2"/>
  <c r="X39" i="2" s="1"/>
  <c r="E39" i="2"/>
  <c r="R20" i="2"/>
  <c r="Q20" i="2"/>
  <c r="N20" i="2"/>
  <c r="M20" i="2"/>
  <c r="J20" i="2"/>
  <c r="I20" i="2"/>
  <c r="F20" i="2"/>
  <c r="E20" i="2"/>
  <c r="R25" i="2"/>
  <c r="Q25" i="2"/>
  <c r="N25" i="2"/>
  <c r="M25" i="2"/>
  <c r="J25" i="2"/>
  <c r="I25" i="2"/>
  <c r="F25" i="2"/>
  <c r="E25" i="2"/>
  <c r="R22" i="2"/>
  <c r="Q22" i="2"/>
  <c r="N22" i="2"/>
  <c r="M22" i="2"/>
  <c r="J22" i="2"/>
  <c r="I22" i="2"/>
  <c r="F22" i="2"/>
  <c r="E22" i="2"/>
  <c r="R43" i="2"/>
  <c r="Q43" i="2"/>
  <c r="N43" i="2"/>
  <c r="M43" i="2"/>
  <c r="J43" i="2"/>
  <c r="I43" i="2"/>
  <c r="F43" i="2"/>
  <c r="E43" i="2"/>
  <c r="R19" i="2"/>
  <c r="Q19" i="2"/>
  <c r="N19" i="2"/>
  <c r="M19" i="2"/>
  <c r="J19" i="2"/>
  <c r="I19" i="2"/>
  <c r="F19" i="2"/>
  <c r="X25" i="2" s="1"/>
  <c r="E19" i="2"/>
  <c r="R23" i="2"/>
  <c r="Q23" i="2"/>
  <c r="N23" i="2"/>
  <c r="M23" i="2"/>
  <c r="J23" i="2"/>
  <c r="I23" i="2"/>
  <c r="F23" i="2"/>
  <c r="E23" i="2"/>
  <c r="Y6" i="2"/>
  <c r="X7" i="2"/>
  <c r="W11" i="2"/>
  <c r="V11" i="2"/>
  <c r="U11" i="2"/>
  <c r="T11" i="2"/>
  <c r="S11" i="2"/>
  <c r="R11" i="2"/>
  <c r="Q11" i="2"/>
  <c r="P11" i="2"/>
  <c r="O11" i="2"/>
  <c r="L11" i="2"/>
  <c r="K11" i="2"/>
  <c r="N11" i="2" s="1"/>
  <c r="H11" i="2"/>
  <c r="G11" i="2"/>
  <c r="J11" i="2" s="1"/>
  <c r="F11" i="2"/>
  <c r="Y10" i="2" s="1"/>
  <c r="E11" i="2"/>
  <c r="D11" i="2"/>
  <c r="C11" i="2"/>
  <c r="R9" i="2"/>
  <c r="Q9" i="2"/>
  <c r="N9" i="2"/>
  <c r="M9" i="2"/>
  <c r="J9" i="2"/>
  <c r="I9" i="2"/>
  <c r="F9" i="2"/>
  <c r="Y9" i="2" s="1"/>
  <c r="E9" i="2"/>
  <c r="R10" i="2"/>
  <c r="Q10" i="2"/>
  <c r="N10" i="2"/>
  <c r="M10" i="2"/>
  <c r="J10" i="2"/>
  <c r="I10" i="2"/>
  <c r="F10" i="2"/>
  <c r="E10" i="2"/>
  <c r="R6" i="2"/>
  <c r="Q6" i="2"/>
  <c r="N6" i="2"/>
  <c r="M6" i="2"/>
  <c r="J6" i="2"/>
  <c r="I6" i="2"/>
  <c r="F6" i="2"/>
  <c r="X9" i="2" s="1"/>
  <c r="E6" i="2"/>
  <c r="R8" i="2"/>
  <c r="Q8" i="2"/>
  <c r="N8" i="2"/>
  <c r="M8" i="2"/>
  <c r="J8" i="2"/>
  <c r="I8" i="2"/>
  <c r="F8" i="2"/>
  <c r="E8" i="2"/>
  <c r="R7" i="2"/>
  <c r="Q7" i="2"/>
  <c r="N7" i="2"/>
  <c r="M7" i="2"/>
  <c r="J7" i="2"/>
  <c r="I7" i="2"/>
  <c r="F7" i="2"/>
  <c r="E7" i="2"/>
  <c r="Y120" i="2" l="1"/>
  <c r="Y153" i="2"/>
  <c r="Y97" i="2"/>
  <c r="Y79" i="2"/>
  <c r="Y105" i="2"/>
  <c r="Y63" i="2"/>
  <c r="Y103" i="2"/>
  <c r="Y178" i="2"/>
  <c r="Y150" i="2"/>
  <c r="Y132" i="2"/>
  <c r="Y210" i="2"/>
  <c r="Y93" i="2"/>
  <c r="X147" i="2"/>
  <c r="X84" i="2"/>
  <c r="X65" i="2"/>
  <c r="X138" i="2"/>
  <c r="X89" i="5"/>
  <c r="X82" i="5"/>
  <c r="X112" i="5"/>
  <c r="X71" i="5"/>
  <c r="X106" i="5"/>
  <c r="X91" i="5"/>
  <c r="X121" i="5"/>
  <c r="X99" i="5"/>
  <c r="X64" i="5"/>
  <c r="X59" i="5"/>
  <c r="X166" i="5"/>
  <c r="X179" i="5"/>
  <c r="I184" i="5"/>
  <c r="J184" i="5"/>
  <c r="X92" i="5"/>
  <c r="X110" i="2"/>
  <c r="X173" i="2"/>
  <c r="X157" i="2"/>
  <c r="Y151" i="2"/>
  <c r="X151" i="2"/>
  <c r="Y156" i="2"/>
  <c r="X156" i="2"/>
  <c r="Y68" i="2"/>
  <c r="X68" i="2"/>
  <c r="X112" i="2"/>
  <c r="X172" i="2"/>
  <c r="X130" i="2"/>
  <c r="X171" i="2"/>
  <c r="Y59" i="2"/>
  <c r="X59" i="2"/>
  <c r="Y166" i="2"/>
  <c r="X166" i="2"/>
  <c r="Y182" i="2"/>
  <c r="X182" i="2"/>
  <c r="Y119" i="2"/>
  <c r="X119" i="2"/>
  <c r="Y142" i="2"/>
  <c r="X142" i="2"/>
  <c r="X167" i="2"/>
  <c r="Y113" i="2"/>
  <c r="X113" i="2"/>
  <c r="Y95" i="2"/>
  <c r="X95" i="2"/>
  <c r="Y136" i="2"/>
  <c r="X136" i="2"/>
  <c r="Y90" i="2"/>
  <c r="X90" i="2"/>
  <c r="X126" i="2"/>
  <c r="X160" i="2"/>
  <c r="X109" i="2"/>
  <c r="X176" i="2"/>
  <c r="X164" i="2"/>
  <c r="X153" i="2"/>
  <c r="X150" i="2"/>
  <c r="X92" i="2"/>
  <c r="Y150" i="5"/>
  <c r="X150" i="5"/>
  <c r="Y177" i="5"/>
  <c r="X177" i="5"/>
  <c r="I229" i="2"/>
  <c r="Y145" i="5"/>
  <c r="X145" i="5"/>
  <c r="Y197" i="5"/>
  <c r="Y194" i="5"/>
  <c r="M11" i="2"/>
  <c r="X6" i="2"/>
  <c r="X23" i="2"/>
  <c r="X141" i="2"/>
  <c r="X89" i="2"/>
  <c r="X133" i="2"/>
  <c r="X102" i="2"/>
  <c r="X132" i="2"/>
  <c r="E214" i="2"/>
  <c r="Y224" i="2"/>
  <c r="X224" i="2"/>
  <c r="X161" i="5"/>
  <c r="X90" i="5"/>
  <c r="X97" i="5"/>
  <c r="X87" i="5"/>
  <c r="X173" i="5"/>
  <c r="X140" i="5"/>
  <c r="X170" i="5"/>
  <c r="X137" i="5"/>
  <c r="X78" i="5"/>
  <c r="X81" i="5"/>
  <c r="X120" i="5"/>
  <c r="X138" i="5"/>
  <c r="X41" i="2"/>
  <c r="X86" i="2"/>
  <c r="X126" i="5"/>
  <c r="X60" i="5"/>
  <c r="Y196" i="5"/>
  <c r="X93" i="2"/>
  <c r="X101" i="2"/>
  <c r="Y156" i="5"/>
  <c r="X156" i="5"/>
  <c r="X48" i="2"/>
  <c r="X97" i="2"/>
  <c r="Y111" i="5"/>
  <c r="X111" i="5"/>
  <c r="Y141" i="5"/>
  <c r="X141" i="5"/>
  <c r="X158" i="5"/>
  <c r="X149" i="2"/>
  <c r="X225" i="2"/>
  <c r="X40" i="2"/>
  <c r="Y160" i="2"/>
  <c r="X98" i="2"/>
  <c r="Y98" i="2"/>
  <c r="X140" i="2"/>
  <c r="Y140" i="2"/>
  <c r="F184" i="2"/>
  <c r="Y74" i="2" s="1"/>
  <c r="X72" i="2"/>
  <c r="X79" i="2"/>
  <c r="X69" i="5"/>
  <c r="X142" i="5"/>
  <c r="Y8" i="2"/>
  <c r="X43" i="2"/>
  <c r="X42" i="2"/>
  <c r="X30" i="2"/>
  <c r="X85" i="2"/>
  <c r="X69" i="2"/>
  <c r="X158" i="2"/>
  <c r="X82" i="2"/>
  <c r="X117" i="2"/>
  <c r="X114" i="2"/>
  <c r="X80" i="2"/>
  <c r="X91" i="2"/>
  <c r="X62" i="2"/>
  <c r="X83" i="2"/>
  <c r="X168" i="2"/>
  <c r="X181" i="2"/>
  <c r="Y162" i="2"/>
  <c r="X135" i="2"/>
  <c r="X170" i="2"/>
  <c r="Y128" i="2"/>
  <c r="X161" i="2"/>
  <c r="X121" i="2"/>
  <c r="X143" i="2"/>
  <c r="X165" i="2"/>
  <c r="X105" i="2"/>
  <c r="Y181" i="2"/>
  <c r="X212" i="2"/>
  <c r="X227" i="2"/>
  <c r="X100" i="5"/>
  <c r="X109" i="5"/>
  <c r="X130" i="5"/>
  <c r="X108" i="5"/>
  <c r="X176" i="5"/>
  <c r="X144" i="5"/>
  <c r="X101" i="5"/>
  <c r="X105" i="5"/>
  <c r="X86" i="5"/>
  <c r="X143" i="5"/>
  <c r="X181" i="5"/>
  <c r="X167" i="5"/>
  <c r="Y226" i="5"/>
  <c r="X226" i="5"/>
  <c r="X228" i="5"/>
  <c r="X19" i="2"/>
  <c r="Y134" i="2"/>
  <c r="X94" i="5"/>
  <c r="Y213" i="5"/>
  <c r="X213" i="5"/>
  <c r="J214" i="5"/>
  <c r="I214" i="5"/>
  <c r="Y224" i="5"/>
  <c r="Y225" i="5"/>
  <c r="Y47" i="2"/>
  <c r="X63" i="2"/>
  <c r="Y147" i="2"/>
  <c r="X139" i="2"/>
  <c r="X10" i="2"/>
  <c r="X27" i="2"/>
  <c r="N49" i="2"/>
  <c r="Y133" i="2"/>
  <c r="R184" i="2"/>
  <c r="X107" i="2"/>
  <c r="X118" i="2"/>
  <c r="Y26" i="2"/>
  <c r="X103" i="2"/>
  <c r="X183" i="2"/>
  <c r="X137" i="2"/>
  <c r="Y116" i="2"/>
  <c r="Y159" i="2"/>
  <c r="Y143" i="2"/>
  <c r="Y152" i="2"/>
  <c r="Y67" i="2"/>
  <c r="Y99" i="2"/>
  <c r="Y127" i="2"/>
  <c r="I184" i="2"/>
  <c r="X74" i="2"/>
  <c r="X124" i="2"/>
  <c r="X129" i="2"/>
  <c r="Y117" i="2"/>
  <c r="X169" i="2"/>
  <c r="X106" i="2"/>
  <c r="X155" i="2"/>
  <c r="X67" i="2"/>
  <c r="X180" i="2"/>
  <c r="X197" i="2"/>
  <c r="Y197" i="2"/>
  <c r="I199" i="2"/>
  <c r="Y212" i="2"/>
  <c r="X209" i="2"/>
  <c r="X226" i="2"/>
  <c r="Q49" i="5"/>
  <c r="R49" i="5"/>
  <c r="X124" i="5"/>
  <c r="M199" i="5"/>
  <c r="N199" i="5"/>
  <c r="X211" i="5"/>
  <c r="Y123" i="2"/>
  <c r="X123" i="2"/>
  <c r="Y175" i="5"/>
  <c r="X175" i="5"/>
  <c r="Y198" i="5"/>
  <c r="Y228" i="5"/>
  <c r="Y164" i="5"/>
  <c r="X164" i="5"/>
  <c r="Y66" i="5"/>
  <c r="X66" i="5"/>
  <c r="Y93" i="5"/>
  <c r="X93" i="5"/>
  <c r="Y125" i="5"/>
  <c r="X125" i="5"/>
  <c r="N229" i="2"/>
  <c r="M229" i="2"/>
  <c r="Y60" i="2"/>
  <c r="X94" i="2"/>
  <c r="Y94" i="2"/>
  <c r="X115" i="2"/>
  <c r="Y115" i="2"/>
  <c r="X81" i="2"/>
  <c r="Y81" i="2"/>
  <c r="X159" i="2"/>
  <c r="Y213" i="2"/>
  <c r="X34" i="2"/>
  <c r="X21" i="2"/>
  <c r="X24" i="2"/>
  <c r="Y19" i="2"/>
  <c r="X32" i="2"/>
  <c r="X44" i="2"/>
  <c r="X26" i="2"/>
  <c r="Y77" i="2"/>
  <c r="F49" i="2"/>
  <c r="Y31" i="2" s="1"/>
  <c r="X20" i="2"/>
  <c r="X38" i="2"/>
  <c r="Y61" i="2"/>
  <c r="Y87" i="2"/>
  <c r="Y58" i="2"/>
  <c r="Y71" i="2"/>
  <c r="Y100" i="2"/>
  <c r="X122" i="2"/>
  <c r="X120" i="2"/>
  <c r="X174" i="2"/>
  <c r="X57" i="2"/>
  <c r="X99" i="2"/>
  <c r="I11" i="2"/>
  <c r="X29" i="2"/>
  <c r="X154" i="2"/>
  <c r="Y69" i="2"/>
  <c r="X144" i="2"/>
  <c r="X77" i="2"/>
  <c r="Y101" i="2"/>
  <c r="X178" i="2"/>
  <c r="X145" i="2"/>
  <c r="X146" i="2"/>
  <c r="X127" i="2"/>
  <c r="M199" i="2"/>
  <c r="N199" i="2"/>
  <c r="X210" i="2"/>
  <c r="M11" i="5"/>
  <c r="N11" i="5"/>
  <c r="Y27" i="5"/>
  <c r="X27" i="5"/>
  <c r="X44" i="5"/>
  <c r="X37" i="5"/>
  <c r="Y38" i="5"/>
  <c r="X38" i="5"/>
  <c r="X43" i="5"/>
  <c r="Y43" i="5"/>
  <c r="X29" i="5"/>
  <c r="X88" i="5"/>
  <c r="Y139" i="5"/>
  <c r="X139" i="5"/>
  <c r="Y76" i="2"/>
  <c r="Y177" i="2"/>
  <c r="X75" i="2"/>
  <c r="Y75" i="2"/>
  <c r="X60" i="2"/>
  <c r="X116" i="2"/>
  <c r="Y173" i="2"/>
  <c r="X152" i="2"/>
  <c r="X37" i="2"/>
  <c r="Q49" i="2"/>
  <c r="Y112" i="2"/>
  <c r="Y86" i="2"/>
  <c r="Y164" i="2"/>
  <c r="Y7" i="2"/>
  <c r="X31" i="2"/>
  <c r="Y148" i="2"/>
  <c r="Y64" i="2"/>
  <c r="Y66" i="2"/>
  <c r="Y96" i="2"/>
  <c r="Y131" i="2"/>
  <c r="Y88" i="2"/>
  <c r="Y104" i="2"/>
  <c r="Y110" i="2"/>
  <c r="X46" i="2"/>
  <c r="X73" i="2"/>
  <c r="X175" i="2"/>
  <c r="X177" i="2"/>
  <c r="X179" i="2"/>
  <c r="Y114" i="2"/>
  <c r="X111" i="2"/>
  <c r="X163" i="2"/>
  <c r="Y211" i="2"/>
  <c r="R214" i="2"/>
  <c r="Y228" i="2"/>
  <c r="X171" i="5"/>
  <c r="Y227" i="5"/>
  <c r="X224" i="5"/>
  <c r="Y6" i="5"/>
  <c r="X162" i="5"/>
  <c r="X80" i="5"/>
  <c r="X131" i="5"/>
  <c r="X113" i="5"/>
  <c r="X72" i="5"/>
  <c r="X70" i="5"/>
  <c r="X102" i="5"/>
  <c r="X65" i="5"/>
  <c r="X165" i="5"/>
  <c r="X76" i="5"/>
  <c r="X110" i="5"/>
  <c r="X95" i="5"/>
  <c r="X32" i="5"/>
  <c r="X24" i="5"/>
  <c r="Y44" i="5"/>
  <c r="X30" i="5"/>
  <c r="X73" i="5"/>
  <c r="X172" i="5"/>
  <c r="X182" i="5"/>
  <c r="X133" i="5"/>
  <c r="X104" i="5"/>
  <c r="X135" i="5"/>
  <c r="X107" i="5"/>
  <c r="X127" i="5"/>
  <c r="X79" i="5"/>
  <c r="X155" i="5"/>
  <c r="X147" i="5"/>
  <c r="X196" i="5"/>
  <c r="E229" i="5"/>
  <c r="Y133" i="5"/>
  <c r="Y104" i="5"/>
  <c r="Y135" i="5"/>
  <c r="Y107" i="5"/>
  <c r="Y127" i="5"/>
  <c r="Y79" i="5"/>
  <c r="Y155" i="5"/>
  <c r="Y147" i="5"/>
  <c r="E199" i="5"/>
  <c r="Q229" i="5"/>
  <c r="X129" i="5"/>
  <c r="X160" i="5"/>
  <c r="X62" i="5"/>
  <c r="X148" i="5"/>
  <c r="X178" i="5"/>
  <c r="X75" i="5"/>
  <c r="X68" i="5"/>
  <c r="X180" i="5"/>
  <c r="X119" i="5"/>
  <c r="X58" i="5"/>
  <c r="X163" i="5"/>
  <c r="X169" i="5"/>
  <c r="X148" i="2"/>
  <c r="X61" i="2"/>
  <c r="X87" i="2"/>
  <c r="X64" i="2"/>
  <c r="X58" i="2"/>
  <c r="X66" i="2"/>
  <c r="X96" i="2"/>
  <c r="X71" i="2"/>
  <c r="X131" i="2"/>
  <c r="X88" i="2"/>
  <c r="X100" i="2"/>
  <c r="X104" i="2"/>
  <c r="I214" i="2"/>
  <c r="X228" i="2"/>
  <c r="Y7" i="5"/>
  <c r="X114" i="5"/>
  <c r="X149" i="5"/>
  <c r="X153" i="5"/>
  <c r="X151" i="5"/>
  <c r="X116" i="5"/>
  <c r="X168" i="5"/>
  <c r="X154" i="5"/>
  <c r="X77" i="5"/>
  <c r="X132" i="5"/>
  <c r="Y58" i="5"/>
  <c r="X67" i="5"/>
  <c r="X103" i="5"/>
  <c r="Y195" i="5"/>
  <c r="X209" i="5"/>
  <c r="X8" i="2"/>
  <c r="X22" i="2"/>
  <c r="X33" i="2"/>
  <c r="X28" i="2"/>
  <c r="X196" i="2"/>
  <c r="X213" i="2"/>
  <c r="E229" i="2"/>
  <c r="X10" i="5"/>
  <c r="X26" i="5"/>
  <c r="Y48" i="5"/>
  <c r="X19" i="5"/>
  <c r="X198" i="5"/>
  <c r="Y209" i="5"/>
  <c r="I229" i="5"/>
  <c r="X21" i="5"/>
  <c r="X34" i="5"/>
  <c r="X36" i="5"/>
  <c r="X210" i="5"/>
  <c r="X227" i="5"/>
  <c r="X9" i="5"/>
  <c r="Y21" i="5"/>
  <c r="X41" i="5"/>
  <c r="X47" i="5"/>
  <c r="X33" i="5"/>
  <c r="X98" i="5"/>
  <c r="Y100" i="5"/>
  <c r="X74" i="5"/>
  <c r="Y109" i="5"/>
  <c r="X159" i="5"/>
  <c r="Y130" i="5"/>
  <c r="X84" i="5"/>
  <c r="Y108" i="5"/>
  <c r="X152" i="5"/>
  <c r="Y176" i="5"/>
  <c r="X63" i="5"/>
  <c r="Y144" i="5"/>
  <c r="X183" i="5"/>
  <c r="Y101" i="5"/>
  <c r="X57" i="5"/>
  <c r="Y105" i="5"/>
  <c r="X146" i="5"/>
  <c r="Y86" i="5"/>
  <c r="X128" i="5"/>
  <c r="Y143" i="5"/>
  <c r="X134" i="5"/>
  <c r="X157" i="5"/>
  <c r="X197" i="5"/>
  <c r="X20" i="5"/>
  <c r="X22" i="5"/>
  <c r="X45" i="5"/>
  <c r="X212" i="5"/>
  <c r="X31" i="5"/>
  <c r="X42" i="5"/>
  <c r="X117" i="5"/>
  <c r="X61" i="5"/>
  <c r="X118" i="5"/>
  <c r="X174" i="5"/>
  <c r="X122" i="5"/>
  <c r="X85" i="5"/>
  <c r="X96" i="5"/>
  <c r="X123" i="5"/>
  <c r="X83" i="5"/>
  <c r="X115" i="5"/>
  <c r="Y28" i="2" l="1"/>
  <c r="Y30" i="2"/>
  <c r="Y46" i="2"/>
  <c r="Y43" i="2"/>
  <c r="Y38" i="2"/>
  <c r="Y29" i="2"/>
  <c r="Y34" i="2"/>
  <c r="Y25" i="2"/>
  <c r="Y42" i="2"/>
  <c r="Y41" i="2"/>
  <c r="Y36" i="2"/>
  <c r="Y32" i="2"/>
  <c r="Y21" i="2"/>
  <c r="Y45" i="2"/>
  <c r="Y39" i="2"/>
  <c r="Y48" i="2"/>
  <c r="Y23" i="2"/>
  <c r="Y35" i="2"/>
  <c r="Y40" i="2"/>
  <c r="Y24" i="2"/>
  <c r="Y33" i="2"/>
  <c r="Y170" i="2"/>
  <c r="Y22" i="2"/>
  <c r="Y65" i="2"/>
  <c r="Y169" i="2"/>
  <c r="Y44" i="2"/>
  <c r="Y146" i="2"/>
  <c r="Y145" i="2"/>
  <c r="Y154" i="2"/>
  <c r="Y180" i="2"/>
  <c r="Y155" i="2"/>
  <c r="Y129" i="2"/>
  <c r="Y57" i="2"/>
  <c r="Y174" i="2"/>
  <c r="Y122" i="2"/>
  <c r="Y106" i="2"/>
  <c r="Y124" i="2"/>
  <c r="Y165" i="2"/>
  <c r="Y121" i="2"/>
  <c r="Y135" i="2"/>
  <c r="Y85" i="2"/>
  <c r="Y82" i="2"/>
  <c r="Y78" i="2"/>
  <c r="Y89" i="2"/>
  <c r="Y141" i="2"/>
  <c r="Y137" i="2"/>
  <c r="Y183" i="2"/>
  <c r="Y161" i="2"/>
  <c r="Y168" i="2"/>
  <c r="Y83" i="2"/>
  <c r="Y108" i="2"/>
  <c r="Y139" i="2"/>
  <c r="Y102" i="2"/>
  <c r="Y118" i="2"/>
  <c r="Y107" i="2"/>
  <c r="Y72" i="2"/>
  <c r="Y149" i="2"/>
  <c r="Y92" i="2"/>
  <c r="Y62" i="2"/>
  <c r="Y109" i="2"/>
  <c r="Y126" i="2"/>
  <c r="Y138" i="2"/>
  <c r="Y171" i="2"/>
  <c r="Y91" i="2"/>
  <c r="Y130" i="2"/>
  <c r="Y172" i="2"/>
  <c r="Y158" i="2"/>
  <c r="Y163" i="2"/>
  <c r="Y111" i="2"/>
  <c r="Y80" i="2"/>
  <c r="Y179" i="2"/>
  <c r="Y125" i="2"/>
  <c r="Y73" i="2"/>
  <c r="Y70" i="2"/>
  <c r="Y175" i="2"/>
  <c r="Y167" i="2"/>
  <c r="Y157" i="2"/>
  <c r="Y176" i="2"/>
  <c r="Y20" i="2"/>
  <c r="Y37" i="2"/>
  <c r="Y84" i="2"/>
  <c r="Y144" i="2"/>
  <c r="Y27" i="2"/>
</calcChain>
</file>

<file path=xl/sharedStrings.xml><?xml version="1.0" encoding="utf-8"?>
<sst xmlns="http://schemas.openxmlformats.org/spreadsheetml/2006/main" count="35325" uniqueCount="1792">
  <si>
    <t>TELANGANA</t>
  </si>
  <si>
    <t>TUMKUR</t>
  </si>
  <si>
    <t>ANDRA PRADESH</t>
  </si>
  <si>
    <t>HOLALKERE</t>
  </si>
  <si>
    <t>SEDAM</t>
  </si>
  <si>
    <t>HUMNABAD</t>
  </si>
  <si>
    <t>KADUR</t>
  </si>
  <si>
    <t>KALBURGI</t>
  </si>
  <si>
    <t>KUDLIGI</t>
  </si>
  <si>
    <t>INDI</t>
  </si>
  <si>
    <t>KOLAR</t>
  </si>
  <si>
    <t>VIJAYAPURA</t>
  </si>
  <si>
    <t>BIDAR</t>
  </si>
  <si>
    <t>LINGSUGUR</t>
  </si>
  <si>
    <t>CHIKKAMAGALURU</t>
  </si>
  <si>
    <t>DAVANAGERE</t>
  </si>
  <si>
    <t>BALLARI</t>
  </si>
  <si>
    <t>BENGALORE -URBAN</t>
  </si>
  <si>
    <t>CHIKKABALLAPUR</t>
  </si>
  <si>
    <t>BELAGAVI</t>
  </si>
  <si>
    <t>DHARWAD</t>
  </si>
  <si>
    <t>CHIKKODI</t>
  </si>
  <si>
    <t>TIPTUR</t>
  </si>
  <si>
    <t>CHITRADURGA</t>
  </si>
  <si>
    <t>GADAG</t>
  </si>
  <si>
    <t>KADAPA</t>
  </si>
  <si>
    <t>KUSHTAGI</t>
  </si>
  <si>
    <t>SANGAREDDY</t>
  </si>
  <si>
    <t>VIJAYANAGARA</t>
  </si>
  <si>
    <t>MAHABOOBNAGAR</t>
  </si>
  <si>
    <t>BADAMI</t>
  </si>
  <si>
    <t>CHANNAGIRI</t>
  </si>
  <si>
    <t>SHAHAPUR</t>
  </si>
  <si>
    <t>HOLAKERE</t>
  </si>
  <si>
    <t>HULSOOR</t>
  </si>
  <si>
    <t>BASAVAKALYAN</t>
  </si>
  <si>
    <t>KORATAGERE</t>
  </si>
  <si>
    <t>TARIKERE</t>
  </si>
  <si>
    <t>YADGIR</t>
  </si>
  <si>
    <t>JEVARGI</t>
  </si>
  <si>
    <t>KALABURAGI</t>
  </si>
  <si>
    <t>KUNIGAL</t>
  </si>
  <si>
    <t>AJJAMPURA</t>
  </si>
  <si>
    <t>KALBURGI-2</t>
  </si>
  <si>
    <t>PANCHANHALLI</t>
  </si>
  <si>
    <t>KHANAHOSAHALLI</t>
  </si>
  <si>
    <t>MADHUGIRI</t>
  </si>
  <si>
    <t>SIRA</t>
  </si>
  <si>
    <t>ALAND</t>
  </si>
  <si>
    <t>HARAPANAHALLI</t>
  </si>
  <si>
    <t>CHADCHAN</t>
  </si>
  <si>
    <t>KOTTURU</t>
  </si>
  <si>
    <t>MALUR</t>
  </si>
  <si>
    <t>BANGARPET</t>
  </si>
  <si>
    <t>MUDDEBIHAL</t>
  </si>
  <si>
    <t>VIJAYAPUR</t>
  </si>
  <si>
    <t>BETHAMANGALA</t>
  </si>
  <si>
    <t>KAMALAPURA</t>
  </si>
  <si>
    <t>KALAGI</t>
  </si>
  <si>
    <t>BIDAR-2</t>
  </si>
  <si>
    <t>MANVI</t>
  </si>
  <si>
    <t>RAICHUR</t>
  </si>
  <si>
    <t>MUDIGERE</t>
  </si>
  <si>
    <t>SINDHNUR</t>
  </si>
  <si>
    <t>SIRWAR</t>
  </si>
  <si>
    <t>CHINCHOLI</t>
  </si>
  <si>
    <t>NR PURA</t>
  </si>
  <si>
    <t>HONNALI</t>
  </si>
  <si>
    <t>AFZALPUR</t>
  </si>
  <si>
    <t>SINDAGI</t>
  </si>
  <si>
    <t>HARIHARA</t>
  </si>
  <si>
    <t>SIRUGUPPA</t>
  </si>
  <si>
    <t>TALIKOTI</t>
  </si>
  <si>
    <t>SANDURU</t>
  </si>
  <si>
    <t>ALMEL</t>
  </si>
  <si>
    <t>KUDATHINI</t>
  </si>
  <si>
    <t>HEBBAL</t>
  </si>
  <si>
    <t>BHALKI</t>
  </si>
  <si>
    <t>J P NAGAR</t>
  </si>
  <si>
    <t>AURAD</t>
  </si>
  <si>
    <t>KENGERI</t>
  </si>
  <si>
    <t>SRINIVASPURA</t>
  </si>
  <si>
    <t>SANTHEBENNURU</t>
  </si>
  <si>
    <t>DEVANAHALLI</t>
  </si>
  <si>
    <t>CHIKBALLAPURA</t>
  </si>
  <si>
    <t>GOKAK</t>
  </si>
  <si>
    <t>YARAGATTI</t>
  </si>
  <si>
    <t>CHINTAMANI</t>
  </si>
  <si>
    <t>BAGEPALLI</t>
  </si>
  <si>
    <t>HUBLI-2</t>
  </si>
  <si>
    <t>KITTUR</t>
  </si>
  <si>
    <t>BAILHONGAL</t>
  </si>
  <si>
    <t>ATHANI</t>
  </si>
  <si>
    <t>MUDALAGI</t>
  </si>
  <si>
    <t>HULIYAR</t>
  </si>
  <si>
    <t>NIPPANI</t>
  </si>
  <si>
    <t>GUBBI</t>
  </si>
  <si>
    <t>TUREVEKERE</t>
  </si>
  <si>
    <t>CHIKKANAYAKANAHALLI</t>
  </si>
  <si>
    <t>HUBLI</t>
  </si>
  <si>
    <t>CHANDAPURA</t>
  </si>
  <si>
    <t>KALGHATGI</t>
  </si>
  <si>
    <t>HIRIYUR</t>
  </si>
  <si>
    <t>LAXMESHWAR</t>
  </si>
  <si>
    <t>JAGALORE</t>
  </si>
  <si>
    <t>CHALLAKERE</t>
  </si>
  <si>
    <t>MUNDARAGI</t>
  </si>
  <si>
    <t>KOPPAL</t>
  </si>
  <si>
    <t>GANGAVATHI</t>
  </si>
  <si>
    <t>HUNGUND</t>
  </si>
  <si>
    <t>BUDWAL</t>
  </si>
  <si>
    <t>DEVADURGA</t>
  </si>
  <si>
    <t>ZAHEERABAD</t>
  </si>
  <si>
    <t>NARAYANKHED</t>
  </si>
  <si>
    <t>KODANGAL</t>
  </si>
  <si>
    <t>KADIRI</t>
  </si>
  <si>
    <t>DHARMAVARAM</t>
  </si>
  <si>
    <t>HAGARIBOMMANAHALLI</t>
  </si>
  <si>
    <t>TANDUR</t>
  </si>
  <si>
    <t>JAMAKHANDI</t>
  </si>
  <si>
    <t>HOSPET</t>
  </si>
  <si>
    <t>HUVENAHADAGALLI</t>
  </si>
  <si>
    <t>GADWAL</t>
  </si>
  <si>
    <t>TIKOTA</t>
  </si>
  <si>
    <t>MAHABUB NAGAR</t>
  </si>
  <si>
    <t>BAGALKOT</t>
  </si>
  <si>
    <t>MARIKAL</t>
  </si>
  <si>
    <t>DABUSPET</t>
  </si>
  <si>
    <t>LOKAPUR</t>
  </si>
  <si>
    <t>BILAGI</t>
  </si>
  <si>
    <t>RAMDURGA</t>
  </si>
  <si>
    <t>DODDABALLAPURA</t>
  </si>
  <si>
    <t>GOWRIBIDANUR</t>
  </si>
  <si>
    <t>GAJENDRAGAD</t>
  </si>
  <si>
    <t>NARAGUNDA</t>
  </si>
  <si>
    <t>HOSADURGA</t>
  </si>
  <si>
    <t>NM5678</t>
  </si>
  <si>
    <t>NL12633</t>
  </si>
  <si>
    <t>NL10036</t>
  </si>
  <si>
    <t>NL12513</t>
  </si>
  <si>
    <t>NM4296</t>
  </si>
  <si>
    <t>NM5630</t>
  </si>
  <si>
    <t>NL12078</t>
  </si>
  <si>
    <t>NM3574</t>
  </si>
  <si>
    <t>NL10753</t>
  </si>
  <si>
    <t>NL10457</t>
  </si>
  <si>
    <t>NL10529</t>
  </si>
  <si>
    <t>NM5537</t>
  </si>
  <si>
    <t>NL10210</t>
  </si>
  <si>
    <t>NM5168</t>
  </si>
  <si>
    <t>NL11094</t>
  </si>
  <si>
    <t>NL11287</t>
  </si>
  <si>
    <t>NL12701</t>
  </si>
  <si>
    <t>NM3305</t>
  </si>
  <si>
    <t>NL12779</t>
  </si>
  <si>
    <t>NL10923</t>
  </si>
  <si>
    <t>NL11767</t>
  </si>
  <si>
    <t>NL12516</t>
  </si>
  <si>
    <t>NL12604</t>
  </si>
  <si>
    <t>NM4600</t>
  </si>
  <si>
    <t>NL12882</t>
  </si>
  <si>
    <t>NL11125</t>
  </si>
  <si>
    <t>NL11008</t>
  </si>
  <si>
    <t>NL12865</t>
  </si>
  <si>
    <t>NL12777</t>
  </si>
  <si>
    <t>NL12559</t>
  </si>
  <si>
    <t>NL11354</t>
  </si>
  <si>
    <t>NM4398</t>
  </si>
  <si>
    <t>NM3230</t>
  </si>
  <si>
    <t>NL11199</t>
  </si>
  <si>
    <t>NM4900</t>
  </si>
  <si>
    <t>NL12812</t>
  </si>
  <si>
    <t>NM3534</t>
  </si>
  <si>
    <t>NL12700</t>
  </si>
  <si>
    <t>NM5030</t>
  </si>
  <si>
    <t>NL10008</t>
  </si>
  <si>
    <t>NL12225</t>
  </si>
  <si>
    <t>NM5078</t>
  </si>
  <si>
    <t>NL11349</t>
  </si>
  <si>
    <t>NM3327</t>
  </si>
  <si>
    <t>NL10796</t>
  </si>
  <si>
    <t>NM5192</t>
  </si>
  <si>
    <t>NL11822</t>
  </si>
  <si>
    <t>NL12312</t>
  </si>
  <si>
    <t>NL10437</t>
  </si>
  <si>
    <t>NL12808</t>
  </si>
  <si>
    <t>NL12850</t>
  </si>
  <si>
    <t>NL10058</t>
  </si>
  <si>
    <t>NL10050</t>
  </si>
  <si>
    <t>NM5208</t>
  </si>
  <si>
    <t>NM3824</t>
  </si>
  <si>
    <t>NM3338</t>
  </si>
  <si>
    <t>NM5227</t>
  </si>
  <si>
    <t>NM5167</t>
  </si>
  <si>
    <t>NL12718</t>
  </si>
  <si>
    <t>NL12929</t>
  </si>
  <si>
    <t>NL12596</t>
  </si>
  <si>
    <t>NM5221</t>
  </si>
  <si>
    <t>NM3410</t>
  </si>
  <si>
    <t>NL10067</t>
  </si>
  <si>
    <t>NL12842</t>
  </si>
  <si>
    <t>NL11213</t>
  </si>
  <si>
    <t>NL10705</t>
  </si>
  <si>
    <t>NL12901</t>
  </si>
  <si>
    <t>NM5235</t>
  </si>
  <si>
    <t>NL12254</t>
  </si>
  <si>
    <t>NL11765</t>
  </si>
  <si>
    <t>NL11713</t>
  </si>
  <si>
    <t>NM5659</t>
  </si>
  <si>
    <t>NL12484</t>
  </si>
  <si>
    <t>NM3888</t>
  </si>
  <si>
    <t>NL12688</t>
  </si>
  <si>
    <t>NL12572</t>
  </si>
  <si>
    <t>NL11352</t>
  </si>
  <si>
    <t>NM5238</t>
  </si>
  <si>
    <t>NM4807</t>
  </si>
  <si>
    <t>NL10968</t>
  </si>
  <si>
    <t>NL12366</t>
  </si>
  <si>
    <t>NL12579</t>
  </si>
  <si>
    <t>NM3556</t>
  </si>
  <si>
    <t>NM3801</t>
  </si>
  <si>
    <t>NM5070</t>
  </si>
  <si>
    <t>NL12667</t>
  </si>
  <si>
    <t>NL11007</t>
  </si>
  <si>
    <t>NL11700</t>
  </si>
  <si>
    <t>NL12292</t>
  </si>
  <si>
    <t>NL12453</t>
  </si>
  <si>
    <t>NL11844</t>
  </si>
  <si>
    <t>NL12069</t>
  </si>
  <si>
    <t>NL10284</t>
  </si>
  <si>
    <t>NM3202</t>
  </si>
  <si>
    <t>NL12460</t>
  </si>
  <si>
    <t>NL10925</t>
  </si>
  <si>
    <t>NM4824</t>
  </si>
  <si>
    <t>NL12315</t>
  </si>
  <si>
    <t>NL12208</t>
  </si>
  <si>
    <t>NL11142</t>
  </si>
  <si>
    <t>NL12520</t>
  </si>
  <si>
    <t>NL11523</t>
  </si>
  <si>
    <t>NL11032</t>
  </si>
  <si>
    <t>NL11445</t>
  </si>
  <si>
    <t>NL12778</t>
  </si>
  <si>
    <t>NM3331</t>
  </si>
  <si>
    <t>NM5392</t>
  </si>
  <si>
    <t>NL10060</t>
  </si>
  <si>
    <t>NM3330</t>
  </si>
  <si>
    <t>NL12739</t>
  </si>
  <si>
    <t>NL11800</t>
  </si>
  <si>
    <t>NM5394</t>
  </si>
  <si>
    <t>NM3549</t>
  </si>
  <si>
    <t>NL12937</t>
  </si>
  <si>
    <t>NL12915</t>
  </si>
  <si>
    <t>NM4963</t>
  </si>
  <si>
    <t>NM5682</t>
  </si>
  <si>
    <t>NM3777</t>
  </si>
  <si>
    <t>NL10731</t>
  </si>
  <si>
    <t>NL12790</t>
  </si>
  <si>
    <t>NL12311</t>
  </si>
  <si>
    <t>NM4503</t>
  </si>
  <si>
    <t>NL11883</t>
  </si>
  <si>
    <t>NL10994</t>
  </si>
  <si>
    <t>NM5330</t>
  </si>
  <si>
    <t>NM5180</t>
  </si>
  <si>
    <t>NL12815</t>
  </si>
  <si>
    <t>NL10703</t>
  </si>
  <si>
    <t>NL12356</t>
  </si>
  <si>
    <t>NL11576</t>
  </si>
  <si>
    <t>NL12532</t>
  </si>
  <si>
    <t>NL11369</t>
  </si>
  <si>
    <t>NM3293</t>
  </si>
  <si>
    <t>NL11038</t>
  </si>
  <si>
    <t>NL12570</t>
  </si>
  <si>
    <t>NM5398</t>
  </si>
  <si>
    <t>NL11109</t>
  </si>
  <si>
    <t>NL10943</t>
  </si>
  <si>
    <t>NL12341</t>
  </si>
  <si>
    <t>NL12776</t>
  </si>
  <si>
    <t>NL12310</t>
  </si>
  <si>
    <t>NM3595</t>
  </si>
  <si>
    <t>NM3594</t>
  </si>
  <si>
    <t>NM4316</t>
  </si>
  <si>
    <t>NL12402</t>
  </si>
  <si>
    <t>NL12625</t>
  </si>
  <si>
    <t>NM5329</t>
  </si>
  <si>
    <t>NM4847</t>
  </si>
  <si>
    <t>NL10038</t>
  </si>
  <si>
    <t>NL12720</t>
  </si>
  <si>
    <t>NL10475</t>
  </si>
  <si>
    <t>NL11496</t>
  </si>
  <si>
    <t>NL11406</t>
  </si>
  <si>
    <t>NL10095</t>
  </si>
  <si>
    <t>NL12335</t>
  </si>
  <si>
    <t>NL11178</t>
  </si>
  <si>
    <t>NL12077</t>
  </si>
  <si>
    <t>NM5178</t>
  </si>
  <si>
    <t>NL12912</t>
  </si>
  <si>
    <t>NM5328</t>
  </si>
  <si>
    <t>NL11002</t>
  </si>
  <si>
    <t>NM5228</t>
  </si>
  <si>
    <t>NL12187</t>
  </si>
  <si>
    <t>NL11463</t>
  </si>
  <si>
    <t>NL11104</t>
  </si>
  <si>
    <t>NM3815</t>
  </si>
  <si>
    <t>NM4468</t>
  </si>
  <si>
    <t>NM5385</t>
  </si>
  <si>
    <t>NL12252</t>
  </si>
  <si>
    <t>NM4717</t>
  </si>
  <si>
    <t>NM5378</t>
  </si>
  <si>
    <t>NM4667</t>
  </si>
  <si>
    <t>NM5332</t>
  </si>
  <si>
    <t>NM5633</t>
  </si>
  <si>
    <t>NM5416</t>
  </si>
  <si>
    <t>NL10743</t>
  </si>
  <si>
    <t>NM4978</t>
  </si>
  <si>
    <t>NL12416</t>
  </si>
  <si>
    <t>NM4697</t>
  </si>
  <si>
    <t>NL12618</t>
  </si>
  <si>
    <t>NM4211</t>
  </si>
  <si>
    <t>NL12697</t>
  </si>
  <si>
    <t>NL11095</t>
  </si>
  <si>
    <t>NL12255</t>
  </si>
  <si>
    <t>NL12744</t>
  </si>
  <si>
    <t>NL11527</t>
  </si>
  <si>
    <t>NL12327</t>
  </si>
  <si>
    <t>NM5225</t>
  </si>
  <si>
    <t>NL11449</t>
  </si>
  <si>
    <t>NM4485</t>
  </si>
  <si>
    <t>NM5042</t>
  </si>
  <si>
    <t>NM3335</t>
  </si>
  <si>
    <t>NL11857</t>
  </si>
  <si>
    <t>NM4418</t>
  </si>
  <si>
    <t>NL10009</t>
  </si>
  <si>
    <t>NM3239</t>
  </si>
  <si>
    <t>NL12691</t>
  </si>
  <si>
    <t>NL12699</t>
  </si>
  <si>
    <t>NL12399</t>
  </si>
  <si>
    <t>NL12906</t>
  </si>
  <si>
    <t>NL10941</t>
  </si>
  <si>
    <t>NM3600</t>
  </si>
  <si>
    <t>NL12770</t>
  </si>
  <si>
    <t>NM4380</t>
  </si>
  <si>
    <t>NL11146</t>
  </si>
  <si>
    <t>NL12816</t>
  </si>
  <si>
    <t>NL12465</t>
  </si>
  <si>
    <t>NL12907</t>
  </si>
  <si>
    <t>NL12826</t>
  </si>
  <si>
    <t>NL10823</t>
  </si>
  <si>
    <t>NL10286</t>
  </si>
  <si>
    <t>NM3617</t>
  </si>
  <si>
    <t>NL10164</t>
  </si>
  <si>
    <t>NL12477</t>
  </si>
  <si>
    <t>NL10821</t>
  </si>
  <si>
    <t>NM3226</t>
  </si>
  <si>
    <t>NL12485</t>
  </si>
  <si>
    <t>NL12603</t>
  </si>
  <si>
    <t>NL12860</t>
  </si>
  <si>
    <t>NL11714</t>
  </si>
  <si>
    <t>NL12180</t>
  </si>
  <si>
    <t>NL10862</t>
  </si>
  <si>
    <t>NL12878</t>
  </si>
  <si>
    <t>NL12461</t>
  </si>
  <si>
    <t>NL10718</t>
  </si>
  <si>
    <t>NL11478</t>
  </si>
  <si>
    <t>NL10458</t>
  </si>
  <si>
    <t>NL11384</t>
  </si>
  <si>
    <t>NL12843</t>
  </si>
  <si>
    <t>NL11985</t>
  </si>
  <si>
    <t>NL12717</t>
  </si>
  <si>
    <t>NL12085</t>
  </si>
  <si>
    <t>NL12862</t>
  </si>
  <si>
    <t>NL12401</t>
  </si>
  <si>
    <t>NM5158</t>
  </si>
  <si>
    <t>NL12620</t>
  </si>
  <si>
    <t>NM4676</t>
  </si>
  <si>
    <t>NL12552</t>
  </si>
  <si>
    <t>NL12223</t>
  </si>
  <si>
    <t>NL11041</t>
  </si>
  <si>
    <t>NM4481</t>
  </si>
  <si>
    <t>NM3252</t>
  </si>
  <si>
    <t>NL12668</t>
  </si>
  <si>
    <t>NL11946</t>
  </si>
  <si>
    <t>NL10781</t>
  </si>
  <si>
    <t>NL12550</t>
  </si>
  <si>
    <t>NL10406</t>
  </si>
  <si>
    <t>NL12803</t>
  </si>
  <si>
    <t>NM5079</t>
  </si>
  <si>
    <t>NL12555</t>
  </si>
  <si>
    <t>NL10535</t>
  </si>
  <si>
    <t>NM4413</t>
  </si>
  <si>
    <t>NM4707</t>
  </si>
  <si>
    <t>NL12047</t>
  </si>
  <si>
    <t>NL10571</t>
  </si>
  <si>
    <t>NL12164</t>
  </si>
  <si>
    <t>NM4206</t>
  </si>
  <si>
    <t>NM4550</t>
  </si>
  <si>
    <t>NM4741</t>
  </si>
  <si>
    <t>NL12689</t>
  </si>
  <si>
    <t>NM4407</t>
  </si>
  <si>
    <t>NL12900</t>
  </si>
  <si>
    <t>NL10045</t>
  </si>
  <si>
    <t>NM4569</t>
  </si>
  <si>
    <t>NM5520</t>
  </si>
  <si>
    <t>NL11272</t>
  </si>
  <si>
    <t>NL11982</t>
  </si>
  <si>
    <t>NM3795</t>
  </si>
  <si>
    <t>NM4725</t>
  </si>
  <si>
    <t>NL11488</t>
  </si>
  <si>
    <t>NL10996</t>
  </si>
  <si>
    <t>NM3380</t>
  </si>
  <si>
    <t>NL10884</t>
  </si>
  <si>
    <t>NL12125</t>
  </si>
  <si>
    <t>NL11218</t>
  </si>
  <si>
    <t>NL10791</t>
  </si>
  <si>
    <t>NL11044</t>
  </si>
  <si>
    <t>NL12756</t>
  </si>
  <si>
    <t>NM5281</t>
  </si>
  <si>
    <t>NL10719</t>
  </si>
  <si>
    <t>NL11987</t>
  </si>
  <si>
    <t>NL12835</t>
  </si>
  <si>
    <t>NL12342</t>
  </si>
  <si>
    <t>NL11404</t>
  </si>
  <si>
    <t>NL11124</t>
  </si>
  <si>
    <t>NL10801</t>
  </si>
  <si>
    <t>NL12728</t>
  </si>
  <si>
    <t>NL12891</t>
  </si>
  <si>
    <t>NL12867</t>
  </si>
  <si>
    <t>NM5555</t>
  </si>
  <si>
    <t>NL11129</t>
  </si>
  <si>
    <t>NM4626</t>
  </si>
  <si>
    <t>NL11829</t>
  </si>
  <si>
    <t>NL12195</t>
  </si>
  <si>
    <t>NL10999</t>
  </si>
  <si>
    <t>NL12440</t>
  </si>
  <si>
    <t>NM4934</t>
  </si>
  <si>
    <t>NL11959</t>
  </si>
  <si>
    <t>NM4397</t>
  </si>
  <si>
    <t>NM4382</t>
  </si>
  <si>
    <t>NL12660</t>
  </si>
  <si>
    <t>NM4711</t>
  </si>
  <si>
    <t>NL12278</t>
  </si>
  <si>
    <t>NL11944</t>
  </si>
  <si>
    <t>NL12360</t>
  </si>
  <si>
    <t>NM2831</t>
  </si>
  <si>
    <t>NL11164</t>
  </si>
  <si>
    <t>NL10772</t>
  </si>
  <si>
    <t>NM3301</t>
  </si>
  <si>
    <t>NL10621</t>
  </si>
  <si>
    <t>NL12769</t>
  </si>
  <si>
    <t>NL12834</t>
  </si>
  <si>
    <t>NL12657</t>
  </si>
  <si>
    <t>NM5285</t>
  </si>
  <si>
    <t>NL12483</t>
  </si>
  <si>
    <t>NL12848</t>
  </si>
  <si>
    <t>NL12344</t>
  </si>
  <si>
    <t>NL12724</t>
  </si>
  <si>
    <t>NL12265</t>
  </si>
  <si>
    <t>NL10857</t>
  </si>
  <si>
    <t>NL12347</t>
  </si>
  <si>
    <t>NL11473</t>
  </si>
  <si>
    <t>NL12817</t>
  </si>
  <si>
    <t>NL12919</t>
  </si>
  <si>
    <t>NL12346</t>
  </si>
  <si>
    <t>NL11398</t>
  </si>
  <si>
    <t>NL12074</t>
  </si>
  <si>
    <t>NL12014</t>
  </si>
  <si>
    <t>NL12075</t>
  </si>
  <si>
    <t>NL11176</t>
  </si>
  <si>
    <t>NL11731</t>
  </si>
  <si>
    <t>NL11224</t>
  </si>
  <si>
    <t>NL10902</t>
  </si>
  <si>
    <t>NL10676</t>
  </si>
  <si>
    <t>NL11520</t>
  </si>
  <si>
    <t>NL10903</t>
  </si>
  <si>
    <t>NL11226</t>
  </si>
  <si>
    <t>NL11407</t>
  </si>
  <si>
    <t>NL12811</t>
  </si>
  <si>
    <t>NL10634</t>
  </si>
  <si>
    <t>NL10997</t>
  </si>
  <si>
    <t>NM5257</t>
  </si>
  <si>
    <t>NL10454</t>
  </si>
  <si>
    <t>NL11602</t>
  </si>
  <si>
    <t>NL12600</t>
  </si>
  <si>
    <t>NM5436</t>
  </si>
  <si>
    <t>NL10239</t>
  </si>
  <si>
    <t>NL10069</t>
  </si>
  <si>
    <t>NM5023</t>
  </si>
  <si>
    <t>NL12417</t>
  </si>
  <si>
    <t>NL12710</t>
  </si>
  <si>
    <t>NL12784</t>
  </si>
  <si>
    <t>NL12634</t>
  </si>
  <si>
    <t>NL12868</t>
  </si>
  <si>
    <t>NL12768</t>
  </si>
  <si>
    <t>NL12723</t>
  </si>
  <si>
    <t>NL12415</t>
  </si>
  <si>
    <t>NL11194</t>
  </si>
  <si>
    <t>NM5143</t>
  </si>
  <si>
    <t>NL12171</t>
  </si>
  <si>
    <t>NL12317</t>
  </si>
  <si>
    <t>NL11221</t>
  </si>
  <si>
    <t>NL11996</t>
  </si>
  <si>
    <t>NL12774</t>
  </si>
  <si>
    <t>NL11282</t>
  </si>
  <si>
    <t>NL12794</t>
  </si>
  <si>
    <t>NM3524</t>
  </si>
  <si>
    <t>NL12039</t>
  </si>
  <si>
    <t>NL12742</t>
  </si>
  <si>
    <t>NM4576</t>
  </si>
  <si>
    <t>NL12571</t>
  </si>
  <si>
    <t>NL11616</t>
  </si>
  <si>
    <t>NL12703</t>
  </si>
  <si>
    <t>NM4892</t>
  </si>
  <si>
    <t>NM3976</t>
  </si>
  <si>
    <t>NM3185</t>
  </si>
  <si>
    <t>NM4734</t>
  </si>
  <si>
    <t>NL10401</t>
  </si>
  <si>
    <t>NM4764</t>
  </si>
  <si>
    <t>NL12813</t>
  </si>
  <si>
    <t>NL10279</t>
  </si>
  <si>
    <t>NM5440</t>
  </si>
  <si>
    <t>NL11348</t>
  </si>
  <si>
    <t>NL12510</t>
  </si>
  <si>
    <t>NL11960</t>
  </si>
  <si>
    <t>NL12406</t>
  </si>
  <si>
    <t>NL10657</t>
  </si>
  <si>
    <t>NM3540</t>
  </si>
  <si>
    <t>NL12824</t>
  </si>
  <si>
    <t>NL12232</t>
  </si>
  <si>
    <t>NL12930</t>
  </si>
  <si>
    <t>NL12251</t>
  </si>
  <si>
    <t>NL12357</t>
  </si>
  <si>
    <t>NL10747</t>
  </si>
  <si>
    <t>NL12412</t>
  </si>
  <si>
    <t>NL12481</t>
  </si>
  <si>
    <t>NL12480</t>
  </si>
  <si>
    <t>NL12925</t>
  </si>
  <si>
    <t>NL11205</t>
  </si>
  <si>
    <t>NL11457</t>
  </si>
  <si>
    <t>NL11652</t>
  </si>
  <si>
    <t>NL11570</t>
  </si>
  <si>
    <t>NL12326</t>
  </si>
  <si>
    <t>NM4630</t>
  </si>
  <si>
    <t>NL12686</t>
  </si>
  <si>
    <t>NM3219</t>
  </si>
  <si>
    <t>NM5185</t>
  </si>
  <si>
    <t>NL12361</t>
  </si>
  <si>
    <t>NL11119</t>
  </si>
  <si>
    <t>NL12977</t>
  </si>
  <si>
    <t>NL11888</t>
  </si>
  <si>
    <t>NL12652</t>
  </si>
  <si>
    <t>NM4793</t>
  </si>
  <si>
    <t>NM4984</t>
  </si>
  <si>
    <t>NM2833</t>
  </si>
  <si>
    <t>NL11554</t>
  </si>
  <si>
    <t>NM1695</t>
  </si>
  <si>
    <t>NM4938</t>
  </si>
  <si>
    <t>NM4008</t>
  </si>
  <si>
    <t>NL12542</t>
  </si>
  <si>
    <t>NL12675</t>
  </si>
  <si>
    <t>NL10083</t>
  </si>
  <si>
    <t>NL12806</t>
  </si>
  <si>
    <t>NL10364</t>
  </si>
  <si>
    <t>NM4837</t>
  </si>
  <si>
    <t>NM3513</t>
  </si>
  <si>
    <t>NM3280</t>
  </si>
  <si>
    <t>NM3282</t>
  </si>
  <si>
    <t>NL12828</t>
  </si>
  <si>
    <t>NL11867</t>
  </si>
  <si>
    <t>NL11613</t>
  </si>
  <si>
    <t>NL11935</t>
  </si>
  <si>
    <t>NL10441</t>
  </si>
  <si>
    <t>NM4800</t>
  </si>
  <si>
    <t>NM4884</t>
  </si>
  <si>
    <t>NL10491</t>
  </si>
  <si>
    <t>NM5382</t>
  </si>
  <si>
    <t>NM3105</t>
  </si>
  <si>
    <t>NL11087</t>
  </si>
  <si>
    <t>NL11385</t>
  </si>
  <si>
    <t>NL10374</t>
  </si>
  <si>
    <t>NL10439</t>
  </si>
  <si>
    <t>NL11866</t>
  </si>
  <si>
    <t>NL11281</t>
  </si>
  <si>
    <t>NM5076</t>
  </si>
  <si>
    <t>NM2865</t>
  </si>
  <si>
    <t>NM2834</t>
  </si>
  <si>
    <t>NM3146</t>
  </si>
  <si>
    <t>NM4322</t>
  </si>
  <si>
    <t>NL10867</t>
  </si>
  <si>
    <t>NL12745</t>
  </si>
  <si>
    <t>NL10762</t>
  </si>
  <si>
    <t>NM5184</t>
  </si>
  <si>
    <t>NM5109</t>
  </si>
  <si>
    <t>NL10482</t>
  </si>
  <si>
    <t>NL10372</t>
  </si>
  <si>
    <t>NM2781</t>
  </si>
  <si>
    <t>NM5502</t>
  </si>
  <si>
    <t>NM5371</t>
  </si>
  <si>
    <t>NL12631</t>
  </si>
  <si>
    <t>NM3501</t>
  </si>
  <si>
    <t>NL10558</t>
  </si>
  <si>
    <t>NL12188</t>
  </si>
  <si>
    <t>NL12743</t>
  </si>
  <si>
    <t>NL11547</t>
  </si>
  <si>
    <t>NL12487</t>
  </si>
  <si>
    <t>NL11930</t>
  </si>
  <si>
    <t>NL11646</t>
  </si>
  <si>
    <t>NL12222</t>
  </si>
  <si>
    <t>NL11841</t>
  </si>
  <si>
    <t>NL12684</t>
  </si>
  <si>
    <t>NL11184</t>
  </si>
  <si>
    <t>NL12285</t>
  </si>
  <si>
    <t>NL10573</t>
  </si>
  <si>
    <t>NM5278</t>
  </si>
  <si>
    <t>NL10157</t>
  </si>
  <si>
    <t>NL11086</t>
  </si>
  <si>
    <t>NM3894</t>
  </si>
  <si>
    <t>NL11696</t>
  </si>
  <si>
    <t>NL11256</t>
  </si>
  <si>
    <t>NL11209</t>
  </si>
  <si>
    <t>NL10598</t>
  </si>
  <si>
    <t>NL10081</t>
  </si>
  <si>
    <t>NL11065</t>
  </si>
  <si>
    <t>NL11064</t>
  </si>
  <si>
    <t>NL11259</t>
  </si>
  <si>
    <t>NM4567</t>
  </si>
  <si>
    <t>NM5268</t>
  </si>
  <si>
    <t>NL10881</t>
  </si>
  <si>
    <t>NL12682</t>
  </si>
  <si>
    <t>NL12893</t>
  </si>
  <si>
    <t>NL12908</t>
  </si>
  <si>
    <t>NL12642</t>
  </si>
  <si>
    <t>NL12438</t>
  </si>
  <si>
    <t>NL12643</t>
  </si>
  <si>
    <t>NL12065</t>
  </si>
  <si>
    <t>NL12028</t>
  </si>
  <si>
    <t>NL11812</t>
  </si>
  <si>
    <t>NL12207</t>
  </si>
  <si>
    <t>NM5387</t>
  </si>
  <si>
    <t>NL12911</t>
  </si>
  <si>
    <t>NL12876</t>
  </si>
  <si>
    <t>NL10126</t>
  </si>
  <si>
    <t>NM3597</t>
  </si>
  <si>
    <t>NM4628</t>
  </si>
  <si>
    <t>NM4480</t>
  </si>
  <si>
    <t>NL12499</t>
  </si>
  <si>
    <t>NL10967</t>
  </si>
  <si>
    <t>NM5334</t>
  </si>
  <si>
    <t>NL11480</t>
  </si>
  <si>
    <t>NM3153</t>
  </si>
  <si>
    <t>NM4587</t>
  </si>
  <si>
    <t>NM4874</t>
  </si>
  <si>
    <t>NM4183</t>
  </si>
  <si>
    <t>NL11551</t>
  </si>
  <si>
    <t>NL12910</t>
  </si>
  <si>
    <t>NL11658</t>
  </si>
  <si>
    <t>NL12938</t>
  </si>
  <si>
    <t>NL12639</t>
  </si>
  <si>
    <t>NL12303</t>
  </si>
  <si>
    <t>NM2907</t>
  </si>
  <si>
    <t>NL12304</t>
  </si>
  <si>
    <t>NM4184</t>
  </si>
  <si>
    <t>NM2820</t>
  </si>
  <si>
    <t>NM5039</t>
  </si>
  <si>
    <t>NL12609</t>
  </si>
  <si>
    <t>NL12473</t>
  </si>
  <si>
    <t>NL10544</t>
  </si>
  <si>
    <t>NL12398</t>
  </si>
  <si>
    <t>NL12228</t>
  </si>
  <si>
    <t>NL12540</t>
  </si>
  <si>
    <t>NM3397</t>
  </si>
  <si>
    <t>NL11537</t>
  </si>
  <si>
    <t>NL11952</t>
  </si>
  <si>
    <t>NM4787</t>
  </si>
  <si>
    <t>NM3394</t>
  </si>
  <si>
    <t>NL12856</t>
  </si>
  <si>
    <t>NL12789</t>
  </si>
  <si>
    <t>NL11882</t>
  </si>
  <si>
    <t>NL12872</t>
  </si>
  <si>
    <t>NL11153</t>
  </si>
  <si>
    <t>NL10104</t>
  </si>
  <si>
    <t>NM4768</t>
  </si>
  <si>
    <t>NM5046</t>
  </si>
  <si>
    <t>NM2656</t>
  </si>
  <si>
    <t>NM5443</t>
  </si>
  <si>
    <t>NM3058</t>
  </si>
  <si>
    <t>NM4767</t>
  </si>
  <si>
    <t>NL10732</t>
  </si>
  <si>
    <t>NL12655</t>
  </si>
  <si>
    <t>NM5058</t>
  </si>
  <si>
    <t>NL12873</t>
  </si>
  <si>
    <t>NL11905</t>
  </si>
  <si>
    <t>NL12792</t>
  </si>
  <si>
    <t>NL12100</t>
  </si>
  <si>
    <t>NM5224</t>
  </si>
  <si>
    <t>NL12099</t>
  </si>
  <si>
    <t>NM5367</t>
  </si>
  <si>
    <t>NL10608</t>
  </si>
  <si>
    <t>NL11321</t>
  </si>
  <si>
    <t>NL11211</t>
  </si>
  <si>
    <t>NL12433</t>
  </si>
  <si>
    <t>NL12894</t>
  </si>
  <si>
    <t>NL12673</t>
  </si>
  <si>
    <t>NL12475</t>
  </si>
  <si>
    <t>NL12647</t>
  </si>
  <si>
    <t>NL12646</t>
  </si>
  <si>
    <t>NL12055</t>
  </si>
  <si>
    <t>NM4910</t>
  </si>
  <si>
    <t>NL11942</t>
  </si>
  <si>
    <t>NM4873</t>
  </si>
  <si>
    <t>NL11887</t>
  </si>
  <si>
    <t>NL12793</t>
  </si>
  <si>
    <t>NL12884</t>
  </si>
  <si>
    <t>NM2536</t>
  </si>
  <si>
    <t>NL10783</t>
  </si>
  <si>
    <t>NM5421</t>
  </si>
  <si>
    <t>NL12781</t>
  </si>
  <si>
    <t>NL12775</t>
  </si>
  <si>
    <t>NL11850</t>
  </si>
  <si>
    <t>NL12830</t>
  </si>
  <si>
    <t>NL12160</t>
  </si>
  <si>
    <t>NL10865</t>
  </si>
  <si>
    <t>NL11075</t>
  </si>
  <si>
    <t>NL10033</t>
  </si>
  <si>
    <t>NL12323</t>
  </si>
  <si>
    <t>NL12727</t>
  </si>
  <si>
    <t>NM4351</t>
  </si>
  <si>
    <t>NL12829</t>
  </si>
  <si>
    <t>NL12097</t>
  </si>
  <si>
    <t>NL12264</t>
  </si>
  <si>
    <t>NL12079</t>
  </si>
  <si>
    <t>NL10974</t>
  </si>
  <si>
    <t>NL12514</t>
  </si>
  <si>
    <t>NL10134</t>
  </si>
  <si>
    <t>NM4868</t>
  </si>
  <si>
    <t>NL12693</t>
  </si>
  <si>
    <t>NL12124</t>
  </si>
  <si>
    <t>NL10001</t>
  </si>
  <si>
    <t>NL12009</t>
  </si>
  <si>
    <t>NM5582</t>
  </si>
  <si>
    <t>NL12780</t>
  </si>
  <si>
    <t>NL12280</t>
  </si>
  <si>
    <t>NL12945</t>
  </si>
  <si>
    <t>NL12671</t>
  </si>
  <si>
    <t>NL10077</t>
  </si>
  <si>
    <t>NL10188</t>
  </si>
  <si>
    <t>NL12944</t>
  </si>
  <si>
    <t>NL10555</t>
  </si>
  <si>
    <t>NM5003</t>
  </si>
  <si>
    <t>NM5146</t>
  </si>
  <si>
    <t>NL11918</t>
  </si>
  <si>
    <t>NM5052</t>
  </si>
  <si>
    <t>NL11514</t>
  </si>
  <si>
    <t>NL11742</t>
  </si>
  <si>
    <t>NL12076</t>
  </si>
  <si>
    <t>NL12427</t>
  </si>
  <si>
    <t>NL11722</t>
  </si>
  <si>
    <t>NL12293</t>
  </si>
  <si>
    <t>NL11991</t>
  </si>
  <si>
    <t>NL10325</t>
  </si>
  <si>
    <t>NL11330</t>
  </si>
  <si>
    <t>NL11035</t>
  </si>
  <si>
    <t>NL12645</t>
  </si>
  <si>
    <t>NL12838</t>
  </si>
  <si>
    <t>NL11757</t>
  </si>
  <si>
    <t>NL12837</t>
  </si>
  <si>
    <t>NL12338</t>
  </si>
  <si>
    <t>NL11775</t>
  </si>
  <si>
    <t>NL10935</t>
  </si>
  <si>
    <t>NM4820</t>
  </si>
  <si>
    <t>NL11721</t>
  </si>
  <si>
    <t>NL11141</t>
  </si>
  <si>
    <t>NL11301</t>
  </si>
  <si>
    <t>NL12493</t>
  </si>
  <si>
    <t>NL11864</t>
  </si>
  <si>
    <t>NL12563</t>
  </si>
  <si>
    <t>NL11596</t>
  </si>
  <si>
    <t>NL11855</t>
  </si>
  <si>
    <t>NL11559</t>
  </si>
  <si>
    <t>NL12797</t>
  </si>
  <si>
    <t>NM4724</t>
  </si>
  <si>
    <t>NL12469</t>
  </si>
  <si>
    <t>NL11366</t>
  </si>
  <si>
    <t>NL11105</t>
  </si>
  <si>
    <t>NL10180</t>
  </si>
  <si>
    <t>NL12494</t>
  </si>
  <si>
    <t>NL12032</t>
  </si>
  <si>
    <t>NL12495</t>
  </si>
  <si>
    <t>NM4201</t>
  </si>
  <si>
    <t>NL10153</t>
  </si>
  <si>
    <t>NL12719</t>
  </si>
  <si>
    <t>NL11980</t>
  </si>
  <si>
    <t>NL11979</t>
  </si>
  <si>
    <t>NL11784</t>
  </si>
  <si>
    <t>NL12167</t>
  </si>
  <si>
    <t>NL12126</t>
  </si>
  <si>
    <t>NL12590</t>
  </si>
  <si>
    <t>NL12677</t>
  </si>
  <si>
    <t>NL10838</t>
  </si>
  <si>
    <t>NL12757</t>
  </si>
  <si>
    <t>NL11140</t>
  </si>
  <si>
    <t>NL11736</t>
  </si>
  <si>
    <t>NL10841</t>
  </si>
  <si>
    <t>NL12760</t>
  </si>
  <si>
    <t>NL10220</t>
  </si>
  <si>
    <t>NL12455</t>
  </si>
  <si>
    <t>NL12551</t>
  </si>
  <si>
    <t>NL10887</t>
  </si>
  <si>
    <t>NL11329</t>
  </si>
  <si>
    <t>NM5472</t>
  </si>
  <si>
    <t>NL11940</t>
  </si>
  <si>
    <t>NM5100</t>
  </si>
  <si>
    <t>NL12707</t>
  </si>
  <si>
    <t>NL11244</t>
  </si>
  <si>
    <t>NL12726</t>
  </si>
  <si>
    <t>NL11511</t>
  </si>
  <si>
    <t>NL12562</t>
  </si>
  <si>
    <t>NL12761</t>
  </si>
  <si>
    <t>NL11306</t>
  </si>
  <si>
    <t>NL12637</t>
  </si>
  <si>
    <t>NL12592</t>
  </si>
  <si>
    <t>NL11671</t>
  </si>
  <si>
    <t>NL11908</t>
  </si>
  <si>
    <t>NL11509</t>
  </si>
  <si>
    <t>NL12897</t>
  </si>
  <si>
    <t>NL11720</t>
  </si>
  <si>
    <t>NL12549</t>
  </si>
  <si>
    <t>NL12548</t>
  </si>
  <si>
    <t>NL12950</t>
  </si>
  <si>
    <t>NL12536</t>
  </si>
  <si>
    <t>NL12339</t>
  </si>
  <si>
    <t>NL10951</t>
  </si>
  <si>
    <t>NL12821</t>
  </si>
  <si>
    <t>NL11391</t>
  </si>
  <si>
    <t>NL12840</t>
  </si>
  <si>
    <t>NL11392</t>
  </si>
  <si>
    <t>NL12892</t>
  </si>
  <si>
    <t>NL11627</t>
  </si>
  <si>
    <t>NL11834</t>
  </si>
  <si>
    <t>NL10829</t>
  </si>
  <si>
    <t>NL12036</t>
  </si>
  <si>
    <t>NL10427</t>
  </si>
  <si>
    <t>NL11807</t>
  </si>
  <si>
    <t>NL11307</t>
  </si>
  <si>
    <t>NL11172</t>
  </si>
  <si>
    <t>NL12103</t>
  </si>
  <si>
    <t>NL12177</t>
  </si>
  <si>
    <t>NL12758</t>
  </si>
  <si>
    <t>NL12846</t>
  </si>
  <si>
    <t>NL12725</t>
  </si>
  <si>
    <t>NL12491</t>
  </si>
  <si>
    <t>NL12470</t>
  </si>
  <si>
    <t>NM3320</t>
  </si>
  <si>
    <t>NL12531</t>
  </si>
  <si>
    <t>NL12940</t>
  </si>
  <si>
    <t>NL12870</t>
  </si>
  <si>
    <t>NL11107</t>
  </si>
  <si>
    <t>NL12869</t>
  </si>
  <si>
    <t>NL10610</t>
  </si>
  <si>
    <t>NL12735</t>
  </si>
  <si>
    <t>NL10671</t>
  </si>
  <si>
    <t>NL11901</t>
  </si>
  <si>
    <t>NL11902</t>
  </si>
  <si>
    <t>NL10670</t>
  </si>
  <si>
    <t>NL12015</t>
  </si>
  <si>
    <t>NL12089</t>
  </si>
  <si>
    <t>NL12678</t>
  </si>
  <si>
    <t>NL12537</t>
  </si>
  <si>
    <t>NL12247</t>
  </si>
  <si>
    <t>NL12767</t>
  </si>
  <si>
    <t>NL12799</t>
  </si>
  <si>
    <t>NL11542</t>
  </si>
  <si>
    <t>NL12802</t>
  </si>
  <si>
    <t>NL10562</t>
  </si>
  <si>
    <t>NL11642</t>
  </si>
  <si>
    <t>NL12759</t>
  </si>
  <si>
    <t>NL11668</t>
  </si>
  <si>
    <t>NL11669</t>
  </si>
  <si>
    <t>NL12102</t>
  </si>
  <si>
    <t>NL10027</t>
  </si>
  <si>
    <t>NM5313</t>
  </si>
  <si>
    <t>NL10875</t>
  </si>
  <si>
    <t>NL10395</t>
  </si>
  <si>
    <t>NL11755</t>
  </si>
  <si>
    <t>NM1547</t>
  </si>
  <si>
    <t>NL11806</t>
  </si>
  <si>
    <t>NL12896</t>
  </si>
  <si>
    <t>NL12750</t>
  </si>
  <si>
    <t>NM4632</t>
  </si>
  <si>
    <t>NL11735</t>
  </si>
  <si>
    <t>NL12654</t>
  </si>
  <si>
    <t>NL12258</t>
  </si>
  <si>
    <t>NL12918</t>
  </si>
  <si>
    <t>NL12788</t>
  </si>
  <si>
    <t>NL12524</t>
  </si>
  <si>
    <t>NL12933</t>
  </si>
  <si>
    <t>NL12961</t>
  </si>
  <si>
    <t>NL11047</t>
  </si>
  <si>
    <t>NL11149</t>
  </si>
  <si>
    <t>NL10960</t>
  </si>
  <si>
    <t>NL12914</t>
  </si>
  <si>
    <t>NL12564</t>
  </si>
  <si>
    <t>NL12683</t>
  </si>
  <si>
    <t>NM3484</t>
  </si>
  <si>
    <t>NL12696</t>
  </si>
  <si>
    <t>NL10929</t>
  </si>
  <si>
    <t>NL11322</t>
  </si>
  <si>
    <t>NM2956</t>
  </si>
  <si>
    <t>NL12408</t>
  </si>
  <si>
    <t>NL12082</t>
  </si>
  <si>
    <t>NL10074</t>
  </si>
  <si>
    <t>NL12156</t>
  </si>
  <si>
    <t>NL12687</t>
  </si>
  <si>
    <t>NM5607</t>
  </si>
  <si>
    <t>NL12807</t>
  </si>
  <si>
    <t>NL11702</t>
  </si>
  <si>
    <t>NL11093</t>
  </si>
  <si>
    <t>NL10424</t>
  </si>
  <si>
    <t>NL11606</t>
  </si>
  <si>
    <t>NL10197</t>
  </si>
  <si>
    <t>NL12853</t>
  </si>
  <si>
    <t>NM4129</t>
  </si>
  <si>
    <t>NL11656</t>
  </si>
  <si>
    <t>NM3120</t>
  </si>
  <si>
    <t>NM3517</t>
  </si>
  <si>
    <t>NM5060</t>
  </si>
  <si>
    <t>NM3283</t>
  </si>
  <si>
    <t>NM5714</t>
  </si>
  <si>
    <t>NL10015</t>
  </si>
  <si>
    <t>NM5545</t>
  </si>
  <si>
    <t>NL11931</t>
  </si>
  <si>
    <t>NL10855</t>
  </si>
  <si>
    <t>NL10340</t>
  </si>
  <si>
    <t>NM5559</t>
  </si>
  <si>
    <t>NL10232</t>
  </si>
  <si>
    <t>NM5348</t>
  </si>
  <si>
    <t>NL12456</t>
  </si>
  <si>
    <t>NL12587</t>
  </si>
  <si>
    <t>NL12106</t>
  </si>
  <si>
    <t>NM5519</t>
  </si>
  <si>
    <t>NL10189</t>
  </si>
  <si>
    <t>NM5322</t>
  </si>
  <si>
    <t>NL11084</t>
  </si>
  <si>
    <t>NL11471</t>
  </si>
  <si>
    <t>NL10942</t>
  </si>
  <si>
    <t>NL12685</t>
  </si>
  <si>
    <t>NM5026</t>
  </si>
  <si>
    <t>NL12651</t>
  </si>
  <si>
    <t>NM4443</t>
  </si>
  <si>
    <t>NL10321</t>
  </si>
  <si>
    <t>NL11557</t>
  </si>
  <si>
    <t>NL12080</t>
  </si>
  <si>
    <t>NL12773</t>
  </si>
  <si>
    <t>NPA</t>
  </si>
  <si>
    <t>BENGALORE -RURAL</t>
  </si>
  <si>
    <t>Grand Total</t>
  </si>
  <si>
    <t>BRANCH NAME</t>
  </si>
  <si>
    <t>FTOD</t>
  </si>
  <si>
    <t>COLLECTION %</t>
  </si>
  <si>
    <t>DISTRICT NAME</t>
  </si>
  <si>
    <t>REGION NAME</t>
  </si>
  <si>
    <t>-</t>
  </si>
  <si>
    <t>PNPA</t>
  </si>
  <si>
    <t>DEMAND</t>
  </si>
  <si>
    <t>ACTIVATION</t>
  </si>
  <si>
    <t>CLOSURE</t>
  </si>
  <si>
    <t>ACCOUNT</t>
  </si>
  <si>
    <t>AMOUNT</t>
  </si>
  <si>
    <t>REGION - WISE COLLECTION REPORT - as on 23-02-2026 (OverAll)</t>
  </si>
  <si>
    <t>ON DATE Demand Vs Collection</t>
  </si>
  <si>
    <t>REGULAR DEMAND VS COLLECTION</t>
  </si>
  <si>
    <t>1-30 DPD</t>
  </si>
  <si>
    <t>31-60 DPD</t>
  </si>
  <si>
    <t>METRICS</t>
  </si>
  <si>
    <t>COLLECTION</t>
  </si>
  <si>
    <t>BALANCE</t>
  </si>
  <si>
    <t>RANK</t>
  </si>
  <si>
    <t>PERFORMANCE</t>
  </si>
  <si>
    <t>DISTRICT - WISE COLLECTION REPORT - as on 23-02-2026 (OverAll)</t>
  </si>
  <si>
    <t>BRANCH - WISE COLLECTION REPORT - as on 23-02-2026 (OverAll)</t>
  </si>
  <si>
    <t>REGION WISE - IGL REPORT</t>
  </si>
  <si>
    <t>REGION WISE - FIG REPORT</t>
  </si>
  <si>
    <t>REGION WISE - IL REPORT</t>
  </si>
  <si>
    <t>BRANCH + OFFICER NAME WISE COLLECTION REPORT</t>
  </si>
  <si>
    <t>BRANCH + OFFICER NAME - WISE COLLECTION REPORT - as on 23-02-2026 (OverAll)</t>
  </si>
  <si>
    <t>EMP ID</t>
  </si>
  <si>
    <t>BRANCH / OFFICER NAME</t>
  </si>
  <si>
    <t xml:space="preserve">  HULIKANTHI</t>
  </si>
  <si>
    <t xml:space="preserve">  PARASHURAM</t>
  </si>
  <si>
    <t xml:space="preserve">  SHARANU</t>
  </si>
  <si>
    <t xml:space="preserve">  RAHUL</t>
  </si>
  <si>
    <t xml:space="preserve">  MANJUNATH</t>
  </si>
  <si>
    <t xml:space="preserve">  MNOJ</t>
  </si>
  <si>
    <t xml:space="preserve">  RAVICHANDRA</t>
  </si>
  <si>
    <t xml:space="preserve">  MAHESH</t>
  </si>
  <si>
    <t xml:space="preserve">  WASEEM</t>
  </si>
  <si>
    <t xml:space="preserve">  GAGAN R</t>
  </si>
  <si>
    <t xml:space="preserve">  HEMANTH T B</t>
  </si>
  <si>
    <t xml:space="preserve">  MADHU KUMAR N J</t>
  </si>
  <si>
    <t xml:space="preserve">  YOGARAJU N T</t>
  </si>
  <si>
    <t xml:space="preserve">  CHETHANS</t>
  </si>
  <si>
    <t xml:space="preserve">  NAGARAJ</t>
  </si>
  <si>
    <t xml:space="preserve">  SACHIN FULARE</t>
  </si>
  <si>
    <t xml:space="preserve">  VIJAYALAXMI</t>
  </si>
  <si>
    <t xml:space="preserve">  SAIKUMAR</t>
  </si>
  <si>
    <t xml:space="preserve">  AAROODHKAILAS</t>
  </si>
  <si>
    <t xml:space="preserve">  MASTAN BASHA PATEL</t>
  </si>
  <si>
    <t xml:space="preserve">  PREM SHYAMU RATHOD</t>
  </si>
  <si>
    <t xml:space="preserve">  ASLAM</t>
  </si>
  <si>
    <t xml:space="preserve">  SAGAR CHANDRAKANT DODDAMANI</t>
  </si>
  <si>
    <t xml:space="preserve">  SHASHIKUMAR?SIDAGOUDAWAGHAMODE</t>
  </si>
  <si>
    <t xml:space="preserve">  SHRIDHAR SHIVAPPA MADALAMATTI</t>
  </si>
  <si>
    <t xml:space="preserve">  VITHAL NANDIKURALI</t>
  </si>
  <si>
    <t xml:space="preserve">  VIJAY KALLAPPA MANGASULI</t>
  </si>
  <si>
    <t xml:space="preserve">  SHREENATH ASHOK SINGADI</t>
  </si>
  <si>
    <t xml:space="preserve">  MAHESH APPASAB KAMBLE</t>
  </si>
  <si>
    <t xml:space="preserve">  PREMCHIDANANDKAMBLE</t>
  </si>
  <si>
    <t xml:space="preserve">  CHANNAPPASANTI</t>
  </si>
  <si>
    <t xml:space="preserve">  DNYANGONDA</t>
  </si>
  <si>
    <t xml:space="preserve">  RAM LING</t>
  </si>
  <si>
    <t xml:space="preserve">  SIDRAM</t>
  </si>
  <si>
    <t xml:space="preserve">  RAHEEM PASHA</t>
  </si>
  <si>
    <t xml:space="preserve">  SUDHAKAR</t>
  </si>
  <si>
    <t xml:space="preserve">  MURALI</t>
  </si>
  <si>
    <t xml:space="preserve">  AMAR</t>
  </si>
  <si>
    <t xml:space="preserve">  HANMANTH</t>
  </si>
  <si>
    <t xml:space="preserve">  PADIYAPPAPUJAR</t>
  </si>
  <si>
    <t xml:space="preserve">  GOPALBHAJANTRI</t>
  </si>
  <si>
    <t xml:space="preserve">  GURUNATH CHIKANAL</t>
  </si>
  <si>
    <t xml:space="preserve">  AJIT NADAF</t>
  </si>
  <si>
    <t xml:space="preserve">  BASAVARAJ YARAGATTI</t>
  </si>
  <si>
    <t xml:space="preserve">  KUMAR SHANKARAPPA LAMANI</t>
  </si>
  <si>
    <t xml:space="preserve">  NAGARAJ H MADAR</t>
  </si>
  <si>
    <t xml:space="preserve">  YUSUFALISDODDAMANI</t>
  </si>
  <si>
    <t xml:space="preserve">  TOUSHIFMAKANDAR</t>
  </si>
  <si>
    <t xml:space="preserve">  DAYANANDHIREMATH</t>
  </si>
  <si>
    <t xml:space="preserve">  SURAJKATAGERI</t>
  </si>
  <si>
    <t xml:space="preserve">  RAMESHHUNDIGER</t>
  </si>
  <si>
    <t xml:space="preserve">  MANJUNATH KAMATAGI</t>
  </si>
  <si>
    <t xml:space="preserve">  CHANDRASHEKAR BHAJANTRI</t>
  </si>
  <si>
    <t xml:space="preserve">  HUSENSABNADAF</t>
  </si>
  <si>
    <t xml:space="preserve">  MAHAMADHEJUL</t>
  </si>
  <si>
    <t xml:space="preserve">  NARESHA T V</t>
  </si>
  <si>
    <t xml:space="preserve">  SHRIKANTH V K</t>
  </si>
  <si>
    <t xml:space="preserve">  MADHUSUDHAN V</t>
  </si>
  <si>
    <t xml:space="preserve">  ADISHEKHARABG</t>
  </si>
  <si>
    <t xml:space="preserve">  PAVANG</t>
  </si>
  <si>
    <t xml:space="preserve">  VINODKUMARYN</t>
  </si>
  <si>
    <t xml:space="preserve">  DARSHANMANJUNATHBIJATKAR</t>
  </si>
  <si>
    <t xml:space="preserve">  RAMESHKABBUR</t>
  </si>
  <si>
    <t xml:space="preserve">  MANJUNATH A REVANNAVAR</t>
  </si>
  <si>
    <t xml:space="preserve">  MANJUNATH HEGADE</t>
  </si>
  <si>
    <t xml:space="preserve">  RAJU BAVIHAL</t>
  </si>
  <si>
    <t xml:space="preserve">  MAHMADARAFIK MABUBASAB NADAF</t>
  </si>
  <si>
    <t xml:space="preserve">  HULUGAPPA A K</t>
  </si>
  <si>
    <t xml:space="preserve">  CHENNA REDDY</t>
  </si>
  <si>
    <t xml:space="preserve">  SHIVAMURTHY</t>
  </si>
  <si>
    <t xml:space="preserve">  NAGARAJ C</t>
  </si>
  <si>
    <t xml:space="preserve">  SUDHAKARA</t>
  </si>
  <si>
    <t xml:space="preserve">  SUBHANI P</t>
  </si>
  <si>
    <t xml:space="preserve">  ANJAPPA R</t>
  </si>
  <si>
    <t xml:space="preserve">  SURESH R</t>
  </si>
  <si>
    <t xml:space="preserve">  CHALAPATHI</t>
  </si>
  <si>
    <t xml:space="preserve">  BENNER JOHN D</t>
  </si>
  <si>
    <t xml:space="preserve">  A V MARUTHI</t>
  </si>
  <si>
    <t xml:space="preserve">  NIVEDITHA Y</t>
  </si>
  <si>
    <t xml:space="preserve">  NANDINI M</t>
  </si>
  <si>
    <t xml:space="preserve">  SUMANTHS</t>
  </si>
  <si>
    <t xml:space="preserve">  BABUN</t>
  </si>
  <si>
    <t xml:space="preserve">  SACHIN</t>
  </si>
  <si>
    <t xml:space="preserve">  NARSING</t>
  </si>
  <si>
    <t xml:space="preserve">  SWARUP</t>
  </si>
  <si>
    <t xml:space="preserve">  SANTHOSH</t>
  </si>
  <si>
    <t xml:space="preserve">  BOMMAGOND</t>
  </si>
  <si>
    <t xml:space="preserve">  MANOJKUMAR</t>
  </si>
  <si>
    <t xml:space="preserve">  VIJAYKUMAR</t>
  </si>
  <si>
    <t xml:space="preserve">  SHIVARANJAN NAIKAR</t>
  </si>
  <si>
    <t xml:space="preserve">  MNJUNATH WALI</t>
  </si>
  <si>
    <t xml:space="preserve">  SOMANATHSAMBHAJIPATIL</t>
  </si>
  <si>
    <t xml:space="preserve">  VISHWANATH B AMBADAGATTI</t>
  </si>
  <si>
    <t xml:space="preserve">  GANGAPPANAIK</t>
  </si>
  <si>
    <t xml:space="preserve">  BASAPPASIDDAPPAMANOLI</t>
  </si>
  <si>
    <t xml:space="preserve">  SUBHASHMAJAGAVI</t>
  </si>
  <si>
    <t xml:space="preserve">  YALLAPPAMAJAGAVI</t>
  </si>
  <si>
    <t xml:space="preserve">  BASAPPAKUPANI</t>
  </si>
  <si>
    <t xml:space="preserve">  ABHISHEKBHAVAKANNAHIROJI</t>
  </si>
  <si>
    <t xml:space="preserve">  KARTHIKSV</t>
  </si>
  <si>
    <t xml:space="preserve">  CHARAN</t>
  </si>
  <si>
    <t xml:space="preserve">  RCHIRANJEEVI</t>
  </si>
  <si>
    <t xml:space="preserve">  SUNILKUMARS</t>
  </si>
  <si>
    <t xml:space="preserve">  SHASHI</t>
  </si>
  <si>
    <t xml:space="preserve">  NAGARAJA V</t>
  </si>
  <si>
    <t xml:space="preserve">  MASTER V</t>
  </si>
  <si>
    <t xml:space="preserve">  ASHWINKUMAR</t>
  </si>
  <si>
    <t xml:space="preserve">  HEMANTHKUMARV</t>
  </si>
  <si>
    <t xml:space="preserve">  NAGRAJ</t>
  </si>
  <si>
    <t xml:space="preserve">  LOKESH</t>
  </si>
  <si>
    <t xml:space="preserve">  MAHANTESH</t>
  </si>
  <si>
    <t xml:space="preserve">  EMYANUEL</t>
  </si>
  <si>
    <t xml:space="preserve">  GURUPRASAD</t>
  </si>
  <si>
    <t xml:space="preserve">  DAYANAND</t>
  </si>
  <si>
    <t xml:space="preserve">  HARIJANVIJAYKUMAR</t>
  </si>
  <si>
    <t xml:space="preserve">  ERESH</t>
  </si>
  <si>
    <t xml:space="preserve">  RAJAPPA</t>
  </si>
  <si>
    <t xml:space="preserve">  VEENADEVI</t>
  </si>
  <si>
    <t xml:space="preserve">  ZHARNAPPA</t>
  </si>
  <si>
    <t xml:space="preserve">  NARASAPPA</t>
  </si>
  <si>
    <t xml:space="preserve">  VIKAS HAVGE</t>
  </si>
  <si>
    <t xml:space="preserve">  SATISH</t>
  </si>
  <si>
    <t xml:space="preserve">  BASAVARAJ</t>
  </si>
  <si>
    <t xml:space="preserve">  VISHNU PARASAPPA CHANNADASAR</t>
  </si>
  <si>
    <t xml:space="preserve">  VEERANNA JANAMATTI</t>
  </si>
  <si>
    <t xml:space="preserve">  RAJU HUCHAPPA CHALAWADI</t>
  </si>
  <si>
    <t xml:space="preserve">  RAJU HALAGI</t>
  </si>
  <si>
    <t xml:space="preserve">  ANUMALAWENKAT</t>
  </si>
  <si>
    <t xml:space="preserve">  KASALAMURALIMOHAN</t>
  </si>
  <si>
    <t xml:space="preserve">  MANNEM VENKATA SUBBAIAH</t>
  </si>
  <si>
    <t xml:space="preserve">  GOLLAPALLI MANOJ KUMAR</t>
  </si>
  <si>
    <t xml:space="preserve">  KODIKALLA GURU THEJA</t>
  </si>
  <si>
    <t xml:space="preserve">  PATHAKOTA SAI NARAYANA</t>
  </si>
  <si>
    <t xml:space="preserve">  SHASHIKANTABIRADAR</t>
  </si>
  <si>
    <t xml:space="preserve">  SIDDARAM KAMBAR</t>
  </si>
  <si>
    <t xml:space="preserve">  AKASHARAY NADUVINKERI</t>
  </si>
  <si>
    <t xml:space="preserve">  IMMANAVAR ARUN GORAKNATH</t>
  </si>
  <si>
    <t xml:space="preserve">  NILESH KANTAPPA BIRUNAGI</t>
  </si>
  <si>
    <t xml:space="preserve">  AJAMIRRAJAKSABPINJAR</t>
  </si>
  <si>
    <t xml:space="preserve">  SAGARKONKANI</t>
  </si>
  <si>
    <t xml:space="preserve">  KIRANBANASODE</t>
  </si>
  <si>
    <t xml:space="preserve">  PARASHURAMKOTALAGI</t>
  </si>
  <si>
    <t xml:space="preserve">  AMBUJA</t>
  </si>
  <si>
    <t xml:space="preserve">  M SUMANTH KUMAR</t>
  </si>
  <si>
    <t xml:space="preserve">  NAGARAJA P</t>
  </si>
  <si>
    <t xml:space="preserve">  NAGABHUSHANA R T</t>
  </si>
  <si>
    <t xml:space="preserve">  KATIKAMADHU</t>
  </si>
  <si>
    <t xml:space="preserve">  N THIPPESWAMY</t>
  </si>
  <si>
    <t xml:space="preserve">  G N SUNIL RAJ</t>
  </si>
  <si>
    <t xml:space="preserve">  ANUSH N</t>
  </si>
  <si>
    <t xml:space="preserve">  C ABHISHEK</t>
  </si>
  <si>
    <t xml:space="preserve">  GIRISH C</t>
  </si>
  <si>
    <t xml:space="preserve">  KISHAN M</t>
  </si>
  <si>
    <t xml:space="preserve">  SUMANTHKUMAR</t>
  </si>
  <si>
    <t xml:space="preserve">  PAVANKUMARV</t>
  </si>
  <si>
    <t xml:space="preserve">  YOGESHAR</t>
  </si>
  <si>
    <t xml:space="preserve">  RDEVARAJ</t>
  </si>
  <si>
    <t xml:space="preserve">  AKHILESHA R</t>
  </si>
  <si>
    <t xml:space="preserve">  PRADEEPA KUMARA C J</t>
  </si>
  <si>
    <t xml:space="preserve">  RUDRESHC</t>
  </si>
  <si>
    <t xml:space="preserve">  PRADEEPAKUMARACJ</t>
  </si>
  <si>
    <t xml:space="preserve">  BHARATHAT</t>
  </si>
  <si>
    <t xml:space="preserve">  NAVEENKUMARNN</t>
  </si>
  <si>
    <t xml:space="preserve">  BALACHANDRA C</t>
  </si>
  <si>
    <t xml:space="preserve">  RANGANATHAMR</t>
  </si>
  <si>
    <t xml:space="preserve">  NAVEENKUMARN</t>
  </si>
  <si>
    <t xml:space="preserve">  AKASHS</t>
  </si>
  <si>
    <t xml:space="preserve">  ABHIJITHAP</t>
  </si>
  <si>
    <t xml:space="preserve">  UMESHA K R</t>
  </si>
  <si>
    <t xml:space="preserve">  H P KIRAN RAJ URS</t>
  </si>
  <si>
    <t xml:space="preserve">  BASAVARAJUHP</t>
  </si>
  <si>
    <t xml:space="preserve">  MANJUNATHAML</t>
  </si>
  <si>
    <t xml:space="preserve">  BEERESH</t>
  </si>
  <si>
    <t xml:space="preserve">  AJAYMB</t>
  </si>
  <si>
    <t xml:space="preserve">  BHOOTHESHDR</t>
  </si>
  <si>
    <t xml:space="preserve">  SUHASRAJCD</t>
  </si>
  <si>
    <t xml:space="preserve">  CHIRANJEEVIMJ</t>
  </si>
  <si>
    <t xml:space="preserve">  KALMESH JAIKAR</t>
  </si>
  <si>
    <t xml:space="preserve">  MUTTURAJPUJERI</t>
  </si>
  <si>
    <t xml:space="preserve">  SAKSHI SHIVANAND SARAGE</t>
  </si>
  <si>
    <t xml:space="preserve">  YUVARAJ BASAVANT KAMBLE</t>
  </si>
  <si>
    <t xml:space="preserve">  NAGESH SHIVAGOUDA PARAGOUDA</t>
  </si>
  <si>
    <t xml:space="preserve">  VISHALKAMBLE</t>
  </si>
  <si>
    <t xml:space="preserve">  GOUTAMHOLEPPPAKANCHAKRATTI</t>
  </si>
  <si>
    <t xml:space="preserve">  VINODSHIVAJIKAMBLE</t>
  </si>
  <si>
    <t xml:space="preserve">  DEVARAJNAIK</t>
  </si>
  <si>
    <t xml:space="preserve">  KUMAR</t>
  </si>
  <si>
    <t xml:space="preserve">  SUNEELKUMAR</t>
  </si>
  <si>
    <t xml:space="preserve">  DARSHAN</t>
  </si>
  <si>
    <t xml:space="preserve">  SHASHIKUMAR</t>
  </si>
  <si>
    <t xml:space="preserve">  MAHAMMADPARVEZ</t>
  </si>
  <si>
    <t xml:space="preserve">  SHABAREESHAMM</t>
  </si>
  <si>
    <t xml:space="preserve">  NARASIMHAMURTHY T V</t>
  </si>
  <si>
    <t xml:space="preserve">  BHARATH KUMAR</t>
  </si>
  <si>
    <t xml:space="preserve">  KARTHIK Y</t>
  </si>
  <si>
    <t xml:space="preserve">  VENKATESHBN</t>
  </si>
  <si>
    <t xml:space="preserve">  GAJENDRAKR</t>
  </si>
  <si>
    <t xml:space="preserve">  PRADEEPKUMARNK</t>
  </si>
  <si>
    <t xml:space="preserve">  R MAHANTHESH</t>
  </si>
  <si>
    <t xml:space="preserve">  RAKESH A</t>
  </si>
  <si>
    <t xml:space="preserve">  AJAYKUMARS</t>
  </si>
  <si>
    <t xml:space="preserve">  HANUMANTHAPPA R</t>
  </si>
  <si>
    <t xml:space="preserve">  VASANTH</t>
  </si>
  <si>
    <t xml:space="preserve">  T MADHU</t>
  </si>
  <si>
    <t xml:space="preserve">  CHETHANAS</t>
  </si>
  <si>
    <t xml:space="preserve">  JAGADEESH M</t>
  </si>
  <si>
    <t xml:space="preserve">  VINAY T J</t>
  </si>
  <si>
    <t xml:space="preserve">  MANJUKUMAR</t>
  </si>
  <si>
    <t xml:space="preserve">  SUNITH KUMAR</t>
  </si>
  <si>
    <t xml:space="preserve">  DILEEPS</t>
  </si>
  <si>
    <t xml:space="preserve">  NAGARAJA H R</t>
  </si>
  <si>
    <t xml:space="preserve">  PAVAN KUMAR</t>
  </si>
  <si>
    <t xml:space="preserve">  CHANNESH H</t>
  </si>
  <si>
    <t xml:space="preserve">  MANJUNATHA T N</t>
  </si>
  <si>
    <t xml:space="preserve">  MAHABOOB Z</t>
  </si>
  <si>
    <t xml:space="preserve">  SUNITHA</t>
  </si>
  <si>
    <t xml:space="preserve">  HULIGESHA S M</t>
  </si>
  <si>
    <t xml:space="preserve">  SATHISHSRINIVASA</t>
  </si>
  <si>
    <t xml:space="preserve">  NAGARAJAS</t>
  </si>
  <si>
    <t xml:space="preserve">  HANAMANTARAYA</t>
  </si>
  <si>
    <t xml:space="preserve">  CHANNABASAVA</t>
  </si>
  <si>
    <t xml:space="preserve">  THIRUPATHI</t>
  </si>
  <si>
    <t xml:space="preserve">  TIMMAPPA</t>
  </si>
  <si>
    <t xml:space="preserve">  SHEKHAPPA</t>
  </si>
  <si>
    <t xml:space="preserve">  RANGANNA</t>
  </si>
  <si>
    <t xml:space="preserve">  KUMARS</t>
  </si>
  <si>
    <t xml:space="preserve">  MANIKANTAN</t>
  </si>
  <si>
    <t xml:space="preserve">  CHETAN T</t>
  </si>
  <si>
    <t xml:space="preserve">  NITHIN KUMAR N</t>
  </si>
  <si>
    <t xml:space="preserve">  NAGESHA G</t>
  </si>
  <si>
    <t xml:space="preserve">  S SIVANANDA</t>
  </si>
  <si>
    <t xml:space="preserve">  KOTHAKOTA SURESH</t>
  </si>
  <si>
    <t xml:space="preserve">  C LOKESH</t>
  </si>
  <si>
    <t xml:space="preserve">  SAKE KIRAN KUMAR</t>
  </si>
  <si>
    <t xml:space="preserve">  SAKE NAGAVENI</t>
  </si>
  <si>
    <t xml:space="preserve">  KIRANKUMARSINGADI</t>
  </si>
  <si>
    <t xml:space="preserve">  GANESH KALAL</t>
  </si>
  <si>
    <t xml:space="preserve">  HANUMANT K HONGAL</t>
  </si>
  <si>
    <t xml:space="preserve">  PUNDALEEK T RANAYI</t>
  </si>
  <si>
    <t xml:space="preserve">  KRISHNA DASHARATH DASAR</t>
  </si>
  <si>
    <t xml:space="preserve">  MANTESH S</t>
  </si>
  <si>
    <t xml:space="preserve">  MAHESHA C KATTIMANI</t>
  </si>
  <si>
    <t xml:space="preserve">  UMESHBOLASHETTI</t>
  </si>
  <si>
    <t xml:space="preserve">  DHOOLESHBETAGERI</t>
  </si>
  <si>
    <t xml:space="preserve">  NINGAPPAMUTTENNAVARY</t>
  </si>
  <si>
    <t xml:space="preserve">  NAGARAJGURAKKANAVAR</t>
  </si>
  <si>
    <t xml:space="preserve">  MANJUNATHAKB</t>
  </si>
  <si>
    <t xml:space="preserve">  SOMASHEKHAR G H</t>
  </si>
  <si>
    <t xml:space="preserve">  PAVAN KUMAR T H</t>
  </si>
  <si>
    <t xml:space="preserve">  VINOD A</t>
  </si>
  <si>
    <t xml:space="preserve">  KARTHIK N</t>
  </si>
  <si>
    <t xml:space="preserve">  HEMANTHKUMARM</t>
  </si>
  <si>
    <t xml:space="preserve">  SHRIKANTTIPPANNAPURAVANTI</t>
  </si>
  <si>
    <t xml:space="preserve">  JAGADEESH BHANDHARIMATH</t>
  </si>
  <si>
    <t xml:space="preserve">  BASAPPA TALAWAR</t>
  </si>
  <si>
    <t xml:space="preserve">  RAMESH YALLAPPA DEVARAMANI</t>
  </si>
  <si>
    <t xml:space="preserve">  ARUNAKUMAR C BILEYALI</t>
  </si>
  <si>
    <t xml:space="preserve">  MAHIBUBA SORATOOR</t>
  </si>
  <si>
    <t xml:space="preserve">  VEERESHHANUMANTHAPPAGURIKAR</t>
  </si>
  <si>
    <t xml:space="preserve">  KRISHNA</t>
  </si>
  <si>
    <t xml:space="preserve">  KURVA NAGENDRA</t>
  </si>
  <si>
    <t xml:space="preserve">  GUNDEPOGU RAVIRAJU</t>
  </si>
  <si>
    <t xml:space="preserve">  MADHAVARAJU</t>
  </si>
  <si>
    <t xml:space="preserve">  ANANDAKURIYAVAR</t>
  </si>
  <si>
    <t xml:space="preserve">  SANTOSHSHARANAPPASANGANAL</t>
  </si>
  <si>
    <t xml:space="preserve">  RACHAYYA</t>
  </si>
  <si>
    <t xml:space="preserve">  BHIMAPPA</t>
  </si>
  <si>
    <t xml:space="preserve">  SHARANABASAPPA</t>
  </si>
  <si>
    <t xml:space="preserve">  BHEEMAPPAYYALIGAR</t>
  </si>
  <si>
    <t xml:space="preserve">  YAMANUR SAB H</t>
  </si>
  <si>
    <t xml:space="preserve">  HANUMAGOUDA</t>
  </si>
  <si>
    <t xml:space="preserve">  DURGESH K</t>
  </si>
  <si>
    <t xml:space="preserve">  BHEEMANAGOUDA</t>
  </si>
  <si>
    <t xml:space="preserve">  MURTUJA SAB</t>
  </si>
  <si>
    <t xml:space="preserve">  SHARANAPPA</t>
  </si>
  <si>
    <t xml:space="preserve">  KIRANRAMAGANATTI</t>
  </si>
  <si>
    <t xml:space="preserve">  AKASH TALAWAR</t>
  </si>
  <si>
    <t xml:space="preserve">  SATISH SURESH CHAPATI</t>
  </si>
  <si>
    <t xml:space="preserve">  KRISHNA GEESANINGAVVAGOL</t>
  </si>
  <si>
    <t xml:space="preserve">  SHIVANAND HUKKERI</t>
  </si>
  <si>
    <t xml:space="preserve">  SHIVANAND TAHASILDAR</t>
  </si>
  <si>
    <t xml:space="preserve">  RAKESHWALAD</t>
  </si>
  <si>
    <t xml:space="preserve">  MANJUNATHSH</t>
  </si>
  <si>
    <t xml:space="preserve">  NARAYAN GUJANAL</t>
  </si>
  <si>
    <t xml:space="preserve">  SHRAVANBHIMSENNAIK</t>
  </si>
  <si>
    <t xml:space="preserve">  RAMANJINAPPA</t>
  </si>
  <si>
    <t xml:space="preserve">  SHAKSHAKHAN</t>
  </si>
  <si>
    <t xml:space="preserve">  UMESHA K</t>
  </si>
  <si>
    <t xml:space="preserve">  SOMASHEKAR L</t>
  </si>
  <si>
    <t xml:space="preserve">  NANDINIHG</t>
  </si>
  <si>
    <t xml:space="preserve">  GOPALT</t>
  </si>
  <si>
    <t xml:space="preserve">  DHANUSHY</t>
  </si>
  <si>
    <t xml:space="preserve">  JITENDRAK</t>
  </si>
  <si>
    <t xml:space="preserve">  NITHISHKUMARG</t>
  </si>
  <si>
    <t xml:space="preserve">  ASHAGR</t>
  </si>
  <si>
    <t xml:space="preserve">  DINESH G Y</t>
  </si>
  <si>
    <t xml:space="preserve">  MANIKANTAIAH MM</t>
  </si>
  <si>
    <t xml:space="preserve">  GOWTHAM S</t>
  </si>
  <si>
    <t xml:space="preserve">  KOWSHIK S D</t>
  </si>
  <si>
    <t xml:space="preserve">  SATHISHA P H</t>
  </si>
  <si>
    <t xml:space="preserve">  CHANDRAIAHKS</t>
  </si>
  <si>
    <t xml:space="preserve">  NAGARAJA G</t>
  </si>
  <si>
    <t xml:space="preserve">  ELIGARA NAGARAJA</t>
  </si>
  <si>
    <t xml:space="preserve">  KARTHIK M</t>
  </si>
  <si>
    <t xml:space="preserve">  H G MANIKANTA</t>
  </si>
  <si>
    <t xml:space="preserve">  PRADEEP H</t>
  </si>
  <si>
    <t xml:space="preserve">  M PRAMOD</t>
  </si>
  <si>
    <t xml:space="preserve">  RAFIKSAB PINJAR</t>
  </si>
  <si>
    <t xml:space="preserve">  KODIHALLI CHANNAVEERAPPA</t>
  </si>
  <si>
    <t xml:space="preserve">  MAHANTHESHA GOURIHALLI</t>
  </si>
  <si>
    <t xml:space="preserve">  AJJAIAH POOJARA</t>
  </si>
  <si>
    <t xml:space="preserve">  BASAVARAJAITTIGUDI</t>
  </si>
  <si>
    <t xml:space="preserve">  VARADALLIPARASHURAMA</t>
  </si>
  <si>
    <t xml:space="preserve">  RAVI K</t>
  </si>
  <si>
    <t xml:space="preserve">  BHUVANESHWARI</t>
  </si>
  <si>
    <t xml:space="preserve">  SUNIL KUMAR H P</t>
  </si>
  <si>
    <t xml:space="preserve">  PRADEEPA MUKANNANAVARA</t>
  </si>
  <si>
    <t xml:space="preserve">  ANNAPPA B KURADAL</t>
  </si>
  <si>
    <t xml:space="preserve">  MAHADEVAPPA H K</t>
  </si>
  <si>
    <t xml:space="preserve">  KOTAIAH M</t>
  </si>
  <si>
    <t xml:space="preserve">  VASUDEVA MURTHY N</t>
  </si>
  <si>
    <t xml:space="preserve">  NAVEENA K L</t>
  </si>
  <si>
    <t xml:space="preserve">  SANTHOSHA S</t>
  </si>
  <si>
    <t xml:space="preserve">  SUMAIAH</t>
  </si>
  <si>
    <t xml:space="preserve">  SHASHIKANTH</t>
  </si>
  <si>
    <t xml:space="preserve">  THIMMEGOWDAR</t>
  </si>
  <si>
    <t xml:space="preserve">  RANGANATHA BS</t>
  </si>
  <si>
    <t xml:space="preserve">  DADAPEER A</t>
  </si>
  <si>
    <t xml:space="preserve">  TARUN N</t>
  </si>
  <si>
    <t xml:space="preserve">  SRINIVAS K</t>
  </si>
  <si>
    <t xml:space="preserve">  MOUNESHR</t>
  </si>
  <si>
    <t xml:space="preserve">  RAVI T</t>
  </si>
  <si>
    <t xml:space="preserve">  JAGADISH N T</t>
  </si>
  <si>
    <t xml:space="preserve">  KIRANVH</t>
  </si>
  <si>
    <t xml:space="preserve">  HAREESHAP</t>
  </si>
  <si>
    <t xml:space="preserve">  MANJANAIK R</t>
  </si>
  <si>
    <t xml:space="preserve">  SUMA T S</t>
  </si>
  <si>
    <t xml:space="preserve">  ARAVINDA M S</t>
  </si>
  <si>
    <t xml:space="preserve">  ANITHA H S</t>
  </si>
  <si>
    <t xml:space="preserve">  SURESHAMB</t>
  </si>
  <si>
    <t xml:space="preserve">  HANAMATAPPAHANCHINAMANI</t>
  </si>
  <si>
    <t xml:space="preserve">  DATHTHATHREYAP</t>
  </si>
  <si>
    <t xml:space="preserve">  RUDRESH B S</t>
  </si>
  <si>
    <t xml:space="preserve">  CHIDANANDA M</t>
  </si>
  <si>
    <t xml:space="preserve">  SUNIL KUMAR</t>
  </si>
  <si>
    <t xml:space="preserve">  SHASHIDHARAKS</t>
  </si>
  <si>
    <t xml:space="preserve">  PARAMESHWARAPPAR</t>
  </si>
  <si>
    <t xml:space="preserve">  MAHANTESHA K</t>
  </si>
  <si>
    <t xml:space="preserve">  BHIMESH</t>
  </si>
  <si>
    <t xml:space="preserve">  YASHODHA</t>
  </si>
  <si>
    <t xml:space="preserve">  GOUSIYA BEGUM T</t>
  </si>
  <si>
    <t xml:space="preserve">  B PAMPAPATHI</t>
  </si>
  <si>
    <t xml:space="preserve">  ERAPPA</t>
  </si>
  <si>
    <t xml:space="preserve">  MANJUNATH HANUMATAPPA BAMMIGATTI</t>
  </si>
  <si>
    <t xml:space="preserve">  CHANDRAKANTH K HIREMATH</t>
  </si>
  <si>
    <t xml:space="preserve">  NAGALING BHOVI</t>
  </si>
  <si>
    <t xml:space="preserve">  JYOTI R D</t>
  </si>
  <si>
    <t xml:space="preserve">  RAJU AMBIGER</t>
  </si>
  <si>
    <t xml:space="preserve">  RAMAPRAKASH MISHI</t>
  </si>
  <si>
    <t xml:space="preserve">  VIJAYALAXMI HANUMASAGAR</t>
  </si>
  <si>
    <t xml:space="preserve">  ARUN MADIVALAPPA TAVARAGERI</t>
  </si>
  <si>
    <t xml:space="preserve">  RAVI RACHAPPA PATTANAD</t>
  </si>
  <si>
    <t xml:space="preserve">  RAVIKIRAN POMOJI</t>
  </si>
  <si>
    <t xml:space="preserve">  MAHAMMADRAFIK M NADAF</t>
  </si>
  <si>
    <t xml:space="preserve">  APPAYYA S CHARANTIMATH</t>
  </si>
  <si>
    <t xml:space="preserve">  MANJUNATHATB</t>
  </si>
  <si>
    <t xml:space="preserve">  RAMESH N H</t>
  </si>
  <si>
    <t xml:space="preserve">  SHASHIKALA R</t>
  </si>
  <si>
    <t xml:space="preserve">  KUMARSWAMY R</t>
  </si>
  <si>
    <t xml:space="preserve">  KRISHNA MURTHY</t>
  </si>
  <si>
    <t xml:space="preserve">  GIRISHACV</t>
  </si>
  <si>
    <t xml:space="preserve">  BASAVARAJUN</t>
  </si>
  <si>
    <t xml:space="preserve">  RAGASWAMYTS</t>
  </si>
  <si>
    <t xml:space="preserve">  BHARATHKUMARBN</t>
  </si>
  <si>
    <t xml:space="preserve">  SUREKHA</t>
  </si>
  <si>
    <t xml:space="preserve">  PRADEEP</t>
  </si>
  <si>
    <t xml:space="preserve">  SUSHEEL</t>
  </si>
  <si>
    <t xml:space="preserve">  ANIL KUMAR</t>
  </si>
  <si>
    <t xml:space="preserve">  JEETENDRAKUMAR</t>
  </si>
  <si>
    <t xml:space="preserve">  BHIMSHA</t>
  </si>
  <si>
    <t xml:space="preserve">  SHIVALINGAYYA</t>
  </si>
  <si>
    <t xml:space="preserve">  AKASH</t>
  </si>
  <si>
    <t xml:space="preserve">  GOPALRAO</t>
  </si>
  <si>
    <t xml:space="preserve">  SANGAMESH</t>
  </si>
  <si>
    <t xml:space="preserve">  BASAVARAJ TONDIHAL</t>
  </si>
  <si>
    <t xml:space="preserve">  SANTOSH S KUMBAR</t>
  </si>
  <si>
    <t xml:space="preserve">  MANJUNATH P MADAR</t>
  </si>
  <si>
    <t xml:space="preserve">  BHEEMAPPASAJJANAR</t>
  </si>
  <si>
    <t xml:space="preserve">  SANJEEVASOPPINAVARA</t>
  </si>
  <si>
    <t xml:space="preserve">  KARIBASAPPASOPPINAVARA</t>
  </si>
  <si>
    <t xml:space="preserve">  AJAYA S</t>
  </si>
  <si>
    <t xml:space="preserve">  GULAMNABHI HARAPANAHALLI</t>
  </si>
  <si>
    <t xml:space="preserve">  SABATI NAGARAJA</t>
  </si>
  <si>
    <t xml:space="preserve">  BHIMASHANKARBHIRAPPAPUJARI</t>
  </si>
  <si>
    <t xml:space="preserve">  NINGAPPA B DEVANAGANVI</t>
  </si>
  <si>
    <t xml:space="preserve">  MUTTU KSHTRI</t>
  </si>
  <si>
    <t xml:space="preserve">  ANILHUSANAPPANAGODI</t>
  </si>
  <si>
    <t xml:space="preserve">  AJAYRATHODD</t>
  </si>
  <si>
    <t xml:space="preserve">  MALLIKARJUNPARAGOND</t>
  </si>
  <si>
    <t xml:space="preserve">  MANOJVITTALRATHOD</t>
  </si>
  <si>
    <t xml:space="preserve">  ROHITCHAVAN</t>
  </si>
  <si>
    <t xml:space="preserve">  MANOJM</t>
  </si>
  <si>
    <t xml:space="preserve">  VIGNESH A</t>
  </si>
  <si>
    <t xml:space="preserve">  M JAGADEESH</t>
  </si>
  <si>
    <t xml:space="preserve">  LAKSHMI N</t>
  </si>
  <si>
    <t xml:space="preserve">  ISHWARYA D</t>
  </si>
  <si>
    <t xml:space="preserve">  SRINIVASV</t>
  </si>
  <si>
    <t xml:space="preserve">  AKSHAYAKUMAR AIHOLE D</t>
  </si>
  <si>
    <t xml:space="preserve">  K V TIMMESHA</t>
  </si>
  <si>
    <t xml:space="preserve">  GONIBASAPPA D</t>
  </si>
  <si>
    <t xml:space="preserve">  ABHISHEK R</t>
  </si>
  <si>
    <t xml:space="preserve">  MARUTHI G</t>
  </si>
  <si>
    <t xml:space="preserve">  MALLIKARJUNA B</t>
  </si>
  <si>
    <t xml:space="preserve">  PRAJWALKUMARHP</t>
  </si>
  <si>
    <t xml:space="preserve">  NAVEEN</t>
  </si>
  <si>
    <t xml:space="preserve">  MANJUNATHM</t>
  </si>
  <si>
    <t xml:space="preserve">  RAMESH SURESH LAKODRA</t>
  </si>
  <si>
    <t xml:space="preserve">  KHANDUBA PAWAR</t>
  </si>
  <si>
    <t xml:space="preserve">  ADITYA KORATAKAR</t>
  </si>
  <si>
    <t xml:space="preserve">  VIKAS</t>
  </si>
  <si>
    <t xml:space="preserve">  PURUSHOTTAM PANDU SARUR</t>
  </si>
  <si>
    <t xml:space="preserve">  MANJUNATHSIDDAPUR</t>
  </si>
  <si>
    <t xml:space="preserve">  NINGANNA</t>
  </si>
  <si>
    <t xml:space="preserve">  VITHAL</t>
  </si>
  <si>
    <t xml:space="preserve">  RAJU</t>
  </si>
  <si>
    <t xml:space="preserve">  SIDDAPPA</t>
  </si>
  <si>
    <t xml:space="preserve">  PAVANAKUMAR</t>
  </si>
  <si>
    <t xml:space="preserve">  MALLIKARJUN</t>
  </si>
  <si>
    <t xml:space="preserve">  NAGESH</t>
  </si>
  <si>
    <t xml:space="preserve">  MAKTOOMPATEL</t>
  </si>
  <si>
    <t xml:space="preserve">  PEDULLAPALLE VIJAYENDRA JAWAHAR BABU</t>
  </si>
  <si>
    <t xml:space="preserve">  AVULA SURENDRA</t>
  </si>
  <si>
    <t xml:space="preserve">  GOLLAPALLI KALYAN</t>
  </si>
  <si>
    <t xml:space="preserve">  GANDI SUBBARAO</t>
  </si>
  <si>
    <t xml:space="preserve">  KOTHAKOTARATNASHEKAR</t>
  </si>
  <si>
    <t xml:space="preserve">  MALLELA YESWANTH KUMAR</t>
  </si>
  <si>
    <t xml:space="preserve">  SADDAPALLI FAREED BASHA</t>
  </si>
  <si>
    <t xml:space="preserve">  V MURALI</t>
  </si>
  <si>
    <t xml:space="preserve">  PUDURU ADISESHU</t>
  </si>
  <si>
    <t xml:space="preserve">  AJAY B G</t>
  </si>
  <si>
    <t xml:space="preserve">  MANTHESH</t>
  </si>
  <si>
    <t xml:space="preserve">  PRAMOD K S</t>
  </si>
  <si>
    <t xml:space="preserve">  LIKHITH K V</t>
  </si>
  <si>
    <t xml:space="preserve">  DARSHAN G A</t>
  </si>
  <si>
    <t xml:space="preserve">  SHARATH KUMAR N</t>
  </si>
  <si>
    <t xml:space="preserve">  KALLESH H R</t>
  </si>
  <si>
    <t xml:space="preserve">  PRAJWAL P</t>
  </si>
  <si>
    <t xml:space="preserve">  SHARATHKUMARN</t>
  </si>
  <si>
    <t xml:space="preserve">  CHETHANKUMARK</t>
  </si>
  <si>
    <t xml:space="preserve">  PREMANATH</t>
  </si>
  <si>
    <t xml:space="preserve">  BASWANTHRAO</t>
  </si>
  <si>
    <t xml:space="preserve">  GURURAJ</t>
  </si>
  <si>
    <t xml:space="preserve">  VISHAL</t>
  </si>
  <si>
    <t xml:space="preserve">  SUNIL</t>
  </si>
  <si>
    <t xml:space="preserve">  AMBIKA</t>
  </si>
  <si>
    <t xml:space="preserve">  CHANDRASHEKAR</t>
  </si>
  <si>
    <t xml:space="preserve">  SURYAKANT</t>
  </si>
  <si>
    <t xml:space="preserve">  RANESH</t>
  </si>
  <si>
    <t xml:space="preserve">  AVINASH</t>
  </si>
  <si>
    <t xml:space="preserve">  VEERESH</t>
  </si>
  <si>
    <t xml:space="preserve">  AMITH</t>
  </si>
  <si>
    <t xml:space="preserve">  PRASHANT</t>
  </si>
  <si>
    <t xml:space="preserve">  RAMESH</t>
  </si>
  <si>
    <t xml:space="preserve">  SHIVAKUMAR</t>
  </si>
  <si>
    <t xml:space="preserve">  DASHARATH</t>
  </si>
  <si>
    <t xml:space="preserve">  VISHUVARDAN</t>
  </si>
  <si>
    <t xml:space="preserve">  BALAPPA</t>
  </si>
  <si>
    <t xml:space="preserve">  YALLALING</t>
  </si>
  <si>
    <t xml:space="preserve">  YOGESH</t>
  </si>
  <si>
    <t xml:space="preserve">  GOUDAPPA</t>
  </si>
  <si>
    <t xml:space="preserve">  VILASKUMAR</t>
  </si>
  <si>
    <t xml:space="preserve">  MANJUNATH KOPPAD</t>
  </si>
  <si>
    <t xml:space="preserve">  PRUTHVIRAJARJUNJEEVANNAVAR</t>
  </si>
  <si>
    <t xml:space="preserve">  YALLAPPA SANGAPPA MEGERI</t>
  </si>
  <si>
    <t xml:space="preserve">  SAGARA BASAPPA NETAGALL</t>
  </si>
  <si>
    <t xml:space="preserve">  VINAYAK SAHADEVAPPA KALAGHATAGI</t>
  </si>
  <si>
    <t xml:space="preserve">  MAHESH UDOJI</t>
  </si>
  <si>
    <t xml:space="preserve">  SUNILBEGUR</t>
  </si>
  <si>
    <t xml:space="preserve">  SIDDAROODSANGAPPAK</t>
  </si>
  <si>
    <t xml:space="preserve">  VILAS RATHOD</t>
  </si>
  <si>
    <t xml:space="preserve">  DEVA</t>
  </si>
  <si>
    <t xml:space="preserve">  NAGESH MANOJ KAMBLE</t>
  </si>
  <si>
    <t xml:space="preserve">  NAGARAJ BHEEMASHA</t>
  </si>
  <si>
    <t xml:space="preserve">  SRIDHAR</t>
  </si>
  <si>
    <t xml:space="preserve">  AKHIL KUMAR</t>
  </si>
  <si>
    <t xml:space="preserve">  SUMANTH P</t>
  </si>
  <si>
    <t xml:space="preserve">  DAYANANDA P N</t>
  </si>
  <si>
    <t xml:space="preserve">  ANILAKM</t>
  </si>
  <si>
    <t xml:space="preserve">  MANJUNATHA R</t>
  </si>
  <si>
    <t xml:space="preserve">  SHARANESHA H T</t>
  </si>
  <si>
    <t xml:space="preserve">  MAHESHA P B</t>
  </si>
  <si>
    <t xml:space="preserve">  VEERESHMC</t>
  </si>
  <si>
    <t xml:space="preserve">  MANJUNATHAVR</t>
  </si>
  <si>
    <t xml:space="preserve">  KARIBASAPPAS</t>
  </si>
  <si>
    <t xml:space="preserve">  BALARAJAG</t>
  </si>
  <si>
    <t xml:space="preserve">  VINAYAKPATIL</t>
  </si>
  <si>
    <t xml:space="preserve">  VEERANNA GUMATAD</t>
  </si>
  <si>
    <t xml:space="preserve">  MANJUATH MADIVALAPPA DAPALI</t>
  </si>
  <si>
    <t xml:space="preserve">  CHETAN BASAVARAJ PAGAD</t>
  </si>
  <si>
    <t xml:space="preserve">  DUNDAYYA CHIKKAMATH</t>
  </si>
  <si>
    <t xml:space="preserve">  MANJUNATH PYATI</t>
  </si>
  <si>
    <t xml:space="preserve">  DEMAPPA GANGAPPA HANCHINAMANI</t>
  </si>
  <si>
    <t xml:space="preserve">  SHANKARUDAYHADAPAD</t>
  </si>
  <si>
    <t xml:space="preserve">  KOTAPALLLY PRABHAKAR</t>
  </si>
  <si>
    <t xml:space="preserve">  V SHIVA RAMULU</t>
  </si>
  <si>
    <t xml:space="preserve">  TELUGU HARI PRASAD</t>
  </si>
  <si>
    <t xml:space="preserve">  PRAVEEN KAVALI</t>
  </si>
  <si>
    <t xml:space="preserve">  KIRANN</t>
  </si>
  <si>
    <t xml:space="preserve">  KIRAN KUMAR K</t>
  </si>
  <si>
    <t xml:space="preserve">  CHARANRAJN</t>
  </si>
  <si>
    <t xml:space="preserve">  GANGADHARAN</t>
  </si>
  <si>
    <t xml:space="preserve">  MALLIKARJUNAN</t>
  </si>
  <si>
    <t xml:space="preserve">  ISHAPPA</t>
  </si>
  <si>
    <t xml:space="preserve">  DHAREDHULAPPA</t>
  </si>
  <si>
    <t xml:space="preserve">  KHASIM BI</t>
  </si>
  <si>
    <t xml:space="preserve">  HANUMANAGOUDA</t>
  </si>
  <si>
    <t xml:space="preserve">  DIVYAKR</t>
  </si>
  <si>
    <t xml:space="preserve">  LAKSHMANA N</t>
  </si>
  <si>
    <t xml:space="preserve">  DEEPAKMC</t>
  </si>
  <si>
    <t xml:space="preserve">  YATHISHR</t>
  </si>
  <si>
    <t xml:space="preserve">  RANJITHR</t>
  </si>
  <si>
    <t xml:space="preserve">  NAGARJUNAT</t>
  </si>
  <si>
    <t xml:space="preserve">  ANANTHNAAG</t>
  </si>
  <si>
    <t xml:space="preserve">  SHARANAPPA H</t>
  </si>
  <si>
    <t xml:space="preserve">  MAHANTHESH S K</t>
  </si>
  <si>
    <t xml:space="preserve">  MANJUNATHA M A</t>
  </si>
  <si>
    <t xml:space="preserve">  K CHANNAVEERAPPA</t>
  </si>
  <si>
    <t xml:space="preserve">  SANTHOSHA</t>
  </si>
  <si>
    <t xml:space="preserve">  PUJARAKIRANA</t>
  </si>
  <si>
    <t xml:space="preserve">  DHANUNJAYA VEERAPURA</t>
  </si>
  <si>
    <t xml:space="preserve">  JANEKUNTE DODDABASAPPA</t>
  </si>
  <si>
    <t xml:space="preserve">  V BILIBAYI</t>
  </si>
  <si>
    <t xml:space="preserve">  GANESHA U</t>
  </si>
  <si>
    <t xml:space="preserve">  MALLESHD</t>
  </si>
  <si>
    <t xml:space="preserve">  CHALAVADI RAJA</t>
  </si>
  <si>
    <t xml:space="preserve">  GULEPPA</t>
  </si>
  <si>
    <t xml:space="preserve">  NAVEENKUMARMN</t>
  </si>
  <si>
    <t xml:space="preserve">  HANUMANTHAPPA J</t>
  </si>
  <si>
    <t xml:space="preserve">  MAHESH T R</t>
  </si>
  <si>
    <t xml:space="preserve">  NATARAJU K</t>
  </si>
  <si>
    <t xml:space="preserve">  SHIVAKUMARALJ</t>
  </si>
  <si>
    <t xml:space="preserve">  HARALIAH</t>
  </si>
  <si>
    <t xml:space="preserve">  DADEPEERKATAGI</t>
  </si>
  <si>
    <t xml:space="preserve">  KIRANA</t>
  </si>
  <si>
    <t xml:space="preserve">  HONNAPPA KATAGELI</t>
  </si>
  <si>
    <t xml:space="preserve">  AKASHAIYA</t>
  </si>
  <si>
    <t xml:space="preserve">  BALARAJ</t>
  </si>
  <si>
    <t xml:space="preserve">  KUMAR KATTIMANI</t>
  </si>
  <si>
    <t xml:space="preserve">  NIKHILKUMARDHARANIC</t>
  </si>
  <si>
    <t xml:space="preserve">  HASANSABAGASARD</t>
  </si>
  <si>
    <t xml:space="preserve">  MANJUNATH SHABALAD</t>
  </si>
  <si>
    <t xml:space="preserve">  NANDAN NAGAYYA HIREMATH</t>
  </si>
  <si>
    <t xml:space="preserve">  SANTOSH RAMANNA GODACHALLI</t>
  </si>
  <si>
    <t xml:space="preserve">  RIZWAN ALI</t>
  </si>
  <si>
    <t xml:space="preserve">  DODDABASAPPA</t>
  </si>
  <si>
    <t xml:space="preserve">  DEEPADODDAMANI</t>
  </si>
  <si>
    <t xml:space="preserve">  ARUN GUDIHAL</t>
  </si>
  <si>
    <t xml:space="preserve">  KEERTANA</t>
  </si>
  <si>
    <t xml:space="preserve">  VAHEED</t>
  </si>
  <si>
    <t xml:space="preserve">  KARTHIK</t>
  </si>
  <si>
    <t xml:space="preserve">  KARIYAPPA BEVINAGIDAD</t>
  </si>
  <si>
    <t xml:space="preserve">  BASAVARAJ SINGARADDI</t>
  </si>
  <si>
    <t xml:space="preserve">  LAXMI  GOUDAPPAGOUDA PATIL</t>
  </si>
  <si>
    <t xml:space="preserve">  SHANKAR  PAWAR</t>
  </si>
  <si>
    <t xml:space="preserve">  SHIVU BAILAPPA MADAR</t>
  </si>
  <si>
    <t xml:space="preserve">  MRMANJUNATHA</t>
  </si>
  <si>
    <t xml:space="preserve">  SURESH N</t>
  </si>
  <si>
    <t xml:space="preserve">  RAGUNANDHAN K R</t>
  </si>
  <si>
    <t xml:space="preserve">  NARENDRA</t>
  </si>
  <si>
    <t xml:space="preserve">  RANGANATHAD</t>
  </si>
  <si>
    <t xml:space="preserve">  NAGARAJUTL</t>
  </si>
  <si>
    <t xml:space="preserve">  NAGESHTH</t>
  </si>
  <si>
    <t xml:space="preserve">  GULAGARIGANESH</t>
  </si>
  <si>
    <t xml:space="preserve">  KOTHGOLLA SHIVA KUMAR</t>
  </si>
  <si>
    <t xml:space="preserve">  M PRAVEEN</t>
  </si>
  <si>
    <t xml:space="preserve">  SRIDHAR YADAV J</t>
  </si>
  <si>
    <t xml:space="preserve">  BRAMESH</t>
  </si>
  <si>
    <t xml:space="preserve">  ANJAMMA D S</t>
  </si>
  <si>
    <t xml:space="preserve">  BASAVARAJAS</t>
  </si>
  <si>
    <t xml:space="preserve">  VENKATESHV</t>
  </si>
  <si>
    <t xml:space="preserve">  PRADEEPN</t>
  </si>
  <si>
    <t xml:space="preserve">  SUBRAMANIR</t>
  </si>
  <si>
    <t xml:space="preserve">  NANDANKL</t>
  </si>
  <si>
    <t xml:space="preserve">  MUNIRAJUKV</t>
  </si>
  <si>
    <t xml:space="preserve">  GURUBASAYYA</t>
  </si>
  <si>
    <t xml:space="preserve">  RAMA KRISHNA</t>
  </si>
  <si>
    <t xml:space="preserve">  NIRUPADI</t>
  </si>
  <si>
    <t xml:space="preserve">  K LINGARAJA GOUDA</t>
  </si>
  <si>
    <t xml:space="preserve">  GOLLASHEKHAR</t>
  </si>
  <si>
    <t xml:space="preserve">  JOGU MALLESH</t>
  </si>
  <si>
    <t xml:space="preserve">  MAHANTESH JUPAREPPA MELLIKERI</t>
  </si>
  <si>
    <t xml:space="preserve">  MAHESH PARTHANALLI</t>
  </si>
  <si>
    <t xml:space="preserve">  BABU IRAPPA BADIGER</t>
  </si>
  <si>
    <t xml:space="preserve">  ANAND VITTHAL PUJERI</t>
  </si>
  <si>
    <t xml:space="preserve">  TUKKAPPA MANINGAPPA BADASETTI</t>
  </si>
  <si>
    <t xml:space="preserve">  BASAVARAJ TOTAGI</t>
  </si>
  <si>
    <t xml:space="preserve">  SHIVANAND YARAGATTI</t>
  </si>
  <si>
    <t xml:space="preserve">  NANJUNDAYYAMANG</t>
  </si>
  <si>
    <t xml:space="preserve">  SANTOSHBADIGER</t>
  </si>
  <si>
    <t xml:space="preserve">  DEVINDRAPPA AMALYAL</t>
  </si>
  <si>
    <t xml:space="preserve">  GOLAPPA BAICHBAL</t>
  </si>
  <si>
    <t xml:space="preserve">  DYAVAPPAGOUD RAVINDRA PATIL</t>
  </si>
  <si>
    <t xml:space="preserve">  PRADEEP MALAKANAGOUDA BIRADAR</t>
  </si>
  <si>
    <t xml:space="preserve">  PRABHULINGCHANDRAMAPPAGUBYAD</t>
  </si>
  <si>
    <t xml:space="preserve">  SATHISHA T D</t>
  </si>
  <si>
    <t xml:space="preserve">  PUNEETH M</t>
  </si>
  <si>
    <t xml:space="preserve">  HARISHL</t>
  </si>
  <si>
    <t xml:space="preserve">  HARSHABJ</t>
  </si>
  <si>
    <t xml:space="preserve">  KOWSHIKKR</t>
  </si>
  <si>
    <t xml:space="preserve">  BHIMESH HANAMANTAPPA JANGANAVARI</t>
  </si>
  <si>
    <t xml:space="preserve">  NAGAPPA</t>
  </si>
  <si>
    <t xml:space="preserve">  CHIRANJEEVI S</t>
  </si>
  <si>
    <t xml:space="preserve">  SHIVARAJA</t>
  </si>
  <si>
    <t xml:space="preserve">  KOUSER BEGUM</t>
  </si>
  <si>
    <t xml:space="preserve">  SUMMAIYYA JAMEER JIGERI</t>
  </si>
  <si>
    <t xml:space="preserve">  DEVARAJ GUGGARI</t>
  </si>
  <si>
    <t xml:space="preserve">  SHIVARAJLEKKAPPANAYAK</t>
  </si>
  <si>
    <t xml:space="preserve">  YALLAPPAGOUDAMAHANTESHGOUDA</t>
  </si>
  <si>
    <t xml:space="preserve">  SHIVAYOGI SANGAPPA GUNJAL</t>
  </si>
  <si>
    <t xml:space="preserve">  SHIDDAPPA MARENNAVAR</t>
  </si>
  <si>
    <t xml:space="preserve">  SHASHIDHARA BASAVARAJ HALAKERI</t>
  </si>
  <si>
    <t xml:space="preserve">  VEERANAGOUDAT</t>
  </si>
  <si>
    <t xml:space="preserve">  MALLIKARJUNGANIGER</t>
  </si>
  <si>
    <t xml:space="preserve">  NADIMIDODDI DAYASAGAR</t>
  </si>
  <si>
    <t xml:space="preserve">  ERPULA ANIL</t>
  </si>
  <si>
    <t xml:space="preserve">  GADDE SRINIVAS</t>
  </si>
  <si>
    <t xml:space="preserve">  EMANUEL</t>
  </si>
  <si>
    <t xml:space="preserve">  EMMADI ANIL KUMAR</t>
  </si>
  <si>
    <t xml:space="preserve">  SHIDDAPPA BHIMA KHOT</t>
  </si>
  <si>
    <t xml:space="preserve">  GANAPATI MAHADEV CHANDRAKUDE</t>
  </si>
  <si>
    <t xml:space="preserve">  SHAHINSHA KHADAR PIRAWALE</t>
  </si>
  <si>
    <t xml:space="preserve">  NILESH HANAMANT KUMBHAR</t>
  </si>
  <si>
    <t xml:space="preserve">  GOPI KAMBLE</t>
  </si>
  <si>
    <t xml:space="preserve">  DHANANJAYCHOUNDALE</t>
  </si>
  <si>
    <t xml:space="preserve">  PRAVEENCHANDRAKANTHKATTI</t>
  </si>
  <si>
    <t xml:space="preserve">  PRAMODK</t>
  </si>
  <si>
    <t xml:space="preserve">  PUNITH KUMAR HJ</t>
  </si>
  <si>
    <t xml:space="preserve">  AKSHAY B G</t>
  </si>
  <si>
    <t xml:space="preserve">  ABHISHEK K A</t>
  </si>
  <si>
    <t xml:space="preserve">  LOHITHNAIK NA</t>
  </si>
  <si>
    <t xml:space="preserve">  JAGADISHA</t>
  </si>
  <si>
    <t xml:space="preserve">  KAVYA</t>
  </si>
  <si>
    <t xml:space="preserve">  SANJAY H K</t>
  </si>
  <si>
    <t xml:space="preserve">  A P SHIVARAJ</t>
  </si>
  <si>
    <t xml:space="preserve">  CHANIKYA RAJ</t>
  </si>
  <si>
    <t xml:space="preserve">  ANITHA</t>
  </si>
  <si>
    <t xml:space="preserve">  SHIVAPPA</t>
  </si>
  <si>
    <t xml:space="preserve">  GOPAL</t>
  </si>
  <si>
    <t xml:space="preserve">  AMARESH</t>
  </si>
  <si>
    <t xml:space="preserve">  SHAIKMUZAMIL</t>
  </si>
  <si>
    <t xml:space="preserve">  GADIGEPPA ARJUN PUJAR</t>
  </si>
  <si>
    <t xml:space="preserve">  SHRIKANT SUNIL RATHOD</t>
  </si>
  <si>
    <t xml:space="preserve">  FAKEERAPPA B KATAGI</t>
  </si>
  <si>
    <t xml:space="preserve">  BARAMAPPA BASAPPA NAIKAR</t>
  </si>
  <si>
    <t xml:space="preserve">  VINOD FAKEERAPPA KALLUR</t>
  </si>
  <si>
    <t xml:space="preserve">  CHETAN BALAPPA KADLEPPANAVAR</t>
  </si>
  <si>
    <t xml:space="preserve">  SUNIL KALLOLLEPPA BANDIWADDAR</t>
  </si>
  <si>
    <t xml:space="preserve">  PRAKASH Y GOURI</t>
  </si>
  <si>
    <t xml:space="preserve">  FAKEERAPPAGADADAR</t>
  </si>
  <si>
    <t xml:space="preserve">  KUMARA M</t>
  </si>
  <si>
    <t xml:space="preserve">  BASAMMANAVARA DHARMARAYA</t>
  </si>
  <si>
    <t xml:space="preserve">  R KUMAR</t>
  </si>
  <si>
    <t xml:space="preserve">  U LAKSHMI</t>
  </si>
  <si>
    <t xml:space="preserve">  K EESHWARI</t>
  </si>
  <si>
    <t xml:space="preserve">  MANJUNATHA N</t>
  </si>
  <si>
    <t xml:space="preserve">  VINAYAKAB</t>
  </si>
  <si>
    <t xml:space="preserve">  MANGALARAM NAVEEN KUMAR</t>
  </si>
  <si>
    <t xml:space="preserve">  A BALESH</t>
  </si>
  <si>
    <t xml:space="preserve">  RANGASWAMY P R</t>
  </si>
  <si>
    <t xml:space="preserve">  C SANTHOSHA</t>
  </si>
  <si>
    <t xml:space="preserve">  RAGHU R</t>
  </si>
  <si>
    <t xml:space="preserve">  ARUNA T</t>
  </si>
  <si>
    <t xml:space="preserve">  R PRATHAP</t>
  </si>
  <si>
    <t xml:space="preserve">  RAVIKUMAR</t>
  </si>
  <si>
    <t xml:space="preserve">  SHREENATH</t>
  </si>
  <si>
    <t xml:space="preserve">  NAGANNAGOWDA</t>
  </si>
  <si>
    <t xml:space="preserve">  PRABHU</t>
  </si>
  <si>
    <t xml:space="preserve">  ABHISHEK</t>
  </si>
  <si>
    <t xml:space="preserve">  SACHINHARNOORU</t>
  </si>
  <si>
    <t xml:space="preserve">  SURESH</t>
  </si>
  <si>
    <t xml:space="preserve">  MOHANRAJ</t>
  </si>
  <si>
    <t xml:space="preserve">  UMESH</t>
  </si>
  <si>
    <t xml:space="preserve">  REVANASIDDAPPA</t>
  </si>
  <si>
    <t xml:space="preserve">  MARILINGAPPA</t>
  </si>
  <si>
    <t xml:space="preserve">  AMBRISH MADAR</t>
  </si>
  <si>
    <t xml:space="preserve">  SHIVASHARANA SOMAPPA DODDAMANI</t>
  </si>
  <si>
    <t xml:space="preserve">  RAMESH TALLOLLI</t>
  </si>
  <si>
    <t xml:space="preserve">  SUNIL HANAMANT GOUNDI</t>
  </si>
  <si>
    <t xml:space="preserve">  SHASHIKUMAR PAVADEPPA KADEMANI</t>
  </si>
  <si>
    <t xml:space="preserve">  SAHEBGOUD BIRADAR</t>
  </si>
  <si>
    <t xml:space="preserve">  SUDEEP</t>
  </si>
  <si>
    <t xml:space="preserve">  BASANAGOUDA</t>
  </si>
  <si>
    <t xml:space="preserve">  NAGARAJA</t>
  </si>
  <si>
    <t xml:space="preserve">  AMEENDEEN</t>
  </si>
  <si>
    <t xml:space="preserve">  SHRIDHARA</t>
  </si>
  <si>
    <t xml:space="preserve">  GAVISIDDAYYA</t>
  </si>
  <si>
    <t xml:space="preserve">  PRADEEPKUMAR</t>
  </si>
  <si>
    <t xml:space="preserve">  SOMANATHA</t>
  </si>
  <si>
    <t xml:space="preserve">  DEVARJA</t>
  </si>
  <si>
    <t xml:space="preserve">  THIMMARAJU L G</t>
  </si>
  <si>
    <t xml:space="preserve">  GOVINDARAJULB</t>
  </si>
  <si>
    <t xml:space="preserve">  SHIVANNA K S</t>
  </si>
  <si>
    <t xml:space="preserve">  HANUMANTHARAYA N</t>
  </si>
  <si>
    <t xml:space="preserve">  HARSHITHA J</t>
  </si>
  <si>
    <t xml:space="preserve">  THIPPESWAMYKK</t>
  </si>
  <si>
    <t xml:space="preserve">  MADIGA GADILINGA</t>
  </si>
  <si>
    <t xml:space="preserve">  ARPRAHLADA</t>
  </si>
  <si>
    <t xml:space="preserve">  RAVI CHNDRA</t>
  </si>
  <si>
    <t xml:space="preserve">  MANJUNATHA A G</t>
  </si>
  <si>
    <t xml:space="preserve">  CHIDANANDA</t>
  </si>
  <si>
    <t xml:space="preserve">  ROHITHAKUMARH</t>
  </si>
  <si>
    <t xml:space="preserve">  HAREESHS</t>
  </si>
  <si>
    <t xml:space="preserve">  BASAVALING</t>
  </si>
  <si>
    <t xml:space="preserve">  CHANNAPPA</t>
  </si>
  <si>
    <t xml:space="preserve">  CHANNABASAVA DORE</t>
  </si>
  <si>
    <t xml:space="preserve">  VIJAY KUMAR</t>
  </si>
  <si>
    <t xml:space="preserve">  PRAVEENKUMAR</t>
  </si>
  <si>
    <t xml:space="preserve">  M AMRUTHA</t>
  </si>
  <si>
    <t xml:space="preserve">  N MURALI</t>
  </si>
  <si>
    <t xml:space="preserve">  VEENU GOPALA M M</t>
  </si>
  <si>
    <t xml:space="preserve">  SHIVAKUMARPV</t>
  </si>
  <si>
    <t xml:space="preserve">  HARISHAMN</t>
  </si>
  <si>
    <t xml:space="preserve">  MANIKANTAMV</t>
  </si>
  <si>
    <t xml:space="preserve">  RAVUTARAYPUJERI</t>
  </si>
  <si>
    <t xml:space="preserve">  BHIMANNA</t>
  </si>
  <si>
    <t xml:space="preserve">  AMBEDKAR</t>
  </si>
  <si>
    <t xml:space="preserve">  PRADEEP NALATAWAD</t>
  </si>
  <si>
    <t xml:space="preserve">  AKASHKUCHABAL</t>
  </si>
  <si>
    <t xml:space="preserve">  RAMESH D</t>
  </si>
  <si>
    <t xml:space="preserve">  CHENNARUM KRISHNA</t>
  </si>
  <si>
    <t xml:space="preserve">  BAHUDUR RAMCHENDAR</t>
  </si>
  <si>
    <t xml:space="preserve">  R PANDAPPA</t>
  </si>
  <si>
    <t xml:space="preserve">  K RAJESH KUMAR</t>
  </si>
  <si>
    <t xml:space="preserve">  SUNILKUMARPH</t>
  </si>
  <si>
    <t xml:space="preserve">  KALLESHANAIK</t>
  </si>
  <si>
    <t xml:space="preserve">  HEMANTHA KUMAR B C</t>
  </si>
  <si>
    <t xml:space="preserve">  RAHUL NAIK</t>
  </si>
  <si>
    <t xml:space="preserve">  PRATHAPA C R</t>
  </si>
  <si>
    <t xml:space="preserve">  DINESHNAIKS</t>
  </si>
  <si>
    <t xml:space="preserve">  BHEERAPPA PANDEGAVI</t>
  </si>
  <si>
    <t xml:space="preserve">  PARASHURAM MADAR</t>
  </si>
  <si>
    <t xml:space="preserve">  RAVI MUNJE</t>
  </si>
  <si>
    <t xml:space="preserve">  AKSHYAKUMAR BALU HONAKAMBLE</t>
  </si>
  <si>
    <t xml:space="preserve">  PANDURANG MAHADEV TELAGI</t>
  </si>
  <si>
    <t xml:space="preserve">  SUNILKB</t>
  </si>
  <si>
    <t xml:space="preserve">  RAGHU H G</t>
  </si>
  <si>
    <t xml:space="preserve">  L S BASAVARAJ</t>
  </si>
  <si>
    <t xml:space="preserve">  YATHEESHA H N</t>
  </si>
  <si>
    <t xml:space="preserve">  SUDEEPBK</t>
  </si>
  <si>
    <t xml:space="preserve">  PARAMESHKJ</t>
  </si>
  <si>
    <t xml:space="preserve">  NAGARAJU L</t>
  </si>
  <si>
    <t xml:space="preserve">  SALAR PASHA</t>
  </si>
  <si>
    <t xml:space="preserve">  MOHAN H V</t>
  </si>
  <si>
    <t xml:space="preserve">  MOHAN N G</t>
  </si>
  <si>
    <t xml:space="preserve">  SHASHI KUMAR</t>
  </si>
  <si>
    <t xml:space="preserve">  THIMMARAJUNV</t>
  </si>
  <si>
    <t xml:space="preserve">  RANGASWAMAIAHP</t>
  </si>
  <si>
    <t xml:space="preserve">  LINGARAJUKJ</t>
  </si>
  <si>
    <t xml:space="preserve">  PUSHPASA</t>
  </si>
  <si>
    <t xml:space="preserve">  INDHUSHEKHAR K</t>
  </si>
  <si>
    <t xml:space="preserve">  KAVYA V</t>
  </si>
  <si>
    <t xml:space="preserve">  MANJUNATHA DY</t>
  </si>
  <si>
    <t xml:space="preserve">  A R INDHUKUMAR</t>
  </si>
  <si>
    <t xml:space="preserve">  SHRINIVASDM</t>
  </si>
  <si>
    <t xml:space="preserve">  VINOD JADHAV</t>
  </si>
  <si>
    <t xml:space="preserve">  BHIMARAYA CHANDRAKANT WALIKAR</t>
  </si>
  <si>
    <t xml:space="preserve">  SUNIL JAYAWANT KAMBLE</t>
  </si>
  <si>
    <t xml:space="preserve">  PRAHLAD KATTIMANI</t>
  </si>
  <si>
    <t xml:space="preserve">  SANTOSH NARAYAN JADHAV</t>
  </si>
  <si>
    <t xml:space="preserve">  ARUN RAJPUT</t>
  </si>
  <si>
    <t xml:space="preserve">  NIKHILBHIMARAOBAJANTRI</t>
  </si>
  <si>
    <t xml:space="preserve">  RAVICHITTI</t>
  </si>
  <si>
    <t xml:space="preserve">  SIDDU S</t>
  </si>
  <si>
    <t xml:space="preserve">  MOUNESH</t>
  </si>
  <si>
    <t xml:space="preserve">  LAXMIKANTH</t>
  </si>
  <si>
    <t xml:space="preserve">  RAJUKUMARPAVARA</t>
  </si>
  <si>
    <t xml:space="preserve">  MAHESHBHIMSINGRAJAPUT</t>
  </si>
  <si>
    <t xml:space="preserve">  NINGAPPA UJJINAKOPPA</t>
  </si>
  <si>
    <t xml:space="preserve">  YUNUS BALIGAR</t>
  </si>
  <si>
    <t xml:space="preserve">  IRAPANNA HUKKERI</t>
  </si>
  <si>
    <t xml:space="preserve">  SIRAJ ALLISAHEBANNAVVAR</t>
  </si>
  <si>
    <t xml:space="preserve">  MALLIKARJUN RAMESH NESARAGI</t>
  </si>
  <si>
    <t xml:space="preserve">  Mallikarjun Nugganatti</t>
  </si>
  <si>
    <t xml:space="preserve">  SHIVAPPABASAPPAAJJANAKATTI</t>
  </si>
  <si>
    <t xml:space="preserve">  KRISHNARAMACHANDRAKURI</t>
  </si>
  <si>
    <t xml:space="preserve">  VINODMADIWALAR</t>
  </si>
  <si>
    <t xml:space="preserve">  GANGADHARRAMAPPATALAWAR</t>
  </si>
  <si>
    <t xml:space="preserve">  GUNEGERISAMEL</t>
  </si>
  <si>
    <t xml:space="preserve">  GUNIGERI ARUN KUMAR</t>
  </si>
  <si>
    <t xml:space="preserve">  BEGARI MAHESHKUMAR</t>
  </si>
  <si>
    <t xml:space="preserve">  MYATHARI PRASHANTH</t>
  </si>
  <si>
    <t>OverAll On-Date Report</t>
  </si>
  <si>
    <t>REGION - WISE COLLECTION REPORT - as on 24-02-2026 (OverAll)</t>
  </si>
  <si>
    <t>DISTRICT - WISE COLLECTION REPORT - as on 24-02-2026 (OverAll)</t>
  </si>
  <si>
    <t>BRANCH - WISE COLLECTION REPORT - as on 24-02-2026 (OverAll)</t>
  </si>
  <si>
    <t>BRANCH + OFFICER NAME - WISE COLLECTION REPORT - as on 24-02-2026 (OverAll)</t>
  </si>
  <si>
    <t>Tomorrow On-Date Demand Report (24-02-2026)</t>
  </si>
  <si>
    <t>REGION - WISE COLLECTION REPORT - as on 23-02-2026 (FY_25-26)</t>
  </si>
  <si>
    <t>DISTRICT - WISE COLLECTION REPORT - as on 23-02-2026 (FY_25-26)</t>
  </si>
  <si>
    <t>BRANCH - WISE COLLECTION REPORT - as on 23-02-2026 (FY_25-26)</t>
  </si>
  <si>
    <t>BRANCH + OFFICER NAME - WISE COLLECTION REPORT - as on 23-02-2026 (FY_25-26)</t>
  </si>
  <si>
    <t>FY OverAll On-Date Report</t>
  </si>
  <si>
    <t>REGION - WISE COLLECTION REPORT - as on 24-02-2026 (FY_25-26)</t>
  </si>
  <si>
    <t>DISTRICT - WISE COLLECTION REPORT - as on 24-02-2026 (FY_25-26)</t>
  </si>
  <si>
    <t>BRANCH - WISE COLLECTION REPORT - as on 24-02-2026 (FY_25-26)</t>
  </si>
  <si>
    <t>BRANCH + OFFICER NAME - WISE COLLECTION REPORT - as on 24-02-2026 (FY_25-26)</t>
  </si>
  <si>
    <t>FY Tomorrow On-Date Demand Report (24-02-2026)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</si>
</sst>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4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5" borderId="2" xfId="0" applyFont="1" applyFill="1" applyBorder="1" applyAlignment="1">
      <alignment vertical="center"/>
    </xf>
    <xf numFmtId="3" fontId="1" fillId="5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3" fontId="0" fillId="2" borderId="2" xfId="0" applyNumberForma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10" fontId="0" fillId="4" borderId="2" xfId="0" applyNumberFormat="1" applyFill="1" applyBorder="1" applyAlignment="1">
      <alignment horizontal="center" vertical="center"/>
    </xf>
    <xf numFmtId="10" fontId="1" fillId="5" borderId="2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9" borderId="1" xfId="0" applyFill="1" applyBorder="1"/>
    <xf numFmtId="0" fontId="1" fillId="6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3" fontId="1" fillId="6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0" fontId="1" fillId="6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148"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0FB8-E7D9-9D4C-815F-544638822B8D}">
  <sheetPr codeName="Sheet2"/>
  <dimension ref="A2:Y1181"/>
  <sheetViews>
    <sheetView workbookViewId="0"/>
  </sheetViews>
  <sheetFormatPr baseColWidth="10" defaultRowHeight="15" x14ac:dyDescent="0.2"/>
  <cols>
    <col min="1" max="1" width="8.1640625" bestFit="1" customWidth="1"/>
    <col min="2" max="2" width="35.6640625" bestFit="1" customWidth="1"/>
    <col min="3" max="4" width="11.1640625" bestFit="1" customWidth="1"/>
    <col min="5" max="5" width="10.1640625" bestFit="1" customWidth="1"/>
    <col min="6" max="6" width="10.33203125" bestFit="1" customWidth="1"/>
    <col min="7" max="7" width="10.1640625" bestFit="1" customWidth="1"/>
    <col min="8" max="9" width="9.1640625" bestFit="1" customWidth="1"/>
    <col min="10" max="10" width="10.33203125" bestFit="1" customWidth="1"/>
    <col min="11" max="11" width="10.1640625" bestFit="1" customWidth="1"/>
    <col min="12" max="12" width="9.1640625" bestFit="1" customWidth="1"/>
    <col min="13" max="13" width="10.1640625" bestFit="1" customWidth="1"/>
    <col min="14" max="14" width="10.33203125" bestFit="1" customWidth="1"/>
    <col min="15" max="15" width="10.1640625" bestFit="1" customWidth="1"/>
    <col min="16" max="16" width="9.1640625" bestFit="1" customWidth="1"/>
    <col min="17" max="17" width="10.1640625" bestFit="1" customWidth="1"/>
    <col min="18" max="18" width="10.33203125" bestFit="1" customWidth="1"/>
    <col min="19" max="19" width="7.6640625" bestFit="1" customWidth="1"/>
    <col min="20" max="20" width="8.6640625" bestFit="1" customWidth="1"/>
    <col min="21" max="21" width="9.1640625" bestFit="1" customWidth="1"/>
    <col min="22" max="22" width="8.6640625" bestFit="1" customWidth="1"/>
    <col min="23" max="23" width="10.1640625" bestFit="1" customWidth="1"/>
    <col min="24" max="24" width="5.5" bestFit="1" customWidth="1"/>
    <col min="25" max="25" width="14.6640625" bestFit="1" customWidth="1"/>
  </cols>
  <sheetData>
    <row r="2" spans="2:25" x14ac:dyDescent="0.2">
      <c r="B2" s="2" t="s">
        <v>966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2:25" x14ac:dyDescent="0.2">
      <c r="B3" s="6" t="s">
        <v>958</v>
      </c>
      <c r="C3" s="2" t="s">
        <v>968</v>
      </c>
      <c r="D3" s="2"/>
      <c r="E3" s="2"/>
      <c r="F3" s="2"/>
      <c r="G3" s="2" t="s">
        <v>969</v>
      </c>
      <c r="H3" s="2"/>
      <c r="I3" s="2"/>
      <c r="J3" s="2"/>
      <c r="K3" s="2" t="s">
        <v>970</v>
      </c>
      <c r="L3" s="2"/>
      <c r="M3" s="2"/>
      <c r="N3" s="2"/>
      <c r="O3" s="2" t="s">
        <v>960</v>
      </c>
      <c r="P3" s="2"/>
      <c r="Q3" s="2"/>
      <c r="R3" s="2"/>
      <c r="S3" s="2" t="s">
        <v>951</v>
      </c>
      <c r="T3" s="2"/>
      <c r="U3" s="2"/>
      <c r="V3" s="2"/>
      <c r="W3" s="2"/>
      <c r="X3" s="7" t="s">
        <v>971</v>
      </c>
      <c r="Y3" s="7"/>
    </row>
    <row r="4" spans="2:25" x14ac:dyDescent="0.2">
      <c r="B4" s="6"/>
      <c r="C4" s="8" t="s">
        <v>961</v>
      </c>
      <c r="D4" s="9" t="s">
        <v>972</v>
      </c>
      <c r="E4" s="8" t="s">
        <v>955</v>
      </c>
      <c r="F4" s="10" t="s">
        <v>956</v>
      </c>
      <c r="G4" s="8" t="s">
        <v>961</v>
      </c>
      <c r="H4" s="9" t="s">
        <v>972</v>
      </c>
      <c r="I4" s="8" t="s">
        <v>973</v>
      </c>
      <c r="J4" s="10" t="s">
        <v>956</v>
      </c>
      <c r="K4" s="8" t="s">
        <v>961</v>
      </c>
      <c r="L4" s="9" t="s">
        <v>972</v>
      </c>
      <c r="M4" s="8" t="s">
        <v>973</v>
      </c>
      <c r="N4" s="10" t="s">
        <v>956</v>
      </c>
      <c r="O4" s="8" t="s">
        <v>961</v>
      </c>
      <c r="P4" s="9" t="s">
        <v>972</v>
      </c>
      <c r="Q4" s="8" t="s">
        <v>973</v>
      </c>
      <c r="R4" s="10" t="s">
        <v>956</v>
      </c>
      <c r="S4" s="8" t="s">
        <v>961</v>
      </c>
      <c r="T4" s="2" t="s">
        <v>962</v>
      </c>
      <c r="U4" s="2"/>
      <c r="V4" s="2" t="s">
        <v>963</v>
      </c>
      <c r="W4" s="2"/>
      <c r="X4" s="22" t="s">
        <v>974</v>
      </c>
      <c r="Y4" s="23" t="s">
        <v>975</v>
      </c>
    </row>
    <row r="5" spans="2:25" x14ac:dyDescent="0.2">
      <c r="C5" s="8"/>
      <c r="D5" s="9"/>
      <c r="E5" s="8"/>
      <c r="F5" s="10"/>
      <c r="G5" s="8"/>
      <c r="H5" s="9"/>
      <c r="I5" s="8"/>
      <c r="J5" s="10"/>
      <c r="K5" s="8"/>
      <c r="L5" s="9"/>
      <c r="M5" s="8"/>
      <c r="N5" s="10"/>
      <c r="O5" s="8"/>
      <c r="P5" s="9"/>
      <c r="Q5" s="8"/>
      <c r="R5" s="10"/>
      <c r="S5" s="8"/>
      <c r="T5" s="11" t="s">
        <v>964</v>
      </c>
      <c r="U5" s="11" t="s">
        <v>965</v>
      </c>
      <c r="V5" s="11" t="s">
        <v>964</v>
      </c>
      <c r="W5" s="11" t="s">
        <v>965</v>
      </c>
      <c r="X5" s="12"/>
      <c r="Y5" s="13"/>
    </row>
    <row r="6" spans="2:25" x14ac:dyDescent="0.2">
      <c r="B6" s="17" t="s">
        <v>7</v>
      </c>
      <c r="C6" s="18">
        <v>43102</v>
      </c>
      <c r="D6" s="19">
        <v>42334</v>
      </c>
      <c r="E6" s="18">
        <f>IF(OR(D6="-",D6="",D6=0),IF(C6="-","-",C6),C6-D6)</f>
        <v>768</v>
      </c>
      <c r="F6" s="20">
        <f>IFERROR(IF(C6&gt;0, D6/C6, 0),"-")</f>
        <v>0.98218180130852395</v>
      </c>
      <c r="G6" s="18">
        <v>440</v>
      </c>
      <c r="H6" s="19">
        <v>133</v>
      </c>
      <c r="I6" s="18">
        <f>IF(OR(H6="-",H6="",H6=0),IF(G6="-","-",G6),G6-H6)</f>
        <v>307</v>
      </c>
      <c r="J6" s="20">
        <f>IFERROR(IF(G6&gt;0, H6/G6, 0),"-")</f>
        <v>0.30227272727272725</v>
      </c>
      <c r="K6" s="18">
        <v>486</v>
      </c>
      <c r="L6" s="19">
        <v>162</v>
      </c>
      <c r="M6" s="18">
        <f>IF(OR(L6="-",L6="",L6=0),IF(K6="-","-",K6),K6-L6)</f>
        <v>324</v>
      </c>
      <c r="N6" s="20">
        <f>IFERROR(IF(K6&gt;0, L6/K6, 0),"-")</f>
        <v>0.33333333333333331</v>
      </c>
      <c r="O6" s="18">
        <v>772</v>
      </c>
      <c r="P6" s="19">
        <v>134</v>
      </c>
      <c r="Q6" s="18">
        <f>IF(OR(P6="-",P6="",P6=0),IF(O6="-","-",O6),O6-P6)</f>
        <v>638</v>
      </c>
      <c r="R6" s="20">
        <f>IFERROR(IF(O6&gt;0, P6/O6, 0),"-")</f>
        <v>0.17357512953367876</v>
      </c>
      <c r="S6" s="18">
        <v>34729</v>
      </c>
      <c r="T6" s="18">
        <v>518</v>
      </c>
      <c r="U6" s="18">
        <v>1963890</v>
      </c>
      <c r="V6" s="19">
        <v>255</v>
      </c>
      <c r="W6" s="19">
        <v>5543224</v>
      </c>
      <c r="X6" s="24">
        <f>RANK(F6,$F$6:$F$10,0)</f>
        <v>1</v>
      </c>
      <c r="Y6" s="3" t="str">
        <f>IF(OR(ISERROR(F6),F6="-",NOT(ISNUMBER(F6))),"● N/A",IF(ROUND(F6, 4) &gt;= ROUND($F$11, 4),"▲ Above Average","▼ Below Average"))</f>
        <v>▲ Above Average</v>
      </c>
    </row>
    <row r="7" spans="2:25" x14ac:dyDescent="0.2">
      <c r="B7" s="17" t="s">
        <v>2</v>
      </c>
      <c r="C7" s="18">
        <v>4227</v>
      </c>
      <c r="D7" s="19">
        <v>4133</v>
      </c>
      <c r="E7" s="18">
        <f>IF(OR(D7="-",D7="",D7=0),IF(C7="-","-",C7),C7-D7)</f>
        <v>94</v>
      </c>
      <c r="F7" s="20">
        <f>IFERROR(IF(C7&gt;0, D7/C7, 0),"-")</f>
        <v>0.97776200615093445</v>
      </c>
      <c r="G7" s="18">
        <v>55</v>
      </c>
      <c r="H7" s="19">
        <v>24</v>
      </c>
      <c r="I7" s="18">
        <f>IF(OR(H7="-",H7="",H7=0),IF(G7="-","-",G7),G7-H7)</f>
        <v>31</v>
      </c>
      <c r="J7" s="20">
        <f>IFERROR(IF(G7&gt;0, H7/G7, 0),"-")</f>
        <v>0.43636363636363634</v>
      </c>
      <c r="K7" s="18">
        <v>39</v>
      </c>
      <c r="L7" s="19">
        <v>13</v>
      </c>
      <c r="M7" s="18">
        <f>IF(OR(L7="-",L7="",L7=0),IF(K7="-","-",K7),K7-L7)</f>
        <v>26</v>
      </c>
      <c r="N7" s="20">
        <f>IFERROR(IF(K7&gt;0, L7/K7, 0),"-")</f>
        <v>0.33333333333333331</v>
      </c>
      <c r="O7" s="18">
        <v>44</v>
      </c>
      <c r="P7" s="19">
        <v>12</v>
      </c>
      <c r="Q7" s="18">
        <f>IF(OR(P7="-",P7="",P7=0),IF(O7="-","-",O7),O7-P7)</f>
        <v>32</v>
      </c>
      <c r="R7" s="20">
        <f>IFERROR(IF(O7&gt;0, P7/O7, 0),"-")</f>
        <v>0.27272727272727271</v>
      </c>
      <c r="S7" s="18">
        <v>147</v>
      </c>
      <c r="T7" s="18">
        <v>4</v>
      </c>
      <c r="U7" s="18">
        <v>9395</v>
      </c>
      <c r="V7" s="19" t="s">
        <v>959</v>
      </c>
      <c r="W7" s="19" t="s">
        <v>959</v>
      </c>
      <c r="X7" s="24">
        <f>RANK(F7,$F$6:$F$10,0)</f>
        <v>2</v>
      </c>
      <c r="Y7" s="3" t="str">
        <f>IF(OR(ISERROR(F7),F7="-",NOT(ISNUMBER(F7))),"● N/A",IF(ROUND(F7, 4) &gt;= ROUND($F$11, 4),"▲ Above Average","▼ Below Average"))</f>
        <v>▼ Below Average</v>
      </c>
    </row>
    <row r="8" spans="2:25" x14ac:dyDescent="0.2">
      <c r="B8" s="17" t="s">
        <v>20</v>
      </c>
      <c r="C8" s="18">
        <v>41221</v>
      </c>
      <c r="D8" s="19">
        <v>40291</v>
      </c>
      <c r="E8" s="18">
        <f>IF(OR(D8="-",D8="",D8=0),IF(C8="-","-",C8),C8-D8)</f>
        <v>930</v>
      </c>
      <c r="F8" s="20">
        <f>IFERROR(IF(C8&gt;0, D8/C8, 0),"-")</f>
        <v>0.97743868416583779</v>
      </c>
      <c r="G8" s="18">
        <v>449</v>
      </c>
      <c r="H8" s="19">
        <v>142</v>
      </c>
      <c r="I8" s="18">
        <f>IF(OR(H8="-",H8="",H8=0),IF(G8="-","-",G8),G8-H8)</f>
        <v>307</v>
      </c>
      <c r="J8" s="20">
        <f>IFERROR(IF(G8&gt;0, H8/G8, 0),"-")</f>
        <v>0.31625835189309576</v>
      </c>
      <c r="K8" s="18">
        <v>404</v>
      </c>
      <c r="L8" s="19">
        <v>143</v>
      </c>
      <c r="M8" s="18">
        <f>IF(OR(L8="-",L8="",L8=0),IF(K8="-","-",K8),K8-L8)</f>
        <v>261</v>
      </c>
      <c r="N8" s="20">
        <f>IFERROR(IF(K8&gt;0, L8/K8, 0),"-")</f>
        <v>0.35396039603960394</v>
      </c>
      <c r="O8" s="18">
        <v>622</v>
      </c>
      <c r="P8" s="19">
        <v>126</v>
      </c>
      <c r="Q8" s="18">
        <f>IF(OR(P8="-",P8="",P8=0),IF(O8="-","-",O8),O8-P8)</f>
        <v>496</v>
      </c>
      <c r="R8" s="20">
        <f>IFERROR(IF(O8&gt;0, P8/O8, 0),"-")</f>
        <v>0.20257234726688103</v>
      </c>
      <c r="S8" s="18">
        <v>38129</v>
      </c>
      <c r="T8" s="18">
        <v>1008</v>
      </c>
      <c r="U8" s="18">
        <v>2386063</v>
      </c>
      <c r="V8" s="19">
        <v>250</v>
      </c>
      <c r="W8" s="19">
        <v>5566498</v>
      </c>
      <c r="X8" s="24">
        <f>RANK(F8,$F$6:$F$10,0)</f>
        <v>3</v>
      </c>
      <c r="Y8" s="3" t="str">
        <f>IF(OR(ISERROR(F8),F8="-",NOT(ISNUMBER(F8))),"● N/A",IF(ROUND(F8, 4) &gt;= ROUND($F$11, 4),"▲ Above Average","▼ Below Average"))</f>
        <v>▼ Below Average</v>
      </c>
    </row>
    <row r="9" spans="2:25" x14ac:dyDescent="0.2">
      <c r="B9" s="17" t="s">
        <v>1</v>
      </c>
      <c r="C9" s="18">
        <v>48744</v>
      </c>
      <c r="D9" s="19">
        <v>47612</v>
      </c>
      <c r="E9" s="18">
        <f>IF(OR(D9="-",D9="",D9=0),IF(C9="-","-",C9),C9-D9)</f>
        <v>1132</v>
      </c>
      <c r="F9" s="20">
        <f>IFERROR(IF(C9&gt;0, D9/C9, 0),"-")</f>
        <v>0.97677662891843098</v>
      </c>
      <c r="G9" s="18">
        <v>700</v>
      </c>
      <c r="H9" s="19">
        <v>262</v>
      </c>
      <c r="I9" s="18">
        <f>IF(OR(H9="-",H9="",H9=0),IF(G9="-","-",G9),G9-H9)</f>
        <v>438</v>
      </c>
      <c r="J9" s="20">
        <f>IFERROR(IF(G9&gt;0, H9/G9, 0),"-")</f>
        <v>0.37428571428571428</v>
      </c>
      <c r="K9" s="18">
        <v>644</v>
      </c>
      <c r="L9" s="19">
        <v>187</v>
      </c>
      <c r="M9" s="18">
        <f>IF(OR(L9="-",L9="",L9=0),IF(K9="-","-",K9),K9-L9)</f>
        <v>457</v>
      </c>
      <c r="N9" s="20">
        <f>IFERROR(IF(K9&gt;0, L9/K9, 0),"-")</f>
        <v>0.29037267080745344</v>
      </c>
      <c r="O9" s="18">
        <v>772</v>
      </c>
      <c r="P9" s="19">
        <v>133</v>
      </c>
      <c r="Q9" s="18">
        <f>IF(OR(P9="-",P9="",P9=0),IF(O9="-","-",O9),O9-P9)</f>
        <v>639</v>
      </c>
      <c r="R9" s="20">
        <f>IFERROR(IF(O9&gt;0, P9/O9, 0),"-")</f>
        <v>0.17227979274611399</v>
      </c>
      <c r="S9" s="18">
        <v>45230</v>
      </c>
      <c r="T9" s="18">
        <v>639</v>
      </c>
      <c r="U9" s="18">
        <v>3105869</v>
      </c>
      <c r="V9" s="19">
        <v>674</v>
      </c>
      <c r="W9" s="19">
        <v>15071331</v>
      </c>
      <c r="X9" s="24">
        <f>RANK(F9,$F$6:$F$10,0)</f>
        <v>4</v>
      </c>
      <c r="Y9" s="3" t="str">
        <f>IF(OR(ISERROR(F9),F9="-",NOT(ISNUMBER(F9))),"● N/A",IF(ROUND(F9, 4) &gt;= ROUND($F$11, 4),"▲ Above Average","▼ Below Average"))</f>
        <v>▼ Below Average</v>
      </c>
    </row>
    <row r="10" spans="2:25" x14ac:dyDescent="0.2">
      <c r="B10" s="17" t="s">
        <v>0</v>
      </c>
      <c r="C10" s="18">
        <v>4911</v>
      </c>
      <c r="D10" s="19">
        <v>4700</v>
      </c>
      <c r="E10" s="18">
        <f>IF(OR(D10="-",D10="",D10=0),IF(C10="-","-",C10),C10-D10)</f>
        <v>211</v>
      </c>
      <c r="F10" s="20">
        <f>IFERROR(IF(C10&gt;0, D10/C10, 0),"-")</f>
        <v>0.95703522704133581</v>
      </c>
      <c r="G10" s="18">
        <v>153</v>
      </c>
      <c r="H10" s="19">
        <v>79</v>
      </c>
      <c r="I10" s="18">
        <f>IF(OR(H10="-",H10="",H10=0),IF(G10="-","-",G10),G10-H10)</f>
        <v>74</v>
      </c>
      <c r="J10" s="20">
        <f>IFERROR(IF(G10&gt;0, H10/G10, 0),"-")</f>
        <v>0.5163398692810458</v>
      </c>
      <c r="K10" s="18">
        <v>54</v>
      </c>
      <c r="L10" s="19">
        <v>17</v>
      </c>
      <c r="M10" s="18">
        <f>IF(OR(L10="-",L10="",L10=0),IF(K10="-","-",K10),K10-L10)</f>
        <v>37</v>
      </c>
      <c r="N10" s="20">
        <f>IFERROR(IF(K10&gt;0, L10/K10, 0),"-")</f>
        <v>0.31481481481481483</v>
      </c>
      <c r="O10" s="18">
        <v>48</v>
      </c>
      <c r="P10" s="19">
        <v>5</v>
      </c>
      <c r="Q10" s="18">
        <f>IF(OR(P10="-",P10="",P10=0),IF(O10="-","-",O10),O10-P10)</f>
        <v>43</v>
      </c>
      <c r="R10" s="20">
        <f>IFERROR(IF(O10&gt;0, P10/O10, 0),"-")</f>
        <v>0.10416666666666667</v>
      </c>
      <c r="S10" s="18">
        <v>70</v>
      </c>
      <c r="T10" s="18">
        <v>8</v>
      </c>
      <c r="U10" s="18">
        <v>24870</v>
      </c>
      <c r="V10" s="19" t="s">
        <v>959</v>
      </c>
      <c r="W10" s="19" t="s">
        <v>959</v>
      </c>
      <c r="X10" s="24">
        <f>RANK(F10,$F$6:$F$10,0)</f>
        <v>5</v>
      </c>
      <c r="Y10" s="3" t="str">
        <f>IF(OR(ISERROR(F10),F10="-",NOT(ISNUMBER(F10))),"● N/A",IF(ROUND(F10, 4) &gt;= ROUND($F$11, 4),"▲ Above Average","▼ Below Average"))</f>
        <v>▼ Below Average</v>
      </c>
    </row>
    <row r="11" spans="2:25" x14ac:dyDescent="0.2">
      <c r="B11" s="15" t="s">
        <v>953</v>
      </c>
      <c r="C11" s="16">
        <f>SUM(C6:C10)</f>
        <v>142205</v>
      </c>
      <c r="D11" s="16">
        <f>SUM(D6:D10)</f>
        <v>139070</v>
      </c>
      <c r="E11" s="16">
        <f>C11-D11</f>
        <v>3135</v>
      </c>
      <c r="F11" s="21">
        <f>IF(C11&gt;0, D11/C11, 0)</f>
        <v>0.97795436166098237</v>
      </c>
      <c r="G11" s="16">
        <f>SUM(G6:G10)</f>
        <v>1797</v>
      </c>
      <c r="H11" s="16">
        <f>SUM(H6:H10)</f>
        <v>640</v>
      </c>
      <c r="I11" s="16">
        <f>G11-H11</f>
        <v>1157</v>
      </c>
      <c r="J11" s="21">
        <f>IF(G11&gt;0, H11/G11, 0)</f>
        <v>0.35614913745130772</v>
      </c>
      <c r="K11" s="16">
        <f>SUM(K6:K10)</f>
        <v>1627</v>
      </c>
      <c r="L11" s="16">
        <f>SUM(L6:L10)</f>
        <v>522</v>
      </c>
      <c r="M11" s="16">
        <f>K11-L11</f>
        <v>1105</v>
      </c>
      <c r="N11" s="21">
        <f>IF(K11&gt;0, L11/K11, 0)</f>
        <v>0.3208358942839582</v>
      </c>
      <c r="O11" s="16">
        <f>SUM(O6:O10)</f>
        <v>2258</v>
      </c>
      <c r="P11" s="16">
        <f>SUM(P6:P10)</f>
        <v>410</v>
      </c>
      <c r="Q11" s="16">
        <f>O11-P11</f>
        <v>1848</v>
      </c>
      <c r="R11" s="21">
        <f>IF(O11&gt;0, P11/O11, 0)</f>
        <v>0.18157661647475642</v>
      </c>
      <c r="S11" s="16">
        <f>SUM(S6:S10)</f>
        <v>118305</v>
      </c>
      <c r="T11" s="16">
        <f>SUM(T6:T10)</f>
        <v>2177</v>
      </c>
      <c r="U11" s="16">
        <f>SUM(U6:U10)</f>
        <v>7490087</v>
      </c>
      <c r="V11" s="16">
        <f>SUM(V6:V10)</f>
        <v>1179</v>
      </c>
      <c r="W11" s="16">
        <f>SUM(W6:W10)</f>
        <v>26181053</v>
      </c>
      <c r="X11" s="25" t="s">
        <v>959</v>
      </c>
      <c r="Y11" s="25" t="s">
        <v>959</v>
      </c>
    </row>
    <row r="15" spans="2:25" x14ac:dyDescent="0.2">
      <c r="B15" s="2" t="s">
        <v>976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25" x14ac:dyDescent="0.2">
      <c r="B16" s="6" t="s">
        <v>957</v>
      </c>
      <c r="C16" s="2" t="s">
        <v>968</v>
      </c>
      <c r="D16" s="2"/>
      <c r="E16" s="2"/>
      <c r="F16" s="2"/>
      <c r="G16" s="2" t="s">
        <v>969</v>
      </c>
      <c r="H16" s="2"/>
      <c r="I16" s="2"/>
      <c r="J16" s="2"/>
      <c r="K16" s="2" t="s">
        <v>970</v>
      </c>
      <c r="L16" s="2"/>
      <c r="M16" s="2"/>
      <c r="N16" s="2"/>
      <c r="O16" s="2" t="s">
        <v>960</v>
      </c>
      <c r="P16" s="2"/>
      <c r="Q16" s="2"/>
      <c r="R16" s="2"/>
      <c r="S16" s="2" t="s">
        <v>951</v>
      </c>
      <c r="T16" s="2"/>
      <c r="U16" s="2"/>
      <c r="V16" s="2"/>
      <c r="W16" s="2"/>
      <c r="X16" s="7" t="s">
        <v>971</v>
      </c>
      <c r="Y16" s="7"/>
    </row>
    <row r="17" spans="2:25" x14ac:dyDescent="0.2">
      <c r="B17" s="6"/>
      <c r="C17" s="8" t="s">
        <v>961</v>
      </c>
      <c r="D17" s="9" t="s">
        <v>972</v>
      </c>
      <c r="E17" s="8" t="s">
        <v>955</v>
      </c>
      <c r="F17" s="10" t="s">
        <v>956</v>
      </c>
      <c r="G17" s="8" t="s">
        <v>961</v>
      </c>
      <c r="H17" s="9" t="s">
        <v>972</v>
      </c>
      <c r="I17" s="8" t="s">
        <v>973</v>
      </c>
      <c r="J17" s="10" t="s">
        <v>956</v>
      </c>
      <c r="K17" s="8" t="s">
        <v>961</v>
      </c>
      <c r="L17" s="9" t="s">
        <v>972</v>
      </c>
      <c r="M17" s="8" t="s">
        <v>973</v>
      </c>
      <c r="N17" s="10" t="s">
        <v>956</v>
      </c>
      <c r="O17" s="8" t="s">
        <v>961</v>
      </c>
      <c r="P17" s="9" t="s">
        <v>972</v>
      </c>
      <c r="Q17" s="8" t="s">
        <v>973</v>
      </c>
      <c r="R17" s="10" t="s">
        <v>956</v>
      </c>
      <c r="S17" s="8" t="s">
        <v>961</v>
      </c>
      <c r="T17" s="2" t="s">
        <v>962</v>
      </c>
      <c r="U17" s="2"/>
      <c r="V17" s="2" t="s">
        <v>963</v>
      </c>
      <c r="W17" s="2"/>
      <c r="X17" s="22" t="s">
        <v>974</v>
      </c>
      <c r="Y17" s="23" t="s">
        <v>975</v>
      </c>
    </row>
    <row r="18" spans="2:25" x14ac:dyDescent="0.2">
      <c r="C18" s="8"/>
      <c r="D18" s="9"/>
      <c r="E18" s="8"/>
      <c r="F18" s="10"/>
      <c r="G18" s="8"/>
      <c r="H18" s="9"/>
      <c r="I18" s="8"/>
      <c r="J18" s="10"/>
      <c r="K18" s="8"/>
      <c r="L18" s="9"/>
      <c r="M18" s="8"/>
      <c r="N18" s="10"/>
      <c r="O18" s="8"/>
      <c r="P18" s="9"/>
      <c r="Q18" s="8"/>
      <c r="R18" s="10"/>
      <c r="S18" s="8"/>
      <c r="T18" s="11" t="s">
        <v>964</v>
      </c>
      <c r="U18" s="11" t="s">
        <v>965</v>
      </c>
      <c r="V18" s="11" t="s">
        <v>964</v>
      </c>
      <c r="W18" s="11" t="s">
        <v>965</v>
      </c>
      <c r="X18" s="12"/>
      <c r="Y18" s="13"/>
    </row>
    <row r="19" spans="2:25" x14ac:dyDescent="0.2">
      <c r="B19" s="17" t="s">
        <v>16</v>
      </c>
      <c r="C19" s="18">
        <v>3796</v>
      </c>
      <c r="D19" s="19">
        <v>3754</v>
      </c>
      <c r="E19" s="18">
        <f>IF(OR(D19="-",D19="",D19=0),IF(C19="-","-",C19),C19-D19)</f>
        <v>42</v>
      </c>
      <c r="F19" s="20">
        <f>IFERROR(IF(C19&gt;0, D19/C19, 0),"-")</f>
        <v>0.98893572181243417</v>
      </c>
      <c r="G19" s="18">
        <v>31</v>
      </c>
      <c r="H19" s="19">
        <v>11</v>
      </c>
      <c r="I19" s="18">
        <f>IF(OR(H19="-",H19="",H19=0),IF(G19="-","-",G19),G19-H19)</f>
        <v>20</v>
      </c>
      <c r="J19" s="20">
        <f>IFERROR(IF(G19&gt;0, H19/G19, 0),"-")</f>
        <v>0.35483870967741937</v>
      </c>
      <c r="K19" s="18">
        <v>26</v>
      </c>
      <c r="L19" s="19">
        <v>10</v>
      </c>
      <c r="M19" s="18">
        <f>IF(OR(L19="-",L19="",L19=0),IF(K19="-","-",K19),K19-L19)</f>
        <v>16</v>
      </c>
      <c r="N19" s="20">
        <f>IFERROR(IF(K19&gt;0, L19/K19, 0),"-")</f>
        <v>0.38461538461538464</v>
      </c>
      <c r="O19" s="18">
        <v>35</v>
      </c>
      <c r="P19" s="19">
        <v>7</v>
      </c>
      <c r="Q19" s="18">
        <f>IF(OR(P19="-",P19="",P19=0),IF(O19="-","-",O19),O19-P19)</f>
        <v>28</v>
      </c>
      <c r="R19" s="20">
        <f>IFERROR(IF(O19&gt;0, P19/O19, 0),"-")</f>
        <v>0.2</v>
      </c>
      <c r="S19" s="18">
        <v>3553</v>
      </c>
      <c r="T19" s="18">
        <v>61</v>
      </c>
      <c r="U19" s="18">
        <v>320054</v>
      </c>
      <c r="V19" s="19">
        <v>46</v>
      </c>
      <c r="W19" s="19">
        <v>966528</v>
      </c>
      <c r="X19" s="24">
        <f>RANK(F19,$F$19:$F$48,0)</f>
        <v>1</v>
      </c>
      <c r="Y19" s="3" t="str">
        <f>IF(OR(ISERROR(F19),F19="-",NOT(ISNUMBER(F19))),"● N/A",IF(ROUND(F19, 4) &gt;= ROUND($F$49, 4),"▲ Above Average","▼ Below Average"))</f>
        <v>▲ Above Average</v>
      </c>
    </row>
    <row r="20" spans="2:25" x14ac:dyDescent="0.2">
      <c r="B20" s="17" t="s">
        <v>12</v>
      </c>
      <c r="C20" s="18">
        <v>4045</v>
      </c>
      <c r="D20" s="19">
        <v>3991</v>
      </c>
      <c r="E20" s="18">
        <f>IF(OR(D20="-",D20="",D20=0),IF(C20="-","-",C20),C20-D20)</f>
        <v>54</v>
      </c>
      <c r="F20" s="20">
        <f>IFERROR(IF(C20&gt;0, D20/C20, 0),"-")</f>
        <v>0.98665018541409144</v>
      </c>
      <c r="G20" s="18">
        <v>52</v>
      </c>
      <c r="H20" s="19">
        <v>21</v>
      </c>
      <c r="I20" s="18">
        <f>IF(OR(H20="-",H20="",H20=0),IF(G20="-","-",G20),G20-H20)</f>
        <v>31</v>
      </c>
      <c r="J20" s="20">
        <f>IFERROR(IF(G20&gt;0, H20/G20, 0),"-")</f>
        <v>0.40384615384615385</v>
      </c>
      <c r="K20" s="18">
        <v>50</v>
      </c>
      <c r="L20" s="19">
        <v>20</v>
      </c>
      <c r="M20" s="18">
        <f>IF(OR(L20="-",L20="",L20=0),IF(K20="-","-",K20),K20-L20)</f>
        <v>30</v>
      </c>
      <c r="N20" s="20">
        <f>IFERROR(IF(K20&gt;0, L20/K20, 0),"-")</f>
        <v>0.4</v>
      </c>
      <c r="O20" s="18">
        <v>85</v>
      </c>
      <c r="P20" s="19">
        <v>20</v>
      </c>
      <c r="Q20" s="18">
        <f>IF(OR(P20="-",P20="",P20=0),IF(O20="-","-",O20),O20-P20)</f>
        <v>65</v>
      </c>
      <c r="R20" s="20">
        <f>IFERROR(IF(O20&gt;0, P20/O20, 0),"-")</f>
        <v>0.23529411764705882</v>
      </c>
      <c r="S20" s="18">
        <v>2969</v>
      </c>
      <c r="T20" s="18">
        <v>86</v>
      </c>
      <c r="U20" s="18">
        <v>313841</v>
      </c>
      <c r="V20" s="19">
        <v>27</v>
      </c>
      <c r="W20" s="19">
        <v>416265</v>
      </c>
      <c r="X20" s="24">
        <f>RANK(F20,$F$19:$F$48,0)</f>
        <v>2</v>
      </c>
      <c r="Y20" s="3" t="str">
        <f>IF(OR(ISERROR(F20),F20="-",NOT(ISNUMBER(F20))),"● N/A",IF(ROUND(F20, 4) &gt;= ROUND($F$49, 4),"▲ Above Average","▼ Below Average"))</f>
        <v>▲ Above Average</v>
      </c>
    </row>
    <row r="21" spans="2:25" x14ac:dyDescent="0.2">
      <c r="B21" s="17" t="s">
        <v>7</v>
      </c>
      <c r="C21" s="18">
        <v>6048</v>
      </c>
      <c r="D21" s="19">
        <v>5967</v>
      </c>
      <c r="E21" s="18">
        <f>IF(OR(D21="-",D21="",D21=0),IF(C21="-","-",C21),C21-D21)</f>
        <v>81</v>
      </c>
      <c r="F21" s="20">
        <f>IFERROR(IF(C21&gt;0, D21/C21, 0),"-")</f>
        <v>0.9866071428571429</v>
      </c>
      <c r="G21" s="18">
        <v>73</v>
      </c>
      <c r="H21" s="19">
        <v>34</v>
      </c>
      <c r="I21" s="18">
        <f>IF(OR(H21="-",H21="",H21=0),IF(G21="-","-",G21),G21-H21)</f>
        <v>39</v>
      </c>
      <c r="J21" s="20">
        <f>IFERROR(IF(G21&gt;0, H21/G21, 0),"-")</f>
        <v>0.46575342465753422</v>
      </c>
      <c r="K21" s="18">
        <v>87</v>
      </c>
      <c r="L21" s="19">
        <v>35</v>
      </c>
      <c r="M21" s="18">
        <f>IF(OR(L21="-",L21="",L21=0),IF(K21="-","-",K21),K21-L21)</f>
        <v>52</v>
      </c>
      <c r="N21" s="20">
        <f>IFERROR(IF(K21&gt;0, L21/K21, 0),"-")</f>
        <v>0.40229885057471265</v>
      </c>
      <c r="O21" s="18">
        <v>120</v>
      </c>
      <c r="P21" s="19">
        <v>39</v>
      </c>
      <c r="Q21" s="18">
        <f>IF(OR(P21="-",P21="",P21=0),IF(O21="-","-",O21),O21-P21)</f>
        <v>81</v>
      </c>
      <c r="R21" s="20">
        <f>IFERROR(IF(O21&gt;0, P21/O21, 0),"-")</f>
        <v>0.32500000000000001</v>
      </c>
      <c r="S21" s="18">
        <v>6452</v>
      </c>
      <c r="T21" s="18">
        <v>88</v>
      </c>
      <c r="U21" s="18">
        <v>330642</v>
      </c>
      <c r="V21" s="19">
        <v>62</v>
      </c>
      <c r="W21" s="19">
        <v>1371992</v>
      </c>
      <c r="X21" s="24">
        <f>RANK(F21,$F$19:$F$48,0)</f>
        <v>3</v>
      </c>
      <c r="Y21" s="3" t="str">
        <f>IF(OR(ISERROR(F21),F21="-",NOT(ISNUMBER(F21))),"● N/A",IF(ROUND(F21, 4) &gt;= ROUND($F$49, 4),"▲ Above Average","▼ Below Average"))</f>
        <v>▲ Above Average</v>
      </c>
    </row>
    <row r="22" spans="2:25" x14ac:dyDescent="0.2">
      <c r="B22" s="17" t="s">
        <v>952</v>
      </c>
      <c r="C22" s="18">
        <v>4457</v>
      </c>
      <c r="D22" s="19">
        <v>4394</v>
      </c>
      <c r="E22" s="18">
        <f>IF(OR(D22="-",D22="",D22=0),IF(C22="-","-",C22),C22-D22)</f>
        <v>63</v>
      </c>
      <c r="F22" s="20">
        <f>IFERROR(IF(C22&gt;0, D22/C22, 0),"-")</f>
        <v>0.98586493156831945</v>
      </c>
      <c r="G22" s="18">
        <v>54</v>
      </c>
      <c r="H22" s="19">
        <v>16</v>
      </c>
      <c r="I22" s="18">
        <f>IF(OR(H22="-",H22="",H22=0),IF(G22="-","-",G22),G22-H22)</f>
        <v>38</v>
      </c>
      <c r="J22" s="20">
        <f>IFERROR(IF(G22&gt;0, H22/G22, 0),"-")</f>
        <v>0.29629629629629628</v>
      </c>
      <c r="K22" s="18">
        <v>47</v>
      </c>
      <c r="L22" s="19">
        <v>12</v>
      </c>
      <c r="M22" s="18">
        <f>IF(OR(L22="-",L22="",L22=0),IF(K22="-","-",K22),K22-L22)</f>
        <v>35</v>
      </c>
      <c r="N22" s="20">
        <f>IFERROR(IF(K22&gt;0, L22/K22, 0),"-")</f>
        <v>0.25531914893617019</v>
      </c>
      <c r="O22" s="18">
        <v>71</v>
      </c>
      <c r="P22" s="19">
        <v>10</v>
      </c>
      <c r="Q22" s="18">
        <f>IF(OR(P22="-",P22="",P22=0),IF(O22="-","-",O22),O22-P22)</f>
        <v>61</v>
      </c>
      <c r="R22" s="20">
        <f>IFERROR(IF(O22&gt;0, P22/O22, 0),"-")</f>
        <v>0.14084507042253522</v>
      </c>
      <c r="S22" s="18">
        <v>3167</v>
      </c>
      <c r="T22" s="18">
        <v>56</v>
      </c>
      <c r="U22" s="18">
        <v>286717</v>
      </c>
      <c r="V22" s="19">
        <v>73</v>
      </c>
      <c r="W22" s="19">
        <v>1393338</v>
      </c>
      <c r="X22" s="24">
        <f>RANK(F22,$F$19:$F$48,0)</f>
        <v>4</v>
      </c>
      <c r="Y22" s="3" t="str">
        <f>IF(OR(ISERROR(F22),F22="-",NOT(ISNUMBER(F22))),"● N/A",IF(ROUND(F22, 4) &gt;= ROUND($F$49, 4),"▲ Above Average","▼ Below Average"))</f>
        <v>▲ Above Average</v>
      </c>
    </row>
    <row r="23" spans="2:25" x14ac:dyDescent="0.2">
      <c r="B23" s="17" t="s">
        <v>30</v>
      </c>
      <c r="C23" s="18">
        <v>5265</v>
      </c>
      <c r="D23" s="19">
        <v>5187</v>
      </c>
      <c r="E23" s="18">
        <f>IF(OR(D23="-",D23="",D23=0),IF(C23="-","-",C23),C23-D23)</f>
        <v>78</v>
      </c>
      <c r="F23" s="20">
        <f>IFERROR(IF(C23&gt;0, D23/C23, 0),"-")</f>
        <v>0.98518518518518516</v>
      </c>
      <c r="G23" s="18">
        <v>47</v>
      </c>
      <c r="H23" s="19">
        <v>12</v>
      </c>
      <c r="I23" s="18">
        <f>IF(OR(H23="-",H23="",H23=0),IF(G23="-","-",G23),G23-H23)</f>
        <v>35</v>
      </c>
      <c r="J23" s="20">
        <f>IFERROR(IF(G23&gt;0, H23/G23, 0),"-")</f>
        <v>0.25531914893617019</v>
      </c>
      <c r="K23" s="18">
        <v>50</v>
      </c>
      <c r="L23" s="19">
        <v>11</v>
      </c>
      <c r="M23" s="18">
        <f>IF(OR(L23="-",L23="",L23=0),IF(K23="-","-",K23),K23-L23)</f>
        <v>39</v>
      </c>
      <c r="N23" s="20">
        <f>IFERROR(IF(K23&gt;0, L23/K23, 0),"-")</f>
        <v>0.22</v>
      </c>
      <c r="O23" s="18">
        <v>84</v>
      </c>
      <c r="P23" s="19">
        <v>8</v>
      </c>
      <c r="Q23" s="18">
        <f>IF(OR(P23="-",P23="",P23=0),IF(O23="-","-",O23),O23-P23)</f>
        <v>76</v>
      </c>
      <c r="R23" s="20">
        <f>IFERROR(IF(O23&gt;0, P23/O23, 0),"-")</f>
        <v>9.5238095238095233E-2</v>
      </c>
      <c r="S23" s="18">
        <v>4099</v>
      </c>
      <c r="T23" s="18">
        <v>85</v>
      </c>
      <c r="U23" s="18">
        <v>230341</v>
      </c>
      <c r="V23" s="19">
        <v>19</v>
      </c>
      <c r="W23" s="19">
        <v>297407</v>
      </c>
      <c r="X23" s="24">
        <f>RANK(F23,$F$19:$F$48,0)</f>
        <v>5</v>
      </c>
      <c r="Y23" s="3" t="str">
        <f>IF(OR(ISERROR(F23),F23="-",NOT(ISNUMBER(F23))),"● N/A",IF(ROUND(F23, 4) &gt;= ROUND($F$49, 4),"▲ Above Average","▼ Below Average"))</f>
        <v>▲ Above Average</v>
      </c>
    </row>
    <row r="24" spans="2:25" x14ac:dyDescent="0.2">
      <c r="B24" s="17" t="s">
        <v>14</v>
      </c>
      <c r="C24" s="18">
        <v>3922</v>
      </c>
      <c r="D24" s="19">
        <v>3863</v>
      </c>
      <c r="E24" s="18">
        <f>IF(OR(D24="-",D24="",D24=0),IF(C24="-","-",C24),C24-D24)</f>
        <v>59</v>
      </c>
      <c r="F24" s="20">
        <f>IFERROR(IF(C24&gt;0, D24/C24, 0),"-")</f>
        <v>0.98495665476797556</v>
      </c>
      <c r="G24" s="18">
        <v>57</v>
      </c>
      <c r="H24" s="19">
        <v>26</v>
      </c>
      <c r="I24" s="18">
        <f>IF(OR(H24="-",H24="",H24=0),IF(G24="-","-",G24),G24-H24)</f>
        <v>31</v>
      </c>
      <c r="J24" s="20">
        <f>IFERROR(IF(G24&gt;0, H24/G24, 0),"-")</f>
        <v>0.45614035087719296</v>
      </c>
      <c r="K24" s="18">
        <v>46</v>
      </c>
      <c r="L24" s="19">
        <v>10</v>
      </c>
      <c r="M24" s="18">
        <f>IF(OR(L24="-",L24="",L24=0),IF(K24="-","-",K24),K24-L24)</f>
        <v>36</v>
      </c>
      <c r="N24" s="20">
        <f>IFERROR(IF(K24&gt;0, L24/K24, 0),"-")</f>
        <v>0.21739130434782608</v>
      </c>
      <c r="O24" s="18">
        <v>57</v>
      </c>
      <c r="P24" s="19">
        <v>10</v>
      </c>
      <c r="Q24" s="18">
        <f>IF(OR(P24="-",P24="",P24=0),IF(O24="-","-",O24),O24-P24)</f>
        <v>47</v>
      </c>
      <c r="R24" s="20">
        <f>IFERROR(IF(O24&gt;0, P24/O24, 0),"-")</f>
        <v>0.17543859649122806</v>
      </c>
      <c r="S24" s="18">
        <v>2048</v>
      </c>
      <c r="T24" s="18">
        <v>52</v>
      </c>
      <c r="U24" s="18">
        <v>110355</v>
      </c>
      <c r="V24" s="19">
        <v>36</v>
      </c>
      <c r="W24" s="19">
        <v>807435</v>
      </c>
      <c r="X24" s="24">
        <f>RANK(F24,$F$19:$F$48,0)</f>
        <v>6</v>
      </c>
      <c r="Y24" s="3" t="str">
        <f>IF(OR(ISERROR(F24),F24="-",NOT(ISNUMBER(F24))),"● N/A",IF(ROUND(F24, 4) &gt;= ROUND($F$49, 4),"▲ Above Average","▼ Below Average"))</f>
        <v>▲ Above Average</v>
      </c>
    </row>
    <row r="25" spans="2:25" x14ac:dyDescent="0.2">
      <c r="B25" s="17" t="s">
        <v>17</v>
      </c>
      <c r="C25" s="18">
        <v>3225</v>
      </c>
      <c r="D25" s="19">
        <v>3176</v>
      </c>
      <c r="E25" s="18">
        <f>IF(OR(D25="-",D25="",D25=0),IF(C25="-","-",C25),C25-D25)</f>
        <v>49</v>
      </c>
      <c r="F25" s="20">
        <f>IFERROR(IF(C25&gt;0, D25/C25, 0),"-")</f>
        <v>0.98480620155038756</v>
      </c>
      <c r="G25" s="18">
        <v>68</v>
      </c>
      <c r="H25" s="19">
        <v>35</v>
      </c>
      <c r="I25" s="18">
        <f>IF(OR(H25="-",H25="",H25=0),IF(G25="-","-",G25),G25-H25)</f>
        <v>33</v>
      </c>
      <c r="J25" s="20">
        <f>IFERROR(IF(G25&gt;0, H25/G25, 0),"-")</f>
        <v>0.51470588235294112</v>
      </c>
      <c r="K25" s="18">
        <v>77</v>
      </c>
      <c r="L25" s="19">
        <v>33</v>
      </c>
      <c r="M25" s="18">
        <f>IF(OR(L25="-",L25="",L25=0),IF(K25="-","-",K25),K25-L25)</f>
        <v>44</v>
      </c>
      <c r="N25" s="20">
        <f>IFERROR(IF(K25&gt;0, L25/K25, 0),"-")</f>
        <v>0.42857142857142855</v>
      </c>
      <c r="O25" s="18">
        <v>74</v>
      </c>
      <c r="P25" s="19">
        <v>10</v>
      </c>
      <c r="Q25" s="18">
        <f>IF(OR(P25="-",P25="",P25=0),IF(O25="-","-",O25),O25-P25)</f>
        <v>64</v>
      </c>
      <c r="R25" s="20">
        <f>IFERROR(IF(O25&gt;0, P25/O25, 0),"-")</f>
        <v>0.13513513513513514</v>
      </c>
      <c r="S25" s="18">
        <v>3682</v>
      </c>
      <c r="T25" s="18">
        <v>72</v>
      </c>
      <c r="U25" s="18">
        <v>296600</v>
      </c>
      <c r="V25" s="19">
        <v>40</v>
      </c>
      <c r="W25" s="19">
        <v>634952</v>
      </c>
      <c r="X25" s="24">
        <f>RANK(F25,$F$19:$F$48,0)</f>
        <v>7</v>
      </c>
      <c r="Y25" s="3" t="str">
        <f>IF(OR(ISERROR(F25),F25="-",NOT(ISNUMBER(F25))),"● N/A",IF(ROUND(F25, 4) &gt;= ROUND($F$49, 4),"▲ Above Average","▼ Below Average"))</f>
        <v>▲ Above Average</v>
      </c>
    </row>
    <row r="26" spans="2:25" x14ac:dyDescent="0.2">
      <c r="B26" s="17" t="s">
        <v>24</v>
      </c>
      <c r="C26" s="18">
        <v>3158</v>
      </c>
      <c r="D26" s="19">
        <v>3110</v>
      </c>
      <c r="E26" s="18">
        <f>IF(OR(D26="-",D26="",D26=0),IF(C26="-","-",C26),C26-D26)</f>
        <v>48</v>
      </c>
      <c r="F26" s="20">
        <f>IFERROR(IF(C26&gt;0, D26/C26, 0),"-")</f>
        <v>0.98480050664977836</v>
      </c>
      <c r="G26" s="18">
        <v>36</v>
      </c>
      <c r="H26" s="19">
        <v>7</v>
      </c>
      <c r="I26" s="18">
        <f>IF(OR(H26="-",H26="",H26=0),IF(G26="-","-",G26),G26-H26)</f>
        <v>29</v>
      </c>
      <c r="J26" s="20">
        <f>IFERROR(IF(G26&gt;0, H26/G26, 0),"-")</f>
        <v>0.19444444444444445</v>
      </c>
      <c r="K26" s="18">
        <v>36</v>
      </c>
      <c r="L26" s="19">
        <v>10</v>
      </c>
      <c r="M26" s="18">
        <f>IF(OR(L26="-",L26="",L26=0),IF(K26="-","-",K26),K26-L26)</f>
        <v>26</v>
      </c>
      <c r="N26" s="20">
        <f>IFERROR(IF(K26&gt;0, L26/K26, 0),"-")</f>
        <v>0.27777777777777779</v>
      </c>
      <c r="O26" s="18">
        <v>76</v>
      </c>
      <c r="P26" s="19">
        <v>11</v>
      </c>
      <c r="Q26" s="18">
        <f>IF(OR(P26="-",P26="",P26=0),IF(O26="-","-",O26),O26-P26)</f>
        <v>65</v>
      </c>
      <c r="R26" s="20">
        <f>IFERROR(IF(O26&gt;0, P26/O26, 0),"-")</f>
        <v>0.14473684210526316</v>
      </c>
      <c r="S26" s="18">
        <v>2711</v>
      </c>
      <c r="T26" s="18">
        <v>105</v>
      </c>
      <c r="U26" s="18">
        <v>221660</v>
      </c>
      <c r="V26" s="19">
        <v>20</v>
      </c>
      <c r="W26" s="19">
        <v>663083</v>
      </c>
      <c r="X26" s="24">
        <f>RANK(F26,$F$19:$F$48,0)</f>
        <v>8</v>
      </c>
      <c r="Y26" s="3" t="str">
        <f>IF(OR(ISERROR(F26),F26="-",NOT(ISNUMBER(F26))),"● N/A",IF(ROUND(F26, 4) &gt;= ROUND($F$49, 4),"▲ Above Average","▼ Below Average"))</f>
        <v>▲ Above Average</v>
      </c>
    </row>
    <row r="27" spans="2:25" x14ac:dyDescent="0.2">
      <c r="B27" s="17" t="s">
        <v>8</v>
      </c>
      <c r="C27" s="18">
        <v>4786</v>
      </c>
      <c r="D27" s="19">
        <v>4712</v>
      </c>
      <c r="E27" s="18">
        <f>IF(OR(D27="-",D27="",D27=0),IF(C27="-","-",C27),C27-D27)</f>
        <v>74</v>
      </c>
      <c r="F27" s="20">
        <f>IFERROR(IF(C27&gt;0, D27/C27, 0),"-")</f>
        <v>0.98453823652319261</v>
      </c>
      <c r="G27" s="18">
        <v>75</v>
      </c>
      <c r="H27" s="19">
        <v>35</v>
      </c>
      <c r="I27" s="18">
        <f>IF(OR(H27="-",H27="",H27=0),IF(G27="-","-",G27),G27-H27)</f>
        <v>40</v>
      </c>
      <c r="J27" s="20">
        <f>IFERROR(IF(G27&gt;0, H27/G27, 0),"-")</f>
        <v>0.46666666666666667</v>
      </c>
      <c r="K27" s="18">
        <v>70</v>
      </c>
      <c r="L27" s="19">
        <v>27</v>
      </c>
      <c r="M27" s="18">
        <f>IF(OR(L27="-",L27="",L27=0),IF(K27="-","-",K27),K27-L27)</f>
        <v>43</v>
      </c>
      <c r="N27" s="20">
        <f>IFERROR(IF(K27&gt;0, L27/K27, 0),"-")</f>
        <v>0.38571428571428573</v>
      </c>
      <c r="O27" s="18">
        <v>78</v>
      </c>
      <c r="P27" s="19">
        <v>22</v>
      </c>
      <c r="Q27" s="18">
        <f>IF(OR(P27="-",P27="",P27=0),IF(O27="-","-",O27),O27-P27)</f>
        <v>56</v>
      </c>
      <c r="R27" s="20">
        <f>IFERROR(IF(O27&gt;0, P27/O27, 0),"-")</f>
        <v>0.28205128205128205</v>
      </c>
      <c r="S27" s="18">
        <v>4809</v>
      </c>
      <c r="T27" s="18">
        <v>191</v>
      </c>
      <c r="U27" s="18">
        <v>373109</v>
      </c>
      <c r="V27" s="19">
        <v>44</v>
      </c>
      <c r="W27" s="19">
        <v>1081760</v>
      </c>
      <c r="X27" s="24">
        <f>RANK(F27,$F$19:$F$48,0)</f>
        <v>9</v>
      </c>
      <c r="Y27" s="3" t="str">
        <f>IF(OR(ISERROR(F27),F27="-",NOT(ISNUMBER(F27))),"● N/A",IF(ROUND(F27, 4) &gt;= ROUND($F$49, 4),"▲ Above Average","▼ Below Average"))</f>
        <v>▲ Above Average</v>
      </c>
    </row>
    <row r="28" spans="2:25" x14ac:dyDescent="0.2">
      <c r="B28" s="17" t="s">
        <v>4</v>
      </c>
      <c r="C28" s="18">
        <v>5183</v>
      </c>
      <c r="D28" s="19">
        <v>5094</v>
      </c>
      <c r="E28" s="18">
        <f>IF(OR(D28="-",D28="",D28=0),IF(C28="-","-",C28),C28-D28)</f>
        <v>89</v>
      </c>
      <c r="F28" s="20">
        <f>IFERROR(IF(C28&gt;0, D28/C28, 0),"-")</f>
        <v>0.98282847771560877</v>
      </c>
      <c r="G28" s="18">
        <v>37</v>
      </c>
      <c r="H28" s="19">
        <v>13</v>
      </c>
      <c r="I28" s="18">
        <f>IF(OR(H28="-",H28="",H28=0),IF(G28="-","-",G28),G28-H28)</f>
        <v>24</v>
      </c>
      <c r="J28" s="20">
        <f>IFERROR(IF(G28&gt;0, H28/G28, 0),"-")</f>
        <v>0.35135135135135137</v>
      </c>
      <c r="K28" s="18">
        <v>57</v>
      </c>
      <c r="L28" s="19">
        <v>12</v>
      </c>
      <c r="M28" s="18">
        <f>IF(OR(L28="-",L28="",L28=0),IF(K28="-","-",K28),K28-L28)</f>
        <v>45</v>
      </c>
      <c r="N28" s="20">
        <f>IFERROR(IF(K28&gt;0, L28/K28, 0),"-")</f>
        <v>0.21052631578947367</v>
      </c>
      <c r="O28" s="18">
        <v>76</v>
      </c>
      <c r="P28" s="19">
        <v>13</v>
      </c>
      <c r="Q28" s="18">
        <f>IF(OR(P28="-",P28="",P28=0),IF(O28="-","-",O28),O28-P28)</f>
        <v>63</v>
      </c>
      <c r="R28" s="20">
        <f>IFERROR(IF(O28&gt;0, P28/O28, 0),"-")</f>
        <v>0.17105263157894737</v>
      </c>
      <c r="S28" s="18">
        <v>3476</v>
      </c>
      <c r="T28" s="18">
        <v>56</v>
      </c>
      <c r="U28" s="18">
        <v>234920</v>
      </c>
      <c r="V28" s="19">
        <v>20</v>
      </c>
      <c r="W28" s="19">
        <v>511070</v>
      </c>
      <c r="X28" s="24">
        <f>RANK(F28,$F$19:$F$48,0)</f>
        <v>10</v>
      </c>
      <c r="Y28" s="3" t="str">
        <f>IF(OR(ISERROR(F28),F28="-",NOT(ISNUMBER(F28))),"● N/A",IF(ROUND(F28, 4) &gt;= ROUND($F$49, 4),"▲ Above Average","▼ Below Average"))</f>
        <v>▲ Above Average</v>
      </c>
    </row>
    <row r="29" spans="2:25" x14ac:dyDescent="0.2">
      <c r="B29" s="17" t="s">
        <v>9</v>
      </c>
      <c r="C29" s="18">
        <v>4196</v>
      </c>
      <c r="D29" s="19">
        <v>4122</v>
      </c>
      <c r="E29" s="18">
        <f>IF(OR(D29="-",D29="",D29=0),IF(C29="-","-",C29),C29-D29)</f>
        <v>74</v>
      </c>
      <c r="F29" s="20">
        <f>IFERROR(IF(C29&gt;0, D29/C29, 0),"-")</f>
        <v>0.9823641563393708</v>
      </c>
      <c r="G29" s="18">
        <v>46</v>
      </c>
      <c r="H29" s="19">
        <v>9</v>
      </c>
      <c r="I29" s="18">
        <f>IF(OR(H29="-",H29="",H29=0),IF(G29="-","-",G29),G29-H29)</f>
        <v>37</v>
      </c>
      <c r="J29" s="20">
        <f>IFERROR(IF(G29&gt;0, H29/G29, 0),"-")</f>
        <v>0.19565217391304349</v>
      </c>
      <c r="K29" s="18">
        <v>47</v>
      </c>
      <c r="L29" s="19">
        <v>14</v>
      </c>
      <c r="M29" s="18">
        <f>IF(OR(L29="-",L29="",L29=0),IF(K29="-","-",K29),K29-L29)</f>
        <v>33</v>
      </c>
      <c r="N29" s="20">
        <f>IFERROR(IF(K29&gt;0, L29/K29, 0),"-")</f>
        <v>0.2978723404255319</v>
      </c>
      <c r="O29" s="18">
        <v>82</v>
      </c>
      <c r="P29" s="19">
        <v>8</v>
      </c>
      <c r="Q29" s="18">
        <f>IF(OR(P29="-",P29="",P29=0),IF(O29="-","-",O29),O29-P29)</f>
        <v>74</v>
      </c>
      <c r="R29" s="20">
        <f>IFERROR(IF(O29&gt;0, P29/O29, 0),"-")</f>
        <v>9.7560975609756101E-2</v>
      </c>
      <c r="S29" s="18">
        <v>2041</v>
      </c>
      <c r="T29" s="18">
        <v>29</v>
      </c>
      <c r="U29" s="18">
        <v>129925</v>
      </c>
      <c r="V29" s="19">
        <v>20</v>
      </c>
      <c r="W29" s="19">
        <v>376233</v>
      </c>
      <c r="X29" s="24">
        <f>RANK(F29,$F$19:$F$48,0)</f>
        <v>11</v>
      </c>
      <c r="Y29" s="3" t="str">
        <f>IF(OR(ISERROR(F29),F29="-",NOT(ISNUMBER(F29))),"● N/A",IF(ROUND(F29, 4) &gt;= ROUND($F$49, 4),"▲ Above Average","▼ Below Average"))</f>
        <v>▲ Above Average</v>
      </c>
    </row>
    <row r="30" spans="2:25" x14ac:dyDescent="0.2">
      <c r="B30" s="17" t="s">
        <v>28</v>
      </c>
      <c r="C30" s="18">
        <v>2921</v>
      </c>
      <c r="D30" s="19">
        <v>2868</v>
      </c>
      <c r="E30" s="18">
        <f>IF(OR(D30="-",D30="",D30=0),IF(C30="-","-",C30),C30-D30)</f>
        <v>53</v>
      </c>
      <c r="F30" s="20">
        <f>IFERROR(IF(C30&gt;0, D30/C30, 0),"-")</f>
        <v>0.98185552892844918</v>
      </c>
      <c r="G30" s="18">
        <v>26</v>
      </c>
      <c r="H30" s="19">
        <v>8</v>
      </c>
      <c r="I30" s="18">
        <f>IF(OR(H30="-",H30="",H30=0),IF(G30="-","-",G30),G30-H30)</f>
        <v>18</v>
      </c>
      <c r="J30" s="20">
        <f>IFERROR(IF(G30&gt;0, H30/G30, 0),"-")</f>
        <v>0.30769230769230771</v>
      </c>
      <c r="K30" s="18">
        <v>17</v>
      </c>
      <c r="L30" s="19">
        <v>8</v>
      </c>
      <c r="M30" s="18">
        <f>IF(OR(L30="-",L30="",L30=0),IF(K30="-","-",K30),K30-L30)</f>
        <v>9</v>
      </c>
      <c r="N30" s="20">
        <f>IFERROR(IF(K30&gt;0, L30/K30, 0),"-")</f>
        <v>0.47058823529411764</v>
      </c>
      <c r="O30" s="18">
        <v>44</v>
      </c>
      <c r="P30" s="19">
        <v>9</v>
      </c>
      <c r="Q30" s="18">
        <f>IF(OR(P30="-",P30="",P30=0),IF(O30="-","-",O30),O30-P30)</f>
        <v>35</v>
      </c>
      <c r="R30" s="20">
        <f>IFERROR(IF(O30&gt;0, P30/O30, 0),"-")</f>
        <v>0.20454545454545456</v>
      </c>
      <c r="S30" s="18">
        <v>2509</v>
      </c>
      <c r="T30" s="18">
        <v>48</v>
      </c>
      <c r="U30" s="18">
        <v>102264</v>
      </c>
      <c r="V30" s="19">
        <v>6</v>
      </c>
      <c r="W30" s="19">
        <v>76466</v>
      </c>
      <c r="X30" s="24">
        <f>RANK(F30,$F$19:$F$48,0)</f>
        <v>12</v>
      </c>
      <c r="Y30" s="3" t="str">
        <f>IF(OR(ISERROR(F30),F30="-",NOT(ISNUMBER(F30))),"● N/A",IF(ROUND(F30, 4) &gt;= ROUND($F$49, 4),"▲ Above Average","▼ Below Average"))</f>
        <v>▲ Above Average</v>
      </c>
    </row>
    <row r="31" spans="2:25" x14ac:dyDescent="0.2">
      <c r="B31" s="17" t="s">
        <v>13</v>
      </c>
      <c r="C31" s="18">
        <v>5941</v>
      </c>
      <c r="D31" s="19">
        <v>5829</v>
      </c>
      <c r="E31" s="18">
        <f>IF(OR(D31="-",D31="",D31=0),IF(C31="-","-",C31),C31-D31)</f>
        <v>112</v>
      </c>
      <c r="F31" s="20">
        <f>IFERROR(IF(C31&gt;0, D31/C31, 0),"-")</f>
        <v>0.98114795488974915</v>
      </c>
      <c r="G31" s="18">
        <v>33</v>
      </c>
      <c r="H31" s="19">
        <v>6</v>
      </c>
      <c r="I31" s="18">
        <f>IF(OR(H31="-",H31="",H31=0),IF(G31="-","-",G31),G31-H31)</f>
        <v>27</v>
      </c>
      <c r="J31" s="20">
        <f>IFERROR(IF(G31&gt;0, H31/G31, 0),"-")</f>
        <v>0.18181818181818182</v>
      </c>
      <c r="K31" s="18">
        <v>26</v>
      </c>
      <c r="L31" s="19">
        <v>17</v>
      </c>
      <c r="M31" s="18">
        <f>IF(OR(L31="-",L31="",L31=0),IF(K31="-","-",K31),K31-L31)</f>
        <v>9</v>
      </c>
      <c r="N31" s="20">
        <f>IFERROR(IF(K31&gt;0, L31/K31, 0),"-")</f>
        <v>0.65384615384615385</v>
      </c>
      <c r="O31" s="18">
        <v>67</v>
      </c>
      <c r="P31" s="19">
        <v>14</v>
      </c>
      <c r="Q31" s="18">
        <f>IF(OR(P31="-",P31="",P31=0),IF(O31="-","-",O31),O31-P31)</f>
        <v>53</v>
      </c>
      <c r="R31" s="20">
        <f>IFERROR(IF(O31&gt;0, P31/O31, 0),"-")</f>
        <v>0.20895522388059701</v>
      </c>
      <c r="S31" s="18">
        <v>5144</v>
      </c>
      <c r="T31" s="18">
        <v>61</v>
      </c>
      <c r="U31" s="18">
        <v>176775</v>
      </c>
      <c r="V31" s="19">
        <v>38</v>
      </c>
      <c r="W31" s="19">
        <v>968336</v>
      </c>
      <c r="X31" s="24">
        <f>RANK(F31,$F$19:$F$48,0)</f>
        <v>13</v>
      </c>
      <c r="Y31" s="3" t="str">
        <f>IF(OR(ISERROR(F31),F31="-",NOT(ISNUMBER(F31))),"● N/A",IF(ROUND(F31, 4) &gt;= ROUND($F$49, 4),"▲ Above Average","▼ Below Average"))</f>
        <v>▲ Above Average</v>
      </c>
    </row>
    <row r="32" spans="2:25" x14ac:dyDescent="0.2">
      <c r="B32" s="17" t="s">
        <v>26</v>
      </c>
      <c r="C32" s="18">
        <v>4929</v>
      </c>
      <c r="D32" s="19">
        <v>4835</v>
      </c>
      <c r="E32" s="18">
        <f>IF(OR(D32="-",D32="",D32=0),IF(C32="-","-",C32),C32-D32)</f>
        <v>94</v>
      </c>
      <c r="F32" s="20">
        <f>IFERROR(IF(C32&gt;0, D32/C32, 0),"-")</f>
        <v>0.9809291945627916</v>
      </c>
      <c r="G32" s="18">
        <v>63</v>
      </c>
      <c r="H32" s="19">
        <v>14</v>
      </c>
      <c r="I32" s="18">
        <f>IF(OR(H32="-",H32="",H32=0),IF(G32="-","-",G32),G32-H32)</f>
        <v>49</v>
      </c>
      <c r="J32" s="20">
        <f>IFERROR(IF(G32&gt;0, H32/G32, 0),"-")</f>
        <v>0.22222222222222221</v>
      </c>
      <c r="K32" s="18">
        <v>48</v>
      </c>
      <c r="L32" s="19">
        <v>14</v>
      </c>
      <c r="M32" s="18">
        <f>IF(OR(L32="-",L32="",L32=0),IF(K32="-","-",K32),K32-L32)</f>
        <v>34</v>
      </c>
      <c r="N32" s="20">
        <f>IFERROR(IF(K32&gt;0, L32/K32, 0),"-")</f>
        <v>0.29166666666666669</v>
      </c>
      <c r="O32" s="18">
        <v>103</v>
      </c>
      <c r="P32" s="19">
        <v>14</v>
      </c>
      <c r="Q32" s="18">
        <f>IF(OR(P32="-",P32="",P32=0),IF(O32="-","-",O32),O32-P32)</f>
        <v>89</v>
      </c>
      <c r="R32" s="20">
        <f>IFERROR(IF(O32&gt;0, P32/O32, 0),"-")</f>
        <v>0.13592233009708737</v>
      </c>
      <c r="S32" s="18">
        <v>4800</v>
      </c>
      <c r="T32" s="18">
        <v>65</v>
      </c>
      <c r="U32" s="18">
        <v>301975</v>
      </c>
      <c r="V32" s="19">
        <v>31</v>
      </c>
      <c r="W32" s="19">
        <v>692292</v>
      </c>
      <c r="X32" s="24">
        <f>RANK(F32,$F$19:$F$48,0)</f>
        <v>14</v>
      </c>
      <c r="Y32" s="3" t="str">
        <f>IF(OR(ISERROR(F32),F32="-",NOT(ISNUMBER(F32))),"● N/A",IF(ROUND(F32, 4) &gt;= ROUND($F$49, 4),"▲ Above Average","▼ Below Average"))</f>
        <v>▲ Above Average</v>
      </c>
    </row>
    <row r="33" spans="2:25" x14ac:dyDescent="0.2">
      <c r="B33" s="17" t="s">
        <v>5</v>
      </c>
      <c r="C33" s="18">
        <v>3458</v>
      </c>
      <c r="D33" s="19">
        <v>3390</v>
      </c>
      <c r="E33" s="18">
        <f>IF(OR(D33="-",D33="",D33=0),IF(C33="-","-",C33),C33-D33)</f>
        <v>68</v>
      </c>
      <c r="F33" s="20">
        <f>IFERROR(IF(C33&gt;0, D33/C33, 0),"-")</f>
        <v>0.9803354540196646</v>
      </c>
      <c r="G33" s="18">
        <v>25</v>
      </c>
      <c r="H33" s="19">
        <v>4</v>
      </c>
      <c r="I33" s="18">
        <f>IF(OR(H33="-",H33="",H33=0),IF(G33="-","-",G33),G33-H33)</f>
        <v>21</v>
      </c>
      <c r="J33" s="20">
        <f>IFERROR(IF(G33&gt;0, H33/G33, 0),"-")</f>
        <v>0.16</v>
      </c>
      <c r="K33" s="18">
        <v>35</v>
      </c>
      <c r="L33" s="19">
        <v>16</v>
      </c>
      <c r="M33" s="18">
        <f>IF(OR(L33="-",L33="",L33=0),IF(K33="-","-",K33),K33-L33)</f>
        <v>19</v>
      </c>
      <c r="N33" s="20">
        <f>IFERROR(IF(K33&gt;0, L33/K33, 0),"-")</f>
        <v>0.45714285714285713</v>
      </c>
      <c r="O33" s="18">
        <v>54</v>
      </c>
      <c r="P33" s="19">
        <v>12</v>
      </c>
      <c r="Q33" s="18">
        <f>IF(OR(P33="-",P33="",P33=0),IF(O33="-","-",O33),O33-P33)</f>
        <v>42</v>
      </c>
      <c r="R33" s="20">
        <f>IFERROR(IF(O33&gt;0, P33/O33, 0),"-")</f>
        <v>0.22222222222222221</v>
      </c>
      <c r="S33" s="18">
        <v>2872</v>
      </c>
      <c r="T33" s="18">
        <v>39</v>
      </c>
      <c r="U33" s="18">
        <v>112771</v>
      </c>
      <c r="V33" s="19">
        <v>21</v>
      </c>
      <c r="W33" s="19">
        <v>489145</v>
      </c>
      <c r="X33" s="24">
        <f>RANK(F33,$F$19:$F$48,0)</f>
        <v>15</v>
      </c>
      <c r="Y33" s="3" t="str">
        <f>IF(OR(ISERROR(F33),F33="-",NOT(ISNUMBER(F33))),"● N/A",IF(ROUND(F33, 4) &gt;= ROUND($F$49, 4),"▲ Above Average","▼ Below Average"))</f>
        <v>▲ Above Average</v>
      </c>
    </row>
    <row r="34" spans="2:25" x14ac:dyDescent="0.2">
      <c r="B34" s="17" t="s">
        <v>11</v>
      </c>
      <c r="C34" s="18">
        <v>9302</v>
      </c>
      <c r="D34" s="19">
        <v>9106</v>
      </c>
      <c r="E34" s="18">
        <f>IF(OR(D34="-",D34="",D34=0),IF(C34="-","-",C34),C34-D34)</f>
        <v>196</v>
      </c>
      <c r="F34" s="20">
        <f>IFERROR(IF(C34&gt;0, D34/C34, 0),"-")</f>
        <v>0.97892926252418833</v>
      </c>
      <c r="G34" s="18">
        <v>111</v>
      </c>
      <c r="H34" s="19">
        <v>32</v>
      </c>
      <c r="I34" s="18">
        <f>IF(OR(H34="-",H34="",H34=0),IF(G34="-","-",G34),G34-H34)</f>
        <v>79</v>
      </c>
      <c r="J34" s="20">
        <f>IFERROR(IF(G34&gt;0, H34/G34, 0),"-")</f>
        <v>0.28828828828828829</v>
      </c>
      <c r="K34" s="18">
        <v>136</v>
      </c>
      <c r="L34" s="19">
        <v>34</v>
      </c>
      <c r="M34" s="18">
        <f>IF(OR(L34="-",L34="",L34=0),IF(K34="-","-",K34),K34-L34)</f>
        <v>102</v>
      </c>
      <c r="N34" s="20">
        <f>IFERROR(IF(K34&gt;0, L34/K34, 0),"-")</f>
        <v>0.25</v>
      </c>
      <c r="O34" s="18">
        <v>185</v>
      </c>
      <c r="P34" s="19">
        <v>14</v>
      </c>
      <c r="Q34" s="18">
        <f>IF(OR(P34="-",P34="",P34=0),IF(O34="-","-",O34),O34-P34)</f>
        <v>171</v>
      </c>
      <c r="R34" s="20">
        <f>IFERROR(IF(O34&gt;0, P34/O34, 0),"-")</f>
        <v>7.567567567567568E-2</v>
      </c>
      <c r="S34" s="18">
        <v>6975</v>
      </c>
      <c r="T34" s="18">
        <v>94</v>
      </c>
      <c r="U34" s="18">
        <v>363041</v>
      </c>
      <c r="V34" s="19">
        <v>36</v>
      </c>
      <c r="W34" s="19">
        <v>717891</v>
      </c>
      <c r="X34" s="24">
        <f>RANK(F34,$F$19:$F$48,0)</f>
        <v>16</v>
      </c>
      <c r="Y34" s="3" t="str">
        <f>IF(OR(ISERROR(F34),F34="-",NOT(ISNUMBER(F34))),"● N/A",IF(ROUND(F34, 4) &gt;= ROUND($F$49, 4),"▲ Above Average","▼ Below Average"))</f>
        <v>▲ Above Average</v>
      </c>
    </row>
    <row r="35" spans="2:25" x14ac:dyDescent="0.2">
      <c r="B35" s="17" t="s">
        <v>22</v>
      </c>
      <c r="C35" s="18">
        <v>5405</v>
      </c>
      <c r="D35" s="19">
        <v>5287</v>
      </c>
      <c r="E35" s="18">
        <f>IF(OR(D35="-",D35="",D35=0),IF(C35="-","-",C35),C35-D35)</f>
        <v>118</v>
      </c>
      <c r="F35" s="20">
        <f>IFERROR(IF(C35&gt;0, D35/C35, 0),"-")</f>
        <v>0.97816836262719709</v>
      </c>
      <c r="G35" s="18">
        <v>58</v>
      </c>
      <c r="H35" s="19">
        <v>15</v>
      </c>
      <c r="I35" s="18">
        <f>IF(OR(H35="-",H35="",H35=0),IF(G35="-","-",G35),G35-H35)</f>
        <v>43</v>
      </c>
      <c r="J35" s="20">
        <f>IFERROR(IF(G35&gt;0, H35/G35, 0),"-")</f>
        <v>0.25862068965517243</v>
      </c>
      <c r="K35" s="18">
        <v>65</v>
      </c>
      <c r="L35" s="19">
        <v>18</v>
      </c>
      <c r="M35" s="18">
        <f>IF(OR(L35="-",L35="",L35=0),IF(K35="-","-",K35),K35-L35)</f>
        <v>47</v>
      </c>
      <c r="N35" s="20">
        <f>IFERROR(IF(K35&gt;0, L35/K35, 0),"-")</f>
        <v>0.27692307692307694</v>
      </c>
      <c r="O35" s="18">
        <v>79</v>
      </c>
      <c r="P35" s="19">
        <v>16</v>
      </c>
      <c r="Q35" s="18">
        <f>IF(OR(P35="-",P35="",P35=0),IF(O35="-","-",O35),O35-P35)</f>
        <v>63</v>
      </c>
      <c r="R35" s="20">
        <f>IFERROR(IF(O35&gt;0, P35/O35, 0),"-")</f>
        <v>0.20253164556962025</v>
      </c>
      <c r="S35" s="18">
        <v>6268</v>
      </c>
      <c r="T35" s="18">
        <v>57</v>
      </c>
      <c r="U35" s="18">
        <v>367338</v>
      </c>
      <c r="V35" s="19">
        <v>103</v>
      </c>
      <c r="W35" s="19">
        <v>2430693</v>
      </c>
      <c r="X35" s="24">
        <f>RANK(F35,$F$19:$F$48,0)</f>
        <v>17</v>
      </c>
      <c r="Y35" s="3" t="str">
        <f>IF(OR(ISERROR(F35),F35="-",NOT(ISNUMBER(F35))),"● N/A",IF(ROUND(F35, 4) &gt;= ROUND($F$49, 4),"▲ Above Average","▼ Below Average"))</f>
        <v>▲ Above Average</v>
      </c>
    </row>
    <row r="36" spans="2:25" x14ac:dyDescent="0.2">
      <c r="B36" s="17" t="s">
        <v>25</v>
      </c>
      <c r="C36" s="18">
        <v>4227</v>
      </c>
      <c r="D36" s="19">
        <v>4133</v>
      </c>
      <c r="E36" s="18">
        <f>IF(OR(D36="-",D36="",D36=0),IF(C36="-","-",C36),C36-D36)</f>
        <v>94</v>
      </c>
      <c r="F36" s="20">
        <f>IFERROR(IF(C36&gt;0, D36/C36, 0),"-")</f>
        <v>0.97776200615093445</v>
      </c>
      <c r="G36" s="18">
        <v>55</v>
      </c>
      <c r="H36" s="19">
        <v>24</v>
      </c>
      <c r="I36" s="18">
        <f>IF(OR(H36="-",H36="",H36=0),IF(G36="-","-",G36),G36-H36)</f>
        <v>31</v>
      </c>
      <c r="J36" s="20">
        <f>IFERROR(IF(G36&gt;0, H36/G36, 0),"-")</f>
        <v>0.43636363636363634</v>
      </c>
      <c r="K36" s="18">
        <v>39</v>
      </c>
      <c r="L36" s="19">
        <v>13</v>
      </c>
      <c r="M36" s="18">
        <f>IF(OR(L36="-",L36="",L36=0),IF(K36="-","-",K36),K36-L36)</f>
        <v>26</v>
      </c>
      <c r="N36" s="20">
        <f>IFERROR(IF(K36&gt;0, L36/K36, 0),"-")</f>
        <v>0.33333333333333331</v>
      </c>
      <c r="O36" s="18">
        <v>44</v>
      </c>
      <c r="P36" s="19">
        <v>12</v>
      </c>
      <c r="Q36" s="18">
        <f>IF(OR(P36="-",P36="",P36=0),IF(O36="-","-",O36),O36-P36)</f>
        <v>32</v>
      </c>
      <c r="R36" s="20">
        <f>IFERROR(IF(O36&gt;0, P36/O36, 0),"-")</f>
        <v>0.27272727272727271</v>
      </c>
      <c r="S36" s="18">
        <v>147</v>
      </c>
      <c r="T36" s="18">
        <v>4</v>
      </c>
      <c r="U36" s="18">
        <v>9395</v>
      </c>
      <c r="V36" s="19" t="s">
        <v>959</v>
      </c>
      <c r="W36" s="19" t="s">
        <v>959</v>
      </c>
      <c r="X36" s="24">
        <f>RANK(F36,$F$19:$F$48,0)</f>
        <v>18</v>
      </c>
      <c r="Y36" s="3" t="str">
        <f>IF(OR(ISERROR(F36),F36="-",NOT(ISNUMBER(F36))),"● N/A",IF(ROUND(F36, 4) &gt;= ROUND($F$49, 4),"▲ Above Average","▼ Below Average"))</f>
        <v>▼ Below Average</v>
      </c>
    </row>
    <row r="37" spans="2:25" x14ac:dyDescent="0.2">
      <c r="B37" s="17" t="s">
        <v>21</v>
      </c>
      <c r="C37" s="18">
        <v>5335</v>
      </c>
      <c r="D37" s="19">
        <v>5214</v>
      </c>
      <c r="E37" s="18">
        <f>IF(OR(D37="-",D37="",D37=0),IF(C37="-","-",C37),C37-D37)</f>
        <v>121</v>
      </c>
      <c r="F37" s="20">
        <f>IFERROR(IF(C37&gt;0, D37/C37, 0),"-")</f>
        <v>0.97731958762886595</v>
      </c>
      <c r="G37" s="18">
        <v>59</v>
      </c>
      <c r="H37" s="19">
        <v>18</v>
      </c>
      <c r="I37" s="18">
        <f>IF(OR(H37="-",H37="",H37=0),IF(G37="-","-",G37),G37-H37)</f>
        <v>41</v>
      </c>
      <c r="J37" s="20">
        <f>IFERROR(IF(G37&gt;0, H37/G37, 0),"-")</f>
        <v>0.30508474576271188</v>
      </c>
      <c r="K37" s="18">
        <v>38</v>
      </c>
      <c r="L37" s="19">
        <v>16</v>
      </c>
      <c r="M37" s="18">
        <f>IF(OR(L37="-",L37="",L37=0),IF(K37="-","-",K37),K37-L37)</f>
        <v>22</v>
      </c>
      <c r="N37" s="20">
        <f>IFERROR(IF(K37&gt;0, L37/K37, 0),"-")</f>
        <v>0.42105263157894735</v>
      </c>
      <c r="O37" s="18">
        <v>59</v>
      </c>
      <c r="P37" s="19">
        <v>17</v>
      </c>
      <c r="Q37" s="18">
        <f>IF(OR(P37="-",P37="",P37=0),IF(O37="-","-",O37),O37-P37)</f>
        <v>42</v>
      </c>
      <c r="R37" s="20">
        <f>IFERROR(IF(O37&gt;0, P37/O37, 0),"-")</f>
        <v>0.28813559322033899</v>
      </c>
      <c r="S37" s="18">
        <v>4977</v>
      </c>
      <c r="T37" s="18">
        <v>156</v>
      </c>
      <c r="U37" s="18">
        <v>257314</v>
      </c>
      <c r="V37" s="19">
        <v>25</v>
      </c>
      <c r="W37" s="19">
        <v>497332</v>
      </c>
      <c r="X37" s="24">
        <f>RANK(F37,$F$19:$F$48,0)</f>
        <v>19</v>
      </c>
      <c r="Y37" s="3" t="str">
        <f>IF(OR(ISERROR(F37),F37="-",NOT(ISNUMBER(F37))),"● N/A",IF(ROUND(F37, 4) &gt;= ROUND($F$49, 4),"▲ Above Average","▼ Below Average"))</f>
        <v>▼ Below Average</v>
      </c>
    </row>
    <row r="38" spans="2:25" x14ac:dyDescent="0.2">
      <c r="B38" s="17" t="s">
        <v>3</v>
      </c>
      <c r="C38" s="18">
        <v>3141</v>
      </c>
      <c r="D38" s="19">
        <v>3062</v>
      </c>
      <c r="E38" s="18">
        <f>IF(OR(D38="-",D38="",D38=0),IF(C38="-","-",C38),C38-D38)</f>
        <v>79</v>
      </c>
      <c r="F38" s="20">
        <f>IFERROR(IF(C38&gt;0, D38/C38, 0),"-")</f>
        <v>0.97484877427570837</v>
      </c>
      <c r="G38" s="18">
        <v>44</v>
      </c>
      <c r="H38" s="19">
        <v>19</v>
      </c>
      <c r="I38" s="18">
        <f>IF(OR(H38="-",H38="",H38=0),IF(G38="-","-",G38),G38-H38)</f>
        <v>25</v>
      </c>
      <c r="J38" s="20">
        <f>IFERROR(IF(G38&gt;0, H38/G38, 0),"-")</f>
        <v>0.43181818181818182</v>
      </c>
      <c r="K38" s="18">
        <v>21</v>
      </c>
      <c r="L38" s="19">
        <v>8</v>
      </c>
      <c r="M38" s="18">
        <f>IF(OR(L38="-",L38="",L38=0),IF(K38="-","-",K38),K38-L38)</f>
        <v>13</v>
      </c>
      <c r="N38" s="20">
        <f>IFERROR(IF(K38&gt;0, L38/K38, 0),"-")</f>
        <v>0.38095238095238093</v>
      </c>
      <c r="O38" s="18">
        <v>20</v>
      </c>
      <c r="P38" s="19">
        <v>3</v>
      </c>
      <c r="Q38" s="18">
        <f>IF(OR(P38="-",P38="",P38=0),IF(O38="-","-",O38),O38-P38)</f>
        <v>17</v>
      </c>
      <c r="R38" s="20">
        <f>IFERROR(IF(O38&gt;0, P38/O38, 0),"-")</f>
        <v>0.15</v>
      </c>
      <c r="S38" s="18">
        <v>3482</v>
      </c>
      <c r="T38" s="18">
        <v>71</v>
      </c>
      <c r="U38" s="18">
        <v>472116</v>
      </c>
      <c r="V38" s="19">
        <v>53</v>
      </c>
      <c r="W38" s="19">
        <v>1271607</v>
      </c>
      <c r="X38" s="24">
        <f>RANK(F38,$F$19:$F$48,0)</f>
        <v>20</v>
      </c>
      <c r="Y38" s="3" t="str">
        <f>IF(OR(ISERROR(F38),F38="-",NOT(ISNUMBER(F38))),"● N/A",IF(ROUND(F38, 4) &gt;= ROUND($F$49, 4),"▲ Above Average","▼ Below Average"))</f>
        <v>▼ Below Average</v>
      </c>
    </row>
    <row r="39" spans="2:25" x14ac:dyDescent="0.2">
      <c r="B39" s="17" t="s">
        <v>18</v>
      </c>
      <c r="C39" s="18">
        <v>5872</v>
      </c>
      <c r="D39" s="19">
        <v>5723</v>
      </c>
      <c r="E39" s="18">
        <f>IF(OR(D39="-",D39="",D39=0),IF(C39="-","-",C39),C39-D39)</f>
        <v>149</v>
      </c>
      <c r="F39" s="20">
        <f>IFERROR(IF(C39&gt;0, D39/C39, 0),"-")</f>
        <v>0.97462534059945505</v>
      </c>
      <c r="G39" s="18">
        <v>92</v>
      </c>
      <c r="H39" s="19">
        <v>37</v>
      </c>
      <c r="I39" s="18">
        <f>IF(OR(H39="-",H39="",H39=0),IF(G39="-","-",G39),G39-H39)</f>
        <v>55</v>
      </c>
      <c r="J39" s="20">
        <f>IFERROR(IF(G39&gt;0, H39/G39, 0),"-")</f>
        <v>0.40217391304347827</v>
      </c>
      <c r="K39" s="18">
        <v>85</v>
      </c>
      <c r="L39" s="19">
        <v>22</v>
      </c>
      <c r="M39" s="18">
        <f>IF(OR(L39="-",L39="",L39=0),IF(K39="-","-",K39),K39-L39)</f>
        <v>63</v>
      </c>
      <c r="N39" s="20">
        <f>IFERROR(IF(K39&gt;0, L39/K39, 0),"-")</f>
        <v>0.25882352941176473</v>
      </c>
      <c r="O39" s="18">
        <v>94</v>
      </c>
      <c r="P39" s="19">
        <v>21</v>
      </c>
      <c r="Q39" s="18">
        <f>IF(OR(P39="-",P39="",P39=0),IF(O39="-","-",O39),O39-P39)</f>
        <v>73</v>
      </c>
      <c r="R39" s="20">
        <f>IFERROR(IF(O39&gt;0, P39/O39, 0),"-")</f>
        <v>0.22340425531914893</v>
      </c>
      <c r="S39" s="18">
        <v>5902</v>
      </c>
      <c r="T39" s="18">
        <v>96</v>
      </c>
      <c r="U39" s="18">
        <v>309029</v>
      </c>
      <c r="V39" s="19">
        <v>78</v>
      </c>
      <c r="W39" s="19">
        <v>1730272</v>
      </c>
      <c r="X39" s="24">
        <f>RANK(F39,$F$19:$F$48,0)</f>
        <v>21</v>
      </c>
      <c r="Y39" s="3" t="str">
        <f>IF(OR(ISERROR(F39),F39="-",NOT(ISNUMBER(F39))),"● N/A",IF(ROUND(F39, 4) &gt;= ROUND($F$49, 4),"▲ Above Average","▼ Below Average"))</f>
        <v>▼ Below Average</v>
      </c>
    </row>
    <row r="40" spans="2:25" x14ac:dyDescent="0.2">
      <c r="B40" s="17" t="s">
        <v>23</v>
      </c>
      <c r="C40" s="18">
        <v>4940</v>
      </c>
      <c r="D40" s="19">
        <v>4814</v>
      </c>
      <c r="E40" s="18">
        <f>IF(OR(D40="-",D40="",D40=0),IF(C40="-","-",C40),C40-D40)</f>
        <v>126</v>
      </c>
      <c r="F40" s="20">
        <f>IFERROR(IF(C40&gt;0, D40/C40, 0),"-")</f>
        <v>0.97449392712550609</v>
      </c>
      <c r="G40" s="18">
        <v>61</v>
      </c>
      <c r="H40" s="19">
        <v>25</v>
      </c>
      <c r="I40" s="18">
        <f>IF(OR(H40="-",H40="",H40=0),IF(G40="-","-",G40),G40-H40)</f>
        <v>36</v>
      </c>
      <c r="J40" s="20">
        <f>IFERROR(IF(G40&gt;0, H40/G40, 0),"-")</f>
        <v>0.4098360655737705</v>
      </c>
      <c r="K40" s="18">
        <v>53</v>
      </c>
      <c r="L40" s="19">
        <v>18</v>
      </c>
      <c r="M40" s="18">
        <f>IF(OR(L40="-",L40="",L40=0),IF(K40="-","-",K40),K40-L40)</f>
        <v>35</v>
      </c>
      <c r="N40" s="20">
        <f>IFERROR(IF(K40&gt;0, L40/K40, 0),"-")</f>
        <v>0.33962264150943394</v>
      </c>
      <c r="O40" s="18">
        <v>75</v>
      </c>
      <c r="P40" s="19">
        <v>14</v>
      </c>
      <c r="Q40" s="18">
        <f>IF(OR(P40="-",P40="",P40=0),IF(O40="-","-",O40),O40-P40)</f>
        <v>61</v>
      </c>
      <c r="R40" s="20">
        <f>IFERROR(IF(O40&gt;0, P40/O40, 0),"-")</f>
        <v>0.18666666666666668</v>
      </c>
      <c r="S40" s="18">
        <v>6045</v>
      </c>
      <c r="T40" s="18">
        <v>45</v>
      </c>
      <c r="U40" s="18">
        <v>301500</v>
      </c>
      <c r="V40" s="19">
        <v>95</v>
      </c>
      <c r="W40" s="19">
        <v>2489519</v>
      </c>
      <c r="X40" s="24">
        <f>RANK(F40,$F$19:$F$48,0)</f>
        <v>22</v>
      </c>
      <c r="Y40" s="3" t="str">
        <f>IF(OR(ISERROR(F40),F40="-",NOT(ISNUMBER(F40))),"● N/A",IF(ROUND(F40, 4) &gt;= ROUND($F$49, 4),"▲ Above Average","▼ Below Average"))</f>
        <v>▼ Below Average</v>
      </c>
    </row>
    <row r="41" spans="2:25" x14ac:dyDescent="0.2">
      <c r="B41" s="17" t="s">
        <v>1</v>
      </c>
      <c r="C41" s="18">
        <v>6162</v>
      </c>
      <c r="D41" s="19">
        <v>6000</v>
      </c>
      <c r="E41" s="18">
        <f>IF(OR(D41="-",D41="",D41=0),IF(C41="-","-",C41),C41-D41)</f>
        <v>162</v>
      </c>
      <c r="F41" s="20">
        <f>IFERROR(IF(C41&gt;0, D41/C41, 0),"-")</f>
        <v>0.97370983446932813</v>
      </c>
      <c r="G41" s="18">
        <v>116</v>
      </c>
      <c r="H41" s="19">
        <v>49</v>
      </c>
      <c r="I41" s="18">
        <f>IF(OR(H41="-",H41="",H41=0),IF(G41="-","-",G41),G41-H41)</f>
        <v>67</v>
      </c>
      <c r="J41" s="20">
        <f>IFERROR(IF(G41&gt;0, H41/G41, 0),"-")</f>
        <v>0.42241379310344829</v>
      </c>
      <c r="K41" s="18">
        <v>88</v>
      </c>
      <c r="L41" s="19">
        <v>23</v>
      </c>
      <c r="M41" s="18">
        <f>IF(OR(L41="-",L41="",L41=0),IF(K41="-","-",K41),K41-L41)</f>
        <v>65</v>
      </c>
      <c r="N41" s="20">
        <f>IFERROR(IF(K41&gt;0, L41/K41, 0),"-")</f>
        <v>0.26136363636363635</v>
      </c>
      <c r="O41" s="18">
        <v>105</v>
      </c>
      <c r="P41" s="19">
        <v>18</v>
      </c>
      <c r="Q41" s="18">
        <f>IF(OR(P41="-",P41="",P41=0),IF(O41="-","-",O41),O41-P41)</f>
        <v>87</v>
      </c>
      <c r="R41" s="20">
        <f>IFERROR(IF(O41&gt;0, P41/O41, 0),"-")</f>
        <v>0.17142857142857143</v>
      </c>
      <c r="S41" s="18">
        <v>6142</v>
      </c>
      <c r="T41" s="18">
        <v>60</v>
      </c>
      <c r="U41" s="18">
        <v>302891</v>
      </c>
      <c r="V41" s="19">
        <v>83</v>
      </c>
      <c r="W41" s="19">
        <v>1627525</v>
      </c>
      <c r="X41" s="24">
        <f>RANK(F41,$F$19:$F$48,0)</f>
        <v>23</v>
      </c>
      <c r="Y41" s="3" t="str">
        <f>IF(OR(ISERROR(F41),F41="-",NOT(ISNUMBER(F41))),"● N/A",IF(ROUND(F41, 4) &gt;= ROUND($F$49, 4),"▲ Above Average","▼ Below Average"))</f>
        <v>▼ Below Average</v>
      </c>
    </row>
    <row r="42" spans="2:25" x14ac:dyDescent="0.2">
      <c r="B42" s="17" t="s">
        <v>20</v>
      </c>
      <c r="C42" s="18">
        <v>5609</v>
      </c>
      <c r="D42" s="19">
        <v>5461</v>
      </c>
      <c r="E42" s="18">
        <f>IF(OR(D42="-",D42="",D42=0),IF(C42="-","-",C42),C42-D42)</f>
        <v>148</v>
      </c>
      <c r="F42" s="20">
        <f>IFERROR(IF(C42&gt;0, D42/C42, 0),"-")</f>
        <v>0.97361383490818332</v>
      </c>
      <c r="G42" s="18">
        <v>52</v>
      </c>
      <c r="H42" s="19">
        <v>19</v>
      </c>
      <c r="I42" s="18">
        <f>IF(OR(H42="-",H42="",H42=0),IF(G42="-","-",G42),G42-H42)</f>
        <v>33</v>
      </c>
      <c r="J42" s="20">
        <f>IFERROR(IF(G42&gt;0, H42/G42, 0),"-")</f>
        <v>0.36538461538461536</v>
      </c>
      <c r="K42" s="18">
        <v>72</v>
      </c>
      <c r="L42" s="19">
        <v>27</v>
      </c>
      <c r="M42" s="18">
        <f>IF(OR(L42="-",L42="",L42=0),IF(K42="-","-",K42),K42-L42)</f>
        <v>45</v>
      </c>
      <c r="N42" s="20">
        <f>IFERROR(IF(K42&gt;0, L42/K42, 0),"-")</f>
        <v>0.375</v>
      </c>
      <c r="O42" s="18">
        <v>98</v>
      </c>
      <c r="P42" s="19">
        <v>26</v>
      </c>
      <c r="Q42" s="18">
        <f>IF(OR(P42="-",P42="",P42=0),IF(O42="-","-",O42),O42-P42)</f>
        <v>72</v>
      </c>
      <c r="R42" s="20">
        <f>IFERROR(IF(O42&gt;0, P42/O42, 0),"-")</f>
        <v>0.26530612244897961</v>
      </c>
      <c r="S42" s="18">
        <v>4259</v>
      </c>
      <c r="T42" s="18">
        <v>183</v>
      </c>
      <c r="U42" s="18">
        <v>411602</v>
      </c>
      <c r="V42" s="19">
        <v>58</v>
      </c>
      <c r="W42" s="19">
        <v>1506666</v>
      </c>
      <c r="X42" s="24">
        <f>RANK(F42,$F$19:$F$48,0)</f>
        <v>24</v>
      </c>
      <c r="Y42" s="3" t="str">
        <f>IF(OR(ISERROR(F42),F42="-",NOT(ISNUMBER(F42))),"● N/A",IF(ROUND(F42, 4) &gt;= ROUND($F$49, 4),"▲ Above Average","▼ Below Average"))</f>
        <v>▼ Below Average</v>
      </c>
    </row>
    <row r="43" spans="2:25" x14ac:dyDescent="0.2">
      <c r="B43" s="17" t="s">
        <v>19</v>
      </c>
      <c r="C43" s="18">
        <v>6227</v>
      </c>
      <c r="D43" s="19">
        <v>6062</v>
      </c>
      <c r="E43" s="18">
        <f>IF(OR(D43="-",D43="",D43=0),IF(C43="-","-",C43),C43-D43)</f>
        <v>165</v>
      </c>
      <c r="F43" s="20">
        <f>IFERROR(IF(C43&gt;0, D43/C43, 0),"-")</f>
        <v>0.97350248916010917</v>
      </c>
      <c r="G43" s="18">
        <v>66</v>
      </c>
      <c r="H43" s="19">
        <v>20</v>
      </c>
      <c r="I43" s="18">
        <f>IF(OR(H43="-",H43="",H43=0),IF(G43="-","-",G43),G43-H43)</f>
        <v>46</v>
      </c>
      <c r="J43" s="20">
        <f>IFERROR(IF(G43&gt;0, H43/G43, 0),"-")</f>
        <v>0.30303030303030304</v>
      </c>
      <c r="K43" s="18">
        <v>79</v>
      </c>
      <c r="L43" s="19">
        <v>25</v>
      </c>
      <c r="M43" s="18">
        <f>IF(OR(L43="-",L43="",L43=0),IF(K43="-","-",K43),K43-L43)</f>
        <v>54</v>
      </c>
      <c r="N43" s="20">
        <f>IFERROR(IF(K43&gt;0, L43/K43, 0),"-")</f>
        <v>0.31645569620253167</v>
      </c>
      <c r="O43" s="18">
        <v>112</v>
      </c>
      <c r="P43" s="19">
        <v>18</v>
      </c>
      <c r="Q43" s="18">
        <f>IF(OR(P43="-",P43="",P43=0),IF(O43="-","-",O43),O43-P43)</f>
        <v>94</v>
      </c>
      <c r="R43" s="20">
        <f>IFERROR(IF(O43&gt;0, P43/O43, 0),"-")</f>
        <v>0.16071428571428573</v>
      </c>
      <c r="S43" s="18">
        <v>7973</v>
      </c>
      <c r="T43" s="18">
        <v>132</v>
      </c>
      <c r="U43" s="18">
        <v>378614</v>
      </c>
      <c r="V43" s="19">
        <v>26</v>
      </c>
      <c r="W43" s="19">
        <v>375626</v>
      </c>
      <c r="X43" s="24">
        <f>RANK(F43,$F$19:$F$48,0)</f>
        <v>25</v>
      </c>
      <c r="Y43" s="3" t="str">
        <f>IF(OR(ISERROR(F43),F43="-",NOT(ISNUMBER(F43))),"● N/A",IF(ROUND(F43, 4) &gt;= ROUND($F$49, 4),"▲ Above Average","▼ Below Average"))</f>
        <v>▼ Below Average</v>
      </c>
    </row>
    <row r="44" spans="2:25" x14ac:dyDescent="0.2">
      <c r="B44" s="17" t="s">
        <v>10</v>
      </c>
      <c r="C44" s="18">
        <v>6594</v>
      </c>
      <c r="D44" s="19">
        <v>6418</v>
      </c>
      <c r="E44" s="18">
        <f>IF(OR(D44="-",D44="",D44=0),IF(C44="-","-",C44),C44-D44)</f>
        <v>176</v>
      </c>
      <c r="F44" s="20">
        <f>IFERROR(IF(C44&gt;0, D44/C44, 0),"-")</f>
        <v>0.97330906885047008</v>
      </c>
      <c r="G44" s="18">
        <v>66</v>
      </c>
      <c r="H44" s="19">
        <v>9</v>
      </c>
      <c r="I44" s="18">
        <f>IF(OR(H44="-",H44="",H44=0),IF(G44="-","-",G44),G44-H44)</f>
        <v>57</v>
      </c>
      <c r="J44" s="20">
        <f>IFERROR(IF(G44&gt;0, H44/G44, 0),"-")</f>
        <v>0.13636363636363635</v>
      </c>
      <c r="K44" s="18">
        <v>76</v>
      </c>
      <c r="L44" s="19">
        <v>18</v>
      </c>
      <c r="M44" s="18">
        <f>IF(OR(L44="-",L44="",L44=0),IF(K44="-","-",K44),K44-L44)</f>
        <v>58</v>
      </c>
      <c r="N44" s="20">
        <f>IFERROR(IF(K44&gt;0, L44/K44, 0),"-")</f>
        <v>0.23684210526315788</v>
      </c>
      <c r="O44" s="18">
        <v>100</v>
      </c>
      <c r="P44" s="19">
        <v>12</v>
      </c>
      <c r="Q44" s="18">
        <f>IF(OR(P44="-",P44="",P44=0),IF(O44="-","-",O44),O44-P44)</f>
        <v>88</v>
      </c>
      <c r="R44" s="20">
        <f>IFERROR(IF(O44&gt;0, P44/O44, 0),"-")</f>
        <v>0.12</v>
      </c>
      <c r="S44" s="18">
        <v>4742</v>
      </c>
      <c r="T44" s="18">
        <v>69</v>
      </c>
      <c r="U44" s="18">
        <v>404683</v>
      </c>
      <c r="V44" s="19">
        <v>40</v>
      </c>
      <c r="W44" s="19">
        <v>917481</v>
      </c>
      <c r="X44" s="24">
        <f>RANK(F44,$F$19:$F$48,0)</f>
        <v>26</v>
      </c>
      <c r="Y44" s="3" t="str">
        <f>IF(OR(ISERROR(F44),F44="-",NOT(ISNUMBER(F44))),"● N/A",IF(ROUND(F44, 4) &gt;= ROUND($F$49, 4),"▲ Above Average","▼ Below Average"))</f>
        <v>▼ Below Average</v>
      </c>
    </row>
    <row r="45" spans="2:25" x14ac:dyDescent="0.2">
      <c r="B45" s="17" t="s">
        <v>6</v>
      </c>
      <c r="C45" s="18">
        <v>5026</v>
      </c>
      <c r="D45" s="19">
        <v>4875</v>
      </c>
      <c r="E45" s="18">
        <f>IF(OR(D45="-",D45="",D45=0),IF(C45="-","-",C45),C45-D45)</f>
        <v>151</v>
      </c>
      <c r="F45" s="20">
        <f>IFERROR(IF(C45&gt;0, D45/C45, 0),"-")</f>
        <v>0.96995622761639477</v>
      </c>
      <c r="G45" s="18">
        <v>84</v>
      </c>
      <c r="H45" s="19">
        <v>31</v>
      </c>
      <c r="I45" s="18">
        <f>IF(OR(H45="-",H45="",H45=0),IF(G45="-","-",G45),G45-H45)</f>
        <v>53</v>
      </c>
      <c r="J45" s="20">
        <f>IFERROR(IF(G45&gt;0, H45/G45, 0),"-")</f>
        <v>0.36904761904761907</v>
      </c>
      <c r="K45" s="18">
        <v>86</v>
      </c>
      <c r="L45" s="19">
        <v>25</v>
      </c>
      <c r="M45" s="18">
        <f>IF(OR(L45="-",L45="",L45=0),IF(K45="-","-",K45),K45-L45)</f>
        <v>61</v>
      </c>
      <c r="N45" s="20">
        <f>IFERROR(IF(K45&gt;0, L45/K45, 0),"-")</f>
        <v>0.29069767441860467</v>
      </c>
      <c r="O45" s="18">
        <v>97</v>
      </c>
      <c r="P45" s="19">
        <v>19</v>
      </c>
      <c r="Q45" s="18">
        <f>IF(OR(P45="-",P45="",P45=0),IF(O45="-","-",O45),O45-P45)</f>
        <v>78</v>
      </c>
      <c r="R45" s="20">
        <f>IFERROR(IF(O45&gt;0, P45/O45, 0),"-")</f>
        <v>0.19587628865979381</v>
      </c>
      <c r="S45" s="18">
        <v>3752</v>
      </c>
      <c r="T45" s="18">
        <v>61</v>
      </c>
      <c r="U45" s="18">
        <v>254640</v>
      </c>
      <c r="V45" s="19">
        <v>73</v>
      </c>
      <c r="W45" s="19">
        <v>1768509</v>
      </c>
      <c r="X45" s="24">
        <f>RANK(F45,$F$19:$F$48,0)</f>
        <v>27</v>
      </c>
      <c r="Y45" s="3" t="str">
        <f>IF(OR(ISERROR(F45),F45="-",NOT(ISNUMBER(F45))),"● N/A",IF(ROUND(F45, 4) &gt;= ROUND($F$49, 4),"▲ Above Average","▼ Below Average"))</f>
        <v>▼ Below Average</v>
      </c>
    </row>
    <row r="46" spans="2:25" x14ac:dyDescent="0.2">
      <c r="B46" s="17" t="s">
        <v>29</v>
      </c>
      <c r="C46" s="18">
        <v>2314</v>
      </c>
      <c r="D46" s="19">
        <v>2218</v>
      </c>
      <c r="E46" s="18">
        <f>IF(OR(D46="-",D46="",D46=0),IF(C46="-","-",C46),C46-D46)</f>
        <v>96</v>
      </c>
      <c r="F46" s="20">
        <f>IFERROR(IF(C46&gt;0, D46/C46, 0),"-")</f>
        <v>0.95851339671564395</v>
      </c>
      <c r="G46" s="18">
        <v>61</v>
      </c>
      <c r="H46" s="19">
        <v>30</v>
      </c>
      <c r="I46" s="18">
        <f>IF(OR(H46="-",H46="",H46=0),IF(G46="-","-",G46),G46-H46)</f>
        <v>31</v>
      </c>
      <c r="J46" s="20">
        <f>IFERROR(IF(G46&gt;0, H46/G46, 0),"-")</f>
        <v>0.49180327868852458</v>
      </c>
      <c r="K46" s="18">
        <v>24</v>
      </c>
      <c r="L46" s="19">
        <v>7</v>
      </c>
      <c r="M46" s="18">
        <f>IF(OR(L46="-",L46="",L46=0),IF(K46="-","-",K46),K46-L46)</f>
        <v>17</v>
      </c>
      <c r="N46" s="20">
        <f>IFERROR(IF(K46&gt;0, L46/K46, 0),"-")</f>
        <v>0.29166666666666669</v>
      </c>
      <c r="O46" s="18">
        <v>19</v>
      </c>
      <c r="P46" s="19">
        <v>1</v>
      </c>
      <c r="Q46" s="18">
        <f>IF(OR(P46="-",P46="",P46=0),IF(O46="-","-",O46),O46-P46)</f>
        <v>18</v>
      </c>
      <c r="R46" s="20">
        <f>IFERROR(IF(O46&gt;0, P46/O46, 0),"-")</f>
        <v>5.2631578947368418E-2</v>
      </c>
      <c r="S46" s="18">
        <v>32</v>
      </c>
      <c r="T46" s="18">
        <v>3</v>
      </c>
      <c r="U46" s="18">
        <v>6095</v>
      </c>
      <c r="V46" s="19" t="s">
        <v>959</v>
      </c>
      <c r="W46" s="19" t="s">
        <v>959</v>
      </c>
      <c r="X46" s="24">
        <f>RANK(F46,$F$19:$F$48,0)</f>
        <v>28</v>
      </c>
      <c r="Y46" s="3" t="str">
        <f>IF(OR(ISERROR(F46),F46="-",NOT(ISNUMBER(F46))),"● N/A",IF(ROUND(F46, 4) &gt;= ROUND($F$49, 4),"▲ Above Average","▼ Below Average"))</f>
        <v>▼ Below Average</v>
      </c>
    </row>
    <row r="47" spans="2:25" x14ac:dyDescent="0.2">
      <c r="B47" s="17" t="s">
        <v>27</v>
      </c>
      <c r="C47" s="18">
        <v>2597</v>
      </c>
      <c r="D47" s="19">
        <v>2482</v>
      </c>
      <c r="E47" s="18">
        <f>IF(OR(D47="-",D47="",D47=0),IF(C47="-","-",C47),C47-D47)</f>
        <v>115</v>
      </c>
      <c r="F47" s="20">
        <f>IFERROR(IF(C47&gt;0, D47/C47, 0),"-")</f>
        <v>0.95571813631112823</v>
      </c>
      <c r="G47" s="18">
        <v>92</v>
      </c>
      <c r="H47" s="19">
        <v>49</v>
      </c>
      <c r="I47" s="18">
        <f>IF(OR(H47="-",H47="",H47=0),IF(G47="-","-",G47),G47-H47)</f>
        <v>43</v>
      </c>
      <c r="J47" s="20">
        <f>IFERROR(IF(G47&gt;0, H47/G47, 0),"-")</f>
        <v>0.53260869565217395</v>
      </c>
      <c r="K47" s="18">
        <v>30</v>
      </c>
      <c r="L47" s="19">
        <v>10</v>
      </c>
      <c r="M47" s="18">
        <f>IF(OR(L47="-",L47="",L47=0),IF(K47="-","-",K47),K47-L47)</f>
        <v>20</v>
      </c>
      <c r="N47" s="20">
        <f>IFERROR(IF(K47&gt;0, L47/K47, 0),"-")</f>
        <v>0.33333333333333331</v>
      </c>
      <c r="O47" s="18">
        <v>29</v>
      </c>
      <c r="P47" s="19">
        <v>4</v>
      </c>
      <c r="Q47" s="18">
        <f>IF(OR(P47="-",P47="",P47=0),IF(O47="-","-",O47),O47-P47)</f>
        <v>25</v>
      </c>
      <c r="R47" s="20">
        <f>IFERROR(IF(O47&gt;0, P47/O47, 0),"-")</f>
        <v>0.13793103448275862</v>
      </c>
      <c r="S47" s="18">
        <v>38</v>
      </c>
      <c r="T47" s="18">
        <v>5</v>
      </c>
      <c r="U47" s="18">
        <v>18775</v>
      </c>
      <c r="V47" s="19" t="s">
        <v>959</v>
      </c>
      <c r="W47" s="19" t="s">
        <v>959</v>
      </c>
      <c r="X47" s="24">
        <f>RANK(F47,$F$19:$F$48,0)</f>
        <v>29</v>
      </c>
      <c r="Y47" s="3" t="str">
        <f>IF(OR(ISERROR(F47),F47="-",NOT(ISNUMBER(F47))),"● N/A",IF(ROUND(F47, 4) &gt;= ROUND($F$49, 4),"▲ Above Average","▼ Below Average"))</f>
        <v>▼ Below Average</v>
      </c>
    </row>
    <row r="48" spans="2:25" x14ac:dyDescent="0.2">
      <c r="B48" s="17" t="s">
        <v>15</v>
      </c>
      <c r="C48" s="18">
        <v>4124</v>
      </c>
      <c r="D48" s="19">
        <v>3923</v>
      </c>
      <c r="E48" s="18">
        <f>IF(OR(D48="-",D48="",D48=0),IF(C48="-","-",C48),C48-D48)</f>
        <v>201</v>
      </c>
      <c r="F48" s="20">
        <f>IFERROR(IF(C48&gt;0, D48/C48, 0),"-")</f>
        <v>0.95126091173617844</v>
      </c>
      <c r="G48" s="18">
        <v>57</v>
      </c>
      <c r="H48" s="19">
        <v>12</v>
      </c>
      <c r="I48" s="18">
        <f>IF(OR(H48="-",H48="",H48=0),IF(G48="-","-",G48),G48-H48)</f>
        <v>45</v>
      </c>
      <c r="J48" s="20">
        <f>IFERROR(IF(G48&gt;0, H48/G48, 0),"-")</f>
        <v>0.21052631578947367</v>
      </c>
      <c r="K48" s="18">
        <v>16</v>
      </c>
      <c r="L48" s="19">
        <v>9</v>
      </c>
      <c r="M48" s="18">
        <f>IF(OR(L48="-",L48="",L48=0),IF(K48="-","-",K48),K48-L48)</f>
        <v>7</v>
      </c>
      <c r="N48" s="20">
        <f>IFERROR(IF(K48&gt;0, L48/K48, 0),"-")</f>
        <v>0.5625</v>
      </c>
      <c r="O48" s="18">
        <v>36</v>
      </c>
      <c r="P48" s="19">
        <v>8</v>
      </c>
      <c r="Q48" s="18">
        <f>IF(OR(P48="-",P48="",P48=0),IF(O48="-","-",O48),O48-P48)</f>
        <v>28</v>
      </c>
      <c r="R48" s="20">
        <f>IFERROR(IF(O48&gt;0, P48/O48, 0),"-")</f>
        <v>0.22222222222222221</v>
      </c>
      <c r="S48" s="18">
        <v>3239</v>
      </c>
      <c r="T48" s="18">
        <v>47</v>
      </c>
      <c r="U48" s="18">
        <v>91105</v>
      </c>
      <c r="V48" s="19">
        <v>6</v>
      </c>
      <c r="W48" s="19">
        <v>101630</v>
      </c>
      <c r="X48" s="24">
        <f>RANK(F48,$F$19:$F$48,0)</f>
        <v>30</v>
      </c>
      <c r="Y48" s="3" t="str">
        <f>IF(OR(ISERROR(F48),F48="-",NOT(ISNUMBER(F48))),"● N/A",IF(ROUND(F48, 4) &gt;= ROUND($F$49, 4),"▲ Above Average","▼ Below Average"))</f>
        <v>▼ Below Average</v>
      </c>
    </row>
    <row r="49" spans="2:25" x14ac:dyDescent="0.2">
      <c r="B49" s="15" t="s">
        <v>953</v>
      </c>
      <c r="C49" s="16">
        <f>SUM(C19:C48)</f>
        <v>142205</v>
      </c>
      <c r="D49" s="16">
        <f>SUM(D19:D48)</f>
        <v>139070</v>
      </c>
      <c r="E49" s="16">
        <f>C49-D49</f>
        <v>3135</v>
      </c>
      <c r="F49" s="21">
        <f>IF(C49&gt;0, D49/C49, 0)</f>
        <v>0.97795436166098237</v>
      </c>
      <c r="G49" s="16">
        <f>SUM(G19:G48)</f>
        <v>1797</v>
      </c>
      <c r="H49" s="16">
        <f>SUM(H19:H48)</f>
        <v>640</v>
      </c>
      <c r="I49" s="16">
        <f>G49-H49</f>
        <v>1157</v>
      </c>
      <c r="J49" s="21">
        <f>IF(G49&gt;0, H49/G49, 0)</f>
        <v>0.35614913745130772</v>
      </c>
      <c r="K49" s="16">
        <f>SUM(K19:K48)</f>
        <v>1627</v>
      </c>
      <c r="L49" s="16">
        <f>SUM(L19:L48)</f>
        <v>522</v>
      </c>
      <c r="M49" s="16">
        <f>K49-L49</f>
        <v>1105</v>
      </c>
      <c r="N49" s="21">
        <f>IF(K49&gt;0, L49/K49, 0)</f>
        <v>0.3208358942839582</v>
      </c>
      <c r="O49" s="16">
        <f>SUM(O19:O48)</f>
        <v>2258</v>
      </c>
      <c r="P49" s="16">
        <f>SUM(P19:P48)</f>
        <v>410</v>
      </c>
      <c r="Q49" s="16">
        <f>O49-P49</f>
        <v>1848</v>
      </c>
      <c r="R49" s="21">
        <f>IF(O49&gt;0, P49/O49, 0)</f>
        <v>0.18157661647475642</v>
      </c>
      <c r="S49" s="16">
        <f>SUM(S19:S48)</f>
        <v>118305</v>
      </c>
      <c r="T49" s="16">
        <f>SUM(T19:T48)</f>
        <v>2177</v>
      </c>
      <c r="U49" s="16">
        <f>SUM(U19:U48)</f>
        <v>7490087</v>
      </c>
      <c r="V49" s="16">
        <f>SUM(V19:V48)</f>
        <v>1179</v>
      </c>
      <c r="W49" s="16">
        <f>SUM(W19:W48)</f>
        <v>26181053</v>
      </c>
      <c r="X49" s="25" t="s">
        <v>959</v>
      </c>
      <c r="Y49" s="25" t="s">
        <v>959</v>
      </c>
    </row>
    <row r="53" spans="2:25" x14ac:dyDescent="0.2">
      <c r="B53" s="2" t="s">
        <v>977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2:25" x14ac:dyDescent="0.2">
      <c r="B54" s="6" t="s">
        <v>954</v>
      </c>
      <c r="C54" s="2" t="s">
        <v>968</v>
      </c>
      <c r="D54" s="2"/>
      <c r="E54" s="2"/>
      <c r="F54" s="2"/>
      <c r="G54" s="2" t="s">
        <v>969</v>
      </c>
      <c r="H54" s="2"/>
      <c r="I54" s="2"/>
      <c r="J54" s="2"/>
      <c r="K54" s="2" t="s">
        <v>970</v>
      </c>
      <c r="L54" s="2"/>
      <c r="M54" s="2"/>
      <c r="N54" s="2"/>
      <c r="O54" s="2" t="s">
        <v>960</v>
      </c>
      <c r="P54" s="2"/>
      <c r="Q54" s="2"/>
      <c r="R54" s="2"/>
      <c r="S54" s="2" t="s">
        <v>951</v>
      </c>
      <c r="T54" s="2"/>
      <c r="U54" s="2"/>
      <c r="V54" s="2"/>
      <c r="W54" s="2"/>
      <c r="X54" s="7" t="s">
        <v>971</v>
      </c>
      <c r="Y54" s="7"/>
    </row>
    <row r="55" spans="2:25" x14ac:dyDescent="0.2">
      <c r="B55" s="6"/>
      <c r="C55" s="8" t="s">
        <v>961</v>
      </c>
      <c r="D55" s="9" t="s">
        <v>972</v>
      </c>
      <c r="E55" s="8" t="s">
        <v>955</v>
      </c>
      <c r="F55" s="10" t="s">
        <v>956</v>
      </c>
      <c r="G55" s="8" t="s">
        <v>961</v>
      </c>
      <c r="H55" s="9" t="s">
        <v>972</v>
      </c>
      <c r="I55" s="8" t="s">
        <v>973</v>
      </c>
      <c r="J55" s="10" t="s">
        <v>956</v>
      </c>
      <c r="K55" s="8" t="s">
        <v>961</v>
      </c>
      <c r="L55" s="9" t="s">
        <v>972</v>
      </c>
      <c r="M55" s="8" t="s">
        <v>973</v>
      </c>
      <c r="N55" s="10" t="s">
        <v>956</v>
      </c>
      <c r="O55" s="8" t="s">
        <v>961</v>
      </c>
      <c r="P55" s="9" t="s">
        <v>972</v>
      </c>
      <c r="Q55" s="8" t="s">
        <v>973</v>
      </c>
      <c r="R55" s="10" t="s">
        <v>956</v>
      </c>
      <c r="S55" s="8" t="s">
        <v>961</v>
      </c>
      <c r="T55" s="2" t="s">
        <v>962</v>
      </c>
      <c r="U55" s="2"/>
      <c r="V55" s="2" t="s">
        <v>963</v>
      </c>
      <c r="W55" s="2"/>
      <c r="X55" s="22" t="s">
        <v>974</v>
      </c>
      <c r="Y55" s="23" t="s">
        <v>975</v>
      </c>
    </row>
    <row r="56" spans="2:25" x14ac:dyDescent="0.2">
      <c r="C56" s="8"/>
      <c r="D56" s="9"/>
      <c r="E56" s="8"/>
      <c r="F56" s="10"/>
      <c r="G56" s="8"/>
      <c r="H56" s="9"/>
      <c r="I56" s="8"/>
      <c r="J56" s="10"/>
      <c r="K56" s="8"/>
      <c r="L56" s="9"/>
      <c r="M56" s="8"/>
      <c r="N56" s="10"/>
      <c r="O56" s="8"/>
      <c r="P56" s="9"/>
      <c r="Q56" s="8"/>
      <c r="R56" s="10"/>
      <c r="S56" s="8"/>
      <c r="T56" s="11" t="s">
        <v>964</v>
      </c>
      <c r="U56" s="11" t="s">
        <v>965</v>
      </c>
      <c r="V56" s="11" t="s">
        <v>964</v>
      </c>
      <c r="W56" s="11" t="s">
        <v>965</v>
      </c>
      <c r="X56" s="12"/>
      <c r="Y56" s="13"/>
    </row>
    <row r="57" spans="2:25" x14ac:dyDescent="0.2">
      <c r="B57" s="17" t="s">
        <v>113</v>
      </c>
      <c r="C57" s="18">
        <v>710</v>
      </c>
      <c r="D57" s="19">
        <v>708</v>
      </c>
      <c r="E57" s="18">
        <f>IF(OR(D57="-",D57="",D57=0),IF(C57="-","-",C57),C57-D57)</f>
        <v>2</v>
      </c>
      <c r="F57" s="20">
        <f>IFERROR(IF(C57&gt;0, D57/C57, 0),"-")</f>
        <v>0.9971830985915493</v>
      </c>
      <c r="G57" s="18">
        <v>4</v>
      </c>
      <c r="H57" s="19" t="s">
        <v>959</v>
      </c>
      <c r="I57" s="18">
        <f>IF(OR(H57="-",H57="",H57=0),IF(G57="-","-",G57),G57-H57)</f>
        <v>4</v>
      </c>
      <c r="J57" s="20" t="str">
        <f>IFERROR(IF(G57&gt;0, H57/G57, 0),"-")</f>
        <v>-</v>
      </c>
      <c r="K57" s="18" t="s">
        <v>959</v>
      </c>
      <c r="L57" s="19" t="s">
        <v>959</v>
      </c>
      <c r="M57" s="18" t="str">
        <f>IF(OR(L57="-",L57="",L57=0),IF(K57="-","-",K57),K57-L57)</f>
        <v>-</v>
      </c>
      <c r="N57" s="20" t="str">
        <f>IFERROR(IF(K57&gt;0, L57/K57, 0),"-")</f>
        <v>-</v>
      </c>
      <c r="O57" s="18">
        <v>2</v>
      </c>
      <c r="P57" s="19">
        <v>1</v>
      </c>
      <c r="Q57" s="18">
        <f>IF(OR(P57="-",P57="",P57=0),IF(O57="-","-",O57),O57-P57)</f>
        <v>1</v>
      </c>
      <c r="R57" s="20">
        <f>IFERROR(IF(O57&gt;0, P57/O57, 0),"-")</f>
        <v>0.5</v>
      </c>
      <c r="S57" s="18" t="s">
        <v>959</v>
      </c>
      <c r="T57" s="18" t="s">
        <v>959</v>
      </c>
      <c r="U57" s="18" t="s">
        <v>959</v>
      </c>
      <c r="V57" s="19" t="s">
        <v>959</v>
      </c>
      <c r="W57" s="19" t="s">
        <v>959</v>
      </c>
      <c r="X57" s="24">
        <f>RANK(F57,$F$57:$F$183,0)</f>
        <v>1</v>
      </c>
      <c r="Y57" s="3" t="str">
        <f>IF(OR(ISERROR(F57),F57="-",NOT(ISNUMBER(F57))),"● N/A",IF(ROUND(F57, 4) &gt;= ROUND($F$184, 4),"▲ Above Average","▼ Below Average"))</f>
        <v>▲ Above Average</v>
      </c>
    </row>
    <row r="58" spans="2:25" x14ac:dyDescent="0.2">
      <c r="B58" s="17" t="s">
        <v>76</v>
      </c>
      <c r="C58" s="18">
        <v>1074</v>
      </c>
      <c r="D58" s="19">
        <v>1067</v>
      </c>
      <c r="E58" s="18">
        <f>IF(OR(D58="-",D58="",D58=0),IF(C58="-","-",C58),C58-D58)</f>
        <v>7</v>
      </c>
      <c r="F58" s="20">
        <f>IFERROR(IF(C58&gt;0, D58/C58, 0),"-")</f>
        <v>0.9934823091247672</v>
      </c>
      <c r="G58" s="18">
        <v>11</v>
      </c>
      <c r="H58" s="19">
        <v>6</v>
      </c>
      <c r="I58" s="18">
        <f>IF(OR(H58="-",H58="",H58=0),IF(G58="-","-",G58),G58-H58)</f>
        <v>5</v>
      </c>
      <c r="J58" s="20">
        <f>IFERROR(IF(G58&gt;0, H58/G58, 0),"-")</f>
        <v>0.54545454545454541</v>
      </c>
      <c r="K58" s="18">
        <v>9</v>
      </c>
      <c r="L58" s="19">
        <v>5</v>
      </c>
      <c r="M58" s="18">
        <f>IF(OR(L58="-",L58="",L58=0),IF(K58="-","-",K58),K58-L58)</f>
        <v>4</v>
      </c>
      <c r="N58" s="20">
        <f>IFERROR(IF(K58&gt;0, L58/K58, 0),"-")</f>
        <v>0.55555555555555558</v>
      </c>
      <c r="O58" s="18">
        <v>15</v>
      </c>
      <c r="P58" s="19">
        <v>1</v>
      </c>
      <c r="Q58" s="18">
        <f>IF(OR(P58="-",P58="",P58=0),IF(O58="-","-",O58),O58-P58)</f>
        <v>14</v>
      </c>
      <c r="R58" s="20">
        <f>IFERROR(IF(O58&gt;0, P58/O58, 0),"-")</f>
        <v>6.6666666666666666E-2</v>
      </c>
      <c r="S58" s="18">
        <v>1269</v>
      </c>
      <c r="T58" s="18">
        <v>13</v>
      </c>
      <c r="U58" s="18">
        <v>49965</v>
      </c>
      <c r="V58" s="19">
        <v>9</v>
      </c>
      <c r="W58" s="19">
        <v>112996</v>
      </c>
      <c r="X58" s="24">
        <f>RANK(F58,$F$57:$F$183,0)</f>
        <v>2</v>
      </c>
      <c r="Y58" s="3" t="str">
        <f>IF(OR(ISERROR(F58),F58="-",NOT(ISNUMBER(F58))),"● N/A",IF(ROUND(F58, 4) &gt;= ROUND($F$184, 4),"▲ Above Average","▼ Below Average"))</f>
        <v>▲ Above Average</v>
      </c>
    </row>
    <row r="59" spans="2:25" x14ac:dyDescent="0.2">
      <c r="B59" s="17" t="s">
        <v>16</v>
      </c>
      <c r="C59" s="18">
        <v>878</v>
      </c>
      <c r="D59" s="19">
        <v>872</v>
      </c>
      <c r="E59" s="18">
        <f>IF(OR(D59="-",D59="",D59=0),IF(C59="-","-",C59),C59-D59)</f>
        <v>6</v>
      </c>
      <c r="F59" s="20">
        <f>IFERROR(IF(C59&gt;0, D59/C59, 0),"-")</f>
        <v>0.99316628701594534</v>
      </c>
      <c r="G59" s="18">
        <v>6</v>
      </c>
      <c r="H59" s="19">
        <v>3</v>
      </c>
      <c r="I59" s="18">
        <f>IF(OR(H59="-",H59="",H59=0),IF(G59="-","-",G59),G59-H59)</f>
        <v>3</v>
      </c>
      <c r="J59" s="20">
        <f>IFERROR(IF(G59&gt;0, H59/G59, 0),"-")</f>
        <v>0.5</v>
      </c>
      <c r="K59" s="18">
        <v>5</v>
      </c>
      <c r="L59" s="19" t="s">
        <v>959</v>
      </c>
      <c r="M59" s="18">
        <f>IF(OR(L59="-",L59="",L59=0),IF(K59="-","-",K59),K59-L59)</f>
        <v>5</v>
      </c>
      <c r="N59" s="20" t="str">
        <f>IFERROR(IF(K59&gt;0, L59/K59, 0),"-")</f>
        <v>-</v>
      </c>
      <c r="O59" s="18">
        <v>1</v>
      </c>
      <c r="P59" s="19" t="s">
        <v>959</v>
      </c>
      <c r="Q59" s="18">
        <f>IF(OR(P59="-",P59="",P59=0),IF(O59="-","-",O59),O59-P59)</f>
        <v>1</v>
      </c>
      <c r="R59" s="20" t="str">
        <f>IFERROR(IF(O59&gt;0, P59/O59, 0),"-")</f>
        <v>-</v>
      </c>
      <c r="S59" s="18">
        <v>1418</v>
      </c>
      <c r="T59" s="18">
        <v>23</v>
      </c>
      <c r="U59" s="18">
        <v>73080</v>
      </c>
      <c r="V59" s="19">
        <v>22</v>
      </c>
      <c r="W59" s="19">
        <v>383720</v>
      </c>
      <c r="X59" s="24">
        <f>RANK(F59,$F$57:$F$183,0)</f>
        <v>3</v>
      </c>
      <c r="Y59" s="3" t="str">
        <f>IF(OR(ISERROR(F59),F59="-",NOT(ISNUMBER(F59))),"● N/A",IF(ROUND(F59, 4) &gt;= ROUND($F$184, 4),"▲ Above Average","▼ Below Average"))</f>
        <v>▲ Above Average</v>
      </c>
    </row>
    <row r="60" spans="2:25" x14ac:dyDescent="0.2">
      <c r="B60" s="17" t="s">
        <v>50</v>
      </c>
      <c r="C60" s="18">
        <v>1574</v>
      </c>
      <c r="D60" s="19">
        <v>1563</v>
      </c>
      <c r="E60" s="18">
        <f>IF(OR(D60="-",D60="",D60=0),IF(C60="-","-",C60),C60-D60)</f>
        <v>11</v>
      </c>
      <c r="F60" s="20">
        <f>IFERROR(IF(C60&gt;0, D60/C60, 0),"-")</f>
        <v>0.99301143583227447</v>
      </c>
      <c r="G60" s="18">
        <v>11</v>
      </c>
      <c r="H60" s="19">
        <v>3</v>
      </c>
      <c r="I60" s="18">
        <f>IF(OR(H60="-",H60="",H60=0),IF(G60="-","-",G60),G60-H60)</f>
        <v>8</v>
      </c>
      <c r="J60" s="20">
        <f>IFERROR(IF(G60&gt;0, H60/G60, 0),"-")</f>
        <v>0.27272727272727271</v>
      </c>
      <c r="K60" s="18">
        <v>16</v>
      </c>
      <c r="L60" s="19">
        <v>3</v>
      </c>
      <c r="M60" s="18">
        <f>IF(OR(L60="-",L60="",L60=0),IF(K60="-","-",K60),K60-L60)</f>
        <v>13</v>
      </c>
      <c r="N60" s="20">
        <f>IFERROR(IF(K60&gt;0, L60/K60, 0),"-")</f>
        <v>0.1875</v>
      </c>
      <c r="O60" s="18">
        <v>38</v>
      </c>
      <c r="P60" s="19">
        <v>4</v>
      </c>
      <c r="Q60" s="18">
        <f>IF(OR(P60="-",P60="",P60=0),IF(O60="-","-",O60),O60-P60)</f>
        <v>34</v>
      </c>
      <c r="R60" s="20">
        <f>IFERROR(IF(O60&gt;0, P60/O60, 0),"-")</f>
        <v>0.10526315789473684</v>
      </c>
      <c r="S60" s="18">
        <v>819</v>
      </c>
      <c r="T60" s="18">
        <v>18</v>
      </c>
      <c r="U60" s="18">
        <v>83335</v>
      </c>
      <c r="V60" s="19">
        <v>7</v>
      </c>
      <c r="W60" s="19">
        <v>125620</v>
      </c>
      <c r="X60" s="24">
        <f>RANK(F60,$F$57:$F$183,0)</f>
        <v>4</v>
      </c>
      <c r="Y60" s="3" t="str">
        <f>IF(OR(ISERROR(F60),F60="-",NOT(ISNUMBER(F60))),"● N/A",IF(ROUND(F60, 4) &gt;= ROUND($F$184, 4),"▲ Above Average","▼ Below Average"))</f>
        <v>▲ Above Average</v>
      </c>
    </row>
    <row r="61" spans="2:25" x14ac:dyDescent="0.2">
      <c r="B61" s="17" t="s">
        <v>77</v>
      </c>
      <c r="C61" s="18">
        <v>774</v>
      </c>
      <c r="D61" s="19">
        <v>768</v>
      </c>
      <c r="E61" s="18">
        <f>IF(OR(D61="-",D61="",D61=0),IF(C61="-","-",C61),C61-D61)</f>
        <v>6</v>
      </c>
      <c r="F61" s="20">
        <f>IFERROR(IF(C61&gt;0, D61/C61, 0),"-")</f>
        <v>0.99224806201550386</v>
      </c>
      <c r="G61" s="18">
        <v>9</v>
      </c>
      <c r="H61" s="19">
        <v>2</v>
      </c>
      <c r="I61" s="18">
        <f>IF(OR(H61="-",H61="",H61=0),IF(G61="-","-",G61),G61-H61)</f>
        <v>7</v>
      </c>
      <c r="J61" s="20">
        <f>IFERROR(IF(G61&gt;0, H61/G61, 0),"-")</f>
        <v>0.22222222222222221</v>
      </c>
      <c r="K61" s="18">
        <v>16</v>
      </c>
      <c r="L61" s="19">
        <v>4</v>
      </c>
      <c r="M61" s="18">
        <f>IF(OR(L61="-",L61="",L61=0),IF(K61="-","-",K61),K61-L61)</f>
        <v>12</v>
      </c>
      <c r="N61" s="20">
        <f>IFERROR(IF(K61&gt;0, L61/K61, 0),"-")</f>
        <v>0.25</v>
      </c>
      <c r="O61" s="18">
        <v>13</v>
      </c>
      <c r="P61" s="19">
        <v>3</v>
      </c>
      <c r="Q61" s="18">
        <f>IF(OR(P61="-",P61="",P61=0),IF(O61="-","-",O61),O61-P61)</f>
        <v>10</v>
      </c>
      <c r="R61" s="20">
        <f>IFERROR(IF(O61&gt;0, P61/O61, 0),"-")</f>
        <v>0.23076923076923078</v>
      </c>
      <c r="S61" s="18">
        <v>918</v>
      </c>
      <c r="T61" s="18">
        <v>16</v>
      </c>
      <c r="U61" s="18">
        <v>39205</v>
      </c>
      <c r="V61" s="19">
        <v>5</v>
      </c>
      <c r="W61" s="19">
        <v>134226</v>
      </c>
      <c r="X61" s="24">
        <f>RANK(F61,$F$57:$F$183,0)</f>
        <v>5</v>
      </c>
      <c r="Y61" s="3" t="str">
        <f>IF(OR(ISERROR(F61),F61="-",NOT(ISNUMBER(F61))),"● N/A",IF(ROUND(F61, 4) &gt;= ROUND($F$184, 4),"▲ Above Average","▼ Below Average"))</f>
        <v>▲ Above Average</v>
      </c>
    </row>
    <row r="62" spans="2:25" x14ac:dyDescent="0.2">
      <c r="B62" s="17" t="s">
        <v>126</v>
      </c>
      <c r="C62" s="18">
        <v>348</v>
      </c>
      <c r="D62" s="19">
        <v>345</v>
      </c>
      <c r="E62" s="18">
        <f>IF(OR(D62="-",D62="",D62=0),IF(C62="-","-",C62),C62-D62)</f>
        <v>3</v>
      </c>
      <c r="F62" s="20">
        <f>IFERROR(IF(C62&gt;0, D62/C62, 0),"-")</f>
        <v>0.99137931034482762</v>
      </c>
      <c r="G62" s="18">
        <v>4</v>
      </c>
      <c r="H62" s="19">
        <v>2</v>
      </c>
      <c r="I62" s="18">
        <f>IF(OR(H62="-",H62="",H62=0),IF(G62="-","-",G62),G62-H62)</f>
        <v>2</v>
      </c>
      <c r="J62" s="20">
        <f>IFERROR(IF(G62&gt;0, H62/G62, 0),"-")</f>
        <v>0.5</v>
      </c>
      <c r="K62" s="18">
        <v>1</v>
      </c>
      <c r="L62" s="19">
        <v>1</v>
      </c>
      <c r="M62" s="18">
        <f>IF(OR(L62="-",L62="",L62=0),IF(K62="-","-",K62),K62-L62)</f>
        <v>0</v>
      </c>
      <c r="N62" s="20">
        <f>IFERROR(IF(K62&gt;0, L62/K62, 0),"-")</f>
        <v>1</v>
      </c>
      <c r="O62" s="18">
        <v>2</v>
      </c>
      <c r="P62" s="19" t="s">
        <v>959</v>
      </c>
      <c r="Q62" s="18">
        <f>IF(OR(P62="-",P62="",P62=0),IF(O62="-","-",O62),O62-P62)</f>
        <v>2</v>
      </c>
      <c r="R62" s="20" t="str">
        <f>IFERROR(IF(O62&gt;0, P62/O62, 0),"-")</f>
        <v>-</v>
      </c>
      <c r="S62" s="18" t="s">
        <v>959</v>
      </c>
      <c r="T62" s="18" t="s">
        <v>959</v>
      </c>
      <c r="U62" s="18" t="s">
        <v>959</v>
      </c>
      <c r="V62" s="19" t="s">
        <v>959</v>
      </c>
      <c r="W62" s="19" t="s">
        <v>959</v>
      </c>
      <c r="X62" s="24">
        <f>RANK(F62,$F$57:$F$183,0)</f>
        <v>6</v>
      </c>
      <c r="Y62" s="3" t="str">
        <f>IF(OR(ISERROR(F62),F62="-",NOT(ISNUMBER(F62))),"● N/A",IF(ROUND(F62, 4) &gt;= ROUND($F$184, 4),"▲ Above Average","▼ Below Average"))</f>
        <v>▲ Above Average</v>
      </c>
    </row>
    <row r="63" spans="2:25" x14ac:dyDescent="0.2">
      <c r="B63" s="17" t="s">
        <v>48</v>
      </c>
      <c r="C63" s="18">
        <v>992</v>
      </c>
      <c r="D63" s="19">
        <v>983</v>
      </c>
      <c r="E63" s="18">
        <f>IF(OR(D63="-",D63="",D63=0),IF(C63="-","-",C63),C63-D63)</f>
        <v>9</v>
      </c>
      <c r="F63" s="20">
        <f>IFERROR(IF(C63&gt;0, D63/C63, 0),"-")</f>
        <v>0.99092741935483875</v>
      </c>
      <c r="G63" s="18">
        <v>11</v>
      </c>
      <c r="H63" s="19">
        <v>6</v>
      </c>
      <c r="I63" s="18">
        <f>IF(OR(H63="-",H63="",H63=0),IF(G63="-","-",G63),G63-H63)</f>
        <v>5</v>
      </c>
      <c r="J63" s="20">
        <f>IFERROR(IF(G63&gt;0, H63/G63, 0),"-")</f>
        <v>0.54545454545454541</v>
      </c>
      <c r="K63" s="18">
        <v>12</v>
      </c>
      <c r="L63" s="19">
        <v>5</v>
      </c>
      <c r="M63" s="18">
        <f>IF(OR(L63="-",L63="",L63=0),IF(K63="-","-",K63),K63-L63)</f>
        <v>7</v>
      </c>
      <c r="N63" s="20">
        <f>IFERROR(IF(K63&gt;0, L63/K63, 0),"-")</f>
        <v>0.41666666666666669</v>
      </c>
      <c r="O63" s="18">
        <v>21</v>
      </c>
      <c r="P63" s="19">
        <v>7</v>
      </c>
      <c r="Q63" s="18">
        <f>IF(OR(P63="-",P63="",P63=0),IF(O63="-","-",O63),O63-P63)</f>
        <v>14</v>
      </c>
      <c r="R63" s="20">
        <f>IFERROR(IF(O63&gt;0, P63/O63, 0),"-")</f>
        <v>0.33333333333333331</v>
      </c>
      <c r="S63" s="18">
        <v>1349</v>
      </c>
      <c r="T63" s="18">
        <v>25</v>
      </c>
      <c r="U63" s="18">
        <v>65460</v>
      </c>
      <c r="V63" s="19">
        <v>19</v>
      </c>
      <c r="W63" s="19">
        <v>515742</v>
      </c>
      <c r="X63" s="24">
        <f>RANK(F63,$F$57:$F$183,0)</f>
        <v>7</v>
      </c>
      <c r="Y63" s="3" t="str">
        <f>IF(OR(ISERROR(F63),F63="-",NOT(ISNUMBER(F63))),"● N/A",IF(ROUND(F63, 4) &gt;= ROUND($F$184, 4),"▲ Above Average","▼ Below Average"))</f>
        <v>▲ Above Average</v>
      </c>
    </row>
    <row r="64" spans="2:25" x14ac:dyDescent="0.2">
      <c r="B64" s="17" t="s">
        <v>131</v>
      </c>
      <c r="C64" s="18">
        <v>1313</v>
      </c>
      <c r="D64" s="19">
        <v>1301</v>
      </c>
      <c r="E64" s="18">
        <f>IF(OR(D64="-",D64="",D64=0),IF(C64="-","-",C64),C64-D64)</f>
        <v>12</v>
      </c>
      <c r="F64" s="20">
        <f>IFERROR(IF(C64&gt;0, D64/C64, 0),"-")</f>
        <v>0.99086062452399082</v>
      </c>
      <c r="G64" s="18">
        <v>15</v>
      </c>
      <c r="H64" s="19">
        <v>4</v>
      </c>
      <c r="I64" s="18">
        <f>IF(OR(H64="-",H64="",H64=0),IF(G64="-","-",G64),G64-H64)</f>
        <v>11</v>
      </c>
      <c r="J64" s="20">
        <f>IFERROR(IF(G64&gt;0, H64/G64, 0),"-")</f>
        <v>0.26666666666666666</v>
      </c>
      <c r="K64" s="18">
        <v>12</v>
      </c>
      <c r="L64" s="19">
        <v>2</v>
      </c>
      <c r="M64" s="18">
        <f>IF(OR(L64="-",L64="",L64=0),IF(K64="-","-",K64),K64-L64)</f>
        <v>10</v>
      </c>
      <c r="N64" s="20">
        <f>IFERROR(IF(K64&gt;0, L64/K64, 0),"-")</f>
        <v>0.16666666666666666</v>
      </c>
      <c r="O64" s="18">
        <v>12</v>
      </c>
      <c r="P64" s="19">
        <v>1</v>
      </c>
      <c r="Q64" s="18">
        <f>IF(OR(P64="-",P64="",P64=0),IF(O64="-","-",O64),O64-P64)</f>
        <v>11</v>
      </c>
      <c r="R64" s="20">
        <f>IFERROR(IF(O64&gt;0, P64/O64, 0),"-")</f>
        <v>8.3333333333333329E-2</v>
      </c>
      <c r="S64" s="18">
        <v>607</v>
      </c>
      <c r="T64" s="18">
        <v>9</v>
      </c>
      <c r="U64" s="18">
        <v>22551</v>
      </c>
      <c r="V64" s="19">
        <v>15</v>
      </c>
      <c r="W64" s="19">
        <v>217126</v>
      </c>
      <c r="X64" s="24">
        <f>RANK(F64,$F$57:$F$183,0)</f>
        <v>8</v>
      </c>
      <c r="Y64" s="3" t="str">
        <f>IF(OR(ISERROR(F64),F64="-",NOT(ISNUMBER(F64))),"● N/A",IF(ROUND(F64, 4) &gt;= ROUND($F$184, 4),"▲ Above Average","▼ Below Average"))</f>
        <v>▲ Above Average</v>
      </c>
    </row>
    <row r="65" spans="2:25" x14ac:dyDescent="0.2">
      <c r="B65" s="17" t="s">
        <v>71</v>
      </c>
      <c r="C65" s="18">
        <v>861</v>
      </c>
      <c r="D65" s="19">
        <v>853</v>
      </c>
      <c r="E65" s="18">
        <f>IF(OR(D65="-",D65="",D65=0),IF(C65="-","-",C65),C65-D65)</f>
        <v>8</v>
      </c>
      <c r="F65" s="20">
        <f>IFERROR(IF(C65&gt;0, D65/C65, 0),"-")</f>
        <v>0.99070847851335653</v>
      </c>
      <c r="G65" s="18">
        <v>8</v>
      </c>
      <c r="H65" s="19">
        <v>2</v>
      </c>
      <c r="I65" s="18">
        <f>IF(OR(H65="-",H65="",H65=0),IF(G65="-","-",G65),G65-H65)</f>
        <v>6</v>
      </c>
      <c r="J65" s="20">
        <f>IFERROR(IF(G65&gt;0, H65/G65, 0),"-")</f>
        <v>0.25</v>
      </c>
      <c r="K65" s="18">
        <v>9</v>
      </c>
      <c r="L65" s="19">
        <v>4</v>
      </c>
      <c r="M65" s="18">
        <f>IF(OR(L65="-",L65="",L65=0),IF(K65="-","-",K65),K65-L65)</f>
        <v>5</v>
      </c>
      <c r="N65" s="20">
        <f>IFERROR(IF(K65&gt;0, L65/K65, 0),"-")</f>
        <v>0.44444444444444442</v>
      </c>
      <c r="O65" s="18">
        <v>10</v>
      </c>
      <c r="P65" s="19">
        <v>2</v>
      </c>
      <c r="Q65" s="18">
        <f>IF(OR(P65="-",P65="",P65=0),IF(O65="-","-",O65),O65-P65)</f>
        <v>8</v>
      </c>
      <c r="R65" s="20">
        <f>IFERROR(IF(O65&gt;0, P65/O65, 0),"-")</f>
        <v>0.2</v>
      </c>
      <c r="S65" s="18">
        <v>878</v>
      </c>
      <c r="T65" s="18">
        <v>13</v>
      </c>
      <c r="U65" s="18">
        <v>133365</v>
      </c>
      <c r="V65" s="19">
        <v>6</v>
      </c>
      <c r="W65" s="19">
        <v>160367</v>
      </c>
      <c r="X65" s="24">
        <f>RANK(F65,$F$57:$F$183,0)</f>
        <v>9</v>
      </c>
      <c r="Y65" s="3" t="str">
        <f>IF(OR(ISERROR(F65),F65="-",NOT(ISNUMBER(F65))),"● N/A",IF(ROUND(F65, 4) &gt;= ROUND($F$184, 4),"▲ Above Average","▼ Below Average"))</f>
        <v>▲ Above Average</v>
      </c>
    </row>
    <row r="66" spans="2:25" x14ac:dyDescent="0.2">
      <c r="B66" s="17" t="s">
        <v>109</v>
      </c>
      <c r="C66" s="18">
        <v>629</v>
      </c>
      <c r="D66" s="19">
        <v>623</v>
      </c>
      <c r="E66" s="18">
        <f>IF(OR(D66="-",D66="",D66=0),IF(C66="-","-",C66),C66-D66)</f>
        <v>6</v>
      </c>
      <c r="F66" s="20">
        <f>IFERROR(IF(C66&gt;0, D66/C66, 0),"-")</f>
        <v>0.99046104928457868</v>
      </c>
      <c r="G66" s="18">
        <v>6</v>
      </c>
      <c r="H66" s="19">
        <v>3</v>
      </c>
      <c r="I66" s="18">
        <f>IF(OR(H66="-",H66="",H66=0),IF(G66="-","-",G66),G66-H66)</f>
        <v>3</v>
      </c>
      <c r="J66" s="20">
        <f>IFERROR(IF(G66&gt;0, H66/G66, 0),"-")</f>
        <v>0.5</v>
      </c>
      <c r="K66" s="18">
        <v>8</v>
      </c>
      <c r="L66" s="19">
        <v>3</v>
      </c>
      <c r="M66" s="18">
        <f>IF(OR(L66="-",L66="",L66=0),IF(K66="-","-",K66),K66-L66)</f>
        <v>5</v>
      </c>
      <c r="N66" s="20">
        <f>IFERROR(IF(K66&gt;0, L66/K66, 0),"-")</f>
        <v>0.375</v>
      </c>
      <c r="O66" s="18">
        <v>8</v>
      </c>
      <c r="P66" s="19">
        <v>2</v>
      </c>
      <c r="Q66" s="18">
        <f>IF(OR(P66="-",P66="",P66=0),IF(O66="-","-",O66),O66-P66)</f>
        <v>6</v>
      </c>
      <c r="R66" s="20">
        <f>IFERROR(IF(O66&gt;0, P66/O66, 0),"-")</f>
        <v>0.25</v>
      </c>
      <c r="S66" s="18">
        <v>1091</v>
      </c>
      <c r="T66" s="18">
        <v>19</v>
      </c>
      <c r="U66" s="18">
        <v>68610</v>
      </c>
      <c r="V66" s="19">
        <v>10</v>
      </c>
      <c r="W66" s="19">
        <v>263437</v>
      </c>
      <c r="X66" s="24">
        <f>RANK(F66,$F$57:$F$183,0)</f>
        <v>10</v>
      </c>
      <c r="Y66" s="3" t="str">
        <f>IF(OR(ISERROR(F66),F66="-",NOT(ISNUMBER(F66))),"● N/A",IF(ROUND(F66, 4) &gt;= ROUND($F$184, 4),"▲ Above Average","▼ Below Average"))</f>
        <v>▲ Above Average</v>
      </c>
    </row>
    <row r="67" spans="2:25" x14ac:dyDescent="0.2">
      <c r="B67" s="17" t="s">
        <v>62</v>
      </c>
      <c r="C67" s="18">
        <v>1756</v>
      </c>
      <c r="D67" s="19">
        <v>1738</v>
      </c>
      <c r="E67" s="18">
        <f>IF(OR(D67="-",D67="",D67=0),IF(C67="-","-",C67),C67-D67)</f>
        <v>18</v>
      </c>
      <c r="F67" s="20">
        <f>IFERROR(IF(C67&gt;0, D67/C67, 0),"-")</f>
        <v>0.98974943052391795</v>
      </c>
      <c r="G67" s="18">
        <v>33</v>
      </c>
      <c r="H67" s="19">
        <v>11</v>
      </c>
      <c r="I67" s="18">
        <f>IF(OR(H67="-",H67="",H67=0),IF(G67="-","-",G67),G67-H67)</f>
        <v>22</v>
      </c>
      <c r="J67" s="20">
        <f>IFERROR(IF(G67&gt;0, H67/G67, 0),"-")</f>
        <v>0.33333333333333331</v>
      </c>
      <c r="K67" s="18">
        <v>25</v>
      </c>
      <c r="L67" s="19">
        <v>4</v>
      </c>
      <c r="M67" s="18">
        <f>IF(OR(L67="-",L67="",L67=0),IF(K67="-","-",K67),K67-L67)</f>
        <v>21</v>
      </c>
      <c r="N67" s="20">
        <f>IFERROR(IF(K67&gt;0, L67/K67, 0),"-")</f>
        <v>0.16</v>
      </c>
      <c r="O67" s="18">
        <v>26</v>
      </c>
      <c r="P67" s="19">
        <v>2</v>
      </c>
      <c r="Q67" s="18">
        <f>IF(OR(P67="-",P67="",P67=0),IF(O67="-","-",O67),O67-P67)</f>
        <v>24</v>
      </c>
      <c r="R67" s="20">
        <f>IFERROR(IF(O67&gt;0, P67/O67, 0),"-")</f>
        <v>7.6923076923076927E-2</v>
      </c>
      <c r="S67" s="18">
        <v>936</v>
      </c>
      <c r="T67" s="18">
        <v>26</v>
      </c>
      <c r="U67" s="18">
        <v>53690</v>
      </c>
      <c r="V67" s="19">
        <v>17</v>
      </c>
      <c r="W67" s="19">
        <v>332108</v>
      </c>
      <c r="X67" s="24">
        <f>RANK(F67,$F$57:$F$183,0)</f>
        <v>11</v>
      </c>
      <c r="Y67" s="3" t="str">
        <f>IF(OR(ISERROR(F67),F67="-",NOT(ISNUMBER(F67))),"● N/A",IF(ROUND(F67, 4) &gt;= ROUND($F$184, 4),"▲ Above Average","▼ Below Average"))</f>
        <v>▲ Above Average</v>
      </c>
    </row>
    <row r="68" spans="2:25" x14ac:dyDescent="0.2">
      <c r="B68" s="17" t="s">
        <v>38</v>
      </c>
      <c r="C68" s="18">
        <v>1283</v>
      </c>
      <c r="D68" s="19">
        <v>1269</v>
      </c>
      <c r="E68" s="18">
        <f>IF(OR(D68="-",D68="",D68=0),IF(C68="-","-",C68),C68-D68)</f>
        <v>14</v>
      </c>
      <c r="F68" s="20">
        <f>IFERROR(IF(C68&gt;0, D68/C68, 0),"-")</f>
        <v>0.98908807482462979</v>
      </c>
      <c r="G68" s="18" t="s">
        <v>959</v>
      </c>
      <c r="H68" s="19" t="s">
        <v>959</v>
      </c>
      <c r="I68" s="18" t="str">
        <f>IF(OR(H68="-",H68="",H68=0),IF(G68="-","-",G68),G68-H68)</f>
        <v>-</v>
      </c>
      <c r="J68" s="20" t="str">
        <f>IFERROR(IF(G68&gt;0, H68/G68, 0),"-")</f>
        <v>-</v>
      </c>
      <c r="K68" s="18">
        <v>9</v>
      </c>
      <c r="L68" s="19" t="s">
        <v>959</v>
      </c>
      <c r="M68" s="18">
        <f>IF(OR(L68="-",L68="",L68=0),IF(K68="-","-",K68),K68-L68)</f>
        <v>9</v>
      </c>
      <c r="N68" s="20" t="str">
        <f>IFERROR(IF(K68&gt;0, L68/K68, 0),"-")</f>
        <v>-</v>
      </c>
      <c r="O68" s="18">
        <v>6</v>
      </c>
      <c r="P68" s="19">
        <v>1</v>
      </c>
      <c r="Q68" s="18">
        <f>IF(OR(P68="-",P68="",P68=0),IF(O68="-","-",O68),O68-P68)</f>
        <v>5</v>
      </c>
      <c r="R68" s="20">
        <f>IFERROR(IF(O68&gt;0, P68/O68, 0),"-")</f>
        <v>0.16666666666666666</v>
      </c>
      <c r="S68" s="18">
        <v>357</v>
      </c>
      <c r="T68" s="18">
        <v>10</v>
      </c>
      <c r="U68" s="18">
        <v>28620</v>
      </c>
      <c r="V68" s="19">
        <v>2</v>
      </c>
      <c r="W68" s="19">
        <v>33498</v>
      </c>
      <c r="X68" s="24">
        <f>RANK(F68,$F$57:$F$183,0)</f>
        <v>12</v>
      </c>
      <c r="Y68" s="3" t="str">
        <f>IF(OR(ISERROR(F68),F68="-",NOT(ISNUMBER(F68))),"● N/A",IF(ROUND(F68, 4) &gt;= ROUND($F$184, 4),"▲ Above Average","▼ Below Average"))</f>
        <v>▲ Above Average</v>
      </c>
    </row>
    <row r="69" spans="2:25" x14ac:dyDescent="0.2">
      <c r="B69" s="17" t="s">
        <v>12</v>
      </c>
      <c r="C69" s="18">
        <v>1170</v>
      </c>
      <c r="D69" s="19">
        <v>1157</v>
      </c>
      <c r="E69" s="18">
        <f>IF(OR(D69="-",D69="",D69=0),IF(C69="-","-",C69),C69-D69)</f>
        <v>13</v>
      </c>
      <c r="F69" s="20">
        <f>IFERROR(IF(C69&gt;0, D69/C69, 0),"-")</f>
        <v>0.98888888888888893</v>
      </c>
      <c r="G69" s="18">
        <v>15</v>
      </c>
      <c r="H69" s="19">
        <v>5</v>
      </c>
      <c r="I69" s="18">
        <f>IF(OR(H69="-",H69="",H69=0),IF(G69="-","-",G69),G69-H69)</f>
        <v>10</v>
      </c>
      <c r="J69" s="20">
        <f>IFERROR(IF(G69&gt;0, H69/G69, 0),"-")</f>
        <v>0.33333333333333331</v>
      </c>
      <c r="K69" s="18">
        <v>11</v>
      </c>
      <c r="L69" s="19">
        <v>8</v>
      </c>
      <c r="M69" s="18">
        <f>IF(OR(L69="-",L69="",L69=0),IF(K69="-","-",K69),K69-L69)</f>
        <v>3</v>
      </c>
      <c r="N69" s="20">
        <f>IFERROR(IF(K69&gt;0, L69/K69, 0),"-")</f>
        <v>0.72727272727272729</v>
      </c>
      <c r="O69" s="18">
        <v>26</v>
      </c>
      <c r="P69" s="19">
        <v>9</v>
      </c>
      <c r="Q69" s="18">
        <f>IF(OR(P69="-",P69="",P69=0),IF(O69="-","-",O69),O69-P69)</f>
        <v>17</v>
      </c>
      <c r="R69" s="20">
        <f>IFERROR(IF(O69&gt;0, P69/O69, 0),"-")</f>
        <v>0.34615384615384615</v>
      </c>
      <c r="S69" s="18">
        <v>852</v>
      </c>
      <c r="T69" s="18">
        <v>31</v>
      </c>
      <c r="U69" s="18">
        <v>75258</v>
      </c>
      <c r="V69" s="19">
        <v>7</v>
      </c>
      <c r="W69" s="19">
        <v>71596</v>
      </c>
      <c r="X69" s="24">
        <f>RANK(F69,$F$57:$F$183,0)</f>
        <v>13</v>
      </c>
      <c r="Y69" s="3" t="str">
        <f>IF(OR(ISERROR(F69),F69="-",NOT(ISNUMBER(F69))),"● N/A",IF(ROUND(F69, 4) &gt;= ROUND($F$184, 4),"▲ Above Average","▼ Below Average"))</f>
        <v>▲ Above Average</v>
      </c>
    </row>
    <row r="70" spans="2:25" x14ac:dyDescent="0.2">
      <c r="B70" s="17" t="s">
        <v>107</v>
      </c>
      <c r="C70" s="18">
        <v>720</v>
      </c>
      <c r="D70" s="19">
        <v>712</v>
      </c>
      <c r="E70" s="18">
        <f>IF(OR(D70="-",D70="",D70=0),IF(C70="-","-",C70),C70-D70)</f>
        <v>8</v>
      </c>
      <c r="F70" s="20">
        <f>IFERROR(IF(C70&gt;0, D70/C70, 0),"-")</f>
        <v>0.98888888888888893</v>
      </c>
      <c r="G70" s="18">
        <v>7</v>
      </c>
      <c r="H70" s="19">
        <v>1</v>
      </c>
      <c r="I70" s="18">
        <f>IF(OR(H70="-",H70="",H70=0),IF(G70="-","-",G70),G70-H70)</f>
        <v>6</v>
      </c>
      <c r="J70" s="20">
        <f>IFERROR(IF(G70&gt;0, H70/G70, 0),"-")</f>
        <v>0.14285714285714285</v>
      </c>
      <c r="K70" s="18">
        <v>1</v>
      </c>
      <c r="L70" s="19" t="s">
        <v>959</v>
      </c>
      <c r="M70" s="18">
        <f>IF(OR(L70="-",L70="",L70=0),IF(K70="-","-",K70),K70-L70)</f>
        <v>1</v>
      </c>
      <c r="N70" s="20" t="str">
        <f>IFERROR(IF(K70&gt;0, L70/K70, 0),"-")</f>
        <v>-</v>
      </c>
      <c r="O70" s="18">
        <v>18</v>
      </c>
      <c r="P70" s="19">
        <v>1</v>
      </c>
      <c r="Q70" s="18">
        <f>IF(OR(P70="-",P70="",P70=0),IF(O70="-","-",O70),O70-P70)</f>
        <v>17</v>
      </c>
      <c r="R70" s="20">
        <f>IFERROR(IF(O70&gt;0, P70/O70, 0),"-")</f>
        <v>5.5555555555555552E-2</v>
      </c>
      <c r="S70" s="18">
        <v>1027</v>
      </c>
      <c r="T70" s="18">
        <v>4</v>
      </c>
      <c r="U70" s="18">
        <v>11585</v>
      </c>
      <c r="V70" s="19">
        <v>9</v>
      </c>
      <c r="W70" s="19">
        <v>250612</v>
      </c>
      <c r="X70" s="24">
        <f>RANK(F70,$F$57:$F$183,0)</f>
        <v>13</v>
      </c>
      <c r="Y70" s="3" t="str">
        <f>IF(OR(ISERROR(F70),F70="-",NOT(ISNUMBER(F70))),"● N/A",IF(ROUND(F70, 4) &gt;= ROUND($F$184, 4),"▲ Above Average","▼ Below Average"))</f>
        <v>▲ Above Average</v>
      </c>
    </row>
    <row r="71" spans="2:25" x14ac:dyDescent="0.2">
      <c r="B71" s="17" t="s">
        <v>51</v>
      </c>
      <c r="C71" s="18">
        <v>1070</v>
      </c>
      <c r="D71" s="19">
        <v>1058</v>
      </c>
      <c r="E71" s="18">
        <f>IF(OR(D71="-",D71="",D71=0),IF(C71="-","-",C71),C71-D71)</f>
        <v>12</v>
      </c>
      <c r="F71" s="20">
        <f>IFERROR(IF(C71&gt;0, D71/C71, 0),"-")</f>
        <v>0.98878504672897194</v>
      </c>
      <c r="G71" s="18">
        <v>14</v>
      </c>
      <c r="H71" s="19">
        <v>6</v>
      </c>
      <c r="I71" s="18">
        <f>IF(OR(H71="-",H71="",H71=0),IF(G71="-","-",G71),G71-H71)</f>
        <v>8</v>
      </c>
      <c r="J71" s="20">
        <f>IFERROR(IF(G71&gt;0, H71/G71, 0),"-")</f>
        <v>0.42857142857142855</v>
      </c>
      <c r="K71" s="18">
        <v>13</v>
      </c>
      <c r="L71" s="19">
        <v>3</v>
      </c>
      <c r="M71" s="18">
        <f>IF(OR(L71="-",L71="",L71=0),IF(K71="-","-",K71),K71-L71)</f>
        <v>10</v>
      </c>
      <c r="N71" s="20">
        <f>IFERROR(IF(K71&gt;0, L71/K71, 0),"-")</f>
        <v>0.23076923076923078</v>
      </c>
      <c r="O71" s="18">
        <v>13</v>
      </c>
      <c r="P71" s="19">
        <v>4</v>
      </c>
      <c r="Q71" s="18">
        <f>IF(OR(P71="-",P71="",P71=0),IF(O71="-","-",O71),O71-P71)</f>
        <v>9</v>
      </c>
      <c r="R71" s="20">
        <f>IFERROR(IF(O71&gt;0, P71/O71, 0),"-")</f>
        <v>0.30769230769230771</v>
      </c>
      <c r="S71" s="18">
        <v>709</v>
      </c>
      <c r="T71" s="18">
        <v>31</v>
      </c>
      <c r="U71" s="18">
        <v>22295</v>
      </c>
      <c r="V71" s="19">
        <v>7</v>
      </c>
      <c r="W71" s="19">
        <v>185036</v>
      </c>
      <c r="X71" s="24">
        <f>RANK(F71,$F$57:$F$183,0)</f>
        <v>15</v>
      </c>
      <c r="Y71" s="3" t="str">
        <f>IF(OR(ISERROR(F71),F71="-",NOT(ISNUMBER(F71))),"● N/A",IF(ROUND(F71, 4) &gt;= ROUND($F$184, 4),"▲ Above Average","▼ Below Average"))</f>
        <v>▲ Above Average</v>
      </c>
    </row>
    <row r="72" spans="2:25" x14ac:dyDescent="0.2">
      <c r="B72" s="17" t="s">
        <v>35</v>
      </c>
      <c r="C72" s="18">
        <v>1060</v>
      </c>
      <c r="D72" s="19">
        <v>1048</v>
      </c>
      <c r="E72" s="18">
        <f>IF(OR(D72="-",D72="",D72=0),IF(C72="-","-",C72),C72-D72)</f>
        <v>12</v>
      </c>
      <c r="F72" s="20">
        <f>IFERROR(IF(C72&gt;0, D72/C72, 0),"-")</f>
        <v>0.98867924528301887</v>
      </c>
      <c r="G72" s="18">
        <v>6</v>
      </c>
      <c r="H72" s="19">
        <v>1</v>
      </c>
      <c r="I72" s="18">
        <f>IF(OR(H72="-",H72="",H72=0),IF(G72="-","-",G72),G72-H72)</f>
        <v>5</v>
      </c>
      <c r="J72" s="20">
        <f>IFERROR(IF(G72&gt;0, H72/G72, 0),"-")</f>
        <v>0.16666666666666666</v>
      </c>
      <c r="K72" s="18">
        <v>8</v>
      </c>
      <c r="L72" s="19">
        <v>3</v>
      </c>
      <c r="M72" s="18">
        <f>IF(OR(L72="-",L72="",L72=0),IF(K72="-","-",K72),K72-L72)</f>
        <v>5</v>
      </c>
      <c r="N72" s="20">
        <f>IFERROR(IF(K72&gt;0, L72/K72, 0),"-")</f>
        <v>0.375</v>
      </c>
      <c r="O72" s="18">
        <v>19</v>
      </c>
      <c r="P72" s="19">
        <v>4</v>
      </c>
      <c r="Q72" s="18">
        <f>IF(OR(P72="-",P72="",P72=0),IF(O72="-","-",O72),O72-P72)</f>
        <v>15</v>
      </c>
      <c r="R72" s="20">
        <f>IFERROR(IF(O72&gt;0, P72/O72, 0),"-")</f>
        <v>0.21052631578947367</v>
      </c>
      <c r="S72" s="18">
        <v>1038</v>
      </c>
      <c r="T72" s="18">
        <v>18</v>
      </c>
      <c r="U72" s="18">
        <v>69741</v>
      </c>
      <c r="V72" s="19">
        <v>9</v>
      </c>
      <c r="W72" s="19">
        <v>245007</v>
      </c>
      <c r="X72" s="24">
        <f>RANK(F72,$F$57:$F$183,0)</f>
        <v>16</v>
      </c>
      <c r="Y72" s="3" t="str">
        <f>IF(OR(ISERROR(F72),F72="-",NOT(ISNUMBER(F72))),"● N/A",IF(ROUND(F72, 4) &gt;= ROUND($F$184, 4),"▲ Above Average","▼ Below Average"))</f>
        <v>▲ Above Average</v>
      </c>
    </row>
    <row r="73" spans="2:25" x14ac:dyDescent="0.2">
      <c r="B73" s="17" t="s">
        <v>68</v>
      </c>
      <c r="C73" s="18">
        <v>1146</v>
      </c>
      <c r="D73" s="19">
        <v>1133</v>
      </c>
      <c r="E73" s="18">
        <f>IF(OR(D73="-",D73="",D73=0),IF(C73="-","-",C73),C73-D73)</f>
        <v>13</v>
      </c>
      <c r="F73" s="20">
        <f>IFERROR(IF(C73&gt;0, D73/C73, 0),"-")</f>
        <v>0.98865619546247818</v>
      </c>
      <c r="G73" s="18">
        <v>21</v>
      </c>
      <c r="H73" s="19">
        <v>9</v>
      </c>
      <c r="I73" s="18">
        <f>IF(OR(H73="-",H73="",H73=0),IF(G73="-","-",G73),G73-H73)</f>
        <v>12</v>
      </c>
      <c r="J73" s="20">
        <f>IFERROR(IF(G73&gt;0, H73/G73, 0),"-")</f>
        <v>0.42857142857142855</v>
      </c>
      <c r="K73" s="18">
        <v>33</v>
      </c>
      <c r="L73" s="19">
        <v>12</v>
      </c>
      <c r="M73" s="18">
        <f>IF(OR(L73="-",L73="",L73=0),IF(K73="-","-",K73),K73-L73)</f>
        <v>21</v>
      </c>
      <c r="N73" s="20">
        <f>IFERROR(IF(K73&gt;0, L73/K73, 0),"-")</f>
        <v>0.36363636363636365</v>
      </c>
      <c r="O73" s="18">
        <v>44</v>
      </c>
      <c r="P73" s="19">
        <v>13</v>
      </c>
      <c r="Q73" s="18">
        <f>IF(OR(P73="-",P73="",P73=0),IF(O73="-","-",O73),O73-P73)</f>
        <v>31</v>
      </c>
      <c r="R73" s="20">
        <f>IFERROR(IF(O73&gt;0, P73/O73, 0),"-")</f>
        <v>0.29545454545454547</v>
      </c>
      <c r="S73" s="18">
        <v>1308</v>
      </c>
      <c r="T73" s="18">
        <v>26</v>
      </c>
      <c r="U73" s="18">
        <v>113204</v>
      </c>
      <c r="V73" s="19">
        <v>3</v>
      </c>
      <c r="W73" s="19">
        <v>57971</v>
      </c>
      <c r="X73" s="24">
        <f>RANK(F73,$F$57:$F$183,0)</f>
        <v>17</v>
      </c>
      <c r="Y73" s="3" t="str">
        <f>IF(OR(ISERROR(F73),F73="-",NOT(ISNUMBER(F73))),"● N/A",IF(ROUND(F73, 4) &gt;= ROUND($F$184, 4),"▲ Above Average","▼ Below Average"))</f>
        <v>▲ Above Average</v>
      </c>
    </row>
    <row r="74" spans="2:25" x14ac:dyDescent="0.2">
      <c r="B74" s="17" t="s">
        <v>30</v>
      </c>
      <c r="C74" s="18">
        <v>1051</v>
      </c>
      <c r="D74" s="19">
        <v>1039</v>
      </c>
      <c r="E74" s="18">
        <f>IF(OR(D74="-",D74="",D74=0),IF(C74="-","-",C74),C74-D74)</f>
        <v>12</v>
      </c>
      <c r="F74" s="20">
        <f>IFERROR(IF(C74&gt;0, D74/C74, 0),"-")</f>
        <v>0.98858230256898194</v>
      </c>
      <c r="G74" s="18">
        <v>10</v>
      </c>
      <c r="H74" s="19" t="s">
        <v>959</v>
      </c>
      <c r="I74" s="18">
        <f>IF(OR(H74="-",H74="",H74=0),IF(G74="-","-",G74),G74-H74)</f>
        <v>10</v>
      </c>
      <c r="J74" s="20" t="str">
        <f>IFERROR(IF(G74&gt;0, H74/G74, 0),"-")</f>
        <v>-</v>
      </c>
      <c r="K74" s="18">
        <v>11</v>
      </c>
      <c r="L74" s="19">
        <v>3</v>
      </c>
      <c r="M74" s="18">
        <f>IF(OR(L74="-",L74="",L74=0),IF(K74="-","-",K74),K74-L74)</f>
        <v>8</v>
      </c>
      <c r="N74" s="20">
        <f>IFERROR(IF(K74&gt;0, L74/K74, 0),"-")</f>
        <v>0.27272727272727271</v>
      </c>
      <c r="O74" s="18">
        <v>17</v>
      </c>
      <c r="P74" s="19">
        <v>3</v>
      </c>
      <c r="Q74" s="18">
        <f>IF(OR(P74="-",P74="",P74=0),IF(O74="-","-",O74),O74-P74)</f>
        <v>14</v>
      </c>
      <c r="R74" s="20">
        <f>IFERROR(IF(O74&gt;0, P74/O74, 0),"-")</f>
        <v>0.17647058823529413</v>
      </c>
      <c r="S74" s="18">
        <v>1105</v>
      </c>
      <c r="T74" s="18">
        <v>27</v>
      </c>
      <c r="U74" s="18">
        <v>50916</v>
      </c>
      <c r="V74" s="19">
        <v>10</v>
      </c>
      <c r="W74" s="19">
        <v>170425</v>
      </c>
      <c r="X74" s="24">
        <f>RANK(F74,$F$57:$F$183,0)</f>
        <v>18</v>
      </c>
      <c r="Y74" s="3" t="str">
        <f>IF(OR(ISERROR(F74),F74="-",NOT(ISNUMBER(F74))),"● N/A",IF(ROUND(F74, 4) &gt;= ROUND($F$184, 4),"▲ Above Average","▼ Below Average"))</f>
        <v>▲ Above Average</v>
      </c>
    </row>
    <row r="75" spans="2:25" x14ac:dyDescent="0.2">
      <c r="B75" s="17" t="s">
        <v>106</v>
      </c>
      <c r="C75" s="18">
        <v>1126</v>
      </c>
      <c r="D75" s="19">
        <v>1113</v>
      </c>
      <c r="E75" s="18">
        <f>IF(OR(D75="-",D75="",D75=0),IF(C75="-","-",C75),C75-D75)</f>
        <v>13</v>
      </c>
      <c r="F75" s="20">
        <f>IFERROR(IF(C75&gt;0, D75/C75, 0),"-")</f>
        <v>0.98845470692717585</v>
      </c>
      <c r="G75" s="18">
        <v>14</v>
      </c>
      <c r="H75" s="19">
        <v>3</v>
      </c>
      <c r="I75" s="18">
        <f>IF(OR(H75="-",H75="",H75=0),IF(G75="-","-",G75),G75-H75)</f>
        <v>11</v>
      </c>
      <c r="J75" s="20">
        <f>IFERROR(IF(G75&gt;0, H75/G75, 0),"-")</f>
        <v>0.21428571428571427</v>
      </c>
      <c r="K75" s="18">
        <v>13</v>
      </c>
      <c r="L75" s="19">
        <v>1</v>
      </c>
      <c r="M75" s="18">
        <f>IF(OR(L75="-",L75="",L75=0),IF(K75="-","-",K75),K75-L75)</f>
        <v>12</v>
      </c>
      <c r="N75" s="20">
        <f>IFERROR(IF(K75&gt;0, L75/K75, 0),"-")</f>
        <v>7.6923076923076927E-2</v>
      </c>
      <c r="O75" s="18">
        <v>34</v>
      </c>
      <c r="P75" s="19">
        <v>3</v>
      </c>
      <c r="Q75" s="18">
        <f>IF(OR(P75="-",P75="",P75=0),IF(O75="-","-",O75),O75-P75)</f>
        <v>31</v>
      </c>
      <c r="R75" s="20">
        <f>IFERROR(IF(O75&gt;0, P75/O75, 0),"-")</f>
        <v>8.8235294117647065E-2</v>
      </c>
      <c r="S75" s="18">
        <v>866</v>
      </c>
      <c r="T75" s="18">
        <v>34</v>
      </c>
      <c r="U75" s="18">
        <v>69205</v>
      </c>
      <c r="V75" s="19">
        <v>6</v>
      </c>
      <c r="W75" s="19">
        <v>197275</v>
      </c>
      <c r="X75" s="24">
        <f>RANK(F75,$F$57:$F$183,0)</f>
        <v>19</v>
      </c>
      <c r="Y75" s="3" t="str">
        <f>IF(OR(ISERROR(F75),F75="-",NOT(ISNUMBER(F75))),"● N/A",IF(ROUND(F75, 4) &gt;= ROUND($F$184, 4),"▲ Above Average","▼ Below Average"))</f>
        <v>▲ Above Average</v>
      </c>
    </row>
    <row r="76" spans="2:25" x14ac:dyDescent="0.2">
      <c r="B76" s="17" t="s">
        <v>127</v>
      </c>
      <c r="C76" s="18">
        <v>1411</v>
      </c>
      <c r="D76" s="19">
        <v>1394</v>
      </c>
      <c r="E76" s="18">
        <f>IF(OR(D76="-",D76="",D76=0),IF(C76="-","-",C76),C76-D76)</f>
        <v>17</v>
      </c>
      <c r="F76" s="20">
        <f>IFERROR(IF(C76&gt;0, D76/C76, 0),"-")</f>
        <v>0.98795180722891562</v>
      </c>
      <c r="G76" s="18">
        <v>17</v>
      </c>
      <c r="H76" s="19">
        <v>6</v>
      </c>
      <c r="I76" s="18">
        <f>IF(OR(H76="-",H76="",H76=0),IF(G76="-","-",G76),G76-H76)</f>
        <v>11</v>
      </c>
      <c r="J76" s="20">
        <f>IFERROR(IF(G76&gt;0, H76/G76, 0),"-")</f>
        <v>0.35294117647058826</v>
      </c>
      <c r="K76" s="18">
        <v>10</v>
      </c>
      <c r="L76" s="19">
        <v>3</v>
      </c>
      <c r="M76" s="18">
        <f>IF(OR(L76="-",L76="",L76=0),IF(K76="-","-",K76),K76-L76)</f>
        <v>7</v>
      </c>
      <c r="N76" s="20">
        <f>IFERROR(IF(K76&gt;0, L76/K76, 0),"-")</f>
        <v>0.3</v>
      </c>
      <c r="O76" s="18">
        <v>22</v>
      </c>
      <c r="P76" s="19">
        <v>4</v>
      </c>
      <c r="Q76" s="18">
        <f>IF(OR(P76="-",P76="",P76=0),IF(O76="-","-",O76),O76-P76)</f>
        <v>18</v>
      </c>
      <c r="R76" s="20">
        <f>IFERROR(IF(O76&gt;0, P76/O76, 0),"-")</f>
        <v>0.18181818181818182</v>
      </c>
      <c r="S76" s="18">
        <v>837</v>
      </c>
      <c r="T76" s="18">
        <v>2</v>
      </c>
      <c r="U76" s="18">
        <v>7840</v>
      </c>
      <c r="V76" s="19">
        <v>24</v>
      </c>
      <c r="W76" s="19">
        <v>517786</v>
      </c>
      <c r="X76" s="24">
        <f>RANK(F76,$F$57:$F$183,0)</f>
        <v>20</v>
      </c>
      <c r="Y76" s="3" t="str">
        <f>IF(OR(ISERROR(F76),F76="-",NOT(ISNUMBER(F76))),"● N/A",IF(ROUND(F76, 4) &gt;= ROUND($F$184, 4),"▲ Above Average","▼ Below Average"))</f>
        <v>▲ Above Average</v>
      </c>
    </row>
    <row r="77" spans="2:25" x14ac:dyDescent="0.2">
      <c r="B77" s="17" t="s">
        <v>108</v>
      </c>
      <c r="C77" s="18">
        <v>1233</v>
      </c>
      <c r="D77" s="19">
        <v>1218</v>
      </c>
      <c r="E77" s="18">
        <f>IF(OR(D77="-",D77="",D77=0),IF(C77="-","-",C77),C77-D77)</f>
        <v>15</v>
      </c>
      <c r="F77" s="20">
        <f>IFERROR(IF(C77&gt;0, D77/C77, 0),"-")</f>
        <v>0.98783454987834551</v>
      </c>
      <c r="G77" s="18">
        <v>7</v>
      </c>
      <c r="H77" s="19" t="s">
        <v>959</v>
      </c>
      <c r="I77" s="18">
        <f>IF(OR(H77="-",H77="",H77=0),IF(G77="-","-",G77),G77-H77)</f>
        <v>7</v>
      </c>
      <c r="J77" s="20" t="str">
        <f>IFERROR(IF(G77&gt;0, H77/G77, 0),"-")</f>
        <v>-</v>
      </c>
      <c r="K77" s="18">
        <v>10</v>
      </c>
      <c r="L77" s="19">
        <v>1</v>
      </c>
      <c r="M77" s="18">
        <f>IF(OR(L77="-",L77="",L77=0),IF(K77="-","-",K77),K77-L77)</f>
        <v>9</v>
      </c>
      <c r="N77" s="20">
        <f>IFERROR(IF(K77&gt;0, L77/K77, 0),"-")</f>
        <v>0.1</v>
      </c>
      <c r="O77" s="18">
        <v>23</v>
      </c>
      <c r="P77" s="19">
        <v>1</v>
      </c>
      <c r="Q77" s="18">
        <f>IF(OR(P77="-",P77="",P77=0),IF(O77="-","-",O77),O77-P77)</f>
        <v>22</v>
      </c>
      <c r="R77" s="20">
        <f>IFERROR(IF(O77&gt;0, P77/O77, 0),"-")</f>
        <v>4.3478260869565216E-2</v>
      </c>
      <c r="S77" s="18">
        <v>829</v>
      </c>
      <c r="T77" s="18">
        <v>12</v>
      </c>
      <c r="U77" s="18">
        <v>16175</v>
      </c>
      <c r="V77" s="19">
        <v>4</v>
      </c>
      <c r="W77" s="19">
        <v>65515</v>
      </c>
      <c r="X77" s="24">
        <f>RANK(F77,$F$57:$F$183,0)</f>
        <v>21</v>
      </c>
      <c r="Y77" s="3" t="str">
        <f>IF(OR(ISERROR(F77),F77="-",NOT(ISNUMBER(F77))),"● N/A",IF(ROUND(F77, 4) &gt;= ROUND($F$184, 4),"▲ Above Average","▼ Below Average"))</f>
        <v>▲ Above Average</v>
      </c>
    </row>
    <row r="78" spans="2:25" x14ac:dyDescent="0.2">
      <c r="B78" s="17" t="s">
        <v>8</v>
      </c>
      <c r="C78" s="18">
        <v>973</v>
      </c>
      <c r="D78" s="19">
        <v>961</v>
      </c>
      <c r="E78" s="18">
        <f>IF(OR(D78="-",D78="",D78=0),IF(C78="-","-",C78),C78-D78)</f>
        <v>12</v>
      </c>
      <c r="F78" s="20">
        <f>IFERROR(IF(C78&gt;0, D78/C78, 0),"-")</f>
        <v>0.98766700924974304</v>
      </c>
      <c r="G78" s="18">
        <v>22</v>
      </c>
      <c r="H78" s="19">
        <v>8</v>
      </c>
      <c r="I78" s="18">
        <f>IF(OR(H78="-",H78="",H78=0),IF(G78="-","-",G78),G78-H78)</f>
        <v>14</v>
      </c>
      <c r="J78" s="20">
        <f>IFERROR(IF(G78&gt;0, H78/G78, 0),"-")</f>
        <v>0.36363636363636365</v>
      </c>
      <c r="K78" s="18">
        <v>13</v>
      </c>
      <c r="L78" s="19">
        <v>6</v>
      </c>
      <c r="M78" s="18">
        <f>IF(OR(L78="-",L78="",L78=0),IF(K78="-","-",K78),K78-L78)</f>
        <v>7</v>
      </c>
      <c r="N78" s="20">
        <f>IFERROR(IF(K78&gt;0, L78/K78, 0),"-")</f>
        <v>0.46153846153846156</v>
      </c>
      <c r="O78" s="18">
        <v>21</v>
      </c>
      <c r="P78" s="19">
        <v>5</v>
      </c>
      <c r="Q78" s="18">
        <f>IF(OR(P78="-",P78="",P78=0),IF(O78="-","-",O78),O78-P78)</f>
        <v>16</v>
      </c>
      <c r="R78" s="20">
        <f>IFERROR(IF(O78&gt;0, P78/O78, 0),"-")</f>
        <v>0.23809523809523808</v>
      </c>
      <c r="S78" s="18">
        <v>1210</v>
      </c>
      <c r="T78" s="18">
        <v>51</v>
      </c>
      <c r="U78" s="18">
        <v>97765</v>
      </c>
      <c r="V78" s="19">
        <v>11</v>
      </c>
      <c r="W78" s="19">
        <v>285312</v>
      </c>
      <c r="X78" s="24">
        <f>RANK(F78,$F$57:$F$183,0)</f>
        <v>22</v>
      </c>
      <c r="Y78" s="3" t="str">
        <f>IF(OR(ISERROR(F78),F78="-",NOT(ISNUMBER(F78))),"● N/A",IF(ROUND(F78, 4) &gt;= ROUND($F$184, 4),"▲ Above Average","▼ Below Average"))</f>
        <v>▲ Above Average</v>
      </c>
    </row>
    <row r="79" spans="2:25" x14ac:dyDescent="0.2">
      <c r="B79" s="17" t="s">
        <v>73</v>
      </c>
      <c r="C79" s="18">
        <v>1204</v>
      </c>
      <c r="D79" s="19">
        <v>1189</v>
      </c>
      <c r="E79" s="18">
        <f>IF(OR(D79="-",D79="",D79=0),IF(C79="-","-",C79),C79-D79)</f>
        <v>15</v>
      </c>
      <c r="F79" s="20">
        <f>IFERROR(IF(C79&gt;0, D79/C79, 0),"-")</f>
        <v>0.9875415282392026</v>
      </c>
      <c r="G79" s="18">
        <v>12</v>
      </c>
      <c r="H79" s="19">
        <v>5</v>
      </c>
      <c r="I79" s="18">
        <f>IF(OR(H79="-",H79="",H79=0),IF(G79="-","-",G79),G79-H79)</f>
        <v>7</v>
      </c>
      <c r="J79" s="20">
        <f>IFERROR(IF(G79&gt;0, H79/G79, 0),"-")</f>
        <v>0.41666666666666669</v>
      </c>
      <c r="K79" s="18">
        <v>9</v>
      </c>
      <c r="L79" s="19">
        <v>5</v>
      </c>
      <c r="M79" s="18">
        <f>IF(OR(L79="-",L79="",L79=0),IF(K79="-","-",K79),K79-L79)</f>
        <v>4</v>
      </c>
      <c r="N79" s="20">
        <f>IFERROR(IF(K79&gt;0, L79/K79, 0),"-")</f>
        <v>0.55555555555555558</v>
      </c>
      <c r="O79" s="18">
        <v>20</v>
      </c>
      <c r="P79" s="19">
        <v>5</v>
      </c>
      <c r="Q79" s="18">
        <f>IF(OR(P79="-",P79="",P79=0),IF(O79="-","-",O79),O79-P79)</f>
        <v>15</v>
      </c>
      <c r="R79" s="20">
        <f>IFERROR(IF(O79&gt;0, P79/O79, 0),"-")</f>
        <v>0.25</v>
      </c>
      <c r="S79" s="18">
        <v>958</v>
      </c>
      <c r="T79" s="18">
        <v>17</v>
      </c>
      <c r="U79" s="18">
        <v>99034</v>
      </c>
      <c r="V79" s="19">
        <v>9</v>
      </c>
      <c r="W79" s="19">
        <v>143893</v>
      </c>
      <c r="X79" s="24">
        <f>RANK(F79,$F$57:$F$183,0)</f>
        <v>23</v>
      </c>
      <c r="Y79" s="3" t="str">
        <f>IF(OR(ISERROR(F79),F79="-",NOT(ISNUMBER(F79))),"● N/A",IF(ROUND(F79, 4) &gt;= ROUND($F$184, 4),"▲ Above Average","▼ Below Average"))</f>
        <v>▲ Above Average</v>
      </c>
    </row>
    <row r="80" spans="2:25" x14ac:dyDescent="0.2">
      <c r="B80" s="17" t="s">
        <v>43</v>
      </c>
      <c r="C80" s="18">
        <v>1182</v>
      </c>
      <c r="D80" s="19">
        <v>1167</v>
      </c>
      <c r="E80" s="18">
        <f>IF(OR(D80="-",D80="",D80=0),IF(C80="-","-",C80),C80-D80)</f>
        <v>15</v>
      </c>
      <c r="F80" s="20">
        <f>IFERROR(IF(C80&gt;0, D80/C80, 0),"-")</f>
        <v>0.98730964467005078</v>
      </c>
      <c r="G80" s="18">
        <v>13</v>
      </c>
      <c r="H80" s="19">
        <v>5</v>
      </c>
      <c r="I80" s="18">
        <f>IF(OR(H80="-",H80="",H80=0),IF(G80="-","-",G80),G80-H80)</f>
        <v>8</v>
      </c>
      <c r="J80" s="20">
        <f>IFERROR(IF(G80&gt;0, H80/G80, 0),"-")</f>
        <v>0.38461538461538464</v>
      </c>
      <c r="K80" s="18">
        <v>7</v>
      </c>
      <c r="L80" s="19">
        <v>5</v>
      </c>
      <c r="M80" s="18">
        <f>IF(OR(L80="-",L80="",L80=0),IF(K80="-","-",K80),K80-L80)</f>
        <v>2</v>
      </c>
      <c r="N80" s="20">
        <f>IFERROR(IF(K80&gt;0, L80/K80, 0),"-")</f>
        <v>0.7142857142857143</v>
      </c>
      <c r="O80" s="18">
        <v>15</v>
      </c>
      <c r="P80" s="19">
        <v>5</v>
      </c>
      <c r="Q80" s="18">
        <f>IF(OR(P80="-",P80="",P80=0),IF(O80="-","-",O80),O80-P80)</f>
        <v>10</v>
      </c>
      <c r="R80" s="20">
        <f>IFERROR(IF(O80&gt;0, P80/O80, 0),"-")</f>
        <v>0.33333333333333331</v>
      </c>
      <c r="S80" s="18">
        <v>1089</v>
      </c>
      <c r="T80" s="18">
        <v>8</v>
      </c>
      <c r="U80" s="18">
        <v>42015</v>
      </c>
      <c r="V80" s="19">
        <v>13</v>
      </c>
      <c r="W80" s="19">
        <v>376739</v>
      </c>
      <c r="X80" s="24">
        <f>RANK(F80,$F$57:$F$183,0)</f>
        <v>24</v>
      </c>
      <c r="Y80" s="3" t="str">
        <f>IF(OR(ISERROR(F80),F80="-",NOT(ISNUMBER(F80))),"● N/A",IF(ROUND(F80, 4) &gt;= ROUND($F$184, 4),"▲ Above Average","▼ Below Average"))</f>
        <v>▲ Above Average</v>
      </c>
    </row>
    <row r="81" spans="2:25" x14ac:dyDescent="0.2">
      <c r="B81" s="17" t="s">
        <v>123</v>
      </c>
      <c r="C81" s="18">
        <v>1173</v>
      </c>
      <c r="D81" s="19">
        <v>1158</v>
      </c>
      <c r="E81" s="18">
        <f>IF(OR(D81="-",D81="",D81=0),IF(C81="-","-",C81),C81-D81)</f>
        <v>15</v>
      </c>
      <c r="F81" s="20">
        <f>IFERROR(IF(C81&gt;0, D81/C81, 0),"-")</f>
        <v>0.98721227621483376</v>
      </c>
      <c r="G81" s="18">
        <v>6</v>
      </c>
      <c r="H81" s="19">
        <v>1</v>
      </c>
      <c r="I81" s="18">
        <f>IF(OR(H81="-",H81="",H81=0),IF(G81="-","-",G81),G81-H81)</f>
        <v>5</v>
      </c>
      <c r="J81" s="20">
        <f>IFERROR(IF(G81&gt;0, H81/G81, 0),"-")</f>
        <v>0.16666666666666666</v>
      </c>
      <c r="K81" s="18">
        <v>8</v>
      </c>
      <c r="L81" s="19">
        <v>3</v>
      </c>
      <c r="M81" s="18">
        <f>IF(OR(L81="-",L81="",L81=0),IF(K81="-","-",K81),K81-L81)</f>
        <v>5</v>
      </c>
      <c r="N81" s="20">
        <f>IFERROR(IF(K81&gt;0, L81/K81, 0),"-")</f>
        <v>0.375</v>
      </c>
      <c r="O81" s="18">
        <v>24</v>
      </c>
      <c r="P81" s="19" t="s">
        <v>959</v>
      </c>
      <c r="Q81" s="18">
        <f>IF(OR(P81="-",P81="",P81=0),IF(O81="-","-",O81),O81-P81)</f>
        <v>24</v>
      </c>
      <c r="R81" s="20" t="str">
        <f>IFERROR(IF(O81&gt;0, P81/O81, 0),"-")</f>
        <v>-</v>
      </c>
      <c r="S81" s="18">
        <v>187</v>
      </c>
      <c r="T81" s="18">
        <v>8</v>
      </c>
      <c r="U81" s="18">
        <v>22205</v>
      </c>
      <c r="V81" s="19">
        <v>3</v>
      </c>
      <c r="W81" s="19">
        <v>34095</v>
      </c>
      <c r="X81" s="24">
        <f>RANK(F81,$F$57:$F$183,0)</f>
        <v>25</v>
      </c>
      <c r="Y81" s="3" t="str">
        <f>IF(OR(ISERROR(F81),F81="-",NOT(ISNUMBER(F81))),"● N/A",IF(ROUND(F81, 4) &gt;= ROUND($F$184, 4),"▲ Above Average","▼ Below Average"))</f>
        <v>▲ Above Average</v>
      </c>
    </row>
    <row r="82" spans="2:25" x14ac:dyDescent="0.2">
      <c r="B82" s="17" t="s">
        <v>24</v>
      </c>
      <c r="C82" s="18">
        <v>1240</v>
      </c>
      <c r="D82" s="19">
        <v>1224</v>
      </c>
      <c r="E82" s="18">
        <f>IF(OR(D82="-",D82="",D82=0),IF(C82="-","-",C82),C82-D82)</f>
        <v>16</v>
      </c>
      <c r="F82" s="20">
        <f>IFERROR(IF(C82&gt;0, D82/C82, 0),"-")</f>
        <v>0.98709677419354835</v>
      </c>
      <c r="G82" s="18">
        <v>14</v>
      </c>
      <c r="H82" s="19">
        <v>1</v>
      </c>
      <c r="I82" s="18">
        <f>IF(OR(H82="-",H82="",H82=0),IF(G82="-","-",G82),G82-H82)</f>
        <v>13</v>
      </c>
      <c r="J82" s="20">
        <f>IFERROR(IF(G82&gt;0, H82/G82, 0),"-")</f>
        <v>7.1428571428571425E-2</v>
      </c>
      <c r="K82" s="18">
        <v>13</v>
      </c>
      <c r="L82" s="19">
        <v>6</v>
      </c>
      <c r="M82" s="18">
        <f>IF(OR(L82="-",L82="",L82=0),IF(K82="-","-",K82),K82-L82)</f>
        <v>7</v>
      </c>
      <c r="N82" s="20">
        <f>IFERROR(IF(K82&gt;0, L82/K82, 0),"-")</f>
        <v>0.46153846153846156</v>
      </c>
      <c r="O82" s="18">
        <v>25</v>
      </c>
      <c r="P82" s="19">
        <v>4</v>
      </c>
      <c r="Q82" s="18">
        <f>IF(OR(P82="-",P82="",P82=0),IF(O82="-","-",O82),O82-P82)</f>
        <v>21</v>
      </c>
      <c r="R82" s="20">
        <f>IFERROR(IF(O82&gt;0, P82/O82, 0),"-")</f>
        <v>0.16</v>
      </c>
      <c r="S82" s="18">
        <v>1078</v>
      </c>
      <c r="T82" s="18">
        <v>38</v>
      </c>
      <c r="U82" s="18">
        <v>83545</v>
      </c>
      <c r="V82" s="19">
        <v>5</v>
      </c>
      <c r="W82" s="19">
        <v>198002</v>
      </c>
      <c r="X82" s="24">
        <f>RANK(F82,$F$57:$F$183,0)</f>
        <v>26</v>
      </c>
      <c r="Y82" s="3" t="str">
        <f>IF(OR(ISERROR(F82),F82="-",NOT(ISNUMBER(F82))),"● N/A",IF(ROUND(F82, 4) &gt;= ROUND($F$184, 4),"▲ Above Average","▼ Below Average"))</f>
        <v>▲ Above Average</v>
      </c>
    </row>
    <row r="83" spans="2:25" x14ac:dyDescent="0.2">
      <c r="B83" s="17" t="s">
        <v>130</v>
      </c>
      <c r="C83" s="18">
        <v>2013</v>
      </c>
      <c r="D83" s="19">
        <v>1987</v>
      </c>
      <c r="E83" s="18">
        <f>IF(OR(D83="-",D83="",D83=0),IF(C83="-","-",C83),C83-D83)</f>
        <v>26</v>
      </c>
      <c r="F83" s="20">
        <f>IFERROR(IF(C83&gt;0, D83/C83, 0),"-")</f>
        <v>0.98708395429706908</v>
      </c>
      <c r="G83" s="18">
        <v>16</v>
      </c>
      <c r="H83" s="19">
        <v>6</v>
      </c>
      <c r="I83" s="18">
        <f>IF(OR(H83="-",H83="",H83=0),IF(G83="-","-",G83),G83-H83)</f>
        <v>10</v>
      </c>
      <c r="J83" s="20">
        <f>IFERROR(IF(G83&gt;0, H83/G83, 0),"-")</f>
        <v>0.375</v>
      </c>
      <c r="K83" s="18">
        <v>12</v>
      </c>
      <c r="L83" s="19" t="s">
        <v>959</v>
      </c>
      <c r="M83" s="18">
        <f>IF(OR(L83="-",L83="",L83=0),IF(K83="-","-",K83),K83-L83)</f>
        <v>12</v>
      </c>
      <c r="N83" s="20" t="str">
        <f>IFERROR(IF(K83&gt;0, L83/K83, 0),"-")</f>
        <v>-</v>
      </c>
      <c r="O83" s="18">
        <v>17</v>
      </c>
      <c r="P83" s="19">
        <v>2</v>
      </c>
      <c r="Q83" s="18">
        <f>IF(OR(P83="-",P83="",P83=0),IF(O83="-","-",O83),O83-P83)</f>
        <v>15</v>
      </c>
      <c r="R83" s="20">
        <f>IFERROR(IF(O83&gt;0, P83/O83, 0),"-")</f>
        <v>0.11764705882352941</v>
      </c>
      <c r="S83" s="18">
        <v>1042</v>
      </c>
      <c r="T83" s="18">
        <v>20</v>
      </c>
      <c r="U83" s="18">
        <v>67445</v>
      </c>
      <c r="V83" s="19">
        <v>4</v>
      </c>
      <c r="W83" s="19">
        <v>52212</v>
      </c>
      <c r="X83" s="24">
        <f>RANK(F83,$F$57:$F$183,0)</f>
        <v>27</v>
      </c>
      <c r="Y83" s="3" t="str">
        <f>IF(OR(ISERROR(F83),F83="-",NOT(ISNUMBER(F83))),"● N/A",IF(ROUND(F83, 4) &gt;= ROUND($F$184, 4),"▲ Above Average","▼ Below Average"))</f>
        <v>▲ Above Average</v>
      </c>
    </row>
    <row r="84" spans="2:25" x14ac:dyDescent="0.2">
      <c r="B84" s="17" t="s">
        <v>40</v>
      </c>
      <c r="C84" s="18">
        <v>1469</v>
      </c>
      <c r="D84" s="19">
        <v>1450</v>
      </c>
      <c r="E84" s="18">
        <f>IF(OR(D84="-",D84="",D84=0),IF(C84="-","-",C84),C84-D84)</f>
        <v>19</v>
      </c>
      <c r="F84" s="20">
        <f>IFERROR(IF(C84&gt;0, D84/C84, 0),"-")</f>
        <v>0.98706603131381887</v>
      </c>
      <c r="G84" s="18">
        <v>16</v>
      </c>
      <c r="H84" s="19">
        <v>8</v>
      </c>
      <c r="I84" s="18">
        <f>IF(OR(H84="-",H84="",H84=0),IF(G84="-","-",G84),G84-H84)</f>
        <v>8</v>
      </c>
      <c r="J84" s="20">
        <f>IFERROR(IF(G84&gt;0, H84/G84, 0),"-")</f>
        <v>0.5</v>
      </c>
      <c r="K84" s="18">
        <v>10</v>
      </c>
      <c r="L84" s="19">
        <v>5</v>
      </c>
      <c r="M84" s="18">
        <f>IF(OR(L84="-",L84="",L84=0),IF(K84="-","-",K84),K84-L84)</f>
        <v>5</v>
      </c>
      <c r="N84" s="20">
        <f>IFERROR(IF(K84&gt;0, L84/K84, 0),"-")</f>
        <v>0.5</v>
      </c>
      <c r="O84" s="18">
        <v>15</v>
      </c>
      <c r="P84" s="19">
        <v>7</v>
      </c>
      <c r="Q84" s="18">
        <f>IF(OR(P84="-",P84="",P84=0),IF(O84="-","-",O84),O84-P84)</f>
        <v>8</v>
      </c>
      <c r="R84" s="20">
        <f>IFERROR(IF(O84&gt;0, P84/O84, 0),"-")</f>
        <v>0.46666666666666667</v>
      </c>
      <c r="S84" s="18">
        <v>2149</v>
      </c>
      <c r="T84" s="18">
        <v>20</v>
      </c>
      <c r="U84" s="18">
        <v>64633</v>
      </c>
      <c r="V84" s="19">
        <v>25</v>
      </c>
      <c r="W84" s="19">
        <v>406248</v>
      </c>
      <c r="X84" s="24">
        <f>RANK(F84,$F$57:$F$183,0)</f>
        <v>28</v>
      </c>
      <c r="Y84" s="3" t="str">
        <f>IF(OR(ISERROR(F84),F84="-",NOT(ISNUMBER(F84))),"● N/A",IF(ROUND(F84, 4) &gt;= ROUND($F$184, 4),"▲ Above Average","▼ Below Average"))</f>
        <v>▲ Above Average</v>
      </c>
    </row>
    <row r="85" spans="2:25" x14ac:dyDescent="0.2">
      <c r="B85" s="17" t="s">
        <v>79</v>
      </c>
      <c r="C85" s="18">
        <v>1153</v>
      </c>
      <c r="D85" s="19">
        <v>1137</v>
      </c>
      <c r="E85" s="18">
        <f>IF(OR(D85="-",D85="",D85=0),IF(C85="-","-",C85),C85-D85)</f>
        <v>16</v>
      </c>
      <c r="F85" s="20">
        <f>IFERROR(IF(C85&gt;0, D85/C85, 0),"-")</f>
        <v>0.98612315698178665</v>
      </c>
      <c r="G85" s="18">
        <v>16</v>
      </c>
      <c r="H85" s="19">
        <v>8</v>
      </c>
      <c r="I85" s="18">
        <f>IF(OR(H85="-",H85="",H85=0),IF(G85="-","-",G85),G85-H85)</f>
        <v>8</v>
      </c>
      <c r="J85" s="20">
        <f>IFERROR(IF(G85&gt;0, H85/G85, 0),"-")</f>
        <v>0.5</v>
      </c>
      <c r="K85" s="18">
        <v>17</v>
      </c>
      <c r="L85" s="19">
        <v>5</v>
      </c>
      <c r="M85" s="18">
        <f>IF(OR(L85="-",L85="",L85=0),IF(K85="-","-",K85),K85-L85)</f>
        <v>12</v>
      </c>
      <c r="N85" s="20">
        <f>IFERROR(IF(K85&gt;0, L85/K85, 0),"-")</f>
        <v>0.29411764705882354</v>
      </c>
      <c r="O85" s="18">
        <v>33</v>
      </c>
      <c r="P85" s="19">
        <v>6</v>
      </c>
      <c r="Q85" s="18">
        <f>IF(OR(P85="-",P85="",P85=0),IF(O85="-","-",O85),O85-P85)</f>
        <v>27</v>
      </c>
      <c r="R85" s="20">
        <f>IFERROR(IF(O85&gt;0, P85/O85, 0),"-")</f>
        <v>0.18181818181818182</v>
      </c>
      <c r="S85" s="18">
        <v>865</v>
      </c>
      <c r="T85" s="18">
        <v>28</v>
      </c>
      <c r="U85" s="18">
        <v>161783</v>
      </c>
      <c r="V85" s="19">
        <v>14</v>
      </c>
      <c r="W85" s="19">
        <v>194508</v>
      </c>
      <c r="X85" s="24">
        <f>RANK(F85,$F$57:$F$183,0)</f>
        <v>29</v>
      </c>
      <c r="Y85" s="3" t="str">
        <f>IF(OR(ISERROR(F85),F85="-",NOT(ISNUMBER(F85))),"● N/A",IF(ROUND(F85, 4) &gt;= ROUND($F$184, 4),"▲ Above Average","▼ Below Average"))</f>
        <v>▲ Above Average</v>
      </c>
    </row>
    <row r="86" spans="2:25" x14ac:dyDescent="0.2">
      <c r="B86" s="17" t="s">
        <v>110</v>
      </c>
      <c r="C86" s="18">
        <v>1637</v>
      </c>
      <c r="D86" s="19">
        <v>1614</v>
      </c>
      <c r="E86" s="18">
        <f>IF(OR(D86="-",D86="",D86=0),IF(C86="-","-",C86),C86-D86)</f>
        <v>23</v>
      </c>
      <c r="F86" s="20">
        <f>IFERROR(IF(C86&gt;0, D86/C86, 0),"-")</f>
        <v>0.98594990836896768</v>
      </c>
      <c r="G86" s="18">
        <v>14</v>
      </c>
      <c r="H86" s="19">
        <v>8</v>
      </c>
      <c r="I86" s="18">
        <f>IF(OR(H86="-",H86="",H86=0),IF(G86="-","-",G86),G86-H86)</f>
        <v>6</v>
      </c>
      <c r="J86" s="20">
        <f>IFERROR(IF(G86&gt;0, H86/G86, 0),"-")</f>
        <v>0.5714285714285714</v>
      </c>
      <c r="K86" s="18">
        <v>13</v>
      </c>
      <c r="L86" s="19">
        <v>3</v>
      </c>
      <c r="M86" s="18">
        <f>IF(OR(L86="-",L86="",L86=0),IF(K86="-","-",K86),K86-L86)</f>
        <v>10</v>
      </c>
      <c r="N86" s="20">
        <f>IFERROR(IF(K86&gt;0, L86/K86, 0),"-")</f>
        <v>0.23076923076923078</v>
      </c>
      <c r="O86" s="18">
        <v>12</v>
      </c>
      <c r="P86" s="19">
        <v>2</v>
      </c>
      <c r="Q86" s="18">
        <f>IF(OR(P86="-",P86="",P86=0),IF(O86="-","-",O86),O86-P86)</f>
        <v>10</v>
      </c>
      <c r="R86" s="20">
        <f>IFERROR(IF(O86&gt;0, P86/O86, 0),"-")</f>
        <v>0.16666666666666666</v>
      </c>
      <c r="S86" s="18">
        <v>24</v>
      </c>
      <c r="T86" s="18" t="s">
        <v>959</v>
      </c>
      <c r="U86" s="18" t="s">
        <v>959</v>
      </c>
      <c r="V86" s="19" t="s">
        <v>959</v>
      </c>
      <c r="W86" s="19" t="s">
        <v>959</v>
      </c>
      <c r="X86" s="24">
        <f>RANK(F86,$F$57:$F$183,0)</f>
        <v>30</v>
      </c>
      <c r="Y86" s="3" t="str">
        <f>IF(OR(ISERROR(F86),F86="-",NOT(ISNUMBER(F86))),"● N/A",IF(ROUND(F86, 4) &gt;= ROUND($F$184, 4),"▲ Above Average","▼ Below Average"))</f>
        <v>▲ Above Average</v>
      </c>
    </row>
    <row r="87" spans="2:25" x14ac:dyDescent="0.2">
      <c r="B87" s="17" t="s">
        <v>98</v>
      </c>
      <c r="C87" s="18">
        <v>772</v>
      </c>
      <c r="D87" s="19">
        <v>761</v>
      </c>
      <c r="E87" s="18">
        <f>IF(OR(D87="-",D87="",D87=0),IF(C87="-","-",C87),C87-D87)</f>
        <v>11</v>
      </c>
      <c r="F87" s="20">
        <f>IFERROR(IF(C87&gt;0, D87/C87, 0),"-")</f>
        <v>0.98575129533678751</v>
      </c>
      <c r="G87" s="18">
        <v>7</v>
      </c>
      <c r="H87" s="19">
        <v>2</v>
      </c>
      <c r="I87" s="18">
        <f>IF(OR(H87="-",H87="",H87=0),IF(G87="-","-",G87),G87-H87)</f>
        <v>5</v>
      </c>
      <c r="J87" s="20">
        <f>IFERROR(IF(G87&gt;0, H87/G87, 0),"-")</f>
        <v>0.2857142857142857</v>
      </c>
      <c r="K87" s="18">
        <v>4</v>
      </c>
      <c r="L87" s="19">
        <v>1</v>
      </c>
      <c r="M87" s="18">
        <f>IF(OR(L87="-",L87="",L87=0),IF(K87="-","-",K87),K87-L87)</f>
        <v>3</v>
      </c>
      <c r="N87" s="20">
        <f>IFERROR(IF(K87&gt;0, L87/K87, 0),"-")</f>
        <v>0.25</v>
      </c>
      <c r="O87" s="18">
        <v>14</v>
      </c>
      <c r="P87" s="19">
        <v>2</v>
      </c>
      <c r="Q87" s="18">
        <f>IF(OR(P87="-",P87="",P87=0),IF(O87="-","-",O87),O87-P87)</f>
        <v>12</v>
      </c>
      <c r="R87" s="20">
        <f>IFERROR(IF(O87&gt;0, P87/O87, 0),"-")</f>
        <v>0.14285714285714285</v>
      </c>
      <c r="S87" s="18">
        <v>703</v>
      </c>
      <c r="T87" s="18">
        <v>2</v>
      </c>
      <c r="U87" s="18">
        <v>3700</v>
      </c>
      <c r="V87" s="19">
        <v>6</v>
      </c>
      <c r="W87" s="19">
        <v>179836</v>
      </c>
      <c r="X87" s="24">
        <f>RANK(F87,$F$57:$F$183,0)</f>
        <v>31</v>
      </c>
      <c r="Y87" s="3" t="str">
        <f>IF(OR(ISERROR(F87),F87="-",NOT(ISNUMBER(F87))),"● N/A",IF(ROUND(F87, 4) &gt;= ROUND($F$184, 4),"▲ Above Average","▼ Below Average"))</f>
        <v>▲ Above Average</v>
      </c>
    </row>
    <row r="88" spans="2:25" x14ac:dyDescent="0.2">
      <c r="B88" s="17" t="s">
        <v>61</v>
      </c>
      <c r="C88" s="18">
        <v>1107</v>
      </c>
      <c r="D88" s="19">
        <v>1091</v>
      </c>
      <c r="E88" s="18">
        <f>IF(OR(D88="-",D88="",D88=0),IF(C88="-","-",C88),C88-D88)</f>
        <v>16</v>
      </c>
      <c r="F88" s="20">
        <f>IFERROR(IF(C88&gt;0, D88/C88, 0),"-")</f>
        <v>0.98554652213188798</v>
      </c>
      <c r="G88" s="18">
        <v>3</v>
      </c>
      <c r="H88" s="19">
        <v>2</v>
      </c>
      <c r="I88" s="18">
        <f>IF(OR(H88="-",H88="",H88=0),IF(G88="-","-",G88),G88-H88)</f>
        <v>1</v>
      </c>
      <c r="J88" s="20">
        <f>IFERROR(IF(G88&gt;0, H88/G88, 0),"-")</f>
        <v>0.66666666666666663</v>
      </c>
      <c r="K88" s="18">
        <v>5</v>
      </c>
      <c r="L88" s="19">
        <v>5</v>
      </c>
      <c r="M88" s="18">
        <f>IF(OR(L88="-",L88="",L88=0),IF(K88="-","-",K88),K88-L88)</f>
        <v>0</v>
      </c>
      <c r="N88" s="20">
        <f>IFERROR(IF(K88&gt;0, L88/K88, 0),"-")</f>
        <v>1</v>
      </c>
      <c r="O88" s="18">
        <v>11</v>
      </c>
      <c r="P88" s="19">
        <v>2</v>
      </c>
      <c r="Q88" s="18">
        <f>IF(OR(P88="-",P88="",P88=0),IF(O88="-","-",O88),O88-P88)</f>
        <v>9</v>
      </c>
      <c r="R88" s="20">
        <f>IFERROR(IF(O88&gt;0, P88/O88, 0),"-")</f>
        <v>0.18181818181818182</v>
      </c>
      <c r="S88" s="18">
        <v>946</v>
      </c>
      <c r="T88" s="18">
        <v>16</v>
      </c>
      <c r="U88" s="18">
        <v>49705</v>
      </c>
      <c r="V88" s="19">
        <v>9</v>
      </c>
      <c r="W88" s="19">
        <v>196041</v>
      </c>
      <c r="X88" s="24">
        <f>RANK(F88,$F$57:$F$183,0)</f>
        <v>32</v>
      </c>
      <c r="Y88" s="3" t="str">
        <f>IF(OR(ISERROR(F88),F88="-",NOT(ISNUMBER(F88))),"● N/A",IF(ROUND(F88, 4) &gt;= ROUND($F$184, 4),"▲ Above Average","▼ Below Average"))</f>
        <v>▲ Above Average</v>
      </c>
    </row>
    <row r="89" spans="2:25" x14ac:dyDescent="0.2">
      <c r="B89" s="17" t="s">
        <v>117</v>
      </c>
      <c r="C89" s="18">
        <v>1074</v>
      </c>
      <c r="D89" s="19">
        <v>1058</v>
      </c>
      <c r="E89" s="18">
        <f>IF(OR(D89="-",D89="",D89=0),IF(C89="-","-",C89),C89-D89)</f>
        <v>16</v>
      </c>
      <c r="F89" s="20">
        <f>IFERROR(IF(C89&gt;0, D89/C89, 0),"-")</f>
        <v>0.98510242085661082</v>
      </c>
      <c r="G89" s="18">
        <v>7</v>
      </c>
      <c r="H89" s="19">
        <v>4</v>
      </c>
      <c r="I89" s="18">
        <f>IF(OR(H89="-",H89="",H89=0),IF(G89="-","-",G89),G89-H89)</f>
        <v>3</v>
      </c>
      <c r="J89" s="20">
        <f>IFERROR(IF(G89&gt;0, H89/G89, 0),"-")</f>
        <v>0.5714285714285714</v>
      </c>
      <c r="K89" s="18">
        <v>8</v>
      </c>
      <c r="L89" s="19">
        <v>3</v>
      </c>
      <c r="M89" s="18">
        <f>IF(OR(L89="-",L89="",L89=0),IF(K89="-","-",K89),K89-L89)</f>
        <v>5</v>
      </c>
      <c r="N89" s="20">
        <f>IFERROR(IF(K89&gt;0, L89/K89, 0),"-")</f>
        <v>0.375</v>
      </c>
      <c r="O89" s="18">
        <v>16</v>
      </c>
      <c r="P89" s="19">
        <v>6</v>
      </c>
      <c r="Q89" s="18">
        <f>IF(OR(P89="-",P89="",P89=0),IF(O89="-","-",O89),O89-P89)</f>
        <v>10</v>
      </c>
      <c r="R89" s="20">
        <f>IFERROR(IF(O89&gt;0, P89/O89, 0),"-")</f>
        <v>0.375</v>
      </c>
      <c r="S89" s="18">
        <v>1088</v>
      </c>
      <c r="T89" s="18">
        <v>22</v>
      </c>
      <c r="U89" s="18">
        <v>44215</v>
      </c>
      <c r="V89" s="19">
        <v>2</v>
      </c>
      <c r="W89" s="19">
        <v>31036</v>
      </c>
      <c r="X89" s="24">
        <f>RANK(F89,$F$57:$F$183,0)</f>
        <v>33</v>
      </c>
      <c r="Y89" s="3" t="str">
        <f>IF(OR(ISERROR(F89),F89="-",NOT(ISNUMBER(F89))),"● N/A",IF(ROUND(F89, 4) &gt;= ROUND($F$184, 4),"▲ Above Average","▼ Below Average"))</f>
        <v>▲ Above Average</v>
      </c>
    </row>
    <row r="90" spans="2:25" x14ac:dyDescent="0.2">
      <c r="B90" s="17" t="s">
        <v>22</v>
      </c>
      <c r="C90" s="18">
        <v>1392</v>
      </c>
      <c r="D90" s="19">
        <v>1371</v>
      </c>
      <c r="E90" s="18">
        <f>IF(OR(D90="-",D90="",D90=0),IF(C90="-","-",C90),C90-D90)</f>
        <v>21</v>
      </c>
      <c r="F90" s="20">
        <f>IFERROR(IF(C90&gt;0, D90/C90, 0),"-")</f>
        <v>0.98491379310344829</v>
      </c>
      <c r="G90" s="18">
        <v>15</v>
      </c>
      <c r="H90" s="19">
        <v>3</v>
      </c>
      <c r="I90" s="18">
        <f>IF(OR(H90="-",H90="",H90=0),IF(G90="-","-",G90),G90-H90)</f>
        <v>12</v>
      </c>
      <c r="J90" s="20">
        <f>IFERROR(IF(G90&gt;0, H90/G90, 0),"-")</f>
        <v>0.2</v>
      </c>
      <c r="K90" s="18">
        <v>15</v>
      </c>
      <c r="L90" s="19">
        <v>1</v>
      </c>
      <c r="M90" s="18">
        <f>IF(OR(L90="-",L90="",L90=0),IF(K90="-","-",K90),K90-L90)</f>
        <v>14</v>
      </c>
      <c r="N90" s="20">
        <f>IFERROR(IF(K90&gt;0, L90/K90, 0),"-")</f>
        <v>6.6666666666666666E-2</v>
      </c>
      <c r="O90" s="18">
        <v>14</v>
      </c>
      <c r="P90" s="19">
        <v>2</v>
      </c>
      <c r="Q90" s="18">
        <f>IF(OR(P90="-",P90="",P90=0),IF(O90="-","-",O90),O90-P90)</f>
        <v>12</v>
      </c>
      <c r="R90" s="20">
        <f>IFERROR(IF(O90&gt;0, P90/O90, 0),"-")</f>
        <v>0.14285714285714285</v>
      </c>
      <c r="S90" s="18">
        <v>1308</v>
      </c>
      <c r="T90" s="18">
        <v>13</v>
      </c>
      <c r="U90" s="18">
        <v>43115</v>
      </c>
      <c r="V90" s="19">
        <v>22</v>
      </c>
      <c r="W90" s="19">
        <v>526645</v>
      </c>
      <c r="X90" s="24">
        <f>RANK(F90,$F$57:$F$183,0)</f>
        <v>34</v>
      </c>
      <c r="Y90" s="3" t="str">
        <f>IF(OR(ISERROR(F90),F90="-",NOT(ISNUMBER(F90))),"● N/A",IF(ROUND(F90, 4) &gt;= ROUND($F$184, 4),"▲ Above Average","▼ Below Average"))</f>
        <v>▲ Above Average</v>
      </c>
    </row>
    <row r="91" spans="2:25" x14ac:dyDescent="0.2">
      <c r="B91" s="17" t="s">
        <v>75</v>
      </c>
      <c r="C91" s="18">
        <v>853</v>
      </c>
      <c r="D91" s="19">
        <v>840</v>
      </c>
      <c r="E91" s="18">
        <f>IF(OR(D91="-",D91="",D91=0),IF(C91="-","-",C91),C91-D91)</f>
        <v>13</v>
      </c>
      <c r="F91" s="20">
        <f>IFERROR(IF(C91&gt;0, D91/C91, 0),"-")</f>
        <v>0.98475967174677603</v>
      </c>
      <c r="G91" s="18">
        <v>5</v>
      </c>
      <c r="H91" s="19">
        <v>1</v>
      </c>
      <c r="I91" s="18">
        <f>IF(OR(H91="-",H91="",H91=0),IF(G91="-","-",G91),G91-H91)</f>
        <v>4</v>
      </c>
      <c r="J91" s="20">
        <f>IFERROR(IF(G91&gt;0, H91/G91, 0),"-")</f>
        <v>0.2</v>
      </c>
      <c r="K91" s="18">
        <v>3</v>
      </c>
      <c r="L91" s="19">
        <v>1</v>
      </c>
      <c r="M91" s="18">
        <f>IF(OR(L91="-",L91="",L91=0),IF(K91="-","-",K91),K91-L91)</f>
        <v>2</v>
      </c>
      <c r="N91" s="20">
        <f>IFERROR(IF(K91&gt;0, L91/K91, 0),"-")</f>
        <v>0.33333333333333331</v>
      </c>
      <c r="O91" s="18">
        <v>4</v>
      </c>
      <c r="P91" s="19" t="s">
        <v>959</v>
      </c>
      <c r="Q91" s="18">
        <f>IF(OR(P91="-",P91="",P91=0),IF(O91="-","-",O91),O91-P91)</f>
        <v>4</v>
      </c>
      <c r="R91" s="20" t="str">
        <f>IFERROR(IF(O91&gt;0, P91/O91, 0),"-")</f>
        <v>-</v>
      </c>
      <c r="S91" s="18">
        <v>299</v>
      </c>
      <c r="T91" s="18">
        <v>8</v>
      </c>
      <c r="U91" s="18">
        <v>14575</v>
      </c>
      <c r="V91" s="19">
        <v>9</v>
      </c>
      <c r="W91" s="19">
        <v>278548</v>
      </c>
      <c r="X91" s="24">
        <f>RANK(F91,$F$57:$F$183,0)</f>
        <v>35</v>
      </c>
      <c r="Y91" s="3" t="str">
        <f>IF(OR(ISERROR(F91),F91="-",NOT(ISNUMBER(F91))),"● N/A",IF(ROUND(F91, 4) &gt;= ROUND($F$184, 4),"▲ Above Average","▼ Below Average"))</f>
        <v>▲ Above Average</v>
      </c>
    </row>
    <row r="92" spans="2:25" x14ac:dyDescent="0.2">
      <c r="B92" s="17" t="s">
        <v>97</v>
      </c>
      <c r="C92" s="18">
        <v>1179</v>
      </c>
      <c r="D92" s="19">
        <v>1161</v>
      </c>
      <c r="E92" s="18">
        <f>IF(OR(D92="-",D92="",D92=0),IF(C92="-","-",C92),C92-D92)</f>
        <v>18</v>
      </c>
      <c r="F92" s="20">
        <f>IFERROR(IF(C92&gt;0, D92/C92, 0),"-")</f>
        <v>0.98473282442748089</v>
      </c>
      <c r="G92" s="18">
        <v>9</v>
      </c>
      <c r="H92" s="19">
        <v>3</v>
      </c>
      <c r="I92" s="18">
        <f>IF(OR(H92="-",H92="",H92=0),IF(G92="-","-",G92),G92-H92)</f>
        <v>6</v>
      </c>
      <c r="J92" s="20">
        <f>IFERROR(IF(G92&gt;0, H92/G92, 0),"-")</f>
        <v>0.33333333333333331</v>
      </c>
      <c r="K92" s="18">
        <v>13</v>
      </c>
      <c r="L92" s="19">
        <v>8</v>
      </c>
      <c r="M92" s="18">
        <f>IF(OR(L92="-",L92="",L92=0),IF(K92="-","-",K92),K92-L92)</f>
        <v>5</v>
      </c>
      <c r="N92" s="20">
        <f>IFERROR(IF(K92&gt;0, L92/K92, 0),"-")</f>
        <v>0.61538461538461542</v>
      </c>
      <c r="O92" s="18">
        <v>17</v>
      </c>
      <c r="P92" s="19">
        <v>4</v>
      </c>
      <c r="Q92" s="18">
        <f>IF(OR(P92="-",P92="",P92=0),IF(O92="-","-",O92),O92-P92)</f>
        <v>13</v>
      </c>
      <c r="R92" s="20">
        <f>IFERROR(IF(O92&gt;0, P92/O92, 0),"-")</f>
        <v>0.23529411764705882</v>
      </c>
      <c r="S92" s="18">
        <v>1069</v>
      </c>
      <c r="T92" s="18">
        <v>22</v>
      </c>
      <c r="U92" s="18">
        <v>133823</v>
      </c>
      <c r="V92" s="19">
        <v>20</v>
      </c>
      <c r="W92" s="19">
        <v>376517</v>
      </c>
      <c r="X92" s="24">
        <f>RANK(F92,$F$57:$F$183,0)</f>
        <v>36</v>
      </c>
      <c r="Y92" s="3" t="str">
        <f>IF(OR(ISERROR(F92),F92="-",NOT(ISNUMBER(F92))),"● N/A",IF(ROUND(F92, 4) &gt;= ROUND($F$184, 4),"▲ Above Average","▼ Below Average"))</f>
        <v>▲ Above Average</v>
      </c>
    </row>
    <row r="93" spans="2:25" x14ac:dyDescent="0.2">
      <c r="B93" s="17" t="s">
        <v>14</v>
      </c>
      <c r="C93" s="18">
        <v>1502</v>
      </c>
      <c r="D93" s="19">
        <v>1479</v>
      </c>
      <c r="E93" s="18">
        <f>IF(OR(D93="-",D93="",D93=0),IF(C93="-","-",C93),C93-D93)</f>
        <v>23</v>
      </c>
      <c r="F93" s="20">
        <f>IFERROR(IF(C93&gt;0, D93/C93, 0),"-")</f>
        <v>0.98468708388814918</v>
      </c>
      <c r="G93" s="18">
        <v>20</v>
      </c>
      <c r="H93" s="19">
        <v>14</v>
      </c>
      <c r="I93" s="18">
        <f>IF(OR(H93="-",H93="",H93=0),IF(G93="-","-",G93),G93-H93)</f>
        <v>6</v>
      </c>
      <c r="J93" s="20">
        <f>IFERROR(IF(G93&gt;0, H93/G93, 0),"-")</f>
        <v>0.7</v>
      </c>
      <c r="K93" s="18">
        <v>13</v>
      </c>
      <c r="L93" s="19">
        <v>5</v>
      </c>
      <c r="M93" s="18">
        <f>IF(OR(L93="-",L93="",L93=0),IF(K93="-","-",K93),K93-L93)</f>
        <v>8</v>
      </c>
      <c r="N93" s="20">
        <f>IFERROR(IF(K93&gt;0, L93/K93, 0),"-")</f>
        <v>0.38461538461538464</v>
      </c>
      <c r="O93" s="18">
        <v>13</v>
      </c>
      <c r="P93" s="19">
        <v>6</v>
      </c>
      <c r="Q93" s="18">
        <f>IF(OR(P93="-",P93="",P93=0),IF(O93="-","-",O93),O93-P93)</f>
        <v>7</v>
      </c>
      <c r="R93" s="20">
        <f>IFERROR(IF(O93&gt;0, P93/O93, 0),"-")</f>
        <v>0.46153846153846156</v>
      </c>
      <c r="S93" s="18">
        <v>907</v>
      </c>
      <c r="T93" s="18">
        <v>20</v>
      </c>
      <c r="U93" s="18">
        <v>39975</v>
      </c>
      <c r="V93" s="19">
        <v>18</v>
      </c>
      <c r="W93" s="19">
        <v>438373</v>
      </c>
      <c r="X93" s="24">
        <f>RANK(F93,$F$57:$F$183,0)</f>
        <v>37</v>
      </c>
      <c r="Y93" s="3" t="str">
        <f>IF(OR(ISERROR(F93),F93="-",NOT(ISNUMBER(F93))),"● N/A",IF(ROUND(F93, 4) &gt;= ROUND($F$184, 4),"▲ Above Average","▼ Below Average"))</f>
        <v>▲ Above Average</v>
      </c>
    </row>
    <row r="94" spans="2:25" x14ac:dyDescent="0.2">
      <c r="B94" s="17" t="s">
        <v>119</v>
      </c>
      <c r="C94" s="18">
        <v>1361</v>
      </c>
      <c r="D94" s="19">
        <v>1340</v>
      </c>
      <c r="E94" s="18">
        <f>IF(OR(D94="-",D94="",D94=0),IF(C94="-","-",C94),C94-D94)</f>
        <v>21</v>
      </c>
      <c r="F94" s="20">
        <f>IFERROR(IF(C94&gt;0, D94/C94, 0),"-")</f>
        <v>0.98457016899338723</v>
      </c>
      <c r="G94" s="18">
        <v>21</v>
      </c>
      <c r="H94" s="19">
        <v>10</v>
      </c>
      <c r="I94" s="18">
        <f>IF(OR(H94="-",H94="",H94=0),IF(G94="-","-",G94),G94-H94)</f>
        <v>11</v>
      </c>
      <c r="J94" s="20">
        <f>IFERROR(IF(G94&gt;0, H94/G94, 0),"-")</f>
        <v>0.47619047619047616</v>
      </c>
      <c r="K94" s="18">
        <v>29</v>
      </c>
      <c r="L94" s="19">
        <v>11</v>
      </c>
      <c r="M94" s="18">
        <f>IF(OR(L94="-",L94="",L94=0),IF(K94="-","-",K94),K94-L94)</f>
        <v>18</v>
      </c>
      <c r="N94" s="20">
        <f>IFERROR(IF(K94&gt;0, L94/K94, 0),"-")</f>
        <v>0.37931034482758619</v>
      </c>
      <c r="O94" s="18">
        <v>30</v>
      </c>
      <c r="P94" s="19">
        <v>4</v>
      </c>
      <c r="Q94" s="18">
        <f>IF(OR(P94="-",P94="",P94=0),IF(O94="-","-",O94),O94-P94)</f>
        <v>26</v>
      </c>
      <c r="R94" s="20">
        <f>IFERROR(IF(O94&gt;0, P94/O94, 0),"-")</f>
        <v>0.13333333333333333</v>
      </c>
      <c r="S94" s="18">
        <v>1797</v>
      </c>
      <c r="T94" s="18">
        <v>12</v>
      </c>
      <c r="U94" s="18">
        <v>58400</v>
      </c>
      <c r="V94" s="19">
        <v>3</v>
      </c>
      <c r="W94" s="19">
        <v>47680</v>
      </c>
      <c r="X94" s="24">
        <f>RANK(F94,$F$57:$F$183,0)</f>
        <v>38</v>
      </c>
      <c r="Y94" s="3" t="str">
        <f>IF(OR(ISERROR(F94),F94="-",NOT(ISNUMBER(F94))),"● N/A",IF(ROUND(F94, 4) &gt;= ROUND($F$184, 4),"▲ Above Average","▼ Below Average"))</f>
        <v>▲ Above Average</v>
      </c>
    </row>
    <row r="95" spans="2:25" x14ac:dyDescent="0.2">
      <c r="B95" s="17" t="s">
        <v>134</v>
      </c>
      <c r="C95" s="18">
        <v>1088</v>
      </c>
      <c r="D95" s="19">
        <v>1071</v>
      </c>
      <c r="E95" s="18">
        <f>IF(OR(D95="-",D95="",D95=0),IF(C95="-","-",C95),C95-D95)</f>
        <v>17</v>
      </c>
      <c r="F95" s="20">
        <f>IFERROR(IF(C95&gt;0, D95/C95, 0),"-")</f>
        <v>0.984375</v>
      </c>
      <c r="G95" s="18">
        <v>6</v>
      </c>
      <c r="H95" s="19">
        <v>2</v>
      </c>
      <c r="I95" s="18">
        <f>IF(OR(H95="-",H95="",H95=0),IF(G95="-","-",G95),G95-H95)</f>
        <v>4</v>
      </c>
      <c r="J95" s="20">
        <f>IFERROR(IF(G95&gt;0, H95/G95, 0),"-")</f>
        <v>0.33333333333333331</v>
      </c>
      <c r="K95" s="18">
        <v>13</v>
      </c>
      <c r="L95" s="19">
        <v>5</v>
      </c>
      <c r="M95" s="18">
        <f>IF(OR(L95="-",L95="",L95=0),IF(K95="-","-",K95),K95-L95)</f>
        <v>8</v>
      </c>
      <c r="N95" s="20">
        <f>IFERROR(IF(K95&gt;0, L95/K95, 0),"-")</f>
        <v>0.38461538461538464</v>
      </c>
      <c r="O95" s="18">
        <v>22</v>
      </c>
      <c r="P95" s="19">
        <v>2</v>
      </c>
      <c r="Q95" s="18">
        <f>IF(OR(P95="-",P95="",P95=0),IF(O95="-","-",O95),O95-P95)</f>
        <v>20</v>
      </c>
      <c r="R95" s="20">
        <f>IFERROR(IF(O95&gt;0, P95/O95, 0),"-")</f>
        <v>9.0909090909090912E-2</v>
      </c>
      <c r="S95" s="18">
        <v>774</v>
      </c>
      <c r="T95" s="18">
        <v>20</v>
      </c>
      <c r="U95" s="18">
        <v>68955</v>
      </c>
      <c r="V95" s="19">
        <v>2</v>
      </c>
      <c r="W95" s="19">
        <v>53436</v>
      </c>
      <c r="X95" s="24">
        <f>RANK(F95,$F$57:$F$183,0)</f>
        <v>39</v>
      </c>
      <c r="Y95" s="3" t="str">
        <f>IF(OR(ISERROR(F95),F95="-",NOT(ISNUMBER(F95))),"● N/A",IF(ROUND(F95, 4) &gt;= ROUND($F$184, 4),"▲ Above Average","▼ Below Average"))</f>
        <v>▲ Above Average</v>
      </c>
    </row>
    <row r="96" spans="2:25" x14ac:dyDescent="0.2">
      <c r="B96" s="17" t="s">
        <v>58</v>
      </c>
      <c r="C96" s="18">
        <v>763</v>
      </c>
      <c r="D96" s="19">
        <v>751</v>
      </c>
      <c r="E96" s="18">
        <f>IF(OR(D96="-",D96="",D96=0),IF(C96="-","-",C96),C96-D96)</f>
        <v>12</v>
      </c>
      <c r="F96" s="20">
        <f>IFERROR(IF(C96&gt;0, D96/C96, 0),"-")</f>
        <v>0.98427260812581918</v>
      </c>
      <c r="G96" s="18">
        <v>7</v>
      </c>
      <c r="H96" s="19">
        <v>3</v>
      </c>
      <c r="I96" s="18">
        <f>IF(OR(H96="-",H96="",H96=0),IF(G96="-","-",G96),G96-H96)</f>
        <v>4</v>
      </c>
      <c r="J96" s="20">
        <f>IFERROR(IF(G96&gt;0, H96/G96, 0),"-")</f>
        <v>0.42857142857142855</v>
      </c>
      <c r="K96" s="18">
        <v>6</v>
      </c>
      <c r="L96" s="19" t="s">
        <v>959</v>
      </c>
      <c r="M96" s="18">
        <f>IF(OR(L96="-",L96="",L96=0),IF(K96="-","-",K96),K96-L96)</f>
        <v>6</v>
      </c>
      <c r="N96" s="20" t="str">
        <f>IFERROR(IF(K96&gt;0, L96/K96, 0),"-")</f>
        <v>-</v>
      </c>
      <c r="O96" s="18">
        <v>4</v>
      </c>
      <c r="P96" s="19">
        <v>1</v>
      </c>
      <c r="Q96" s="18">
        <f>IF(OR(P96="-",P96="",P96=0),IF(O96="-","-",O96),O96-P96)</f>
        <v>3</v>
      </c>
      <c r="R96" s="20">
        <f>IFERROR(IF(O96&gt;0, P96/O96, 0),"-")</f>
        <v>0.25</v>
      </c>
      <c r="S96" s="18">
        <v>490</v>
      </c>
      <c r="T96" s="18">
        <v>7</v>
      </c>
      <c r="U96" s="18">
        <v>28770</v>
      </c>
      <c r="V96" s="19">
        <v>3</v>
      </c>
      <c r="W96" s="19">
        <v>46782</v>
      </c>
      <c r="X96" s="24">
        <f>RANK(F96,$F$57:$F$183,0)</f>
        <v>40</v>
      </c>
      <c r="Y96" s="3" t="str">
        <f>IF(OR(ISERROR(F96),F96="-",NOT(ISNUMBER(F96))),"● N/A",IF(ROUND(F96, 4) &gt;= ROUND($F$184, 4),"▲ Above Average","▼ Below Average"))</f>
        <v>▲ Above Average</v>
      </c>
    </row>
    <row r="97" spans="2:25" x14ac:dyDescent="0.2">
      <c r="B97" s="17" t="s">
        <v>93</v>
      </c>
      <c r="C97" s="18">
        <v>1130</v>
      </c>
      <c r="D97" s="19">
        <v>1112</v>
      </c>
      <c r="E97" s="18">
        <f>IF(OR(D97="-",D97="",D97=0),IF(C97="-","-",C97),C97-D97)</f>
        <v>18</v>
      </c>
      <c r="F97" s="20">
        <f>IFERROR(IF(C97&gt;0, D97/C97, 0),"-")</f>
        <v>0.98407079646017703</v>
      </c>
      <c r="G97" s="18">
        <v>8</v>
      </c>
      <c r="H97" s="19">
        <v>1</v>
      </c>
      <c r="I97" s="18">
        <f>IF(OR(H97="-",H97="",H97=0),IF(G97="-","-",G97),G97-H97)</f>
        <v>7</v>
      </c>
      <c r="J97" s="20">
        <f>IFERROR(IF(G97&gt;0, H97/G97, 0),"-")</f>
        <v>0.125</v>
      </c>
      <c r="K97" s="18">
        <v>6</v>
      </c>
      <c r="L97" s="19" t="s">
        <v>959</v>
      </c>
      <c r="M97" s="18">
        <f>IF(OR(L97="-",L97="",L97=0),IF(K97="-","-",K97),K97-L97)</f>
        <v>6</v>
      </c>
      <c r="N97" s="20" t="str">
        <f>IFERROR(IF(K97&gt;0, L97/K97, 0),"-")</f>
        <v>-</v>
      </c>
      <c r="O97" s="18">
        <v>14</v>
      </c>
      <c r="P97" s="19">
        <v>2</v>
      </c>
      <c r="Q97" s="18">
        <f>IF(OR(P97="-",P97="",P97=0),IF(O97="-","-",O97),O97-P97)</f>
        <v>12</v>
      </c>
      <c r="R97" s="20">
        <f>IFERROR(IF(O97&gt;0, P97/O97, 0),"-")</f>
        <v>0.14285714285714285</v>
      </c>
      <c r="S97" s="18">
        <v>1214</v>
      </c>
      <c r="T97" s="18">
        <v>35</v>
      </c>
      <c r="U97" s="18">
        <v>61320</v>
      </c>
      <c r="V97" s="19">
        <v>1</v>
      </c>
      <c r="W97" s="19">
        <v>56879</v>
      </c>
      <c r="X97" s="24">
        <f>RANK(F97,$F$57:$F$183,0)</f>
        <v>41</v>
      </c>
      <c r="Y97" s="3" t="str">
        <f>IF(OR(ISERROR(F97),F97="-",NOT(ISNUMBER(F97))),"● N/A",IF(ROUND(F97, 4) &gt;= ROUND($F$184, 4),"▲ Above Average","▼ Below Average"))</f>
        <v>▲ Above Average</v>
      </c>
    </row>
    <row r="98" spans="2:25" x14ac:dyDescent="0.2">
      <c r="B98" s="17" t="s">
        <v>45</v>
      </c>
      <c r="C98" s="18">
        <v>1420</v>
      </c>
      <c r="D98" s="19">
        <v>1397</v>
      </c>
      <c r="E98" s="18">
        <f>IF(OR(D98="-",D98="",D98=0),IF(C98="-","-",C98),C98-D98)</f>
        <v>23</v>
      </c>
      <c r="F98" s="20">
        <f>IFERROR(IF(C98&gt;0, D98/C98, 0),"-")</f>
        <v>0.98380281690140847</v>
      </c>
      <c r="G98" s="18">
        <v>24</v>
      </c>
      <c r="H98" s="19">
        <v>14</v>
      </c>
      <c r="I98" s="18">
        <f>IF(OR(H98="-",H98="",H98=0),IF(G98="-","-",G98),G98-H98)</f>
        <v>10</v>
      </c>
      <c r="J98" s="20">
        <f>IFERROR(IF(G98&gt;0, H98/G98, 0),"-")</f>
        <v>0.58333333333333337</v>
      </c>
      <c r="K98" s="18">
        <v>27</v>
      </c>
      <c r="L98" s="19">
        <v>11</v>
      </c>
      <c r="M98" s="18">
        <f>IF(OR(L98="-",L98="",L98=0),IF(K98="-","-",K98),K98-L98)</f>
        <v>16</v>
      </c>
      <c r="N98" s="20">
        <f>IFERROR(IF(K98&gt;0, L98/K98, 0),"-")</f>
        <v>0.40740740740740738</v>
      </c>
      <c r="O98" s="18">
        <v>32</v>
      </c>
      <c r="P98" s="19">
        <v>9</v>
      </c>
      <c r="Q98" s="18">
        <f>IF(OR(P98="-",P98="",P98=0),IF(O98="-","-",O98),O98-P98)</f>
        <v>23</v>
      </c>
      <c r="R98" s="20">
        <f>IFERROR(IF(O98&gt;0, P98/O98, 0),"-")</f>
        <v>0.28125</v>
      </c>
      <c r="S98" s="18">
        <v>1574</v>
      </c>
      <c r="T98" s="18">
        <v>55</v>
      </c>
      <c r="U98" s="18">
        <v>140694</v>
      </c>
      <c r="V98" s="19">
        <v>19</v>
      </c>
      <c r="W98" s="19">
        <v>464645</v>
      </c>
      <c r="X98" s="24">
        <f>RANK(F98,$F$57:$F$183,0)</f>
        <v>42</v>
      </c>
      <c r="Y98" s="3" t="str">
        <f>IF(OR(ISERROR(F98),F98="-",NOT(ISNUMBER(F98))),"● N/A",IF(ROUND(F98, 4) &gt;= ROUND($F$184, 4),"▲ Above Average","▼ Below Average"))</f>
        <v>▲ Above Average</v>
      </c>
    </row>
    <row r="99" spans="2:25" x14ac:dyDescent="0.2">
      <c r="B99" s="17" t="s">
        <v>82</v>
      </c>
      <c r="C99" s="18">
        <v>740</v>
      </c>
      <c r="D99" s="19">
        <v>728</v>
      </c>
      <c r="E99" s="18">
        <f>IF(OR(D99="-",D99="",D99=0),IF(C99="-","-",C99),C99-D99)</f>
        <v>12</v>
      </c>
      <c r="F99" s="20">
        <f>IFERROR(IF(C99&gt;0, D99/C99, 0),"-")</f>
        <v>0.98378378378378384</v>
      </c>
      <c r="G99" s="18">
        <v>17</v>
      </c>
      <c r="H99" s="19">
        <v>4</v>
      </c>
      <c r="I99" s="18">
        <f>IF(OR(H99="-",H99="",H99=0),IF(G99="-","-",G99),G99-H99)</f>
        <v>13</v>
      </c>
      <c r="J99" s="20">
        <f>IFERROR(IF(G99&gt;0, H99/G99, 0),"-")</f>
        <v>0.23529411764705882</v>
      </c>
      <c r="K99" s="18">
        <v>3</v>
      </c>
      <c r="L99" s="19">
        <v>1</v>
      </c>
      <c r="M99" s="18">
        <f>IF(OR(L99="-",L99="",L99=0),IF(K99="-","-",K99),K99-L99)</f>
        <v>2</v>
      </c>
      <c r="N99" s="20">
        <f>IFERROR(IF(K99&gt;0, L99/K99, 0),"-")</f>
        <v>0.33333333333333331</v>
      </c>
      <c r="O99" s="18">
        <v>5</v>
      </c>
      <c r="P99" s="19">
        <v>1</v>
      </c>
      <c r="Q99" s="18">
        <f>IF(OR(P99="-",P99="",P99=0),IF(O99="-","-",O99),O99-P99)</f>
        <v>4</v>
      </c>
      <c r="R99" s="20">
        <f>IFERROR(IF(O99&gt;0, P99/O99, 0),"-")</f>
        <v>0.2</v>
      </c>
      <c r="S99" s="18">
        <v>61</v>
      </c>
      <c r="T99" s="18">
        <v>3</v>
      </c>
      <c r="U99" s="18">
        <v>8095</v>
      </c>
      <c r="V99" s="19" t="s">
        <v>959</v>
      </c>
      <c r="W99" s="19" t="s">
        <v>959</v>
      </c>
      <c r="X99" s="24">
        <f>RANK(F99,$F$57:$F$183,0)</f>
        <v>43</v>
      </c>
      <c r="Y99" s="3" t="str">
        <f>IF(OR(ISERROR(F99),F99="-",NOT(ISNUMBER(F99))),"● N/A",IF(ROUND(F99, 4) &gt;= ROUND($F$184, 4),"▲ Above Average","▼ Below Average"))</f>
        <v>▲ Above Average</v>
      </c>
    </row>
    <row r="100" spans="2:25" x14ac:dyDescent="0.2">
      <c r="B100" s="17" t="s">
        <v>64</v>
      </c>
      <c r="C100" s="18">
        <v>966</v>
      </c>
      <c r="D100" s="19">
        <v>950</v>
      </c>
      <c r="E100" s="18">
        <f>IF(OR(D100="-",D100="",D100=0),IF(C100="-","-",C100),C100-D100)</f>
        <v>16</v>
      </c>
      <c r="F100" s="20">
        <f>IFERROR(IF(C100&gt;0, D100/C100, 0),"-")</f>
        <v>0.9834368530020704</v>
      </c>
      <c r="G100" s="18" t="s">
        <v>959</v>
      </c>
      <c r="H100" s="19" t="s">
        <v>959</v>
      </c>
      <c r="I100" s="18" t="str">
        <f>IF(OR(H100="-",H100="",H100=0),IF(G100="-","-",G100),G100-H100)</f>
        <v>-</v>
      </c>
      <c r="J100" s="20" t="str">
        <f>IFERROR(IF(G100&gt;0, H100/G100, 0),"-")</f>
        <v>-</v>
      </c>
      <c r="K100" s="18">
        <v>1</v>
      </c>
      <c r="L100" s="19">
        <v>1</v>
      </c>
      <c r="M100" s="18">
        <f>IF(OR(L100="-",L100="",L100=0),IF(K100="-","-",K100),K100-L100)</f>
        <v>0</v>
      </c>
      <c r="N100" s="20">
        <f>IFERROR(IF(K100&gt;0, L100/K100, 0),"-")</f>
        <v>1</v>
      </c>
      <c r="O100" s="18">
        <v>9</v>
      </c>
      <c r="P100" s="19">
        <v>1</v>
      </c>
      <c r="Q100" s="18">
        <f>IF(OR(P100="-",P100="",P100=0),IF(O100="-","-",O100),O100-P100)</f>
        <v>8</v>
      </c>
      <c r="R100" s="20">
        <f>IFERROR(IF(O100&gt;0, P100/O100, 0),"-")</f>
        <v>0.1111111111111111</v>
      </c>
      <c r="S100" s="18">
        <v>374</v>
      </c>
      <c r="T100" s="18">
        <v>2</v>
      </c>
      <c r="U100" s="18">
        <v>12120</v>
      </c>
      <c r="V100" s="19">
        <v>1</v>
      </c>
      <c r="W100" s="19">
        <v>39809</v>
      </c>
      <c r="X100" s="24">
        <f>RANK(F100,$F$57:$F$183,0)</f>
        <v>44</v>
      </c>
      <c r="Y100" s="3" t="str">
        <f>IF(OR(ISERROR(F100),F100="-",NOT(ISNUMBER(F100))),"● N/A",IF(ROUND(F100, 4) &gt;= ROUND($F$184, 4),"▲ Above Average","▼ Below Average"))</f>
        <v>▲ Above Average</v>
      </c>
    </row>
    <row r="101" spans="2:25" x14ac:dyDescent="0.2">
      <c r="B101" s="17" t="s">
        <v>5</v>
      </c>
      <c r="C101" s="18">
        <v>1202</v>
      </c>
      <c r="D101" s="19">
        <v>1182</v>
      </c>
      <c r="E101" s="18">
        <f>IF(OR(D101="-",D101="",D101=0),IF(C101="-","-",C101),C101-D101)</f>
        <v>20</v>
      </c>
      <c r="F101" s="20">
        <f>IFERROR(IF(C101&gt;0, D101/C101, 0),"-")</f>
        <v>0.98336106489184694</v>
      </c>
      <c r="G101" s="18">
        <v>10</v>
      </c>
      <c r="H101" s="19">
        <v>3</v>
      </c>
      <c r="I101" s="18">
        <f>IF(OR(H101="-",H101="",H101=0),IF(G101="-","-",G101),G101-H101)</f>
        <v>7</v>
      </c>
      <c r="J101" s="20">
        <f>IFERROR(IF(G101&gt;0, H101/G101, 0),"-")</f>
        <v>0.3</v>
      </c>
      <c r="K101" s="18">
        <v>15</v>
      </c>
      <c r="L101" s="19">
        <v>9</v>
      </c>
      <c r="M101" s="18">
        <f>IF(OR(L101="-",L101="",L101=0),IF(K101="-","-",K101),K101-L101)</f>
        <v>6</v>
      </c>
      <c r="N101" s="20">
        <f>IFERROR(IF(K101&gt;0, L101/K101, 0),"-")</f>
        <v>0.6</v>
      </c>
      <c r="O101" s="18">
        <v>23</v>
      </c>
      <c r="P101" s="19">
        <v>8</v>
      </c>
      <c r="Q101" s="18">
        <f>IF(OR(P101="-",P101="",P101=0),IF(O101="-","-",O101),O101-P101)</f>
        <v>15</v>
      </c>
      <c r="R101" s="20">
        <f>IFERROR(IF(O101&gt;0, P101/O101, 0),"-")</f>
        <v>0.34782608695652173</v>
      </c>
      <c r="S101" s="18">
        <v>1358</v>
      </c>
      <c r="T101" s="18">
        <v>10</v>
      </c>
      <c r="U101" s="18">
        <v>23430</v>
      </c>
      <c r="V101" s="19">
        <v>7</v>
      </c>
      <c r="W101" s="19">
        <v>124439</v>
      </c>
      <c r="X101" s="24">
        <f>RANK(F101,$F$57:$F$183,0)</f>
        <v>45</v>
      </c>
      <c r="Y101" s="3" t="str">
        <f>IF(OR(ISERROR(F101),F101="-",NOT(ISNUMBER(F101))),"● N/A",IF(ROUND(F101, 4) &gt;= ROUND($F$184, 4),"▲ Above Average","▼ Below Average"))</f>
        <v>▲ Above Average</v>
      </c>
    </row>
    <row r="102" spans="2:25" x14ac:dyDescent="0.2">
      <c r="B102" s="17" t="s">
        <v>78</v>
      </c>
      <c r="C102" s="18">
        <v>1141</v>
      </c>
      <c r="D102" s="19">
        <v>1122</v>
      </c>
      <c r="E102" s="18">
        <f>IF(OR(D102="-",D102="",D102=0),IF(C102="-","-",C102),C102-D102)</f>
        <v>19</v>
      </c>
      <c r="F102" s="20">
        <f>IFERROR(IF(C102&gt;0, D102/C102, 0),"-")</f>
        <v>0.9833479404031551</v>
      </c>
      <c r="G102" s="18">
        <v>20</v>
      </c>
      <c r="H102" s="19">
        <v>7</v>
      </c>
      <c r="I102" s="18">
        <f>IF(OR(H102="-",H102="",H102=0),IF(G102="-","-",G102),G102-H102)</f>
        <v>13</v>
      </c>
      <c r="J102" s="20">
        <f>IFERROR(IF(G102&gt;0, H102/G102, 0),"-")</f>
        <v>0.35</v>
      </c>
      <c r="K102" s="18">
        <v>19</v>
      </c>
      <c r="L102" s="19">
        <v>5</v>
      </c>
      <c r="M102" s="18">
        <f>IF(OR(L102="-",L102="",L102=0),IF(K102="-","-",K102),K102-L102)</f>
        <v>14</v>
      </c>
      <c r="N102" s="20">
        <f>IFERROR(IF(K102&gt;0, L102/K102, 0),"-")</f>
        <v>0.26315789473684209</v>
      </c>
      <c r="O102" s="18">
        <v>25</v>
      </c>
      <c r="P102" s="19">
        <v>3</v>
      </c>
      <c r="Q102" s="18">
        <f>IF(OR(P102="-",P102="",P102=0),IF(O102="-","-",O102),O102-P102)</f>
        <v>22</v>
      </c>
      <c r="R102" s="20">
        <f>IFERROR(IF(O102&gt;0, P102/O102, 0),"-")</f>
        <v>0.12</v>
      </c>
      <c r="S102" s="18">
        <v>842</v>
      </c>
      <c r="T102" s="18">
        <v>15</v>
      </c>
      <c r="U102" s="18">
        <v>72170</v>
      </c>
      <c r="V102" s="19">
        <v>13</v>
      </c>
      <c r="W102" s="19">
        <v>201234</v>
      </c>
      <c r="X102" s="24">
        <f>RANK(F102,$F$57:$F$183,0)</f>
        <v>46</v>
      </c>
      <c r="Y102" s="3" t="str">
        <f>IF(OR(ISERROR(F102),F102="-",NOT(ISNUMBER(F102))),"● N/A",IF(ROUND(F102, 4) &gt;= ROUND($F$184, 4),"▲ Above Average","▼ Below Average"))</f>
        <v>▲ Above Average</v>
      </c>
    </row>
    <row r="103" spans="2:25" x14ac:dyDescent="0.2">
      <c r="B103" s="17" t="s">
        <v>19</v>
      </c>
      <c r="C103" s="18">
        <v>1080</v>
      </c>
      <c r="D103" s="19">
        <v>1062</v>
      </c>
      <c r="E103" s="18">
        <f>IF(OR(D103="-",D103="",D103=0),IF(C103="-","-",C103),C103-D103)</f>
        <v>18</v>
      </c>
      <c r="F103" s="20">
        <f>IFERROR(IF(C103&gt;0, D103/C103, 0),"-")</f>
        <v>0.98333333333333328</v>
      </c>
      <c r="G103" s="18">
        <v>7</v>
      </c>
      <c r="H103" s="19">
        <v>3</v>
      </c>
      <c r="I103" s="18">
        <f>IF(OR(H103="-",H103="",H103=0),IF(G103="-","-",G103),G103-H103)</f>
        <v>4</v>
      </c>
      <c r="J103" s="20">
        <f>IFERROR(IF(G103&gt;0, H103/G103, 0),"-")</f>
        <v>0.42857142857142855</v>
      </c>
      <c r="K103" s="18">
        <v>5</v>
      </c>
      <c r="L103" s="19">
        <v>1</v>
      </c>
      <c r="M103" s="18">
        <f>IF(OR(L103="-",L103="",L103=0),IF(K103="-","-",K103),K103-L103)</f>
        <v>4</v>
      </c>
      <c r="N103" s="20">
        <f>IFERROR(IF(K103&gt;0, L103/K103, 0),"-")</f>
        <v>0.2</v>
      </c>
      <c r="O103" s="18">
        <v>14</v>
      </c>
      <c r="P103" s="19">
        <v>2</v>
      </c>
      <c r="Q103" s="18">
        <f>IF(OR(P103="-",P103="",P103=0),IF(O103="-","-",O103),O103-P103)</f>
        <v>12</v>
      </c>
      <c r="R103" s="20">
        <f>IFERROR(IF(O103&gt;0, P103/O103, 0),"-")</f>
        <v>0.14285714285714285</v>
      </c>
      <c r="S103" s="18">
        <v>3068</v>
      </c>
      <c r="T103" s="18">
        <v>23</v>
      </c>
      <c r="U103" s="18">
        <v>45395</v>
      </c>
      <c r="V103" s="19">
        <v>10</v>
      </c>
      <c r="W103" s="19">
        <v>127743</v>
      </c>
      <c r="X103" s="24">
        <f>RANK(F103,$F$57:$F$183,0)</f>
        <v>47</v>
      </c>
      <c r="Y103" s="3" t="str">
        <f>IF(OR(ISERROR(F103),F103="-",NOT(ISNUMBER(F103))),"● N/A",IF(ROUND(F103, 4) &gt;= ROUND($F$184, 4),"▲ Above Average","▼ Below Average"))</f>
        <v>▲ Above Average</v>
      </c>
    </row>
    <row r="104" spans="2:25" x14ac:dyDescent="0.2">
      <c r="B104" s="17" t="s">
        <v>86</v>
      </c>
      <c r="C104" s="18">
        <v>1917</v>
      </c>
      <c r="D104" s="19">
        <v>1885</v>
      </c>
      <c r="E104" s="18">
        <f>IF(OR(D104="-",D104="",D104=0),IF(C104="-","-",C104),C104-D104)</f>
        <v>32</v>
      </c>
      <c r="F104" s="20">
        <f>IFERROR(IF(C104&gt;0, D104/C104, 0),"-")</f>
        <v>0.98330725091288473</v>
      </c>
      <c r="G104" s="18">
        <v>17</v>
      </c>
      <c r="H104" s="19">
        <v>5</v>
      </c>
      <c r="I104" s="18">
        <f>IF(OR(H104="-",H104="",H104=0),IF(G104="-","-",G104),G104-H104)</f>
        <v>12</v>
      </c>
      <c r="J104" s="20">
        <f>IFERROR(IF(G104&gt;0, H104/G104, 0),"-")</f>
        <v>0.29411764705882354</v>
      </c>
      <c r="K104" s="18">
        <v>16</v>
      </c>
      <c r="L104" s="19">
        <v>4</v>
      </c>
      <c r="M104" s="18">
        <f>IF(OR(L104="-",L104="",L104=0),IF(K104="-","-",K104),K104-L104)</f>
        <v>12</v>
      </c>
      <c r="N104" s="20">
        <f>IFERROR(IF(K104&gt;0, L104/K104, 0),"-")</f>
        <v>0.25</v>
      </c>
      <c r="O104" s="18">
        <v>18</v>
      </c>
      <c r="P104" s="19">
        <v>4</v>
      </c>
      <c r="Q104" s="18">
        <f>IF(OR(P104="-",P104="",P104=0),IF(O104="-","-",O104),O104-P104)</f>
        <v>14</v>
      </c>
      <c r="R104" s="20">
        <f>IFERROR(IF(O104&gt;0, P104/O104, 0),"-")</f>
        <v>0.22222222222222221</v>
      </c>
      <c r="S104" s="18">
        <v>617</v>
      </c>
      <c r="T104" s="18">
        <v>27</v>
      </c>
      <c r="U104" s="18">
        <v>61844</v>
      </c>
      <c r="V104" s="19">
        <v>8</v>
      </c>
      <c r="W104" s="19">
        <v>161119</v>
      </c>
      <c r="X104" s="24">
        <f>RANK(F104,$F$57:$F$183,0)</f>
        <v>48</v>
      </c>
      <c r="Y104" s="3" t="str">
        <f>IF(OR(ISERROR(F104),F104="-",NOT(ISNUMBER(F104))),"● N/A",IF(ROUND(F104, 4) &gt;= ROUND($F$184, 4),"▲ Above Average","▼ Below Average"))</f>
        <v>▲ Above Average</v>
      </c>
    </row>
    <row r="105" spans="2:25" x14ac:dyDescent="0.2">
      <c r="B105" s="17" t="s">
        <v>72</v>
      </c>
      <c r="C105" s="18">
        <v>1198</v>
      </c>
      <c r="D105" s="19">
        <v>1178</v>
      </c>
      <c r="E105" s="18">
        <f>IF(OR(D105="-",D105="",D105=0),IF(C105="-","-",C105),C105-D105)</f>
        <v>20</v>
      </c>
      <c r="F105" s="20">
        <f>IFERROR(IF(C105&gt;0, D105/C105, 0),"-")</f>
        <v>0.98330550918196991</v>
      </c>
      <c r="G105" s="18">
        <v>6</v>
      </c>
      <c r="H105" s="19">
        <v>1</v>
      </c>
      <c r="I105" s="18">
        <f>IF(OR(H105="-",H105="",H105=0),IF(G105="-","-",G105),G105-H105)</f>
        <v>5</v>
      </c>
      <c r="J105" s="20">
        <f>IFERROR(IF(G105&gt;0, H105/G105, 0),"-")</f>
        <v>0.16666666666666666</v>
      </c>
      <c r="K105" s="18">
        <v>11</v>
      </c>
      <c r="L105" s="19">
        <v>4</v>
      </c>
      <c r="M105" s="18">
        <f>IF(OR(L105="-",L105="",L105=0),IF(K105="-","-",K105),K105-L105)</f>
        <v>7</v>
      </c>
      <c r="N105" s="20">
        <f>IFERROR(IF(K105&gt;0, L105/K105, 0),"-")</f>
        <v>0.36363636363636365</v>
      </c>
      <c r="O105" s="18">
        <v>21</v>
      </c>
      <c r="P105" s="19">
        <v>1</v>
      </c>
      <c r="Q105" s="18">
        <f>IF(OR(P105="-",P105="",P105=0),IF(O105="-","-",O105),O105-P105)</f>
        <v>20</v>
      </c>
      <c r="R105" s="20">
        <f>IFERROR(IF(O105&gt;0, P105/O105, 0),"-")</f>
        <v>4.7619047619047616E-2</v>
      </c>
      <c r="S105" s="18">
        <v>859</v>
      </c>
      <c r="T105" s="18">
        <v>13</v>
      </c>
      <c r="U105" s="18">
        <v>78920</v>
      </c>
      <c r="V105" s="19">
        <v>6</v>
      </c>
      <c r="W105" s="19">
        <v>170051</v>
      </c>
      <c r="X105" s="24">
        <f>RANK(F105,$F$57:$F$183,0)</f>
        <v>49</v>
      </c>
      <c r="Y105" s="3" t="str">
        <f>IF(OR(ISERROR(F105),F105="-",NOT(ISNUMBER(F105))),"● N/A",IF(ROUND(F105, 4) &gt;= ROUND($F$184, 4),"▲ Above Average","▼ Below Average"))</f>
        <v>▲ Above Average</v>
      </c>
    </row>
    <row r="106" spans="2:25" x14ac:dyDescent="0.2">
      <c r="B106" s="17" t="s">
        <v>115</v>
      </c>
      <c r="C106" s="18">
        <v>816</v>
      </c>
      <c r="D106" s="19">
        <v>802</v>
      </c>
      <c r="E106" s="18">
        <f>IF(OR(D106="-",D106="",D106=0),IF(C106="-","-",C106),C106-D106)</f>
        <v>14</v>
      </c>
      <c r="F106" s="20">
        <f>IFERROR(IF(C106&gt;0, D106/C106, 0),"-")</f>
        <v>0.98284313725490191</v>
      </c>
      <c r="G106" s="18">
        <v>19</v>
      </c>
      <c r="H106" s="19">
        <v>10</v>
      </c>
      <c r="I106" s="18">
        <f>IF(OR(H106="-",H106="",H106=0),IF(G106="-","-",G106),G106-H106)</f>
        <v>9</v>
      </c>
      <c r="J106" s="20">
        <f>IFERROR(IF(G106&gt;0, H106/G106, 0),"-")</f>
        <v>0.52631578947368418</v>
      </c>
      <c r="K106" s="18" t="s">
        <v>959</v>
      </c>
      <c r="L106" s="19" t="s">
        <v>959</v>
      </c>
      <c r="M106" s="18" t="str">
        <f>IF(OR(L106="-",L106="",L106=0),IF(K106="-","-",K106),K106-L106)</f>
        <v>-</v>
      </c>
      <c r="N106" s="20" t="str">
        <f>IFERROR(IF(K106&gt;0, L106/K106, 0),"-")</f>
        <v>-</v>
      </c>
      <c r="O106" s="18">
        <v>19</v>
      </c>
      <c r="P106" s="19">
        <v>8</v>
      </c>
      <c r="Q106" s="18">
        <f>IF(OR(P106="-",P106="",P106=0),IF(O106="-","-",O106),O106-P106)</f>
        <v>11</v>
      </c>
      <c r="R106" s="20">
        <f>IFERROR(IF(O106&gt;0, P106/O106, 0),"-")</f>
        <v>0.42105263157894735</v>
      </c>
      <c r="S106" s="18">
        <v>76</v>
      </c>
      <c r="T106" s="18">
        <v>3</v>
      </c>
      <c r="U106" s="18">
        <v>7395</v>
      </c>
      <c r="V106" s="19" t="s">
        <v>959</v>
      </c>
      <c r="W106" s="19" t="s">
        <v>959</v>
      </c>
      <c r="X106" s="24">
        <f>RANK(F106,$F$57:$F$183,0)</f>
        <v>50</v>
      </c>
      <c r="Y106" s="3" t="str">
        <f>IF(OR(ISERROR(F106),F106="-",NOT(ISNUMBER(F106))),"● N/A",IF(ROUND(F106, 4) &gt;= ROUND($F$184, 4),"▲ Above Average","▼ Below Average"))</f>
        <v>▲ Above Average</v>
      </c>
    </row>
    <row r="107" spans="2:25" x14ac:dyDescent="0.2">
      <c r="B107" s="17" t="s">
        <v>87</v>
      </c>
      <c r="C107" s="18">
        <v>1091</v>
      </c>
      <c r="D107" s="19">
        <v>1072</v>
      </c>
      <c r="E107" s="18">
        <f>IF(OR(D107="-",D107="",D107=0),IF(C107="-","-",C107),C107-D107)</f>
        <v>19</v>
      </c>
      <c r="F107" s="20">
        <f>IFERROR(IF(C107&gt;0, D107/C107, 0),"-")</f>
        <v>0.98258478460128318</v>
      </c>
      <c r="G107" s="18">
        <v>15</v>
      </c>
      <c r="H107" s="19">
        <v>7</v>
      </c>
      <c r="I107" s="18">
        <f>IF(OR(H107="-",H107="",H107=0),IF(G107="-","-",G107),G107-H107)</f>
        <v>8</v>
      </c>
      <c r="J107" s="20">
        <f>IFERROR(IF(G107&gt;0, H107/G107, 0),"-")</f>
        <v>0.46666666666666667</v>
      </c>
      <c r="K107" s="18">
        <v>13</v>
      </c>
      <c r="L107" s="19">
        <v>3</v>
      </c>
      <c r="M107" s="18">
        <f>IF(OR(L107="-",L107="",L107=0),IF(K107="-","-",K107),K107-L107)</f>
        <v>10</v>
      </c>
      <c r="N107" s="20">
        <f>IFERROR(IF(K107&gt;0, L107/K107, 0),"-")</f>
        <v>0.23076923076923078</v>
      </c>
      <c r="O107" s="18">
        <v>14</v>
      </c>
      <c r="P107" s="19">
        <v>1</v>
      </c>
      <c r="Q107" s="18">
        <f>IF(OR(P107="-",P107="",P107=0),IF(O107="-","-",O107),O107-P107)</f>
        <v>13</v>
      </c>
      <c r="R107" s="20">
        <f>IFERROR(IF(O107&gt;0, P107/O107, 0),"-")</f>
        <v>7.1428571428571425E-2</v>
      </c>
      <c r="S107" s="18">
        <v>1352</v>
      </c>
      <c r="T107" s="18">
        <v>25</v>
      </c>
      <c r="U107" s="18">
        <v>83802</v>
      </c>
      <c r="V107" s="19">
        <v>33</v>
      </c>
      <c r="W107" s="19">
        <v>850484</v>
      </c>
      <c r="X107" s="24">
        <f>RANK(F107,$F$57:$F$183,0)</f>
        <v>51</v>
      </c>
      <c r="Y107" s="3" t="str">
        <f>IF(OR(ISERROR(F107),F107="-",NOT(ISNUMBER(F107))),"● N/A",IF(ROUND(F107, 4) &gt;= ROUND($F$184, 4),"▲ Above Average","▼ Below Average"))</f>
        <v>▲ Above Average</v>
      </c>
    </row>
    <row r="108" spans="2:25" x14ac:dyDescent="0.2">
      <c r="B108" s="17" t="s">
        <v>65</v>
      </c>
      <c r="C108" s="18">
        <v>853</v>
      </c>
      <c r="D108" s="19">
        <v>838</v>
      </c>
      <c r="E108" s="18">
        <f>IF(OR(D108="-",D108="",D108=0),IF(C108="-","-",C108),C108-D108)</f>
        <v>15</v>
      </c>
      <c r="F108" s="20">
        <f>IFERROR(IF(C108&gt;0, D108/C108, 0),"-")</f>
        <v>0.98241500586166475</v>
      </c>
      <c r="G108" s="18">
        <v>8</v>
      </c>
      <c r="H108" s="19">
        <v>4</v>
      </c>
      <c r="I108" s="18">
        <f>IF(OR(H108="-",H108="",H108=0),IF(G108="-","-",G108),G108-H108)</f>
        <v>4</v>
      </c>
      <c r="J108" s="20">
        <f>IFERROR(IF(G108&gt;0, H108/G108, 0),"-")</f>
        <v>0.5</v>
      </c>
      <c r="K108" s="18">
        <v>11</v>
      </c>
      <c r="L108" s="19">
        <v>3</v>
      </c>
      <c r="M108" s="18">
        <f>IF(OR(L108="-",L108="",L108=0),IF(K108="-","-",K108),K108-L108)</f>
        <v>8</v>
      </c>
      <c r="N108" s="20">
        <f>IFERROR(IF(K108&gt;0, L108/K108, 0),"-")</f>
        <v>0.27272727272727271</v>
      </c>
      <c r="O108" s="18">
        <v>13</v>
      </c>
      <c r="P108" s="19">
        <v>4</v>
      </c>
      <c r="Q108" s="18">
        <f>IF(OR(P108="-",P108="",P108=0),IF(O108="-","-",O108),O108-P108)</f>
        <v>9</v>
      </c>
      <c r="R108" s="20">
        <f>IFERROR(IF(O108&gt;0, P108/O108, 0),"-")</f>
        <v>0.30769230769230771</v>
      </c>
      <c r="S108" s="18">
        <v>873</v>
      </c>
      <c r="T108" s="18">
        <v>13</v>
      </c>
      <c r="U108" s="18">
        <v>62325</v>
      </c>
      <c r="V108" s="19">
        <v>4</v>
      </c>
      <c r="W108" s="19">
        <v>126978</v>
      </c>
      <c r="X108" s="24">
        <f>RANK(F108,$F$57:$F$183,0)</f>
        <v>52</v>
      </c>
      <c r="Y108" s="3" t="str">
        <f>IF(OR(ISERROR(F108),F108="-",NOT(ISNUMBER(F108))),"● N/A",IF(ROUND(F108, 4) &gt;= ROUND($F$184, 4),"▲ Above Average","▼ Below Average"))</f>
        <v>▲ Above Average</v>
      </c>
    </row>
    <row r="109" spans="2:25" x14ac:dyDescent="0.2">
      <c r="B109" s="17" t="s">
        <v>129</v>
      </c>
      <c r="C109" s="18">
        <v>682</v>
      </c>
      <c r="D109" s="19">
        <v>670</v>
      </c>
      <c r="E109" s="18">
        <f>IF(OR(D109="-",D109="",D109=0),IF(C109="-","-",C109),C109-D109)</f>
        <v>12</v>
      </c>
      <c r="F109" s="20">
        <f>IFERROR(IF(C109&gt;0, D109/C109, 0),"-")</f>
        <v>0.98240469208211145</v>
      </c>
      <c r="G109" s="18">
        <v>6</v>
      </c>
      <c r="H109" s="19">
        <v>2</v>
      </c>
      <c r="I109" s="18">
        <f>IF(OR(H109="-",H109="",H109=0),IF(G109="-","-",G109),G109-H109)</f>
        <v>4</v>
      </c>
      <c r="J109" s="20">
        <f>IFERROR(IF(G109&gt;0, H109/G109, 0),"-")</f>
        <v>0.33333333333333331</v>
      </c>
      <c r="K109" s="18">
        <v>6</v>
      </c>
      <c r="L109" s="19" t="s">
        <v>959</v>
      </c>
      <c r="M109" s="18">
        <f>IF(OR(L109="-",L109="",L109=0),IF(K109="-","-",K109),K109-L109)</f>
        <v>6</v>
      </c>
      <c r="N109" s="20" t="str">
        <f>IFERROR(IF(K109&gt;0, L109/K109, 0),"-")</f>
        <v>-</v>
      </c>
      <c r="O109" s="18">
        <v>7</v>
      </c>
      <c r="P109" s="19">
        <v>1</v>
      </c>
      <c r="Q109" s="18">
        <f>IF(OR(P109="-",P109="",P109=0),IF(O109="-","-",O109),O109-P109)</f>
        <v>6</v>
      </c>
      <c r="R109" s="20">
        <f>IFERROR(IF(O109&gt;0, P109/O109, 0),"-")</f>
        <v>0.14285714285714285</v>
      </c>
      <c r="S109" s="18">
        <v>643</v>
      </c>
      <c r="T109" s="18">
        <v>6</v>
      </c>
      <c r="U109" s="18">
        <v>11765</v>
      </c>
      <c r="V109" s="19">
        <v>3</v>
      </c>
      <c r="W109" s="19">
        <v>76367</v>
      </c>
      <c r="X109" s="24">
        <f>RANK(F109,$F$57:$F$183,0)</f>
        <v>53</v>
      </c>
      <c r="Y109" s="3" t="str">
        <f>IF(OR(ISERROR(F109),F109="-",NOT(ISNUMBER(F109))),"● N/A",IF(ROUND(F109, 4) &gt;= ROUND($F$184, 4),"▲ Above Average","▼ Below Average"))</f>
        <v>▲ Above Average</v>
      </c>
    </row>
    <row r="110" spans="2:25" x14ac:dyDescent="0.2">
      <c r="B110" s="17" t="s">
        <v>56</v>
      </c>
      <c r="C110" s="18">
        <v>1801</v>
      </c>
      <c r="D110" s="19">
        <v>1769</v>
      </c>
      <c r="E110" s="18">
        <f>IF(OR(D110="-",D110="",D110=0),IF(C110="-","-",C110),C110-D110)</f>
        <v>32</v>
      </c>
      <c r="F110" s="20">
        <f>IFERROR(IF(C110&gt;0, D110/C110, 0),"-")</f>
        <v>0.98223209328151029</v>
      </c>
      <c r="G110" s="18">
        <v>17</v>
      </c>
      <c r="H110" s="19">
        <v>5</v>
      </c>
      <c r="I110" s="18">
        <f>IF(OR(H110="-",H110="",H110=0),IF(G110="-","-",G110),G110-H110)</f>
        <v>12</v>
      </c>
      <c r="J110" s="20">
        <f>IFERROR(IF(G110&gt;0, H110/G110, 0),"-")</f>
        <v>0.29411764705882354</v>
      </c>
      <c r="K110" s="18">
        <v>21</v>
      </c>
      <c r="L110" s="19">
        <v>7</v>
      </c>
      <c r="M110" s="18">
        <f>IF(OR(L110="-",L110="",L110=0),IF(K110="-","-",K110),K110-L110)</f>
        <v>14</v>
      </c>
      <c r="N110" s="20">
        <f>IFERROR(IF(K110&gt;0, L110/K110, 0),"-")</f>
        <v>0.33333333333333331</v>
      </c>
      <c r="O110" s="18">
        <v>45</v>
      </c>
      <c r="P110" s="19">
        <v>6</v>
      </c>
      <c r="Q110" s="18">
        <f>IF(OR(P110="-",P110="",P110=0),IF(O110="-","-",O110),O110-P110)</f>
        <v>39</v>
      </c>
      <c r="R110" s="20">
        <f>IFERROR(IF(O110&gt;0, P110/O110, 0),"-")</f>
        <v>0.13333333333333333</v>
      </c>
      <c r="S110" s="18">
        <v>1250</v>
      </c>
      <c r="T110" s="18">
        <v>28</v>
      </c>
      <c r="U110" s="18">
        <v>75330</v>
      </c>
      <c r="V110" s="19">
        <v>15</v>
      </c>
      <c r="W110" s="19">
        <v>399204</v>
      </c>
      <c r="X110" s="24">
        <f>RANK(F110,$F$57:$F$183,0)</f>
        <v>54</v>
      </c>
      <c r="Y110" s="3" t="str">
        <f>IF(OR(ISERROR(F110),F110="-",NOT(ISNUMBER(F110))),"● N/A",IF(ROUND(F110, 4) &gt;= ROUND($F$184, 4),"▲ Above Average","▼ Below Average"))</f>
        <v>▲ Above Average</v>
      </c>
    </row>
    <row r="111" spans="2:25" x14ac:dyDescent="0.2">
      <c r="B111" s="17" t="s">
        <v>95</v>
      </c>
      <c r="C111" s="18">
        <v>1348</v>
      </c>
      <c r="D111" s="19">
        <v>1324</v>
      </c>
      <c r="E111" s="18">
        <f>IF(OR(D111="-",D111="",D111=0),IF(C111="-","-",C111),C111-D111)</f>
        <v>24</v>
      </c>
      <c r="F111" s="20">
        <f>IFERROR(IF(C111&gt;0, D111/C111, 0),"-")</f>
        <v>0.98219584569732943</v>
      </c>
      <c r="G111" s="18">
        <v>14</v>
      </c>
      <c r="H111" s="19">
        <v>6</v>
      </c>
      <c r="I111" s="18">
        <f>IF(OR(H111="-",H111="",H111=0),IF(G111="-","-",G111),G111-H111)</f>
        <v>8</v>
      </c>
      <c r="J111" s="20">
        <f>IFERROR(IF(G111&gt;0, H111/G111, 0),"-")</f>
        <v>0.42857142857142855</v>
      </c>
      <c r="K111" s="18">
        <v>8</v>
      </c>
      <c r="L111" s="19">
        <v>3</v>
      </c>
      <c r="M111" s="18">
        <f>IF(OR(L111="-",L111="",L111=0),IF(K111="-","-",K111),K111-L111)</f>
        <v>5</v>
      </c>
      <c r="N111" s="20">
        <f>IFERROR(IF(K111&gt;0, L111/K111, 0),"-")</f>
        <v>0.375</v>
      </c>
      <c r="O111" s="18">
        <v>15</v>
      </c>
      <c r="P111" s="19">
        <v>7</v>
      </c>
      <c r="Q111" s="18">
        <f>IF(OR(P111="-",P111="",P111=0),IF(O111="-","-",O111),O111-P111)</f>
        <v>8</v>
      </c>
      <c r="R111" s="20">
        <f>IFERROR(IF(O111&gt;0, P111/O111, 0),"-")</f>
        <v>0.46666666666666667</v>
      </c>
      <c r="S111" s="18">
        <v>1211</v>
      </c>
      <c r="T111" s="18">
        <v>43</v>
      </c>
      <c r="U111" s="18">
        <v>73300</v>
      </c>
      <c r="V111" s="19">
        <v>7</v>
      </c>
      <c r="W111" s="19">
        <v>72496</v>
      </c>
      <c r="X111" s="24">
        <f>RANK(F111,$F$57:$F$183,0)</f>
        <v>55</v>
      </c>
      <c r="Y111" s="3" t="str">
        <f>IF(OR(ISERROR(F111),F111="-",NOT(ISNUMBER(F111))),"● N/A",IF(ROUND(F111, 4) &gt;= ROUND($F$184, 4),"▲ Above Average","▼ Below Average"))</f>
        <v>▲ Above Average</v>
      </c>
    </row>
    <row r="112" spans="2:25" x14ac:dyDescent="0.2">
      <c r="B112" s="17" t="s">
        <v>88</v>
      </c>
      <c r="C112" s="18">
        <v>1561</v>
      </c>
      <c r="D112" s="19">
        <v>1533</v>
      </c>
      <c r="E112" s="18">
        <f>IF(OR(D112="-",D112="",D112=0),IF(C112="-","-",C112),C112-D112)</f>
        <v>28</v>
      </c>
      <c r="F112" s="20">
        <f>IFERROR(IF(C112&gt;0, D112/C112, 0),"-")</f>
        <v>0.98206278026905824</v>
      </c>
      <c r="G112" s="18">
        <v>31</v>
      </c>
      <c r="H112" s="19">
        <v>11</v>
      </c>
      <c r="I112" s="18">
        <f>IF(OR(H112="-",H112="",H112=0),IF(G112="-","-",G112),G112-H112)</f>
        <v>20</v>
      </c>
      <c r="J112" s="20">
        <f>IFERROR(IF(G112&gt;0, H112/G112, 0),"-")</f>
        <v>0.35483870967741937</v>
      </c>
      <c r="K112" s="18">
        <v>33</v>
      </c>
      <c r="L112" s="19">
        <v>5</v>
      </c>
      <c r="M112" s="18">
        <f>IF(OR(L112="-",L112="",L112=0),IF(K112="-","-",K112),K112-L112)</f>
        <v>28</v>
      </c>
      <c r="N112" s="20">
        <f>IFERROR(IF(K112&gt;0, L112/K112, 0),"-")</f>
        <v>0.15151515151515152</v>
      </c>
      <c r="O112" s="18">
        <v>23</v>
      </c>
      <c r="P112" s="19">
        <v>4</v>
      </c>
      <c r="Q112" s="18">
        <f>IF(OR(P112="-",P112="",P112=0),IF(O112="-","-",O112),O112-P112)</f>
        <v>19</v>
      </c>
      <c r="R112" s="20">
        <f>IFERROR(IF(O112&gt;0, P112/O112, 0),"-")</f>
        <v>0.17391304347826086</v>
      </c>
      <c r="S112" s="18">
        <v>1160</v>
      </c>
      <c r="T112" s="18">
        <v>26</v>
      </c>
      <c r="U112" s="18">
        <v>56275</v>
      </c>
      <c r="V112" s="19">
        <v>16</v>
      </c>
      <c r="W112" s="19">
        <v>285920</v>
      </c>
      <c r="X112" s="24">
        <f>RANK(F112,$F$57:$F$183,0)</f>
        <v>56</v>
      </c>
      <c r="Y112" s="3" t="str">
        <f>IF(OR(ISERROR(F112),F112="-",NOT(ISNUMBER(F112))),"● N/A",IF(ROUND(F112, 4) &gt;= ROUND($F$184, 4),"▲ Above Average","▼ Below Average"))</f>
        <v>▲ Above Average</v>
      </c>
    </row>
    <row r="113" spans="2:25" x14ac:dyDescent="0.2">
      <c r="B113" s="17" t="s">
        <v>13</v>
      </c>
      <c r="C113" s="18">
        <v>993</v>
      </c>
      <c r="D113" s="19">
        <v>975</v>
      </c>
      <c r="E113" s="18">
        <f>IF(OR(D113="-",D113="",D113=0),IF(C113="-","-",C113),C113-D113)</f>
        <v>18</v>
      </c>
      <c r="F113" s="20">
        <f>IFERROR(IF(C113&gt;0, D113/C113, 0),"-")</f>
        <v>0.98187311178247738</v>
      </c>
      <c r="G113" s="18">
        <v>10</v>
      </c>
      <c r="H113" s="19">
        <v>1</v>
      </c>
      <c r="I113" s="18">
        <f>IF(OR(H113="-",H113="",H113=0),IF(G113="-","-",G113),G113-H113)</f>
        <v>9</v>
      </c>
      <c r="J113" s="20">
        <f>IFERROR(IF(G113&gt;0, H113/G113, 0),"-")</f>
        <v>0.1</v>
      </c>
      <c r="K113" s="18">
        <v>3</v>
      </c>
      <c r="L113" s="19">
        <v>3</v>
      </c>
      <c r="M113" s="18">
        <f>IF(OR(L113="-",L113="",L113=0),IF(K113="-","-",K113),K113-L113)</f>
        <v>0</v>
      </c>
      <c r="N113" s="20">
        <f>IFERROR(IF(K113&gt;0, L113/K113, 0),"-")</f>
        <v>1</v>
      </c>
      <c r="O113" s="18">
        <v>11</v>
      </c>
      <c r="P113" s="19">
        <v>1</v>
      </c>
      <c r="Q113" s="18">
        <f>IF(OR(P113="-",P113="",P113=0),IF(O113="-","-",O113),O113-P113)</f>
        <v>10</v>
      </c>
      <c r="R113" s="20">
        <f>IFERROR(IF(O113&gt;0, P113/O113, 0),"-")</f>
        <v>9.0909090909090912E-2</v>
      </c>
      <c r="S113" s="18">
        <v>812</v>
      </c>
      <c r="T113" s="18">
        <v>10</v>
      </c>
      <c r="U113" s="18">
        <v>26695</v>
      </c>
      <c r="V113" s="19">
        <v>5</v>
      </c>
      <c r="W113" s="19">
        <v>68467</v>
      </c>
      <c r="X113" s="24">
        <f>RANK(F113,$F$57:$F$183,0)</f>
        <v>57</v>
      </c>
      <c r="Y113" s="3" t="str">
        <f>IF(OR(ISERROR(F113),F113="-",NOT(ISNUMBER(F113))),"● N/A",IF(ROUND(F113, 4) &gt;= ROUND($F$184, 4),"▲ Above Average","▼ Below Average"))</f>
        <v>▲ Above Average</v>
      </c>
    </row>
    <row r="114" spans="2:25" x14ac:dyDescent="0.2">
      <c r="B114" s="17" t="s">
        <v>121</v>
      </c>
      <c r="C114" s="18">
        <v>818</v>
      </c>
      <c r="D114" s="19">
        <v>803</v>
      </c>
      <c r="E114" s="18">
        <f>IF(OR(D114="-",D114="",D114=0),IF(C114="-","-",C114),C114-D114)</f>
        <v>15</v>
      </c>
      <c r="F114" s="20">
        <f>IFERROR(IF(C114&gt;0, D114/C114, 0),"-")</f>
        <v>0.98166259168704162</v>
      </c>
      <c r="G114" s="18">
        <v>9</v>
      </c>
      <c r="H114" s="19">
        <v>4</v>
      </c>
      <c r="I114" s="18">
        <f>IF(OR(H114="-",H114="",H114=0),IF(G114="-","-",G114),G114-H114)</f>
        <v>5</v>
      </c>
      <c r="J114" s="20">
        <f>IFERROR(IF(G114&gt;0, H114/G114, 0),"-")</f>
        <v>0.44444444444444442</v>
      </c>
      <c r="K114" s="18" t="s">
        <v>959</v>
      </c>
      <c r="L114" s="19" t="s">
        <v>959</v>
      </c>
      <c r="M114" s="18" t="str">
        <f>IF(OR(L114="-",L114="",L114=0),IF(K114="-","-",K114),K114-L114)</f>
        <v>-</v>
      </c>
      <c r="N114" s="20" t="str">
        <f>IFERROR(IF(K114&gt;0, L114/K114, 0),"-")</f>
        <v>-</v>
      </c>
      <c r="O114" s="18">
        <v>10</v>
      </c>
      <c r="P114" s="19">
        <v>1</v>
      </c>
      <c r="Q114" s="18">
        <f>IF(OR(P114="-",P114="",P114=0),IF(O114="-","-",O114),O114-P114)</f>
        <v>9</v>
      </c>
      <c r="R114" s="20">
        <f>IFERROR(IF(O114&gt;0, P114/O114, 0),"-")</f>
        <v>0.1</v>
      </c>
      <c r="S114" s="18">
        <v>74</v>
      </c>
      <c r="T114" s="18">
        <v>1</v>
      </c>
      <c r="U114" s="18">
        <v>600</v>
      </c>
      <c r="V114" s="19" t="s">
        <v>959</v>
      </c>
      <c r="W114" s="19" t="s">
        <v>959</v>
      </c>
      <c r="X114" s="24">
        <f>RANK(F114,$F$57:$F$183,0)</f>
        <v>58</v>
      </c>
      <c r="Y114" s="3" t="str">
        <f>IF(OR(ISERROR(F114),F114="-",NOT(ISNUMBER(F114))),"● N/A",IF(ROUND(F114, 4) &gt;= ROUND($F$184, 4),"▲ Above Average","▼ Below Average"))</f>
        <v>▲ Above Average</v>
      </c>
    </row>
    <row r="115" spans="2:25" x14ac:dyDescent="0.2">
      <c r="B115" s="17" t="s">
        <v>4</v>
      </c>
      <c r="C115" s="18">
        <v>980</v>
      </c>
      <c r="D115" s="19">
        <v>962</v>
      </c>
      <c r="E115" s="18">
        <f>IF(OR(D115="-",D115="",D115=0),IF(C115="-","-",C115),C115-D115)</f>
        <v>18</v>
      </c>
      <c r="F115" s="20">
        <f>IFERROR(IF(C115&gt;0, D115/C115, 0),"-")</f>
        <v>0.98163265306122449</v>
      </c>
      <c r="G115" s="18">
        <v>8</v>
      </c>
      <c r="H115" s="19">
        <v>1</v>
      </c>
      <c r="I115" s="18">
        <f>IF(OR(H115="-",H115="",H115=0),IF(G115="-","-",G115),G115-H115)</f>
        <v>7</v>
      </c>
      <c r="J115" s="20">
        <f>IFERROR(IF(G115&gt;0, H115/G115, 0),"-")</f>
        <v>0.125</v>
      </c>
      <c r="K115" s="18">
        <v>10</v>
      </c>
      <c r="L115" s="19">
        <v>2</v>
      </c>
      <c r="M115" s="18">
        <f>IF(OR(L115="-",L115="",L115=0),IF(K115="-","-",K115),K115-L115)</f>
        <v>8</v>
      </c>
      <c r="N115" s="20">
        <f>IFERROR(IF(K115&gt;0, L115/K115, 0),"-")</f>
        <v>0.2</v>
      </c>
      <c r="O115" s="18">
        <v>15</v>
      </c>
      <c r="P115" s="19">
        <v>3</v>
      </c>
      <c r="Q115" s="18">
        <f>IF(OR(P115="-",P115="",P115=0),IF(O115="-","-",O115),O115-P115)</f>
        <v>12</v>
      </c>
      <c r="R115" s="20">
        <f>IFERROR(IF(O115&gt;0, P115/O115, 0),"-")</f>
        <v>0.2</v>
      </c>
      <c r="S115" s="18">
        <v>966</v>
      </c>
      <c r="T115" s="18">
        <v>7</v>
      </c>
      <c r="U115" s="18">
        <v>20000</v>
      </c>
      <c r="V115" s="19">
        <v>4</v>
      </c>
      <c r="W115" s="19">
        <v>79709</v>
      </c>
      <c r="X115" s="24">
        <f>RANK(F115,$F$57:$F$183,0)</f>
        <v>59</v>
      </c>
      <c r="Y115" s="3" t="str">
        <f>IF(OR(ISERROR(F115),F115="-",NOT(ISNUMBER(F115))),"● N/A",IF(ROUND(F115, 4) &gt;= ROUND($F$184, 4),"▲ Above Average","▼ Below Average"))</f>
        <v>▲ Above Average</v>
      </c>
    </row>
    <row r="116" spans="2:25" x14ac:dyDescent="0.2">
      <c r="B116" s="17" t="s">
        <v>23</v>
      </c>
      <c r="C116" s="18">
        <v>1125</v>
      </c>
      <c r="D116" s="19">
        <v>1104</v>
      </c>
      <c r="E116" s="18">
        <f>IF(OR(D116="-",D116="",D116=0),IF(C116="-","-",C116),C116-D116)</f>
        <v>21</v>
      </c>
      <c r="F116" s="20">
        <f>IFERROR(IF(C116&gt;0, D116/C116, 0),"-")</f>
        <v>0.98133333333333328</v>
      </c>
      <c r="G116" s="18">
        <v>11</v>
      </c>
      <c r="H116" s="19">
        <v>8</v>
      </c>
      <c r="I116" s="18">
        <f>IF(OR(H116="-",H116="",H116=0),IF(G116="-","-",G116),G116-H116)</f>
        <v>3</v>
      </c>
      <c r="J116" s="20">
        <f>IFERROR(IF(G116&gt;0, H116/G116, 0),"-")</f>
        <v>0.72727272727272729</v>
      </c>
      <c r="K116" s="18">
        <v>13</v>
      </c>
      <c r="L116" s="19">
        <v>5</v>
      </c>
      <c r="M116" s="18">
        <f>IF(OR(L116="-",L116="",L116=0),IF(K116="-","-",K116),K116-L116)</f>
        <v>8</v>
      </c>
      <c r="N116" s="20">
        <f>IFERROR(IF(K116&gt;0, L116/K116, 0),"-")</f>
        <v>0.38461538461538464</v>
      </c>
      <c r="O116" s="18">
        <v>13</v>
      </c>
      <c r="P116" s="19">
        <v>5</v>
      </c>
      <c r="Q116" s="18">
        <f>IF(OR(P116="-",P116="",P116=0),IF(O116="-","-",O116),O116-P116)</f>
        <v>8</v>
      </c>
      <c r="R116" s="20">
        <f>IFERROR(IF(O116&gt;0, P116/O116, 0),"-")</f>
        <v>0.38461538461538464</v>
      </c>
      <c r="S116" s="18">
        <v>2260</v>
      </c>
      <c r="T116" s="18">
        <v>16</v>
      </c>
      <c r="U116" s="18">
        <v>116685</v>
      </c>
      <c r="V116" s="19">
        <v>20</v>
      </c>
      <c r="W116" s="19">
        <v>444863</v>
      </c>
      <c r="X116" s="24">
        <f>RANK(F116,$F$57:$F$183,0)</f>
        <v>60</v>
      </c>
      <c r="Y116" s="3" t="str">
        <f>IF(OR(ISERROR(F116),F116="-",NOT(ISNUMBER(F116))),"● N/A",IF(ROUND(F116, 4) &gt;= ROUND($F$184, 4),"▲ Above Average","▼ Below Average"))</f>
        <v>▲ Above Average</v>
      </c>
    </row>
    <row r="117" spans="2:25" x14ac:dyDescent="0.2">
      <c r="B117" s="17" t="s">
        <v>102</v>
      </c>
      <c r="C117" s="18">
        <v>1015</v>
      </c>
      <c r="D117" s="19">
        <v>996</v>
      </c>
      <c r="E117" s="18">
        <f>IF(OR(D117="-",D117="",D117=0),IF(C117="-","-",C117),C117-D117)</f>
        <v>19</v>
      </c>
      <c r="F117" s="20">
        <f>IFERROR(IF(C117&gt;0, D117/C117, 0),"-")</f>
        <v>0.98128078817733988</v>
      </c>
      <c r="G117" s="18">
        <v>16</v>
      </c>
      <c r="H117" s="19">
        <v>7</v>
      </c>
      <c r="I117" s="18">
        <f>IF(OR(H117="-",H117="",H117=0),IF(G117="-","-",G117),G117-H117)</f>
        <v>9</v>
      </c>
      <c r="J117" s="20">
        <f>IFERROR(IF(G117&gt;0, H117/G117, 0),"-")</f>
        <v>0.4375</v>
      </c>
      <c r="K117" s="18">
        <v>7</v>
      </c>
      <c r="L117" s="19">
        <v>3</v>
      </c>
      <c r="M117" s="18">
        <f>IF(OR(L117="-",L117="",L117=0),IF(K117="-","-",K117),K117-L117)</f>
        <v>4</v>
      </c>
      <c r="N117" s="20">
        <f>IFERROR(IF(K117&gt;0, L117/K117, 0),"-")</f>
        <v>0.42857142857142855</v>
      </c>
      <c r="O117" s="18">
        <v>23</v>
      </c>
      <c r="P117" s="19">
        <v>1</v>
      </c>
      <c r="Q117" s="18">
        <f>IF(OR(P117="-",P117="",P117=0),IF(O117="-","-",O117),O117-P117)</f>
        <v>22</v>
      </c>
      <c r="R117" s="20">
        <f>IFERROR(IF(O117&gt;0, P117/O117, 0),"-")</f>
        <v>4.3478260869565216E-2</v>
      </c>
      <c r="S117" s="18">
        <v>1596</v>
      </c>
      <c r="T117" s="18">
        <v>9</v>
      </c>
      <c r="U117" s="18">
        <v>44955</v>
      </c>
      <c r="V117" s="19">
        <v>31</v>
      </c>
      <c r="W117" s="19">
        <v>823100</v>
      </c>
      <c r="X117" s="24">
        <f>RANK(F117,$F$57:$F$183,0)</f>
        <v>61</v>
      </c>
      <c r="Y117" s="3" t="str">
        <f>IF(OR(ISERROR(F117),F117="-",NOT(ISNUMBER(F117))),"● N/A",IF(ROUND(F117, 4) &gt;= ROUND($F$184, 4),"▲ Above Average","▼ Below Average"))</f>
        <v>▲ Above Average</v>
      </c>
    </row>
    <row r="118" spans="2:25" x14ac:dyDescent="0.2">
      <c r="B118" s="17" t="s">
        <v>41</v>
      </c>
      <c r="C118" s="18">
        <v>796</v>
      </c>
      <c r="D118" s="19">
        <v>781</v>
      </c>
      <c r="E118" s="18">
        <f>IF(OR(D118="-",D118="",D118=0),IF(C118="-","-",C118),C118-D118)</f>
        <v>15</v>
      </c>
      <c r="F118" s="20">
        <f>IFERROR(IF(C118&gt;0, D118/C118, 0),"-")</f>
        <v>0.98115577889447236</v>
      </c>
      <c r="G118" s="18">
        <v>5</v>
      </c>
      <c r="H118" s="19">
        <v>1</v>
      </c>
      <c r="I118" s="18">
        <f>IF(OR(H118="-",H118="",H118=0),IF(G118="-","-",G118),G118-H118)</f>
        <v>4</v>
      </c>
      <c r="J118" s="20">
        <f>IFERROR(IF(G118&gt;0, H118/G118, 0),"-")</f>
        <v>0.2</v>
      </c>
      <c r="K118" s="18">
        <v>5</v>
      </c>
      <c r="L118" s="19" t="s">
        <v>959</v>
      </c>
      <c r="M118" s="18">
        <f>IF(OR(L118="-",L118="",L118=0),IF(K118="-","-",K118),K118-L118)</f>
        <v>5</v>
      </c>
      <c r="N118" s="20" t="str">
        <f>IFERROR(IF(K118&gt;0, L118/K118, 0),"-")</f>
        <v>-</v>
      </c>
      <c r="O118" s="18">
        <v>7</v>
      </c>
      <c r="P118" s="19">
        <v>1</v>
      </c>
      <c r="Q118" s="18">
        <f>IF(OR(P118="-",P118="",P118=0),IF(O118="-","-",O118),O118-P118)</f>
        <v>6</v>
      </c>
      <c r="R118" s="20">
        <f>IFERROR(IF(O118&gt;0, P118/O118, 0),"-")</f>
        <v>0.14285714285714285</v>
      </c>
      <c r="S118" s="18">
        <v>904</v>
      </c>
      <c r="T118" s="18">
        <v>7</v>
      </c>
      <c r="U118" s="18">
        <v>53841</v>
      </c>
      <c r="V118" s="19">
        <v>32</v>
      </c>
      <c r="W118" s="19">
        <v>611598</v>
      </c>
      <c r="X118" s="24">
        <f>RANK(F118,$F$57:$F$183,0)</f>
        <v>62</v>
      </c>
      <c r="Y118" s="3" t="str">
        <f>IF(OR(ISERROR(F118),F118="-",NOT(ISNUMBER(F118))),"● N/A",IF(ROUND(F118, 4) &gt;= ROUND($F$184, 4),"▲ Above Average","▼ Below Average"))</f>
        <v>▲ Above Average</v>
      </c>
    </row>
    <row r="119" spans="2:25" x14ac:dyDescent="0.2">
      <c r="B119" s="17" t="s">
        <v>132</v>
      </c>
      <c r="C119" s="18">
        <v>1733</v>
      </c>
      <c r="D119" s="19">
        <v>1699</v>
      </c>
      <c r="E119" s="18">
        <f>IF(OR(D119="-",D119="",D119=0),IF(C119="-","-",C119),C119-D119)</f>
        <v>34</v>
      </c>
      <c r="F119" s="20">
        <f>IFERROR(IF(C119&gt;0, D119/C119, 0),"-")</f>
        <v>0.98038084246970569</v>
      </c>
      <c r="G119" s="18">
        <v>22</v>
      </c>
      <c r="H119" s="19">
        <v>6</v>
      </c>
      <c r="I119" s="18">
        <f>IF(OR(H119="-",H119="",H119=0),IF(G119="-","-",G119),G119-H119)</f>
        <v>16</v>
      </c>
      <c r="J119" s="20">
        <f>IFERROR(IF(G119&gt;0, H119/G119, 0),"-")</f>
        <v>0.27272727272727271</v>
      </c>
      <c r="K119" s="18">
        <v>25</v>
      </c>
      <c r="L119" s="19">
        <v>7</v>
      </c>
      <c r="M119" s="18">
        <f>IF(OR(L119="-",L119="",L119=0),IF(K119="-","-",K119),K119-L119)</f>
        <v>18</v>
      </c>
      <c r="N119" s="20">
        <f>IFERROR(IF(K119&gt;0, L119/K119, 0),"-")</f>
        <v>0.28000000000000003</v>
      </c>
      <c r="O119" s="18">
        <v>37</v>
      </c>
      <c r="P119" s="19">
        <v>5</v>
      </c>
      <c r="Q119" s="18">
        <f>IF(OR(P119="-",P119="",P119=0),IF(O119="-","-",O119),O119-P119)</f>
        <v>32</v>
      </c>
      <c r="R119" s="20">
        <f>IFERROR(IF(O119&gt;0, P119/O119, 0),"-")</f>
        <v>0.13513513513513514</v>
      </c>
      <c r="S119" s="18">
        <v>1723</v>
      </c>
      <c r="T119" s="18">
        <v>45</v>
      </c>
      <c r="U119" s="18">
        <v>256326</v>
      </c>
      <c r="V119" s="19">
        <v>34</v>
      </c>
      <c r="W119" s="19">
        <v>658426</v>
      </c>
      <c r="X119" s="24">
        <f>RANK(F119,$F$57:$F$183,0)</f>
        <v>63</v>
      </c>
      <c r="Y119" s="3" t="str">
        <f>IF(OR(ISERROR(F119),F119="-",NOT(ISNUMBER(F119))),"● N/A",IF(ROUND(F119, 4) &gt;= ROUND($F$184, 4),"▲ Above Average","▼ Below Average"))</f>
        <v>▲ Above Average</v>
      </c>
    </row>
    <row r="120" spans="2:25" x14ac:dyDescent="0.2">
      <c r="B120" s="17" t="s">
        <v>33</v>
      </c>
      <c r="C120" s="18">
        <v>760</v>
      </c>
      <c r="D120" s="19">
        <v>745</v>
      </c>
      <c r="E120" s="18">
        <f>IF(OR(D120="-",D120="",D120=0),IF(C120="-","-",C120),C120-D120)</f>
        <v>15</v>
      </c>
      <c r="F120" s="20">
        <f>IFERROR(IF(C120&gt;0, D120/C120, 0),"-")</f>
        <v>0.98026315789473684</v>
      </c>
      <c r="G120" s="18">
        <v>8</v>
      </c>
      <c r="H120" s="19">
        <v>1</v>
      </c>
      <c r="I120" s="18">
        <f>IF(OR(H120="-",H120="",H120=0),IF(G120="-","-",G120),G120-H120)</f>
        <v>7</v>
      </c>
      <c r="J120" s="20">
        <f>IFERROR(IF(G120&gt;0, H120/G120, 0),"-")</f>
        <v>0.125</v>
      </c>
      <c r="K120" s="18">
        <v>4</v>
      </c>
      <c r="L120" s="19">
        <v>1</v>
      </c>
      <c r="M120" s="18">
        <f>IF(OR(L120="-",L120="",L120=0),IF(K120="-","-",K120),K120-L120)</f>
        <v>3</v>
      </c>
      <c r="N120" s="20">
        <f>IFERROR(IF(K120&gt;0, L120/K120, 0),"-")</f>
        <v>0.25</v>
      </c>
      <c r="O120" s="18">
        <v>7</v>
      </c>
      <c r="P120" s="19" t="s">
        <v>959</v>
      </c>
      <c r="Q120" s="18">
        <f>IF(OR(P120="-",P120="",P120=0),IF(O120="-","-",O120),O120-P120)</f>
        <v>7</v>
      </c>
      <c r="R120" s="20" t="str">
        <f>IFERROR(IF(O120&gt;0, P120/O120, 0),"-")</f>
        <v>-</v>
      </c>
      <c r="S120" s="18">
        <v>163</v>
      </c>
      <c r="T120" s="18">
        <v>7</v>
      </c>
      <c r="U120" s="18">
        <v>16104</v>
      </c>
      <c r="V120" s="19">
        <v>2</v>
      </c>
      <c r="W120" s="19">
        <v>82027</v>
      </c>
      <c r="X120" s="24">
        <f>RANK(F120,$F$57:$F$183,0)</f>
        <v>64</v>
      </c>
      <c r="Y120" s="3" t="str">
        <f>IF(OR(ISERROR(F120),F120="-",NOT(ISNUMBER(F120))),"● N/A",IF(ROUND(F120, 4) &gt;= ROUND($F$184, 4),"▲ Above Average","▼ Below Average"))</f>
        <v>▲ Above Average</v>
      </c>
    </row>
    <row r="121" spans="2:25" x14ac:dyDescent="0.2">
      <c r="B121" s="17" t="s">
        <v>25</v>
      </c>
      <c r="C121" s="18">
        <v>709</v>
      </c>
      <c r="D121" s="19">
        <v>695</v>
      </c>
      <c r="E121" s="18">
        <f>IF(OR(D121="-",D121="",D121=0),IF(C121="-","-",C121),C121-D121)</f>
        <v>14</v>
      </c>
      <c r="F121" s="20">
        <f>IFERROR(IF(C121&gt;0, D121/C121, 0),"-")</f>
        <v>0.98025387870239777</v>
      </c>
      <c r="G121" s="18">
        <v>2</v>
      </c>
      <c r="H121" s="19" t="s">
        <v>959</v>
      </c>
      <c r="I121" s="18">
        <f>IF(OR(H121="-",H121="",H121=0),IF(G121="-","-",G121),G121-H121)</f>
        <v>2</v>
      </c>
      <c r="J121" s="20" t="str">
        <f>IFERROR(IF(G121&gt;0, H121/G121, 0),"-")</f>
        <v>-</v>
      </c>
      <c r="K121" s="18">
        <v>5</v>
      </c>
      <c r="L121" s="19">
        <v>2</v>
      </c>
      <c r="M121" s="18">
        <f>IF(OR(L121="-",L121="",L121=0),IF(K121="-","-",K121),K121-L121)</f>
        <v>3</v>
      </c>
      <c r="N121" s="20">
        <f>IFERROR(IF(K121&gt;0, L121/K121, 0),"-")</f>
        <v>0.4</v>
      </c>
      <c r="O121" s="18">
        <v>1</v>
      </c>
      <c r="P121" s="19" t="s">
        <v>959</v>
      </c>
      <c r="Q121" s="18">
        <f>IF(OR(P121="-",P121="",P121=0),IF(O121="-","-",O121),O121-P121)</f>
        <v>1</v>
      </c>
      <c r="R121" s="20" t="str">
        <f>IFERROR(IF(O121&gt;0, P121/O121, 0),"-")</f>
        <v>-</v>
      </c>
      <c r="S121" s="18">
        <v>2</v>
      </c>
      <c r="T121" s="18" t="s">
        <v>959</v>
      </c>
      <c r="U121" s="18" t="s">
        <v>959</v>
      </c>
      <c r="V121" s="19" t="s">
        <v>959</v>
      </c>
      <c r="W121" s="19" t="s">
        <v>959</v>
      </c>
      <c r="X121" s="24">
        <f>RANK(F121,$F$57:$F$183,0)</f>
        <v>65</v>
      </c>
      <c r="Y121" s="3" t="str">
        <f>IF(OR(ISERROR(F121),F121="-",NOT(ISNUMBER(F121))),"● N/A",IF(ROUND(F121, 4) &gt;= ROUND($F$184, 4),"▲ Above Average","▼ Below Average"))</f>
        <v>▲ Above Average</v>
      </c>
    </row>
    <row r="122" spans="2:25" x14ac:dyDescent="0.2">
      <c r="B122" s="17" t="s">
        <v>111</v>
      </c>
      <c r="C122" s="18">
        <v>1161</v>
      </c>
      <c r="D122" s="19">
        <v>1138</v>
      </c>
      <c r="E122" s="18">
        <f>IF(OR(D122="-",D122="",D122=0),IF(C122="-","-",C122),C122-D122)</f>
        <v>23</v>
      </c>
      <c r="F122" s="20">
        <f>IFERROR(IF(C122&gt;0, D122/C122, 0),"-")</f>
        <v>0.98018949181739878</v>
      </c>
      <c r="G122" s="18">
        <v>4</v>
      </c>
      <c r="H122" s="19">
        <v>1</v>
      </c>
      <c r="I122" s="18">
        <f>IF(OR(H122="-",H122="",H122=0),IF(G122="-","-",G122),G122-H122)</f>
        <v>3</v>
      </c>
      <c r="J122" s="20">
        <f>IFERROR(IF(G122&gt;0, H122/G122, 0),"-")</f>
        <v>0.25</v>
      </c>
      <c r="K122" s="18">
        <v>6</v>
      </c>
      <c r="L122" s="19">
        <v>3</v>
      </c>
      <c r="M122" s="18">
        <f>IF(OR(L122="-",L122="",L122=0),IF(K122="-","-",K122),K122-L122)</f>
        <v>3</v>
      </c>
      <c r="N122" s="20">
        <f>IFERROR(IF(K122&gt;0, L122/K122, 0),"-")</f>
        <v>0.5</v>
      </c>
      <c r="O122" s="18">
        <v>16</v>
      </c>
      <c r="P122" s="19" t="s">
        <v>959</v>
      </c>
      <c r="Q122" s="18">
        <f>IF(OR(P122="-",P122="",P122=0),IF(O122="-","-",O122),O122-P122)</f>
        <v>16</v>
      </c>
      <c r="R122" s="20" t="str">
        <f>IFERROR(IF(O122&gt;0, P122/O122, 0),"-")</f>
        <v>-</v>
      </c>
      <c r="S122" s="18">
        <v>460</v>
      </c>
      <c r="T122" s="18">
        <v>4</v>
      </c>
      <c r="U122" s="18">
        <v>17040</v>
      </c>
      <c r="V122" s="19">
        <v>3</v>
      </c>
      <c r="W122" s="19">
        <v>78489</v>
      </c>
      <c r="X122" s="24">
        <f>RANK(F122,$F$57:$F$183,0)</f>
        <v>66</v>
      </c>
      <c r="Y122" s="3" t="str">
        <f>IF(OR(ISERROR(F122),F122="-",NOT(ISNUMBER(F122))),"● N/A",IF(ROUND(F122, 4) &gt;= ROUND($F$184, 4),"▲ Above Average","▼ Below Average"))</f>
        <v>▲ Above Average</v>
      </c>
    </row>
    <row r="123" spans="2:25" x14ac:dyDescent="0.2">
      <c r="B123" s="17" t="s">
        <v>39</v>
      </c>
      <c r="C123" s="18">
        <v>1259</v>
      </c>
      <c r="D123" s="19">
        <v>1234</v>
      </c>
      <c r="E123" s="18">
        <f>IF(OR(D123="-",D123="",D123=0),IF(C123="-","-",C123),C123-D123)</f>
        <v>25</v>
      </c>
      <c r="F123" s="20">
        <f>IFERROR(IF(C123&gt;0, D123/C123, 0),"-")</f>
        <v>0.9801429706115965</v>
      </c>
      <c r="G123" s="18">
        <v>12</v>
      </c>
      <c r="H123" s="19">
        <v>6</v>
      </c>
      <c r="I123" s="18">
        <f>IF(OR(H123="-",H123="",H123=0),IF(G123="-","-",G123),G123-H123)</f>
        <v>6</v>
      </c>
      <c r="J123" s="20">
        <f>IFERROR(IF(G123&gt;0, H123/G123, 0),"-")</f>
        <v>0.5</v>
      </c>
      <c r="K123" s="18">
        <v>25</v>
      </c>
      <c r="L123" s="19">
        <v>8</v>
      </c>
      <c r="M123" s="18">
        <f>IF(OR(L123="-",L123="",L123=0),IF(K123="-","-",K123),K123-L123)</f>
        <v>17</v>
      </c>
      <c r="N123" s="20">
        <f>IFERROR(IF(K123&gt;0, L123/K123, 0),"-")</f>
        <v>0.32</v>
      </c>
      <c r="O123" s="18">
        <v>25</v>
      </c>
      <c r="P123" s="19">
        <v>7</v>
      </c>
      <c r="Q123" s="18">
        <f>IF(OR(P123="-",P123="",P123=0),IF(O123="-","-",O123),O123-P123)</f>
        <v>18</v>
      </c>
      <c r="R123" s="20">
        <f>IFERROR(IF(O123&gt;0, P123/O123, 0),"-")</f>
        <v>0.28000000000000003</v>
      </c>
      <c r="S123" s="18">
        <v>557</v>
      </c>
      <c r="T123" s="18">
        <v>9</v>
      </c>
      <c r="U123" s="18">
        <v>45330</v>
      </c>
      <c r="V123" s="19">
        <v>2</v>
      </c>
      <c r="W123" s="19">
        <v>15292</v>
      </c>
      <c r="X123" s="24">
        <f>RANK(F123,$F$57:$F$183,0)</f>
        <v>67</v>
      </c>
      <c r="Y123" s="3" t="str">
        <f>IF(OR(ISERROR(F123),F123="-",NOT(ISNUMBER(F123))),"● N/A",IF(ROUND(F123, 4) &gt;= ROUND($F$184, 4),"▲ Above Average","▼ Below Average"))</f>
        <v>▲ Above Average</v>
      </c>
    </row>
    <row r="124" spans="2:25" x14ac:dyDescent="0.2">
      <c r="B124" s="17" t="s">
        <v>31</v>
      </c>
      <c r="C124" s="18">
        <v>1157</v>
      </c>
      <c r="D124" s="19">
        <v>1134</v>
      </c>
      <c r="E124" s="18">
        <f>IF(OR(D124="-",D124="",D124=0),IF(C124="-","-",C124),C124-D124)</f>
        <v>23</v>
      </c>
      <c r="F124" s="20">
        <f>IFERROR(IF(C124&gt;0, D124/C124, 0),"-")</f>
        <v>0.98012100259291268</v>
      </c>
      <c r="G124" s="18">
        <v>16</v>
      </c>
      <c r="H124" s="19">
        <v>9</v>
      </c>
      <c r="I124" s="18">
        <f>IF(OR(H124="-",H124="",H124=0),IF(G124="-","-",G124),G124-H124)</f>
        <v>7</v>
      </c>
      <c r="J124" s="20">
        <f>IFERROR(IF(G124&gt;0, H124/G124, 0),"-")</f>
        <v>0.5625</v>
      </c>
      <c r="K124" s="18">
        <v>10</v>
      </c>
      <c r="L124" s="19">
        <v>4</v>
      </c>
      <c r="M124" s="18">
        <f>IF(OR(L124="-",L124="",L124=0),IF(K124="-","-",K124),K124-L124)</f>
        <v>6</v>
      </c>
      <c r="N124" s="20">
        <f>IFERROR(IF(K124&gt;0, L124/K124, 0),"-")</f>
        <v>0.4</v>
      </c>
      <c r="O124" s="18">
        <v>4</v>
      </c>
      <c r="P124" s="19">
        <v>2</v>
      </c>
      <c r="Q124" s="18">
        <f>IF(OR(P124="-",P124="",P124=0),IF(O124="-","-",O124),O124-P124)</f>
        <v>2</v>
      </c>
      <c r="R124" s="20">
        <f>IFERROR(IF(O124&gt;0, P124/O124, 0),"-")</f>
        <v>0.5</v>
      </c>
      <c r="S124" s="18">
        <v>1629</v>
      </c>
      <c r="T124" s="18">
        <v>29</v>
      </c>
      <c r="U124" s="18">
        <v>134012</v>
      </c>
      <c r="V124" s="19">
        <v>20</v>
      </c>
      <c r="W124" s="19">
        <v>514325</v>
      </c>
      <c r="X124" s="24">
        <f>RANK(F124,$F$57:$F$183,0)</f>
        <v>68</v>
      </c>
      <c r="Y124" s="3" t="str">
        <f>IF(OR(ISERROR(F124),F124="-",NOT(ISNUMBER(F124))),"● N/A",IF(ROUND(F124, 4) &gt;= ROUND($F$184, 4),"▲ Above Average","▼ Below Average"))</f>
        <v>▲ Above Average</v>
      </c>
    </row>
    <row r="125" spans="2:25" x14ac:dyDescent="0.2">
      <c r="B125" s="17" t="s">
        <v>59</v>
      </c>
      <c r="C125" s="18">
        <v>948</v>
      </c>
      <c r="D125" s="19">
        <v>929</v>
      </c>
      <c r="E125" s="18">
        <f>IF(OR(D125="-",D125="",D125=0),IF(C125="-","-",C125),C125-D125)</f>
        <v>19</v>
      </c>
      <c r="F125" s="20">
        <f>IFERROR(IF(C125&gt;0, D125/C125, 0),"-")</f>
        <v>0.97995780590717296</v>
      </c>
      <c r="G125" s="18">
        <v>12</v>
      </c>
      <c r="H125" s="19">
        <v>6</v>
      </c>
      <c r="I125" s="18">
        <f>IF(OR(H125="-",H125="",H125=0),IF(G125="-","-",G125),G125-H125)</f>
        <v>6</v>
      </c>
      <c r="J125" s="20">
        <f>IFERROR(IF(G125&gt;0, H125/G125, 0),"-")</f>
        <v>0.5</v>
      </c>
      <c r="K125" s="18">
        <v>6</v>
      </c>
      <c r="L125" s="19">
        <v>3</v>
      </c>
      <c r="M125" s="18">
        <f>IF(OR(L125="-",L125="",L125=0),IF(K125="-","-",K125),K125-L125)</f>
        <v>3</v>
      </c>
      <c r="N125" s="20">
        <f>IFERROR(IF(K125&gt;0, L125/K125, 0),"-")</f>
        <v>0.5</v>
      </c>
      <c r="O125" s="18">
        <v>13</v>
      </c>
      <c r="P125" s="19">
        <v>2</v>
      </c>
      <c r="Q125" s="18">
        <f>IF(OR(P125="-",P125="",P125=0),IF(O125="-","-",O125),O125-P125)</f>
        <v>11</v>
      </c>
      <c r="R125" s="20">
        <f>IFERROR(IF(O125&gt;0, P125/O125, 0),"-")</f>
        <v>0.15384615384615385</v>
      </c>
      <c r="S125" s="18">
        <v>334</v>
      </c>
      <c r="T125" s="18">
        <v>11</v>
      </c>
      <c r="U125" s="18">
        <v>37595</v>
      </c>
      <c r="V125" s="19">
        <v>1</v>
      </c>
      <c r="W125" s="19">
        <v>15935</v>
      </c>
      <c r="X125" s="24">
        <f>RANK(F125,$F$57:$F$183,0)</f>
        <v>69</v>
      </c>
      <c r="Y125" s="3" t="str">
        <f>IF(OR(ISERROR(F125),F125="-",NOT(ISNUMBER(F125))),"● N/A",IF(ROUND(F125, 4) &gt;= ROUND($F$184, 4),"▲ Above Average","▼ Below Average"))</f>
        <v>▲ Above Average</v>
      </c>
    </row>
    <row r="126" spans="2:25" x14ac:dyDescent="0.2">
      <c r="B126" s="17" t="s">
        <v>42</v>
      </c>
      <c r="C126" s="18">
        <v>1246</v>
      </c>
      <c r="D126" s="19">
        <v>1221</v>
      </c>
      <c r="E126" s="18">
        <f>IF(OR(D126="-",D126="",D126=0),IF(C126="-","-",C126),C126-D126)</f>
        <v>25</v>
      </c>
      <c r="F126" s="20">
        <f>IFERROR(IF(C126&gt;0, D126/C126, 0),"-")</f>
        <v>0.9799357945425361</v>
      </c>
      <c r="G126" s="18">
        <v>17</v>
      </c>
      <c r="H126" s="19">
        <v>7</v>
      </c>
      <c r="I126" s="18">
        <f>IF(OR(H126="-",H126="",H126=0),IF(G126="-","-",G126),G126-H126)</f>
        <v>10</v>
      </c>
      <c r="J126" s="20">
        <f>IFERROR(IF(G126&gt;0, H126/G126, 0),"-")</f>
        <v>0.41176470588235292</v>
      </c>
      <c r="K126" s="18">
        <v>12</v>
      </c>
      <c r="L126" s="19">
        <v>5</v>
      </c>
      <c r="M126" s="18">
        <f>IF(OR(L126="-",L126="",L126=0),IF(K126="-","-",K126),K126-L126)</f>
        <v>7</v>
      </c>
      <c r="N126" s="20">
        <f>IFERROR(IF(K126&gt;0, L126/K126, 0),"-")</f>
        <v>0.41666666666666669</v>
      </c>
      <c r="O126" s="18">
        <v>20</v>
      </c>
      <c r="P126" s="19">
        <v>2</v>
      </c>
      <c r="Q126" s="18">
        <f>IF(OR(P126="-",P126="",P126=0),IF(O126="-","-",O126),O126-P126)</f>
        <v>18</v>
      </c>
      <c r="R126" s="20">
        <f>IFERROR(IF(O126&gt;0, P126/O126, 0),"-")</f>
        <v>0.1</v>
      </c>
      <c r="S126" s="18">
        <v>537</v>
      </c>
      <c r="T126" s="18">
        <v>10</v>
      </c>
      <c r="U126" s="18">
        <v>60915</v>
      </c>
      <c r="V126" s="19">
        <v>19</v>
      </c>
      <c r="W126" s="19">
        <v>481417</v>
      </c>
      <c r="X126" s="24">
        <f>RANK(F126,$F$57:$F$183,0)</f>
        <v>70</v>
      </c>
      <c r="Y126" s="3" t="str">
        <f>IF(OR(ISERROR(F126),F126="-",NOT(ISNUMBER(F126))),"● N/A",IF(ROUND(F126, 4) &gt;= ROUND($F$184, 4),"▲ Above Average","▼ Below Average"))</f>
        <v>▲ Above Average</v>
      </c>
    </row>
    <row r="127" spans="2:25" x14ac:dyDescent="0.2">
      <c r="B127" s="17" t="s">
        <v>37</v>
      </c>
      <c r="C127" s="18">
        <v>1196</v>
      </c>
      <c r="D127" s="19">
        <v>1172</v>
      </c>
      <c r="E127" s="18">
        <f>IF(OR(D127="-",D127="",D127=0),IF(C127="-","-",C127),C127-D127)</f>
        <v>24</v>
      </c>
      <c r="F127" s="20">
        <f>IFERROR(IF(C127&gt;0, D127/C127, 0),"-")</f>
        <v>0.97993311036789299</v>
      </c>
      <c r="G127" s="18">
        <v>16</v>
      </c>
      <c r="H127" s="19">
        <v>7</v>
      </c>
      <c r="I127" s="18">
        <f>IF(OR(H127="-",H127="",H127=0),IF(G127="-","-",G127),G127-H127)</f>
        <v>9</v>
      </c>
      <c r="J127" s="20">
        <f>IFERROR(IF(G127&gt;0, H127/G127, 0),"-")</f>
        <v>0.4375</v>
      </c>
      <c r="K127" s="18">
        <v>24</v>
      </c>
      <c r="L127" s="19">
        <v>6</v>
      </c>
      <c r="M127" s="18">
        <f>IF(OR(L127="-",L127="",L127=0),IF(K127="-","-",K127),K127-L127)</f>
        <v>18</v>
      </c>
      <c r="N127" s="20">
        <f>IFERROR(IF(K127&gt;0, L127/K127, 0),"-")</f>
        <v>0.25</v>
      </c>
      <c r="O127" s="18">
        <v>20</v>
      </c>
      <c r="P127" s="19">
        <v>7</v>
      </c>
      <c r="Q127" s="18">
        <f>IF(OR(P127="-",P127="",P127=0),IF(O127="-","-",O127),O127-P127)</f>
        <v>13</v>
      </c>
      <c r="R127" s="20">
        <f>IFERROR(IF(O127&gt;0, P127/O127, 0),"-")</f>
        <v>0.35</v>
      </c>
      <c r="S127" s="18">
        <v>1323</v>
      </c>
      <c r="T127" s="18">
        <v>23</v>
      </c>
      <c r="U127" s="18">
        <v>91175</v>
      </c>
      <c r="V127" s="19">
        <v>17</v>
      </c>
      <c r="W127" s="19">
        <v>384886</v>
      </c>
      <c r="X127" s="24">
        <f>RANK(F127,$F$57:$F$183,0)</f>
        <v>71</v>
      </c>
      <c r="Y127" s="3" t="str">
        <f>IF(OR(ISERROR(F127),F127="-",NOT(ISNUMBER(F127))),"● N/A",IF(ROUND(F127, 4) &gt;= ROUND($F$184, 4),"▲ Above Average","▼ Below Average"))</f>
        <v>▲ Above Average</v>
      </c>
    </row>
    <row r="128" spans="2:25" x14ac:dyDescent="0.2">
      <c r="B128" s="17" t="s">
        <v>49</v>
      </c>
      <c r="C128" s="18">
        <v>1323</v>
      </c>
      <c r="D128" s="19">
        <v>1296</v>
      </c>
      <c r="E128" s="18">
        <f>IF(OR(D128="-",D128="",D128=0),IF(C128="-","-",C128),C128-D128)</f>
        <v>27</v>
      </c>
      <c r="F128" s="20">
        <f>IFERROR(IF(C128&gt;0, D128/C128, 0),"-")</f>
        <v>0.97959183673469385</v>
      </c>
      <c r="G128" s="18">
        <v>15</v>
      </c>
      <c r="H128" s="19">
        <v>7</v>
      </c>
      <c r="I128" s="18">
        <f>IF(OR(H128="-",H128="",H128=0),IF(G128="-","-",G128),G128-H128)</f>
        <v>8</v>
      </c>
      <c r="J128" s="20">
        <f>IFERROR(IF(G128&gt;0, H128/G128, 0),"-")</f>
        <v>0.46666666666666667</v>
      </c>
      <c r="K128" s="18">
        <v>17</v>
      </c>
      <c r="L128" s="19">
        <v>7</v>
      </c>
      <c r="M128" s="18">
        <f>IF(OR(L128="-",L128="",L128=0),IF(K128="-","-",K128),K128-L128)</f>
        <v>10</v>
      </c>
      <c r="N128" s="20">
        <f>IFERROR(IF(K128&gt;0, L128/K128, 0),"-")</f>
        <v>0.41176470588235292</v>
      </c>
      <c r="O128" s="18">
        <v>12</v>
      </c>
      <c r="P128" s="19">
        <v>4</v>
      </c>
      <c r="Q128" s="18">
        <f>IF(OR(P128="-",P128="",P128=0),IF(O128="-","-",O128),O128-P128)</f>
        <v>8</v>
      </c>
      <c r="R128" s="20">
        <f>IFERROR(IF(O128&gt;0, P128/O128, 0),"-")</f>
        <v>0.33333333333333331</v>
      </c>
      <c r="S128" s="18">
        <v>1316</v>
      </c>
      <c r="T128" s="18">
        <v>54</v>
      </c>
      <c r="U128" s="18">
        <v>112355</v>
      </c>
      <c r="V128" s="19">
        <v>7</v>
      </c>
      <c r="W128" s="19">
        <v>146767</v>
      </c>
      <c r="X128" s="24">
        <f>RANK(F128,$F$57:$F$183,0)</f>
        <v>72</v>
      </c>
      <c r="Y128" s="3" t="str">
        <f>IF(OR(ISERROR(F128),F128="-",NOT(ISNUMBER(F128))),"● N/A",IF(ROUND(F128, 4) &gt;= ROUND($F$184, 4),"▲ Above Average","▼ Below Average"))</f>
        <v>▲ Above Average</v>
      </c>
    </row>
    <row r="129" spans="2:25" x14ac:dyDescent="0.2">
      <c r="B129" s="17" t="s">
        <v>133</v>
      </c>
      <c r="C129" s="18">
        <v>1113</v>
      </c>
      <c r="D129" s="19">
        <v>1090</v>
      </c>
      <c r="E129" s="18">
        <f>IF(OR(D129="-",D129="",D129=0),IF(C129="-","-",C129),C129-D129)</f>
        <v>23</v>
      </c>
      <c r="F129" s="20">
        <f>IFERROR(IF(C129&gt;0, D129/C129, 0),"-")</f>
        <v>0.97933513027852648</v>
      </c>
      <c r="G129" s="18">
        <v>15</v>
      </c>
      <c r="H129" s="19">
        <v>4</v>
      </c>
      <c r="I129" s="18">
        <f>IF(OR(H129="-",H129="",H129=0),IF(G129="-","-",G129),G129-H129)</f>
        <v>11</v>
      </c>
      <c r="J129" s="20">
        <f>IFERROR(IF(G129&gt;0, H129/G129, 0),"-")</f>
        <v>0.26666666666666666</v>
      </c>
      <c r="K129" s="18">
        <v>14</v>
      </c>
      <c r="L129" s="19">
        <v>3</v>
      </c>
      <c r="M129" s="18">
        <f>IF(OR(L129="-",L129="",L129=0),IF(K129="-","-",K129),K129-L129)</f>
        <v>11</v>
      </c>
      <c r="N129" s="20">
        <f>IFERROR(IF(K129&gt;0, L129/K129, 0),"-")</f>
        <v>0.21428571428571427</v>
      </c>
      <c r="O129" s="18">
        <v>28</v>
      </c>
      <c r="P129" s="19">
        <v>1</v>
      </c>
      <c r="Q129" s="18">
        <f>IF(OR(P129="-",P129="",P129=0),IF(O129="-","-",O129),O129-P129)</f>
        <v>27</v>
      </c>
      <c r="R129" s="20">
        <f>IFERROR(IF(O129&gt;0, P129/O129, 0),"-")</f>
        <v>3.5714285714285712E-2</v>
      </c>
      <c r="S129" s="18">
        <v>1178</v>
      </c>
      <c r="T129" s="18">
        <v>18</v>
      </c>
      <c r="U129" s="18">
        <v>43025</v>
      </c>
      <c r="V129" s="19">
        <v>3</v>
      </c>
      <c r="W129" s="19">
        <v>21334</v>
      </c>
      <c r="X129" s="24">
        <f>RANK(F129,$F$57:$F$183,0)</f>
        <v>73</v>
      </c>
      <c r="Y129" s="3" t="str">
        <f>IF(OR(ISERROR(F129),F129="-",NOT(ISNUMBER(F129))),"● N/A",IF(ROUND(F129, 4) &gt;= ROUND($F$184, 4),"▲ Above Average","▼ Below Average"))</f>
        <v>▲ Above Average</v>
      </c>
    </row>
    <row r="130" spans="2:25" x14ac:dyDescent="0.2">
      <c r="B130" s="17" t="s">
        <v>9</v>
      </c>
      <c r="C130" s="18">
        <v>1767</v>
      </c>
      <c r="D130" s="19">
        <v>1730</v>
      </c>
      <c r="E130" s="18">
        <f>IF(OR(D130="-",D130="",D130=0),IF(C130="-","-",C130),C130-D130)</f>
        <v>37</v>
      </c>
      <c r="F130" s="20">
        <f>IFERROR(IF(C130&gt;0, D130/C130, 0),"-")</f>
        <v>0.97906055461233732</v>
      </c>
      <c r="G130" s="18">
        <v>25</v>
      </c>
      <c r="H130" s="19">
        <v>6</v>
      </c>
      <c r="I130" s="18">
        <f>IF(OR(H130="-",H130="",H130=0),IF(G130="-","-",G130),G130-H130)</f>
        <v>19</v>
      </c>
      <c r="J130" s="20">
        <f>IFERROR(IF(G130&gt;0, H130/G130, 0),"-")</f>
        <v>0.24</v>
      </c>
      <c r="K130" s="18">
        <v>25</v>
      </c>
      <c r="L130" s="19">
        <v>8</v>
      </c>
      <c r="M130" s="18">
        <f>IF(OR(L130="-",L130="",L130=0),IF(K130="-","-",K130),K130-L130)</f>
        <v>17</v>
      </c>
      <c r="N130" s="20">
        <f>IFERROR(IF(K130&gt;0, L130/K130, 0),"-")</f>
        <v>0.32</v>
      </c>
      <c r="O130" s="18">
        <v>37</v>
      </c>
      <c r="P130" s="19">
        <v>4</v>
      </c>
      <c r="Q130" s="18">
        <f>IF(OR(P130="-",P130="",P130=0),IF(O130="-","-",O130),O130-P130)</f>
        <v>33</v>
      </c>
      <c r="R130" s="20">
        <f>IFERROR(IF(O130&gt;0, P130/O130, 0),"-")</f>
        <v>0.10810810810810811</v>
      </c>
      <c r="S130" s="18">
        <v>858</v>
      </c>
      <c r="T130" s="18">
        <v>8</v>
      </c>
      <c r="U130" s="18">
        <v>40100</v>
      </c>
      <c r="V130" s="19">
        <v>12</v>
      </c>
      <c r="W130" s="19">
        <v>235982</v>
      </c>
      <c r="X130" s="24">
        <f>RANK(F130,$F$57:$F$183,0)</f>
        <v>74</v>
      </c>
      <c r="Y130" s="3" t="str">
        <f>IF(OR(ISERROR(F130),F130="-",NOT(ISNUMBER(F130))),"● N/A",IF(ROUND(F130, 4) &gt;= ROUND($F$184, 4),"▲ Above Average","▼ Below Average"))</f>
        <v>▲ Above Average</v>
      </c>
    </row>
    <row r="131" spans="2:25" x14ac:dyDescent="0.2">
      <c r="B131" s="17" t="s">
        <v>60</v>
      </c>
      <c r="C131" s="18">
        <v>570</v>
      </c>
      <c r="D131" s="19">
        <v>558</v>
      </c>
      <c r="E131" s="18">
        <f>IF(OR(D131="-",D131="",D131=0),IF(C131="-","-",C131),C131-D131)</f>
        <v>12</v>
      </c>
      <c r="F131" s="20">
        <f>IFERROR(IF(C131&gt;0, D131/C131, 0),"-")</f>
        <v>0.97894736842105268</v>
      </c>
      <c r="G131" s="18">
        <v>3</v>
      </c>
      <c r="H131" s="19">
        <v>1</v>
      </c>
      <c r="I131" s="18">
        <f>IF(OR(H131="-",H131="",H131=0),IF(G131="-","-",G131),G131-H131)</f>
        <v>2</v>
      </c>
      <c r="J131" s="20">
        <f>IFERROR(IF(G131&gt;0, H131/G131, 0),"-")</f>
        <v>0.33333333333333331</v>
      </c>
      <c r="K131" s="18">
        <v>2</v>
      </c>
      <c r="L131" s="19">
        <v>2</v>
      </c>
      <c r="M131" s="18">
        <f>IF(OR(L131="-",L131="",L131=0),IF(K131="-","-",K131),K131-L131)</f>
        <v>0</v>
      </c>
      <c r="N131" s="20">
        <f>IFERROR(IF(K131&gt;0, L131/K131, 0),"-")</f>
        <v>1</v>
      </c>
      <c r="O131" s="18">
        <v>10</v>
      </c>
      <c r="P131" s="19">
        <v>6</v>
      </c>
      <c r="Q131" s="18">
        <f>IF(OR(P131="-",P131="",P131=0),IF(O131="-","-",O131),O131-P131)</f>
        <v>4</v>
      </c>
      <c r="R131" s="20">
        <f>IFERROR(IF(O131&gt;0, P131/O131, 0),"-")</f>
        <v>0.6</v>
      </c>
      <c r="S131" s="18">
        <v>1437</v>
      </c>
      <c r="T131" s="18">
        <v>19</v>
      </c>
      <c r="U131" s="18">
        <v>35555</v>
      </c>
      <c r="V131" s="19">
        <v>10</v>
      </c>
      <c r="W131" s="19">
        <v>217887</v>
      </c>
      <c r="X131" s="24">
        <f>RANK(F131,$F$57:$F$183,0)</f>
        <v>75</v>
      </c>
      <c r="Y131" s="3" t="str">
        <f>IF(OR(ISERROR(F131),F131="-",NOT(ISNUMBER(F131))),"● N/A",IF(ROUND(F131, 4) &gt;= ROUND($F$184, 4),"▲ Above Average","▼ Below Average"))</f>
        <v>▲ Above Average</v>
      </c>
    </row>
    <row r="132" spans="2:25" x14ac:dyDescent="0.2">
      <c r="B132" s="17" t="s">
        <v>47</v>
      </c>
      <c r="C132" s="18">
        <v>985</v>
      </c>
      <c r="D132" s="19">
        <v>964</v>
      </c>
      <c r="E132" s="18">
        <f>IF(OR(D132="-",D132="",D132=0),IF(C132="-","-",C132),C132-D132)</f>
        <v>21</v>
      </c>
      <c r="F132" s="20">
        <f>IFERROR(IF(C132&gt;0, D132/C132, 0),"-")</f>
        <v>0.97868020304568526</v>
      </c>
      <c r="G132" s="18">
        <v>14</v>
      </c>
      <c r="H132" s="19">
        <v>5</v>
      </c>
      <c r="I132" s="18">
        <f>IF(OR(H132="-",H132="",H132=0),IF(G132="-","-",G132),G132-H132)</f>
        <v>9</v>
      </c>
      <c r="J132" s="20">
        <f>IFERROR(IF(G132&gt;0, H132/G132, 0),"-")</f>
        <v>0.35714285714285715</v>
      </c>
      <c r="K132" s="18">
        <v>10</v>
      </c>
      <c r="L132" s="19">
        <v>5</v>
      </c>
      <c r="M132" s="18">
        <f>IF(OR(L132="-",L132="",L132=0),IF(K132="-","-",K132),K132-L132)</f>
        <v>5</v>
      </c>
      <c r="N132" s="20">
        <f>IFERROR(IF(K132&gt;0, L132/K132, 0),"-")</f>
        <v>0.5</v>
      </c>
      <c r="O132" s="18">
        <v>13</v>
      </c>
      <c r="P132" s="19">
        <v>3</v>
      </c>
      <c r="Q132" s="18">
        <f>IF(OR(P132="-",P132="",P132=0),IF(O132="-","-",O132),O132-P132)</f>
        <v>10</v>
      </c>
      <c r="R132" s="20">
        <f>IFERROR(IF(O132&gt;0, P132/O132, 0),"-")</f>
        <v>0.23076923076923078</v>
      </c>
      <c r="S132" s="18">
        <v>1324</v>
      </c>
      <c r="T132" s="18">
        <v>16</v>
      </c>
      <c r="U132" s="18">
        <v>63130</v>
      </c>
      <c r="V132" s="19">
        <v>19</v>
      </c>
      <c r="W132" s="19">
        <v>404608</v>
      </c>
      <c r="X132" s="24">
        <f>RANK(F132,$F$57:$F$183,0)</f>
        <v>76</v>
      </c>
      <c r="Y132" s="3" t="str">
        <f>IF(OR(ISERROR(F132),F132="-",NOT(ISNUMBER(F132))),"● N/A",IF(ROUND(F132, 4) &gt;= ROUND($F$184, 4),"▲ Above Average","▼ Below Average"))</f>
        <v>▲ Above Average</v>
      </c>
    </row>
    <row r="133" spans="2:25" x14ac:dyDescent="0.2">
      <c r="B133" s="17" t="s">
        <v>120</v>
      </c>
      <c r="C133" s="18">
        <v>1029</v>
      </c>
      <c r="D133" s="19">
        <v>1007</v>
      </c>
      <c r="E133" s="18">
        <f>IF(OR(D133="-",D133="",D133=0),IF(C133="-","-",C133),C133-D133)</f>
        <v>22</v>
      </c>
      <c r="F133" s="20">
        <f>IFERROR(IF(C133&gt;0, D133/C133, 0),"-")</f>
        <v>0.97862001943634591</v>
      </c>
      <c r="G133" s="18">
        <v>10</v>
      </c>
      <c r="H133" s="19" t="s">
        <v>959</v>
      </c>
      <c r="I133" s="18">
        <f>IF(OR(H133="-",H133="",H133=0),IF(G133="-","-",G133),G133-H133)</f>
        <v>10</v>
      </c>
      <c r="J133" s="20" t="str">
        <f>IFERROR(IF(G133&gt;0, H133/G133, 0),"-")</f>
        <v>-</v>
      </c>
      <c r="K133" s="18">
        <v>9</v>
      </c>
      <c r="L133" s="19">
        <v>5</v>
      </c>
      <c r="M133" s="18">
        <f>IF(OR(L133="-",L133="",L133=0),IF(K133="-","-",K133),K133-L133)</f>
        <v>4</v>
      </c>
      <c r="N133" s="20">
        <f>IFERROR(IF(K133&gt;0, L133/K133, 0),"-")</f>
        <v>0.55555555555555558</v>
      </c>
      <c r="O133" s="18">
        <v>18</v>
      </c>
      <c r="P133" s="19">
        <v>2</v>
      </c>
      <c r="Q133" s="18">
        <f>IF(OR(P133="-",P133="",P133=0),IF(O133="-","-",O133),O133-P133)</f>
        <v>16</v>
      </c>
      <c r="R133" s="20">
        <f>IFERROR(IF(O133&gt;0, P133/O133, 0),"-")</f>
        <v>0.1111111111111111</v>
      </c>
      <c r="S133" s="18">
        <v>1347</v>
      </c>
      <c r="T133" s="18">
        <v>25</v>
      </c>
      <c r="U133" s="18">
        <v>57449</v>
      </c>
      <c r="V133" s="19">
        <v>4</v>
      </c>
      <c r="W133" s="19">
        <v>45430</v>
      </c>
      <c r="X133" s="24">
        <f>RANK(F133,$F$57:$F$183,0)</f>
        <v>77</v>
      </c>
      <c r="Y133" s="3" t="str">
        <f>IF(OR(ISERROR(F133),F133="-",NOT(ISNUMBER(F133))),"● N/A",IF(ROUND(F133, 4) &gt;= ROUND($F$184, 4),"▲ Above Average","▼ Below Average"))</f>
        <v>▲ Above Average</v>
      </c>
    </row>
    <row r="134" spans="2:25" x14ac:dyDescent="0.2">
      <c r="B134" s="17" t="s">
        <v>55</v>
      </c>
      <c r="C134" s="18">
        <v>2094</v>
      </c>
      <c r="D134" s="19">
        <v>2049</v>
      </c>
      <c r="E134" s="18">
        <f>IF(OR(D134="-",D134="",D134=0),IF(C134="-","-",C134),C134-D134)</f>
        <v>45</v>
      </c>
      <c r="F134" s="20">
        <f>IFERROR(IF(C134&gt;0, D134/C134, 0),"-")</f>
        <v>0.97851002865329517</v>
      </c>
      <c r="G134" s="18">
        <v>29</v>
      </c>
      <c r="H134" s="19">
        <v>7</v>
      </c>
      <c r="I134" s="18">
        <f>IF(OR(H134="-",H134="",H134=0),IF(G134="-","-",G134),G134-H134)</f>
        <v>22</v>
      </c>
      <c r="J134" s="20">
        <f>IFERROR(IF(G134&gt;0, H134/G134, 0),"-")</f>
        <v>0.2413793103448276</v>
      </c>
      <c r="K134" s="18">
        <v>30</v>
      </c>
      <c r="L134" s="19">
        <v>5</v>
      </c>
      <c r="M134" s="18">
        <f>IF(OR(L134="-",L134="",L134=0),IF(K134="-","-",K134),K134-L134)</f>
        <v>25</v>
      </c>
      <c r="N134" s="20">
        <f>IFERROR(IF(K134&gt;0, L134/K134, 0),"-")</f>
        <v>0.16666666666666666</v>
      </c>
      <c r="O134" s="18">
        <v>29</v>
      </c>
      <c r="P134" s="19">
        <v>2</v>
      </c>
      <c r="Q134" s="18">
        <f>IF(OR(P134="-",P134="",P134=0),IF(O134="-","-",O134),O134-P134)</f>
        <v>27</v>
      </c>
      <c r="R134" s="20">
        <f>IFERROR(IF(O134&gt;0, P134/O134, 0),"-")</f>
        <v>6.8965517241379309E-2</v>
      </c>
      <c r="S134" s="18">
        <v>927</v>
      </c>
      <c r="T134" s="18">
        <v>21</v>
      </c>
      <c r="U134" s="18">
        <v>105560</v>
      </c>
      <c r="V134" s="19">
        <v>4</v>
      </c>
      <c r="W134" s="19">
        <v>100726</v>
      </c>
      <c r="X134" s="24">
        <f>RANK(F134,$F$57:$F$183,0)</f>
        <v>78</v>
      </c>
      <c r="Y134" s="3" t="str">
        <f>IF(OR(ISERROR(F134),F134="-",NOT(ISNUMBER(F134))),"● N/A",IF(ROUND(F134, 4) &gt;= ROUND($F$184, 4),"▲ Above Average","▼ Below Average"))</f>
        <v>▲ Above Average</v>
      </c>
    </row>
    <row r="135" spans="2:25" x14ac:dyDescent="0.2">
      <c r="B135" s="17" t="s">
        <v>100</v>
      </c>
      <c r="C135" s="18">
        <v>694</v>
      </c>
      <c r="D135" s="19">
        <v>679</v>
      </c>
      <c r="E135" s="18">
        <f>IF(OR(D135="-",D135="",D135=0),IF(C135="-","-",C135),C135-D135)</f>
        <v>15</v>
      </c>
      <c r="F135" s="20">
        <f>IFERROR(IF(C135&gt;0, D135/C135, 0),"-")</f>
        <v>0.97838616714697402</v>
      </c>
      <c r="G135" s="18">
        <v>29</v>
      </c>
      <c r="H135" s="19">
        <v>17</v>
      </c>
      <c r="I135" s="18">
        <f>IF(OR(H135="-",H135="",H135=0),IF(G135="-","-",G135),G135-H135)</f>
        <v>12</v>
      </c>
      <c r="J135" s="20">
        <f>IFERROR(IF(G135&gt;0, H135/G135, 0),"-")</f>
        <v>0.58620689655172409</v>
      </c>
      <c r="K135" s="18">
        <v>39</v>
      </c>
      <c r="L135" s="19">
        <v>19</v>
      </c>
      <c r="M135" s="18">
        <f>IF(OR(L135="-",L135="",L135=0),IF(K135="-","-",K135),K135-L135)</f>
        <v>20</v>
      </c>
      <c r="N135" s="20">
        <f>IFERROR(IF(K135&gt;0, L135/K135, 0),"-")</f>
        <v>0.48717948717948717</v>
      </c>
      <c r="O135" s="18">
        <v>29</v>
      </c>
      <c r="P135" s="19">
        <v>5</v>
      </c>
      <c r="Q135" s="18">
        <f>IF(OR(P135="-",P135="",P135=0),IF(O135="-","-",O135),O135-P135)</f>
        <v>24</v>
      </c>
      <c r="R135" s="20">
        <f>IFERROR(IF(O135&gt;0, P135/O135, 0),"-")</f>
        <v>0.17241379310344829</v>
      </c>
      <c r="S135" s="18">
        <v>1559</v>
      </c>
      <c r="T135" s="18">
        <v>44</v>
      </c>
      <c r="U135" s="18">
        <v>174465</v>
      </c>
      <c r="V135" s="19">
        <v>18</v>
      </c>
      <c r="W135" s="19">
        <v>320722</v>
      </c>
      <c r="X135" s="24">
        <f>RANK(F135,$F$57:$F$183,0)</f>
        <v>79</v>
      </c>
      <c r="Y135" s="3" t="str">
        <f>IF(OR(ISERROR(F135),F135="-",NOT(ISNUMBER(F135))),"● N/A",IF(ROUND(F135, 4) &gt;= ROUND($F$184, 4),"▲ Above Average","▼ Below Average"))</f>
        <v>▲ Above Average</v>
      </c>
    </row>
    <row r="136" spans="2:25" x14ac:dyDescent="0.2">
      <c r="B136" s="17" t="s">
        <v>32</v>
      </c>
      <c r="C136" s="18">
        <v>1304</v>
      </c>
      <c r="D136" s="19">
        <v>1274</v>
      </c>
      <c r="E136" s="18">
        <f>IF(OR(D136="-",D136="",D136=0),IF(C136="-","-",C136),C136-D136)</f>
        <v>30</v>
      </c>
      <c r="F136" s="20">
        <f>IFERROR(IF(C136&gt;0, D136/C136, 0),"-")</f>
        <v>0.97699386503067487</v>
      </c>
      <c r="G136" s="18">
        <v>14</v>
      </c>
      <c r="H136" s="19">
        <v>5</v>
      </c>
      <c r="I136" s="18">
        <f>IF(OR(H136="-",H136="",H136=0),IF(G136="-","-",G136),G136-H136)</f>
        <v>9</v>
      </c>
      <c r="J136" s="20">
        <f>IFERROR(IF(G136&gt;0, H136/G136, 0),"-")</f>
        <v>0.35714285714285715</v>
      </c>
      <c r="K136" s="18">
        <v>21</v>
      </c>
      <c r="L136" s="19">
        <v>7</v>
      </c>
      <c r="M136" s="18">
        <f>IF(OR(L136="-",L136="",L136=0),IF(K136="-","-",K136),K136-L136)</f>
        <v>14</v>
      </c>
      <c r="N136" s="20">
        <f>IFERROR(IF(K136&gt;0, L136/K136, 0),"-")</f>
        <v>0.33333333333333331</v>
      </c>
      <c r="O136" s="18">
        <v>38</v>
      </c>
      <c r="P136" s="19">
        <v>4</v>
      </c>
      <c r="Q136" s="18">
        <f>IF(OR(P136="-",P136="",P136=0),IF(O136="-","-",O136),O136-P136)</f>
        <v>34</v>
      </c>
      <c r="R136" s="20">
        <f>IFERROR(IF(O136&gt;0, P136/O136, 0),"-")</f>
        <v>0.10526315789473684</v>
      </c>
      <c r="S136" s="18">
        <v>790</v>
      </c>
      <c r="T136" s="18">
        <v>19</v>
      </c>
      <c r="U136" s="18">
        <v>95205</v>
      </c>
      <c r="V136" s="19">
        <v>7</v>
      </c>
      <c r="W136" s="19">
        <v>224103</v>
      </c>
      <c r="X136" s="24">
        <f>RANK(F136,$F$57:$F$183,0)</f>
        <v>80</v>
      </c>
      <c r="Y136" s="3" t="str">
        <f>IF(OR(ISERROR(F136),F136="-",NOT(ISNUMBER(F136))),"● N/A",IF(ROUND(F136, 4) &gt;= ROUND($F$184, 4),"▲ Above Average","▼ Below Average"))</f>
        <v>▼ Below Average</v>
      </c>
    </row>
    <row r="137" spans="2:25" x14ac:dyDescent="0.2">
      <c r="B137" s="17" t="s">
        <v>27</v>
      </c>
      <c r="C137" s="18">
        <v>386</v>
      </c>
      <c r="D137" s="19">
        <v>377</v>
      </c>
      <c r="E137" s="18">
        <f>IF(OR(D137="-",D137="",D137=0),IF(C137="-","-",C137),C137-D137)</f>
        <v>9</v>
      </c>
      <c r="F137" s="20">
        <f>IFERROR(IF(C137&gt;0, D137/C137, 0),"-")</f>
        <v>0.97668393782383423</v>
      </c>
      <c r="G137" s="18">
        <v>10</v>
      </c>
      <c r="H137" s="19">
        <v>9</v>
      </c>
      <c r="I137" s="18">
        <f>IF(OR(H137="-",H137="",H137=0),IF(G137="-","-",G137),G137-H137)</f>
        <v>1</v>
      </c>
      <c r="J137" s="20">
        <f>IFERROR(IF(G137&gt;0, H137/G137, 0),"-")</f>
        <v>0.9</v>
      </c>
      <c r="K137" s="18">
        <v>3</v>
      </c>
      <c r="L137" s="19">
        <v>1</v>
      </c>
      <c r="M137" s="18">
        <f>IF(OR(L137="-",L137="",L137=0),IF(K137="-","-",K137),K137-L137)</f>
        <v>2</v>
      </c>
      <c r="N137" s="20">
        <f>IFERROR(IF(K137&gt;0, L137/K137, 0),"-")</f>
        <v>0.33333333333333331</v>
      </c>
      <c r="O137" s="18">
        <v>3</v>
      </c>
      <c r="P137" s="19" t="s">
        <v>959</v>
      </c>
      <c r="Q137" s="18">
        <f>IF(OR(P137="-",P137="",P137=0),IF(O137="-","-",O137),O137-P137)</f>
        <v>3</v>
      </c>
      <c r="R137" s="20" t="str">
        <f>IFERROR(IF(O137&gt;0, P137/O137, 0),"-")</f>
        <v>-</v>
      </c>
      <c r="S137" s="18">
        <v>10</v>
      </c>
      <c r="T137" s="18">
        <v>2</v>
      </c>
      <c r="U137" s="18">
        <v>8085</v>
      </c>
      <c r="V137" s="19" t="s">
        <v>959</v>
      </c>
      <c r="W137" s="19" t="s">
        <v>959</v>
      </c>
      <c r="X137" s="24">
        <f>RANK(F137,$F$57:$F$183,0)</f>
        <v>81</v>
      </c>
      <c r="Y137" s="3" t="str">
        <f>IF(OR(ISERROR(F137),F137="-",NOT(ISNUMBER(F137))),"● N/A",IF(ROUND(F137, 4) &gt;= ROUND($F$184, 4),"▲ Above Average","▼ Below Average"))</f>
        <v>▼ Below Average</v>
      </c>
    </row>
    <row r="138" spans="2:25" x14ac:dyDescent="0.2">
      <c r="B138" s="17" t="s">
        <v>63</v>
      </c>
      <c r="C138" s="18">
        <v>1144</v>
      </c>
      <c r="D138" s="19">
        <v>1117</v>
      </c>
      <c r="E138" s="18">
        <f>IF(OR(D138="-",D138="",D138=0),IF(C138="-","-",C138),C138-D138)</f>
        <v>27</v>
      </c>
      <c r="F138" s="20">
        <f>IFERROR(IF(C138&gt;0, D138/C138, 0),"-")</f>
        <v>0.97639860139860135</v>
      </c>
      <c r="G138" s="18">
        <v>13</v>
      </c>
      <c r="H138" s="19">
        <v>1</v>
      </c>
      <c r="I138" s="18">
        <f>IF(OR(H138="-",H138="",H138=0),IF(G138="-","-",G138),G138-H138)</f>
        <v>12</v>
      </c>
      <c r="J138" s="20">
        <f>IFERROR(IF(G138&gt;0, H138/G138, 0),"-")</f>
        <v>7.6923076923076927E-2</v>
      </c>
      <c r="K138" s="18">
        <v>9</v>
      </c>
      <c r="L138" s="19">
        <v>3</v>
      </c>
      <c r="M138" s="18">
        <f>IF(OR(L138="-",L138="",L138=0),IF(K138="-","-",K138),K138-L138)</f>
        <v>6</v>
      </c>
      <c r="N138" s="20">
        <f>IFERROR(IF(K138&gt;0, L138/K138, 0),"-")</f>
        <v>0.33333333333333331</v>
      </c>
      <c r="O138" s="18">
        <v>10</v>
      </c>
      <c r="P138" s="19">
        <v>4</v>
      </c>
      <c r="Q138" s="18">
        <f>IF(OR(P138="-",P138="",P138=0),IF(O138="-","-",O138),O138-P138)</f>
        <v>6</v>
      </c>
      <c r="R138" s="20">
        <f>IFERROR(IF(O138&gt;0, P138/O138, 0),"-")</f>
        <v>0.4</v>
      </c>
      <c r="S138" s="18">
        <v>1115</v>
      </c>
      <c r="T138" s="18">
        <v>10</v>
      </c>
      <c r="U138" s="18">
        <v>35660</v>
      </c>
      <c r="V138" s="19">
        <v>10</v>
      </c>
      <c r="W138" s="19">
        <v>367643</v>
      </c>
      <c r="X138" s="24">
        <f>RANK(F138,$F$57:$F$183,0)</f>
        <v>82</v>
      </c>
      <c r="Y138" s="3" t="str">
        <f>IF(OR(ISERROR(F138),F138="-",NOT(ISNUMBER(F138))),"● N/A",IF(ROUND(F138, 4) &gt;= ROUND($F$184, 4),"▲ Above Average","▼ Below Average"))</f>
        <v>▼ Below Average</v>
      </c>
    </row>
    <row r="139" spans="2:25" x14ac:dyDescent="0.2">
      <c r="B139" s="17" t="s">
        <v>89</v>
      </c>
      <c r="C139" s="18">
        <v>710</v>
      </c>
      <c r="D139" s="19">
        <v>693</v>
      </c>
      <c r="E139" s="18">
        <f>IF(OR(D139="-",D139="",D139=0),IF(C139="-","-",C139),C139-D139)</f>
        <v>17</v>
      </c>
      <c r="F139" s="20">
        <f>IFERROR(IF(C139&gt;0, D139/C139, 0),"-")</f>
        <v>0.97605633802816905</v>
      </c>
      <c r="G139" s="18">
        <v>6</v>
      </c>
      <c r="H139" s="19">
        <v>2</v>
      </c>
      <c r="I139" s="18">
        <f>IF(OR(H139="-",H139="",H139=0),IF(G139="-","-",G139),G139-H139)</f>
        <v>4</v>
      </c>
      <c r="J139" s="20">
        <f>IFERROR(IF(G139&gt;0, H139/G139, 0),"-")</f>
        <v>0.33333333333333331</v>
      </c>
      <c r="K139" s="18">
        <v>6</v>
      </c>
      <c r="L139" s="19">
        <v>3</v>
      </c>
      <c r="M139" s="18">
        <f>IF(OR(L139="-",L139="",L139=0),IF(K139="-","-",K139),K139-L139)</f>
        <v>3</v>
      </c>
      <c r="N139" s="20">
        <f>IFERROR(IF(K139&gt;0, L139/K139, 0),"-")</f>
        <v>0.5</v>
      </c>
      <c r="O139" s="18">
        <v>16</v>
      </c>
      <c r="P139" s="19">
        <v>2</v>
      </c>
      <c r="Q139" s="18">
        <f>IF(OR(P139="-",P139="",P139=0),IF(O139="-","-",O139),O139-P139)</f>
        <v>14</v>
      </c>
      <c r="R139" s="20">
        <f>IFERROR(IF(O139&gt;0, P139/O139, 0),"-")</f>
        <v>0.125</v>
      </c>
      <c r="S139" s="18">
        <v>370</v>
      </c>
      <c r="T139" s="18">
        <v>24</v>
      </c>
      <c r="U139" s="18">
        <v>59550</v>
      </c>
      <c r="V139" s="19">
        <v>2</v>
      </c>
      <c r="W139" s="19">
        <v>49675</v>
      </c>
      <c r="X139" s="24">
        <f>RANK(F139,$F$57:$F$183,0)</f>
        <v>83</v>
      </c>
      <c r="Y139" s="3" t="str">
        <f>IF(OR(ISERROR(F139),F139="-",NOT(ISNUMBER(F139))),"● N/A",IF(ROUND(F139, 4) &gt;= ROUND($F$184, 4),"▲ Above Average","▼ Below Average"))</f>
        <v>▼ Below Average</v>
      </c>
    </row>
    <row r="140" spans="2:25" x14ac:dyDescent="0.2">
      <c r="B140" s="17" t="s">
        <v>103</v>
      </c>
      <c r="C140" s="18">
        <v>792</v>
      </c>
      <c r="D140" s="19">
        <v>773</v>
      </c>
      <c r="E140" s="18">
        <f>IF(OR(D140="-",D140="",D140=0),IF(C140="-","-",C140),C140-D140)</f>
        <v>19</v>
      </c>
      <c r="F140" s="20">
        <f>IFERROR(IF(C140&gt;0, D140/C140, 0),"-")</f>
        <v>0.97601010101010099</v>
      </c>
      <c r="G140" s="18">
        <v>8</v>
      </c>
      <c r="H140" s="19">
        <v>3</v>
      </c>
      <c r="I140" s="18">
        <f>IF(OR(H140="-",H140="",H140=0),IF(G140="-","-",G140),G140-H140)</f>
        <v>5</v>
      </c>
      <c r="J140" s="20">
        <f>IFERROR(IF(G140&gt;0, H140/G140, 0),"-")</f>
        <v>0.375</v>
      </c>
      <c r="K140" s="18">
        <v>10</v>
      </c>
      <c r="L140" s="19">
        <v>3</v>
      </c>
      <c r="M140" s="18">
        <f>IF(OR(L140="-",L140="",L140=0),IF(K140="-","-",K140),K140-L140)</f>
        <v>7</v>
      </c>
      <c r="N140" s="20">
        <f>IFERROR(IF(K140&gt;0, L140/K140, 0),"-")</f>
        <v>0.3</v>
      </c>
      <c r="O140" s="18">
        <v>17</v>
      </c>
      <c r="P140" s="19">
        <v>4</v>
      </c>
      <c r="Q140" s="18">
        <f>IF(OR(P140="-",P140="",P140=0),IF(O140="-","-",O140),O140-P140)</f>
        <v>13</v>
      </c>
      <c r="R140" s="20">
        <f>IFERROR(IF(O140&gt;0, P140/O140, 0),"-")</f>
        <v>0.23529411764705882</v>
      </c>
      <c r="S140" s="18">
        <v>767</v>
      </c>
      <c r="T140" s="18">
        <v>33</v>
      </c>
      <c r="U140" s="18">
        <v>68910</v>
      </c>
      <c r="V140" s="19">
        <v>9</v>
      </c>
      <c r="W140" s="19">
        <v>267806</v>
      </c>
      <c r="X140" s="24">
        <f>RANK(F140,$F$57:$F$183,0)</f>
        <v>84</v>
      </c>
      <c r="Y140" s="3" t="str">
        <f>IF(OR(ISERROR(F140),F140="-",NOT(ISNUMBER(F140))),"● N/A",IF(ROUND(F140, 4) &gt;= ROUND($F$184, 4),"▲ Above Average","▼ Below Average"))</f>
        <v>▼ Below Average</v>
      </c>
    </row>
    <row r="141" spans="2:25" x14ac:dyDescent="0.2">
      <c r="B141" s="17" t="s">
        <v>53</v>
      </c>
      <c r="C141" s="18">
        <v>1660</v>
      </c>
      <c r="D141" s="19">
        <v>1619</v>
      </c>
      <c r="E141" s="18">
        <f>IF(OR(D141="-",D141="",D141=0),IF(C141="-","-",C141),C141-D141)</f>
        <v>41</v>
      </c>
      <c r="F141" s="20">
        <f>IFERROR(IF(C141&gt;0, D141/C141, 0),"-")</f>
        <v>0.97530120481927707</v>
      </c>
      <c r="G141" s="18">
        <v>19</v>
      </c>
      <c r="H141" s="19">
        <v>1</v>
      </c>
      <c r="I141" s="18">
        <f>IF(OR(H141="-",H141="",H141=0),IF(G141="-","-",G141),G141-H141)</f>
        <v>18</v>
      </c>
      <c r="J141" s="20">
        <f>IFERROR(IF(G141&gt;0, H141/G141, 0),"-")</f>
        <v>5.2631578947368418E-2</v>
      </c>
      <c r="K141" s="18">
        <v>22</v>
      </c>
      <c r="L141" s="19">
        <v>4</v>
      </c>
      <c r="M141" s="18">
        <f>IF(OR(L141="-",L141="",L141=0),IF(K141="-","-",K141),K141-L141)</f>
        <v>18</v>
      </c>
      <c r="N141" s="20">
        <f>IFERROR(IF(K141&gt;0, L141/K141, 0),"-")</f>
        <v>0.18181818181818182</v>
      </c>
      <c r="O141" s="18">
        <v>19</v>
      </c>
      <c r="P141" s="19">
        <v>4</v>
      </c>
      <c r="Q141" s="18">
        <f>IF(OR(P141="-",P141="",P141=0),IF(O141="-","-",O141),O141-P141)</f>
        <v>15</v>
      </c>
      <c r="R141" s="20">
        <f>IFERROR(IF(O141&gt;0, P141/O141, 0),"-")</f>
        <v>0.21052631578947367</v>
      </c>
      <c r="S141" s="18">
        <v>1248</v>
      </c>
      <c r="T141" s="18">
        <v>23</v>
      </c>
      <c r="U141" s="18">
        <v>211993</v>
      </c>
      <c r="V141" s="19">
        <v>8</v>
      </c>
      <c r="W141" s="19">
        <v>158193</v>
      </c>
      <c r="X141" s="24">
        <f>RANK(F141,$F$57:$F$183,0)</f>
        <v>85</v>
      </c>
      <c r="Y141" s="3" t="str">
        <f>IF(OR(ISERROR(F141),F141="-",NOT(ISNUMBER(F141))),"● N/A",IF(ROUND(F141, 4) &gt;= ROUND($F$184, 4),"▲ Above Average","▼ Below Average"))</f>
        <v>▼ Below Average</v>
      </c>
    </row>
    <row r="142" spans="2:25" x14ac:dyDescent="0.2">
      <c r="B142" s="17" t="s">
        <v>99</v>
      </c>
      <c r="C142" s="18">
        <v>1116</v>
      </c>
      <c r="D142" s="19">
        <v>1088</v>
      </c>
      <c r="E142" s="18">
        <f>IF(OR(D142="-",D142="",D142=0),IF(C142="-","-",C142),C142-D142)</f>
        <v>28</v>
      </c>
      <c r="F142" s="20">
        <f>IFERROR(IF(C142&gt;0, D142/C142, 0),"-")</f>
        <v>0.97491039426523296</v>
      </c>
      <c r="G142" s="18">
        <v>12</v>
      </c>
      <c r="H142" s="19">
        <v>6</v>
      </c>
      <c r="I142" s="18">
        <f>IF(OR(H142="-",H142="",H142=0),IF(G142="-","-",G142),G142-H142)</f>
        <v>6</v>
      </c>
      <c r="J142" s="20">
        <f>IFERROR(IF(G142&gt;0, H142/G142, 0),"-")</f>
        <v>0.5</v>
      </c>
      <c r="K142" s="18">
        <v>18</v>
      </c>
      <c r="L142" s="19">
        <v>13</v>
      </c>
      <c r="M142" s="18">
        <f>IF(OR(L142="-",L142="",L142=0),IF(K142="-","-",K142),K142-L142)</f>
        <v>5</v>
      </c>
      <c r="N142" s="20">
        <f>IFERROR(IF(K142&gt;0, L142/K142, 0),"-")</f>
        <v>0.72222222222222221</v>
      </c>
      <c r="O142" s="18">
        <v>24</v>
      </c>
      <c r="P142" s="19">
        <v>10</v>
      </c>
      <c r="Q142" s="18">
        <f>IF(OR(P142="-",P142="",P142=0),IF(O142="-","-",O142),O142-P142)</f>
        <v>14</v>
      </c>
      <c r="R142" s="20">
        <f>IFERROR(IF(O142&gt;0, P142/O142, 0),"-")</f>
        <v>0.41666666666666669</v>
      </c>
      <c r="S142" s="18">
        <v>1652</v>
      </c>
      <c r="T142" s="18">
        <v>41</v>
      </c>
      <c r="U142" s="18">
        <v>97955</v>
      </c>
      <c r="V142" s="19">
        <v>14</v>
      </c>
      <c r="W142" s="19">
        <v>354982</v>
      </c>
      <c r="X142" s="24">
        <f>RANK(F142,$F$57:$F$183,0)</f>
        <v>86</v>
      </c>
      <c r="Y142" s="3" t="str">
        <f>IF(OR(ISERROR(F142),F142="-",NOT(ISNUMBER(F142))),"● N/A",IF(ROUND(F142, 4) &gt;= ROUND($F$184, 4),"▲ Above Average","▼ Below Average"))</f>
        <v>▼ Below Average</v>
      </c>
    </row>
    <row r="143" spans="2:25" x14ac:dyDescent="0.2">
      <c r="B143" s="17" t="s">
        <v>80</v>
      </c>
      <c r="C143" s="18">
        <v>316</v>
      </c>
      <c r="D143" s="19">
        <v>308</v>
      </c>
      <c r="E143" s="18">
        <f>IF(OR(D143="-",D143="",D143=0),IF(C143="-","-",C143),C143-D143)</f>
        <v>8</v>
      </c>
      <c r="F143" s="20">
        <f>IFERROR(IF(C143&gt;0, D143/C143, 0),"-")</f>
        <v>0.97468354430379744</v>
      </c>
      <c r="G143" s="18">
        <v>8</v>
      </c>
      <c r="H143" s="19">
        <v>5</v>
      </c>
      <c r="I143" s="18">
        <f>IF(OR(H143="-",H143="",H143=0),IF(G143="-","-",G143),G143-H143)</f>
        <v>3</v>
      </c>
      <c r="J143" s="20">
        <f>IFERROR(IF(G143&gt;0, H143/G143, 0),"-")</f>
        <v>0.625</v>
      </c>
      <c r="K143" s="18">
        <v>10</v>
      </c>
      <c r="L143" s="19">
        <v>4</v>
      </c>
      <c r="M143" s="18">
        <f>IF(OR(L143="-",L143="",L143=0),IF(K143="-","-",K143),K143-L143)</f>
        <v>6</v>
      </c>
      <c r="N143" s="20">
        <f>IFERROR(IF(K143&gt;0, L143/K143, 0),"-")</f>
        <v>0.4</v>
      </c>
      <c r="O143" s="18">
        <v>5</v>
      </c>
      <c r="P143" s="19">
        <v>1</v>
      </c>
      <c r="Q143" s="18">
        <f>IF(OR(P143="-",P143="",P143=0),IF(O143="-","-",O143),O143-P143)</f>
        <v>4</v>
      </c>
      <c r="R143" s="20">
        <f>IFERROR(IF(O143&gt;0, P143/O143, 0),"-")</f>
        <v>0.2</v>
      </c>
      <c r="S143" s="18">
        <v>12</v>
      </c>
      <c r="T143" s="18" t="s">
        <v>959</v>
      </c>
      <c r="U143" s="18" t="s">
        <v>959</v>
      </c>
      <c r="V143" s="19" t="s">
        <v>959</v>
      </c>
      <c r="W143" s="19" t="s">
        <v>959</v>
      </c>
      <c r="X143" s="24">
        <f>RANK(F143,$F$57:$F$183,0)</f>
        <v>87</v>
      </c>
      <c r="Y143" s="3" t="str">
        <f>IF(OR(ISERROR(F143),F143="-",NOT(ISNUMBER(F143))),"● N/A",IF(ROUND(F143, 4) &gt;= ROUND($F$184, 4),"▲ Above Average","▼ Below Average"))</f>
        <v>▼ Below Average</v>
      </c>
    </row>
    <row r="144" spans="2:25" x14ac:dyDescent="0.2">
      <c r="B144" s="17" t="s">
        <v>84</v>
      </c>
      <c r="C144" s="18">
        <v>1371</v>
      </c>
      <c r="D144" s="19">
        <v>1336</v>
      </c>
      <c r="E144" s="18">
        <f>IF(OR(D144="-",D144="",D144=0),IF(C144="-","-",C144),C144-D144)</f>
        <v>35</v>
      </c>
      <c r="F144" s="20">
        <f>IFERROR(IF(C144&gt;0, D144/C144, 0),"-")</f>
        <v>0.97447118891320206</v>
      </c>
      <c r="G144" s="18">
        <v>16</v>
      </c>
      <c r="H144" s="19">
        <v>5</v>
      </c>
      <c r="I144" s="18">
        <f>IF(OR(H144="-",H144="",H144=0),IF(G144="-","-",G144),G144-H144)</f>
        <v>11</v>
      </c>
      <c r="J144" s="20">
        <f>IFERROR(IF(G144&gt;0, H144/G144, 0),"-")</f>
        <v>0.3125</v>
      </c>
      <c r="K144" s="18">
        <v>18</v>
      </c>
      <c r="L144" s="19">
        <v>5</v>
      </c>
      <c r="M144" s="18">
        <f>IF(OR(L144="-",L144="",L144=0),IF(K144="-","-",K144),K144-L144)</f>
        <v>13</v>
      </c>
      <c r="N144" s="20">
        <f>IFERROR(IF(K144&gt;0, L144/K144, 0),"-")</f>
        <v>0.27777777777777779</v>
      </c>
      <c r="O144" s="18">
        <v>17</v>
      </c>
      <c r="P144" s="19">
        <v>4</v>
      </c>
      <c r="Q144" s="18">
        <f>IF(OR(P144="-",P144="",P144=0),IF(O144="-","-",O144),O144-P144)</f>
        <v>13</v>
      </c>
      <c r="R144" s="20">
        <f>IFERROR(IF(O144&gt;0, P144/O144, 0),"-")</f>
        <v>0.23529411764705882</v>
      </c>
      <c r="S144" s="18">
        <v>1336</v>
      </c>
      <c r="T144" s="18">
        <v>20</v>
      </c>
      <c r="U144" s="18">
        <v>63025</v>
      </c>
      <c r="V144" s="19">
        <v>15</v>
      </c>
      <c r="W144" s="19">
        <v>295504</v>
      </c>
      <c r="X144" s="24">
        <f>RANK(F144,$F$57:$F$183,0)</f>
        <v>88</v>
      </c>
      <c r="Y144" s="3" t="str">
        <f>IF(OR(ISERROR(F144),F144="-",NOT(ISNUMBER(F144))),"● N/A",IF(ROUND(F144, 4) &gt;= ROUND($F$184, 4),"▲ Above Average","▼ Below Average"))</f>
        <v>▼ Below Average</v>
      </c>
    </row>
    <row r="145" spans="2:25" x14ac:dyDescent="0.2">
      <c r="B145" s="17" t="s">
        <v>46</v>
      </c>
      <c r="C145" s="18">
        <v>1360</v>
      </c>
      <c r="D145" s="19">
        <v>1325</v>
      </c>
      <c r="E145" s="18">
        <f>IF(OR(D145="-",D145="",D145=0),IF(C145="-","-",C145),C145-D145)</f>
        <v>35</v>
      </c>
      <c r="F145" s="20">
        <f>IFERROR(IF(C145&gt;0, D145/C145, 0),"-")</f>
        <v>0.97426470588235292</v>
      </c>
      <c r="G145" s="18">
        <v>37</v>
      </c>
      <c r="H145" s="19">
        <v>14</v>
      </c>
      <c r="I145" s="18">
        <f>IF(OR(H145="-",H145="",H145=0),IF(G145="-","-",G145),G145-H145)</f>
        <v>23</v>
      </c>
      <c r="J145" s="20">
        <f>IFERROR(IF(G145&gt;0, H145/G145, 0),"-")</f>
        <v>0.3783783783783784</v>
      </c>
      <c r="K145" s="18">
        <v>36</v>
      </c>
      <c r="L145" s="19">
        <v>9</v>
      </c>
      <c r="M145" s="18">
        <f>IF(OR(L145="-",L145="",L145=0),IF(K145="-","-",K145),K145-L145)</f>
        <v>27</v>
      </c>
      <c r="N145" s="20">
        <f>IFERROR(IF(K145&gt;0, L145/K145, 0),"-")</f>
        <v>0.25</v>
      </c>
      <c r="O145" s="18">
        <v>34</v>
      </c>
      <c r="P145" s="19">
        <v>4</v>
      </c>
      <c r="Q145" s="18">
        <f>IF(OR(P145="-",P145="",P145=0),IF(O145="-","-",O145),O145-P145)</f>
        <v>30</v>
      </c>
      <c r="R145" s="20">
        <f>IFERROR(IF(O145&gt;0, P145/O145, 0),"-")</f>
        <v>0.11764705882352941</v>
      </c>
      <c r="S145" s="18">
        <v>1552</v>
      </c>
      <c r="T145" s="18">
        <v>15</v>
      </c>
      <c r="U145" s="18">
        <v>72980</v>
      </c>
      <c r="V145" s="19">
        <v>6</v>
      </c>
      <c r="W145" s="19">
        <v>90868</v>
      </c>
      <c r="X145" s="24">
        <f>RANK(F145,$F$57:$F$183,0)</f>
        <v>89</v>
      </c>
      <c r="Y145" s="3" t="str">
        <f>IF(OR(ISERROR(F145),F145="-",NOT(ISNUMBER(F145))),"● N/A",IF(ROUND(F145, 4) &gt;= ROUND($F$184, 4),"▲ Above Average","▼ Below Average"))</f>
        <v>▼ Below Average</v>
      </c>
    </row>
    <row r="146" spans="2:25" x14ac:dyDescent="0.2">
      <c r="B146" s="17" t="s">
        <v>69</v>
      </c>
      <c r="C146" s="18">
        <v>1054</v>
      </c>
      <c r="D146" s="19">
        <v>1026</v>
      </c>
      <c r="E146" s="18">
        <f>IF(OR(D146="-",D146="",D146=0),IF(C146="-","-",C146),C146-D146)</f>
        <v>28</v>
      </c>
      <c r="F146" s="20">
        <f>IFERROR(IF(C146&gt;0, D146/C146, 0),"-")</f>
        <v>0.97343453510436428</v>
      </c>
      <c r="G146" s="18">
        <v>8</v>
      </c>
      <c r="H146" s="19" t="s">
        <v>959</v>
      </c>
      <c r="I146" s="18">
        <f>IF(OR(H146="-",H146="",H146=0),IF(G146="-","-",G146),G146-H146)</f>
        <v>8</v>
      </c>
      <c r="J146" s="20" t="str">
        <f>IFERROR(IF(G146&gt;0, H146/G146, 0),"-")</f>
        <v>-</v>
      </c>
      <c r="K146" s="18">
        <v>6</v>
      </c>
      <c r="L146" s="19" t="s">
        <v>959</v>
      </c>
      <c r="M146" s="18">
        <f>IF(OR(L146="-",L146="",L146=0),IF(K146="-","-",K146),K146-L146)</f>
        <v>6</v>
      </c>
      <c r="N146" s="20" t="str">
        <f>IFERROR(IF(K146&gt;0, L146/K146, 0),"-")</f>
        <v>-</v>
      </c>
      <c r="O146" s="18">
        <v>8</v>
      </c>
      <c r="P146" s="19" t="s">
        <v>959</v>
      </c>
      <c r="Q146" s="18">
        <f>IF(OR(P146="-",P146="",P146=0),IF(O146="-","-",O146),O146-P146)</f>
        <v>8</v>
      </c>
      <c r="R146" s="20" t="str">
        <f>IFERROR(IF(O146&gt;0, P146/O146, 0),"-")</f>
        <v>-</v>
      </c>
      <c r="S146" s="18">
        <v>819</v>
      </c>
      <c r="T146" s="18">
        <v>8</v>
      </c>
      <c r="U146" s="18">
        <v>27895</v>
      </c>
      <c r="V146" s="19">
        <v>6</v>
      </c>
      <c r="W146" s="19">
        <v>153028</v>
      </c>
      <c r="X146" s="24">
        <f>RANK(F146,$F$57:$F$183,0)</f>
        <v>90</v>
      </c>
      <c r="Y146" s="3" t="str">
        <f>IF(OR(ISERROR(F146),F146="-",NOT(ISNUMBER(F146))),"● N/A",IF(ROUND(F146, 4) &gt;= ROUND($F$184, 4),"▲ Above Average","▼ Below Average"))</f>
        <v>▼ Below Average</v>
      </c>
    </row>
    <row r="147" spans="2:25" x14ac:dyDescent="0.2">
      <c r="B147" s="17" t="s">
        <v>20</v>
      </c>
      <c r="C147" s="18">
        <v>1905</v>
      </c>
      <c r="D147" s="19">
        <v>1854</v>
      </c>
      <c r="E147" s="18">
        <f>IF(OR(D147="-",D147="",D147=0),IF(C147="-","-",C147),C147-D147)</f>
        <v>51</v>
      </c>
      <c r="F147" s="20">
        <f>IFERROR(IF(C147&gt;0, D147/C147, 0),"-")</f>
        <v>0.97322834645669287</v>
      </c>
      <c r="G147" s="18">
        <v>15</v>
      </c>
      <c r="H147" s="19">
        <v>5</v>
      </c>
      <c r="I147" s="18">
        <f>IF(OR(H147="-",H147="",H147=0),IF(G147="-","-",G147),G147-H147)</f>
        <v>10</v>
      </c>
      <c r="J147" s="20">
        <f>IFERROR(IF(G147&gt;0, H147/G147, 0),"-")</f>
        <v>0.33333333333333331</v>
      </c>
      <c r="K147" s="18">
        <v>21</v>
      </c>
      <c r="L147" s="19">
        <v>3</v>
      </c>
      <c r="M147" s="18">
        <f>IF(OR(L147="-",L147="",L147=0),IF(K147="-","-",K147),K147-L147)</f>
        <v>18</v>
      </c>
      <c r="N147" s="20">
        <f>IFERROR(IF(K147&gt;0, L147/K147, 0),"-")</f>
        <v>0.14285714285714285</v>
      </c>
      <c r="O147" s="18">
        <v>26</v>
      </c>
      <c r="P147" s="19">
        <v>6</v>
      </c>
      <c r="Q147" s="18">
        <f>IF(OR(P147="-",P147="",P147=0),IF(O147="-","-",O147),O147-P147)</f>
        <v>20</v>
      </c>
      <c r="R147" s="20">
        <f>IFERROR(IF(O147&gt;0, P147/O147, 0),"-")</f>
        <v>0.23076923076923078</v>
      </c>
      <c r="S147" s="18">
        <v>1190</v>
      </c>
      <c r="T147" s="18">
        <v>86</v>
      </c>
      <c r="U147" s="18">
        <v>183797</v>
      </c>
      <c r="V147" s="19">
        <v>12</v>
      </c>
      <c r="W147" s="19">
        <v>219631</v>
      </c>
      <c r="X147" s="24">
        <f>RANK(F147,$F$57:$F$183,0)</f>
        <v>91</v>
      </c>
      <c r="Y147" s="3" t="str">
        <f>IF(OR(ISERROR(F147),F147="-",NOT(ISNUMBER(F147))),"● N/A",IF(ROUND(F147, 4) &gt;= ROUND($F$184, 4),"▲ Above Average","▼ Below Average"))</f>
        <v>▼ Below Average</v>
      </c>
    </row>
    <row r="148" spans="2:25" x14ac:dyDescent="0.2">
      <c r="B148" s="17" t="s">
        <v>92</v>
      </c>
      <c r="C148" s="18">
        <v>1269</v>
      </c>
      <c r="D148" s="19">
        <v>1235</v>
      </c>
      <c r="E148" s="18">
        <f>IF(OR(D148="-",D148="",D148=0),IF(C148="-","-",C148),C148-D148)</f>
        <v>34</v>
      </c>
      <c r="F148" s="20">
        <f>IFERROR(IF(C148&gt;0, D148/C148, 0),"-")</f>
        <v>0.97320724980299445</v>
      </c>
      <c r="G148" s="18">
        <v>25</v>
      </c>
      <c r="H148" s="19">
        <v>8</v>
      </c>
      <c r="I148" s="18">
        <f>IF(OR(H148="-",H148="",H148=0),IF(G148="-","-",G148),G148-H148)</f>
        <v>17</v>
      </c>
      <c r="J148" s="20">
        <f>IFERROR(IF(G148&gt;0, H148/G148, 0),"-")</f>
        <v>0.32</v>
      </c>
      <c r="K148" s="18">
        <v>18</v>
      </c>
      <c r="L148" s="19">
        <v>9</v>
      </c>
      <c r="M148" s="18">
        <f>IF(OR(L148="-",L148="",L148=0),IF(K148="-","-",K148),K148-L148)</f>
        <v>9</v>
      </c>
      <c r="N148" s="20">
        <f>IFERROR(IF(K148&gt;0, L148/K148, 0),"-")</f>
        <v>0.5</v>
      </c>
      <c r="O148" s="18">
        <v>21</v>
      </c>
      <c r="P148" s="19">
        <v>7</v>
      </c>
      <c r="Q148" s="18">
        <f>IF(OR(P148="-",P148="",P148=0),IF(O148="-","-",O148),O148-P148)</f>
        <v>14</v>
      </c>
      <c r="R148" s="20">
        <f>IFERROR(IF(O148&gt;0, P148/O148, 0),"-")</f>
        <v>0.33333333333333331</v>
      </c>
      <c r="S148" s="18">
        <v>1056</v>
      </c>
      <c r="T148" s="18">
        <v>30</v>
      </c>
      <c r="U148" s="18">
        <v>51259</v>
      </c>
      <c r="V148" s="19">
        <v>11</v>
      </c>
      <c r="W148" s="19">
        <v>232132</v>
      </c>
      <c r="X148" s="24">
        <f>RANK(F148,$F$57:$F$183,0)</f>
        <v>92</v>
      </c>
      <c r="Y148" s="3" t="str">
        <f>IF(OR(ISERROR(F148),F148="-",NOT(ISNUMBER(F148))),"● N/A",IF(ROUND(F148, 4) &gt;= ROUND($F$184, 4),"▲ Above Average","▼ Below Average"))</f>
        <v>▼ Below Average</v>
      </c>
    </row>
    <row r="149" spans="2:25" x14ac:dyDescent="0.2">
      <c r="B149" s="17" t="s">
        <v>57</v>
      </c>
      <c r="C149" s="18">
        <v>740</v>
      </c>
      <c r="D149" s="19">
        <v>720</v>
      </c>
      <c r="E149" s="18">
        <f>IF(OR(D149="-",D149="",D149=0),IF(C149="-","-",C149),C149-D149)</f>
        <v>20</v>
      </c>
      <c r="F149" s="20">
        <f>IFERROR(IF(C149&gt;0, D149/C149, 0),"-")</f>
        <v>0.97297297297297303</v>
      </c>
      <c r="G149" s="18">
        <v>5</v>
      </c>
      <c r="H149" s="19" t="s">
        <v>959</v>
      </c>
      <c r="I149" s="18">
        <f>IF(OR(H149="-",H149="",H149=0),IF(G149="-","-",G149),G149-H149)</f>
        <v>5</v>
      </c>
      <c r="J149" s="20" t="str">
        <f>IFERROR(IF(G149&gt;0, H149/G149, 0),"-")</f>
        <v>-</v>
      </c>
      <c r="K149" s="18">
        <v>8</v>
      </c>
      <c r="L149" s="19">
        <v>1</v>
      </c>
      <c r="M149" s="18">
        <f>IF(OR(L149="-",L149="",L149=0),IF(K149="-","-",K149),K149-L149)</f>
        <v>7</v>
      </c>
      <c r="N149" s="20">
        <f>IFERROR(IF(K149&gt;0, L149/K149, 0),"-")</f>
        <v>0.125</v>
      </c>
      <c r="O149" s="18">
        <v>8</v>
      </c>
      <c r="P149" s="19" t="s">
        <v>959</v>
      </c>
      <c r="Q149" s="18">
        <f>IF(OR(P149="-",P149="",P149=0),IF(O149="-","-",O149),O149-P149)</f>
        <v>8</v>
      </c>
      <c r="R149" s="20" t="str">
        <f>IFERROR(IF(O149&gt;0, P149/O149, 0),"-")</f>
        <v>-</v>
      </c>
      <c r="S149" s="18">
        <v>218</v>
      </c>
      <c r="T149" s="18">
        <v>3</v>
      </c>
      <c r="U149" s="18">
        <v>3695</v>
      </c>
      <c r="V149" s="19">
        <v>2</v>
      </c>
      <c r="W149" s="19">
        <v>47799</v>
      </c>
      <c r="X149" s="24">
        <f>RANK(F149,$F$57:$F$183,0)</f>
        <v>93</v>
      </c>
      <c r="Y149" s="3" t="str">
        <f>IF(OR(ISERROR(F149),F149="-",NOT(ISNUMBER(F149))),"● N/A",IF(ROUND(F149, 4) &gt;= ROUND($F$184, 4),"▲ Above Average","▼ Below Average"))</f>
        <v>▼ Below Average</v>
      </c>
    </row>
    <row r="150" spans="2:25" x14ac:dyDescent="0.2">
      <c r="B150" s="17" t="s">
        <v>66</v>
      </c>
      <c r="C150" s="18">
        <v>664</v>
      </c>
      <c r="D150" s="19">
        <v>646</v>
      </c>
      <c r="E150" s="18">
        <f>IF(OR(D150="-",D150="",D150=0),IF(C150="-","-",C150),C150-D150)</f>
        <v>18</v>
      </c>
      <c r="F150" s="20">
        <f>IFERROR(IF(C150&gt;0, D150/C150, 0),"-")</f>
        <v>0.97289156626506024</v>
      </c>
      <c r="G150" s="18">
        <v>4</v>
      </c>
      <c r="H150" s="19">
        <v>1</v>
      </c>
      <c r="I150" s="18">
        <f>IF(OR(H150="-",H150="",H150=0),IF(G150="-","-",G150),G150-H150)</f>
        <v>3</v>
      </c>
      <c r="J150" s="20">
        <f>IFERROR(IF(G150&gt;0, H150/G150, 0),"-")</f>
        <v>0.25</v>
      </c>
      <c r="K150" s="18">
        <v>8</v>
      </c>
      <c r="L150" s="19">
        <v>1</v>
      </c>
      <c r="M150" s="18">
        <f>IF(OR(L150="-",L150="",L150=0),IF(K150="-","-",K150),K150-L150)</f>
        <v>7</v>
      </c>
      <c r="N150" s="20">
        <f>IFERROR(IF(K150&gt;0, L150/K150, 0),"-")</f>
        <v>0.125</v>
      </c>
      <c r="O150" s="18">
        <v>18</v>
      </c>
      <c r="P150" s="19">
        <v>2</v>
      </c>
      <c r="Q150" s="18">
        <f>IF(OR(P150="-",P150="",P150=0),IF(O150="-","-",O150),O150-P150)</f>
        <v>16</v>
      </c>
      <c r="R150" s="20">
        <f>IFERROR(IF(O150&gt;0, P150/O150, 0),"-")</f>
        <v>0.1111111111111111</v>
      </c>
      <c r="S150" s="18">
        <v>205</v>
      </c>
      <c r="T150" s="18">
        <v>6</v>
      </c>
      <c r="U150" s="18">
        <v>16690</v>
      </c>
      <c r="V150" s="19">
        <v>1</v>
      </c>
      <c r="W150" s="19">
        <v>36954</v>
      </c>
      <c r="X150" s="24">
        <f>RANK(F150,$F$57:$F$183,0)</f>
        <v>94</v>
      </c>
      <c r="Y150" s="3" t="str">
        <f>IF(OR(ISERROR(F150),F150="-",NOT(ISNUMBER(F150))),"● N/A",IF(ROUND(F150, 4) &gt;= ROUND($F$184, 4),"▲ Above Average","▼ Below Average"))</f>
        <v>▼ Below Average</v>
      </c>
    </row>
    <row r="151" spans="2:25" x14ac:dyDescent="0.2">
      <c r="B151" s="17" t="s">
        <v>52</v>
      </c>
      <c r="C151" s="18">
        <v>1595</v>
      </c>
      <c r="D151" s="19">
        <v>1551</v>
      </c>
      <c r="E151" s="18">
        <f>IF(OR(D151="-",D151="",D151=0),IF(C151="-","-",C151),C151-D151)</f>
        <v>44</v>
      </c>
      <c r="F151" s="20">
        <f>IFERROR(IF(C151&gt;0, D151/C151, 0),"-")</f>
        <v>0.97241379310344822</v>
      </c>
      <c r="G151" s="18">
        <v>16</v>
      </c>
      <c r="H151" s="19">
        <v>2</v>
      </c>
      <c r="I151" s="18">
        <f>IF(OR(H151="-",H151="",H151=0),IF(G151="-","-",G151),G151-H151)</f>
        <v>14</v>
      </c>
      <c r="J151" s="20">
        <f>IFERROR(IF(G151&gt;0, H151/G151, 0),"-")</f>
        <v>0.125</v>
      </c>
      <c r="K151" s="18">
        <v>15</v>
      </c>
      <c r="L151" s="19">
        <v>3</v>
      </c>
      <c r="M151" s="18">
        <f>IF(OR(L151="-",L151="",L151=0),IF(K151="-","-",K151),K151-L151)</f>
        <v>12</v>
      </c>
      <c r="N151" s="20">
        <f>IFERROR(IF(K151&gt;0, L151/K151, 0),"-")</f>
        <v>0.2</v>
      </c>
      <c r="O151" s="18">
        <v>16</v>
      </c>
      <c r="P151" s="19">
        <v>1</v>
      </c>
      <c r="Q151" s="18">
        <f>IF(OR(P151="-",P151="",P151=0),IF(O151="-","-",O151),O151-P151)</f>
        <v>15</v>
      </c>
      <c r="R151" s="20">
        <f>IFERROR(IF(O151&gt;0, P151/O151, 0),"-")</f>
        <v>6.25E-2</v>
      </c>
      <c r="S151" s="18">
        <v>1086</v>
      </c>
      <c r="T151" s="18">
        <v>15</v>
      </c>
      <c r="U151" s="18">
        <v>69970</v>
      </c>
      <c r="V151" s="19">
        <v>11</v>
      </c>
      <c r="W151" s="19">
        <v>252833</v>
      </c>
      <c r="X151" s="24">
        <f>RANK(F151,$F$57:$F$183,0)</f>
        <v>95</v>
      </c>
      <c r="Y151" s="3" t="str">
        <f>IF(OR(ISERROR(F151),F151="-",NOT(ISNUMBER(F151))),"● N/A",IF(ROUND(F151, 4) &gt;= ROUND($F$184, 4),"▲ Above Average","▼ Below Average"))</f>
        <v>▼ Below Average</v>
      </c>
    </row>
    <row r="152" spans="2:25" x14ac:dyDescent="0.2">
      <c r="B152" s="17" t="s">
        <v>26</v>
      </c>
      <c r="C152" s="18">
        <v>1267</v>
      </c>
      <c r="D152" s="19">
        <v>1232</v>
      </c>
      <c r="E152" s="18">
        <f>IF(OR(D152="-",D152="",D152=0),IF(C152="-","-",C152),C152-D152)</f>
        <v>35</v>
      </c>
      <c r="F152" s="20">
        <f>IFERROR(IF(C152&gt;0, D152/C152, 0),"-")</f>
        <v>0.97237569060773477</v>
      </c>
      <c r="G152" s="18">
        <v>25</v>
      </c>
      <c r="H152" s="19">
        <v>7</v>
      </c>
      <c r="I152" s="18">
        <f>IF(OR(H152="-",H152="",H152=0),IF(G152="-","-",G152),G152-H152)</f>
        <v>18</v>
      </c>
      <c r="J152" s="20">
        <f>IFERROR(IF(G152&gt;0, H152/G152, 0),"-")</f>
        <v>0.28000000000000003</v>
      </c>
      <c r="K152" s="18">
        <v>11</v>
      </c>
      <c r="L152" s="19">
        <v>8</v>
      </c>
      <c r="M152" s="18">
        <f>IF(OR(L152="-",L152="",L152=0),IF(K152="-","-",K152),K152-L152)</f>
        <v>3</v>
      </c>
      <c r="N152" s="20">
        <f>IFERROR(IF(K152&gt;0, L152/K152, 0),"-")</f>
        <v>0.72727272727272729</v>
      </c>
      <c r="O152" s="18">
        <v>26</v>
      </c>
      <c r="P152" s="19">
        <v>6</v>
      </c>
      <c r="Q152" s="18">
        <f>IF(OR(P152="-",P152="",P152=0),IF(O152="-","-",O152),O152-P152)</f>
        <v>20</v>
      </c>
      <c r="R152" s="20">
        <f>IFERROR(IF(O152&gt;0, P152/O152, 0),"-")</f>
        <v>0.23076923076923078</v>
      </c>
      <c r="S152" s="18">
        <v>1023</v>
      </c>
      <c r="T152" s="18">
        <v>15</v>
      </c>
      <c r="U152" s="18">
        <v>130085</v>
      </c>
      <c r="V152" s="19">
        <v>4</v>
      </c>
      <c r="W152" s="19">
        <v>60158</v>
      </c>
      <c r="X152" s="24">
        <f>RANK(F152,$F$57:$F$183,0)</f>
        <v>96</v>
      </c>
      <c r="Y152" s="3" t="str">
        <f>IF(OR(ISERROR(F152),F152="-",NOT(ISNUMBER(F152))),"● N/A",IF(ROUND(F152, 4) &gt;= ROUND($F$184, 4),"▲ Above Average","▼ Below Average"))</f>
        <v>▼ Below Average</v>
      </c>
    </row>
    <row r="153" spans="2:25" x14ac:dyDescent="0.2">
      <c r="B153" s="17" t="s">
        <v>101</v>
      </c>
      <c r="C153" s="18">
        <v>1878</v>
      </c>
      <c r="D153" s="19">
        <v>1826</v>
      </c>
      <c r="E153" s="18">
        <f>IF(OR(D153="-",D153="",D153=0),IF(C153="-","-",C153),C153-D153)</f>
        <v>52</v>
      </c>
      <c r="F153" s="20">
        <f>IFERROR(IF(C153&gt;0, D153/C153, 0),"-")</f>
        <v>0.97231096911608095</v>
      </c>
      <c r="G153" s="18">
        <v>19</v>
      </c>
      <c r="H153" s="19">
        <v>6</v>
      </c>
      <c r="I153" s="18">
        <f>IF(OR(H153="-",H153="",H153=0),IF(G153="-","-",G153),G153-H153)</f>
        <v>13</v>
      </c>
      <c r="J153" s="20">
        <f>IFERROR(IF(G153&gt;0, H153/G153, 0),"-")</f>
        <v>0.31578947368421051</v>
      </c>
      <c r="K153" s="18">
        <v>27</v>
      </c>
      <c r="L153" s="19">
        <v>8</v>
      </c>
      <c r="M153" s="18">
        <f>IF(OR(L153="-",L153="",L153=0),IF(K153="-","-",K153),K153-L153)</f>
        <v>19</v>
      </c>
      <c r="N153" s="20">
        <f>IFERROR(IF(K153&gt;0, L153/K153, 0),"-")</f>
        <v>0.29629629629629628</v>
      </c>
      <c r="O153" s="18">
        <v>32</v>
      </c>
      <c r="P153" s="19">
        <v>8</v>
      </c>
      <c r="Q153" s="18">
        <f>IF(OR(P153="-",P153="",P153=0),IF(O153="-","-",O153),O153-P153)</f>
        <v>24</v>
      </c>
      <c r="R153" s="20">
        <f>IFERROR(IF(O153&gt;0, P153/O153, 0),"-")</f>
        <v>0.25</v>
      </c>
      <c r="S153" s="18">
        <v>1047</v>
      </c>
      <c r="T153" s="18">
        <v>32</v>
      </c>
      <c r="U153" s="18">
        <v>70300</v>
      </c>
      <c r="V153" s="19">
        <v>30</v>
      </c>
      <c r="W153" s="19">
        <v>882378</v>
      </c>
      <c r="X153" s="24">
        <f>RANK(F153,$F$57:$F$183,0)</f>
        <v>97</v>
      </c>
      <c r="Y153" s="3" t="str">
        <f>IF(OR(ISERROR(F153),F153="-",NOT(ISNUMBER(F153))),"● N/A",IF(ROUND(F153, 4) &gt;= ROUND($F$184, 4),"▲ Above Average","▼ Below Average"))</f>
        <v>▼ Below Average</v>
      </c>
    </row>
    <row r="154" spans="2:25" x14ac:dyDescent="0.2">
      <c r="B154" s="17" t="s">
        <v>125</v>
      </c>
      <c r="C154" s="18">
        <v>1080</v>
      </c>
      <c r="D154" s="19">
        <v>1050</v>
      </c>
      <c r="E154" s="18">
        <f>IF(OR(D154="-",D154="",D154=0),IF(C154="-","-",C154),C154-D154)</f>
        <v>30</v>
      </c>
      <c r="F154" s="20">
        <f>IFERROR(IF(C154&gt;0, D154/C154, 0),"-")</f>
        <v>0.97222222222222221</v>
      </c>
      <c r="G154" s="18">
        <v>18</v>
      </c>
      <c r="H154" s="19">
        <v>3</v>
      </c>
      <c r="I154" s="18">
        <f>IF(OR(H154="-",H154="",H154=0),IF(G154="-","-",G154),G154-H154)</f>
        <v>15</v>
      </c>
      <c r="J154" s="20">
        <f>IFERROR(IF(G154&gt;0, H154/G154, 0),"-")</f>
        <v>0.16666666666666666</v>
      </c>
      <c r="K154" s="18">
        <v>18</v>
      </c>
      <c r="L154" s="19">
        <v>2</v>
      </c>
      <c r="M154" s="18">
        <f>IF(OR(L154="-",L154="",L154=0),IF(K154="-","-",K154),K154-L154)</f>
        <v>16</v>
      </c>
      <c r="N154" s="20">
        <f>IFERROR(IF(K154&gt;0, L154/K154, 0),"-")</f>
        <v>0.1111111111111111</v>
      </c>
      <c r="O154" s="18">
        <v>28</v>
      </c>
      <c r="P154" s="19">
        <v>4</v>
      </c>
      <c r="Q154" s="18">
        <f>IF(OR(P154="-",P154="",P154=0),IF(O154="-","-",O154),O154-P154)</f>
        <v>24</v>
      </c>
      <c r="R154" s="20">
        <f>IFERROR(IF(O154&gt;0, P154/O154, 0),"-")</f>
        <v>0.14285714285714285</v>
      </c>
      <c r="S154" s="18">
        <v>830</v>
      </c>
      <c r="T154" s="18">
        <v>15</v>
      </c>
      <c r="U154" s="18">
        <v>75520</v>
      </c>
      <c r="V154" s="19">
        <v>4</v>
      </c>
      <c r="W154" s="19">
        <v>52570</v>
      </c>
      <c r="X154" s="24">
        <f>RANK(F154,$F$57:$F$183,0)</f>
        <v>98</v>
      </c>
      <c r="Y154" s="3" t="str">
        <f>IF(OR(ISERROR(F154),F154="-",NOT(ISNUMBER(F154))),"● N/A",IF(ROUND(F154, 4) &gt;= ROUND($F$184, 4),"▲ Above Average","▼ Below Average"))</f>
        <v>▼ Below Average</v>
      </c>
    </row>
    <row r="155" spans="2:25" x14ac:dyDescent="0.2">
      <c r="B155" s="17" t="s">
        <v>128</v>
      </c>
      <c r="C155" s="18">
        <v>678</v>
      </c>
      <c r="D155" s="19">
        <v>659</v>
      </c>
      <c r="E155" s="18">
        <f>IF(OR(D155="-",D155="",D155=0),IF(C155="-","-",C155),C155-D155)</f>
        <v>19</v>
      </c>
      <c r="F155" s="20">
        <f>IFERROR(IF(C155&gt;0, D155/C155, 0),"-")</f>
        <v>0.971976401179941</v>
      </c>
      <c r="G155" s="18">
        <v>10</v>
      </c>
      <c r="H155" s="19">
        <v>5</v>
      </c>
      <c r="I155" s="18">
        <f>IF(OR(H155="-",H155="",H155=0),IF(G155="-","-",G155),G155-H155)</f>
        <v>5</v>
      </c>
      <c r="J155" s="20">
        <f>IFERROR(IF(G155&gt;0, H155/G155, 0),"-")</f>
        <v>0.5</v>
      </c>
      <c r="K155" s="18">
        <v>29</v>
      </c>
      <c r="L155" s="19">
        <v>8</v>
      </c>
      <c r="M155" s="18">
        <f>IF(OR(L155="-",L155="",L155=0),IF(K155="-","-",K155),K155-L155)</f>
        <v>21</v>
      </c>
      <c r="N155" s="20">
        <f>IFERROR(IF(K155&gt;0, L155/K155, 0),"-")</f>
        <v>0.27586206896551724</v>
      </c>
      <c r="O155" s="18">
        <v>39</v>
      </c>
      <c r="P155" s="19">
        <v>3</v>
      </c>
      <c r="Q155" s="18">
        <f>IF(OR(P155="-",P155="",P155=0),IF(O155="-","-",O155),O155-P155)</f>
        <v>36</v>
      </c>
      <c r="R155" s="20">
        <f>IFERROR(IF(O155&gt;0, P155/O155, 0),"-")</f>
        <v>7.6923076923076927E-2</v>
      </c>
      <c r="S155" s="18">
        <v>955</v>
      </c>
      <c r="T155" s="18">
        <v>15</v>
      </c>
      <c r="U155" s="18">
        <v>37070</v>
      </c>
      <c r="V155" s="19">
        <v>8</v>
      </c>
      <c r="W155" s="19">
        <v>94589</v>
      </c>
      <c r="X155" s="24">
        <f>RANK(F155,$F$57:$F$183,0)</f>
        <v>99</v>
      </c>
      <c r="Y155" s="3" t="str">
        <f>IF(OR(ISERROR(F155),F155="-",NOT(ISNUMBER(F155))),"● N/A",IF(ROUND(F155, 4) &gt;= ROUND($F$184, 4),"▲ Above Average","▼ Below Average"))</f>
        <v>▼ Below Average</v>
      </c>
    </row>
    <row r="156" spans="2:25" x14ac:dyDescent="0.2">
      <c r="B156" s="17" t="s">
        <v>44</v>
      </c>
      <c r="C156" s="18">
        <v>1066</v>
      </c>
      <c r="D156" s="19">
        <v>1036</v>
      </c>
      <c r="E156" s="18">
        <f>IF(OR(D156="-",D156="",D156=0),IF(C156="-","-",C156),C156-D156)</f>
        <v>30</v>
      </c>
      <c r="F156" s="20">
        <f>IFERROR(IF(C156&gt;0, D156/C156, 0),"-")</f>
        <v>0.97185741088180111</v>
      </c>
      <c r="G156" s="18">
        <v>12</v>
      </c>
      <c r="H156" s="19">
        <v>2</v>
      </c>
      <c r="I156" s="18">
        <f>IF(OR(H156="-",H156="",H156=0),IF(G156="-","-",G156),G156-H156)</f>
        <v>10</v>
      </c>
      <c r="J156" s="20">
        <f>IFERROR(IF(G156&gt;0, H156/G156, 0),"-")</f>
        <v>0.16666666666666666</v>
      </c>
      <c r="K156" s="18">
        <v>15</v>
      </c>
      <c r="L156" s="19">
        <v>5</v>
      </c>
      <c r="M156" s="18">
        <f>IF(OR(L156="-",L156="",L156=0),IF(K156="-","-",K156),K156-L156)</f>
        <v>10</v>
      </c>
      <c r="N156" s="20">
        <f>IFERROR(IF(K156&gt;0, L156/K156, 0),"-")</f>
        <v>0.33333333333333331</v>
      </c>
      <c r="O156" s="18">
        <v>24</v>
      </c>
      <c r="P156" s="19">
        <v>2</v>
      </c>
      <c r="Q156" s="18">
        <f>IF(OR(P156="-",P156="",P156=0),IF(O156="-","-",O156),O156-P156)</f>
        <v>22</v>
      </c>
      <c r="R156" s="20">
        <f>IFERROR(IF(O156&gt;0, P156/O156, 0),"-")</f>
        <v>8.3333333333333329E-2</v>
      </c>
      <c r="S156" s="18">
        <v>294</v>
      </c>
      <c r="T156" s="18">
        <v>5</v>
      </c>
      <c r="U156" s="18">
        <v>33340</v>
      </c>
      <c r="V156" s="19" t="s">
        <v>959</v>
      </c>
      <c r="W156" s="19" t="s">
        <v>959</v>
      </c>
      <c r="X156" s="24">
        <f>RANK(F156,$F$57:$F$183,0)</f>
        <v>100</v>
      </c>
      <c r="Y156" s="3" t="str">
        <f>IF(OR(ISERROR(F156),F156="-",NOT(ISNUMBER(F156))),"● N/A",IF(ROUND(F156, 4) &gt;= ROUND($F$184, 4),"▲ Above Average","▼ Below Average"))</f>
        <v>▼ Below Average</v>
      </c>
    </row>
    <row r="157" spans="2:25" x14ac:dyDescent="0.2">
      <c r="B157" s="17" t="s">
        <v>36</v>
      </c>
      <c r="C157" s="18">
        <v>1738</v>
      </c>
      <c r="D157" s="19">
        <v>1689</v>
      </c>
      <c r="E157" s="18">
        <f>IF(OR(D157="-",D157="",D157=0),IF(C157="-","-",C157),C157-D157)</f>
        <v>49</v>
      </c>
      <c r="F157" s="20">
        <f>IFERROR(IF(C157&gt;0, D157/C157, 0),"-")</f>
        <v>0.97180667433831991</v>
      </c>
      <c r="G157" s="18">
        <v>20</v>
      </c>
      <c r="H157" s="19">
        <v>7</v>
      </c>
      <c r="I157" s="18">
        <f>IF(OR(H157="-",H157="",H157=0),IF(G157="-","-",G157),G157-H157)</f>
        <v>13</v>
      </c>
      <c r="J157" s="20">
        <f>IFERROR(IF(G157&gt;0, H157/G157, 0),"-")</f>
        <v>0.35</v>
      </c>
      <c r="K157" s="18">
        <v>9</v>
      </c>
      <c r="L157" s="19">
        <v>4</v>
      </c>
      <c r="M157" s="18">
        <f>IF(OR(L157="-",L157="",L157=0),IF(K157="-","-",K157),K157-L157)</f>
        <v>5</v>
      </c>
      <c r="N157" s="20">
        <f>IFERROR(IF(K157&gt;0, L157/K157, 0),"-")</f>
        <v>0.44444444444444442</v>
      </c>
      <c r="O157" s="18">
        <v>24</v>
      </c>
      <c r="P157" s="19">
        <v>6</v>
      </c>
      <c r="Q157" s="18">
        <f>IF(OR(P157="-",P157="",P157=0),IF(O157="-","-",O157),O157-P157)</f>
        <v>18</v>
      </c>
      <c r="R157" s="20">
        <f>IFERROR(IF(O157&gt;0, P157/O157, 0),"-")</f>
        <v>0.25</v>
      </c>
      <c r="S157" s="18">
        <v>938</v>
      </c>
      <c r="T157" s="18">
        <v>12</v>
      </c>
      <c r="U157" s="18">
        <v>65815</v>
      </c>
      <c r="V157" s="19">
        <v>13</v>
      </c>
      <c r="W157" s="19">
        <v>274881</v>
      </c>
      <c r="X157" s="24">
        <f>RANK(F157,$F$57:$F$183,0)</f>
        <v>101</v>
      </c>
      <c r="Y157" s="3" t="str">
        <f>IF(OR(ISERROR(F157),F157="-",NOT(ISNUMBER(F157))),"● N/A",IF(ROUND(F157, 4) &gt;= ROUND($F$184, 4),"▲ Above Average","▼ Below Average"))</f>
        <v>▼ Below Average</v>
      </c>
    </row>
    <row r="158" spans="2:25" x14ac:dyDescent="0.2">
      <c r="B158" s="17" t="s">
        <v>21</v>
      </c>
      <c r="C158" s="18">
        <v>1588</v>
      </c>
      <c r="D158" s="19">
        <v>1543</v>
      </c>
      <c r="E158" s="18">
        <f>IF(OR(D158="-",D158="",D158=0),IF(C158="-","-",C158),C158-D158)</f>
        <v>45</v>
      </c>
      <c r="F158" s="20">
        <f>IFERROR(IF(C158&gt;0, D158/C158, 0),"-")</f>
        <v>0.97166246851385385</v>
      </c>
      <c r="G158" s="18">
        <v>12</v>
      </c>
      <c r="H158" s="19">
        <v>3</v>
      </c>
      <c r="I158" s="18">
        <f>IF(OR(H158="-",H158="",H158=0),IF(G158="-","-",G158),G158-H158)</f>
        <v>9</v>
      </c>
      <c r="J158" s="20">
        <f>IFERROR(IF(G158&gt;0, H158/G158, 0),"-")</f>
        <v>0.25</v>
      </c>
      <c r="K158" s="18">
        <v>6</v>
      </c>
      <c r="L158" s="19">
        <v>4</v>
      </c>
      <c r="M158" s="18">
        <f>IF(OR(L158="-",L158="",L158=0),IF(K158="-","-",K158),K158-L158)</f>
        <v>2</v>
      </c>
      <c r="N158" s="20">
        <f>IFERROR(IF(K158&gt;0, L158/K158, 0),"-")</f>
        <v>0.66666666666666663</v>
      </c>
      <c r="O158" s="18">
        <v>9</v>
      </c>
      <c r="P158" s="19">
        <v>1</v>
      </c>
      <c r="Q158" s="18">
        <f>IF(OR(P158="-",P158="",P158=0),IF(O158="-","-",O158),O158-P158)</f>
        <v>8</v>
      </c>
      <c r="R158" s="20">
        <f>IFERROR(IF(O158&gt;0, P158/O158, 0),"-")</f>
        <v>0.1111111111111111</v>
      </c>
      <c r="S158" s="18">
        <v>1496</v>
      </c>
      <c r="T158" s="18">
        <v>48</v>
      </c>
      <c r="U158" s="18">
        <v>71435</v>
      </c>
      <c r="V158" s="19">
        <v>6</v>
      </c>
      <c r="W158" s="19">
        <v>135825</v>
      </c>
      <c r="X158" s="24">
        <f>RANK(F158,$F$57:$F$183,0)</f>
        <v>102</v>
      </c>
      <c r="Y158" s="3" t="str">
        <f>IF(OR(ISERROR(F158),F158="-",NOT(ISNUMBER(F158))),"● N/A",IF(ROUND(F158, 4) &gt;= ROUND($F$184, 4),"▲ Above Average","▼ Below Average"))</f>
        <v>▼ Below Average</v>
      </c>
    </row>
    <row r="159" spans="2:25" x14ac:dyDescent="0.2">
      <c r="B159" s="17" t="s">
        <v>104</v>
      </c>
      <c r="C159" s="18">
        <v>1712</v>
      </c>
      <c r="D159" s="19">
        <v>1663</v>
      </c>
      <c r="E159" s="18">
        <f>IF(OR(D159="-",D159="",D159=0),IF(C159="-","-",C159),C159-D159)</f>
        <v>49</v>
      </c>
      <c r="F159" s="20">
        <f>IFERROR(IF(C159&gt;0, D159/C159, 0),"-")</f>
        <v>0.97137850467289721</v>
      </c>
      <c r="G159" s="18">
        <v>26</v>
      </c>
      <c r="H159" s="19">
        <v>7</v>
      </c>
      <c r="I159" s="18">
        <f>IF(OR(H159="-",H159="",H159=0),IF(G159="-","-",G159),G159-H159)</f>
        <v>19</v>
      </c>
      <c r="J159" s="20">
        <f>IFERROR(IF(G159&gt;0, H159/G159, 0),"-")</f>
        <v>0.26923076923076922</v>
      </c>
      <c r="K159" s="18">
        <v>23</v>
      </c>
      <c r="L159" s="19">
        <v>7</v>
      </c>
      <c r="M159" s="18">
        <f>IF(OR(L159="-",L159="",L159=0),IF(K159="-","-",K159),K159-L159)</f>
        <v>16</v>
      </c>
      <c r="N159" s="20">
        <f>IFERROR(IF(K159&gt;0, L159/K159, 0),"-")</f>
        <v>0.30434782608695654</v>
      </c>
      <c r="O159" s="18">
        <v>25</v>
      </c>
      <c r="P159" s="19">
        <v>6</v>
      </c>
      <c r="Q159" s="18">
        <f>IF(OR(P159="-",P159="",P159=0),IF(O159="-","-",O159),O159-P159)</f>
        <v>19</v>
      </c>
      <c r="R159" s="20">
        <f>IFERROR(IF(O159&gt;0, P159/O159, 0),"-")</f>
        <v>0.24</v>
      </c>
      <c r="S159" s="18">
        <v>1412</v>
      </c>
      <c r="T159" s="18">
        <v>12</v>
      </c>
      <c r="U159" s="18">
        <v>48450</v>
      </c>
      <c r="V159" s="19">
        <v>27</v>
      </c>
      <c r="W159" s="19">
        <v>602014</v>
      </c>
      <c r="X159" s="24">
        <f>RANK(F159,$F$57:$F$183,0)</f>
        <v>103</v>
      </c>
      <c r="Y159" s="3" t="str">
        <f>IF(OR(ISERROR(F159),F159="-",NOT(ISNUMBER(F159))),"● N/A",IF(ROUND(F159, 4) &gt;= ROUND($F$184, 4),"▲ Above Average","▼ Below Average"))</f>
        <v>▼ Below Average</v>
      </c>
    </row>
    <row r="160" spans="2:25" x14ac:dyDescent="0.2">
      <c r="B160" s="17" t="s">
        <v>91</v>
      </c>
      <c r="C160" s="18">
        <v>1043</v>
      </c>
      <c r="D160" s="19">
        <v>1012</v>
      </c>
      <c r="E160" s="18">
        <f>IF(OR(D160="-",D160="",D160=0),IF(C160="-","-",C160),C160-D160)</f>
        <v>31</v>
      </c>
      <c r="F160" s="20">
        <f>IFERROR(IF(C160&gt;0, D160/C160, 0),"-")</f>
        <v>0.97027804410354745</v>
      </c>
      <c r="G160" s="18">
        <v>11</v>
      </c>
      <c r="H160" s="19">
        <v>1</v>
      </c>
      <c r="I160" s="18">
        <f>IF(OR(H160="-",H160="",H160=0),IF(G160="-","-",G160),G160-H160)</f>
        <v>10</v>
      </c>
      <c r="J160" s="20">
        <f>IFERROR(IF(G160&gt;0, H160/G160, 0),"-")</f>
        <v>9.0909090909090912E-2</v>
      </c>
      <c r="K160" s="18">
        <v>11</v>
      </c>
      <c r="L160" s="19">
        <v>4</v>
      </c>
      <c r="M160" s="18">
        <f>IF(OR(L160="-",L160="",L160=0),IF(K160="-","-",K160),K160-L160)</f>
        <v>7</v>
      </c>
      <c r="N160" s="20">
        <f>IFERROR(IF(K160&gt;0, L160/K160, 0),"-")</f>
        <v>0.36363636363636365</v>
      </c>
      <c r="O160" s="18">
        <v>22</v>
      </c>
      <c r="P160" s="19">
        <v>3</v>
      </c>
      <c r="Q160" s="18">
        <f>IF(OR(P160="-",P160="",P160=0),IF(O160="-","-",O160),O160-P160)</f>
        <v>19</v>
      </c>
      <c r="R160" s="20">
        <f>IFERROR(IF(O160&gt;0, P160/O160, 0),"-")</f>
        <v>0.13636363636363635</v>
      </c>
      <c r="S160" s="18">
        <v>740</v>
      </c>
      <c r="T160" s="18">
        <v>22</v>
      </c>
      <c r="U160" s="18">
        <v>63595</v>
      </c>
      <c r="V160" s="19" t="s">
        <v>959</v>
      </c>
      <c r="W160" s="19" t="s">
        <v>959</v>
      </c>
      <c r="X160" s="24">
        <f>RANK(F160,$F$57:$F$183,0)</f>
        <v>104</v>
      </c>
      <c r="Y160" s="3" t="str">
        <f>IF(OR(ISERROR(F160),F160="-",NOT(ISNUMBER(F160))),"● N/A",IF(ROUND(F160, 4) &gt;= ROUND($F$184, 4),"▲ Above Average","▼ Below Average"))</f>
        <v>▼ Below Average</v>
      </c>
    </row>
    <row r="161" spans="2:25" x14ac:dyDescent="0.2">
      <c r="B161" s="17" t="s">
        <v>94</v>
      </c>
      <c r="C161" s="18">
        <v>1001</v>
      </c>
      <c r="D161" s="19">
        <v>971</v>
      </c>
      <c r="E161" s="18">
        <f>IF(OR(D161="-",D161="",D161=0),IF(C161="-","-",C161),C161-D161)</f>
        <v>30</v>
      </c>
      <c r="F161" s="20">
        <f>IFERROR(IF(C161&gt;0, D161/C161, 0),"-")</f>
        <v>0.97002997002997005</v>
      </c>
      <c r="G161" s="18">
        <v>13</v>
      </c>
      <c r="H161" s="19">
        <v>3</v>
      </c>
      <c r="I161" s="18">
        <f>IF(OR(H161="-",H161="",H161=0),IF(G161="-","-",G161),G161-H161)</f>
        <v>10</v>
      </c>
      <c r="J161" s="20">
        <f>IFERROR(IF(G161&gt;0, H161/G161, 0),"-")</f>
        <v>0.23076923076923078</v>
      </c>
      <c r="K161" s="18">
        <v>24</v>
      </c>
      <c r="L161" s="19">
        <v>3</v>
      </c>
      <c r="M161" s="18">
        <f>IF(OR(L161="-",L161="",L161=0),IF(K161="-","-",K161),K161-L161)</f>
        <v>21</v>
      </c>
      <c r="N161" s="20">
        <f>IFERROR(IF(K161&gt;0, L161/K161, 0),"-")</f>
        <v>0.125</v>
      </c>
      <c r="O161" s="18">
        <v>19</v>
      </c>
      <c r="P161" s="19">
        <v>4</v>
      </c>
      <c r="Q161" s="18">
        <f>IF(OR(P161="-",P161="",P161=0),IF(O161="-","-",O161),O161-P161)</f>
        <v>15</v>
      </c>
      <c r="R161" s="20">
        <f>IFERROR(IF(O161&gt;0, P161/O161, 0),"-")</f>
        <v>0.21052631578947367</v>
      </c>
      <c r="S161" s="18">
        <v>1871</v>
      </c>
      <c r="T161" s="18">
        <v>10</v>
      </c>
      <c r="U161" s="18">
        <v>133260</v>
      </c>
      <c r="V161" s="19">
        <v>44</v>
      </c>
      <c r="W161" s="19">
        <v>1052426</v>
      </c>
      <c r="X161" s="24">
        <f>RANK(F161,$F$57:$F$183,0)</f>
        <v>105</v>
      </c>
      <c r="Y161" s="3" t="str">
        <f>IF(OR(ISERROR(F161),F161="-",NOT(ISNUMBER(F161))),"● N/A",IF(ROUND(F161, 4) &gt;= ROUND($F$184, 4),"▲ Above Average","▼ Below Average"))</f>
        <v>▼ Below Average</v>
      </c>
    </row>
    <row r="162" spans="2:25" x14ac:dyDescent="0.2">
      <c r="B162" s="17" t="s">
        <v>74</v>
      </c>
      <c r="C162" s="18">
        <v>855</v>
      </c>
      <c r="D162" s="19">
        <v>829</v>
      </c>
      <c r="E162" s="18">
        <f>IF(OR(D162="-",D162="",D162=0),IF(C162="-","-",C162),C162-D162)</f>
        <v>26</v>
      </c>
      <c r="F162" s="20">
        <f>IFERROR(IF(C162&gt;0, D162/C162, 0),"-")</f>
        <v>0.96959064327485378</v>
      </c>
      <c r="G162" s="18">
        <v>10</v>
      </c>
      <c r="H162" s="19" t="s">
        <v>959</v>
      </c>
      <c r="I162" s="18">
        <f>IF(OR(H162="-",H162="",H162=0),IF(G162="-","-",G162),G162-H162)</f>
        <v>10</v>
      </c>
      <c r="J162" s="20" t="str">
        <f>IFERROR(IF(G162&gt;0, H162/G162, 0),"-")</f>
        <v>-</v>
      </c>
      <c r="K162" s="18">
        <v>6</v>
      </c>
      <c r="L162" s="19">
        <v>3</v>
      </c>
      <c r="M162" s="18">
        <f>IF(OR(L162="-",L162="",L162=0),IF(K162="-","-",K162),K162-L162)</f>
        <v>3</v>
      </c>
      <c r="N162" s="20">
        <f>IFERROR(IF(K162&gt;0, L162/K162, 0),"-")</f>
        <v>0.5</v>
      </c>
      <c r="O162" s="18">
        <v>7</v>
      </c>
      <c r="P162" s="19" t="s">
        <v>959</v>
      </c>
      <c r="Q162" s="18">
        <f>IF(OR(P162="-",P162="",P162=0),IF(O162="-","-",O162),O162-P162)</f>
        <v>7</v>
      </c>
      <c r="R162" s="20" t="str">
        <f>IFERROR(IF(O162&gt;0, P162/O162, 0),"-")</f>
        <v>-</v>
      </c>
      <c r="S162" s="18">
        <v>364</v>
      </c>
      <c r="T162" s="18">
        <v>3</v>
      </c>
      <c r="U162" s="18">
        <v>6490</v>
      </c>
      <c r="V162" s="19">
        <v>1</v>
      </c>
      <c r="W162" s="19">
        <v>14631</v>
      </c>
      <c r="X162" s="24">
        <f>RANK(F162,$F$57:$F$183,0)</f>
        <v>106</v>
      </c>
      <c r="Y162" s="3" t="str">
        <f>IF(OR(ISERROR(F162),F162="-",NOT(ISNUMBER(F162))),"● N/A",IF(ROUND(F162, 4) &gt;= ROUND($F$184, 4),"▲ Above Average","▼ Below Average"))</f>
        <v>▼ Below Average</v>
      </c>
    </row>
    <row r="163" spans="2:25" x14ac:dyDescent="0.2">
      <c r="B163" s="17" t="s">
        <v>1</v>
      </c>
      <c r="C163" s="18">
        <v>1283</v>
      </c>
      <c r="D163" s="19">
        <v>1241</v>
      </c>
      <c r="E163" s="18">
        <f>IF(OR(D163="-",D163="",D163=0),IF(C163="-","-",C163),C163-D163)</f>
        <v>42</v>
      </c>
      <c r="F163" s="20">
        <f>IFERROR(IF(C163&gt;0, D163/C163, 0),"-")</f>
        <v>0.96726422447388927</v>
      </c>
      <c r="G163" s="18">
        <v>40</v>
      </c>
      <c r="H163" s="19">
        <v>22</v>
      </c>
      <c r="I163" s="18">
        <f>IF(OR(H163="-",H163="",H163=0),IF(G163="-","-",G163),G163-H163)</f>
        <v>18</v>
      </c>
      <c r="J163" s="20">
        <f>IFERROR(IF(G163&gt;0, H163/G163, 0),"-")</f>
        <v>0.55000000000000004</v>
      </c>
      <c r="K163" s="18">
        <v>28</v>
      </c>
      <c r="L163" s="19">
        <v>5</v>
      </c>
      <c r="M163" s="18">
        <f>IF(OR(L163="-",L163="",L163=0),IF(K163="-","-",K163),K163-L163)</f>
        <v>23</v>
      </c>
      <c r="N163" s="20">
        <f>IFERROR(IF(K163&gt;0, L163/K163, 0),"-")</f>
        <v>0.17857142857142858</v>
      </c>
      <c r="O163" s="18">
        <v>27</v>
      </c>
      <c r="P163" s="19">
        <v>4</v>
      </c>
      <c r="Q163" s="18">
        <f>IF(OR(P163="-",P163="",P163=0),IF(O163="-","-",O163),O163-P163)</f>
        <v>23</v>
      </c>
      <c r="R163" s="20">
        <f>IFERROR(IF(O163&gt;0, P163/O163, 0),"-")</f>
        <v>0.14814814814814814</v>
      </c>
      <c r="S163" s="18">
        <v>1424</v>
      </c>
      <c r="T163" s="18">
        <v>10</v>
      </c>
      <c r="U163" s="18">
        <v>47125</v>
      </c>
      <c r="V163" s="19">
        <v>13</v>
      </c>
      <c r="W163" s="19">
        <v>245570</v>
      </c>
      <c r="X163" s="24">
        <f>RANK(F163,$F$57:$F$183,0)</f>
        <v>107</v>
      </c>
      <c r="Y163" s="3" t="str">
        <f>IF(OR(ISERROR(F163),F163="-",NOT(ISNUMBER(F163))),"● N/A",IF(ROUND(F163, 4) &gt;= ROUND($F$184, 4),"▲ Above Average","▼ Below Average"))</f>
        <v>▼ Below Average</v>
      </c>
    </row>
    <row r="164" spans="2:25" x14ac:dyDescent="0.2">
      <c r="B164" s="17" t="s">
        <v>135</v>
      </c>
      <c r="C164" s="18">
        <v>1224</v>
      </c>
      <c r="D164" s="19">
        <v>1183</v>
      </c>
      <c r="E164" s="18">
        <f>IF(OR(D164="-",D164="",D164=0),IF(C164="-","-",C164),C164-D164)</f>
        <v>41</v>
      </c>
      <c r="F164" s="20">
        <f>IFERROR(IF(C164&gt;0, D164/C164, 0),"-")</f>
        <v>0.96650326797385622</v>
      </c>
      <c r="G164" s="18">
        <v>20</v>
      </c>
      <c r="H164" s="19">
        <v>9</v>
      </c>
      <c r="I164" s="18">
        <f>IF(OR(H164="-",H164="",H164=0),IF(G164="-","-",G164),G164-H164)</f>
        <v>11</v>
      </c>
      <c r="J164" s="20">
        <f>IFERROR(IF(G164&gt;0, H164/G164, 0),"-")</f>
        <v>0.45</v>
      </c>
      <c r="K164" s="18">
        <v>7</v>
      </c>
      <c r="L164" s="19">
        <v>3</v>
      </c>
      <c r="M164" s="18">
        <f>IF(OR(L164="-",L164="",L164=0),IF(K164="-","-",K164),K164-L164)</f>
        <v>4</v>
      </c>
      <c r="N164" s="20">
        <f>IFERROR(IF(K164&gt;0, L164/K164, 0),"-")</f>
        <v>0.42857142857142855</v>
      </c>
      <c r="O164" s="18">
        <v>9</v>
      </c>
      <c r="P164" s="19">
        <v>1</v>
      </c>
      <c r="Q164" s="18">
        <f>IF(OR(P164="-",P164="",P164=0),IF(O164="-","-",O164),O164-P164)</f>
        <v>8</v>
      </c>
      <c r="R164" s="20">
        <f>IFERROR(IF(O164&gt;0, P164/O164, 0),"-")</f>
        <v>0.1111111111111111</v>
      </c>
      <c r="S164" s="18">
        <v>1690</v>
      </c>
      <c r="T164" s="18">
        <v>35</v>
      </c>
      <c r="U164" s="18">
        <v>322000</v>
      </c>
      <c r="V164" s="19">
        <v>31</v>
      </c>
      <c r="W164" s="19">
        <v>675255</v>
      </c>
      <c r="X164" s="24">
        <f>RANK(F164,$F$57:$F$183,0)</f>
        <v>108</v>
      </c>
      <c r="Y164" s="3" t="str">
        <f>IF(OR(ISERROR(F164),F164="-",NOT(ISNUMBER(F164))),"● N/A",IF(ROUND(F164, 4) &gt;= ROUND($F$184, 4),"▲ Above Average","▼ Below Average"))</f>
        <v>▼ Below Average</v>
      </c>
    </row>
    <row r="165" spans="2:25" x14ac:dyDescent="0.2">
      <c r="B165" s="17" t="s">
        <v>54</v>
      </c>
      <c r="C165" s="18">
        <v>1062</v>
      </c>
      <c r="D165" s="19">
        <v>1026</v>
      </c>
      <c r="E165" s="18">
        <f>IF(OR(D165="-",D165="",D165=0),IF(C165="-","-",C165),C165-D165)</f>
        <v>36</v>
      </c>
      <c r="F165" s="20">
        <f>IFERROR(IF(C165&gt;0, D165/C165, 0),"-")</f>
        <v>0.96610169491525422</v>
      </c>
      <c r="G165" s="18">
        <v>25</v>
      </c>
      <c r="H165" s="19">
        <v>6</v>
      </c>
      <c r="I165" s="18">
        <f>IF(OR(H165="-",H165="",H165=0),IF(G165="-","-",G165),G165-H165)</f>
        <v>19</v>
      </c>
      <c r="J165" s="20">
        <f>IFERROR(IF(G165&gt;0, H165/G165, 0),"-")</f>
        <v>0.24</v>
      </c>
      <c r="K165" s="18">
        <v>17</v>
      </c>
      <c r="L165" s="19">
        <v>3</v>
      </c>
      <c r="M165" s="18">
        <f>IF(OR(L165="-",L165="",L165=0),IF(K165="-","-",K165),K165-L165)</f>
        <v>14</v>
      </c>
      <c r="N165" s="20">
        <f>IFERROR(IF(K165&gt;0, L165/K165, 0),"-")</f>
        <v>0.17647058823529413</v>
      </c>
      <c r="O165" s="18">
        <v>27</v>
      </c>
      <c r="P165" s="19">
        <v>3</v>
      </c>
      <c r="Q165" s="18">
        <f>IF(OR(P165="-",P165="",P165=0),IF(O165="-","-",O165),O165-P165)</f>
        <v>24</v>
      </c>
      <c r="R165" s="20">
        <f>IFERROR(IF(O165&gt;0, P165/O165, 0),"-")</f>
        <v>0.1111111111111111</v>
      </c>
      <c r="S165" s="18">
        <v>788</v>
      </c>
      <c r="T165" s="18">
        <v>11</v>
      </c>
      <c r="U165" s="18">
        <v>21226</v>
      </c>
      <c r="V165" s="19">
        <v>3</v>
      </c>
      <c r="W165" s="19">
        <v>41355</v>
      </c>
      <c r="X165" s="24">
        <f>RANK(F165,$F$57:$F$183,0)</f>
        <v>109</v>
      </c>
      <c r="Y165" s="3" t="str">
        <f>IF(OR(ISERROR(F165),F165="-",NOT(ISNUMBER(F165))),"● N/A",IF(ROUND(F165, 4) &gt;= ROUND($F$184, 4),"▲ Above Average","▼ Below Average"))</f>
        <v>▼ Below Average</v>
      </c>
    </row>
    <row r="166" spans="2:25" x14ac:dyDescent="0.2">
      <c r="B166" s="17" t="s">
        <v>105</v>
      </c>
      <c r="C166" s="18">
        <v>1088</v>
      </c>
      <c r="D166" s="19">
        <v>1051</v>
      </c>
      <c r="E166" s="18">
        <f>IF(OR(D166="-",D166="",D166=0),IF(C166="-","-",C166),C166-D166)</f>
        <v>37</v>
      </c>
      <c r="F166" s="20">
        <f>IFERROR(IF(C166&gt;0, D166/C166, 0),"-")</f>
        <v>0.96599264705882348</v>
      </c>
      <c r="G166" s="18">
        <v>8</v>
      </c>
      <c r="H166" s="19">
        <v>3</v>
      </c>
      <c r="I166" s="18">
        <f>IF(OR(H166="-",H166="",H166=0),IF(G166="-","-",G166),G166-H166)</f>
        <v>5</v>
      </c>
      <c r="J166" s="20">
        <f>IFERROR(IF(G166&gt;0, H166/G166, 0),"-")</f>
        <v>0.375</v>
      </c>
      <c r="K166" s="18">
        <v>10</v>
      </c>
      <c r="L166" s="19">
        <v>3</v>
      </c>
      <c r="M166" s="18">
        <f>IF(OR(L166="-",L166="",L166=0),IF(K166="-","-",K166),K166-L166)</f>
        <v>7</v>
      </c>
      <c r="N166" s="20">
        <f>IFERROR(IF(K166&gt;0, L166/K166, 0),"-")</f>
        <v>0.3</v>
      </c>
      <c r="O166" s="18">
        <v>14</v>
      </c>
      <c r="P166" s="19">
        <v>2</v>
      </c>
      <c r="Q166" s="18">
        <f>IF(OR(P166="-",P166="",P166=0),IF(O166="-","-",O166),O166-P166)</f>
        <v>12</v>
      </c>
      <c r="R166" s="20">
        <f>IFERROR(IF(O166&gt;0, P166/O166, 0),"-")</f>
        <v>0.14285714285714285</v>
      </c>
      <c r="S166" s="18">
        <v>777</v>
      </c>
      <c r="T166" s="18">
        <v>8</v>
      </c>
      <c r="U166" s="18">
        <v>91410</v>
      </c>
      <c r="V166" s="19">
        <v>17</v>
      </c>
      <c r="W166" s="19">
        <v>619542</v>
      </c>
      <c r="X166" s="24">
        <f>RANK(F166,$F$57:$F$183,0)</f>
        <v>110</v>
      </c>
      <c r="Y166" s="3" t="str">
        <f>IF(OR(ISERROR(F166),F166="-",NOT(ISNUMBER(F166))),"● N/A",IF(ROUND(F166, 4) &gt;= ROUND($F$184, 4),"▲ Above Average","▼ Below Average"))</f>
        <v>▼ Below Average</v>
      </c>
    </row>
    <row r="167" spans="2:25" x14ac:dyDescent="0.2">
      <c r="B167" s="17" t="s">
        <v>90</v>
      </c>
      <c r="C167" s="18">
        <v>1283</v>
      </c>
      <c r="D167" s="19">
        <v>1239</v>
      </c>
      <c r="E167" s="18">
        <f>IF(OR(D167="-",D167="",D167=0),IF(C167="-","-",C167),C167-D167)</f>
        <v>44</v>
      </c>
      <c r="F167" s="20">
        <f>IFERROR(IF(C167&gt;0, D167/C167, 0),"-")</f>
        <v>0.96570537802026502</v>
      </c>
      <c r="G167" s="18">
        <v>11</v>
      </c>
      <c r="H167" s="19">
        <v>2</v>
      </c>
      <c r="I167" s="18">
        <f>IF(OR(H167="-",H167="",H167=0),IF(G167="-","-",G167),G167-H167)</f>
        <v>9</v>
      </c>
      <c r="J167" s="20">
        <f>IFERROR(IF(G167&gt;0, H167/G167, 0),"-")</f>
        <v>0.18181818181818182</v>
      </c>
      <c r="K167" s="18">
        <v>33</v>
      </c>
      <c r="L167" s="19">
        <v>13</v>
      </c>
      <c r="M167" s="18">
        <f>IF(OR(L167="-",L167="",L167=0),IF(K167="-","-",K167),K167-L167)</f>
        <v>20</v>
      </c>
      <c r="N167" s="20">
        <f>IFERROR(IF(K167&gt;0, L167/K167, 0),"-")</f>
        <v>0.39393939393939392</v>
      </c>
      <c r="O167" s="18">
        <v>43</v>
      </c>
      <c r="P167" s="19">
        <v>8</v>
      </c>
      <c r="Q167" s="18">
        <f>IF(OR(P167="-",P167="",P167=0),IF(O167="-","-",O167),O167-P167)</f>
        <v>35</v>
      </c>
      <c r="R167" s="20">
        <f>IFERROR(IF(O167&gt;0, P167/O167, 0),"-")</f>
        <v>0.18604651162790697</v>
      </c>
      <c r="S167" s="18">
        <v>1667</v>
      </c>
      <c r="T167" s="18">
        <v>45</v>
      </c>
      <c r="U167" s="18">
        <v>174715</v>
      </c>
      <c r="V167" s="19">
        <v>4</v>
      </c>
      <c r="W167" s="19">
        <v>17861</v>
      </c>
      <c r="X167" s="24">
        <f>RANK(F167,$F$57:$F$183,0)</f>
        <v>111</v>
      </c>
      <c r="Y167" s="3" t="str">
        <f>IF(OR(ISERROR(F167),F167="-",NOT(ISNUMBER(F167))),"● N/A",IF(ROUND(F167, 4) &gt;= ROUND($F$184, 4),"▲ Above Average","▼ Below Average"))</f>
        <v>▼ Below Average</v>
      </c>
    </row>
    <row r="168" spans="2:25" x14ac:dyDescent="0.2">
      <c r="B168" s="17" t="s">
        <v>81</v>
      </c>
      <c r="C168" s="18">
        <v>1159</v>
      </c>
      <c r="D168" s="19">
        <v>1119</v>
      </c>
      <c r="E168" s="18">
        <f>IF(OR(D168="-",D168="",D168=0),IF(C168="-","-",C168),C168-D168)</f>
        <v>40</v>
      </c>
      <c r="F168" s="20">
        <f>IFERROR(IF(C168&gt;0, D168/C168, 0),"-")</f>
        <v>0.9654874892148404</v>
      </c>
      <c r="G168" s="18">
        <v>16</v>
      </c>
      <c r="H168" s="19">
        <v>6</v>
      </c>
      <c r="I168" s="18">
        <f>IF(OR(H168="-",H168="",H168=0),IF(G168="-","-",G168),G168-H168)</f>
        <v>10</v>
      </c>
      <c r="J168" s="20">
        <f>IFERROR(IF(G168&gt;0, H168/G168, 0),"-")</f>
        <v>0.375</v>
      </c>
      <c r="K168" s="18">
        <v>18</v>
      </c>
      <c r="L168" s="19">
        <v>6</v>
      </c>
      <c r="M168" s="18">
        <f>IF(OR(L168="-",L168="",L168=0),IF(K168="-","-",K168),K168-L168)</f>
        <v>12</v>
      </c>
      <c r="N168" s="20">
        <f>IFERROR(IF(K168&gt;0, L168/K168, 0),"-")</f>
        <v>0.33333333333333331</v>
      </c>
      <c r="O168" s="18">
        <v>27</v>
      </c>
      <c r="P168" s="19">
        <v>7</v>
      </c>
      <c r="Q168" s="18">
        <f>IF(OR(P168="-",P168="",P168=0),IF(O168="-","-",O168),O168-P168)</f>
        <v>20</v>
      </c>
      <c r="R168" s="20">
        <f>IFERROR(IF(O168&gt;0, P168/O168, 0),"-")</f>
        <v>0.25925925925925924</v>
      </c>
      <c r="S168" s="18">
        <v>1134</v>
      </c>
      <c r="T168" s="18">
        <v>17</v>
      </c>
      <c r="U168" s="18">
        <v>73812</v>
      </c>
      <c r="V168" s="19">
        <v>7</v>
      </c>
      <c r="W168" s="19">
        <v>108202</v>
      </c>
      <c r="X168" s="24">
        <f>RANK(F168,$F$57:$F$183,0)</f>
        <v>112</v>
      </c>
      <c r="Y168" s="3" t="str">
        <f>IF(OR(ISERROR(F168),F168="-",NOT(ISNUMBER(F168))),"● N/A",IF(ROUND(F168, 4) &gt;= ROUND($F$184, 4),"▲ Above Average","▼ Below Average"))</f>
        <v>▼ Below Average</v>
      </c>
    </row>
    <row r="169" spans="2:25" x14ac:dyDescent="0.2">
      <c r="B169" s="17" t="s">
        <v>34</v>
      </c>
      <c r="C169" s="18">
        <v>456</v>
      </c>
      <c r="D169" s="19">
        <v>440</v>
      </c>
      <c r="E169" s="18">
        <f>IF(OR(D169="-",D169="",D169=0),IF(C169="-","-",C169),C169-D169)</f>
        <v>16</v>
      </c>
      <c r="F169" s="20">
        <f>IFERROR(IF(C169&gt;0, D169/C169, 0),"-")</f>
        <v>0.96491228070175439</v>
      </c>
      <c r="G169" s="18">
        <v>4</v>
      </c>
      <c r="H169" s="19" t="s">
        <v>959</v>
      </c>
      <c r="I169" s="18">
        <f>IF(OR(H169="-",H169="",H169=0),IF(G169="-","-",G169),G169-H169)</f>
        <v>4</v>
      </c>
      <c r="J169" s="20" t="str">
        <f>IFERROR(IF(G169&gt;0, H169/G169, 0),"-")</f>
        <v>-</v>
      </c>
      <c r="K169" s="18">
        <v>4</v>
      </c>
      <c r="L169" s="19">
        <v>3</v>
      </c>
      <c r="M169" s="18">
        <f>IF(OR(L169="-",L169="",L169=0),IF(K169="-","-",K169),K169-L169)</f>
        <v>1</v>
      </c>
      <c r="N169" s="20">
        <f>IFERROR(IF(K169&gt;0, L169/K169, 0),"-")</f>
        <v>0.75</v>
      </c>
      <c r="O169" s="18">
        <v>4</v>
      </c>
      <c r="P169" s="19" t="s">
        <v>959</v>
      </c>
      <c r="Q169" s="18">
        <f>IF(OR(P169="-",P169="",P169=0),IF(O169="-","-",O169),O169-P169)</f>
        <v>4</v>
      </c>
      <c r="R169" s="20" t="str">
        <f>IFERROR(IF(O169&gt;0, P169/O169, 0),"-")</f>
        <v>-</v>
      </c>
      <c r="S169" s="18">
        <v>258</v>
      </c>
      <c r="T169" s="18">
        <v>8</v>
      </c>
      <c r="U169" s="18">
        <v>15905</v>
      </c>
      <c r="V169" s="19">
        <v>3</v>
      </c>
      <c r="W169" s="19">
        <v>71900</v>
      </c>
      <c r="X169" s="24">
        <f>RANK(F169,$F$57:$F$183,0)</f>
        <v>113</v>
      </c>
      <c r="Y169" s="3" t="str">
        <f>IF(OR(ISERROR(F169),F169="-",NOT(ISNUMBER(F169))),"● N/A",IF(ROUND(F169, 4) &gt;= ROUND($F$184, 4),"▲ Above Average","▼ Below Average"))</f>
        <v>▼ Below Average</v>
      </c>
    </row>
    <row r="170" spans="2:25" x14ac:dyDescent="0.2">
      <c r="B170" s="17" t="s">
        <v>122</v>
      </c>
      <c r="C170" s="18">
        <v>369</v>
      </c>
      <c r="D170" s="19">
        <v>356</v>
      </c>
      <c r="E170" s="18">
        <f>IF(OR(D170="-",D170="",D170=0),IF(C170="-","-",C170),C170-D170)</f>
        <v>13</v>
      </c>
      <c r="F170" s="20">
        <f>IFERROR(IF(C170&gt;0, D170/C170, 0),"-")</f>
        <v>0.964769647696477</v>
      </c>
      <c r="G170" s="18">
        <v>7</v>
      </c>
      <c r="H170" s="19">
        <v>4</v>
      </c>
      <c r="I170" s="18">
        <f>IF(OR(H170="-",H170="",H170=0),IF(G170="-","-",G170),G170-H170)</f>
        <v>3</v>
      </c>
      <c r="J170" s="20">
        <f>IFERROR(IF(G170&gt;0, H170/G170, 0),"-")</f>
        <v>0.5714285714285714</v>
      </c>
      <c r="K170" s="18">
        <v>4</v>
      </c>
      <c r="L170" s="19">
        <v>2</v>
      </c>
      <c r="M170" s="18">
        <f>IF(OR(L170="-",L170="",L170=0),IF(K170="-","-",K170),K170-L170)</f>
        <v>2</v>
      </c>
      <c r="N170" s="20">
        <f>IFERROR(IF(K170&gt;0, L170/K170, 0),"-")</f>
        <v>0.5</v>
      </c>
      <c r="O170" s="18">
        <v>1</v>
      </c>
      <c r="P170" s="19" t="s">
        <v>959</v>
      </c>
      <c r="Q170" s="18">
        <f>IF(OR(P170="-",P170="",P170=0),IF(O170="-","-",O170),O170-P170)</f>
        <v>1</v>
      </c>
      <c r="R170" s="20" t="str">
        <f>IFERROR(IF(O170&gt;0, P170/O170, 0),"-")</f>
        <v>-</v>
      </c>
      <c r="S170" s="18">
        <v>5</v>
      </c>
      <c r="T170" s="18">
        <v>2</v>
      </c>
      <c r="U170" s="18">
        <v>3695</v>
      </c>
      <c r="V170" s="19" t="s">
        <v>959</v>
      </c>
      <c r="W170" s="19" t="s">
        <v>959</v>
      </c>
      <c r="X170" s="24">
        <f>RANK(F170,$F$57:$F$183,0)</f>
        <v>114</v>
      </c>
      <c r="Y170" s="3" t="str">
        <f>IF(OR(ISERROR(F170),F170="-",NOT(ISNUMBER(F170))),"● N/A",IF(ROUND(F170, 4) &gt;= ROUND($F$184, 4),"▲ Above Average","▼ Below Average"))</f>
        <v>▼ Below Average</v>
      </c>
    </row>
    <row r="171" spans="2:25" x14ac:dyDescent="0.2">
      <c r="B171" s="17" t="s">
        <v>124</v>
      </c>
      <c r="C171" s="18">
        <v>726</v>
      </c>
      <c r="D171" s="19">
        <v>700</v>
      </c>
      <c r="E171" s="18">
        <f>IF(OR(D171="-",D171="",D171=0),IF(C171="-","-",C171),C171-D171)</f>
        <v>26</v>
      </c>
      <c r="F171" s="20">
        <f>IFERROR(IF(C171&gt;0, D171/C171, 0),"-")</f>
        <v>0.96418732782369143</v>
      </c>
      <c r="G171" s="18">
        <v>23</v>
      </c>
      <c r="H171" s="19">
        <v>8</v>
      </c>
      <c r="I171" s="18">
        <f>IF(OR(H171="-",H171="",H171=0),IF(G171="-","-",G171),G171-H171)</f>
        <v>15</v>
      </c>
      <c r="J171" s="20">
        <f>IFERROR(IF(G171&gt;0, H171/G171, 0),"-")</f>
        <v>0.34782608695652173</v>
      </c>
      <c r="K171" s="18">
        <v>7</v>
      </c>
      <c r="L171" s="19" t="s">
        <v>959</v>
      </c>
      <c r="M171" s="18">
        <f>IF(OR(L171="-",L171="",L171=0),IF(K171="-","-",K171),K171-L171)</f>
        <v>7</v>
      </c>
      <c r="N171" s="20" t="str">
        <f>IFERROR(IF(K171&gt;0, L171/K171, 0),"-")</f>
        <v>-</v>
      </c>
      <c r="O171" s="18">
        <v>11</v>
      </c>
      <c r="P171" s="19">
        <v>1</v>
      </c>
      <c r="Q171" s="18">
        <f>IF(OR(P171="-",P171="",P171=0),IF(O171="-","-",O171),O171-P171)</f>
        <v>10</v>
      </c>
      <c r="R171" s="20">
        <f>IFERROR(IF(O171&gt;0, P171/O171, 0),"-")</f>
        <v>9.0909090909090912E-2</v>
      </c>
      <c r="S171" s="18">
        <v>24</v>
      </c>
      <c r="T171" s="18" t="s">
        <v>959</v>
      </c>
      <c r="U171" s="18" t="s">
        <v>959</v>
      </c>
      <c r="V171" s="19" t="s">
        <v>959</v>
      </c>
      <c r="W171" s="19" t="s">
        <v>959</v>
      </c>
      <c r="X171" s="24">
        <f>RANK(F171,$F$57:$F$183,0)</f>
        <v>115</v>
      </c>
      <c r="Y171" s="3" t="str">
        <f>IF(OR(ISERROR(F171),F171="-",NOT(ISNUMBER(F171))),"● N/A",IF(ROUND(F171, 4) &gt;= ROUND($F$184, 4),"▲ Above Average","▼ Below Average"))</f>
        <v>▼ Below Average</v>
      </c>
    </row>
    <row r="172" spans="2:25" x14ac:dyDescent="0.2">
      <c r="B172" s="17" t="s">
        <v>96</v>
      </c>
      <c r="C172" s="18">
        <v>1061</v>
      </c>
      <c r="D172" s="19">
        <v>1023</v>
      </c>
      <c r="E172" s="18">
        <f>IF(OR(D172="-",D172="",D172=0),IF(C172="-","-",C172),C172-D172)</f>
        <v>38</v>
      </c>
      <c r="F172" s="20">
        <f>IFERROR(IF(C172&gt;0, D172/C172, 0),"-")</f>
        <v>0.96418473138548544</v>
      </c>
      <c r="G172" s="18">
        <v>14</v>
      </c>
      <c r="H172" s="19">
        <v>4</v>
      </c>
      <c r="I172" s="18">
        <f>IF(OR(H172="-",H172="",H172=0),IF(G172="-","-",G172),G172-H172)</f>
        <v>10</v>
      </c>
      <c r="J172" s="20">
        <f>IFERROR(IF(G172&gt;0, H172/G172, 0),"-")</f>
        <v>0.2857142857142857</v>
      </c>
      <c r="K172" s="18">
        <v>9</v>
      </c>
      <c r="L172" s="19">
        <v>5</v>
      </c>
      <c r="M172" s="18">
        <f>IF(OR(L172="-",L172="",L172=0),IF(K172="-","-",K172),K172-L172)</f>
        <v>4</v>
      </c>
      <c r="N172" s="20">
        <f>IFERROR(IF(K172&gt;0, L172/K172, 0),"-")</f>
        <v>0.55555555555555558</v>
      </c>
      <c r="O172" s="18">
        <v>15</v>
      </c>
      <c r="P172" s="19">
        <v>4</v>
      </c>
      <c r="Q172" s="18">
        <f>IF(OR(P172="-",P172="",P172=0),IF(O172="-","-",O172),O172-P172)</f>
        <v>11</v>
      </c>
      <c r="R172" s="20">
        <f>IFERROR(IF(O172&gt;0, P172/O172, 0),"-")</f>
        <v>0.26666666666666666</v>
      </c>
      <c r="S172" s="18">
        <v>1317</v>
      </c>
      <c r="T172" s="18">
        <v>10</v>
      </c>
      <c r="U172" s="18">
        <v>53440</v>
      </c>
      <c r="V172" s="19">
        <v>11</v>
      </c>
      <c r="W172" s="19">
        <v>295269</v>
      </c>
      <c r="X172" s="24">
        <f>RANK(F172,$F$57:$F$183,0)</f>
        <v>116</v>
      </c>
      <c r="Y172" s="3" t="str">
        <f>IF(OR(ISERROR(F172),F172="-",NOT(ISNUMBER(F172))),"● N/A",IF(ROUND(F172, 4) &gt;= ROUND($F$184, 4),"▲ Above Average","▼ Below Average"))</f>
        <v>▼ Below Average</v>
      </c>
    </row>
    <row r="173" spans="2:25" x14ac:dyDescent="0.2">
      <c r="B173" s="17" t="s">
        <v>70</v>
      </c>
      <c r="C173" s="18">
        <v>892</v>
      </c>
      <c r="D173" s="19">
        <v>860</v>
      </c>
      <c r="E173" s="18">
        <f>IF(OR(D173="-",D173="",D173=0),IF(C173="-","-",C173),C173-D173)</f>
        <v>32</v>
      </c>
      <c r="F173" s="20">
        <f>IFERROR(IF(C173&gt;0, D173/C173, 0),"-")</f>
        <v>0.9641255605381166</v>
      </c>
      <c r="G173" s="18">
        <v>10</v>
      </c>
      <c r="H173" s="19">
        <v>3</v>
      </c>
      <c r="I173" s="18">
        <f>IF(OR(H173="-",H173="",H173=0),IF(G173="-","-",G173),G173-H173)</f>
        <v>7</v>
      </c>
      <c r="J173" s="20">
        <f>IFERROR(IF(G173&gt;0, H173/G173, 0),"-")</f>
        <v>0.3</v>
      </c>
      <c r="K173" s="18">
        <v>7</v>
      </c>
      <c r="L173" s="19">
        <v>6</v>
      </c>
      <c r="M173" s="18">
        <f>IF(OR(L173="-",L173="",L173=0),IF(K173="-","-",K173),K173-L173)</f>
        <v>1</v>
      </c>
      <c r="N173" s="20">
        <f>IFERROR(IF(K173&gt;0, L173/K173, 0),"-")</f>
        <v>0.8571428571428571</v>
      </c>
      <c r="O173" s="18">
        <v>11</v>
      </c>
      <c r="P173" s="19">
        <v>3</v>
      </c>
      <c r="Q173" s="18">
        <f>IF(OR(P173="-",P173="",P173=0),IF(O173="-","-",O173),O173-P173)</f>
        <v>8</v>
      </c>
      <c r="R173" s="20">
        <f>IFERROR(IF(O173&gt;0, P173/O173, 0),"-")</f>
        <v>0.27272727272727271</v>
      </c>
      <c r="S173" s="18">
        <v>547</v>
      </c>
      <c r="T173" s="18">
        <v>24</v>
      </c>
      <c r="U173" s="18">
        <v>27570</v>
      </c>
      <c r="V173" s="19">
        <v>2</v>
      </c>
      <c r="W173" s="19">
        <v>28260</v>
      </c>
      <c r="X173" s="24">
        <f>RANK(F173,$F$57:$F$183,0)</f>
        <v>117</v>
      </c>
      <c r="Y173" s="3" t="str">
        <f>IF(OR(ISERROR(F173),F173="-",NOT(ISNUMBER(F173))),"● N/A",IF(ROUND(F173, 4) &gt;= ROUND($F$184, 4),"▲ Above Average","▼ Below Average"))</f>
        <v>▼ Below Average</v>
      </c>
    </row>
    <row r="174" spans="2:25" x14ac:dyDescent="0.2">
      <c r="B174" s="17" t="s">
        <v>10</v>
      </c>
      <c r="C174" s="18">
        <v>1538</v>
      </c>
      <c r="D174" s="19">
        <v>1479</v>
      </c>
      <c r="E174" s="18">
        <f>IF(OR(D174="-",D174="",D174=0),IF(C174="-","-",C174),C174-D174)</f>
        <v>59</v>
      </c>
      <c r="F174" s="20">
        <f>IFERROR(IF(C174&gt;0, D174/C174, 0),"-")</f>
        <v>0.96163849154746428</v>
      </c>
      <c r="G174" s="18">
        <v>14</v>
      </c>
      <c r="H174" s="19">
        <v>1</v>
      </c>
      <c r="I174" s="18">
        <f>IF(OR(H174="-",H174="",H174=0),IF(G174="-","-",G174),G174-H174)</f>
        <v>13</v>
      </c>
      <c r="J174" s="20">
        <f>IFERROR(IF(G174&gt;0, H174/G174, 0),"-")</f>
        <v>7.1428571428571425E-2</v>
      </c>
      <c r="K174" s="18">
        <v>18</v>
      </c>
      <c r="L174" s="19">
        <v>4</v>
      </c>
      <c r="M174" s="18">
        <f>IF(OR(L174="-",L174="",L174=0),IF(K174="-","-",K174),K174-L174)</f>
        <v>14</v>
      </c>
      <c r="N174" s="20">
        <f>IFERROR(IF(K174&gt;0, L174/K174, 0),"-")</f>
        <v>0.22222222222222221</v>
      </c>
      <c r="O174" s="18">
        <v>20</v>
      </c>
      <c r="P174" s="19">
        <v>1</v>
      </c>
      <c r="Q174" s="18">
        <f>IF(OR(P174="-",P174="",P174=0),IF(O174="-","-",O174),O174-P174)</f>
        <v>19</v>
      </c>
      <c r="R174" s="20">
        <f>IFERROR(IF(O174&gt;0, P174/O174, 0),"-")</f>
        <v>0.05</v>
      </c>
      <c r="S174" s="18">
        <v>1158</v>
      </c>
      <c r="T174" s="18">
        <v>3</v>
      </c>
      <c r="U174" s="18">
        <v>47390</v>
      </c>
      <c r="V174" s="19">
        <v>6</v>
      </c>
      <c r="W174" s="19">
        <v>107251</v>
      </c>
      <c r="X174" s="24">
        <f>RANK(F174,$F$57:$F$183,0)</f>
        <v>118</v>
      </c>
      <c r="Y174" s="3" t="str">
        <f>IF(OR(ISERROR(F174),F174="-",NOT(ISNUMBER(F174))),"● N/A",IF(ROUND(F174, 4) &gt;= ROUND($F$184, 4),"▲ Above Average","▼ Below Average"))</f>
        <v>▼ Below Average</v>
      </c>
    </row>
    <row r="175" spans="2:25" x14ac:dyDescent="0.2">
      <c r="B175" s="17" t="s">
        <v>83</v>
      </c>
      <c r="C175" s="18">
        <v>690</v>
      </c>
      <c r="D175" s="19">
        <v>663</v>
      </c>
      <c r="E175" s="18">
        <f>IF(OR(D175="-",D175="",D175=0),IF(C175="-","-",C175),C175-D175)</f>
        <v>27</v>
      </c>
      <c r="F175" s="20">
        <f>IFERROR(IF(C175&gt;0, D175/C175, 0),"-")</f>
        <v>0.96086956521739131</v>
      </c>
      <c r="G175" s="18">
        <v>14</v>
      </c>
      <c r="H175" s="19">
        <v>8</v>
      </c>
      <c r="I175" s="18">
        <f>IF(OR(H175="-",H175="",H175=0),IF(G175="-","-",G175),G175-H175)</f>
        <v>6</v>
      </c>
      <c r="J175" s="20">
        <f>IFERROR(IF(G175&gt;0, H175/G175, 0),"-")</f>
        <v>0.5714285714285714</v>
      </c>
      <c r="K175" s="18">
        <v>3</v>
      </c>
      <c r="L175" s="19">
        <v>3</v>
      </c>
      <c r="M175" s="18">
        <f>IF(OR(L175="-",L175="",L175=0),IF(K175="-","-",K175),K175-L175)</f>
        <v>0</v>
      </c>
      <c r="N175" s="20">
        <f>IFERROR(IF(K175&gt;0, L175/K175, 0),"-")</f>
        <v>1</v>
      </c>
      <c r="O175" s="18">
        <v>13</v>
      </c>
      <c r="P175" s="19">
        <v>5</v>
      </c>
      <c r="Q175" s="18">
        <f>IF(OR(P175="-",P175="",P175=0),IF(O175="-","-",O175),O175-P175)</f>
        <v>8</v>
      </c>
      <c r="R175" s="20">
        <f>IFERROR(IF(O175&gt;0, P175/O175, 0),"-")</f>
        <v>0.38461538461538464</v>
      </c>
      <c r="S175" s="18">
        <v>920</v>
      </c>
      <c r="T175" s="18">
        <v>8</v>
      </c>
      <c r="U175" s="18">
        <v>32115</v>
      </c>
      <c r="V175" s="19">
        <v>7</v>
      </c>
      <c r="W175" s="19">
        <v>190162</v>
      </c>
      <c r="X175" s="24">
        <f>RANK(F175,$F$57:$F$183,0)</f>
        <v>119</v>
      </c>
      <c r="Y175" s="3" t="str">
        <f>IF(OR(ISERROR(F175),F175="-",NOT(ISNUMBER(F175))),"● N/A",IF(ROUND(F175, 4) &gt;= ROUND($F$184, 4),"▲ Above Average","▼ Below Average"))</f>
        <v>▼ Below Average</v>
      </c>
    </row>
    <row r="176" spans="2:25" x14ac:dyDescent="0.2">
      <c r="B176" s="17" t="s">
        <v>116</v>
      </c>
      <c r="C176" s="18">
        <v>1065</v>
      </c>
      <c r="D176" s="19">
        <v>1022</v>
      </c>
      <c r="E176" s="18">
        <f>IF(OR(D176="-",D176="",D176=0),IF(C176="-","-",C176),C176-D176)</f>
        <v>43</v>
      </c>
      <c r="F176" s="20">
        <f>IFERROR(IF(C176&gt;0, D176/C176, 0),"-")</f>
        <v>0.95962441314553992</v>
      </c>
      <c r="G176" s="18">
        <v>20</v>
      </c>
      <c r="H176" s="19">
        <v>6</v>
      </c>
      <c r="I176" s="18">
        <f>IF(OR(H176="-",H176="",H176=0),IF(G176="-","-",G176),G176-H176)</f>
        <v>14</v>
      </c>
      <c r="J176" s="20">
        <f>IFERROR(IF(G176&gt;0, H176/G176, 0),"-")</f>
        <v>0.3</v>
      </c>
      <c r="K176" s="18">
        <v>21</v>
      </c>
      <c r="L176" s="19">
        <v>8</v>
      </c>
      <c r="M176" s="18">
        <f>IF(OR(L176="-",L176="",L176=0),IF(K176="-","-",K176),K176-L176)</f>
        <v>13</v>
      </c>
      <c r="N176" s="20">
        <f>IFERROR(IF(K176&gt;0, L176/K176, 0),"-")</f>
        <v>0.38095238095238093</v>
      </c>
      <c r="O176" s="18">
        <v>12</v>
      </c>
      <c r="P176" s="19">
        <v>2</v>
      </c>
      <c r="Q176" s="18">
        <f>IF(OR(P176="-",P176="",P176=0),IF(O176="-","-",O176),O176-P176)</f>
        <v>10</v>
      </c>
      <c r="R176" s="20">
        <f>IFERROR(IF(O176&gt;0, P176/O176, 0),"-")</f>
        <v>0.16666666666666666</v>
      </c>
      <c r="S176" s="18">
        <v>45</v>
      </c>
      <c r="T176" s="18">
        <v>1</v>
      </c>
      <c r="U176" s="18">
        <v>2000</v>
      </c>
      <c r="V176" s="19" t="s">
        <v>959</v>
      </c>
      <c r="W176" s="19" t="s">
        <v>959</v>
      </c>
      <c r="X176" s="24">
        <f>RANK(F176,$F$57:$F$183,0)</f>
        <v>120</v>
      </c>
      <c r="Y176" s="3" t="str">
        <f>IF(OR(ISERROR(F176),F176="-",NOT(ISNUMBER(F176))),"● N/A",IF(ROUND(F176, 4) &gt;= ROUND($F$184, 4),"▲ Above Average","▼ Below Average"))</f>
        <v>▼ Below Average</v>
      </c>
    </row>
    <row r="177" spans="2:25" x14ac:dyDescent="0.2">
      <c r="B177" s="17" t="s">
        <v>85</v>
      </c>
      <c r="C177" s="18">
        <v>904</v>
      </c>
      <c r="D177" s="19">
        <v>864</v>
      </c>
      <c r="E177" s="18">
        <f>IF(OR(D177="-",D177="",D177=0),IF(C177="-","-",C177),C177-D177)</f>
        <v>40</v>
      </c>
      <c r="F177" s="20">
        <f>IFERROR(IF(C177&gt;0, D177/C177, 0),"-")</f>
        <v>0.95575221238938057</v>
      </c>
      <c r="G177" s="18">
        <v>20</v>
      </c>
      <c r="H177" s="19">
        <v>9</v>
      </c>
      <c r="I177" s="18">
        <f>IF(OR(H177="-",H177="",H177=0),IF(G177="-","-",G177),G177-H177)</f>
        <v>11</v>
      </c>
      <c r="J177" s="20">
        <f>IFERROR(IF(G177&gt;0, H177/G177, 0),"-")</f>
        <v>0.45</v>
      </c>
      <c r="K177" s="18">
        <v>14</v>
      </c>
      <c r="L177" s="19">
        <v>3</v>
      </c>
      <c r="M177" s="18">
        <f>IF(OR(L177="-",L177="",L177=0),IF(K177="-","-",K177),K177-L177)</f>
        <v>11</v>
      </c>
      <c r="N177" s="20">
        <f>IFERROR(IF(K177&gt;0, L177/K177, 0),"-")</f>
        <v>0.21428571428571427</v>
      </c>
      <c r="O177" s="18">
        <v>15</v>
      </c>
      <c r="P177" s="19">
        <v>1</v>
      </c>
      <c r="Q177" s="18">
        <f>IF(OR(P177="-",P177="",P177=0),IF(O177="-","-",O177),O177-P177)</f>
        <v>14</v>
      </c>
      <c r="R177" s="20">
        <f>IFERROR(IF(O177&gt;0, P177/O177, 0),"-")</f>
        <v>6.6666666666666666E-2</v>
      </c>
      <c r="S177" s="18">
        <v>1881</v>
      </c>
      <c r="T177" s="18">
        <v>15</v>
      </c>
      <c r="U177" s="18">
        <v>33065</v>
      </c>
      <c r="V177" s="19">
        <v>4</v>
      </c>
      <c r="W177" s="19">
        <v>68903</v>
      </c>
      <c r="X177" s="24">
        <f>RANK(F177,$F$57:$F$183,0)</f>
        <v>121</v>
      </c>
      <c r="Y177" s="3" t="str">
        <f>IF(OR(ISERROR(F177),F177="-",NOT(ISNUMBER(F177))),"● N/A",IF(ROUND(F177, 4) &gt;= ROUND($F$184, 4),"▲ Above Average","▼ Below Average"))</f>
        <v>▼ Below Average</v>
      </c>
    </row>
    <row r="178" spans="2:25" x14ac:dyDescent="0.2">
      <c r="B178" s="17" t="s">
        <v>6</v>
      </c>
      <c r="C178" s="18">
        <v>1518</v>
      </c>
      <c r="D178" s="19">
        <v>1446</v>
      </c>
      <c r="E178" s="18">
        <f>IF(OR(D178="-",D178="",D178=0),IF(C178="-","-",C178),C178-D178)</f>
        <v>72</v>
      </c>
      <c r="F178" s="20">
        <f>IFERROR(IF(C178&gt;0, D178/C178, 0),"-")</f>
        <v>0.95256916996047436</v>
      </c>
      <c r="G178" s="18">
        <v>39</v>
      </c>
      <c r="H178" s="19">
        <v>15</v>
      </c>
      <c r="I178" s="18">
        <f>IF(OR(H178="-",H178="",H178=0),IF(G178="-","-",G178),G178-H178)</f>
        <v>24</v>
      </c>
      <c r="J178" s="20">
        <f>IFERROR(IF(G178&gt;0, H178/G178, 0),"-")</f>
        <v>0.38461538461538464</v>
      </c>
      <c r="K178" s="18">
        <v>35</v>
      </c>
      <c r="L178" s="19">
        <v>9</v>
      </c>
      <c r="M178" s="18">
        <f>IF(OR(L178="-",L178="",L178=0),IF(K178="-","-",K178),K178-L178)</f>
        <v>26</v>
      </c>
      <c r="N178" s="20">
        <f>IFERROR(IF(K178&gt;0, L178/K178, 0),"-")</f>
        <v>0.25714285714285712</v>
      </c>
      <c r="O178" s="18">
        <v>33</v>
      </c>
      <c r="P178" s="19">
        <v>8</v>
      </c>
      <c r="Q178" s="18">
        <f>IF(OR(P178="-",P178="",P178=0),IF(O178="-","-",O178),O178-P178)</f>
        <v>25</v>
      </c>
      <c r="R178" s="20">
        <f>IFERROR(IF(O178&gt;0, P178/O178, 0),"-")</f>
        <v>0.24242424242424243</v>
      </c>
      <c r="S178" s="18">
        <v>1598</v>
      </c>
      <c r="T178" s="18">
        <v>23</v>
      </c>
      <c r="U178" s="18">
        <v>69210</v>
      </c>
      <c r="V178" s="19">
        <v>37</v>
      </c>
      <c r="W178" s="19">
        <v>902206</v>
      </c>
      <c r="X178" s="24">
        <f>RANK(F178,$F$57:$F$183,0)</f>
        <v>122</v>
      </c>
      <c r="Y178" s="3" t="str">
        <f>IF(OR(ISERROR(F178),F178="-",NOT(ISNUMBER(F178))),"● N/A",IF(ROUND(F178, 4) &gt;= ROUND($F$184, 4),"▲ Above Average","▼ Below Average"))</f>
        <v>▼ Below Average</v>
      </c>
    </row>
    <row r="179" spans="2:25" x14ac:dyDescent="0.2">
      <c r="B179" s="17" t="s">
        <v>67</v>
      </c>
      <c r="C179" s="18">
        <v>1045</v>
      </c>
      <c r="D179" s="19">
        <v>995</v>
      </c>
      <c r="E179" s="18">
        <f>IF(OR(D179="-",D179="",D179=0),IF(C179="-","-",C179),C179-D179)</f>
        <v>50</v>
      </c>
      <c r="F179" s="20">
        <f>IFERROR(IF(C179&gt;0, D179/C179, 0),"-")</f>
        <v>0.95215311004784686</v>
      </c>
      <c r="G179" s="18">
        <v>14</v>
      </c>
      <c r="H179" s="19">
        <v>2</v>
      </c>
      <c r="I179" s="18">
        <f>IF(OR(H179="-",H179="",H179=0),IF(G179="-","-",G179),G179-H179)</f>
        <v>12</v>
      </c>
      <c r="J179" s="20">
        <f>IFERROR(IF(G179&gt;0, H179/G179, 0),"-")</f>
        <v>0.14285714285714285</v>
      </c>
      <c r="K179" s="18">
        <v>2</v>
      </c>
      <c r="L179" s="19" t="s">
        <v>959</v>
      </c>
      <c r="M179" s="18">
        <f>IF(OR(L179="-",L179="",L179=0),IF(K179="-","-",K179),K179-L179)</f>
        <v>2</v>
      </c>
      <c r="N179" s="20" t="str">
        <f>IFERROR(IF(K179&gt;0, L179/K179, 0),"-")</f>
        <v>-</v>
      </c>
      <c r="O179" s="18">
        <v>6</v>
      </c>
      <c r="P179" s="19" t="s">
        <v>959</v>
      </c>
      <c r="Q179" s="18">
        <f>IF(OR(P179="-",P179="",P179=0),IF(O179="-","-",O179),O179-P179)</f>
        <v>6</v>
      </c>
      <c r="R179" s="20" t="str">
        <f>IFERROR(IF(O179&gt;0, P179/O179, 0),"-")</f>
        <v>-</v>
      </c>
      <c r="S179" s="18">
        <v>964</v>
      </c>
      <c r="T179" s="18">
        <v>16</v>
      </c>
      <c r="U179" s="18">
        <v>15845</v>
      </c>
      <c r="V179" s="19">
        <v>2</v>
      </c>
      <c r="W179" s="19">
        <v>49634</v>
      </c>
      <c r="X179" s="24">
        <f>RANK(F179,$F$57:$F$183,0)</f>
        <v>123</v>
      </c>
      <c r="Y179" s="3" t="str">
        <f>IF(OR(ISERROR(F179),F179="-",NOT(ISNUMBER(F179))),"● N/A",IF(ROUND(F179, 4) &gt;= ROUND($F$184, 4),"▲ Above Average","▼ Below Average"))</f>
        <v>▼ Below Average</v>
      </c>
    </row>
    <row r="180" spans="2:25" x14ac:dyDescent="0.2">
      <c r="B180" s="17" t="s">
        <v>118</v>
      </c>
      <c r="C180" s="18">
        <v>871</v>
      </c>
      <c r="D180" s="19">
        <v>817</v>
      </c>
      <c r="E180" s="18">
        <f>IF(OR(D180="-",D180="",D180=0),IF(C180="-","-",C180),C180-D180)</f>
        <v>54</v>
      </c>
      <c r="F180" s="20">
        <f>IFERROR(IF(C180&gt;0, D180/C180, 0),"-")</f>
        <v>0.93800229621125142</v>
      </c>
      <c r="G180" s="18">
        <v>27</v>
      </c>
      <c r="H180" s="19">
        <v>16</v>
      </c>
      <c r="I180" s="18">
        <f>IF(OR(H180="-",H180="",H180=0),IF(G180="-","-",G180),G180-H180)</f>
        <v>11</v>
      </c>
      <c r="J180" s="20">
        <f>IFERROR(IF(G180&gt;0, H180/G180, 0),"-")</f>
        <v>0.59259259259259256</v>
      </c>
      <c r="K180" s="18">
        <v>12</v>
      </c>
      <c r="L180" s="19">
        <v>4</v>
      </c>
      <c r="M180" s="18">
        <f>IF(OR(L180="-",L180="",L180=0),IF(K180="-","-",K180),K180-L180)</f>
        <v>8</v>
      </c>
      <c r="N180" s="20">
        <f>IFERROR(IF(K180&gt;0, L180/K180, 0),"-")</f>
        <v>0.33333333333333331</v>
      </c>
      <c r="O180" s="18">
        <v>5</v>
      </c>
      <c r="P180" s="19" t="s">
        <v>959</v>
      </c>
      <c r="Q180" s="18">
        <f>IF(OR(P180="-",P180="",P180=0),IF(O180="-","-",O180),O180-P180)</f>
        <v>5</v>
      </c>
      <c r="R180" s="20" t="str">
        <f>IFERROR(IF(O180&gt;0, P180/O180, 0),"-")</f>
        <v>-</v>
      </c>
      <c r="S180" s="18">
        <v>3</v>
      </c>
      <c r="T180" s="18">
        <v>1</v>
      </c>
      <c r="U180" s="18">
        <v>2400</v>
      </c>
      <c r="V180" s="19" t="s">
        <v>959</v>
      </c>
      <c r="W180" s="19" t="s">
        <v>959</v>
      </c>
      <c r="X180" s="24">
        <f>RANK(F180,$F$57:$F$183,0)</f>
        <v>124</v>
      </c>
      <c r="Y180" s="3" t="str">
        <f>IF(OR(ISERROR(F180),F180="-",NOT(ISNUMBER(F180))),"● N/A",IF(ROUND(F180, 4) &gt;= ROUND($F$184, 4),"▲ Above Average","▼ Below Average"))</f>
        <v>▼ Below Average</v>
      </c>
    </row>
    <row r="181" spans="2:25" x14ac:dyDescent="0.2">
      <c r="B181" s="17" t="s">
        <v>112</v>
      </c>
      <c r="C181" s="18">
        <v>902</v>
      </c>
      <c r="D181" s="19">
        <v>845</v>
      </c>
      <c r="E181" s="18">
        <f>IF(OR(D181="-",D181="",D181=0),IF(C181="-","-",C181),C181-D181)</f>
        <v>57</v>
      </c>
      <c r="F181" s="20">
        <f>IFERROR(IF(C181&gt;0, D181/C181, 0),"-")</f>
        <v>0.93680709534368067</v>
      </c>
      <c r="G181" s="18">
        <v>47</v>
      </c>
      <c r="H181" s="19">
        <v>26</v>
      </c>
      <c r="I181" s="18">
        <f>IF(OR(H181="-",H181="",H181=0),IF(G181="-","-",G181),G181-H181)</f>
        <v>21</v>
      </c>
      <c r="J181" s="20">
        <f>IFERROR(IF(G181&gt;0, H181/G181, 0),"-")</f>
        <v>0.55319148936170215</v>
      </c>
      <c r="K181" s="18">
        <v>18</v>
      </c>
      <c r="L181" s="19">
        <v>7</v>
      </c>
      <c r="M181" s="18">
        <f>IF(OR(L181="-",L181="",L181=0),IF(K181="-","-",K181),K181-L181)</f>
        <v>11</v>
      </c>
      <c r="N181" s="20">
        <f>IFERROR(IF(K181&gt;0, L181/K181, 0),"-")</f>
        <v>0.3888888888888889</v>
      </c>
      <c r="O181" s="18">
        <v>10</v>
      </c>
      <c r="P181" s="19">
        <v>2</v>
      </c>
      <c r="Q181" s="18">
        <f>IF(OR(P181="-",P181="",P181=0),IF(O181="-","-",O181),O181-P181)</f>
        <v>8</v>
      </c>
      <c r="R181" s="20">
        <f>IFERROR(IF(O181&gt;0, P181/O181, 0),"-")</f>
        <v>0.2</v>
      </c>
      <c r="S181" s="18">
        <v>20</v>
      </c>
      <c r="T181" s="18">
        <v>2</v>
      </c>
      <c r="U181" s="18">
        <v>7995</v>
      </c>
      <c r="V181" s="19" t="s">
        <v>959</v>
      </c>
      <c r="W181" s="19" t="s">
        <v>959</v>
      </c>
      <c r="X181" s="24">
        <f>RANK(F181,$F$57:$F$183,0)</f>
        <v>125</v>
      </c>
      <c r="Y181" s="3" t="str">
        <f>IF(OR(ISERROR(F181),F181="-",NOT(ISNUMBER(F181))),"● N/A",IF(ROUND(F181, 4) &gt;= ROUND($F$184, 4),"▲ Above Average","▼ Below Average"))</f>
        <v>▼ Below Average</v>
      </c>
    </row>
    <row r="182" spans="2:25" x14ac:dyDescent="0.2">
      <c r="B182" s="17" t="s">
        <v>15</v>
      </c>
      <c r="C182" s="18">
        <v>1447</v>
      </c>
      <c r="D182" s="19">
        <v>1340</v>
      </c>
      <c r="E182" s="18">
        <f>IF(OR(D182="-",D182="",D182=0),IF(C182="-","-",C182),C182-D182)</f>
        <v>107</v>
      </c>
      <c r="F182" s="20">
        <f>IFERROR(IF(C182&gt;0, D182/C182, 0),"-")</f>
        <v>0.92605390463026949</v>
      </c>
      <c r="G182" s="18">
        <v>16</v>
      </c>
      <c r="H182" s="19">
        <v>3</v>
      </c>
      <c r="I182" s="18">
        <f>IF(OR(H182="-",H182="",H182=0),IF(G182="-","-",G182),G182-H182)</f>
        <v>13</v>
      </c>
      <c r="J182" s="20">
        <f>IFERROR(IF(G182&gt;0, H182/G182, 0),"-")</f>
        <v>0.1875</v>
      </c>
      <c r="K182" s="18">
        <v>4</v>
      </c>
      <c r="L182" s="19">
        <v>2</v>
      </c>
      <c r="M182" s="18">
        <f>IF(OR(L182="-",L182="",L182=0),IF(K182="-","-",K182),K182-L182)</f>
        <v>2</v>
      </c>
      <c r="N182" s="20">
        <f>IFERROR(IF(K182&gt;0, L182/K182, 0),"-")</f>
        <v>0.5</v>
      </c>
      <c r="O182" s="18">
        <v>14</v>
      </c>
      <c r="P182" s="19">
        <v>4</v>
      </c>
      <c r="Q182" s="18">
        <f>IF(OR(P182="-",P182="",P182=0),IF(O182="-","-",O182),O182-P182)</f>
        <v>10</v>
      </c>
      <c r="R182" s="20">
        <f>IFERROR(IF(O182&gt;0, P182/O182, 0),"-")</f>
        <v>0.2857142857142857</v>
      </c>
      <c r="S182" s="18">
        <v>1667</v>
      </c>
      <c r="T182" s="18">
        <v>4</v>
      </c>
      <c r="U182" s="18">
        <v>39595</v>
      </c>
      <c r="V182" s="19">
        <v>2</v>
      </c>
      <c r="W182" s="19">
        <v>23736</v>
      </c>
      <c r="X182" s="24">
        <f>RANK(F182,$F$57:$F$183,0)</f>
        <v>126</v>
      </c>
      <c r="Y182" s="3" t="str">
        <f>IF(OR(ISERROR(F182),F182="-",NOT(ISNUMBER(F182))),"● N/A",IF(ROUND(F182, 4) &gt;= ROUND($F$184, 4),"▲ Above Average","▼ Below Average"))</f>
        <v>▼ Below Average</v>
      </c>
    </row>
    <row r="183" spans="2:25" x14ac:dyDescent="0.2">
      <c r="B183" s="17" t="s">
        <v>114</v>
      </c>
      <c r="C183" s="18">
        <v>599</v>
      </c>
      <c r="D183" s="19">
        <v>552</v>
      </c>
      <c r="E183" s="18">
        <f>IF(OR(D183="-",D183="",D183=0),IF(C183="-","-",C183),C183-D183)</f>
        <v>47</v>
      </c>
      <c r="F183" s="20">
        <f>IFERROR(IF(C183&gt;0, D183/C183, 0),"-")</f>
        <v>0.92153589315525875</v>
      </c>
      <c r="G183" s="18">
        <v>31</v>
      </c>
      <c r="H183" s="19">
        <v>14</v>
      </c>
      <c r="I183" s="18">
        <f>IF(OR(H183="-",H183="",H183=0),IF(G183="-","-",G183),G183-H183)</f>
        <v>17</v>
      </c>
      <c r="J183" s="20">
        <f>IFERROR(IF(G183&gt;0, H183/G183, 0),"-")</f>
        <v>0.45161290322580644</v>
      </c>
      <c r="K183" s="18">
        <v>9</v>
      </c>
      <c r="L183" s="19">
        <v>2</v>
      </c>
      <c r="M183" s="18">
        <f>IF(OR(L183="-",L183="",L183=0),IF(K183="-","-",K183),K183-L183)</f>
        <v>7</v>
      </c>
      <c r="N183" s="20">
        <f>IFERROR(IF(K183&gt;0, L183/K183, 0),"-")</f>
        <v>0.22222222222222221</v>
      </c>
      <c r="O183" s="18">
        <v>14</v>
      </c>
      <c r="P183" s="19">
        <v>1</v>
      </c>
      <c r="Q183" s="18">
        <f>IF(OR(P183="-",P183="",P183=0),IF(O183="-","-",O183),O183-P183)</f>
        <v>13</v>
      </c>
      <c r="R183" s="20">
        <f>IFERROR(IF(O183&gt;0, P183/O183, 0),"-")</f>
        <v>7.1428571428571425E-2</v>
      </c>
      <c r="S183" s="18">
        <v>8</v>
      </c>
      <c r="T183" s="18">
        <v>1</v>
      </c>
      <c r="U183" s="18">
        <v>2695</v>
      </c>
      <c r="V183" s="19" t="s">
        <v>959</v>
      </c>
      <c r="W183" s="19" t="s">
        <v>959</v>
      </c>
      <c r="X183" s="24">
        <f>RANK(F183,$F$57:$F$183,0)</f>
        <v>127</v>
      </c>
      <c r="Y183" s="3" t="str">
        <f>IF(OR(ISERROR(F183),F183="-",NOT(ISNUMBER(F183))),"● N/A",IF(ROUND(F183, 4) &gt;= ROUND($F$184, 4),"▲ Above Average","▼ Below Average"))</f>
        <v>▼ Below Average</v>
      </c>
    </row>
    <row r="184" spans="2:25" x14ac:dyDescent="0.2">
      <c r="B184" s="15" t="s">
        <v>953</v>
      </c>
      <c r="C184" s="16">
        <f>SUM(C57:C183)</f>
        <v>142205</v>
      </c>
      <c r="D184" s="16">
        <f>SUM(D57:D183)</f>
        <v>139070</v>
      </c>
      <c r="E184" s="16">
        <f>C184-D184</f>
        <v>3135</v>
      </c>
      <c r="F184" s="21">
        <f>IF(C184&gt;0, D184/C184, 0)</f>
        <v>0.97795436166098237</v>
      </c>
      <c r="G184" s="16">
        <f>SUM(G57:G183)</f>
        <v>1797</v>
      </c>
      <c r="H184" s="16">
        <f>SUM(H57:H183)</f>
        <v>640</v>
      </c>
      <c r="I184" s="16">
        <f>G184-H184</f>
        <v>1157</v>
      </c>
      <c r="J184" s="21">
        <f>IF(G184&gt;0, H184/G184, 0)</f>
        <v>0.35614913745130772</v>
      </c>
      <c r="K184" s="16">
        <f>SUM(K57:K183)</f>
        <v>1627</v>
      </c>
      <c r="L184" s="16">
        <f>SUM(L57:L183)</f>
        <v>522</v>
      </c>
      <c r="M184" s="16">
        <f>K184-L184</f>
        <v>1105</v>
      </c>
      <c r="N184" s="21">
        <f>IF(K184&gt;0, L184/K184, 0)</f>
        <v>0.3208358942839582</v>
      </c>
      <c r="O184" s="16">
        <f>SUM(O57:O183)</f>
        <v>2258</v>
      </c>
      <c r="P184" s="16">
        <f>SUM(P57:P183)</f>
        <v>410</v>
      </c>
      <c r="Q184" s="16">
        <f>O184-P184</f>
        <v>1848</v>
      </c>
      <c r="R184" s="21">
        <f>IF(O184&gt;0, P184/O184, 0)</f>
        <v>0.18157661647475642</v>
      </c>
      <c r="S184" s="16">
        <f>SUM(S57:S183)</f>
        <v>118305</v>
      </c>
      <c r="T184" s="16">
        <f>SUM(T57:T183)</f>
        <v>2177</v>
      </c>
      <c r="U184" s="16">
        <f>SUM(U57:U183)</f>
        <v>7490087</v>
      </c>
      <c r="V184" s="16">
        <f>SUM(V57:V183)</f>
        <v>1179</v>
      </c>
      <c r="W184" s="16">
        <f>SUM(W57:W183)</f>
        <v>26181053</v>
      </c>
      <c r="X184" s="25" t="s">
        <v>959</v>
      </c>
      <c r="Y184" s="25" t="s">
        <v>959</v>
      </c>
    </row>
    <row r="188" spans="2:25" ht="19" x14ac:dyDescent="0.25">
      <c r="B188" s="26" t="s">
        <v>978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90" spans="2:25" x14ac:dyDescent="0.2">
      <c r="B190" s="2" t="s">
        <v>966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2:25" x14ac:dyDescent="0.2">
      <c r="B191" s="6" t="s">
        <v>958</v>
      </c>
      <c r="C191" s="2" t="s">
        <v>968</v>
      </c>
      <c r="D191" s="2"/>
      <c r="E191" s="2"/>
      <c r="F191" s="2"/>
      <c r="G191" s="2" t="s">
        <v>969</v>
      </c>
      <c r="H191" s="2"/>
      <c r="I191" s="2"/>
      <c r="J191" s="2"/>
      <c r="K191" s="2" t="s">
        <v>970</v>
      </c>
      <c r="L191" s="2"/>
      <c r="M191" s="2"/>
      <c r="N191" s="2"/>
      <c r="O191" s="2" t="s">
        <v>960</v>
      </c>
      <c r="P191" s="2"/>
      <c r="Q191" s="2"/>
      <c r="R191" s="2"/>
      <c r="S191" s="2" t="s">
        <v>951</v>
      </c>
      <c r="T191" s="2"/>
      <c r="U191" s="2"/>
      <c r="V191" s="2"/>
      <c r="W191" s="2"/>
      <c r="X191" s="7" t="s">
        <v>971</v>
      </c>
      <c r="Y191" s="7"/>
    </row>
    <row r="192" spans="2:25" x14ac:dyDescent="0.2">
      <c r="B192" s="6"/>
      <c r="C192" s="8" t="s">
        <v>961</v>
      </c>
      <c r="D192" s="9" t="s">
        <v>972</v>
      </c>
      <c r="E192" s="8" t="s">
        <v>955</v>
      </c>
      <c r="F192" s="10" t="s">
        <v>956</v>
      </c>
      <c r="G192" s="8" t="s">
        <v>961</v>
      </c>
      <c r="H192" s="9" t="s">
        <v>972</v>
      </c>
      <c r="I192" s="8" t="s">
        <v>973</v>
      </c>
      <c r="J192" s="10" t="s">
        <v>956</v>
      </c>
      <c r="K192" s="8" t="s">
        <v>961</v>
      </c>
      <c r="L192" s="9" t="s">
        <v>972</v>
      </c>
      <c r="M192" s="8" t="s">
        <v>973</v>
      </c>
      <c r="N192" s="10" t="s">
        <v>956</v>
      </c>
      <c r="O192" s="8" t="s">
        <v>961</v>
      </c>
      <c r="P192" s="9" t="s">
        <v>972</v>
      </c>
      <c r="Q192" s="8" t="s">
        <v>973</v>
      </c>
      <c r="R192" s="10" t="s">
        <v>956</v>
      </c>
      <c r="S192" s="8" t="s">
        <v>961</v>
      </c>
      <c r="T192" s="2" t="s">
        <v>962</v>
      </c>
      <c r="U192" s="2"/>
      <c r="V192" s="2" t="s">
        <v>963</v>
      </c>
      <c r="W192" s="2"/>
      <c r="X192" s="22" t="s">
        <v>974</v>
      </c>
      <c r="Y192" s="23" t="s">
        <v>975</v>
      </c>
    </row>
    <row r="193" spans="2:25" x14ac:dyDescent="0.2">
      <c r="C193" s="8"/>
      <c r="D193" s="9"/>
      <c r="E193" s="8"/>
      <c r="F193" s="10"/>
      <c r="G193" s="8"/>
      <c r="H193" s="9"/>
      <c r="I193" s="8"/>
      <c r="J193" s="10"/>
      <c r="K193" s="8"/>
      <c r="L193" s="9"/>
      <c r="M193" s="8"/>
      <c r="N193" s="10"/>
      <c r="O193" s="8"/>
      <c r="P193" s="9"/>
      <c r="Q193" s="8"/>
      <c r="R193" s="10"/>
      <c r="S193" s="8"/>
      <c r="T193" s="11" t="s">
        <v>964</v>
      </c>
      <c r="U193" s="11" t="s">
        <v>965</v>
      </c>
      <c r="V193" s="11" t="s">
        <v>964</v>
      </c>
      <c r="W193" s="11" t="s">
        <v>965</v>
      </c>
      <c r="X193" s="12"/>
      <c r="Y193" s="13"/>
    </row>
    <row r="194" spans="2:25" x14ac:dyDescent="0.2">
      <c r="B194" s="17" t="s">
        <v>7</v>
      </c>
      <c r="C194" s="18">
        <v>40508</v>
      </c>
      <c r="D194" s="19">
        <v>39861</v>
      </c>
      <c r="E194" s="18">
        <f>IF(OR(D194="-",D194="",D194=0),IF(C194="-","-",C194),C194-D194)</f>
        <v>647</v>
      </c>
      <c r="F194" s="20">
        <f>IFERROR(IF(C194&gt;0, D194/C194, 0),"-")</f>
        <v>0.984027846351338</v>
      </c>
      <c r="G194" s="18">
        <v>393</v>
      </c>
      <c r="H194" s="19">
        <v>124</v>
      </c>
      <c r="I194" s="18">
        <f>IF(OR(H194="-",H194="",H194=0),IF(G194="-","-",G194),G194-H194)</f>
        <v>269</v>
      </c>
      <c r="J194" s="20">
        <f>IFERROR(IF(G194&gt;0, H194/G194, 0),"-")</f>
        <v>0.31552162849872772</v>
      </c>
      <c r="K194" s="18">
        <v>443</v>
      </c>
      <c r="L194" s="19">
        <v>156</v>
      </c>
      <c r="M194" s="18">
        <f>IF(OR(L194="-",L194="",L194=0),IF(K194="-","-",K194),K194-L194)</f>
        <v>287</v>
      </c>
      <c r="N194" s="20">
        <f>IFERROR(IF(K194&gt;0, L194/K194, 0),"-")</f>
        <v>0.35214446952595935</v>
      </c>
      <c r="O194" s="18">
        <v>709</v>
      </c>
      <c r="P194" s="19">
        <v>129</v>
      </c>
      <c r="Q194" s="18">
        <f>IF(OR(P194="-",P194="",P194=0),IF(O194="-","-",O194),O194-P194)</f>
        <v>580</v>
      </c>
      <c r="R194" s="20">
        <f>IFERROR(IF(O194&gt;0, P194/O194, 0),"-")</f>
        <v>0.18194640338504936</v>
      </c>
      <c r="S194" s="18">
        <v>34284</v>
      </c>
      <c r="T194" s="18">
        <v>509</v>
      </c>
      <c r="U194" s="18">
        <v>1903900</v>
      </c>
      <c r="V194" s="19">
        <v>254</v>
      </c>
      <c r="W194" s="19">
        <v>5489432</v>
      </c>
      <c r="X194" s="24">
        <f>RANK(F194,$F$194:$F$198,0)</f>
        <v>1</v>
      </c>
      <c r="Y194" s="3" t="str">
        <f>IF(OR(ISERROR(F194),F194="-",NOT(ISNUMBER(F194))),"● N/A",IF(ROUND(F194, 4) &gt;= ROUND($F$199, 4),"▲ Above Average","▼ Below Average"))</f>
        <v>▲ Above Average</v>
      </c>
    </row>
    <row r="195" spans="2:25" x14ac:dyDescent="0.2">
      <c r="B195" s="17" t="s">
        <v>1</v>
      </c>
      <c r="C195" s="18">
        <v>41944</v>
      </c>
      <c r="D195" s="19">
        <v>41232</v>
      </c>
      <c r="E195" s="18">
        <f>IF(OR(D195="-",D195="",D195=0),IF(C195="-","-",C195),C195-D195)</f>
        <v>712</v>
      </c>
      <c r="F195" s="20">
        <f>IFERROR(IF(C195&gt;0, D195/C195, 0),"-")</f>
        <v>0.98302498569521268</v>
      </c>
      <c r="G195" s="18">
        <v>491</v>
      </c>
      <c r="H195" s="19">
        <v>200</v>
      </c>
      <c r="I195" s="18">
        <f>IF(OR(H195="-",H195="",H195=0),IF(G195="-","-",G195),G195-H195)</f>
        <v>291</v>
      </c>
      <c r="J195" s="20">
        <f>IFERROR(IF(G195&gt;0, H195/G195, 0),"-")</f>
        <v>0.40733197556008149</v>
      </c>
      <c r="K195" s="18">
        <v>503</v>
      </c>
      <c r="L195" s="19">
        <v>151</v>
      </c>
      <c r="M195" s="18">
        <f>IF(OR(L195="-",L195="",L195=0),IF(K195="-","-",K195),K195-L195)</f>
        <v>352</v>
      </c>
      <c r="N195" s="20">
        <f>IFERROR(IF(K195&gt;0, L195/K195, 0),"-")</f>
        <v>0.30019880715705766</v>
      </c>
      <c r="O195" s="18">
        <v>631</v>
      </c>
      <c r="P195" s="19">
        <v>110</v>
      </c>
      <c r="Q195" s="18">
        <f>IF(OR(P195="-",P195="",P195=0),IF(O195="-","-",O195),O195-P195)</f>
        <v>521</v>
      </c>
      <c r="R195" s="20">
        <f>IFERROR(IF(O195&gt;0, P195/O195, 0),"-")</f>
        <v>0.17432646592709986</v>
      </c>
      <c r="S195" s="18">
        <v>43000</v>
      </c>
      <c r="T195" s="18">
        <v>588</v>
      </c>
      <c r="U195" s="18">
        <v>2894374</v>
      </c>
      <c r="V195" s="19">
        <v>662</v>
      </c>
      <c r="W195" s="19">
        <v>14723829</v>
      </c>
      <c r="X195" s="24">
        <f>RANK(F195,$F$194:$F$198,0)</f>
        <v>2</v>
      </c>
      <c r="Y195" s="3" t="str">
        <f>IF(OR(ISERROR(F195),F195="-",NOT(ISNUMBER(F195))),"● N/A",IF(ROUND(F195, 4) &gt;= ROUND($F$199, 4),"▲ Above Average","▼ Below Average"))</f>
        <v>▲ Above Average</v>
      </c>
    </row>
    <row r="196" spans="2:25" x14ac:dyDescent="0.2">
      <c r="B196" s="17" t="s">
        <v>20</v>
      </c>
      <c r="C196" s="18">
        <v>34215</v>
      </c>
      <c r="D196" s="19">
        <v>33600</v>
      </c>
      <c r="E196" s="18">
        <f>IF(OR(D196="-",D196="",D196=0),IF(C196="-","-",C196),C196-D196)</f>
        <v>615</v>
      </c>
      <c r="F196" s="20">
        <f>IFERROR(IF(C196&gt;0, D196/C196, 0),"-")</f>
        <v>0.98202542744410348</v>
      </c>
      <c r="G196" s="18">
        <v>343</v>
      </c>
      <c r="H196" s="19">
        <v>118</v>
      </c>
      <c r="I196" s="18">
        <f>IF(OR(H196="-",H196="",H196=0),IF(G196="-","-",G196),G196-H196)</f>
        <v>225</v>
      </c>
      <c r="J196" s="20">
        <f>IFERROR(IF(G196&gt;0, H196/G196, 0),"-")</f>
        <v>0.34402332361516036</v>
      </c>
      <c r="K196" s="18">
        <v>323</v>
      </c>
      <c r="L196" s="19">
        <v>119</v>
      </c>
      <c r="M196" s="18">
        <f>IF(OR(L196="-",L196="",L196=0),IF(K196="-","-",K196),K196-L196)</f>
        <v>204</v>
      </c>
      <c r="N196" s="20">
        <f>IFERROR(IF(K196&gt;0, L196/K196, 0),"-")</f>
        <v>0.36842105263157893</v>
      </c>
      <c r="O196" s="18">
        <v>484</v>
      </c>
      <c r="P196" s="19">
        <v>108</v>
      </c>
      <c r="Q196" s="18">
        <f>IF(OR(P196="-",P196="",P196=0),IF(O196="-","-",O196),O196-P196)</f>
        <v>376</v>
      </c>
      <c r="R196" s="20">
        <f>IFERROR(IF(O196&gt;0, P196/O196, 0),"-")</f>
        <v>0.2231404958677686</v>
      </c>
      <c r="S196" s="18">
        <v>35822</v>
      </c>
      <c r="T196" s="18">
        <v>925</v>
      </c>
      <c r="U196" s="18">
        <v>2192358</v>
      </c>
      <c r="V196" s="19">
        <v>246</v>
      </c>
      <c r="W196" s="19">
        <v>5465865</v>
      </c>
      <c r="X196" s="24">
        <f>RANK(F196,$F$194:$F$198,0)</f>
        <v>3</v>
      </c>
      <c r="Y196" s="3" t="str">
        <f>IF(OR(ISERROR(F196),F196="-",NOT(ISNUMBER(F196))),"● N/A",IF(ROUND(F196, 4) &gt;= ROUND($F$199, 4),"▲ Above Average","▼ Below Average"))</f>
        <v>▲ Above Average</v>
      </c>
    </row>
    <row r="197" spans="2:25" x14ac:dyDescent="0.2">
      <c r="B197" s="17" t="s">
        <v>2</v>
      </c>
      <c r="C197" s="18">
        <v>4221</v>
      </c>
      <c r="D197" s="19">
        <v>4127</v>
      </c>
      <c r="E197" s="18">
        <f>IF(OR(D197="-",D197="",D197=0),IF(C197="-","-",C197),C197-D197)</f>
        <v>94</v>
      </c>
      <c r="F197" s="20">
        <f>IFERROR(IF(C197&gt;0, D197/C197, 0),"-")</f>
        <v>0.97773039564084341</v>
      </c>
      <c r="G197" s="18">
        <v>55</v>
      </c>
      <c r="H197" s="19">
        <v>24</v>
      </c>
      <c r="I197" s="18">
        <f>IF(OR(H197="-",H197="",H197=0),IF(G197="-","-",G197),G197-H197)</f>
        <v>31</v>
      </c>
      <c r="J197" s="20">
        <f>IFERROR(IF(G197&gt;0, H197/G197, 0),"-")</f>
        <v>0.43636363636363634</v>
      </c>
      <c r="K197" s="18">
        <v>39</v>
      </c>
      <c r="L197" s="19">
        <v>13</v>
      </c>
      <c r="M197" s="18">
        <f>IF(OR(L197="-",L197="",L197=0),IF(K197="-","-",K197),K197-L197)</f>
        <v>26</v>
      </c>
      <c r="N197" s="20">
        <f>IFERROR(IF(K197&gt;0, L197/K197, 0),"-")</f>
        <v>0.33333333333333331</v>
      </c>
      <c r="O197" s="18">
        <v>44</v>
      </c>
      <c r="P197" s="19">
        <v>12</v>
      </c>
      <c r="Q197" s="18">
        <f>IF(OR(P197="-",P197="",P197=0),IF(O197="-","-",O197),O197-P197)</f>
        <v>32</v>
      </c>
      <c r="R197" s="20">
        <f>IFERROR(IF(O197&gt;0, P197/O197, 0),"-")</f>
        <v>0.27272727272727271</v>
      </c>
      <c r="S197" s="18">
        <v>147</v>
      </c>
      <c r="T197" s="18">
        <v>4</v>
      </c>
      <c r="U197" s="18">
        <v>9395</v>
      </c>
      <c r="V197" s="19" t="s">
        <v>959</v>
      </c>
      <c r="W197" s="19" t="s">
        <v>959</v>
      </c>
      <c r="X197" s="24">
        <f>RANK(F197,$F$194:$F$198,0)</f>
        <v>4</v>
      </c>
      <c r="Y197" s="3" t="str">
        <f>IF(OR(ISERROR(F197),F197="-",NOT(ISNUMBER(F197))),"● N/A",IF(ROUND(F197, 4) &gt;= ROUND($F$199, 4),"▲ Above Average","▼ Below Average"))</f>
        <v>▼ Below Average</v>
      </c>
    </row>
    <row r="198" spans="2:25" x14ac:dyDescent="0.2">
      <c r="B198" s="17" t="s">
        <v>0</v>
      </c>
      <c r="C198" s="18">
        <v>4721</v>
      </c>
      <c r="D198" s="19">
        <v>4521</v>
      </c>
      <c r="E198" s="18">
        <f>IF(OR(D198="-",D198="",D198=0),IF(C198="-","-",C198),C198-D198)</f>
        <v>200</v>
      </c>
      <c r="F198" s="20">
        <f>IFERROR(IF(C198&gt;0, D198/C198, 0),"-")</f>
        <v>0.9576360940478712</v>
      </c>
      <c r="G198" s="18">
        <v>151</v>
      </c>
      <c r="H198" s="19">
        <v>78</v>
      </c>
      <c r="I198" s="18">
        <f>IF(OR(H198="-",H198="",H198=0),IF(G198="-","-",G198),G198-H198)</f>
        <v>73</v>
      </c>
      <c r="J198" s="20">
        <f>IFERROR(IF(G198&gt;0, H198/G198, 0),"-")</f>
        <v>0.51655629139072845</v>
      </c>
      <c r="K198" s="18">
        <v>53</v>
      </c>
      <c r="L198" s="19">
        <v>17</v>
      </c>
      <c r="M198" s="18">
        <f>IF(OR(L198="-",L198="",L198=0),IF(K198="-","-",K198),K198-L198)</f>
        <v>36</v>
      </c>
      <c r="N198" s="20">
        <f>IFERROR(IF(K198&gt;0, L198/K198, 0),"-")</f>
        <v>0.32075471698113206</v>
      </c>
      <c r="O198" s="18">
        <v>48</v>
      </c>
      <c r="P198" s="19">
        <v>5</v>
      </c>
      <c r="Q198" s="18">
        <f>IF(OR(P198="-",P198="",P198=0),IF(O198="-","-",O198),O198-P198)</f>
        <v>43</v>
      </c>
      <c r="R198" s="20">
        <f>IFERROR(IF(O198&gt;0, P198/O198, 0),"-")</f>
        <v>0.10416666666666667</v>
      </c>
      <c r="S198" s="18">
        <v>70</v>
      </c>
      <c r="T198" s="18">
        <v>8</v>
      </c>
      <c r="U198" s="18">
        <v>24870</v>
      </c>
      <c r="V198" s="19" t="s">
        <v>959</v>
      </c>
      <c r="W198" s="19" t="s">
        <v>959</v>
      </c>
      <c r="X198" s="24">
        <f>RANK(F198,$F$194:$F$198,0)</f>
        <v>5</v>
      </c>
      <c r="Y198" s="3" t="str">
        <f>IF(OR(ISERROR(F198),F198="-",NOT(ISNUMBER(F198))),"● N/A",IF(ROUND(F198, 4) &gt;= ROUND($F$199, 4),"▲ Above Average","▼ Below Average"))</f>
        <v>▼ Below Average</v>
      </c>
    </row>
    <row r="199" spans="2:25" x14ac:dyDescent="0.2">
      <c r="B199" s="15" t="s">
        <v>953</v>
      </c>
      <c r="C199" s="16">
        <f>SUM(C194:C198)</f>
        <v>125609</v>
      </c>
      <c r="D199" s="16">
        <f>SUM(D194:D198)</f>
        <v>123341</v>
      </c>
      <c r="E199" s="16">
        <f>C199-D199</f>
        <v>2268</v>
      </c>
      <c r="F199" s="21">
        <f>IF(C199&gt;0, D199/C199, 0)</f>
        <v>0.98194396898311431</v>
      </c>
      <c r="G199" s="16">
        <f>SUM(G194:G198)</f>
        <v>1433</v>
      </c>
      <c r="H199" s="16">
        <f>SUM(H194:H198)</f>
        <v>544</v>
      </c>
      <c r="I199" s="16">
        <f>G199-H199</f>
        <v>889</v>
      </c>
      <c r="J199" s="21">
        <f>IF(G199&gt;0, H199/G199, 0)</f>
        <v>0.37962316817864622</v>
      </c>
      <c r="K199" s="16">
        <f>SUM(K194:K198)</f>
        <v>1361</v>
      </c>
      <c r="L199" s="16">
        <f>SUM(L194:L198)</f>
        <v>456</v>
      </c>
      <c r="M199" s="16">
        <f>K199-L199</f>
        <v>905</v>
      </c>
      <c r="N199" s="21">
        <f>IF(K199&gt;0, L199/K199, 0)</f>
        <v>0.33504775900073475</v>
      </c>
      <c r="O199" s="16">
        <f>SUM(O194:O198)</f>
        <v>1916</v>
      </c>
      <c r="P199" s="16">
        <f>SUM(P194:P198)</f>
        <v>364</v>
      </c>
      <c r="Q199" s="16">
        <f>O199-P199</f>
        <v>1552</v>
      </c>
      <c r="R199" s="21">
        <f>IF(O199&gt;0, P199/O199, 0)</f>
        <v>0.18997912317327767</v>
      </c>
      <c r="S199" s="16">
        <f>SUM(S194:S198)</f>
        <v>113323</v>
      </c>
      <c r="T199" s="16">
        <f>SUM(T194:T198)</f>
        <v>2034</v>
      </c>
      <c r="U199" s="16">
        <f>SUM(U194:U198)</f>
        <v>7024897</v>
      </c>
      <c r="V199" s="16">
        <f>SUM(V194:V198)</f>
        <v>1162</v>
      </c>
      <c r="W199" s="16">
        <f>SUM(W194:W198)</f>
        <v>25679126</v>
      </c>
      <c r="X199" s="25" t="s">
        <v>959</v>
      </c>
      <c r="Y199" s="25" t="s">
        <v>959</v>
      </c>
    </row>
    <row r="203" spans="2:25" ht="19" x14ac:dyDescent="0.25">
      <c r="B203" s="26" t="s">
        <v>979</v>
      </c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5" spans="2:25" x14ac:dyDescent="0.2">
      <c r="B205" s="2" t="s">
        <v>966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x14ac:dyDescent="0.2">
      <c r="B206" s="6" t="s">
        <v>958</v>
      </c>
      <c r="C206" s="2" t="s">
        <v>968</v>
      </c>
      <c r="D206" s="2"/>
      <c r="E206" s="2"/>
      <c r="F206" s="2"/>
      <c r="G206" s="2" t="s">
        <v>969</v>
      </c>
      <c r="H206" s="2"/>
      <c r="I206" s="2"/>
      <c r="J206" s="2"/>
      <c r="K206" s="2" t="s">
        <v>970</v>
      </c>
      <c r="L206" s="2"/>
      <c r="M206" s="2"/>
      <c r="N206" s="2"/>
      <c r="O206" s="2" t="s">
        <v>960</v>
      </c>
      <c r="P206" s="2"/>
      <c r="Q206" s="2"/>
      <c r="R206" s="2"/>
      <c r="S206" s="2" t="s">
        <v>951</v>
      </c>
      <c r="T206" s="2"/>
      <c r="U206" s="2"/>
      <c r="V206" s="2"/>
      <c r="W206" s="2"/>
      <c r="X206" s="7" t="s">
        <v>971</v>
      </c>
      <c r="Y206" s="7"/>
    </row>
    <row r="207" spans="2:25" x14ac:dyDescent="0.2">
      <c r="B207" s="6"/>
      <c r="C207" s="8" t="s">
        <v>961</v>
      </c>
      <c r="D207" s="9" t="s">
        <v>972</v>
      </c>
      <c r="E207" s="8" t="s">
        <v>955</v>
      </c>
      <c r="F207" s="10" t="s">
        <v>956</v>
      </c>
      <c r="G207" s="8" t="s">
        <v>961</v>
      </c>
      <c r="H207" s="9" t="s">
        <v>972</v>
      </c>
      <c r="I207" s="8" t="s">
        <v>973</v>
      </c>
      <c r="J207" s="10" t="s">
        <v>956</v>
      </c>
      <c r="K207" s="8" t="s">
        <v>961</v>
      </c>
      <c r="L207" s="9" t="s">
        <v>972</v>
      </c>
      <c r="M207" s="8" t="s">
        <v>973</v>
      </c>
      <c r="N207" s="10" t="s">
        <v>956</v>
      </c>
      <c r="O207" s="8" t="s">
        <v>961</v>
      </c>
      <c r="P207" s="9" t="s">
        <v>972</v>
      </c>
      <c r="Q207" s="8" t="s">
        <v>973</v>
      </c>
      <c r="R207" s="10" t="s">
        <v>956</v>
      </c>
      <c r="S207" s="8" t="s">
        <v>961</v>
      </c>
      <c r="T207" s="2" t="s">
        <v>962</v>
      </c>
      <c r="U207" s="2"/>
      <c r="V207" s="2" t="s">
        <v>963</v>
      </c>
      <c r="W207" s="2"/>
      <c r="X207" s="22" t="s">
        <v>974</v>
      </c>
      <c r="Y207" s="23" t="s">
        <v>975</v>
      </c>
    </row>
    <row r="208" spans="2:25" x14ac:dyDescent="0.2">
      <c r="C208" s="8"/>
      <c r="D208" s="9"/>
      <c r="E208" s="8"/>
      <c r="F208" s="10"/>
      <c r="G208" s="8"/>
      <c r="H208" s="9"/>
      <c r="I208" s="8"/>
      <c r="J208" s="10"/>
      <c r="K208" s="8"/>
      <c r="L208" s="9"/>
      <c r="M208" s="8"/>
      <c r="N208" s="10"/>
      <c r="O208" s="8"/>
      <c r="P208" s="9"/>
      <c r="Q208" s="8"/>
      <c r="R208" s="10"/>
      <c r="S208" s="8"/>
      <c r="T208" s="11" t="s">
        <v>964</v>
      </c>
      <c r="U208" s="11" t="s">
        <v>965</v>
      </c>
      <c r="V208" s="11" t="s">
        <v>964</v>
      </c>
      <c r="W208" s="11" t="s">
        <v>965</v>
      </c>
      <c r="X208" s="12"/>
      <c r="Y208" s="13"/>
    </row>
    <row r="209" spans="2:25" x14ac:dyDescent="0.2">
      <c r="B209" s="17" t="s">
        <v>2</v>
      </c>
      <c r="C209" s="18">
        <v>5</v>
      </c>
      <c r="D209" s="19">
        <v>5</v>
      </c>
      <c r="E209" s="18">
        <f>IF(OR(D209="-",D209="",D209=0),IF(C209="-","-",C209),C209-D209)</f>
        <v>0</v>
      </c>
      <c r="F209" s="20">
        <f>IFERROR(IF(C209&gt;0, D209/C209, 0),"-")</f>
        <v>1</v>
      </c>
      <c r="G209" s="18" t="s">
        <v>959</v>
      </c>
      <c r="H209" s="19" t="s">
        <v>959</v>
      </c>
      <c r="I209" s="18" t="str">
        <f>IF(OR(H209="-",H209="",H209=0),IF(G209="-","-",G209),G209-H209)</f>
        <v>-</v>
      </c>
      <c r="J209" s="20" t="str">
        <f>IFERROR(IF(G209&gt;0, H209/G209, 0),"-")</f>
        <v>-</v>
      </c>
      <c r="K209" s="18" t="s">
        <v>959</v>
      </c>
      <c r="L209" s="19" t="s">
        <v>959</v>
      </c>
      <c r="M209" s="18" t="str">
        <f>IF(OR(L209="-",L209="",L209=0),IF(K209="-","-",K209),K209-L209)</f>
        <v>-</v>
      </c>
      <c r="N209" s="20" t="str">
        <f>IFERROR(IF(K209&gt;0, L209/K209, 0),"-")</f>
        <v>-</v>
      </c>
      <c r="O209" s="18" t="s">
        <v>959</v>
      </c>
      <c r="P209" s="19" t="s">
        <v>959</v>
      </c>
      <c r="Q209" s="18" t="str">
        <f>IF(OR(P209="-",P209="",P209=0),IF(O209="-","-",O209),O209-P209)</f>
        <v>-</v>
      </c>
      <c r="R209" s="20" t="str">
        <f>IFERROR(IF(O209&gt;0, P209/O209, 0),"-")</f>
        <v>-</v>
      </c>
      <c r="S209" s="18" t="s">
        <v>959</v>
      </c>
      <c r="T209" s="18" t="s">
        <v>959</v>
      </c>
      <c r="U209" s="18" t="s">
        <v>959</v>
      </c>
      <c r="V209" s="19" t="s">
        <v>959</v>
      </c>
      <c r="W209" s="19" t="s">
        <v>959</v>
      </c>
      <c r="X209" s="24">
        <f>RANK(F209,$F$209:$F$213,0)</f>
        <v>1</v>
      </c>
      <c r="Y209" s="3" t="str">
        <f>IF(OR(ISERROR(F209),F209="-",NOT(ISNUMBER(F209))),"● N/A",IF(ROUND(F209, 4) &gt;= ROUND($F$214, 4),"▲ Above Average","▼ Below Average"))</f>
        <v>▲ Above Average</v>
      </c>
    </row>
    <row r="210" spans="2:25" x14ac:dyDescent="0.2">
      <c r="B210" s="17" t="s">
        <v>20</v>
      </c>
      <c r="C210" s="18">
        <v>5364</v>
      </c>
      <c r="D210" s="19">
        <v>5166</v>
      </c>
      <c r="E210" s="18">
        <f>IF(OR(D210="-",D210="",D210=0),IF(C210="-","-",C210),C210-D210)</f>
        <v>198</v>
      </c>
      <c r="F210" s="20">
        <f>IFERROR(IF(C210&gt;0, D210/C210, 0),"-")</f>
        <v>0.96308724832214765</v>
      </c>
      <c r="G210" s="18">
        <v>65</v>
      </c>
      <c r="H210" s="19">
        <v>16</v>
      </c>
      <c r="I210" s="18">
        <f>IF(OR(H210="-",H210="",H210=0),IF(G210="-","-",G210),G210-H210)</f>
        <v>49</v>
      </c>
      <c r="J210" s="20">
        <f>IFERROR(IF(G210&gt;0, H210/G210, 0),"-")</f>
        <v>0.24615384615384617</v>
      </c>
      <c r="K210" s="18">
        <v>59</v>
      </c>
      <c r="L210" s="19">
        <v>22</v>
      </c>
      <c r="M210" s="18">
        <f>IF(OR(L210="-",L210="",L210=0),IF(K210="-","-",K210),K210-L210)</f>
        <v>37</v>
      </c>
      <c r="N210" s="20">
        <f>IFERROR(IF(K210&gt;0, L210/K210, 0),"-")</f>
        <v>0.3728813559322034</v>
      </c>
      <c r="O210" s="18">
        <v>95</v>
      </c>
      <c r="P210" s="19">
        <v>17</v>
      </c>
      <c r="Q210" s="18">
        <f>IF(OR(P210="-",P210="",P210=0),IF(O210="-","-",O210),O210-P210)</f>
        <v>78</v>
      </c>
      <c r="R210" s="20">
        <f>IFERROR(IF(O210&gt;0, P210/O210, 0),"-")</f>
        <v>0.17894736842105263</v>
      </c>
      <c r="S210" s="18">
        <v>2180</v>
      </c>
      <c r="T210" s="18">
        <v>81</v>
      </c>
      <c r="U210" s="18">
        <v>176995</v>
      </c>
      <c r="V210" s="19">
        <v>3</v>
      </c>
      <c r="W210" s="19">
        <v>85654</v>
      </c>
      <c r="X210" s="24">
        <f>RANK(F210,$F$209:$F$213,0)</f>
        <v>2</v>
      </c>
      <c r="Y210" s="3" t="str">
        <f>IF(OR(ISERROR(F210),F210="-",NOT(ISNUMBER(F210))),"● N/A",IF(ROUND(F210, 4) &gt;= ROUND($F$214, 4),"▲ Above Average","▼ Below Average"))</f>
        <v>▲ Above Average</v>
      </c>
    </row>
    <row r="211" spans="2:25" x14ac:dyDescent="0.2">
      <c r="B211" s="17" t="s">
        <v>7</v>
      </c>
      <c r="C211" s="18">
        <v>2215</v>
      </c>
      <c r="D211" s="19">
        <v>2115</v>
      </c>
      <c r="E211" s="18">
        <f>IF(OR(D211="-",D211="",D211=0),IF(C211="-","-",C211),C211-D211)</f>
        <v>100</v>
      </c>
      <c r="F211" s="20">
        <f>IFERROR(IF(C211&gt;0, D211/C211, 0),"-")</f>
        <v>0.95485327313769752</v>
      </c>
      <c r="G211" s="18">
        <v>35</v>
      </c>
      <c r="H211" s="19">
        <v>7</v>
      </c>
      <c r="I211" s="18">
        <f>IF(OR(H211="-",H211="",H211=0),IF(G211="-","-",G211),G211-H211)</f>
        <v>28</v>
      </c>
      <c r="J211" s="20">
        <f>IFERROR(IF(G211&gt;0, H211/G211, 0),"-")</f>
        <v>0.2</v>
      </c>
      <c r="K211" s="18">
        <v>29</v>
      </c>
      <c r="L211" s="19">
        <v>4</v>
      </c>
      <c r="M211" s="18">
        <f>IF(OR(L211="-",L211="",L211=0),IF(K211="-","-",K211),K211-L211)</f>
        <v>25</v>
      </c>
      <c r="N211" s="20">
        <f>IFERROR(IF(K211&gt;0, L211/K211, 0),"-")</f>
        <v>0.13793103448275862</v>
      </c>
      <c r="O211" s="18">
        <v>50</v>
      </c>
      <c r="P211" s="19">
        <v>5</v>
      </c>
      <c r="Q211" s="18">
        <f>IF(OR(P211="-",P211="",P211=0),IF(O211="-","-",O211),O211-P211)</f>
        <v>45</v>
      </c>
      <c r="R211" s="20">
        <f>IFERROR(IF(O211&gt;0, P211/O211, 0),"-")</f>
        <v>0.1</v>
      </c>
      <c r="S211" s="18">
        <v>419</v>
      </c>
      <c r="T211" s="18">
        <v>8</v>
      </c>
      <c r="U211" s="18">
        <v>27350</v>
      </c>
      <c r="V211" s="19">
        <v>1</v>
      </c>
      <c r="W211" s="19">
        <v>53792</v>
      </c>
      <c r="X211" s="24">
        <f>RANK(F211,$F$209:$F$213,0)</f>
        <v>3</v>
      </c>
      <c r="Y211" s="3" t="str">
        <f>IF(OR(ISERROR(F211),F211="-",NOT(ISNUMBER(F211))),"● N/A",IF(ROUND(F211, 4) &gt;= ROUND($F$214, 4),"▲ Above Average","▼ Below Average"))</f>
        <v>▲ Above Average</v>
      </c>
    </row>
    <row r="212" spans="2:25" x14ac:dyDescent="0.2">
      <c r="B212" s="17" t="s">
        <v>0</v>
      </c>
      <c r="C212" s="18">
        <v>189</v>
      </c>
      <c r="D212" s="19">
        <v>178</v>
      </c>
      <c r="E212" s="18">
        <f>IF(OR(D212="-",D212="",D212=0),IF(C212="-","-",C212),C212-D212)</f>
        <v>11</v>
      </c>
      <c r="F212" s="20">
        <f>IFERROR(IF(C212&gt;0, D212/C212, 0),"-")</f>
        <v>0.94179894179894175</v>
      </c>
      <c r="G212" s="18">
        <v>2</v>
      </c>
      <c r="H212" s="19">
        <v>1</v>
      </c>
      <c r="I212" s="18">
        <f>IF(OR(H212="-",H212="",H212=0),IF(G212="-","-",G212),G212-H212)</f>
        <v>1</v>
      </c>
      <c r="J212" s="20">
        <f>IFERROR(IF(G212&gt;0, H212/G212, 0),"-")</f>
        <v>0.5</v>
      </c>
      <c r="K212" s="18">
        <v>1</v>
      </c>
      <c r="L212" s="19" t="s">
        <v>959</v>
      </c>
      <c r="M212" s="18">
        <f>IF(OR(L212="-",L212="",L212=0),IF(K212="-","-",K212),K212-L212)</f>
        <v>1</v>
      </c>
      <c r="N212" s="20" t="str">
        <f>IFERROR(IF(K212&gt;0, L212/K212, 0),"-")</f>
        <v>-</v>
      </c>
      <c r="O212" s="18" t="s">
        <v>959</v>
      </c>
      <c r="P212" s="19" t="s">
        <v>959</v>
      </c>
      <c r="Q212" s="18" t="str">
        <f>IF(OR(P212="-",P212="",P212=0),IF(O212="-","-",O212),O212-P212)</f>
        <v>-</v>
      </c>
      <c r="R212" s="20" t="str">
        <f>IFERROR(IF(O212&gt;0, P212/O212, 0),"-")</f>
        <v>-</v>
      </c>
      <c r="S212" s="18" t="s">
        <v>959</v>
      </c>
      <c r="T212" s="18" t="s">
        <v>959</v>
      </c>
      <c r="U212" s="18" t="s">
        <v>959</v>
      </c>
      <c r="V212" s="19" t="s">
        <v>959</v>
      </c>
      <c r="W212" s="19" t="s">
        <v>959</v>
      </c>
      <c r="X212" s="24">
        <f>RANK(F212,$F$209:$F$213,0)</f>
        <v>4</v>
      </c>
      <c r="Y212" s="3" t="str">
        <f>IF(OR(ISERROR(F212),F212="-",NOT(ISNUMBER(F212))),"● N/A",IF(ROUND(F212, 4) &gt;= ROUND($F$214, 4),"▲ Above Average","▼ Below Average"))</f>
        <v>▼ Below Average</v>
      </c>
    </row>
    <row r="213" spans="2:25" x14ac:dyDescent="0.2">
      <c r="B213" s="17" t="s">
        <v>1</v>
      </c>
      <c r="C213" s="18">
        <v>5884</v>
      </c>
      <c r="D213" s="19">
        <v>5522</v>
      </c>
      <c r="E213" s="18">
        <f>IF(OR(D213="-",D213="",D213=0),IF(C213="-","-",C213),C213-D213)</f>
        <v>362</v>
      </c>
      <c r="F213" s="20">
        <f>IFERROR(IF(C213&gt;0, D213/C213, 0),"-")</f>
        <v>0.93847722637661457</v>
      </c>
      <c r="G213" s="18">
        <v>167</v>
      </c>
      <c r="H213" s="19">
        <v>47</v>
      </c>
      <c r="I213" s="18">
        <f>IF(OR(H213="-",H213="",H213=0),IF(G213="-","-",G213),G213-H213)</f>
        <v>120</v>
      </c>
      <c r="J213" s="20">
        <f>IFERROR(IF(G213&gt;0, H213/G213, 0),"-")</f>
        <v>0.28143712574850299</v>
      </c>
      <c r="K213" s="18">
        <v>97</v>
      </c>
      <c r="L213" s="19">
        <v>25</v>
      </c>
      <c r="M213" s="18">
        <f>IF(OR(L213="-",L213="",L213=0),IF(K213="-","-",K213),K213-L213)</f>
        <v>72</v>
      </c>
      <c r="N213" s="20">
        <f>IFERROR(IF(K213&gt;0, L213/K213, 0),"-")</f>
        <v>0.25773195876288657</v>
      </c>
      <c r="O213" s="18">
        <v>105</v>
      </c>
      <c r="P213" s="19">
        <v>18</v>
      </c>
      <c r="Q213" s="18">
        <f>IF(OR(P213="-",P213="",P213=0),IF(O213="-","-",O213),O213-P213)</f>
        <v>87</v>
      </c>
      <c r="R213" s="20">
        <f>IFERROR(IF(O213&gt;0, P213/O213, 0),"-")</f>
        <v>0.17142857142857143</v>
      </c>
      <c r="S213" s="18">
        <v>2054</v>
      </c>
      <c r="T213" s="18">
        <v>49</v>
      </c>
      <c r="U213" s="18">
        <v>200075</v>
      </c>
      <c r="V213" s="19">
        <v>12</v>
      </c>
      <c r="W213" s="19">
        <v>347502</v>
      </c>
      <c r="X213" s="24">
        <f>RANK(F213,$F$209:$F$213,0)</f>
        <v>5</v>
      </c>
      <c r="Y213" s="3" t="str">
        <f>IF(OR(ISERROR(F213),F213="-",NOT(ISNUMBER(F213))),"● N/A",IF(ROUND(F213, 4) &gt;= ROUND($F$214, 4),"▲ Above Average","▼ Below Average"))</f>
        <v>▼ Below Average</v>
      </c>
    </row>
    <row r="214" spans="2:25" x14ac:dyDescent="0.2">
      <c r="B214" s="15" t="s">
        <v>953</v>
      </c>
      <c r="C214" s="16">
        <f>SUM(C209:C213)</f>
        <v>13657</v>
      </c>
      <c r="D214" s="16">
        <f>SUM(D209:D213)</f>
        <v>12986</v>
      </c>
      <c r="E214" s="16">
        <f>C214-D214</f>
        <v>671</v>
      </c>
      <c r="F214" s="21">
        <f>IF(C214&gt;0, D214/C214, 0)</f>
        <v>0.95086768690049062</v>
      </c>
      <c r="G214" s="16">
        <f>SUM(G209:G213)</f>
        <v>269</v>
      </c>
      <c r="H214" s="16">
        <f>SUM(H209:H213)</f>
        <v>71</v>
      </c>
      <c r="I214" s="16">
        <f>G214-H214</f>
        <v>198</v>
      </c>
      <c r="J214" s="21">
        <f>IF(G214&gt;0, H214/G214, 0)</f>
        <v>0.26394052044609667</v>
      </c>
      <c r="K214" s="16">
        <f>SUM(K209:K213)</f>
        <v>186</v>
      </c>
      <c r="L214" s="16">
        <f>SUM(L209:L213)</f>
        <v>51</v>
      </c>
      <c r="M214" s="16">
        <f>K214-L214</f>
        <v>135</v>
      </c>
      <c r="N214" s="21">
        <f>IF(K214&gt;0, L214/K214, 0)</f>
        <v>0.27419354838709675</v>
      </c>
      <c r="O214" s="16">
        <f>SUM(O209:O213)</f>
        <v>250</v>
      </c>
      <c r="P214" s="16">
        <f>SUM(P209:P213)</f>
        <v>40</v>
      </c>
      <c r="Q214" s="16">
        <f>O214-P214</f>
        <v>210</v>
      </c>
      <c r="R214" s="21">
        <f>IF(O214&gt;0, P214/O214, 0)</f>
        <v>0.16</v>
      </c>
      <c r="S214" s="16">
        <f>SUM(S209:S213)</f>
        <v>4653</v>
      </c>
      <c r="T214" s="16">
        <f>SUM(T209:T213)</f>
        <v>138</v>
      </c>
      <c r="U214" s="16">
        <f>SUM(U209:U213)</f>
        <v>404420</v>
      </c>
      <c r="V214" s="16">
        <f>SUM(V209:V213)</f>
        <v>16</v>
      </c>
      <c r="W214" s="16">
        <f>SUM(W209:W213)</f>
        <v>486948</v>
      </c>
      <c r="X214" s="25" t="s">
        <v>959</v>
      </c>
      <c r="Y214" s="25" t="s">
        <v>959</v>
      </c>
    </row>
    <row r="218" spans="2:25" ht="19" x14ac:dyDescent="0.25">
      <c r="B218" s="26" t="s">
        <v>980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20" spans="2:25" x14ac:dyDescent="0.2">
      <c r="B220" s="2" t="s">
        <v>966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x14ac:dyDescent="0.2">
      <c r="B221" s="6" t="s">
        <v>958</v>
      </c>
      <c r="C221" s="2" t="s">
        <v>968</v>
      </c>
      <c r="D221" s="2"/>
      <c r="E221" s="2"/>
      <c r="F221" s="2"/>
      <c r="G221" s="2" t="s">
        <v>969</v>
      </c>
      <c r="H221" s="2"/>
      <c r="I221" s="2"/>
      <c r="J221" s="2"/>
      <c r="K221" s="2" t="s">
        <v>970</v>
      </c>
      <c r="L221" s="2"/>
      <c r="M221" s="2"/>
      <c r="N221" s="2"/>
      <c r="O221" s="2" t="s">
        <v>960</v>
      </c>
      <c r="P221" s="2"/>
      <c r="Q221" s="2"/>
      <c r="R221" s="2"/>
      <c r="S221" s="2" t="s">
        <v>951</v>
      </c>
      <c r="T221" s="2"/>
      <c r="U221" s="2"/>
      <c r="V221" s="2"/>
      <c r="W221" s="2"/>
      <c r="X221" s="7" t="s">
        <v>971</v>
      </c>
      <c r="Y221" s="7"/>
    </row>
    <row r="222" spans="2:25" x14ac:dyDescent="0.2">
      <c r="B222" s="6"/>
      <c r="C222" s="8" t="s">
        <v>961</v>
      </c>
      <c r="D222" s="9" t="s">
        <v>972</v>
      </c>
      <c r="E222" s="8" t="s">
        <v>955</v>
      </c>
      <c r="F222" s="10" t="s">
        <v>956</v>
      </c>
      <c r="G222" s="8" t="s">
        <v>961</v>
      </c>
      <c r="H222" s="9" t="s">
        <v>972</v>
      </c>
      <c r="I222" s="8" t="s">
        <v>973</v>
      </c>
      <c r="J222" s="10" t="s">
        <v>956</v>
      </c>
      <c r="K222" s="8" t="s">
        <v>961</v>
      </c>
      <c r="L222" s="9" t="s">
        <v>972</v>
      </c>
      <c r="M222" s="8" t="s">
        <v>973</v>
      </c>
      <c r="N222" s="10" t="s">
        <v>956</v>
      </c>
      <c r="O222" s="8" t="s">
        <v>961</v>
      </c>
      <c r="P222" s="9" t="s">
        <v>972</v>
      </c>
      <c r="Q222" s="8" t="s">
        <v>973</v>
      </c>
      <c r="R222" s="10" t="s">
        <v>956</v>
      </c>
      <c r="S222" s="8" t="s">
        <v>961</v>
      </c>
      <c r="T222" s="2" t="s">
        <v>962</v>
      </c>
      <c r="U222" s="2"/>
      <c r="V222" s="2" t="s">
        <v>963</v>
      </c>
      <c r="W222" s="2"/>
      <c r="X222" s="22" t="s">
        <v>974</v>
      </c>
      <c r="Y222" s="23" t="s">
        <v>975</v>
      </c>
    </row>
    <row r="223" spans="2:25" x14ac:dyDescent="0.2">
      <c r="C223" s="8"/>
      <c r="D223" s="9"/>
      <c r="E223" s="8"/>
      <c r="F223" s="10"/>
      <c r="G223" s="8"/>
      <c r="H223" s="9"/>
      <c r="I223" s="8"/>
      <c r="J223" s="10"/>
      <c r="K223" s="8"/>
      <c r="L223" s="9"/>
      <c r="M223" s="8"/>
      <c r="N223" s="10"/>
      <c r="O223" s="8"/>
      <c r="P223" s="9"/>
      <c r="Q223" s="8"/>
      <c r="R223" s="10"/>
      <c r="S223" s="8"/>
      <c r="T223" s="11" t="s">
        <v>964</v>
      </c>
      <c r="U223" s="11" t="s">
        <v>965</v>
      </c>
      <c r="V223" s="11" t="s">
        <v>964</v>
      </c>
      <c r="W223" s="11" t="s">
        <v>965</v>
      </c>
      <c r="X223" s="12"/>
      <c r="Y223" s="13"/>
    </row>
    <row r="224" spans="2:25" x14ac:dyDescent="0.2">
      <c r="B224" s="17" t="s">
        <v>2</v>
      </c>
      <c r="C224" s="18">
        <v>1</v>
      </c>
      <c r="D224" s="19">
        <v>1</v>
      </c>
      <c r="E224" s="18">
        <f>IF(OR(D224="-",D224="",D224=0),IF(C224="-","-",C224),C224-D224)</f>
        <v>0</v>
      </c>
      <c r="F224" s="20">
        <f>IFERROR(IF(C224&gt;0, D224/C224, 0),"-")</f>
        <v>1</v>
      </c>
      <c r="G224" s="18" t="s">
        <v>959</v>
      </c>
      <c r="H224" s="19" t="s">
        <v>959</v>
      </c>
      <c r="I224" s="18" t="str">
        <f>IF(OR(H224="-",H224="",H224=0),IF(G224="-","-",G224),G224-H224)</f>
        <v>-</v>
      </c>
      <c r="J224" s="20" t="str">
        <f>IFERROR(IF(G224&gt;0, H224/G224, 0),"-")</f>
        <v>-</v>
      </c>
      <c r="K224" s="18" t="s">
        <v>959</v>
      </c>
      <c r="L224" s="19" t="s">
        <v>959</v>
      </c>
      <c r="M224" s="18" t="str">
        <f>IF(OR(L224="-",L224="",L224=0),IF(K224="-","-",K224),K224-L224)</f>
        <v>-</v>
      </c>
      <c r="N224" s="20" t="str">
        <f>IFERROR(IF(K224&gt;0, L224/K224, 0),"-")</f>
        <v>-</v>
      </c>
      <c r="O224" s="18" t="s">
        <v>959</v>
      </c>
      <c r="P224" s="19" t="s">
        <v>959</v>
      </c>
      <c r="Q224" s="18" t="str">
        <f>IF(OR(P224="-",P224="",P224=0),IF(O224="-","-",O224),O224-P224)</f>
        <v>-</v>
      </c>
      <c r="R224" s="20" t="str">
        <f>IFERROR(IF(O224&gt;0, P224/O224, 0),"-")</f>
        <v>-</v>
      </c>
      <c r="S224" s="18" t="s">
        <v>959</v>
      </c>
      <c r="T224" s="18" t="s">
        <v>959</v>
      </c>
      <c r="U224" s="18" t="s">
        <v>959</v>
      </c>
      <c r="V224" s="19" t="s">
        <v>959</v>
      </c>
      <c r="W224" s="19" t="s">
        <v>959</v>
      </c>
      <c r="X224" s="24">
        <f>RANK(F224,$F$224:$F$228,0)</f>
        <v>1</v>
      </c>
      <c r="Y224" s="3" t="str">
        <f>IF(OR(ISERROR(F224),F224="-",NOT(ISNUMBER(F224))),"● N/A",IF(ROUND(F224, 4) &gt;= ROUND($F$229, 4),"▲ Above Average","▼ Below Average"))</f>
        <v>▲ Above Average</v>
      </c>
    </row>
    <row r="225" spans="1:25" x14ac:dyDescent="0.2">
      <c r="B225" s="17" t="s">
        <v>0</v>
      </c>
      <c r="C225" s="18">
        <v>1</v>
      </c>
      <c r="D225" s="19">
        <v>1</v>
      </c>
      <c r="E225" s="18">
        <f>IF(OR(D225="-",D225="",D225=0),IF(C225="-","-",C225),C225-D225)</f>
        <v>0</v>
      </c>
      <c r="F225" s="20">
        <f>IFERROR(IF(C225&gt;0, D225/C225, 0),"-")</f>
        <v>1</v>
      </c>
      <c r="G225" s="18" t="s">
        <v>959</v>
      </c>
      <c r="H225" s="19" t="s">
        <v>959</v>
      </c>
      <c r="I225" s="18" t="str">
        <f>IF(OR(H225="-",H225="",H225=0),IF(G225="-","-",G225),G225-H225)</f>
        <v>-</v>
      </c>
      <c r="J225" s="20" t="str">
        <f>IFERROR(IF(G225&gt;0, H225/G225, 0),"-")</f>
        <v>-</v>
      </c>
      <c r="K225" s="18" t="s">
        <v>959</v>
      </c>
      <c r="L225" s="19" t="s">
        <v>959</v>
      </c>
      <c r="M225" s="18" t="str">
        <f>IF(OR(L225="-",L225="",L225=0),IF(K225="-","-",K225),K225-L225)</f>
        <v>-</v>
      </c>
      <c r="N225" s="20" t="str">
        <f>IFERROR(IF(K225&gt;0, L225/K225, 0),"-")</f>
        <v>-</v>
      </c>
      <c r="O225" s="18" t="s">
        <v>959</v>
      </c>
      <c r="P225" s="19" t="s">
        <v>959</v>
      </c>
      <c r="Q225" s="18" t="str">
        <f>IF(OR(P225="-",P225="",P225=0),IF(O225="-","-",O225),O225-P225)</f>
        <v>-</v>
      </c>
      <c r="R225" s="20" t="str">
        <f>IFERROR(IF(O225&gt;0, P225/O225, 0),"-")</f>
        <v>-</v>
      </c>
      <c r="S225" s="18" t="s">
        <v>959</v>
      </c>
      <c r="T225" s="18" t="s">
        <v>959</v>
      </c>
      <c r="U225" s="18" t="s">
        <v>959</v>
      </c>
      <c r="V225" s="19" t="s">
        <v>959</v>
      </c>
      <c r="W225" s="19" t="s">
        <v>959</v>
      </c>
      <c r="X225" s="24">
        <f>RANK(F225,$F$224:$F$228,0)</f>
        <v>1</v>
      </c>
      <c r="Y225" s="3" t="str">
        <f>IF(OR(ISERROR(F225),F225="-",NOT(ISNUMBER(F225))),"● N/A",IF(ROUND(F225, 4) &gt;= ROUND($F$229, 4),"▲ Above Average","▼ Below Average"))</f>
        <v>▲ Above Average</v>
      </c>
    </row>
    <row r="226" spans="1:25" x14ac:dyDescent="0.2">
      <c r="B226" s="17" t="s">
        <v>7</v>
      </c>
      <c r="C226" s="18">
        <v>379</v>
      </c>
      <c r="D226" s="19">
        <v>358</v>
      </c>
      <c r="E226" s="18">
        <f>IF(OR(D226="-",D226="",D226=0),IF(C226="-","-",C226),C226-D226)</f>
        <v>21</v>
      </c>
      <c r="F226" s="20">
        <f>IFERROR(IF(C226&gt;0, D226/C226, 0),"-")</f>
        <v>0.9445910290237467</v>
      </c>
      <c r="G226" s="18">
        <v>12</v>
      </c>
      <c r="H226" s="19">
        <v>2</v>
      </c>
      <c r="I226" s="18">
        <f>IF(OR(H226="-",H226="",H226=0),IF(G226="-","-",G226),G226-H226)</f>
        <v>10</v>
      </c>
      <c r="J226" s="20">
        <f>IFERROR(IF(G226&gt;0, H226/G226, 0),"-")</f>
        <v>0.16666666666666666</v>
      </c>
      <c r="K226" s="18">
        <v>14</v>
      </c>
      <c r="L226" s="19">
        <v>2</v>
      </c>
      <c r="M226" s="18">
        <f>IF(OR(L226="-",L226="",L226=0),IF(K226="-","-",K226),K226-L226)</f>
        <v>12</v>
      </c>
      <c r="N226" s="20">
        <f>IFERROR(IF(K226&gt;0, L226/K226, 0),"-")</f>
        <v>0.14285714285714285</v>
      </c>
      <c r="O226" s="18">
        <v>13</v>
      </c>
      <c r="P226" s="19" t="s">
        <v>959</v>
      </c>
      <c r="Q226" s="18">
        <f>IF(OR(P226="-",P226="",P226=0),IF(O226="-","-",O226),O226-P226)</f>
        <v>13</v>
      </c>
      <c r="R226" s="20" t="str">
        <f>IFERROR(IF(O226&gt;0, P226/O226, 0),"-")</f>
        <v>-</v>
      </c>
      <c r="S226" s="18">
        <v>26</v>
      </c>
      <c r="T226" s="18">
        <v>1</v>
      </c>
      <c r="U226" s="18">
        <v>32640</v>
      </c>
      <c r="V226" s="19" t="s">
        <v>959</v>
      </c>
      <c r="W226" s="19" t="s">
        <v>959</v>
      </c>
      <c r="X226" s="24">
        <f>RANK(F226,$F$224:$F$228,0)</f>
        <v>3</v>
      </c>
      <c r="Y226" s="3" t="str">
        <f>IF(OR(ISERROR(F226),F226="-",NOT(ISNUMBER(F226))),"● N/A",IF(ROUND(F226, 4) &gt;= ROUND($F$229, 4),"▲ Above Average","▼ Below Average"))</f>
        <v>▲ Above Average</v>
      </c>
    </row>
    <row r="227" spans="1:25" x14ac:dyDescent="0.2">
      <c r="B227" s="17" t="s">
        <v>1</v>
      </c>
      <c r="C227" s="18">
        <v>916</v>
      </c>
      <c r="D227" s="19">
        <v>858</v>
      </c>
      <c r="E227" s="18">
        <f>IF(OR(D227="-",D227="",D227=0),IF(C227="-","-",C227),C227-D227)</f>
        <v>58</v>
      </c>
      <c r="F227" s="20">
        <f>IFERROR(IF(C227&gt;0, D227/C227, 0),"-")</f>
        <v>0.9366812227074236</v>
      </c>
      <c r="G227" s="18">
        <v>42</v>
      </c>
      <c r="H227" s="19">
        <v>15</v>
      </c>
      <c r="I227" s="18">
        <f>IF(OR(H227="-",H227="",H227=0),IF(G227="-","-",G227),G227-H227)</f>
        <v>27</v>
      </c>
      <c r="J227" s="20">
        <f>IFERROR(IF(G227&gt;0, H227/G227, 0),"-")</f>
        <v>0.35714285714285715</v>
      </c>
      <c r="K227" s="18">
        <v>44</v>
      </c>
      <c r="L227" s="19">
        <v>11</v>
      </c>
      <c r="M227" s="18">
        <f>IF(OR(L227="-",L227="",L227=0),IF(K227="-","-",K227),K227-L227)</f>
        <v>33</v>
      </c>
      <c r="N227" s="20">
        <f>IFERROR(IF(K227&gt;0, L227/K227, 0),"-")</f>
        <v>0.25</v>
      </c>
      <c r="O227" s="18">
        <v>36</v>
      </c>
      <c r="P227" s="19">
        <v>5</v>
      </c>
      <c r="Q227" s="18">
        <f>IF(OR(P227="-",P227="",P227=0),IF(O227="-","-",O227),O227-P227)</f>
        <v>31</v>
      </c>
      <c r="R227" s="20">
        <f>IFERROR(IF(O227&gt;0, P227/O227, 0),"-")</f>
        <v>0.1388888888888889</v>
      </c>
      <c r="S227" s="18">
        <v>176</v>
      </c>
      <c r="T227" s="18">
        <v>2</v>
      </c>
      <c r="U227" s="18">
        <v>11420</v>
      </c>
      <c r="V227" s="19" t="s">
        <v>959</v>
      </c>
      <c r="W227" s="19" t="s">
        <v>959</v>
      </c>
      <c r="X227" s="24">
        <f>RANK(F227,$F$224:$F$228,0)</f>
        <v>4</v>
      </c>
      <c r="Y227" s="3" t="str">
        <f>IF(OR(ISERROR(F227),F227="-",NOT(ISNUMBER(F227))),"● N/A",IF(ROUND(F227, 4) &gt;= ROUND($F$229, 4),"▲ Above Average","▼ Below Average"))</f>
        <v>▲ Above Average</v>
      </c>
    </row>
    <row r="228" spans="1:25" x14ac:dyDescent="0.2">
      <c r="B228" s="17" t="s">
        <v>20</v>
      </c>
      <c r="C228" s="18">
        <v>1642</v>
      </c>
      <c r="D228" s="19">
        <v>1525</v>
      </c>
      <c r="E228" s="18">
        <f>IF(OR(D228="-",D228="",D228=0),IF(C228="-","-",C228),C228-D228)</f>
        <v>117</v>
      </c>
      <c r="F228" s="20">
        <f>IFERROR(IF(C228&gt;0, D228/C228, 0),"-")</f>
        <v>0.92874543239951279</v>
      </c>
      <c r="G228" s="18">
        <v>41</v>
      </c>
      <c r="H228" s="19">
        <v>8</v>
      </c>
      <c r="I228" s="18">
        <f>IF(OR(H228="-",H228="",H228=0),IF(G228="-","-",G228),G228-H228)</f>
        <v>33</v>
      </c>
      <c r="J228" s="20">
        <f>IFERROR(IF(G228&gt;0, H228/G228, 0),"-")</f>
        <v>0.1951219512195122</v>
      </c>
      <c r="K228" s="18">
        <v>22</v>
      </c>
      <c r="L228" s="19">
        <v>2</v>
      </c>
      <c r="M228" s="18">
        <f>IF(OR(L228="-",L228="",L228=0),IF(K228="-","-",K228),K228-L228)</f>
        <v>20</v>
      </c>
      <c r="N228" s="20">
        <f>IFERROR(IF(K228&gt;0, L228/K228, 0),"-")</f>
        <v>9.0909090909090912E-2</v>
      </c>
      <c r="O228" s="18">
        <v>43</v>
      </c>
      <c r="P228" s="19">
        <v>1</v>
      </c>
      <c r="Q228" s="18">
        <f>IF(OR(P228="-",P228="",P228=0),IF(O228="-","-",O228),O228-P228)</f>
        <v>42</v>
      </c>
      <c r="R228" s="20">
        <f>IFERROR(IF(O228&gt;0, P228/O228, 0),"-")</f>
        <v>2.3255813953488372E-2</v>
      </c>
      <c r="S228" s="18">
        <v>127</v>
      </c>
      <c r="T228" s="18">
        <v>2</v>
      </c>
      <c r="U228" s="18">
        <v>16710</v>
      </c>
      <c r="V228" s="19">
        <v>1</v>
      </c>
      <c r="W228" s="19">
        <v>14979</v>
      </c>
      <c r="X228" s="24">
        <f>RANK(F228,$F$224:$F$228,0)</f>
        <v>5</v>
      </c>
      <c r="Y228" s="3" t="str">
        <f>IF(OR(ISERROR(F228),F228="-",NOT(ISNUMBER(F228))),"● N/A",IF(ROUND(F228, 4) &gt;= ROUND($F$229, 4),"▲ Above Average","▼ Below Average"))</f>
        <v>▼ Below Average</v>
      </c>
    </row>
    <row r="229" spans="1:25" x14ac:dyDescent="0.2">
      <c r="B229" s="15" t="s">
        <v>953</v>
      </c>
      <c r="C229" s="16">
        <f>SUM(C224:C228)</f>
        <v>2939</v>
      </c>
      <c r="D229" s="16">
        <f>SUM(D224:D228)</f>
        <v>2743</v>
      </c>
      <c r="E229" s="16">
        <f>C229-D229</f>
        <v>196</v>
      </c>
      <c r="F229" s="21">
        <f>IF(C229&gt;0, D229/C229, 0)</f>
        <v>0.93331064988091184</v>
      </c>
      <c r="G229" s="16">
        <f>SUM(G224:G228)</f>
        <v>95</v>
      </c>
      <c r="H229" s="16">
        <f>SUM(H224:H228)</f>
        <v>25</v>
      </c>
      <c r="I229" s="16">
        <f>G229-H229</f>
        <v>70</v>
      </c>
      <c r="J229" s="21">
        <f>IF(G229&gt;0, H229/G229, 0)</f>
        <v>0.26315789473684209</v>
      </c>
      <c r="K229" s="16">
        <f>SUM(K224:K228)</f>
        <v>80</v>
      </c>
      <c r="L229" s="16">
        <f>SUM(L224:L228)</f>
        <v>15</v>
      </c>
      <c r="M229" s="16">
        <f>K229-L229</f>
        <v>65</v>
      </c>
      <c r="N229" s="21">
        <f>IF(K229&gt;0, L229/K229, 0)</f>
        <v>0.1875</v>
      </c>
      <c r="O229" s="16">
        <f>SUM(O224:O228)</f>
        <v>92</v>
      </c>
      <c r="P229" s="16">
        <f>SUM(P224:P228)</f>
        <v>6</v>
      </c>
      <c r="Q229" s="16">
        <f>O229-P229</f>
        <v>86</v>
      </c>
      <c r="R229" s="21">
        <f>IF(O229&gt;0, P229/O229, 0)</f>
        <v>6.5217391304347824E-2</v>
      </c>
      <c r="S229" s="16">
        <f>SUM(S224:S228)</f>
        <v>329</v>
      </c>
      <c r="T229" s="16">
        <f>SUM(T224:T228)</f>
        <v>5</v>
      </c>
      <c r="U229" s="16">
        <f>SUM(U224:U228)</f>
        <v>60770</v>
      </c>
      <c r="V229" s="16">
        <f>SUM(V224:V228)</f>
        <v>1</v>
      </c>
      <c r="W229" s="16">
        <f>SUM(W224:W228)</f>
        <v>14979</v>
      </c>
      <c r="X229" s="25" t="s">
        <v>959</v>
      </c>
      <c r="Y229" s="25" t="s">
        <v>959</v>
      </c>
    </row>
    <row r="233" spans="1:25" ht="19" x14ac:dyDescent="0.25">
      <c r="A233" s="26" t="s">
        <v>981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5" spans="1:25" x14ac:dyDescent="0.2">
      <c r="A235" s="2" t="s">
        <v>982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5" x14ac:dyDescent="0.2">
      <c r="A236" s="6" t="s">
        <v>983</v>
      </c>
      <c r="B236" s="6" t="s">
        <v>984</v>
      </c>
      <c r="C236" s="2" t="s">
        <v>968</v>
      </c>
      <c r="D236" s="2"/>
      <c r="E236" s="2"/>
      <c r="F236" s="2"/>
      <c r="G236" s="2" t="s">
        <v>969</v>
      </c>
      <c r="H236" s="2"/>
      <c r="I236" s="2"/>
      <c r="J236" s="2"/>
      <c r="K236" s="2" t="s">
        <v>970</v>
      </c>
      <c r="L236" s="2"/>
      <c r="M236" s="2"/>
      <c r="N236" s="2"/>
      <c r="O236" s="2" t="s">
        <v>960</v>
      </c>
      <c r="P236" s="2"/>
      <c r="Q236" s="2"/>
      <c r="R236" s="2"/>
      <c r="S236" s="2" t="s">
        <v>951</v>
      </c>
      <c r="T236" s="2"/>
      <c r="U236" s="2"/>
      <c r="V236" s="2"/>
      <c r="W236" s="2"/>
    </row>
    <row r="237" spans="1:25" x14ac:dyDescent="0.2">
      <c r="A237" s="6"/>
      <c r="B237" s="6"/>
      <c r="C237" s="8" t="s">
        <v>961</v>
      </c>
      <c r="D237" s="9" t="s">
        <v>972</v>
      </c>
      <c r="E237" s="8" t="s">
        <v>955</v>
      </c>
      <c r="F237" s="10" t="s">
        <v>956</v>
      </c>
      <c r="G237" s="8" t="s">
        <v>961</v>
      </c>
      <c r="H237" s="9" t="s">
        <v>972</v>
      </c>
      <c r="I237" s="8" t="s">
        <v>973</v>
      </c>
      <c r="J237" s="10" t="s">
        <v>956</v>
      </c>
      <c r="K237" s="8" t="s">
        <v>961</v>
      </c>
      <c r="L237" s="9" t="s">
        <v>972</v>
      </c>
      <c r="M237" s="8" t="s">
        <v>973</v>
      </c>
      <c r="N237" s="10" t="s">
        <v>956</v>
      </c>
      <c r="O237" s="8" t="s">
        <v>961</v>
      </c>
      <c r="P237" s="9" t="s">
        <v>972</v>
      </c>
      <c r="Q237" s="8" t="s">
        <v>973</v>
      </c>
      <c r="R237" s="10" t="s">
        <v>956</v>
      </c>
      <c r="S237" s="8" t="s">
        <v>961</v>
      </c>
      <c r="T237" s="2" t="s">
        <v>962</v>
      </c>
      <c r="U237" s="2"/>
      <c r="V237" s="2" t="s">
        <v>963</v>
      </c>
      <c r="W237" s="2"/>
    </row>
    <row r="238" spans="1:25" x14ac:dyDescent="0.2">
      <c r="A238" s="6"/>
      <c r="C238" s="8"/>
      <c r="D238" s="9"/>
      <c r="E238" s="8"/>
      <c r="F238" s="10"/>
      <c r="G238" s="8"/>
      <c r="H238" s="9"/>
      <c r="I238" s="8"/>
      <c r="J238" s="10"/>
      <c r="K238" s="8"/>
      <c r="L238" s="9"/>
      <c r="M238" s="8"/>
      <c r="N238" s="10"/>
      <c r="O238" s="8"/>
      <c r="P238" s="9"/>
      <c r="Q238" s="8"/>
      <c r="R238" s="10"/>
      <c r="S238" s="8"/>
      <c r="T238" s="11" t="s">
        <v>964</v>
      </c>
      <c r="U238" s="11" t="s">
        <v>965</v>
      </c>
      <c r="V238" s="11" t="s">
        <v>964</v>
      </c>
      <c r="W238" s="11" t="s">
        <v>965</v>
      </c>
    </row>
    <row r="239" spans="1:25" x14ac:dyDescent="0.2">
      <c r="A239" s="29"/>
      <c r="B239" s="29" t="s">
        <v>68</v>
      </c>
      <c r="C239" s="32">
        <v>1146</v>
      </c>
      <c r="D239" s="32">
        <v>1133</v>
      </c>
      <c r="E239" s="32">
        <f>IF(OR(D239="-",D239="",D239=0),IF(C239="-","-",C239),C239-D239)</f>
        <v>13</v>
      </c>
      <c r="F239" s="36">
        <f>IFERROR(IF(C239&gt;0, D239/C239, 0),"-")</f>
        <v>0.98865619546247818</v>
      </c>
      <c r="G239" s="32">
        <v>21</v>
      </c>
      <c r="H239" s="32">
        <v>9</v>
      </c>
      <c r="I239" s="32">
        <f>IF(OR(H239="-",H239="",H239=0),IF(G239="-","-",G239),G239-H239)</f>
        <v>12</v>
      </c>
      <c r="J239" s="36">
        <f>IFERROR(IF(G239&gt;0, H239/G239, 0),"-")</f>
        <v>0.42857142857142855</v>
      </c>
      <c r="K239" s="32">
        <v>33</v>
      </c>
      <c r="L239" s="32">
        <v>12</v>
      </c>
      <c r="M239" s="32">
        <f>IF(OR(L239="-",L239="",L239=0),IF(K239="-","-",K239),K239-L239)</f>
        <v>21</v>
      </c>
      <c r="N239" s="36">
        <f>IFERROR(IF(K239&gt;0, L239/K239, 0),"-")</f>
        <v>0.36363636363636365</v>
      </c>
      <c r="O239" s="32">
        <v>44</v>
      </c>
      <c r="P239" s="32">
        <v>13</v>
      </c>
      <c r="Q239" s="32">
        <f>IF(OR(P239="-",P239="",P239=0),IF(O239="-","-",O239),O239-P239)</f>
        <v>31</v>
      </c>
      <c r="R239" s="36">
        <f>IFERROR(IF(O239&gt;0, P239/O239, 0),"-")</f>
        <v>0.29545454545454547</v>
      </c>
      <c r="S239" s="32">
        <v>1308</v>
      </c>
      <c r="T239" s="32">
        <v>26</v>
      </c>
      <c r="U239" s="32">
        <v>113204</v>
      </c>
      <c r="V239" s="32">
        <v>3</v>
      </c>
      <c r="W239" s="32">
        <v>57971</v>
      </c>
    </row>
    <row r="240" spans="1:25" x14ac:dyDescent="0.2">
      <c r="A240" s="30" t="s">
        <v>455</v>
      </c>
      <c r="B240" s="30" t="s">
        <v>985</v>
      </c>
      <c r="C240" s="34">
        <v>1</v>
      </c>
      <c r="D240" s="35">
        <v>1</v>
      </c>
      <c r="E240" s="34">
        <f>IF(OR(D240="-",D240="",D240=0),IF(C240="-","-",C240),C240-D240)</f>
        <v>0</v>
      </c>
      <c r="F240" s="4">
        <f>IFERROR(IF(C240&gt;0, D240/C240, 0),"-")</f>
        <v>1</v>
      </c>
      <c r="G240" s="34" t="s">
        <v>959</v>
      </c>
      <c r="H240" s="35" t="s">
        <v>959</v>
      </c>
      <c r="I240" s="34" t="str">
        <f>IF(OR(H240="-",H240="",H240=0),IF(G240="-","-",G240),G240-H240)</f>
        <v>-</v>
      </c>
      <c r="J240" s="4" t="str">
        <f>IFERROR(IF(G240&gt;0, H240/G240, 0),"-")</f>
        <v>-</v>
      </c>
      <c r="K240" s="34" t="s">
        <v>959</v>
      </c>
      <c r="L240" s="35" t="s">
        <v>959</v>
      </c>
      <c r="M240" s="34" t="str">
        <f>IF(OR(L240="-",L240="",L240=0),IF(K240="-","-",K240),K240-L240)</f>
        <v>-</v>
      </c>
      <c r="N240" s="4" t="str">
        <f>IFERROR(IF(K240&gt;0, L240/K240, 0),"-")</f>
        <v>-</v>
      </c>
      <c r="O240" s="34" t="s">
        <v>959</v>
      </c>
      <c r="P240" s="35" t="s">
        <v>959</v>
      </c>
      <c r="Q240" s="34" t="str">
        <f>IF(OR(P240="-",P240="",P240=0),IF(O240="-","-",O240),O240-P240)</f>
        <v>-</v>
      </c>
      <c r="R240" s="4" t="str">
        <f>IFERROR(IF(O240&gt;0, P240/O240, 0),"-")</f>
        <v>-</v>
      </c>
      <c r="S240" s="34">
        <v>2</v>
      </c>
      <c r="T240" s="34" t="s">
        <v>959</v>
      </c>
      <c r="U240" s="34" t="s">
        <v>959</v>
      </c>
      <c r="V240" s="35" t="s">
        <v>959</v>
      </c>
      <c r="W240" s="35" t="s">
        <v>959</v>
      </c>
    </row>
    <row r="241" spans="1:23" x14ac:dyDescent="0.2">
      <c r="A241" s="30" t="s">
        <v>453</v>
      </c>
      <c r="B241" s="30" t="s">
        <v>986</v>
      </c>
      <c r="C241" s="34">
        <v>161</v>
      </c>
      <c r="D241" s="35">
        <v>158</v>
      </c>
      <c r="E241" s="34">
        <f>IF(OR(D241="-",D241="",D241=0),IF(C241="-","-",C241),C241-D241)</f>
        <v>3</v>
      </c>
      <c r="F241" s="4">
        <f>IFERROR(IF(C241&gt;0, D241/C241, 0),"-")</f>
        <v>0.98136645962732916</v>
      </c>
      <c r="G241" s="34">
        <v>5</v>
      </c>
      <c r="H241" s="35">
        <v>3</v>
      </c>
      <c r="I241" s="34">
        <f>IF(OR(H241="-",H241="",H241=0),IF(G241="-","-",G241),G241-H241)</f>
        <v>2</v>
      </c>
      <c r="J241" s="4">
        <f>IFERROR(IF(G241&gt;0, H241/G241, 0),"-")</f>
        <v>0.6</v>
      </c>
      <c r="K241" s="34">
        <v>5</v>
      </c>
      <c r="L241" s="35">
        <v>3</v>
      </c>
      <c r="M241" s="34">
        <f>IF(OR(L241="-",L241="",L241=0),IF(K241="-","-",K241),K241-L241)</f>
        <v>2</v>
      </c>
      <c r="N241" s="4">
        <f>IFERROR(IF(K241&gt;0, L241/K241, 0),"-")</f>
        <v>0.6</v>
      </c>
      <c r="O241" s="34">
        <v>1</v>
      </c>
      <c r="P241" s="35" t="s">
        <v>959</v>
      </c>
      <c r="Q241" s="34">
        <f>IF(OR(P241="-",P241="",P241=0),IF(O241="-","-",O241),O241-P241)</f>
        <v>1</v>
      </c>
      <c r="R241" s="4" t="str">
        <f>IFERROR(IF(O241&gt;0, P241/O241, 0),"-")</f>
        <v>-</v>
      </c>
      <c r="S241" s="34">
        <v>169</v>
      </c>
      <c r="T241" s="34" t="s">
        <v>959</v>
      </c>
      <c r="U241" s="34" t="s">
        <v>959</v>
      </c>
      <c r="V241" s="35" t="s">
        <v>959</v>
      </c>
      <c r="W241" s="35" t="s">
        <v>959</v>
      </c>
    </row>
    <row r="242" spans="1:23" x14ac:dyDescent="0.2">
      <c r="A242" s="30" t="s">
        <v>451</v>
      </c>
      <c r="B242" s="30" t="s">
        <v>987</v>
      </c>
      <c r="C242" s="34">
        <v>167</v>
      </c>
      <c r="D242" s="35">
        <v>166</v>
      </c>
      <c r="E242" s="34">
        <f>IF(OR(D242="-",D242="",D242=0),IF(C242="-","-",C242),C242-D242)</f>
        <v>1</v>
      </c>
      <c r="F242" s="4">
        <f>IFERROR(IF(C242&gt;0, D242/C242, 0),"-")</f>
        <v>0.99401197604790414</v>
      </c>
      <c r="G242" s="34">
        <v>4</v>
      </c>
      <c r="H242" s="35" t="s">
        <v>959</v>
      </c>
      <c r="I242" s="34">
        <f>IF(OR(H242="-",H242="",H242=0),IF(G242="-","-",G242),G242-H242)</f>
        <v>4</v>
      </c>
      <c r="J242" s="4" t="str">
        <f>IFERROR(IF(G242&gt;0, H242/G242, 0),"-")</f>
        <v>-</v>
      </c>
      <c r="K242" s="34">
        <v>7</v>
      </c>
      <c r="L242" s="35">
        <v>3</v>
      </c>
      <c r="M242" s="34">
        <f>IF(OR(L242="-",L242="",L242=0),IF(K242="-","-",K242),K242-L242)</f>
        <v>4</v>
      </c>
      <c r="N242" s="4">
        <f>IFERROR(IF(K242&gt;0, L242/K242, 0),"-")</f>
        <v>0.42857142857142855</v>
      </c>
      <c r="O242" s="34">
        <v>5</v>
      </c>
      <c r="P242" s="35">
        <v>2</v>
      </c>
      <c r="Q242" s="34">
        <f>IF(OR(P242="-",P242="",P242=0),IF(O242="-","-",O242),O242-P242)</f>
        <v>3</v>
      </c>
      <c r="R242" s="4">
        <f>IFERROR(IF(O242&gt;0, P242/O242, 0),"-")</f>
        <v>0.4</v>
      </c>
      <c r="S242" s="34">
        <v>150</v>
      </c>
      <c r="T242" s="34">
        <v>6</v>
      </c>
      <c r="U242" s="34">
        <v>33135</v>
      </c>
      <c r="V242" s="35">
        <v>1</v>
      </c>
      <c r="W242" s="35">
        <v>32900</v>
      </c>
    </row>
    <row r="243" spans="1:23" x14ac:dyDescent="0.2">
      <c r="A243" s="30" t="s">
        <v>449</v>
      </c>
      <c r="B243" s="30" t="s">
        <v>988</v>
      </c>
      <c r="C243" s="34">
        <v>188</v>
      </c>
      <c r="D243" s="35">
        <v>184</v>
      </c>
      <c r="E243" s="34">
        <f>IF(OR(D243="-",D243="",D243=0),IF(C243="-","-",C243),C243-D243)</f>
        <v>4</v>
      </c>
      <c r="F243" s="4">
        <f>IFERROR(IF(C243&gt;0, D243/C243, 0),"-")</f>
        <v>0.97872340425531912</v>
      </c>
      <c r="G243" s="34" t="s">
        <v>959</v>
      </c>
      <c r="H243" s="35" t="s">
        <v>959</v>
      </c>
      <c r="I243" s="34" t="str">
        <f>IF(OR(H243="-",H243="",H243=0),IF(G243="-","-",G243),G243-H243)</f>
        <v>-</v>
      </c>
      <c r="J243" s="4" t="str">
        <f>IFERROR(IF(G243&gt;0, H243/G243, 0),"-")</f>
        <v>-</v>
      </c>
      <c r="K243" s="34">
        <v>7</v>
      </c>
      <c r="L243" s="35">
        <v>2</v>
      </c>
      <c r="M243" s="34">
        <f>IF(OR(L243="-",L243="",L243=0),IF(K243="-","-",K243),K243-L243)</f>
        <v>5</v>
      </c>
      <c r="N243" s="4">
        <f>IFERROR(IF(K243&gt;0, L243/K243, 0),"-")</f>
        <v>0.2857142857142857</v>
      </c>
      <c r="O243" s="34">
        <v>5</v>
      </c>
      <c r="P243" s="35">
        <v>2</v>
      </c>
      <c r="Q243" s="34">
        <f>IF(OR(P243="-",P243="",P243=0),IF(O243="-","-",O243),O243-P243)</f>
        <v>3</v>
      </c>
      <c r="R243" s="4">
        <f>IFERROR(IF(O243&gt;0, P243/O243, 0),"-")</f>
        <v>0.4</v>
      </c>
      <c r="S243" s="34">
        <v>172</v>
      </c>
      <c r="T243" s="34">
        <v>3</v>
      </c>
      <c r="U243" s="34">
        <v>9430</v>
      </c>
      <c r="V243" s="35" t="s">
        <v>959</v>
      </c>
      <c r="W243" s="35" t="s">
        <v>959</v>
      </c>
    </row>
    <row r="244" spans="1:23" x14ac:dyDescent="0.2">
      <c r="A244" s="30" t="s">
        <v>454</v>
      </c>
      <c r="B244" s="30" t="s">
        <v>989</v>
      </c>
      <c r="C244" s="34">
        <v>76</v>
      </c>
      <c r="D244" s="35">
        <v>75</v>
      </c>
      <c r="E244" s="34">
        <f>IF(OR(D244="-",D244="",D244=0),IF(C244="-","-",C244),C244-D244)</f>
        <v>1</v>
      </c>
      <c r="F244" s="4">
        <f>IFERROR(IF(C244&gt;0, D244/C244, 0),"-")</f>
        <v>0.98684210526315785</v>
      </c>
      <c r="G244" s="34">
        <v>4</v>
      </c>
      <c r="H244" s="35">
        <v>3</v>
      </c>
      <c r="I244" s="34">
        <f>IF(OR(H244="-",H244="",H244=0),IF(G244="-","-",G244),G244-H244)</f>
        <v>1</v>
      </c>
      <c r="J244" s="4">
        <f>IFERROR(IF(G244&gt;0, H244/G244, 0),"-")</f>
        <v>0.75</v>
      </c>
      <c r="K244" s="34">
        <v>2</v>
      </c>
      <c r="L244" s="35" t="s">
        <v>959</v>
      </c>
      <c r="M244" s="34">
        <f>IF(OR(L244="-",L244="",L244=0),IF(K244="-","-",K244),K244-L244)</f>
        <v>2</v>
      </c>
      <c r="N244" s="4" t="str">
        <f>IFERROR(IF(K244&gt;0, L244/K244, 0),"-")</f>
        <v>-</v>
      </c>
      <c r="O244" s="34">
        <v>3</v>
      </c>
      <c r="P244" s="35" t="s">
        <v>959</v>
      </c>
      <c r="Q244" s="34">
        <f>IF(OR(P244="-",P244="",P244=0),IF(O244="-","-",O244),O244-P244)</f>
        <v>3</v>
      </c>
      <c r="R244" s="4" t="str">
        <f>IFERROR(IF(O244&gt;0, P244/O244, 0),"-")</f>
        <v>-</v>
      </c>
      <c r="S244" s="34">
        <v>89</v>
      </c>
      <c r="T244" s="34">
        <v>2</v>
      </c>
      <c r="U244" s="34">
        <v>5390</v>
      </c>
      <c r="V244" s="35" t="s">
        <v>959</v>
      </c>
      <c r="W244" s="35" t="s">
        <v>959</v>
      </c>
    </row>
    <row r="245" spans="1:23" x14ac:dyDescent="0.2">
      <c r="A245" s="30" t="s">
        <v>447</v>
      </c>
      <c r="B245" s="30" t="s">
        <v>990</v>
      </c>
      <c r="C245" s="34">
        <v>103</v>
      </c>
      <c r="D245" s="35">
        <v>102</v>
      </c>
      <c r="E245" s="34">
        <f>IF(OR(D245="-",D245="",D245=0),IF(C245="-","-",C245),C245-D245)</f>
        <v>1</v>
      </c>
      <c r="F245" s="4">
        <f>IFERROR(IF(C245&gt;0, D245/C245, 0),"-")</f>
        <v>0.99029126213592233</v>
      </c>
      <c r="G245" s="34">
        <v>2</v>
      </c>
      <c r="H245" s="35">
        <v>1</v>
      </c>
      <c r="I245" s="34">
        <f>IF(OR(H245="-",H245="",H245=0),IF(G245="-","-",G245),G245-H245)</f>
        <v>1</v>
      </c>
      <c r="J245" s="4">
        <f>IFERROR(IF(G245&gt;0, H245/G245, 0),"-")</f>
        <v>0.5</v>
      </c>
      <c r="K245" s="34">
        <v>2</v>
      </c>
      <c r="L245" s="35">
        <v>2</v>
      </c>
      <c r="M245" s="34">
        <f>IF(OR(L245="-",L245="",L245=0),IF(K245="-","-",K245),K245-L245)</f>
        <v>0</v>
      </c>
      <c r="N245" s="4">
        <f>IFERROR(IF(K245&gt;0, L245/K245, 0),"-")</f>
        <v>1</v>
      </c>
      <c r="O245" s="34">
        <v>3</v>
      </c>
      <c r="P245" s="35" t="s">
        <v>959</v>
      </c>
      <c r="Q245" s="34">
        <f>IF(OR(P245="-",P245="",P245=0),IF(O245="-","-",O245),O245-P245)</f>
        <v>3</v>
      </c>
      <c r="R245" s="4" t="str">
        <f>IFERROR(IF(O245&gt;0, P245/O245, 0),"-")</f>
        <v>-</v>
      </c>
      <c r="S245" s="34">
        <v>116</v>
      </c>
      <c r="T245" s="34">
        <v>5</v>
      </c>
      <c r="U245" s="34">
        <v>15805</v>
      </c>
      <c r="V245" s="35" t="s">
        <v>959</v>
      </c>
      <c r="W245" s="35" t="s">
        <v>959</v>
      </c>
    </row>
    <row r="246" spans="1:23" x14ac:dyDescent="0.2">
      <c r="A246" s="30" t="s">
        <v>448</v>
      </c>
      <c r="B246" s="30" t="s">
        <v>991</v>
      </c>
      <c r="C246" s="34">
        <v>90</v>
      </c>
      <c r="D246" s="35">
        <v>88</v>
      </c>
      <c r="E246" s="34">
        <f>IF(OR(D246="-",D246="",D246=0),IF(C246="-","-",C246),C246-D246)</f>
        <v>2</v>
      </c>
      <c r="F246" s="4">
        <f>IFERROR(IF(C246&gt;0, D246/C246, 0),"-")</f>
        <v>0.97777777777777775</v>
      </c>
      <c r="G246" s="34">
        <v>2</v>
      </c>
      <c r="H246" s="35">
        <v>1</v>
      </c>
      <c r="I246" s="34">
        <f>IF(OR(H246="-",H246="",H246=0),IF(G246="-","-",G246),G246-H246)</f>
        <v>1</v>
      </c>
      <c r="J246" s="4">
        <f>IFERROR(IF(G246&gt;0, H246/G246, 0),"-")</f>
        <v>0.5</v>
      </c>
      <c r="K246" s="34">
        <v>2</v>
      </c>
      <c r="L246" s="35">
        <v>1</v>
      </c>
      <c r="M246" s="34">
        <f>IF(OR(L246="-",L246="",L246=0),IF(K246="-","-",K246),K246-L246)</f>
        <v>1</v>
      </c>
      <c r="N246" s="4">
        <f>IFERROR(IF(K246&gt;0, L246/K246, 0),"-")</f>
        <v>0.5</v>
      </c>
      <c r="O246" s="34">
        <v>5</v>
      </c>
      <c r="P246" s="35">
        <v>1</v>
      </c>
      <c r="Q246" s="34">
        <f>IF(OR(P246="-",P246="",P246=0),IF(O246="-","-",O246),O246-P246)</f>
        <v>4</v>
      </c>
      <c r="R246" s="4">
        <f>IFERROR(IF(O246&gt;0, P246/O246, 0),"-")</f>
        <v>0.2</v>
      </c>
      <c r="S246" s="34">
        <v>120</v>
      </c>
      <c r="T246" s="34">
        <v>1</v>
      </c>
      <c r="U246" s="34">
        <v>4040</v>
      </c>
      <c r="V246" s="35">
        <v>1</v>
      </c>
      <c r="W246" s="35">
        <v>19151</v>
      </c>
    </row>
    <row r="247" spans="1:23" x14ac:dyDescent="0.2">
      <c r="A247" s="30" t="s">
        <v>452</v>
      </c>
      <c r="B247" s="30" t="s">
        <v>992</v>
      </c>
      <c r="C247" s="34">
        <v>111</v>
      </c>
      <c r="D247" s="35">
        <v>110</v>
      </c>
      <c r="E247" s="34">
        <f>IF(OR(D247="-",D247="",D247=0),IF(C247="-","-",C247),C247-D247)</f>
        <v>1</v>
      </c>
      <c r="F247" s="4">
        <f>IFERROR(IF(C247&gt;0, D247/C247, 0),"-")</f>
        <v>0.99099099099099097</v>
      </c>
      <c r="G247" s="34">
        <v>2</v>
      </c>
      <c r="H247" s="35">
        <v>1</v>
      </c>
      <c r="I247" s="34">
        <f>IF(OR(H247="-",H247="",H247=0),IF(G247="-","-",G247),G247-H247)</f>
        <v>1</v>
      </c>
      <c r="J247" s="4">
        <f>IFERROR(IF(G247&gt;0, H247/G247, 0),"-")</f>
        <v>0.5</v>
      </c>
      <c r="K247" s="34">
        <v>4</v>
      </c>
      <c r="L247" s="35" t="s">
        <v>959</v>
      </c>
      <c r="M247" s="34">
        <f>IF(OR(L247="-",L247="",L247=0),IF(K247="-","-",K247),K247-L247)</f>
        <v>4</v>
      </c>
      <c r="N247" s="4" t="str">
        <f>IFERROR(IF(K247&gt;0, L247/K247, 0),"-")</f>
        <v>-</v>
      </c>
      <c r="O247" s="34">
        <v>11</v>
      </c>
      <c r="P247" s="35">
        <v>7</v>
      </c>
      <c r="Q247" s="34">
        <f>IF(OR(P247="-",P247="",P247=0),IF(O247="-","-",O247),O247-P247)</f>
        <v>4</v>
      </c>
      <c r="R247" s="4">
        <f>IFERROR(IF(O247&gt;0, P247/O247, 0),"-")</f>
        <v>0.63636363636363635</v>
      </c>
      <c r="S247" s="34">
        <v>194</v>
      </c>
      <c r="T247" s="34">
        <v>4</v>
      </c>
      <c r="U247" s="34">
        <v>30990</v>
      </c>
      <c r="V247" s="35">
        <v>1</v>
      </c>
      <c r="W247" s="35">
        <v>5920</v>
      </c>
    </row>
    <row r="248" spans="1:23" x14ac:dyDescent="0.2">
      <c r="A248" s="30" t="s">
        <v>450</v>
      </c>
      <c r="B248" s="30" t="s">
        <v>993</v>
      </c>
      <c r="C248" s="34">
        <v>249</v>
      </c>
      <c r="D248" s="35">
        <v>249</v>
      </c>
      <c r="E248" s="34">
        <f>IF(OR(D248="-",D248="",D248=0),IF(C248="-","-",C248),C248-D248)</f>
        <v>0</v>
      </c>
      <c r="F248" s="4">
        <f>IFERROR(IF(C248&gt;0, D248/C248, 0),"-")</f>
        <v>1</v>
      </c>
      <c r="G248" s="34">
        <v>2</v>
      </c>
      <c r="H248" s="35" t="s">
        <v>959</v>
      </c>
      <c r="I248" s="34">
        <f>IF(OR(H248="-",H248="",H248=0),IF(G248="-","-",G248),G248-H248)</f>
        <v>2</v>
      </c>
      <c r="J248" s="4" t="str">
        <f>IFERROR(IF(G248&gt;0, H248/G248, 0),"-")</f>
        <v>-</v>
      </c>
      <c r="K248" s="34">
        <v>4</v>
      </c>
      <c r="L248" s="35">
        <v>1</v>
      </c>
      <c r="M248" s="34">
        <f>IF(OR(L248="-",L248="",L248=0),IF(K248="-","-",K248),K248-L248)</f>
        <v>3</v>
      </c>
      <c r="N248" s="4">
        <f>IFERROR(IF(K248&gt;0, L248/K248, 0),"-")</f>
        <v>0.25</v>
      </c>
      <c r="O248" s="34">
        <v>11</v>
      </c>
      <c r="P248" s="35">
        <v>1</v>
      </c>
      <c r="Q248" s="34">
        <f>IF(OR(P248="-",P248="",P248=0),IF(O248="-","-",O248),O248-P248)</f>
        <v>10</v>
      </c>
      <c r="R248" s="4">
        <f>IFERROR(IF(O248&gt;0, P248/O248, 0),"-")</f>
        <v>9.0909090909090912E-2</v>
      </c>
      <c r="S248" s="34">
        <v>296</v>
      </c>
      <c r="T248" s="34">
        <v>5</v>
      </c>
      <c r="U248" s="34">
        <v>14414</v>
      </c>
      <c r="V248" s="35" t="s">
        <v>959</v>
      </c>
      <c r="W248" s="35" t="s">
        <v>959</v>
      </c>
    </row>
    <row r="249" spans="1:23" x14ac:dyDescent="0.2">
      <c r="A249" s="29"/>
      <c r="B249" s="29" t="s">
        <v>42</v>
      </c>
      <c r="C249" s="32">
        <v>1246</v>
      </c>
      <c r="D249" s="32">
        <v>1221</v>
      </c>
      <c r="E249" s="32">
        <f>IF(OR(D249="-",D249="",D249=0),IF(C249="-","-",C249),C249-D249)</f>
        <v>25</v>
      </c>
      <c r="F249" s="36">
        <f>IFERROR(IF(C249&gt;0, D249/C249, 0),"-")</f>
        <v>0.9799357945425361</v>
      </c>
      <c r="G249" s="32">
        <v>17</v>
      </c>
      <c r="H249" s="32">
        <v>7</v>
      </c>
      <c r="I249" s="32">
        <f>IF(OR(H249="-",H249="",H249=0),IF(G249="-","-",G249),G249-H249)</f>
        <v>10</v>
      </c>
      <c r="J249" s="36">
        <f>IFERROR(IF(G249&gt;0, H249/G249, 0),"-")</f>
        <v>0.41176470588235292</v>
      </c>
      <c r="K249" s="32">
        <v>12</v>
      </c>
      <c r="L249" s="32">
        <v>5</v>
      </c>
      <c r="M249" s="32">
        <f>IF(OR(L249="-",L249="",L249=0),IF(K249="-","-",K249),K249-L249)</f>
        <v>7</v>
      </c>
      <c r="N249" s="36">
        <f>IFERROR(IF(K249&gt;0, L249/K249, 0),"-")</f>
        <v>0.41666666666666669</v>
      </c>
      <c r="O249" s="32">
        <v>20</v>
      </c>
      <c r="P249" s="32">
        <v>2</v>
      </c>
      <c r="Q249" s="32">
        <f>IF(OR(P249="-",P249="",P249=0),IF(O249="-","-",O249),O249-P249)</f>
        <v>18</v>
      </c>
      <c r="R249" s="36">
        <f>IFERROR(IF(O249&gt;0, P249/O249, 0),"-")</f>
        <v>0.1</v>
      </c>
      <c r="S249" s="32">
        <v>537</v>
      </c>
      <c r="T249" s="32">
        <v>10</v>
      </c>
      <c r="U249" s="32">
        <v>60915</v>
      </c>
      <c r="V249" s="32">
        <v>19</v>
      </c>
      <c r="W249" s="32">
        <v>481417</v>
      </c>
    </row>
    <row r="250" spans="1:23" x14ac:dyDescent="0.2">
      <c r="A250" s="30" t="s">
        <v>223</v>
      </c>
      <c r="B250" s="30" t="s">
        <v>994</v>
      </c>
      <c r="C250" s="34">
        <v>207</v>
      </c>
      <c r="D250" s="35">
        <v>203</v>
      </c>
      <c r="E250" s="34">
        <f>IF(OR(D250="-",D250="",D250=0),IF(C250="-","-",C250),C250-D250)</f>
        <v>4</v>
      </c>
      <c r="F250" s="4">
        <f>IFERROR(IF(C250&gt;0, D250/C250, 0),"-")</f>
        <v>0.98067632850241548</v>
      </c>
      <c r="G250" s="34">
        <v>3</v>
      </c>
      <c r="H250" s="35">
        <v>1</v>
      </c>
      <c r="I250" s="34">
        <f>IF(OR(H250="-",H250="",H250=0),IF(G250="-","-",G250),G250-H250)</f>
        <v>2</v>
      </c>
      <c r="J250" s="4">
        <f>IFERROR(IF(G250&gt;0, H250/G250, 0),"-")</f>
        <v>0.33333333333333331</v>
      </c>
      <c r="K250" s="34">
        <v>3</v>
      </c>
      <c r="L250" s="35">
        <v>1</v>
      </c>
      <c r="M250" s="34">
        <f>IF(OR(L250="-",L250="",L250=0),IF(K250="-","-",K250),K250-L250)</f>
        <v>2</v>
      </c>
      <c r="N250" s="4">
        <f>IFERROR(IF(K250&gt;0, L250/K250, 0),"-")</f>
        <v>0.33333333333333331</v>
      </c>
      <c r="O250" s="34">
        <v>3</v>
      </c>
      <c r="P250" s="35" t="s">
        <v>959</v>
      </c>
      <c r="Q250" s="34">
        <f>IF(OR(P250="-",P250="",P250=0),IF(O250="-","-",O250),O250-P250)</f>
        <v>3</v>
      </c>
      <c r="R250" s="4" t="str">
        <f>IFERROR(IF(O250&gt;0, P250/O250, 0),"-")</f>
        <v>-</v>
      </c>
      <c r="S250" s="34">
        <v>158</v>
      </c>
      <c r="T250" s="34">
        <v>2</v>
      </c>
      <c r="U250" s="34">
        <v>37730</v>
      </c>
      <c r="V250" s="35">
        <v>4</v>
      </c>
      <c r="W250" s="35">
        <v>107297</v>
      </c>
    </row>
    <row r="251" spans="1:23" x14ac:dyDescent="0.2">
      <c r="A251" s="30" t="s">
        <v>224</v>
      </c>
      <c r="B251" s="30" t="s">
        <v>995</v>
      </c>
      <c r="C251" s="34">
        <v>308</v>
      </c>
      <c r="D251" s="35">
        <v>297</v>
      </c>
      <c r="E251" s="34">
        <f>IF(OR(D251="-",D251="",D251=0),IF(C251="-","-",C251),C251-D251)</f>
        <v>11</v>
      </c>
      <c r="F251" s="4">
        <f>IFERROR(IF(C251&gt;0, D251/C251, 0),"-")</f>
        <v>0.9642857142857143</v>
      </c>
      <c r="G251" s="34">
        <v>4</v>
      </c>
      <c r="H251" s="35">
        <v>3</v>
      </c>
      <c r="I251" s="34">
        <f>IF(OR(H251="-",H251="",H251=0),IF(G251="-","-",G251),G251-H251)</f>
        <v>1</v>
      </c>
      <c r="J251" s="4">
        <f>IFERROR(IF(G251&gt;0, H251/G251, 0),"-")</f>
        <v>0.75</v>
      </c>
      <c r="K251" s="34">
        <v>2</v>
      </c>
      <c r="L251" s="35" t="s">
        <v>959</v>
      </c>
      <c r="M251" s="34">
        <f>IF(OR(L251="-",L251="",L251=0),IF(K251="-","-",K251),K251-L251)</f>
        <v>2</v>
      </c>
      <c r="N251" s="4" t="str">
        <f>IFERROR(IF(K251&gt;0, L251/K251, 0),"-")</f>
        <v>-</v>
      </c>
      <c r="O251" s="34">
        <v>3</v>
      </c>
      <c r="P251" s="35">
        <v>1</v>
      </c>
      <c r="Q251" s="34">
        <f>IF(OR(P251="-",P251="",P251=0),IF(O251="-","-",O251),O251-P251)</f>
        <v>2</v>
      </c>
      <c r="R251" s="4">
        <f>IFERROR(IF(O251&gt;0, P251/O251, 0),"-")</f>
        <v>0.33333333333333331</v>
      </c>
      <c r="S251" s="34">
        <v>131</v>
      </c>
      <c r="T251" s="34">
        <v>3</v>
      </c>
      <c r="U251" s="34">
        <v>8395</v>
      </c>
      <c r="V251" s="35">
        <v>4</v>
      </c>
      <c r="W251" s="35">
        <v>99595</v>
      </c>
    </row>
    <row r="252" spans="1:23" x14ac:dyDescent="0.2">
      <c r="A252" s="30" t="s">
        <v>225</v>
      </c>
      <c r="B252" s="30" t="s">
        <v>996</v>
      </c>
      <c r="C252" s="34">
        <v>187</v>
      </c>
      <c r="D252" s="35">
        <v>183</v>
      </c>
      <c r="E252" s="34">
        <f>IF(OR(D252="-",D252="",D252=0),IF(C252="-","-",C252),C252-D252)</f>
        <v>4</v>
      </c>
      <c r="F252" s="4">
        <f>IFERROR(IF(C252&gt;0, D252/C252, 0),"-")</f>
        <v>0.97860962566844922</v>
      </c>
      <c r="G252" s="34">
        <v>4</v>
      </c>
      <c r="H252" s="35">
        <v>1</v>
      </c>
      <c r="I252" s="34">
        <f>IF(OR(H252="-",H252="",H252=0),IF(G252="-","-",G252),G252-H252)</f>
        <v>3</v>
      </c>
      <c r="J252" s="4">
        <f>IFERROR(IF(G252&gt;0, H252/G252, 0),"-")</f>
        <v>0.25</v>
      </c>
      <c r="K252" s="34">
        <v>3</v>
      </c>
      <c r="L252" s="35">
        <v>2</v>
      </c>
      <c r="M252" s="34">
        <f>IF(OR(L252="-",L252="",L252=0),IF(K252="-","-",K252),K252-L252)</f>
        <v>1</v>
      </c>
      <c r="N252" s="4">
        <f>IFERROR(IF(K252&gt;0, L252/K252, 0),"-")</f>
        <v>0.66666666666666663</v>
      </c>
      <c r="O252" s="34">
        <v>4</v>
      </c>
      <c r="P252" s="35" t="s">
        <v>959</v>
      </c>
      <c r="Q252" s="34">
        <f>IF(OR(P252="-",P252="",P252=0),IF(O252="-","-",O252),O252-P252)</f>
        <v>4</v>
      </c>
      <c r="R252" s="4" t="str">
        <f>IFERROR(IF(O252&gt;0, P252/O252, 0),"-")</f>
        <v>-</v>
      </c>
      <c r="S252" s="34">
        <v>71</v>
      </c>
      <c r="T252" s="34">
        <v>2</v>
      </c>
      <c r="U252" s="34">
        <v>5390</v>
      </c>
      <c r="V252" s="35">
        <v>7</v>
      </c>
      <c r="W252" s="35">
        <v>177608</v>
      </c>
    </row>
    <row r="253" spans="1:23" x14ac:dyDescent="0.2">
      <c r="A253" s="30" t="s">
        <v>222</v>
      </c>
      <c r="B253" s="30" t="s">
        <v>997</v>
      </c>
      <c r="C253" s="34">
        <v>168</v>
      </c>
      <c r="D253" s="35">
        <v>167</v>
      </c>
      <c r="E253" s="34">
        <f>IF(OR(D253="-",D253="",D253=0),IF(C253="-","-",C253),C253-D253)</f>
        <v>1</v>
      </c>
      <c r="F253" s="4">
        <f>IFERROR(IF(C253&gt;0, D253/C253, 0),"-")</f>
        <v>0.99404761904761907</v>
      </c>
      <c r="G253" s="34">
        <v>2</v>
      </c>
      <c r="H253" s="35">
        <v>2</v>
      </c>
      <c r="I253" s="34">
        <f>IF(OR(H253="-",H253="",H253=0),IF(G253="-","-",G253),G253-H253)</f>
        <v>0</v>
      </c>
      <c r="J253" s="4">
        <f>IFERROR(IF(G253&gt;0, H253/G253, 0),"-")</f>
        <v>1</v>
      </c>
      <c r="K253" s="34">
        <v>1</v>
      </c>
      <c r="L253" s="35">
        <v>1</v>
      </c>
      <c r="M253" s="34">
        <f>IF(OR(L253="-",L253="",L253=0),IF(K253="-","-",K253),K253-L253)</f>
        <v>0</v>
      </c>
      <c r="N253" s="4">
        <f>IFERROR(IF(K253&gt;0, L253/K253, 0),"-")</f>
        <v>1</v>
      </c>
      <c r="O253" s="34">
        <v>5</v>
      </c>
      <c r="P253" s="35">
        <v>1</v>
      </c>
      <c r="Q253" s="34">
        <f>IF(OR(P253="-",P253="",P253=0),IF(O253="-","-",O253),O253-P253)</f>
        <v>4</v>
      </c>
      <c r="R253" s="4">
        <f>IFERROR(IF(O253&gt;0, P253/O253, 0),"-")</f>
        <v>0.2</v>
      </c>
      <c r="S253" s="34">
        <v>47</v>
      </c>
      <c r="T253" s="34" t="s">
        <v>959</v>
      </c>
      <c r="U253" s="34" t="s">
        <v>959</v>
      </c>
      <c r="V253" s="35">
        <v>1</v>
      </c>
      <c r="W253" s="35">
        <v>19623</v>
      </c>
    </row>
    <row r="254" spans="1:23" x14ac:dyDescent="0.2">
      <c r="A254" s="30" t="s">
        <v>221</v>
      </c>
      <c r="B254" s="30" t="s">
        <v>998</v>
      </c>
      <c r="C254" s="34">
        <v>376</v>
      </c>
      <c r="D254" s="35">
        <v>371</v>
      </c>
      <c r="E254" s="34">
        <f>IF(OR(D254="-",D254="",D254=0),IF(C254="-","-",C254),C254-D254)</f>
        <v>5</v>
      </c>
      <c r="F254" s="4">
        <f>IFERROR(IF(C254&gt;0, D254/C254, 0),"-")</f>
        <v>0.98670212765957444</v>
      </c>
      <c r="G254" s="34">
        <v>4</v>
      </c>
      <c r="H254" s="35" t="s">
        <v>959</v>
      </c>
      <c r="I254" s="34">
        <f>IF(OR(H254="-",H254="",H254=0),IF(G254="-","-",G254),G254-H254)</f>
        <v>4</v>
      </c>
      <c r="J254" s="4" t="str">
        <f>IFERROR(IF(G254&gt;0, H254/G254, 0),"-")</f>
        <v>-</v>
      </c>
      <c r="K254" s="34">
        <v>3</v>
      </c>
      <c r="L254" s="35">
        <v>1</v>
      </c>
      <c r="M254" s="34">
        <f>IF(OR(L254="-",L254="",L254=0),IF(K254="-","-",K254),K254-L254)</f>
        <v>2</v>
      </c>
      <c r="N254" s="4">
        <f>IFERROR(IF(K254&gt;0, L254/K254, 0),"-")</f>
        <v>0.33333333333333331</v>
      </c>
      <c r="O254" s="34">
        <v>5</v>
      </c>
      <c r="P254" s="35" t="s">
        <v>959</v>
      </c>
      <c r="Q254" s="34">
        <f>IF(OR(P254="-",P254="",P254=0),IF(O254="-","-",O254),O254-P254)</f>
        <v>5</v>
      </c>
      <c r="R254" s="4" t="str">
        <f>IFERROR(IF(O254&gt;0, P254/O254, 0),"-")</f>
        <v>-</v>
      </c>
      <c r="S254" s="34">
        <v>130</v>
      </c>
      <c r="T254" s="34">
        <v>3</v>
      </c>
      <c r="U254" s="34">
        <v>9400</v>
      </c>
      <c r="V254" s="35">
        <v>3</v>
      </c>
      <c r="W254" s="35">
        <v>77294</v>
      </c>
    </row>
    <row r="255" spans="1:23" x14ac:dyDescent="0.2">
      <c r="A255" s="29"/>
      <c r="B255" s="29" t="s">
        <v>48</v>
      </c>
      <c r="C255" s="32">
        <v>992</v>
      </c>
      <c r="D255" s="32">
        <v>983</v>
      </c>
      <c r="E255" s="32">
        <f>IF(OR(D255="-",D255="",D255=0),IF(C255="-","-",C255),C255-D255)</f>
        <v>9</v>
      </c>
      <c r="F255" s="36">
        <f>IFERROR(IF(C255&gt;0, D255/C255, 0),"-")</f>
        <v>0.99092741935483875</v>
      </c>
      <c r="G255" s="32">
        <v>11</v>
      </c>
      <c r="H255" s="32">
        <v>6</v>
      </c>
      <c r="I255" s="32">
        <f>IF(OR(H255="-",H255="",H255=0),IF(G255="-","-",G255),G255-H255)</f>
        <v>5</v>
      </c>
      <c r="J255" s="36">
        <f>IFERROR(IF(G255&gt;0, H255/G255, 0),"-")</f>
        <v>0.54545454545454541</v>
      </c>
      <c r="K255" s="32">
        <v>12</v>
      </c>
      <c r="L255" s="32">
        <v>5</v>
      </c>
      <c r="M255" s="32">
        <f>IF(OR(L255="-",L255="",L255=0),IF(K255="-","-",K255),K255-L255)</f>
        <v>7</v>
      </c>
      <c r="N255" s="36">
        <f>IFERROR(IF(K255&gt;0, L255/K255, 0),"-")</f>
        <v>0.41666666666666669</v>
      </c>
      <c r="O255" s="32">
        <v>21</v>
      </c>
      <c r="P255" s="32">
        <v>7</v>
      </c>
      <c r="Q255" s="32">
        <f>IF(OR(P255="-",P255="",P255=0),IF(O255="-","-",O255),O255-P255)</f>
        <v>14</v>
      </c>
      <c r="R255" s="36">
        <f>IFERROR(IF(O255&gt;0, P255/O255, 0),"-")</f>
        <v>0.33333333333333331</v>
      </c>
      <c r="S255" s="32">
        <v>1349</v>
      </c>
      <c r="T255" s="32">
        <v>25</v>
      </c>
      <c r="U255" s="32">
        <v>65460</v>
      </c>
      <c r="V255" s="32">
        <v>19</v>
      </c>
      <c r="W255" s="32">
        <v>515742</v>
      </c>
    </row>
    <row r="256" spans="1:23" x14ac:dyDescent="0.2">
      <c r="A256" s="30" t="s">
        <v>264</v>
      </c>
      <c r="B256" s="30" t="s">
        <v>999</v>
      </c>
      <c r="C256" s="34">
        <v>272</v>
      </c>
      <c r="D256" s="35">
        <v>271</v>
      </c>
      <c r="E256" s="34">
        <f>IF(OR(D256="-",D256="",D256=0),IF(C256="-","-",C256),C256-D256)</f>
        <v>1</v>
      </c>
      <c r="F256" s="4">
        <f>IFERROR(IF(C256&gt;0, D256/C256, 0),"-")</f>
        <v>0.99632352941176472</v>
      </c>
      <c r="G256" s="34">
        <v>1</v>
      </c>
      <c r="H256" s="35" t="s">
        <v>959</v>
      </c>
      <c r="I256" s="34">
        <f>IF(OR(H256="-",H256="",H256=0),IF(G256="-","-",G256),G256-H256)</f>
        <v>1</v>
      </c>
      <c r="J256" s="4" t="str">
        <f>IFERROR(IF(G256&gt;0, H256/G256, 0),"-")</f>
        <v>-</v>
      </c>
      <c r="K256" s="34">
        <v>3</v>
      </c>
      <c r="L256" s="35" t="s">
        <v>959</v>
      </c>
      <c r="M256" s="34">
        <f>IF(OR(L256="-",L256="",L256=0),IF(K256="-","-",K256),K256-L256)</f>
        <v>3</v>
      </c>
      <c r="N256" s="4" t="str">
        <f>IFERROR(IF(K256&gt;0, L256/K256, 0),"-")</f>
        <v>-</v>
      </c>
      <c r="O256" s="34">
        <v>2</v>
      </c>
      <c r="P256" s="35">
        <v>1</v>
      </c>
      <c r="Q256" s="34">
        <f>IF(OR(P256="-",P256="",P256=0),IF(O256="-","-",O256),O256-P256)</f>
        <v>1</v>
      </c>
      <c r="R256" s="4">
        <f>IFERROR(IF(O256&gt;0, P256/O256, 0),"-")</f>
        <v>0.5</v>
      </c>
      <c r="S256" s="34">
        <v>250</v>
      </c>
      <c r="T256" s="34">
        <v>6</v>
      </c>
      <c r="U256" s="34">
        <v>16505</v>
      </c>
      <c r="V256" s="35">
        <v>4</v>
      </c>
      <c r="W256" s="35">
        <v>83414</v>
      </c>
    </row>
    <row r="257" spans="1:23" x14ac:dyDescent="0.2">
      <c r="A257" s="30" t="s">
        <v>266</v>
      </c>
      <c r="B257" s="30" t="s">
        <v>1000</v>
      </c>
      <c r="C257" s="34">
        <v>145</v>
      </c>
      <c r="D257" s="35">
        <v>144</v>
      </c>
      <c r="E257" s="34">
        <f>IF(OR(D257="-",D257="",D257=0),IF(C257="-","-",C257),C257-D257)</f>
        <v>1</v>
      </c>
      <c r="F257" s="4">
        <f>IFERROR(IF(C257&gt;0, D257/C257, 0),"-")</f>
        <v>0.99310344827586206</v>
      </c>
      <c r="G257" s="34">
        <v>4</v>
      </c>
      <c r="H257" s="35">
        <v>3</v>
      </c>
      <c r="I257" s="34">
        <f>IF(OR(H257="-",H257="",H257=0),IF(G257="-","-",G257),G257-H257)</f>
        <v>1</v>
      </c>
      <c r="J257" s="4">
        <f>IFERROR(IF(G257&gt;0, H257/G257, 0),"-")</f>
        <v>0.75</v>
      </c>
      <c r="K257" s="34" t="s">
        <v>959</v>
      </c>
      <c r="L257" s="35" t="s">
        <v>959</v>
      </c>
      <c r="M257" s="34" t="str">
        <f>IF(OR(L257="-",L257="",L257=0),IF(K257="-","-",K257),K257-L257)</f>
        <v>-</v>
      </c>
      <c r="N257" s="4" t="str">
        <f>IFERROR(IF(K257&gt;0, L257/K257, 0),"-")</f>
        <v>-</v>
      </c>
      <c r="O257" s="34">
        <v>11</v>
      </c>
      <c r="P257" s="35">
        <v>5</v>
      </c>
      <c r="Q257" s="34">
        <f>IF(OR(P257="-",P257="",P257=0),IF(O257="-","-",O257),O257-P257)</f>
        <v>6</v>
      </c>
      <c r="R257" s="4">
        <f>IFERROR(IF(O257&gt;0, P257/O257, 0),"-")</f>
        <v>0.45454545454545453</v>
      </c>
      <c r="S257" s="34">
        <v>352</v>
      </c>
      <c r="T257" s="34">
        <v>3</v>
      </c>
      <c r="U257" s="34">
        <v>10790</v>
      </c>
      <c r="V257" s="35">
        <v>4</v>
      </c>
      <c r="W257" s="35">
        <v>106900</v>
      </c>
    </row>
    <row r="258" spans="1:23" x14ac:dyDescent="0.2">
      <c r="A258" s="30" t="s">
        <v>265</v>
      </c>
      <c r="B258" s="30" t="s">
        <v>1001</v>
      </c>
      <c r="C258" s="34">
        <v>118</v>
      </c>
      <c r="D258" s="35">
        <v>118</v>
      </c>
      <c r="E258" s="34">
        <f>IF(OR(D258="-",D258="",D258=0),IF(C258="-","-",C258),C258-D258)</f>
        <v>0</v>
      </c>
      <c r="F258" s="4">
        <f>IFERROR(IF(C258&gt;0, D258/C258, 0),"-")</f>
        <v>1</v>
      </c>
      <c r="G258" s="34" t="s">
        <v>959</v>
      </c>
      <c r="H258" s="35" t="s">
        <v>959</v>
      </c>
      <c r="I258" s="34" t="str">
        <f>IF(OR(H258="-",H258="",H258=0),IF(G258="-","-",G258),G258-H258)</f>
        <v>-</v>
      </c>
      <c r="J258" s="4" t="str">
        <f>IFERROR(IF(G258&gt;0, H258/G258, 0),"-")</f>
        <v>-</v>
      </c>
      <c r="K258" s="34">
        <v>2</v>
      </c>
      <c r="L258" s="35" t="s">
        <v>959</v>
      </c>
      <c r="M258" s="34">
        <f>IF(OR(L258="-",L258="",L258=0),IF(K258="-","-",K258),K258-L258)</f>
        <v>2</v>
      </c>
      <c r="N258" s="4" t="str">
        <f>IFERROR(IF(K258&gt;0, L258/K258, 0),"-")</f>
        <v>-</v>
      </c>
      <c r="O258" s="34">
        <v>1</v>
      </c>
      <c r="P258" s="35" t="s">
        <v>959</v>
      </c>
      <c r="Q258" s="34">
        <f>IF(OR(P258="-",P258="",P258=0),IF(O258="-","-",O258),O258-P258)</f>
        <v>1</v>
      </c>
      <c r="R258" s="4" t="str">
        <f>IFERROR(IF(O258&gt;0, P258/O258, 0),"-")</f>
        <v>-</v>
      </c>
      <c r="S258" s="34">
        <v>153</v>
      </c>
      <c r="T258" s="34">
        <v>8</v>
      </c>
      <c r="U258" s="34">
        <v>18290</v>
      </c>
      <c r="V258" s="35">
        <v>3</v>
      </c>
      <c r="W258" s="35">
        <v>64099</v>
      </c>
    </row>
    <row r="259" spans="1:23" x14ac:dyDescent="0.2">
      <c r="A259" s="30" t="s">
        <v>263</v>
      </c>
      <c r="B259" s="30" t="s">
        <v>1002</v>
      </c>
      <c r="C259" s="34">
        <v>38</v>
      </c>
      <c r="D259" s="35">
        <v>38</v>
      </c>
      <c r="E259" s="34">
        <f>IF(OR(D259="-",D259="",D259=0),IF(C259="-","-",C259),C259-D259)</f>
        <v>0</v>
      </c>
      <c r="F259" s="4">
        <f>IFERROR(IF(C259&gt;0, D259/C259, 0),"-")</f>
        <v>1</v>
      </c>
      <c r="G259" s="34" t="s">
        <v>959</v>
      </c>
      <c r="H259" s="35" t="s">
        <v>959</v>
      </c>
      <c r="I259" s="34" t="str">
        <f>IF(OR(H259="-",H259="",H259=0),IF(G259="-","-",G259),G259-H259)</f>
        <v>-</v>
      </c>
      <c r="J259" s="4" t="str">
        <f>IFERROR(IF(G259&gt;0, H259/G259, 0),"-")</f>
        <v>-</v>
      </c>
      <c r="K259" s="34">
        <v>1</v>
      </c>
      <c r="L259" s="35">
        <v>1</v>
      </c>
      <c r="M259" s="34">
        <f>IF(OR(L259="-",L259="",L259=0),IF(K259="-","-",K259),K259-L259)</f>
        <v>0</v>
      </c>
      <c r="N259" s="4">
        <f>IFERROR(IF(K259&gt;0, L259/K259, 0),"-")</f>
        <v>1</v>
      </c>
      <c r="O259" s="34" t="s">
        <v>959</v>
      </c>
      <c r="P259" s="35" t="s">
        <v>959</v>
      </c>
      <c r="Q259" s="34" t="str">
        <f>IF(OR(P259="-",P259="",P259=0),IF(O259="-","-",O259),O259-P259)</f>
        <v>-</v>
      </c>
      <c r="R259" s="4" t="str">
        <f>IFERROR(IF(O259&gt;0, P259/O259, 0),"-")</f>
        <v>-</v>
      </c>
      <c r="S259" s="34">
        <v>95</v>
      </c>
      <c r="T259" s="34">
        <v>2</v>
      </c>
      <c r="U259" s="34">
        <v>5390</v>
      </c>
      <c r="V259" s="35">
        <v>5</v>
      </c>
      <c r="W259" s="35">
        <v>148493</v>
      </c>
    </row>
    <row r="260" spans="1:23" x14ac:dyDescent="0.2">
      <c r="A260" s="30" t="s">
        <v>262</v>
      </c>
      <c r="B260" s="30" t="s">
        <v>1003</v>
      </c>
      <c r="C260" s="34">
        <v>281</v>
      </c>
      <c r="D260" s="35">
        <v>278</v>
      </c>
      <c r="E260" s="34">
        <f>IF(OR(D260="-",D260="",D260=0),IF(C260="-","-",C260),C260-D260)</f>
        <v>3</v>
      </c>
      <c r="F260" s="4">
        <f>IFERROR(IF(C260&gt;0, D260/C260, 0),"-")</f>
        <v>0.98932384341637014</v>
      </c>
      <c r="G260" s="34">
        <v>3</v>
      </c>
      <c r="H260" s="35">
        <v>2</v>
      </c>
      <c r="I260" s="34">
        <f>IF(OR(H260="-",H260="",H260=0),IF(G260="-","-",G260),G260-H260)</f>
        <v>1</v>
      </c>
      <c r="J260" s="4">
        <f>IFERROR(IF(G260&gt;0, H260/G260, 0),"-")</f>
        <v>0.66666666666666663</v>
      </c>
      <c r="K260" s="34">
        <v>4</v>
      </c>
      <c r="L260" s="35">
        <v>3</v>
      </c>
      <c r="M260" s="34">
        <f>IF(OR(L260="-",L260="",L260=0),IF(K260="-","-",K260),K260-L260)</f>
        <v>1</v>
      </c>
      <c r="N260" s="4">
        <f>IFERROR(IF(K260&gt;0, L260/K260, 0),"-")</f>
        <v>0.75</v>
      </c>
      <c r="O260" s="34">
        <v>4</v>
      </c>
      <c r="P260" s="35">
        <v>1</v>
      </c>
      <c r="Q260" s="34">
        <f>IF(OR(P260="-",P260="",P260=0),IF(O260="-","-",O260),O260-P260)</f>
        <v>3</v>
      </c>
      <c r="R260" s="4">
        <f>IFERROR(IF(O260&gt;0, P260/O260, 0),"-")</f>
        <v>0.25</v>
      </c>
      <c r="S260" s="34">
        <v>337</v>
      </c>
      <c r="T260" s="34">
        <v>5</v>
      </c>
      <c r="U260" s="34">
        <v>11790</v>
      </c>
      <c r="V260" s="35">
        <v>2</v>
      </c>
      <c r="W260" s="35">
        <v>72307</v>
      </c>
    </row>
    <row r="261" spans="1:23" x14ac:dyDescent="0.2">
      <c r="A261" s="30" t="s">
        <v>261</v>
      </c>
      <c r="B261" s="30" t="s">
        <v>999</v>
      </c>
      <c r="C261" s="34">
        <v>138</v>
      </c>
      <c r="D261" s="35">
        <v>134</v>
      </c>
      <c r="E261" s="34">
        <f>IF(OR(D261="-",D261="",D261=0),IF(C261="-","-",C261),C261-D261)</f>
        <v>4</v>
      </c>
      <c r="F261" s="4">
        <f>IFERROR(IF(C261&gt;0, D261/C261, 0),"-")</f>
        <v>0.97101449275362317</v>
      </c>
      <c r="G261" s="34">
        <v>3</v>
      </c>
      <c r="H261" s="35">
        <v>1</v>
      </c>
      <c r="I261" s="34">
        <f>IF(OR(H261="-",H261="",H261=0),IF(G261="-","-",G261),G261-H261)</f>
        <v>2</v>
      </c>
      <c r="J261" s="4">
        <f>IFERROR(IF(G261&gt;0, H261/G261, 0),"-")</f>
        <v>0.33333333333333331</v>
      </c>
      <c r="K261" s="34">
        <v>2</v>
      </c>
      <c r="L261" s="35">
        <v>1</v>
      </c>
      <c r="M261" s="34">
        <f>IF(OR(L261="-",L261="",L261=0),IF(K261="-","-",K261),K261-L261)</f>
        <v>1</v>
      </c>
      <c r="N261" s="4">
        <f>IFERROR(IF(K261&gt;0, L261/K261, 0),"-")</f>
        <v>0.5</v>
      </c>
      <c r="O261" s="34">
        <v>3</v>
      </c>
      <c r="P261" s="35" t="s">
        <v>959</v>
      </c>
      <c r="Q261" s="34">
        <f>IF(OR(P261="-",P261="",P261=0),IF(O261="-","-",O261),O261-P261)</f>
        <v>3</v>
      </c>
      <c r="R261" s="4" t="str">
        <f>IFERROR(IF(O261&gt;0, P261/O261, 0),"-")</f>
        <v>-</v>
      </c>
      <c r="S261" s="34">
        <v>162</v>
      </c>
      <c r="T261" s="34">
        <v>1</v>
      </c>
      <c r="U261" s="34">
        <v>2695</v>
      </c>
      <c r="V261" s="35">
        <v>1</v>
      </c>
      <c r="W261" s="35">
        <v>40529</v>
      </c>
    </row>
    <row r="262" spans="1:23" x14ac:dyDescent="0.2">
      <c r="A262" s="29"/>
      <c r="B262" s="29" t="s">
        <v>74</v>
      </c>
      <c r="C262" s="32">
        <v>855</v>
      </c>
      <c r="D262" s="32">
        <v>829</v>
      </c>
      <c r="E262" s="32">
        <f>IF(OR(D262="-",D262="",D262=0),IF(C262="-","-",C262),C262-D262)</f>
        <v>26</v>
      </c>
      <c r="F262" s="36">
        <f>IFERROR(IF(C262&gt;0, D262/C262, 0),"-")</f>
        <v>0.96959064327485378</v>
      </c>
      <c r="G262" s="32">
        <v>10</v>
      </c>
      <c r="H262" s="32" t="s">
        <v>959</v>
      </c>
      <c r="I262" s="32">
        <f>IF(OR(H262="-",H262="",H262=0),IF(G262="-","-",G262),G262-H262)</f>
        <v>10</v>
      </c>
      <c r="J262" s="36" t="str">
        <f>IFERROR(IF(G262&gt;0, H262/G262, 0),"-")</f>
        <v>-</v>
      </c>
      <c r="K262" s="32">
        <v>6</v>
      </c>
      <c r="L262" s="32">
        <v>3</v>
      </c>
      <c r="M262" s="32">
        <f>IF(OR(L262="-",L262="",L262=0),IF(K262="-","-",K262),K262-L262)</f>
        <v>3</v>
      </c>
      <c r="N262" s="36">
        <f>IFERROR(IF(K262&gt;0, L262/K262, 0),"-")</f>
        <v>0.5</v>
      </c>
      <c r="O262" s="32">
        <v>7</v>
      </c>
      <c r="P262" s="32" t="s">
        <v>959</v>
      </c>
      <c r="Q262" s="32">
        <f>IF(OR(P262="-",P262="",P262=0),IF(O262="-","-",O262),O262-P262)</f>
        <v>7</v>
      </c>
      <c r="R262" s="36" t="str">
        <f>IFERROR(IF(O262&gt;0, P262/O262, 0),"-")</f>
        <v>-</v>
      </c>
      <c r="S262" s="32">
        <v>364</v>
      </c>
      <c r="T262" s="32">
        <v>3</v>
      </c>
      <c r="U262" s="32">
        <v>6490</v>
      </c>
      <c r="V262" s="32">
        <v>1</v>
      </c>
      <c r="W262" s="32">
        <v>14631</v>
      </c>
    </row>
    <row r="263" spans="1:23" x14ac:dyDescent="0.2">
      <c r="A263" s="30" t="s">
        <v>494</v>
      </c>
      <c r="B263" s="30" t="s">
        <v>1004</v>
      </c>
      <c r="C263" s="34">
        <v>237</v>
      </c>
      <c r="D263" s="35">
        <v>230</v>
      </c>
      <c r="E263" s="34">
        <f>IF(OR(D263="-",D263="",D263=0),IF(C263="-","-",C263),C263-D263)</f>
        <v>7</v>
      </c>
      <c r="F263" s="4">
        <f>IFERROR(IF(C263&gt;0, D263/C263, 0),"-")</f>
        <v>0.97046413502109707</v>
      </c>
      <c r="G263" s="34">
        <v>5</v>
      </c>
      <c r="H263" s="35" t="s">
        <v>959</v>
      </c>
      <c r="I263" s="34">
        <f>IF(OR(H263="-",H263="",H263=0),IF(G263="-","-",G263),G263-H263)</f>
        <v>5</v>
      </c>
      <c r="J263" s="4" t="str">
        <f>IFERROR(IF(G263&gt;0, H263/G263, 0),"-")</f>
        <v>-</v>
      </c>
      <c r="K263" s="34">
        <v>3</v>
      </c>
      <c r="L263" s="35">
        <v>1</v>
      </c>
      <c r="M263" s="34">
        <f>IF(OR(L263="-",L263="",L263=0),IF(K263="-","-",K263),K263-L263)</f>
        <v>2</v>
      </c>
      <c r="N263" s="4">
        <f>IFERROR(IF(K263&gt;0, L263/K263, 0),"-")</f>
        <v>0.33333333333333331</v>
      </c>
      <c r="O263" s="34">
        <v>5</v>
      </c>
      <c r="P263" s="35" t="s">
        <v>959</v>
      </c>
      <c r="Q263" s="34">
        <f>IF(OR(P263="-",P263="",P263=0),IF(O263="-","-",O263),O263-P263)</f>
        <v>5</v>
      </c>
      <c r="R263" s="4" t="str">
        <f>IFERROR(IF(O263&gt;0, P263/O263, 0),"-")</f>
        <v>-</v>
      </c>
      <c r="S263" s="34">
        <v>69</v>
      </c>
      <c r="T263" s="34">
        <v>3</v>
      </c>
      <c r="U263" s="34">
        <v>6490</v>
      </c>
      <c r="V263" s="35">
        <v>1</v>
      </c>
      <c r="W263" s="35">
        <v>14631</v>
      </c>
    </row>
    <row r="264" spans="1:23" x14ac:dyDescent="0.2">
      <c r="A264" s="30" t="s">
        <v>493</v>
      </c>
      <c r="B264" s="30" t="s">
        <v>1005</v>
      </c>
      <c r="C264" s="34">
        <v>122</v>
      </c>
      <c r="D264" s="35">
        <v>117</v>
      </c>
      <c r="E264" s="34">
        <f>IF(OR(D264="-",D264="",D264=0),IF(C264="-","-",C264),C264-D264)</f>
        <v>5</v>
      </c>
      <c r="F264" s="4">
        <f>IFERROR(IF(C264&gt;0, D264/C264, 0),"-")</f>
        <v>0.95901639344262291</v>
      </c>
      <c r="G264" s="34" t="s">
        <v>959</v>
      </c>
      <c r="H264" s="35" t="s">
        <v>959</v>
      </c>
      <c r="I264" s="34" t="str">
        <f>IF(OR(H264="-",H264="",H264=0),IF(G264="-","-",G264),G264-H264)</f>
        <v>-</v>
      </c>
      <c r="J264" s="4" t="str">
        <f>IFERROR(IF(G264&gt;0, H264/G264, 0),"-")</f>
        <v>-</v>
      </c>
      <c r="K264" s="34">
        <v>1</v>
      </c>
      <c r="L264" s="35" t="s">
        <v>959</v>
      </c>
      <c r="M264" s="34">
        <f>IF(OR(L264="-",L264="",L264=0),IF(K264="-","-",K264),K264-L264)</f>
        <v>1</v>
      </c>
      <c r="N264" s="4" t="str">
        <f>IFERROR(IF(K264&gt;0, L264/K264, 0),"-")</f>
        <v>-</v>
      </c>
      <c r="O264" s="34">
        <v>1</v>
      </c>
      <c r="P264" s="35" t="s">
        <v>959</v>
      </c>
      <c r="Q264" s="34">
        <f>IF(OR(P264="-",P264="",P264=0),IF(O264="-","-",O264),O264-P264)</f>
        <v>1</v>
      </c>
      <c r="R264" s="4" t="str">
        <f>IFERROR(IF(O264&gt;0, P264/O264, 0),"-")</f>
        <v>-</v>
      </c>
      <c r="S264" s="34">
        <v>78</v>
      </c>
      <c r="T264" s="34" t="s">
        <v>959</v>
      </c>
      <c r="U264" s="34" t="s">
        <v>959</v>
      </c>
      <c r="V264" s="35" t="s">
        <v>959</v>
      </c>
      <c r="W264" s="35" t="s">
        <v>959</v>
      </c>
    </row>
    <row r="265" spans="1:23" x14ac:dyDescent="0.2">
      <c r="A265" s="30" t="s">
        <v>492</v>
      </c>
      <c r="B265" s="30" t="s">
        <v>1006</v>
      </c>
      <c r="C265" s="34">
        <v>167</v>
      </c>
      <c r="D265" s="35">
        <v>163</v>
      </c>
      <c r="E265" s="34">
        <f>IF(OR(D265="-",D265="",D265=0),IF(C265="-","-",C265),C265-D265)</f>
        <v>4</v>
      </c>
      <c r="F265" s="4">
        <f>IFERROR(IF(C265&gt;0, D265/C265, 0),"-")</f>
        <v>0.9760479041916168</v>
      </c>
      <c r="G265" s="34">
        <v>2</v>
      </c>
      <c r="H265" s="35" t="s">
        <v>959</v>
      </c>
      <c r="I265" s="34">
        <f>IF(OR(H265="-",H265="",H265=0),IF(G265="-","-",G265),G265-H265)</f>
        <v>2</v>
      </c>
      <c r="J265" s="4" t="str">
        <f>IFERROR(IF(G265&gt;0, H265/G265, 0),"-")</f>
        <v>-</v>
      </c>
      <c r="K265" s="34">
        <v>2</v>
      </c>
      <c r="L265" s="35">
        <v>2</v>
      </c>
      <c r="M265" s="34">
        <f>IF(OR(L265="-",L265="",L265=0),IF(K265="-","-",K265),K265-L265)</f>
        <v>0</v>
      </c>
      <c r="N265" s="4">
        <f>IFERROR(IF(K265&gt;0, L265/K265, 0),"-")</f>
        <v>1</v>
      </c>
      <c r="O265" s="34" t="s">
        <v>959</v>
      </c>
      <c r="P265" s="35" t="s">
        <v>959</v>
      </c>
      <c r="Q265" s="34" t="str">
        <f>IF(OR(P265="-",P265="",P265=0),IF(O265="-","-",O265),O265-P265)</f>
        <v>-</v>
      </c>
      <c r="R265" s="4" t="str">
        <f>IFERROR(IF(O265&gt;0, P265/O265, 0),"-")</f>
        <v>-</v>
      </c>
      <c r="S265" s="34">
        <v>121</v>
      </c>
      <c r="T265" s="34" t="s">
        <v>959</v>
      </c>
      <c r="U265" s="34" t="s">
        <v>959</v>
      </c>
      <c r="V265" s="35" t="s">
        <v>959</v>
      </c>
      <c r="W265" s="35" t="s">
        <v>959</v>
      </c>
    </row>
    <row r="266" spans="1:23" x14ac:dyDescent="0.2">
      <c r="A266" s="30" t="s">
        <v>491</v>
      </c>
      <c r="B266" s="30" t="s">
        <v>1007</v>
      </c>
      <c r="C266" s="34">
        <v>329</v>
      </c>
      <c r="D266" s="35">
        <v>319</v>
      </c>
      <c r="E266" s="34">
        <f>IF(OR(D266="-",D266="",D266=0),IF(C266="-","-",C266),C266-D266)</f>
        <v>10</v>
      </c>
      <c r="F266" s="4">
        <f>IFERROR(IF(C266&gt;0, D266/C266, 0),"-")</f>
        <v>0.96960486322188455</v>
      </c>
      <c r="G266" s="34">
        <v>3</v>
      </c>
      <c r="H266" s="35" t="s">
        <v>959</v>
      </c>
      <c r="I266" s="34">
        <f>IF(OR(H266="-",H266="",H266=0),IF(G266="-","-",G266),G266-H266)</f>
        <v>3</v>
      </c>
      <c r="J266" s="4" t="str">
        <f>IFERROR(IF(G266&gt;0, H266/G266, 0),"-")</f>
        <v>-</v>
      </c>
      <c r="K266" s="34" t="s">
        <v>959</v>
      </c>
      <c r="L266" s="35" t="s">
        <v>959</v>
      </c>
      <c r="M266" s="34" t="str">
        <f>IF(OR(L266="-",L266="",L266=0),IF(K266="-","-",K266),K266-L266)</f>
        <v>-</v>
      </c>
      <c r="N266" s="4" t="str">
        <f>IFERROR(IF(K266&gt;0, L266/K266, 0),"-")</f>
        <v>-</v>
      </c>
      <c r="O266" s="34">
        <v>1</v>
      </c>
      <c r="P266" s="35" t="s">
        <v>959</v>
      </c>
      <c r="Q266" s="34">
        <f>IF(OR(P266="-",P266="",P266=0),IF(O266="-","-",O266),O266-P266)</f>
        <v>1</v>
      </c>
      <c r="R266" s="4" t="str">
        <f>IFERROR(IF(O266&gt;0, P266/O266, 0),"-")</f>
        <v>-</v>
      </c>
      <c r="S266" s="34">
        <v>96</v>
      </c>
      <c r="T266" s="34" t="s">
        <v>959</v>
      </c>
      <c r="U266" s="34" t="s">
        <v>959</v>
      </c>
      <c r="V266" s="35" t="s">
        <v>959</v>
      </c>
      <c r="W266" s="35" t="s">
        <v>959</v>
      </c>
    </row>
    <row r="267" spans="1:23" x14ac:dyDescent="0.2">
      <c r="A267" s="29"/>
      <c r="B267" s="29" t="s">
        <v>92</v>
      </c>
      <c r="C267" s="32">
        <v>1269</v>
      </c>
      <c r="D267" s="32">
        <v>1235</v>
      </c>
      <c r="E267" s="32">
        <f>IF(OR(D267="-",D267="",D267=0),IF(C267="-","-",C267),C267-D267)</f>
        <v>34</v>
      </c>
      <c r="F267" s="36">
        <f>IFERROR(IF(C267&gt;0, D267/C267, 0),"-")</f>
        <v>0.97320724980299445</v>
      </c>
      <c r="G267" s="32">
        <v>25</v>
      </c>
      <c r="H267" s="32">
        <v>8</v>
      </c>
      <c r="I267" s="32">
        <f>IF(OR(H267="-",H267="",H267=0),IF(G267="-","-",G267),G267-H267)</f>
        <v>17</v>
      </c>
      <c r="J267" s="36">
        <f>IFERROR(IF(G267&gt;0, H267/G267, 0),"-")</f>
        <v>0.32</v>
      </c>
      <c r="K267" s="32">
        <v>18</v>
      </c>
      <c r="L267" s="32">
        <v>9</v>
      </c>
      <c r="M267" s="32">
        <f>IF(OR(L267="-",L267="",L267=0),IF(K267="-","-",K267),K267-L267)</f>
        <v>9</v>
      </c>
      <c r="N267" s="36">
        <f>IFERROR(IF(K267&gt;0, L267/K267, 0),"-")</f>
        <v>0.5</v>
      </c>
      <c r="O267" s="32">
        <v>21</v>
      </c>
      <c r="P267" s="32">
        <v>7</v>
      </c>
      <c r="Q267" s="32">
        <f>IF(OR(P267="-",P267="",P267=0),IF(O267="-","-",O267),O267-P267)</f>
        <v>14</v>
      </c>
      <c r="R267" s="36">
        <f>IFERROR(IF(O267&gt;0, P267/O267, 0),"-")</f>
        <v>0.33333333333333331</v>
      </c>
      <c r="S267" s="32">
        <v>1056</v>
      </c>
      <c r="T267" s="32">
        <v>30</v>
      </c>
      <c r="U267" s="32">
        <v>51259</v>
      </c>
      <c r="V267" s="32">
        <v>11</v>
      </c>
      <c r="W267" s="32">
        <v>232132</v>
      </c>
    </row>
    <row r="268" spans="1:23" x14ac:dyDescent="0.2">
      <c r="A268" s="30" t="s">
        <v>625</v>
      </c>
      <c r="B268" s="30" t="s">
        <v>1008</v>
      </c>
      <c r="C268" s="34">
        <v>114</v>
      </c>
      <c r="D268" s="35">
        <v>112</v>
      </c>
      <c r="E268" s="34">
        <f>IF(OR(D268="-",D268="",D268=0),IF(C268="-","-",C268),C268-D268)</f>
        <v>2</v>
      </c>
      <c r="F268" s="4">
        <f>IFERROR(IF(C268&gt;0, D268/C268, 0),"-")</f>
        <v>0.98245614035087714</v>
      </c>
      <c r="G268" s="34">
        <v>2</v>
      </c>
      <c r="H268" s="35">
        <v>2</v>
      </c>
      <c r="I268" s="34">
        <f>IF(OR(H268="-",H268="",H268=0),IF(G268="-","-",G268),G268-H268)</f>
        <v>0</v>
      </c>
      <c r="J268" s="4">
        <f>IFERROR(IF(G268&gt;0, H268/G268, 0),"-")</f>
        <v>1</v>
      </c>
      <c r="K268" s="34">
        <v>5</v>
      </c>
      <c r="L268" s="35">
        <v>4</v>
      </c>
      <c r="M268" s="34">
        <f>IF(OR(L268="-",L268="",L268=0),IF(K268="-","-",K268),K268-L268)</f>
        <v>1</v>
      </c>
      <c r="N268" s="4">
        <f>IFERROR(IF(K268&gt;0, L268/K268, 0),"-")</f>
        <v>0.8</v>
      </c>
      <c r="O268" s="34">
        <v>2</v>
      </c>
      <c r="P268" s="35">
        <v>2</v>
      </c>
      <c r="Q268" s="34">
        <f>IF(OR(P268="-",P268="",P268=0),IF(O268="-","-",O268),O268-P268)</f>
        <v>0</v>
      </c>
      <c r="R268" s="4">
        <f>IFERROR(IF(O268&gt;0, P268/O268, 0),"-")</f>
        <v>1</v>
      </c>
      <c r="S268" s="34">
        <v>214</v>
      </c>
      <c r="T268" s="34">
        <v>9</v>
      </c>
      <c r="U268" s="34">
        <v>22864</v>
      </c>
      <c r="V268" s="35">
        <v>3</v>
      </c>
      <c r="W268" s="35">
        <v>32976</v>
      </c>
    </row>
    <row r="269" spans="1:23" x14ac:dyDescent="0.2">
      <c r="A269" s="30" t="s">
        <v>630</v>
      </c>
      <c r="B269" s="30" t="s">
        <v>1009</v>
      </c>
      <c r="C269" s="34">
        <v>117</v>
      </c>
      <c r="D269" s="35">
        <v>99</v>
      </c>
      <c r="E269" s="34">
        <f>IF(OR(D269="-",D269="",D269=0),IF(C269="-","-",C269),C269-D269)</f>
        <v>18</v>
      </c>
      <c r="F269" s="4">
        <f>IFERROR(IF(C269&gt;0, D269/C269, 0),"-")</f>
        <v>0.84615384615384615</v>
      </c>
      <c r="G269" s="34">
        <v>6</v>
      </c>
      <c r="H269" s="35" t="s">
        <v>959</v>
      </c>
      <c r="I269" s="34">
        <f>IF(OR(H269="-",H269="",H269=0),IF(G269="-","-",G269),G269-H269)</f>
        <v>6</v>
      </c>
      <c r="J269" s="4" t="str">
        <f>IFERROR(IF(G269&gt;0, H269/G269, 0),"-")</f>
        <v>-</v>
      </c>
      <c r="K269" s="34">
        <v>2</v>
      </c>
      <c r="L269" s="35" t="s">
        <v>959</v>
      </c>
      <c r="M269" s="34">
        <f>IF(OR(L269="-",L269="",L269=0),IF(K269="-","-",K269),K269-L269)</f>
        <v>2</v>
      </c>
      <c r="N269" s="4" t="str">
        <f>IFERROR(IF(K269&gt;0, L269/K269, 0),"-")</f>
        <v>-</v>
      </c>
      <c r="O269" s="34">
        <v>5</v>
      </c>
      <c r="P269" s="35" t="s">
        <v>959</v>
      </c>
      <c r="Q269" s="34">
        <f>IF(OR(P269="-",P269="",P269=0),IF(O269="-","-",O269),O269-P269)</f>
        <v>5</v>
      </c>
      <c r="R269" s="4" t="str">
        <f>IFERROR(IF(O269&gt;0, P269/O269, 0),"-")</f>
        <v>-</v>
      </c>
      <c r="S269" s="34">
        <v>5</v>
      </c>
      <c r="T269" s="34" t="s">
        <v>959</v>
      </c>
      <c r="U269" s="34" t="s">
        <v>959</v>
      </c>
      <c r="V269" s="35" t="s">
        <v>959</v>
      </c>
      <c r="W269" s="35" t="s">
        <v>959</v>
      </c>
    </row>
    <row r="270" spans="1:23" x14ac:dyDescent="0.2">
      <c r="A270" s="30" t="s">
        <v>629</v>
      </c>
      <c r="B270" s="30" t="s">
        <v>1010</v>
      </c>
      <c r="C270" s="34">
        <v>175</v>
      </c>
      <c r="D270" s="35">
        <v>174</v>
      </c>
      <c r="E270" s="34">
        <f>IF(OR(D270="-",D270="",D270=0),IF(C270="-","-",C270),C270-D270)</f>
        <v>1</v>
      </c>
      <c r="F270" s="4">
        <f>IFERROR(IF(C270&gt;0, D270/C270, 0),"-")</f>
        <v>0.99428571428571433</v>
      </c>
      <c r="G270" s="34">
        <v>3</v>
      </c>
      <c r="H270" s="35">
        <v>2</v>
      </c>
      <c r="I270" s="34">
        <f>IF(OR(H270="-",H270="",H270=0),IF(G270="-","-",G270),G270-H270)</f>
        <v>1</v>
      </c>
      <c r="J270" s="4">
        <f>IFERROR(IF(G270&gt;0, H270/G270, 0),"-")</f>
        <v>0.66666666666666663</v>
      </c>
      <c r="K270" s="34" t="s">
        <v>959</v>
      </c>
      <c r="L270" s="35" t="s">
        <v>959</v>
      </c>
      <c r="M270" s="34" t="str">
        <f>IF(OR(L270="-",L270="",L270=0),IF(K270="-","-",K270),K270-L270)</f>
        <v>-</v>
      </c>
      <c r="N270" s="4" t="str">
        <f>IFERROR(IF(K270&gt;0, L270/K270, 0),"-")</f>
        <v>-</v>
      </c>
      <c r="O270" s="34">
        <v>1</v>
      </c>
      <c r="P270" s="35">
        <v>1</v>
      </c>
      <c r="Q270" s="34">
        <f>IF(OR(P270="-",P270="",P270=0),IF(O270="-","-",O270),O270-P270)</f>
        <v>0</v>
      </c>
      <c r="R270" s="4">
        <f>IFERROR(IF(O270&gt;0, P270/O270, 0),"-")</f>
        <v>1</v>
      </c>
      <c r="S270" s="34">
        <v>131</v>
      </c>
      <c r="T270" s="34">
        <v>4</v>
      </c>
      <c r="U270" s="34">
        <v>5300</v>
      </c>
      <c r="V270" s="35">
        <v>5</v>
      </c>
      <c r="W270" s="35">
        <v>125327</v>
      </c>
    </row>
    <row r="271" spans="1:23" x14ac:dyDescent="0.2">
      <c r="A271" s="30" t="s">
        <v>626</v>
      </c>
      <c r="B271" s="30" t="s">
        <v>1011</v>
      </c>
      <c r="C271" s="34">
        <v>168</v>
      </c>
      <c r="D271" s="35">
        <v>168</v>
      </c>
      <c r="E271" s="34">
        <f>IF(OR(D271="-",D271="",D271=0),IF(C271="-","-",C271),C271-D271)</f>
        <v>0</v>
      </c>
      <c r="F271" s="4">
        <f>IFERROR(IF(C271&gt;0, D271/C271, 0),"-")</f>
        <v>1</v>
      </c>
      <c r="G271" s="34">
        <v>2</v>
      </c>
      <c r="H271" s="35" t="s">
        <v>959</v>
      </c>
      <c r="I271" s="34">
        <f>IF(OR(H271="-",H271="",H271=0),IF(G271="-","-",G271),G271-H271)</f>
        <v>2</v>
      </c>
      <c r="J271" s="4" t="str">
        <f>IFERROR(IF(G271&gt;0, H271/G271, 0),"-")</f>
        <v>-</v>
      </c>
      <c r="K271" s="34" t="s">
        <v>959</v>
      </c>
      <c r="L271" s="35" t="s">
        <v>959</v>
      </c>
      <c r="M271" s="34" t="str">
        <f>IF(OR(L271="-",L271="",L271=0),IF(K271="-","-",K271),K271-L271)</f>
        <v>-</v>
      </c>
      <c r="N271" s="4" t="str">
        <f>IFERROR(IF(K271&gt;0, L271/K271, 0),"-")</f>
        <v>-</v>
      </c>
      <c r="O271" s="34" t="s">
        <v>959</v>
      </c>
      <c r="P271" s="35" t="s">
        <v>959</v>
      </c>
      <c r="Q271" s="34" t="str">
        <f>IF(OR(P271="-",P271="",P271=0),IF(O271="-","-",O271),O271-P271)</f>
        <v>-</v>
      </c>
      <c r="R271" s="4" t="str">
        <f>IFERROR(IF(O271&gt;0, P271/O271, 0),"-")</f>
        <v>-</v>
      </c>
      <c r="S271" s="34">
        <v>111</v>
      </c>
      <c r="T271" s="34">
        <v>4</v>
      </c>
      <c r="U271" s="34">
        <v>10740</v>
      </c>
      <c r="V271" s="35">
        <v>1</v>
      </c>
      <c r="W271" s="35">
        <v>29445</v>
      </c>
    </row>
    <row r="272" spans="1:23" x14ac:dyDescent="0.2">
      <c r="A272" s="30" t="s">
        <v>627</v>
      </c>
      <c r="B272" s="30" t="s">
        <v>1012</v>
      </c>
      <c r="C272" s="34">
        <v>166</v>
      </c>
      <c r="D272" s="35">
        <v>161</v>
      </c>
      <c r="E272" s="34">
        <f>IF(OR(D272="-",D272="",D272=0),IF(C272="-","-",C272),C272-D272)</f>
        <v>5</v>
      </c>
      <c r="F272" s="4">
        <f>IFERROR(IF(C272&gt;0, D272/C272, 0),"-")</f>
        <v>0.96987951807228912</v>
      </c>
      <c r="G272" s="34">
        <v>1</v>
      </c>
      <c r="H272" s="35">
        <v>1</v>
      </c>
      <c r="I272" s="34">
        <f>IF(OR(H272="-",H272="",H272=0),IF(G272="-","-",G272),G272-H272)</f>
        <v>0</v>
      </c>
      <c r="J272" s="4">
        <f>IFERROR(IF(G272&gt;0, H272/G272, 0),"-")</f>
        <v>1</v>
      </c>
      <c r="K272" s="34">
        <v>4</v>
      </c>
      <c r="L272" s="35">
        <v>1</v>
      </c>
      <c r="M272" s="34">
        <f>IF(OR(L272="-",L272="",L272=0),IF(K272="-","-",K272),K272-L272)</f>
        <v>3</v>
      </c>
      <c r="N272" s="4">
        <f>IFERROR(IF(K272&gt;0, L272/K272, 0),"-")</f>
        <v>0.25</v>
      </c>
      <c r="O272" s="34">
        <v>6</v>
      </c>
      <c r="P272" s="35">
        <v>2</v>
      </c>
      <c r="Q272" s="34">
        <f>IF(OR(P272="-",P272="",P272=0),IF(O272="-","-",O272),O272-P272)</f>
        <v>4</v>
      </c>
      <c r="R272" s="4">
        <f>IFERROR(IF(O272&gt;0, P272/O272, 0),"-")</f>
        <v>0.33333333333333331</v>
      </c>
      <c r="S272" s="34">
        <v>100</v>
      </c>
      <c r="T272" s="34">
        <v>1</v>
      </c>
      <c r="U272" s="34">
        <v>1000</v>
      </c>
      <c r="V272" s="35" t="s">
        <v>959</v>
      </c>
      <c r="W272" s="35" t="s">
        <v>959</v>
      </c>
    </row>
    <row r="273" spans="1:23" x14ac:dyDescent="0.2">
      <c r="A273" s="30" t="s">
        <v>628</v>
      </c>
      <c r="B273" s="30" t="s">
        <v>1013</v>
      </c>
      <c r="C273" s="34">
        <v>187</v>
      </c>
      <c r="D273" s="35">
        <v>185</v>
      </c>
      <c r="E273" s="34">
        <f>IF(OR(D273="-",D273="",D273=0),IF(C273="-","-",C273),C273-D273)</f>
        <v>2</v>
      </c>
      <c r="F273" s="4">
        <f>IFERROR(IF(C273&gt;0, D273/C273, 0),"-")</f>
        <v>0.98930481283422456</v>
      </c>
      <c r="G273" s="34">
        <v>4</v>
      </c>
      <c r="H273" s="35">
        <v>1</v>
      </c>
      <c r="I273" s="34">
        <f>IF(OR(H273="-",H273="",H273=0),IF(G273="-","-",G273),G273-H273)</f>
        <v>3</v>
      </c>
      <c r="J273" s="4">
        <f>IFERROR(IF(G273&gt;0, H273/G273, 0),"-")</f>
        <v>0.25</v>
      </c>
      <c r="K273" s="34" t="s">
        <v>959</v>
      </c>
      <c r="L273" s="35" t="s">
        <v>959</v>
      </c>
      <c r="M273" s="34" t="str">
        <f>IF(OR(L273="-",L273="",L273=0),IF(K273="-","-",K273),K273-L273)</f>
        <v>-</v>
      </c>
      <c r="N273" s="4" t="str">
        <f>IFERROR(IF(K273&gt;0, L273/K273, 0),"-")</f>
        <v>-</v>
      </c>
      <c r="O273" s="34">
        <v>3</v>
      </c>
      <c r="P273" s="35">
        <v>2</v>
      </c>
      <c r="Q273" s="34">
        <f>IF(OR(P273="-",P273="",P273=0),IF(O273="-","-",O273),O273-P273)</f>
        <v>1</v>
      </c>
      <c r="R273" s="4">
        <f>IFERROR(IF(O273&gt;0, P273/O273, 0),"-")</f>
        <v>0.66666666666666663</v>
      </c>
      <c r="S273" s="34">
        <v>167</v>
      </c>
      <c r="T273" s="34">
        <v>5</v>
      </c>
      <c r="U273" s="34">
        <v>4200</v>
      </c>
      <c r="V273" s="35" t="s">
        <v>959</v>
      </c>
      <c r="W273" s="35" t="s">
        <v>959</v>
      </c>
    </row>
    <row r="274" spans="1:23" x14ac:dyDescent="0.2">
      <c r="A274" s="30" t="s">
        <v>623</v>
      </c>
      <c r="B274" s="30" t="s">
        <v>1014</v>
      </c>
      <c r="C274" s="34">
        <v>187</v>
      </c>
      <c r="D274" s="35">
        <v>184</v>
      </c>
      <c r="E274" s="34">
        <f>IF(OR(D274="-",D274="",D274=0),IF(C274="-","-",C274),C274-D274)</f>
        <v>3</v>
      </c>
      <c r="F274" s="4">
        <f>IFERROR(IF(C274&gt;0, D274/C274, 0),"-")</f>
        <v>0.98395721925133695</v>
      </c>
      <c r="G274" s="34">
        <v>3</v>
      </c>
      <c r="H274" s="35">
        <v>1</v>
      </c>
      <c r="I274" s="34">
        <f>IF(OR(H274="-",H274="",H274=0),IF(G274="-","-",G274),G274-H274)</f>
        <v>2</v>
      </c>
      <c r="J274" s="4">
        <f>IFERROR(IF(G274&gt;0, H274/G274, 0),"-")</f>
        <v>0.33333333333333331</v>
      </c>
      <c r="K274" s="34">
        <v>4</v>
      </c>
      <c r="L274" s="35">
        <v>3</v>
      </c>
      <c r="M274" s="34">
        <f>IF(OR(L274="-",L274="",L274=0),IF(K274="-","-",K274),K274-L274)</f>
        <v>1</v>
      </c>
      <c r="N274" s="4">
        <f>IFERROR(IF(K274&gt;0, L274/K274, 0),"-")</f>
        <v>0.75</v>
      </c>
      <c r="O274" s="34">
        <v>1</v>
      </c>
      <c r="P274" s="35" t="s">
        <v>959</v>
      </c>
      <c r="Q274" s="34">
        <f>IF(OR(P274="-",P274="",P274=0),IF(O274="-","-",O274),O274-P274)</f>
        <v>1</v>
      </c>
      <c r="R274" s="4" t="str">
        <f>IFERROR(IF(O274&gt;0, P274/O274, 0),"-")</f>
        <v>-</v>
      </c>
      <c r="S274" s="34">
        <v>181</v>
      </c>
      <c r="T274" s="34">
        <v>5</v>
      </c>
      <c r="U274" s="34">
        <v>5655</v>
      </c>
      <c r="V274" s="35">
        <v>2</v>
      </c>
      <c r="W274" s="35">
        <v>44384</v>
      </c>
    </row>
    <row r="275" spans="1:23" x14ac:dyDescent="0.2">
      <c r="A275" s="30" t="s">
        <v>624</v>
      </c>
      <c r="B275" s="30" t="s">
        <v>1015</v>
      </c>
      <c r="C275" s="34">
        <v>155</v>
      </c>
      <c r="D275" s="35">
        <v>152</v>
      </c>
      <c r="E275" s="34">
        <f>IF(OR(D275="-",D275="",D275=0),IF(C275="-","-",C275),C275-D275)</f>
        <v>3</v>
      </c>
      <c r="F275" s="4">
        <f>IFERROR(IF(C275&gt;0, D275/C275, 0),"-")</f>
        <v>0.98064516129032253</v>
      </c>
      <c r="G275" s="34">
        <v>4</v>
      </c>
      <c r="H275" s="35">
        <v>1</v>
      </c>
      <c r="I275" s="34">
        <f>IF(OR(H275="-",H275="",H275=0),IF(G275="-","-",G275),G275-H275)</f>
        <v>3</v>
      </c>
      <c r="J275" s="4">
        <f>IFERROR(IF(G275&gt;0, H275/G275, 0),"-")</f>
        <v>0.25</v>
      </c>
      <c r="K275" s="34">
        <v>3</v>
      </c>
      <c r="L275" s="35">
        <v>1</v>
      </c>
      <c r="M275" s="34">
        <f>IF(OR(L275="-",L275="",L275=0),IF(K275="-","-",K275),K275-L275)</f>
        <v>2</v>
      </c>
      <c r="N275" s="4">
        <f>IFERROR(IF(K275&gt;0, L275/K275, 0),"-")</f>
        <v>0.33333333333333331</v>
      </c>
      <c r="O275" s="34">
        <v>3</v>
      </c>
      <c r="P275" s="35" t="s">
        <v>959</v>
      </c>
      <c r="Q275" s="34">
        <f>IF(OR(P275="-",P275="",P275=0),IF(O275="-","-",O275),O275-P275)</f>
        <v>3</v>
      </c>
      <c r="R275" s="4" t="str">
        <f>IFERROR(IF(O275&gt;0, P275/O275, 0),"-")</f>
        <v>-</v>
      </c>
      <c r="S275" s="34">
        <v>147</v>
      </c>
      <c r="T275" s="34">
        <v>2</v>
      </c>
      <c r="U275" s="34">
        <v>1500</v>
      </c>
      <c r="V275" s="35" t="s">
        <v>959</v>
      </c>
      <c r="W275" s="35" t="s">
        <v>959</v>
      </c>
    </row>
    <row r="276" spans="1:23" x14ac:dyDescent="0.2">
      <c r="A276" s="29"/>
      <c r="B276" s="29" t="s">
        <v>79</v>
      </c>
      <c r="C276" s="32">
        <v>1153</v>
      </c>
      <c r="D276" s="32">
        <v>1137</v>
      </c>
      <c r="E276" s="32">
        <f>IF(OR(D276="-",D276="",D276=0),IF(C276="-","-",C276),C276-D276)</f>
        <v>16</v>
      </c>
      <c r="F276" s="36">
        <f>IFERROR(IF(C276&gt;0, D276/C276, 0),"-")</f>
        <v>0.98612315698178665</v>
      </c>
      <c r="G276" s="32">
        <v>16</v>
      </c>
      <c r="H276" s="32">
        <v>8</v>
      </c>
      <c r="I276" s="32">
        <f>IF(OR(H276="-",H276="",H276=0),IF(G276="-","-",G276),G276-H276)</f>
        <v>8</v>
      </c>
      <c r="J276" s="36">
        <f>IFERROR(IF(G276&gt;0, H276/G276, 0),"-")</f>
        <v>0.5</v>
      </c>
      <c r="K276" s="32">
        <v>17</v>
      </c>
      <c r="L276" s="32">
        <v>5</v>
      </c>
      <c r="M276" s="32">
        <f>IF(OR(L276="-",L276="",L276=0),IF(K276="-","-",K276),K276-L276)</f>
        <v>12</v>
      </c>
      <c r="N276" s="36">
        <f>IFERROR(IF(K276&gt;0, L276/K276, 0),"-")</f>
        <v>0.29411764705882354</v>
      </c>
      <c r="O276" s="32">
        <v>33</v>
      </c>
      <c r="P276" s="32">
        <v>6</v>
      </c>
      <c r="Q276" s="32">
        <f>IF(OR(P276="-",P276="",P276=0),IF(O276="-","-",O276),O276-P276)</f>
        <v>27</v>
      </c>
      <c r="R276" s="36">
        <f>IFERROR(IF(O276&gt;0, P276/O276, 0),"-")</f>
        <v>0.18181818181818182</v>
      </c>
      <c r="S276" s="32">
        <v>865</v>
      </c>
      <c r="T276" s="32">
        <v>28</v>
      </c>
      <c r="U276" s="32">
        <v>161783</v>
      </c>
      <c r="V276" s="32">
        <v>14</v>
      </c>
      <c r="W276" s="32">
        <v>194508</v>
      </c>
    </row>
    <row r="277" spans="1:23" x14ac:dyDescent="0.2">
      <c r="A277" s="30" t="s">
        <v>530</v>
      </c>
      <c r="B277" s="30" t="s">
        <v>1016</v>
      </c>
      <c r="C277" s="34">
        <v>201</v>
      </c>
      <c r="D277" s="35">
        <v>199</v>
      </c>
      <c r="E277" s="34">
        <f>IF(OR(D277="-",D277="",D277=0),IF(C277="-","-",C277),C277-D277)</f>
        <v>2</v>
      </c>
      <c r="F277" s="4">
        <f>IFERROR(IF(C277&gt;0, D277/C277, 0),"-")</f>
        <v>0.99004975124378114</v>
      </c>
      <c r="G277" s="34" t="s">
        <v>959</v>
      </c>
      <c r="H277" s="35" t="s">
        <v>959</v>
      </c>
      <c r="I277" s="34" t="str">
        <f>IF(OR(H277="-",H277="",H277=0),IF(G277="-","-",G277),G277-H277)</f>
        <v>-</v>
      </c>
      <c r="J277" s="4" t="str">
        <f>IFERROR(IF(G277&gt;0, H277/G277, 0),"-")</f>
        <v>-</v>
      </c>
      <c r="K277" s="34" t="s">
        <v>959</v>
      </c>
      <c r="L277" s="35" t="s">
        <v>959</v>
      </c>
      <c r="M277" s="34" t="str">
        <f>IF(OR(L277="-",L277="",L277=0),IF(K277="-","-",K277),K277-L277)</f>
        <v>-</v>
      </c>
      <c r="N277" s="4" t="str">
        <f>IFERROR(IF(K277&gt;0, L277/K277, 0),"-")</f>
        <v>-</v>
      </c>
      <c r="O277" s="34">
        <v>3</v>
      </c>
      <c r="P277" s="35">
        <v>2</v>
      </c>
      <c r="Q277" s="34">
        <f>IF(OR(P277="-",P277="",P277=0),IF(O277="-","-",O277),O277-P277)</f>
        <v>1</v>
      </c>
      <c r="R277" s="4">
        <f>IFERROR(IF(O277&gt;0, P277/O277, 0),"-")</f>
        <v>0.66666666666666663</v>
      </c>
      <c r="S277" s="34">
        <v>99</v>
      </c>
      <c r="T277" s="34">
        <v>2</v>
      </c>
      <c r="U277" s="34">
        <v>14570</v>
      </c>
      <c r="V277" s="35">
        <v>2</v>
      </c>
      <c r="W277" s="35">
        <v>9747</v>
      </c>
    </row>
    <row r="278" spans="1:23" x14ac:dyDescent="0.2">
      <c r="A278" s="30" t="s">
        <v>528</v>
      </c>
      <c r="B278" s="30" t="s">
        <v>1017</v>
      </c>
      <c r="C278" s="34">
        <v>180</v>
      </c>
      <c r="D278" s="35">
        <v>175</v>
      </c>
      <c r="E278" s="34">
        <f>IF(OR(D278="-",D278="",D278=0),IF(C278="-","-",C278),C278-D278)</f>
        <v>5</v>
      </c>
      <c r="F278" s="4">
        <f>IFERROR(IF(C278&gt;0, D278/C278, 0),"-")</f>
        <v>0.97222222222222221</v>
      </c>
      <c r="G278" s="34">
        <v>5</v>
      </c>
      <c r="H278" s="35">
        <v>3</v>
      </c>
      <c r="I278" s="34">
        <f>IF(OR(H278="-",H278="",H278=0),IF(G278="-","-",G278),G278-H278)</f>
        <v>2</v>
      </c>
      <c r="J278" s="4">
        <f>IFERROR(IF(G278&gt;0, H278/G278, 0),"-")</f>
        <v>0.6</v>
      </c>
      <c r="K278" s="34">
        <v>5</v>
      </c>
      <c r="L278" s="35">
        <v>2</v>
      </c>
      <c r="M278" s="34">
        <f>IF(OR(L278="-",L278="",L278=0),IF(K278="-","-",K278),K278-L278)</f>
        <v>3</v>
      </c>
      <c r="N278" s="4">
        <f>IFERROR(IF(K278&gt;0, L278/K278, 0),"-")</f>
        <v>0.4</v>
      </c>
      <c r="O278" s="34">
        <v>6</v>
      </c>
      <c r="P278" s="35">
        <v>1</v>
      </c>
      <c r="Q278" s="34">
        <f>IF(OR(P278="-",P278="",P278=0),IF(O278="-","-",O278),O278-P278)</f>
        <v>5</v>
      </c>
      <c r="R278" s="4">
        <f>IFERROR(IF(O278&gt;0, P278/O278, 0),"-")</f>
        <v>0.16666666666666666</v>
      </c>
      <c r="S278" s="34">
        <v>149</v>
      </c>
      <c r="T278" s="34">
        <v>6</v>
      </c>
      <c r="U278" s="34">
        <v>29990</v>
      </c>
      <c r="V278" s="35">
        <v>1</v>
      </c>
      <c r="W278" s="35">
        <v>32998</v>
      </c>
    </row>
    <row r="279" spans="1:23" x14ac:dyDescent="0.2">
      <c r="A279" s="30" t="s">
        <v>529</v>
      </c>
      <c r="B279" s="30" t="s">
        <v>1018</v>
      </c>
      <c r="C279" s="34">
        <v>137</v>
      </c>
      <c r="D279" s="35">
        <v>135</v>
      </c>
      <c r="E279" s="34">
        <f>IF(OR(D279="-",D279="",D279=0),IF(C279="-","-",C279),C279-D279)</f>
        <v>2</v>
      </c>
      <c r="F279" s="4">
        <f>IFERROR(IF(C279&gt;0, D279/C279, 0),"-")</f>
        <v>0.98540145985401462</v>
      </c>
      <c r="G279" s="34">
        <v>4</v>
      </c>
      <c r="H279" s="35">
        <v>1</v>
      </c>
      <c r="I279" s="34">
        <f>IF(OR(H279="-",H279="",H279=0),IF(G279="-","-",G279),G279-H279)</f>
        <v>3</v>
      </c>
      <c r="J279" s="4">
        <f>IFERROR(IF(G279&gt;0, H279/G279, 0),"-")</f>
        <v>0.25</v>
      </c>
      <c r="K279" s="34">
        <v>2</v>
      </c>
      <c r="L279" s="35">
        <v>1</v>
      </c>
      <c r="M279" s="34">
        <f>IF(OR(L279="-",L279="",L279=0),IF(K279="-","-",K279),K279-L279)</f>
        <v>1</v>
      </c>
      <c r="N279" s="4">
        <f>IFERROR(IF(K279&gt;0, L279/K279, 0),"-")</f>
        <v>0.5</v>
      </c>
      <c r="O279" s="34">
        <v>2</v>
      </c>
      <c r="P279" s="35" t="s">
        <v>959</v>
      </c>
      <c r="Q279" s="34">
        <f>IF(OR(P279="-",P279="",P279=0),IF(O279="-","-",O279),O279-P279)</f>
        <v>2</v>
      </c>
      <c r="R279" s="4" t="str">
        <f>IFERROR(IF(O279&gt;0, P279/O279, 0),"-")</f>
        <v>-</v>
      </c>
      <c r="S279" s="34">
        <v>89</v>
      </c>
      <c r="T279" s="34">
        <v>6</v>
      </c>
      <c r="U279" s="34">
        <v>36065</v>
      </c>
      <c r="V279" s="35">
        <v>3</v>
      </c>
      <c r="W279" s="35">
        <v>18401</v>
      </c>
    </row>
    <row r="280" spans="1:23" x14ac:dyDescent="0.2">
      <c r="A280" s="30" t="s">
        <v>531</v>
      </c>
      <c r="B280" s="30" t="s">
        <v>1019</v>
      </c>
      <c r="C280" s="34">
        <v>101</v>
      </c>
      <c r="D280" s="35">
        <v>100</v>
      </c>
      <c r="E280" s="34">
        <f>IF(OR(D280="-",D280="",D280=0),IF(C280="-","-",C280),C280-D280)</f>
        <v>1</v>
      </c>
      <c r="F280" s="4">
        <f>IFERROR(IF(C280&gt;0, D280/C280, 0),"-")</f>
        <v>0.99009900990099009</v>
      </c>
      <c r="G280" s="34">
        <v>1</v>
      </c>
      <c r="H280" s="35">
        <v>1</v>
      </c>
      <c r="I280" s="34">
        <f>IF(OR(H280="-",H280="",H280=0),IF(G280="-","-",G280),G280-H280)</f>
        <v>0</v>
      </c>
      <c r="J280" s="4">
        <f>IFERROR(IF(G280&gt;0, H280/G280, 0),"-")</f>
        <v>1</v>
      </c>
      <c r="K280" s="34">
        <v>2</v>
      </c>
      <c r="L280" s="35" t="s">
        <v>959</v>
      </c>
      <c r="M280" s="34">
        <f>IF(OR(L280="-",L280="",L280=0),IF(K280="-","-",K280),K280-L280)</f>
        <v>2</v>
      </c>
      <c r="N280" s="4" t="str">
        <f>IFERROR(IF(K280&gt;0, L280/K280, 0),"-")</f>
        <v>-</v>
      </c>
      <c r="O280" s="34">
        <v>8</v>
      </c>
      <c r="P280" s="35">
        <v>2</v>
      </c>
      <c r="Q280" s="34">
        <f>IF(OR(P280="-",P280="",P280=0),IF(O280="-","-",O280),O280-P280)</f>
        <v>6</v>
      </c>
      <c r="R280" s="4">
        <f>IFERROR(IF(O280&gt;0, P280/O280, 0),"-")</f>
        <v>0.25</v>
      </c>
      <c r="S280" s="34">
        <v>99</v>
      </c>
      <c r="T280" s="34">
        <v>5</v>
      </c>
      <c r="U280" s="34">
        <v>38508</v>
      </c>
      <c r="V280" s="35">
        <v>3</v>
      </c>
      <c r="W280" s="35">
        <v>46419</v>
      </c>
    </row>
    <row r="281" spans="1:23" x14ac:dyDescent="0.2">
      <c r="A281" s="30" t="s">
        <v>533</v>
      </c>
      <c r="B281" s="30" t="s">
        <v>1020</v>
      </c>
      <c r="C281" s="34">
        <v>128</v>
      </c>
      <c r="D281" s="35">
        <v>126</v>
      </c>
      <c r="E281" s="34">
        <f>IF(OR(D281="-",D281="",D281=0),IF(C281="-","-",C281),C281-D281)</f>
        <v>2</v>
      </c>
      <c r="F281" s="4">
        <f>IFERROR(IF(C281&gt;0, D281/C281, 0),"-")</f>
        <v>0.984375</v>
      </c>
      <c r="G281" s="34">
        <v>1</v>
      </c>
      <c r="H281" s="35">
        <v>1</v>
      </c>
      <c r="I281" s="34">
        <f>IF(OR(H281="-",H281="",H281=0),IF(G281="-","-",G281),G281-H281)</f>
        <v>0</v>
      </c>
      <c r="J281" s="4">
        <f>IFERROR(IF(G281&gt;0, H281/G281, 0),"-")</f>
        <v>1</v>
      </c>
      <c r="K281" s="34">
        <v>2</v>
      </c>
      <c r="L281" s="35">
        <v>1</v>
      </c>
      <c r="M281" s="34">
        <f>IF(OR(L281="-",L281="",L281=0),IF(K281="-","-",K281),K281-L281)</f>
        <v>1</v>
      </c>
      <c r="N281" s="4">
        <f>IFERROR(IF(K281&gt;0, L281/K281, 0),"-")</f>
        <v>0.5</v>
      </c>
      <c r="O281" s="34">
        <v>4</v>
      </c>
      <c r="P281" s="35" t="s">
        <v>959</v>
      </c>
      <c r="Q281" s="34">
        <f>IF(OR(P281="-",P281="",P281=0),IF(O281="-","-",O281),O281-P281)</f>
        <v>4</v>
      </c>
      <c r="R281" s="4" t="str">
        <f>IFERROR(IF(O281&gt;0, P281/O281, 0),"-")</f>
        <v>-</v>
      </c>
      <c r="S281" s="34">
        <v>125</v>
      </c>
      <c r="T281" s="34">
        <v>1</v>
      </c>
      <c r="U281" s="34">
        <v>500</v>
      </c>
      <c r="V281" s="35">
        <v>1</v>
      </c>
      <c r="W281" s="35">
        <v>37606</v>
      </c>
    </row>
    <row r="282" spans="1:23" x14ac:dyDescent="0.2">
      <c r="A282" s="30" t="s">
        <v>532</v>
      </c>
      <c r="B282" s="30" t="s">
        <v>1021</v>
      </c>
      <c r="C282" s="34">
        <v>117</v>
      </c>
      <c r="D282" s="35">
        <v>117</v>
      </c>
      <c r="E282" s="34">
        <f>IF(OR(D282="-",D282="",D282=0),IF(C282="-","-",C282),C282-D282)</f>
        <v>0</v>
      </c>
      <c r="F282" s="4">
        <f>IFERROR(IF(C282&gt;0, D282/C282, 0),"-")</f>
        <v>1</v>
      </c>
      <c r="G282" s="34">
        <v>2</v>
      </c>
      <c r="H282" s="35" t="s">
        <v>959</v>
      </c>
      <c r="I282" s="34">
        <f>IF(OR(H282="-",H282="",H282=0),IF(G282="-","-",G282),G282-H282)</f>
        <v>2</v>
      </c>
      <c r="J282" s="4" t="str">
        <f>IFERROR(IF(G282&gt;0, H282/G282, 0),"-")</f>
        <v>-</v>
      </c>
      <c r="K282" s="34">
        <v>2</v>
      </c>
      <c r="L282" s="35">
        <v>1</v>
      </c>
      <c r="M282" s="34">
        <f>IF(OR(L282="-",L282="",L282=0),IF(K282="-","-",K282),K282-L282)</f>
        <v>1</v>
      </c>
      <c r="N282" s="4">
        <f>IFERROR(IF(K282&gt;0, L282/K282, 0),"-")</f>
        <v>0.5</v>
      </c>
      <c r="O282" s="34">
        <v>4</v>
      </c>
      <c r="P282" s="35">
        <v>1</v>
      </c>
      <c r="Q282" s="34">
        <f>IF(OR(P282="-",P282="",P282=0),IF(O282="-","-",O282),O282-P282)</f>
        <v>3</v>
      </c>
      <c r="R282" s="4">
        <f>IFERROR(IF(O282&gt;0, P282/O282, 0),"-")</f>
        <v>0.25</v>
      </c>
      <c r="S282" s="34">
        <v>97</v>
      </c>
      <c r="T282" s="34">
        <v>5</v>
      </c>
      <c r="U282" s="34">
        <v>36205</v>
      </c>
      <c r="V282" s="35">
        <v>2</v>
      </c>
      <c r="W282" s="35">
        <v>20372</v>
      </c>
    </row>
    <row r="283" spans="1:23" x14ac:dyDescent="0.2">
      <c r="A283" s="30" t="s">
        <v>534</v>
      </c>
      <c r="B283" s="30" t="s">
        <v>1022</v>
      </c>
      <c r="C283" s="34">
        <v>148</v>
      </c>
      <c r="D283" s="35">
        <v>148</v>
      </c>
      <c r="E283" s="34">
        <f>IF(OR(D283="-",D283="",D283=0),IF(C283="-","-",C283),C283-D283)</f>
        <v>0</v>
      </c>
      <c r="F283" s="4">
        <f>IFERROR(IF(C283&gt;0, D283/C283, 0),"-")</f>
        <v>1</v>
      </c>
      <c r="G283" s="34">
        <v>1</v>
      </c>
      <c r="H283" s="35">
        <v>1</v>
      </c>
      <c r="I283" s="34">
        <f>IF(OR(H283="-",H283="",H283=0),IF(G283="-","-",G283),G283-H283)</f>
        <v>0</v>
      </c>
      <c r="J283" s="4">
        <f>IFERROR(IF(G283&gt;0, H283/G283, 0),"-")</f>
        <v>1</v>
      </c>
      <c r="K283" s="34">
        <v>3</v>
      </c>
      <c r="L283" s="35" t="s">
        <v>959</v>
      </c>
      <c r="M283" s="34">
        <f>IF(OR(L283="-",L283="",L283=0),IF(K283="-","-",K283),K283-L283)</f>
        <v>3</v>
      </c>
      <c r="N283" s="4" t="str">
        <f>IFERROR(IF(K283&gt;0, L283/K283, 0),"-")</f>
        <v>-</v>
      </c>
      <c r="O283" s="34">
        <v>1</v>
      </c>
      <c r="P283" s="35" t="s">
        <v>959</v>
      </c>
      <c r="Q283" s="34">
        <f>IF(OR(P283="-",P283="",P283=0),IF(O283="-","-",O283),O283-P283)</f>
        <v>1</v>
      </c>
      <c r="R283" s="4" t="str">
        <f>IFERROR(IF(O283&gt;0, P283/O283, 0),"-")</f>
        <v>-</v>
      </c>
      <c r="S283" s="34">
        <v>113</v>
      </c>
      <c r="T283" s="34">
        <v>2</v>
      </c>
      <c r="U283" s="34">
        <v>3745</v>
      </c>
      <c r="V283" s="35">
        <v>2</v>
      </c>
      <c r="W283" s="35">
        <v>28965</v>
      </c>
    </row>
    <row r="284" spans="1:23" x14ac:dyDescent="0.2">
      <c r="A284" s="30" t="s">
        <v>527</v>
      </c>
      <c r="B284" s="30" t="s">
        <v>1023</v>
      </c>
      <c r="C284" s="34">
        <v>141</v>
      </c>
      <c r="D284" s="35">
        <v>137</v>
      </c>
      <c r="E284" s="34">
        <f>IF(OR(D284="-",D284="",D284=0),IF(C284="-","-",C284),C284-D284)</f>
        <v>4</v>
      </c>
      <c r="F284" s="4">
        <f>IFERROR(IF(C284&gt;0, D284/C284, 0),"-")</f>
        <v>0.97163120567375882</v>
      </c>
      <c r="G284" s="34">
        <v>2</v>
      </c>
      <c r="H284" s="35">
        <v>1</v>
      </c>
      <c r="I284" s="34">
        <f>IF(OR(H284="-",H284="",H284=0),IF(G284="-","-",G284),G284-H284)</f>
        <v>1</v>
      </c>
      <c r="J284" s="4">
        <f>IFERROR(IF(G284&gt;0, H284/G284, 0),"-")</f>
        <v>0.5</v>
      </c>
      <c r="K284" s="34">
        <v>1</v>
      </c>
      <c r="L284" s="35" t="s">
        <v>959</v>
      </c>
      <c r="M284" s="34">
        <f>IF(OR(L284="-",L284="",L284=0),IF(K284="-","-",K284),K284-L284)</f>
        <v>1</v>
      </c>
      <c r="N284" s="4" t="str">
        <f>IFERROR(IF(K284&gt;0, L284/K284, 0),"-")</f>
        <v>-</v>
      </c>
      <c r="O284" s="34">
        <v>5</v>
      </c>
      <c r="P284" s="35" t="s">
        <v>959</v>
      </c>
      <c r="Q284" s="34">
        <f>IF(OR(P284="-",P284="",P284=0),IF(O284="-","-",O284),O284-P284)</f>
        <v>5</v>
      </c>
      <c r="R284" s="4" t="str">
        <f>IFERROR(IF(O284&gt;0, P284/O284, 0),"-")</f>
        <v>-</v>
      </c>
      <c r="S284" s="34">
        <v>94</v>
      </c>
      <c r="T284" s="34">
        <v>1</v>
      </c>
      <c r="U284" s="34">
        <v>2200</v>
      </c>
      <c r="V284" s="35" t="s">
        <v>959</v>
      </c>
      <c r="W284" s="35" t="s">
        <v>959</v>
      </c>
    </row>
    <row r="285" spans="1:23" x14ac:dyDescent="0.2">
      <c r="A285" s="29"/>
      <c r="B285" s="29" t="s">
        <v>30</v>
      </c>
      <c r="C285" s="32">
        <v>1051</v>
      </c>
      <c r="D285" s="32">
        <v>1039</v>
      </c>
      <c r="E285" s="32">
        <f>IF(OR(D285="-",D285="",D285=0),IF(C285="-","-",C285),C285-D285)</f>
        <v>12</v>
      </c>
      <c r="F285" s="36">
        <f>IFERROR(IF(C285&gt;0, D285/C285, 0),"-")</f>
        <v>0.98858230256898194</v>
      </c>
      <c r="G285" s="32">
        <v>10</v>
      </c>
      <c r="H285" s="32" t="s">
        <v>959</v>
      </c>
      <c r="I285" s="32">
        <f>IF(OR(H285="-",H285="",H285=0),IF(G285="-","-",G285),G285-H285)</f>
        <v>10</v>
      </c>
      <c r="J285" s="36" t="str">
        <f>IFERROR(IF(G285&gt;0, H285/G285, 0),"-")</f>
        <v>-</v>
      </c>
      <c r="K285" s="32">
        <v>11</v>
      </c>
      <c r="L285" s="32">
        <v>3</v>
      </c>
      <c r="M285" s="32">
        <f>IF(OR(L285="-",L285="",L285=0),IF(K285="-","-",K285),K285-L285)</f>
        <v>8</v>
      </c>
      <c r="N285" s="36">
        <f>IFERROR(IF(K285&gt;0, L285/K285, 0),"-")</f>
        <v>0.27272727272727271</v>
      </c>
      <c r="O285" s="32">
        <v>17</v>
      </c>
      <c r="P285" s="32">
        <v>3</v>
      </c>
      <c r="Q285" s="32">
        <f>IF(OR(P285="-",P285="",P285=0),IF(O285="-","-",O285),O285-P285)</f>
        <v>14</v>
      </c>
      <c r="R285" s="36">
        <f>IFERROR(IF(O285&gt;0, P285/O285, 0),"-")</f>
        <v>0.17647058823529413</v>
      </c>
      <c r="S285" s="32">
        <v>1105</v>
      </c>
      <c r="T285" s="32">
        <v>27</v>
      </c>
      <c r="U285" s="32">
        <v>50916</v>
      </c>
      <c r="V285" s="32">
        <v>10</v>
      </c>
      <c r="W285" s="32">
        <v>170425</v>
      </c>
    </row>
    <row r="286" spans="1:23" x14ac:dyDescent="0.2">
      <c r="A286" s="30" t="s">
        <v>917</v>
      </c>
      <c r="B286" s="30" t="s">
        <v>1024</v>
      </c>
      <c r="C286" s="34">
        <v>123</v>
      </c>
      <c r="D286" s="35">
        <v>122</v>
      </c>
      <c r="E286" s="34">
        <f>IF(OR(D286="-",D286="",D286=0),IF(C286="-","-",C286),C286-D286)</f>
        <v>1</v>
      </c>
      <c r="F286" s="4">
        <f>IFERROR(IF(C286&gt;0, D286/C286, 0),"-")</f>
        <v>0.99186991869918695</v>
      </c>
      <c r="G286" s="34">
        <v>2</v>
      </c>
      <c r="H286" s="35" t="s">
        <v>959</v>
      </c>
      <c r="I286" s="34">
        <f>IF(OR(H286="-",H286="",H286=0),IF(G286="-","-",G286),G286-H286)</f>
        <v>2</v>
      </c>
      <c r="J286" s="4" t="str">
        <f>IFERROR(IF(G286&gt;0, H286/G286, 0),"-")</f>
        <v>-</v>
      </c>
      <c r="K286" s="34">
        <v>5</v>
      </c>
      <c r="L286" s="35">
        <v>1</v>
      </c>
      <c r="M286" s="34">
        <f>IF(OR(L286="-",L286="",L286=0),IF(K286="-","-",K286),K286-L286)</f>
        <v>4</v>
      </c>
      <c r="N286" s="4">
        <f>IFERROR(IF(K286&gt;0, L286/K286, 0),"-")</f>
        <v>0.2</v>
      </c>
      <c r="O286" s="34">
        <v>4</v>
      </c>
      <c r="P286" s="35" t="s">
        <v>959</v>
      </c>
      <c r="Q286" s="34">
        <f>IF(OR(P286="-",P286="",P286=0),IF(O286="-","-",O286),O286-P286)</f>
        <v>4</v>
      </c>
      <c r="R286" s="4" t="str">
        <f>IFERROR(IF(O286&gt;0, P286/O286, 0),"-")</f>
        <v>-</v>
      </c>
      <c r="S286" s="34">
        <v>124</v>
      </c>
      <c r="T286" s="34">
        <v>6</v>
      </c>
      <c r="U286" s="34">
        <v>7201</v>
      </c>
      <c r="V286" s="35">
        <v>3</v>
      </c>
      <c r="W286" s="35">
        <v>45953</v>
      </c>
    </row>
    <row r="287" spans="1:23" x14ac:dyDescent="0.2">
      <c r="A287" s="30" t="s">
        <v>915</v>
      </c>
      <c r="B287" s="30" t="s">
        <v>1025</v>
      </c>
      <c r="C287" s="34">
        <v>188</v>
      </c>
      <c r="D287" s="35">
        <v>184</v>
      </c>
      <c r="E287" s="34">
        <f>IF(OR(D287="-",D287="",D287=0),IF(C287="-","-",C287),C287-D287)</f>
        <v>4</v>
      </c>
      <c r="F287" s="4">
        <f>IFERROR(IF(C287&gt;0, D287/C287, 0),"-")</f>
        <v>0.97872340425531912</v>
      </c>
      <c r="G287" s="34">
        <v>3</v>
      </c>
      <c r="H287" s="35" t="s">
        <v>959</v>
      </c>
      <c r="I287" s="34">
        <f>IF(OR(H287="-",H287="",H287=0),IF(G287="-","-",G287),G287-H287)</f>
        <v>3</v>
      </c>
      <c r="J287" s="4" t="str">
        <f>IFERROR(IF(G287&gt;0, H287/G287, 0),"-")</f>
        <v>-</v>
      </c>
      <c r="K287" s="34" t="s">
        <v>959</v>
      </c>
      <c r="L287" s="35" t="s">
        <v>959</v>
      </c>
      <c r="M287" s="34" t="str">
        <f>IF(OR(L287="-",L287="",L287=0),IF(K287="-","-",K287),K287-L287)</f>
        <v>-</v>
      </c>
      <c r="N287" s="4" t="str">
        <f>IFERROR(IF(K287&gt;0, L287/K287, 0),"-")</f>
        <v>-</v>
      </c>
      <c r="O287" s="34">
        <v>1</v>
      </c>
      <c r="P287" s="35" t="s">
        <v>959</v>
      </c>
      <c r="Q287" s="34">
        <f>IF(OR(P287="-",P287="",P287=0),IF(O287="-","-",O287),O287-P287)</f>
        <v>1</v>
      </c>
      <c r="R287" s="4" t="str">
        <f>IFERROR(IF(O287&gt;0, P287/O287, 0),"-")</f>
        <v>-</v>
      </c>
      <c r="S287" s="34">
        <v>139</v>
      </c>
      <c r="T287" s="34">
        <v>5</v>
      </c>
      <c r="U287" s="34">
        <v>6750</v>
      </c>
      <c r="V287" s="35" t="s">
        <v>959</v>
      </c>
      <c r="W287" s="35" t="s">
        <v>959</v>
      </c>
    </row>
    <row r="288" spans="1:23" x14ac:dyDescent="0.2">
      <c r="A288" s="30" t="s">
        <v>914</v>
      </c>
      <c r="B288" s="30" t="s">
        <v>1026</v>
      </c>
      <c r="C288" s="34">
        <v>109</v>
      </c>
      <c r="D288" s="35">
        <v>109</v>
      </c>
      <c r="E288" s="34">
        <f>IF(OR(D288="-",D288="",D288=0),IF(C288="-","-",C288),C288-D288)</f>
        <v>0</v>
      </c>
      <c r="F288" s="4">
        <f>IFERROR(IF(C288&gt;0, D288/C288, 0),"-")</f>
        <v>1</v>
      </c>
      <c r="G288" s="34">
        <v>1</v>
      </c>
      <c r="H288" s="35" t="s">
        <v>959</v>
      </c>
      <c r="I288" s="34">
        <f>IF(OR(H288="-",H288="",H288=0),IF(G288="-","-",G288),G288-H288)</f>
        <v>1</v>
      </c>
      <c r="J288" s="4" t="str">
        <f>IFERROR(IF(G288&gt;0, H288/G288, 0),"-")</f>
        <v>-</v>
      </c>
      <c r="K288" s="34">
        <v>2</v>
      </c>
      <c r="L288" s="35">
        <v>1</v>
      </c>
      <c r="M288" s="34">
        <f>IF(OR(L288="-",L288="",L288=0),IF(K288="-","-",K288),K288-L288)</f>
        <v>1</v>
      </c>
      <c r="N288" s="4">
        <f>IFERROR(IF(K288&gt;0, L288/K288, 0),"-")</f>
        <v>0.5</v>
      </c>
      <c r="O288" s="34">
        <v>2</v>
      </c>
      <c r="P288" s="35">
        <v>1</v>
      </c>
      <c r="Q288" s="34">
        <f>IF(OR(P288="-",P288="",P288=0),IF(O288="-","-",O288),O288-P288)</f>
        <v>1</v>
      </c>
      <c r="R288" s="4">
        <f>IFERROR(IF(O288&gt;0, P288/O288, 0),"-")</f>
        <v>0.5</v>
      </c>
      <c r="S288" s="34">
        <v>125</v>
      </c>
      <c r="T288" s="34">
        <v>3</v>
      </c>
      <c r="U288" s="34">
        <v>4470</v>
      </c>
      <c r="V288" s="35" t="s">
        <v>959</v>
      </c>
      <c r="W288" s="35" t="s">
        <v>959</v>
      </c>
    </row>
    <row r="289" spans="1:23" x14ac:dyDescent="0.2">
      <c r="A289" s="30" t="s">
        <v>916</v>
      </c>
      <c r="B289" s="30" t="s">
        <v>1027</v>
      </c>
      <c r="C289" s="34">
        <v>172</v>
      </c>
      <c r="D289" s="35">
        <v>169</v>
      </c>
      <c r="E289" s="34">
        <f>IF(OR(D289="-",D289="",D289=0),IF(C289="-","-",C289),C289-D289)</f>
        <v>3</v>
      </c>
      <c r="F289" s="4">
        <f>IFERROR(IF(C289&gt;0, D289/C289, 0),"-")</f>
        <v>0.98255813953488369</v>
      </c>
      <c r="G289" s="34">
        <v>1</v>
      </c>
      <c r="H289" s="35" t="s">
        <v>959</v>
      </c>
      <c r="I289" s="34">
        <f>IF(OR(H289="-",H289="",H289=0),IF(G289="-","-",G289),G289-H289)</f>
        <v>1</v>
      </c>
      <c r="J289" s="4" t="str">
        <f>IFERROR(IF(G289&gt;0, H289/G289, 0),"-")</f>
        <v>-</v>
      </c>
      <c r="K289" s="34">
        <v>2</v>
      </c>
      <c r="L289" s="35">
        <v>1</v>
      </c>
      <c r="M289" s="34">
        <f>IF(OR(L289="-",L289="",L289=0),IF(K289="-","-",K289),K289-L289)</f>
        <v>1</v>
      </c>
      <c r="N289" s="4">
        <f>IFERROR(IF(K289&gt;0, L289/K289, 0),"-")</f>
        <v>0.5</v>
      </c>
      <c r="O289" s="34">
        <v>4</v>
      </c>
      <c r="P289" s="35">
        <v>1</v>
      </c>
      <c r="Q289" s="34">
        <f>IF(OR(P289="-",P289="",P289=0),IF(O289="-","-",O289),O289-P289)</f>
        <v>3</v>
      </c>
      <c r="R289" s="4">
        <f>IFERROR(IF(O289&gt;0, P289/O289, 0),"-")</f>
        <v>0.25</v>
      </c>
      <c r="S289" s="34">
        <v>91</v>
      </c>
      <c r="T289" s="34">
        <v>2</v>
      </c>
      <c r="U289" s="34">
        <v>5395</v>
      </c>
      <c r="V289" s="35" t="s">
        <v>959</v>
      </c>
      <c r="W289" s="35" t="s">
        <v>959</v>
      </c>
    </row>
    <row r="290" spans="1:23" x14ac:dyDescent="0.2">
      <c r="A290" s="30" t="s">
        <v>920</v>
      </c>
      <c r="B290" s="30" t="s">
        <v>1028</v>
      </c>
      <c r="C290" s="34">
        <v>151</v>
      </c>
      <c r="D290" s="35">
        <v>151</v>
      </c>
      <c r="E290" s="34">
        <f>IF(OR(D290="-",D290="",D290=0),IF(C290="-","-",C290),C290-D290)</f>
        <v>0</v>
      </c>
      <c r="F290" s="4">
        <f>IFERROR(IF(C290&gt;0, D290/C290, 0),"-")</f>
        <v>1</v>
      </c>
      <c r="G290" s="34">
        <v>2</v>
      </c>
      <c r="H290" s="35" t="s">
        <v>959</v>
      </c>
      <c r="I290" s="34">
        <f>IF(OR(H290="-",H290="",H290=0),IF(G290="-","-",G290),G290-H290)</f>
        <v>2</v>
      </c>
      <c r="J290" s="4" t="str">
        <f>IFERROR(IF(G290&gt;0, H290/G290, 0),"-")</f>
        <v>-</v>
      </c>
      <c r="K290" s="34" t="s">
        <v>959</v>
      </c>
      <c r="L290" s="35" t="s">
        <v>959</v>
      </c>
      <c r="M290" s="34" t="str">
        <f>IF(OR(L290="-",L290="",L290=0),IF(K290="-","-",K290),K290-L290)</f>
        <v>-</v>
      </c>
      <c r="N290" s="4" t="str">
        <f>IFERROR(IF(K290&gt;0, L290/K290, 0),"-")</f>
        <v>-</v>
      </c>
      <c r="O290" s="34">
        <v>1</v>
      </c>
      <c r="P290" s="35" t="s">
        <v>959</v>
      </c>
      <c r="Q290" s="34">
        <f>IF(OR(P290="-",P290="",P290=0),IF(O290="-","-",O290),O290-P290)</f>
        <v>1</v>
      </c>
      <c r="R290" s="4" t="str">
        <f>IFERROR(IF(O290&gt;0, P290/O290, 0),"-")</f>
        <v>-</v>
      </c>
      <c r="S290" s="34">
        <v>145</v>
      </c>
      <c r="T290" s="34">
        <v>1</v>
      </c>
      <c r="U290" s="34">
        <v>1000</v>
      </c>
      <c r="V290" s="35">
        <v>4</v>
      </c>
      <c r="W290" s="35">
        <v>52945</v>
      </c>
    </row>
    <row r="291" spans="1:23" x14ac:dyDescent="0.2">
      <c r="A291" s="30" t="s">
        <v>928</v>
      </c>
      <c r="B291" s="30" t="s">
        <v>1029</v>
      </c>
      <c r="C291" s="34">
        <v>47</v>
      </c>
      <c r="D291" s="35">
        <v>46</v>
      </c>
      <c r="E291" s="34">
        <f>IF(OR(D291="-",D291="",D291=0),IF(C291="-","-",C291),C291-D291)</f>
        <v>1</v>
      </c>
      <c r="F291" s="4">
        <f>IFERROR(IF(C291&gt;0, D291/C291, 0),"-")</f>
        <v>0.97872340425531912</v>
      </c>
      <c r="G291" s="34" t="s">
        <v>959</v>
      </c>
      <c r="H291" s="35" t="s">
        <v>959</v>
      </c>
      <c r="I291" s="34" t="str">
        <f>IF(OR(H291="-",H291="",H291=0),IF(G291="-","-",G291),G291-H291)</f>
        <v>-</v>
      </c>
      <c r="J291" s="4" t="str">
        <f>IFERROR(IF(G291&gt;0, H291/G291, 0),"-")</f>
        <v>-</v>
      </c>
      <c r="K291" s="34" t="s">
        <v>959</v>
      </c>
      <c r="L291" s="35" t="s">
        <v>959</v>
      </c>
      <c r="M291" s="34" t="str">
        <f>IF(OR(L291="-",L291="",L291=0),IF(K291="-","-",K291),K291-L291)</f>
        <v>-</v>
      </c>
      <c r="N291" s="4" t="str">
        <f>IFERROR(IF(K291&gt;0, L291/K291, 0),"-")</f>
        <v>-</v>
      </c>
      <c r="O291" s="34" t="s">
        <v>959</v>
      </c>
      <c r="P291" s="35" t="s">
        <v>959</v>
      </c>
      <c r="Q291" s="34" t="str">
        <f>IF(OR(P291="-",P291="",P291=0),IF(O291="-","-",O291),O291-P291)</f>
        <v>-</v>
      </c>
      <c r="R291" s="4" t="str">
        <f>IFERROR(IF(O291&gt;0, P291/O291, 0),"-")</f>
        <v>-</v>
      </c>
      <c r="S291" s="34" t="s">
        <v>959</v>
      </c>
      <c r="T291" s="34" t="s">
        <v>959</v>
      </c>
      <c r="U291" s="34" t="s">
        <v>959</v>
      </c>
      <c r="V291" s="35" t="s">
        <v>959</v>
      </c>
      <c r="W291" s="35" t="s">
        <v>959</v>
      </c>
    </row>
    <row r="292" spans="1:23" x14ac:dyDescent="0.2">
      <c r="A292" s="30" t="s">
        <v>918</v>
      </c>
      <c r="B292" s="30" t="s">
        <v>1030</v>
      </c>
      <c r="C292" s="34">
        <v>60</v>
      </c>
      <c r="D292" s="35">
        <v>58</v>
      </c>
      <c r="E292" s="34">
        <f>IF(OR(D292="-",D292="",D292=0),IF(C292="-","-",C292),C292-D292)</f>
        <v>2</v>
      </c>
      <c r="F292" s="4">
        <f>IFERROR(IF(C292&gt;0, D292/C292, 0),"-")</f>
        <v>0.96666666666666667</v>
      </c>
      <c r="G292" s="34">
        <v>1</v>
      </c>
      <c r="H292" s="35" t="s">
        <v>959</v>
      </c>
      <c r="I292" s="34">
        <f>IF(OR(H292="-",H292="",H292=0),IF(G292="-","-",G292),G292-H292)</f>
        <v>1</v>
      </c>
      <c r="J292" s="4" t="str">
        <f>IFERROR(IF(G292&gt;0, H292/G292, 0),"-")</f>
        <v>-</v>
      </c>
      <c r="K292" s="34" t="s">
        <v>959</v>
      </c>
      <c r="L292" s="35" t="s">
        <v>959</v>
      </c>
      <c r="M292" s="34" t="str">
        <f>IF(OR(L292="-",L292="",L292=0),IF(K292="-","-",K292),K292-L292)</f>
        <v>-</v>
      </c>
      <c r="N292" s="4" t="str">
        <f>IFERROR(IF(K292&gt;0, L292/K292, 0),"-")</f>
        <v>-</v>
      </c>
      <c r="O292" s="34">
        <v>1</v>
      </c>
      <c r="P292" s="35" t="s">
        <v>959</v>
      </c>
      <c r="Q292" s="34">
        <f>IF(OR(P292="-",P292="",P292=0),IF(O292="-","-",O292),O292-P292)</f>
        <v>1</v>
      </c>
      <c r="R292" s="4" t="str">
        <f>IFERROR(IF(O292&gt;0, P292/O292, 0),"-")</f>
        <v>-</v>
      </c>
      <c r="S292" s="34">
        <v>93</v>
      </c>
      <c r="T292" s="34">
        <v>2</v>
      </c>
      <c r="U292" s="34">
        <v>2500</v>
      </c>
      <c r="V292" s="35">
        <v>3</v>
      </c>
      <c r="W292" s="35">
        <v>71527</v>
      </c>
    </row>
    <row r="293" spans="1:23" x14ac:dyDescent="0.2">
      <c r="A293" s="30" t="s">
        <v>921</v>
      </c>
      <c r="B293" s="30" t="s">
        <v>1031</v>
      </c>
      <c r="C293" s="34">
        <v>2</v>
      </c>
      <c r="D293" s="35">
        <v>2</v>
      </c>
      <c r="E293" s="34">
        <f>IF(OR(D293="-",D293="",D293=0),IF(C293="-","-",C293),C293-D293)</f>
        <v>0</v>
      </c>
      <c r="F293" s="4">
        <f>IFERROR(IF(C293&gt;0, D293/C293, 0),"-")</f>
        <v>1</v>
      </c>
      <c r="G293" s="34" t="s">
        <v>959</v>
      </c>
      <c r="H293" s="35" t="s">
        <v>959</v>
      </c>
      <c r="I293" s="34" t="str">
        <f>IF(OR(H293="-",H293="",H293=0),IF(G293="-","-",G293),G293-H293)</f>
        <v>-</v>
      </c>
      <c r="J293" s="4" t="str">
        <f>IFERROR(IF(G293&gt;0, H293/G293, 0),"-")</f>
        <v>-</v>
      </c>
      <c r="K293" s="34" t="s">
        <v>959</v>
      </c>
      <c r="L293" s="35" t="s">
        <v>959</v>
      </c>
      <c r="M293" s="34" t="str">
        <f>IF(OR(L293="-",L293="",L293=0),IF(K293="-","-",K293),K293-L293)</f>
        <v>-</v>
      </c>
      <c r="N293" s="4" t="str">
        <f>IFERROR(IF(K293&gt;0, L293/K293, 0),"-")</f>
        <v>-</v>
      </c>
      <c r="O293" s="34" t="s">
        <v>959</v>
      </c>
      <c r="P293" s="35" t="s">
        <v>959</v>
      </c>
      <c r="Q293" s="34" t="str">
        <f>IF(OR(P293="-",P293="",P293=0),IF(O293="-","-",O293),O293-P293)</f>
        <v>-</v>
      </c>
      <c r="R293" s="4" t="str">
        <f>IFERROR(IF(O293&gt;0, P293/O293, 0),"-")</f>
        <v>-</v>
      </c>
      <c r="S293" s="34">
        <v>215</v>
      </c>
      <c r="T293" s="34">
        <v>1</v>
      </c>
      <c r="U293" s="34">
        <v>800</v>
      </c>
      <c r="V293" s="35" t="s">
        <v>959</v>
      </c>
      <c r="W293" s="35" t="s">
        <v>959</v>
      </c>
    </row>
    <row r="294" spans="1:23" x14ac:dyDescent="0.2">
      <c r="A294" s="30" t="s">
        <v>919</v>
      </c>
      <c r="B294" s="30" t="s">
        <v>1032</v>
      </c>
      <c r="C294" s="34">
        <v>199</v>
      </c>
      <c r="D294" s="35">
        <v>198</v>
      </c>
      <c r="E294" s="34">
        <f>IF(OR(D294="-",D294="",D294=0),IF(C294="-","-",C294),C294-D294)</f>
        <v>1</v>
      </c>
      <c r="F294" s="4">
        <f>IFERROR(IF(C294&gt;0, D294/C294, 0),"-")</f>
        <v>0.99497487437185927</v>
      </c>
      <c r="G294" s="34" t="s">
        <v>959</v>
      </c>
      <c r="H294" s="35" t="s">
        <v>959</v>
      </c>
      <c r="I294" s="34" t="str">
        <f>IF(OR(H294="-",H294="",H294=0),IF(G294="-","-",G294),G294-H294)</f>
        <v>-</v>
      </c>
      <c r="J294" s="4" t="str">
        <f>IFERROR(IF(G294&gt;0, H294/G294, 0),"-")</f>
        <v>-</v>
      </c>
      <c r="K294" s="34">
        <v>2</v>
      </c>
      <c r="L294" s="35" t="s">
        <v>959</v>
      </c>
      <c r="M294" s="34">
        <f>IF(OR(L294="-",L294="",L294=0),IF(K294="-","-",K294),K294-L294)</f>
        <v>2</v>
      </c>
      <c r="N294" s="4" t="str">
        <f>IFERROR(IF(K294&gt;0, L294/K294, 0),"-")</f>
        <v>-</v>
      </c>
      <c r="O294" s="34">
        <v>4</v>
      </c>
      <c r="P294" s="35">
        <v>1</v>
      </c>
      <c r="Q294" s="34">
        <f>IF(OR(P294="-",P294="",P294=0),IF(O294="-","-",O294),O294-P294)</f>
        <v>3</v>
      </c>
      <c r="R294" s="4">
        <f>IFERROR(IF(O294&gt;0, P294/O294, 0),"-")</f>
        <v>0.25</v>
      </c>
      <c r="S294" s="34">
        <v>173</v>
      </c>
      <c r="T294" s="34">
        <v>7</v>
      </c>
      <c r="U294" s="34">
        <v>22800</v>
      </c>
      <c r="V294" s="35" t="s">
        <v>959</v>
      </c>
      <c r="W294" s="35" t="s">
        <v>959</v>
      </c>
    </row>
    <row r="295" spans="1:23" x14ac:dyDescent="0.2">
      <c r="A295" s="29"/>
      <c r="B295" s="29" t="s">
        <v>125</v>
      </c>
      <c r="C295" s="32">
        <v>1080</v>
      </c>
      <c r="D295" s="32">
        <v>1050</v>
      </c>
      <c r="E295" s="32">
        <f>IF(OR(D295="-",D295="",D295=0),IF(C295="-","-",C295),C295-D295)</f>
        <v>30</v>
      </c>
      <c r="F295" s="36">
        <f>IFERROR(IF(C295&gt;0, D295/C295, 0),"-")</f>
        <v>0.97222222222222221</v>
      </c>
      <c r="G295" s="32">
        <v>18</v>
      </c>
      <c r="H295" s="32">
        <v>3</v>
      </c>
      <c r="I295" s="32">
        <f>IF(OR(H295="-",H295="",H295=0),IF(G295="-","-",G295),G295-H295)</f>
        <v>15</v>
      </c>
      <c r="J295" s="36">
        <f>IFERROR(IF(G295&gt;0, H295/G295, 0),"-")</f>
        <v>0.16666666666666666</v>
      </c>
      <c r="K295" s="32">
        <v>18</v>
      </c>
      <c r="L295" s="32">
        <v>2</v>
      </c>
      <c r="M295" s="32">
        <f>IF(OR(L295="-",L295="",L295=0),IF(K295="-","-",K295),K295-L295)</f>
        <v>16</v>
      </c>
      <c r="N295" s="36">
        <f>IFERROR(IF(K295&gt;0, L295/K295, 0),"-")</f>
        <v>0.1111111111111111</v>
      </c>
      <c r="O295" s="32">
        <v>28</v>
      </c>
      <c r="P295" s="32">
        <v>4</v>
      </c>
      <c r="Q295" s="32">
        <f>IF(OR(P295="-",P295="",P295=0),IF(O295="-","-",O295),O295-P295)</f>
        <v>24</v>
      </c>
      <c r="R295" s="36">
        <f>IFERROR(IF(O295&gt;0, P295/O295, 0),"-")</f>
        <v>0.14285714285714285</v>
      </c>
      <c r="S295" s="32">
        <v>830</v>
      </c>
      <c r="T295" s="32">
        <v>15</v>
      </c>
      <c r="U295" s="32">
        <v>75520</v>
      </c>
      <c r="V295" s="32">
        <v>4</v>
      </c>
      <c r="W295" s="32">
        <v>52570</v>
      </c>
    </row>
    <row r="296" spans="1:23" x14ac:dyDescent="0.2">
      <c r="A296" s="30" t="s">
        <v>877</v>
      </c>
      <c r="B296" s="30" t="s">
        <v>1033</v>
      </c>
      <c r="C296" s="34">
        <v>164</v>
      </c>
      <c r="D296" s="35">
        <v>162</v>
      </c>
      <c r="E296" s="34">
        <f>IF(OR(D296="-",D296="",D296=0),IF(C296="-","-",C296),C296-D296)</f>
        <v>2</v>
      </c>
      <c r="F296" s="4">
        <f>IFERROR(IF(C296&gt;0, D296/C296, 0),"-")</f>
        <v>0.98780487804878048</v>
      </c>
      <c r="G296" s="34">
        <v>6</v>
      </c>
      <c r="H296" s="35" t="s">
        <v>959</v>
      </c>
      <c r="I296" s="34">
        <f>IF(OR(H296="-",H296="",H296=0),IF(G296="-","-",G296),G296-H296)</f>
        <v>6</v>
      </c>
      <c r="J296" s="4" t="str">
        <f>IFERROR(IF(G296&gt;0, H296/G296, 0),"-")</f>
        <v>-</v>
      </c>
      <c r="K296" s="34">
        <v>5</v>
      </c>
      <c r="L296" s="35">
        <v>2</v>
      </c>
      <c r="M296" s="34">
        <f>IF(OR(L296="-",L296="",L296=0),IF(K296="-","-",K296),K296-L296)</f>
        <v>3</v>
      </c>
      <c r="N296" s="4">
        <f>IFERROR(IF(K296&gt;0, L296/K296, 0),"-")</f>
        <v>0.4</v>
      </c>
      <c r="O296" s="34">
        <v>3</v>
      </c>
      <c r="P296" s="35">
        <v>2</v>
      </c>
      <c r="Q296" s="34">
        <f>IF(OR(P296="-",P296="",P296=0),IF(O296="-","-",O296),O296-P296)</f>
        <v>1</v>
      </c>
      <c r="R296" s="4">
        <f>IFERROR(IF(O296&gt;0, P296/O296, 0),"-")</f>
        <v>0.66666666666666663</v>
      </c>
      <c r="S296" s="34">
        <v>156</v>
      </c>
      <c r="T296" s="34">
        <v>4</v>
      </c>
      <c r="U296" s="34">
        <v>14085</v>
      </c>
      <c r="V296" s="35">
        <v>1</v>
      </c>
      <c r="W296" s="35">
        <v>23109</v>
      </c>
    </row>
    <row r="297" spans="1:23" x14ac:dyDescent="0.2">
      <c r="A297" s="30" t="s">
        <v>880</v>
      </c>
      <c r="B297" s="30" t="s">
        <v>1034</v>
      </c>
      <c r="C297" s="34">
        <v>181</v>
      </c>
      <c r="D297" s="35">
        <v>174</v>
      </c>
      <c r="E297" s="34">
        <f>IF(OR(D297="-",D297="",D297=0),IF(C297="-","-",C297),C297-D297)</f>
        <v>7</v>
      </c>
      <c r="F297" s="4">
        <f>IFERROR(IF(C297&gt;0, D297/C297, 0),"-")</f>
        <v>0.96132596685082872</v>
      </c>
      <c r="G297" s="34" t="s">
        <v>959</v>
      </c>
      <c r="H297" s="35" t="s">
        <v>959</v>
      </c>
      <c r="I297" s="34" t="str">
        <f>IF(OR(H297="-",H297="",H297=0),IF(G297="-","-",G297),G297-H297)</f>
        <v>-</v>
      </c>
      <c r="J297" s="4" t="str">
        <f>IFERROR(IF(G297&gt;0, H297/G297, 0),"-")</f>
        <v>-</v>
      </c>
      <c r="K297" s="34">
        <v>2</v>
      </c>
      <c r="L297" s="35" t="s">
        <v>959</v>
      </c>
      <c r="M297" s="34">
        <f>IF(OR(L297="-",L297="",L297=0),IF(K297="-","-",K297),K297-L297)</f>
        <v>2</v>
      </c>
      <c r="N297" s="4" t="str">
        <f>IFERROR(IF(K297&gt;0, L297/K297, 0),"-")</f>
        <v>-</v>
      </c>
      <c r="O297" s="34">
        <v>6</v>
      </c>
      <c r="P297" s="35" t="s">
        <v>959</v>
      </c>
      <c r="Q297" s="34">
        <f>IF(OR(P297="-",P297="",P297=0),IF(O297="-","-",O297),O297-P297)</f>
        <v>6</v>
      </c>
      <c r="R297" s="4" t="str">
        <f>IFERROR(IF(O297&gt;0, P297/O297, 0),"-")</f>
        <v>-</v>
      </c>
      <c r="S297" s="34">
        <v>170</v>
      </c>
      <c r="T297" s="34">
        <v>5</v>
      </c>
      <c r="U297" s="34">
        <v>35085</v>
      </c>
      <c r="V297" s="35">
        <v>3</v>
      </c>
      <c r="W297" s="35">
        <v>29461</v>
      </c>
    </row>
    <row r="298" spans="1:23" x14ac:dyDescent="0.2">
      <c r="A298" s="30" t="s">
        <v>879</v>
      </c>
      <c r="B298" s="30" t="s">
        <v>1035</v>
      </c>
      <c r="C298" s="34">
        <v>151</v>
      </c>
      <c r="D298" s="35">
        <v>145</v>
      </c>
      <c r="E298" s="34">
        <f>IF(OR(D298="-",D298="",D298=0),IF(C298="-","-",C298),C298-D298)</f>
        <v>6</v>
      </c>
      <c r="F298" s="4">
        <f>IFERROR(IF(C298&gt;0, D298/C298, 0),"-")</f>
        <v>0.96026490066225167</v>
      </c>
      <c r="G298" s="34">
        <v>2</v>
      </c>
      <c r="H298" s="35" t="s">
        <v>959</v>
      </c>
      <c r="I298" s="34">
        <f>IF(OR(H298="-",H298="",H298=0),IF(G298="-","-",G298),G298-H298)</f>
        <v>2</v>
      </c>
      <c r="J298" s="4" t="str">
        <f>IFERROR(IF(G298&gt;0, H298/G298, 0),"-")</f>
        <v>-</v>
      </c>
      <c r="K298" s="34">
        <v>5</v>
      </c>
      <c r="L298" s="35" t="s">
        <v>959</v>
      </c>
      <c r="M298" s="34">
        <f>IF(OR(L298="-",L298="",L298=0),IF(K298="-","-",K298),K298-L298)</f>
        <v>5</v>
      </c>
      <c r="N298" s="4" t="str">
        <f>IFERROR(IF(K298&gt;0, L298/K298, 0),"-")</f>
        <v>-</v>
      </c>
      <c r="O298" s="34">
        <v>6</v>
      </c>
      <c r="P298" s="35" t="s">
        <v>959</v>
      </c>
      <c r="Q298" s="34">
        <f>IF(OR(P298="-",P298="",P298=0),IF(O298="-","-",O298),O298-P298)</f>
        <v>6</v>
      </c>
      <c r="R298" s="4" t="str">
        <f>IFERROR(IF(O298&gt;0, P298/O298, 0),"-")</f>
        <v>-</v>
      </c>
      <c r="S298" s="34">
        <v>27</v>
      </c>
      <c r="T298" s="34" t="s">
        <v>959</v>
      </c>
      <c r="U298" s="34" t="s">
        <v>959</v>
      </c>
      <c r="V298" s="35" t="s">
        <v>959</v>
      </c>
      <c r="W298" s="35" t="s">
        <v>959</v>
      </c>
    </row>
    <row r="299" spans="1:23" x14ac:dyDescent="0.2">
      <c r="A299" s="30" t="s">
        <v>881</v>
      </c>
      <c r="B299" s="30" t="s">
        <v>1036</v>
      </c>
      <c r="C299" s="34">
        <v>133</v>
      </c>
      <c r="D299" s="35">
        <v>128</v>
      </c>
      <c r="E299" s="34">
        <f>IF(OR(D299="-",D299="",D299=0),IF(C299="-","-",C299),C299-D299)</f>
        <v>5</v>
      </c>
      <c r="F299" s="4">
        <f>IFERROR(IF(C299&gt;0, D299/C299, 0),"-")</f>
        <v>0.96240601503759393</v>
      </c>
      <c r="G299" s="34">
        <v>1</v>
      </c>
      <c r="H299" s="35" t="s">
        <v>959</v>
      </c>
      <c r="I299" s="34">
        <f>IF(OR(H299="-",H299="",H299=0),IF(G299="-","-",G299),G299-H299)</f>
        <v>1</v>
      </c>
      <c r="J299" s="4" t="str">
        <f>IFERROR(IF(G299&gt;0, H299/G299, 0),"-")</f>
        <v>-</v>
      </c>
      <c r="K299" s="34">
        <v>4</v>
      </c>
      <c r="L299" s="35" t="s">
        <v>959</v>
      </c>
      <c r="M299" s="34">
        <f>IF(OR(L299="-",L299="",L299=0),IF(K299="-","-",K299),K299-L299)</f>
        <v>4</v>
      </c>
      <c r="N299" s="4" t="str">
        <f>IFERROR(IF(K299&gt;0, L299/K299, 0),"-")</f>
        <v>-</v>
      </c>
      <c r="O299" s="34">
        <v>1</v>
      </c>
      <c r="P299" s="35">
        <v>1</v>
      </c>
      <c r="Q299" s="34">
        <f>IF(OR(P299="-",P299="",P299=0),IF(O299="-","-",O299),O299-P299)</f>
        <v>0</v>
      </c>
      <c r="R299" s="4">
        <f>IFERROR(IF(O299&gt;0, P299/O299, 0),"-")</f>
        <v>1</v>
      </c>
      <c r="S299" s="34">
        <v>259</v>
      </c>
      <c r="T299" s="34">
        <v>2</v>
      </c>
      <c r="U299" s="34">
        <v>15000</v>
      </c>
      <c r="V299" s="35" t="s">
        <v>959</v>
      </c>
      <c r="W299" s="35" t="s">
        <v>959</v>
      </c>
    </row>
    <row r="300" spans="1:23" x14ac:dyDescent="0.2">
      <c r="A300" s="30" t="s">
        <v>882</v>
      </c>
      <c r="B300" s="30" t="s">
        <v>1037</v>
      </c>
      <c r="C300" s="34">
        <v>153</v>
      </c>
      <c r="D300" s="35">
        <v>150</v>
      </c>
      <c r="E300" s="34">
        <f>IF(OR(D300="-",D300="",D300=0),IF(C300="-","-",C300),C300-D300)</f>
        <v>3</v>
      </c>
      <c r="F300" s="4">
        <f>IFERROR(IF(C300&gt;0, D300/C300, 0),"-")</f>
        <v>0.98039215686274506</v>
      </c>
      <c r="G300" s="34">
        <v>6</v>
      </c>
      <c r="H300" s="35">
        <v>1</v>
      </c>
      <c r="I300" s="34">
        <f>IF(OR(H300="-",H300="",H300=0),IF(G300="-","-",G300),G300-H300)</f>
        <v>5</v>
      </c>
      <c r="J300" s="4">
        <f>IFERROR(IF(G300&gt;0, H300/G300, 0),"-")</f>
        <v>0.16666666666666666</v>
      </c>
      <c r="K300" s="34" t="s">
        <v>959</v>
      </c>
      <c r="L300" s="35" t="s">
        <v>959</v>
      </c>
      <c r="M300" s="34" t="str">
        <f>IF(OR(L300="-",L300="",L300=0),IF(K300="-","-",K300),K300-L300)</f>
        <v>-</v>
      </c>
      <c r="N300" s="4" t="str">
        <f>IFERROR(IF(K300&gt;0, L300/K300, 0),"-")</f>
        <v>-</v>
      </c>
      <c r="O300" s="34">
        <v>7</v>
      </c>
      <c r="P300" s="35" t="s">
        <v>959</v>
      </c>
      <c r="Q300" s="34">
        <f>IF(OR(P300="-",P300="",P300=0),IF(O300="-","-",O300),O300-P300)</f>
        <v>7</v>
      </c>
      <c r="R300" s="4" t="str">
        <f>IFERROR(IF(O300&gt;0, P300/O300, 0),"-")</f>
        <v>-</v>
      </c>
      <c r="S300" s="34">
        <v>84</v>
      </c>
      <c r="T300" s="34">
        <v>2</v>
      </c>
      <c r="U300" s="34">
        <v>5420</v>
      </c>
      <c r="V300" s="35" t="s">
        <v>959</v>
      </c>
      <c r="W300" s="35" t="s">
        <v>959</v>
      </c>
    </row>
    <row r="301" spans="1:23" x14ac:dyDescent="0.2">
      <c r="A301" s="30" t="s">
        <v>878</v>
      </c>
      <c r="B301" s="30" t="s">
        <v>1038</v>
      </c>
      <c r="C301" s="34">
        <v>298</v>
      </c>
      <c r="D301" s="35">
        <v>291</v>
      </c>
      <c r="E301" s="34">
        <f>IF(OR(D301="-",D301="",D301=0),IF(C301="-","-",C301),C301-D301)</f>
        <v>7</v>
      </c>
      <c r="F301" s="4">
        <f>IFERROR(IF(C301&gt;0, D301/C301, 0),"-")</f>
        <v>0.97651006711409394</v>
      </c>
      <c r="G301" s="34">
        <v>3</v>
      </c>
      <c r="H301" s="35">
        <v>2</v>
      </c>
      <c r="I301" s="34">
        <f>IF(OR(H301="-",H301="",H301=0),IF(G301="-","-",G301),G301-H301)</f>
        <v>1</v>
      </c>
      <c r="J301" s="4">
        <f>IFERROR(IF(G301&gt;0, H301/G301, 0),"-")</f>
        <v>0.66666666666666663</v>
      </c>
      <c r="K301" s="34">
        <v>2</v>
      </c>
      <c r="L301" s="35" t="s">
        <v>959</v>
      </c>
      <c r="M301" s="34">
        <f>IF(OR(L301="-",L301="",L301=0),IF(K301="-","-",K301),K301-L301)</f>
        <v>2</v>
      </c>
      <c r="N301" s="4" t="str">
        <f>IFERROR(IF(K301&gt;0, L301/K301, 0),"-")</f>
        <v>-</v>
      </c>
      <c r="O301" s="34">
        <v>5</v>
      </c>
      <c r="P301" s="35">
        <v>1</v>
      </c>
      <c r="Q301" s="34">
        <f>IF(OR(P301="-",P301="",P301=0),IF(O301="-","-",O301),O301-P301)</f>
        <v>4</v>
      </c>
      <c r="R301" s="4">
        <f>IFERROR(IF(O301&gt;0, P301/O301, 0),"-")</f>
        <v>0.2</v>
      </c>
      <c r="S301" s="34">
        <v>134</v>
      </c>
      <c r="T301" s="34">
        <v>2</v>
      </c>
      <c r="U301" s="34">
        <v>5930</v>
      </c>
      <c r="V301" s="35" t="s">
        <v>959</v>
      </c>
      <c r="W301" s="35" t="s">
        <v>959</v>
      </c>
    </row>
    <row r="302" spans="1:23" x14ac:dyDescent="0.2">
      <c r="A302" s="29"/>
      <c r="B302" s="29" t="s">
        <v>88</v>
      </c>
      <c r="C302" s="32">
        <v>1561</v>
      </c>
      <c r="D302" s="32">
        <v>1533</v>
      </c>
      <c r="E302" s="32">
        <f>IF(OR(D302="-",D302="",D302=0),IF(C302="-","-",C302),C302-D302)</f>
        <v>28</v>
      </c>
      <c r="F302" s="36">
        <f>IFERROR(IF(C302&gt;0, D302/C302, 0),"-")</f>
        <v>0.98206278026905824</v>
      </c>
      <c r="G302" s="32">
        <v>31</v>
      </c>
      <c r="H302" s="32">
        <v>11</v>
      </c>
      <c r="I302" s="32">
        <f>IF(OR(H302="-",H302="",H302=0),IF(G302="-","-",G302),G302-H302)</f>
        <v>20</v>
      </c>
      <c r="J302" s="36">
        <f>IFERROR(IF(G302&gt;0, H302/G302, 0),"-")</f>
        <v>0.35483870967741937</v>
      </c>
      <c r="K302" s="32">
        <v>33</v>
      </c>
      <c r="L302" s="32">
        <v>5</v>
      </c>
      <c r="M302" s="32">
        <f>IF(OR(L302="-",L302="",L302=0),IF(K302="-","-",K302),K302-L302)</f>
        <v>28</v>
      </c>
      <c r="N302" s="36">
        <f>IFERROR(IF(K302&gt;0, L302/K302, 0),"-")</f>
        <v>0.15151515151515152</v>
      </c>
      <c r="O302" s="32">
        <v>23</v>
      </c>
      <c r="P302" s="32">
        <v>4</v>
      </c>
      <c r="Q302" s="32">
        <f>IF(OR(P302="-",P302="",P302=0),IF(O302="-","-",O302),O302-P302)</f>
        <v>19</v>
      </c>
      <c r="R302" s="36">
        <f>IFERROR(IF(O302&gt;0, P302/O302, 0),"-")</f>
        <v>0.17391304347826086</v>
      </c>
      <c r="S302" s="32">
        <v>1160</v>
      </c>
      <c r="T302" s="32">
        <v>26</v>
      </c>
      <c r="U302" s="32">
        <v>56275</v>
      </c>
      <c r="V302" s="32">
        <v>16</v>
      </c>
      <c r="W302" s="32">
        <v>285920</v>
      </c>
    </row>
    <row r="303" spans="1:23" x14ac:dyDescent="0.2">
      <c r="A303" s="30" t="s">
        <v>598</v>
      </c>
      <c r="B303" s="30" t="s">
        <v>1039</v>
      </c>
      <c r="C303" s="34">
        <v>237</v>
      </c>
      <c r="D303" s="35">
        <v>231</v>
      </c>
      <c r="E303" s="34">
        <f>IF(OR(D303="-",D303="",D303=0),IF(C303="-","-",C303),C303-D303)</f>
        <v>6</v>
      </c>
      <c r="F303" s="4">
        <f>IFERROR(IF(C303&gt;0, D303/C303, 0),"-")</f>
        <v>0.97468354430379744</v>
      </c>
      <c r="G303" s="34">
        <v>3</v>
      </c>
      <c r="H303" s="35">
        <v>2</v>
      </c>
      <c r="I303" s="34">
        <f>IF(OR(H303="-",H303="",H303=0),IF(G303="-","-",G303),G303-H303)</f>
        <v>1</v>
      </c>
      <c r="J303" s="4">
        <f>IFERROR(IF(G303&gt;0, H303/G303, 0),"-")</f>
        <v>0.66666666666666663</v>
      </c>
      <c r="K303" s="34">
        <v>4</v>
      </c>
      <c r="L303" s="35">
        <v>1</v>
      </c>
      <c r="M303" s="34">
        <f>IF(OR(L303="-",L303="",L303=0),IF(K303="-","-",K303),K303-L303)</f>
        <v>3</v>
      </c>
      <c r="N303" s="4">
        <f>IFERROR(IF(K303&gt;0, L303/K303, 0),"-")</f>
        <v>0.25</v>
      </c>
      <c r="O303" s="34">
        <v>1</v>
      </c>
      <c r="P303" s="35" t="s">
        <v>959</v>
      </c>
      <c r="Q303" s="34">
        <f>IF(OR(P303="-",P303="",P303=0),IF(O303="-","-",O303),O303-P303)</f>
        <v>1</v>
      </c>
      <c r="R303" s="4" t="str">
        <f>IFERROR(IF(O303&gt;0, P303/O303, 0),"-")</f>
        <v>-</v>
      </c>
      <c r="S303" s="34">
        <v>149</v>
      </c>
      <c r="T303" s="34">
        <v>4</v>
      </c>
      <c r="U303" s="34">
        <v>6430</v>
      </c>
      <c r="V303" s="35">
        <v>2</v>
      </c>
      <c r="W303" s="35">
        <v>72468</v>
      </c>
    </row>
    <row r="304" spans="1:23" x14ac:dyDescent="0.2">
      <c r="A304" s="30" t="s">
        <v>599</v>
      </c>
      <c r="B304" s="30" t="s">
        <v>1040</v>
      </c>
      <c r="C304" s="34">
        <v>194</v>
      </c>
      <c r="D304" s="35">
        <v>188</v>
      </c>
      <c r="E304" s="34">
        <f>IF(OR(D304="-",D304="",D304=0),IF(C304="-","-",C304),C304-D304)</f>
        <v>6</v>
      </c>
      <c r="F304" s="4">
        <f>IFERROR(IF(C304&gt;0, D304/C304, 0),"-")</f>
        <v>0.96907216494845361</v>
      </c>
      <c r="G304" s="34">
        <v>7</v>
      </c>
      <c r="H304" s="35">
        <v>2</v>
      </c>
      <c r="I304" s="34">
        <f>IF(OR(H304="-",H304="",H304=0),IF(G304="-","-",G304),G304-H304)</f>
        <v>5</v>
      </c>
      <c r="J304" s="4">
        <f>IFERROR(IF(G304&gt;0, H304/G304, 0),"-")</f>
        <v>0.2857142857142857</v>
      </c>
      <c r="K304" s="34">
        <v>5</v>
      </c>
      <c r="L304" s="35" t="s">
        <v>959</v>
      </c>
      <c r="M304" s="34">
        <f>IF(OR(L304="-",L304="",L304=0),IF(K304="-","-",K304),K304-L304)</f>
        <v>5</v>
      </c>
      <c r="N304" s="4" t="str">
        <f>IFERROR(IF(K304&gt;0, L304/K304, 0),"-")</f>
        <v>-</v>
      </c>
      <c r="O304" s="34">
        <v>3</v>
      </c>
      <c r="P304" s="35">
        <v>1</v>
      </c>
      <c r="Q304" s="34">
        <f>IF(OR(P304="-",P304="",P304=0),IF(O304="-","-",O304),O304-P304)</f>
        <v>2</v>
      </c>
      <c r="R304" s="4">
        <f>IFERROR(IF(O304&gt;0, P304/O304, 0),"-")</f>
        <v>0.33333333333333331</v>
      </c>
      <c r="S304" s="34">
        <v>142</v>
      </c>
      <c r="T304" s="34">
        <v>2</v>
      </c>
      <c r="U304" s="34">
        <v>3400</v>
      </c>
      <c r="V304" s="35">
        <v>3</v>
      </c>
      <c r="W304" s="35">
        <v>48788</v>
      </c>
    </row>
    <row r="305" spans="1:23" x14ac:dyDescent="0.2">
      <c r="A305" s="30" t="s">
        <v>596</v>
      </c>
      <c r="B305" s="30" t="s">
        <v>1041</v>
      </c>
      <c r="C305" s="34">
        <v>200</v>
      </c>
      <c r="D305" s="35">
        <v>198</v>
      </c>
      <c r="E305" s="34">
        <f>IF(OR(D305="-",D305="",D305=0),IF(C305="-","-",C305),C305-D305)</f>
        <v>2</v>
      </c>
      <c r="F305" s="4">
        <f>IFERROR(IF(C305&gt;0, D305/C305, 0),"-")</f>
        <v>0.99</v>
      </c>
      <c r="G305" s="34">
        <v>3</v>
      </c>
      <c r="H305" s="35">
        <v>1</v>
      </c>
      <c r="I305" s="34">
        <f>IF(OR(H305="-",H305="",H305=0),IF(G305="-","-",G305),G305-H305)</f>
        <v>2</v>
      </c>
      <c r="J305" s="4">
        <f>IFERROR(IF(G305&gt;0, H305/G305, 0),"-")</f>
        <v>0.33333333333333331</v>
      </c>
      <c r="K305" s="34">
        <v>8</v>
      </c>
      <c r="L305" s="35">
        <v>2</v>
      </c>
      <c r="M305" s="34">
        <f>IF(OR(L305="-",L305="",L305=0),IF(K305="-","-",K305),K305-L305)</f>
        <v>6</v>
      </c>
      <c r="N305" s="4">
        <f>IFERROR(IF(K305&gt;0, L305/K305, 0),"-")</f>
        <v>0.25</v>
      </c>
      <c r="O305" s="34">
        <v>2</v>
      </c>
      <c r="P305" s="35" t="s">
        <v>959</v>
      </c>
      <c r="Q305" s="34">
        <f>IF(OR(P305="-",P305="",P305=0),IF(O305="-","-",O305),O305-P305)</f>
        <v>2</v>
      </c>
      <c r="R305" s="4" t="str">
        <f>IFERROR(IF(O305&gt;0, P305/O305, 0),"-")</f>
        <v>-</v>
      </c>
      <c r="S305" s="34">
        <v>201</v>
      </c>
      <c r="T305" s="34">
        <v>6</v>
      </c>
      <c r="U305" s="34">
        <v>12295</v>
      </c>
      <c r="V305" s="35">
        <v>3</v>
      </c>
      <c r="W305" s="35">
        <v>52259</v>
      </c>
    </row>
    <row r="306" spans="1:23" x14ac:dyDescent="0.2">
      <c r="A306" s="30" t="s">
        <v>600</v>
      </c>
      <c r="B306" s="30" t="s">
        <v>1042</v>
      </c>
      <c r="C306" s="34">
        <v>141</v>
      </c>
      <c r="D306" s="35">
        <v>139</v>
      </c>
      <c r="E306" s="34">
        <f>IF(OR(D306="-",D306="",D306=0),IF(C306="-","-",C306),C306-D306)</f>
        <v>2</v>
      </c>
      <c r="F306" s="4">
        <f>IFERROR(IF(C306&gt;0, D306/C306, 0),"-")</f>
        <v>0.98581560283687941</v>
      </c>
      <c r="G306" s="34">
        <v>4</v>
      </c>
      <c r="H306" s="35">
        <v>2</v>
      </c>
      <c r="I306" s="34">
        <f>IF(OR(H306="-",H306="",H306=0),IF(G306="-","-",G306),G306-H306)</f>
        <v>2</v>
      </c>
      <c r="J306" s="4">
        <f>IFERROR(IF(G306&gt;0, H306/G306, 0),"-")</f>
        <v>0.5</v>
      </c>
      <c r="K306" s="34">
        <v>4</v>
      </c>
      <c r="L306" s="35" t="s">
        <v>959</v>
      </c>
      <c r="M306" s="34">
        <f>IF(OR(L306="-",L306="",L306=0),IF(K306="-","-",K306),K306-L306)</f>
        <v>4</v>
      </c>
      <c r="N306" s="4" t="str">
        <f>IFERROR(IF(K306&gt;0, L306/K306, 0),"-")</f>
        <v>-</v>
      </c>
      <c r="O306" s="34">
        <v>4</v>
      </c>
      <c r="P306" s="35">
        <v>1</v>
      </c>
      <c r="Q306" s="34">
        <f>IF(OR(P306="-",P306="",P306=0),IF(O306="-","-",O306),O306-P306)</f>
        <v>3</v>
      </c>
      <c r="R306" s="4">
        <f>IFERROR(IF(O306&gt;0, P306/O306, 0),"-")</f>
        <v>0.25</v>
      </c>
      <c r="S306" s="34">
        <v>201</v>
      </c>
      <c r="T306" s="34">
        <v>2</v>
      </c>
      <c r="U306" s="34">
        <v>1200</v>
      </c>
      <c r="V306" s="35">
        <v>4</v>
      </c>
      <c r="W306" s="35">
        <v>45746</v>
      </c>
    </row>
    <row r="307" spans="1:23" x14ac:dyDescent="0.2">
      <c r="A307" s="30" t="s">
        <v>597</v>
      </c>
      <c r="B307" s="30" t="s">
        <v>1043</v>
      </c>
      <c r="C307" s="34">
        <v>187</v>
      </c>
      <c r="D307" s="35">
        <v>184</v>
      </c>
      <c r="E307" s="34">
        <f>IF(OR(D307="-",D307="",D307=0),IF(C307="-","-",C307),C307-D307)</f>
        <v>3</v>
      </c>
      <c r="F307" s="4">
        <f>IFERROR(IF(C307&gt;0, D307/C307, 0),"-")</f>
        <v>0.98395721925133695</v>
      </c>
      <c r="G307" s="34">
        <v>8</v>
      </c>
      <c r="H307" s="35">
        <v>4</v>
      </c>
      <c r="I307" s="34">
        <f>IF(OR(H307="-",H307="",H307=0),IF(G307="-","-",G307),G307-H307)</f>
        <v>4</v>
      </c>
      <c r="J307" s="4">
        <f>IFERROR(IF(G307&gt;0, H307/G307, 0),"-")</f>
        <v>0.5</v>
      </c>
      <c r="K307" s="34">
        <v>4</v>
      </c>
      <c r="L307" s="35">
        <v>1</v>
      </c>
      <c r="M307" s="34">
        <f>IF(OR(L307="-",L307="",L307=0),IF(K307="-","-",K307),K307-L307)</f>
        <v>3</v>
      </c>
      <c r="N307" s="4">
        <f>IFERROR(IF(K307&gt;0, L307/K307, 0),"-")</f>
        <v>0.25</v>
      </c>
      <c r="O307" s="34">
        <v>4</v>
      </c>
      <c r="P307" s="35">
        <v>1</v>
      </c>
      <c r="Q307" s="34">
        <f>IF(OR(P307="-",P307="",P307=0),IF(O307="-","-",O307),O307-P307)</f>
        <v>3</v>
      </c>
      <c r="R307" s="4">
        <f>IFERROR(IF(O307&gt;0, P307/O307, 0),"-")</f>
        <v>0.25</v>
      </c>
      <c r="S307" s="34">
        <v>157</v>
      </c>
      <c r="T307" s="34">
        <v>4</v>
      </c>
      <c r="U307" s="34">
        <v>10795</v>
      </c>
      <c r="V307" s="35">
        <v>1</v>
      </c>
      <c r="W307" s="35">
        <v>19793</v>
      </c>
    </row>
    <row r="308" spans="1:23" x14ac:dyDescent="0.2">
      <c r="A308" s="30" t="s">
        <v>595</v>
      </c>
      <c r="B308" s="30" t="s">
        <v>1044</v>
      </c>
      <c r="C308" s="34">
        <v>271</v>
      </c>
      <c r="D308" s="35">
        <v>267</v>
      </c>
      <c r="E308" s="34">
        <f>IF(OR(D308="-",D308="",D308=0),IF(C308="-","-",C308),C308-D308)</f>
        <v>4</v>
      </c>
      <c r="F308" s="4">
        <f>IFERROR(IF(C308&gt;0, D308/C308, 0),"-")</f>
        <v>0.98523985239852396</v>
      </c>
      <c r="G308" s="34">
        <v>5</v>
      </c>
      <c r="H308" s="35" t="s">
        <v>959</v>
      </c>
      <c r="I308" s="34">
        <f>IF(OR(H308="-",H308="",H308=0),IF(G308="-","-",G308),G308-H308)</f>
        <v>5</v>
      </c>
      <c r="J308" s="4" t="str">
        <f>IFERROR(IF(G308&gt;0, H308/G308, 0),"-")</f>
        <v>-</v>
      </c>
      <c r="K308" s="34">
        <v>7</v>
      </c>
      <c r="L308" s="35">
        <v>1</v>
      </c>
      <c r="M308" s="34">
        <f>IF(OR(L308="-",L308="",L308=0),IF(K308="-","-",K308),K308-L308)</f>
        <v>6</v>
      </c>
      <c r="N308" s="4">
        <f>IFERROR(IF(K308&gt;0, L308/K308, 0),"-")</f>
        <v>0.14285714285714285</v>
      </c>
      <c r="O308" s="34">
        <v>4</v>
      </c>
      <c r="P308" s="35" t="s">
        <v>959</v>
      </c>
      <c r="Q308" s="34">
        <f>IF(OR(P308="-",P308="",P308=0),IF(O308="-","-",O308),O308-P308)</f>
        <v>4</v>
      </c>
      <c r="R308" s="4" t="str">
        <f>IFERROR(IF(O308&gt;0, P308/O308, 0),"-")</f>
        <v>-</v>
      </c>
      <c r="S308" s="34">
        <v>163</v>
      </c>
      <c r="T308" s="34">
        <v>3</v>
      </c>
      <c r="U308" s="34">
        <v>7400</v>
      </c>
      <c r="V308" s="35">
        <v>1</v>
      </c>
      <c r="W308" s="35">
        <v>11870</v>
      </c>
    </row>
    <row r="309" spans="1:23" x14ac:dyDescent="0.2">
      <c r="A309" s="30" t="s">
        <v>594</v>
      </c>
      <c r="B309" s="30" t="s">
        <v>1045</v>
      </c>
      <c r="C309" s="34">
        <v>331</v>
      </c>
      <c r="D309" s="35">
        <v>326</v>
      </c>
      <c r="E309" s="34">
        <f>IF(OR(D309="-",D309="",D309=0),IF(C309="-","-",C309),C309-D309)</f>
        <v>5</v>
      </c>
      <c r="F309" s="4">
        <f>IFERROR(IF(C309&gt;0, D309/C309, 0),"-")</f>
        <v>0.98489425981873113</v>
      </c>
      <c r="G309" s="34">
        <v>1</v>
      </c>
      <c r="H309" s="35" t="s">
        <v>959</v>
      </c>
      <c r="I309" s="34">
        <f>IF(OR(H309="-",H309="",H309=0),IF(G309="-","-",G309),G309-H309)</f>
        <v>1</v>
      </c>
      <c r="J309" s="4" t="str">
        <f>IFERROR(IF(G309&gt;0, H309/G309, 0),"-")</f>
        <v>-</v>
      </c>
      <c r="K309" s="34">
        <v>1</v>
      </c>
      <c r="L309" s="35" t="s">
        <v>959</v>
      </c>
      <c r="M309" s="34">
        <f>IF(OR(L309="-",L309="",L309=0),IF(K309="-","-",K309),K309-L309)</f>
        <v>1</v>
      </c>
      <c r="N309" s="4" t="str">
        <f>IFERROR(IF(K309&gt;0, L309/K309, 0),"-")</f>
        <v>-</v>
      </c>
      <c r="O309" s="34">
        <v>5</v>
      </c>
      <c r="P309" s="35">
        <v>1</v>
      </c>
      <c r="Q309" s="34">
        <f>IF(OR(P309="-",P309="",P309=0),IF(O309="-","-",O309),O309-P309)</f>
        <v>4</v>
      </c>
      <c r="R309" s="4">
        <f>IFERROR(IF(O309&gt;0, P309/O309, 0),"-")</f>
        <v>0.2</v>
      </c>
      <c r="S309" s="34">
        <v>147</v>
      </c>
      <c r="T309" s="34">
        <v>5</v>
      </c>
      <c r="U309" s="34">
        <v>14755</v>
      </c>
      <c r="V309" s="35">
        <v>2</v>
      </c>
      <c r="W309" s="35">
        <v>34996</v>
      </c>
    </row>
    <row r="310" spans="1:23" x14ac:dyDescent="0.2">
      <c r="A310" s="29"/>
      <c r="B310" s="29" t="s">
        <v>91</v>
      </c>
      <c r="C310" s="32">
        <v>1043</v>
      </c>
      <c r="D310" s="32">
        <v>1012</v>
      </c>
      <c r="E310" s="32">
        <f>IF(OR(D310="-",D310="",D310=0),IF(C310="-","-",C310),C310-D310)</f>
        <v>31</v>
      </c>
      <c r="F310" s="36">
        <f>IFERROR(IF(C310&gt;0, D310/C310, 0),"-")</f>
        <v>0.97027804410354745</v>
      </c>
      <c r="G310" s="32">
        <v>11</v>
      </c>
      <c r="H310" s="32">
        <v>1</v>
      </c>
      <c r="I310" s="32">
        <f>IF(OR(H310="-",H310="",H310=0),IF(G310="-","-",G310),G310-H310)</f>
        <v>10</v>
      </c>
      <c r="J310" s="36">
        <f>IFERROR(IF(G310&gt;0, H310/G310, 0),"-")</f>
        <v>9.0909090909090912E-2</v>
      </c>
      <c r="K310" s="32">
        <v>11</v>
      </c>
      <c r="L310" s="32">
        <v>4</v>
      </c>
      <c r="M310" s="32">
        <f>IF(OR(L310="-",L310="",L310=0),IF(K310="-","-",K310),K310-L310)</f>
        <v>7</v>
      </c>
      <c r="N310" s="36">
        <f>IFERROR(IF(K310&gt;0, L310/K310, 0),"-")</f>
        <v>0.36363636363636365</v>
      </c>
      <c r="O310" s="32">
        <v>22</v>
      </c>
      <c r="P310" s="32">
        <v>3</v>
      </c>
      <c r="Q310" s="32">
        <f>IF(OR(P310="-",P310="",P310=0),IF(O310="-","-",O310),O310-P310)</f>
        <v>19</v>
      </c>
      <c r="R310" s="36">
        <f>IFERROR(IF(O310&gt;0, P310/O310, 0),"-")</f>
        <v>0.13636363636363635</v>
      </c>
      <c r="S310" s="32">
        <v>740</v>
      </c>
      <c r="T310" s="32">
        <v>22</v>
      </c>
      <c r="U310" s="32">
        <v>63595</v>
      </c>
      <c r="V310" s="32" t="s">
        <v>959</v>
      </c>
      <c r="W310" s="32" t="s">
        <v>959</v>
      </c>
    </row>
    <row r="311" spans="1:23" x14ac:dyDescent="0.2">
      <c r="A311" s="30" t="s">
        <v>619</v>
      </c>
      <c r="B311" s="30" t="s">
        <v>1046</v>
      </c>
      <c r="C311" s="34">
        <v>142</v>
      </c>
      <c r="D311" s="35">
        <v>139</v>
      </c>
      <c r="E311" s="34">
        <f>IF(OR(D311="-",D311="",D311=0),IF(C311="-","-",C311),C311-D311)</f>
        <v>3</v>
      </c>
      <c r="F311" s="4">
        <f>IFERROR(IF(C311&gt;0, D311/C311, 0),"-")</f>
        <v>0.97887323943661975</v>
      </c>
      <c r="G311" s="34" t="s">
        <v>959</v>
      </c>
      <c r="H311" s="35" t="s">
        <v>959</v>
      </c>
      <c r="I311" s="34" t="str">
        <f>IF(OR(H311="-",H311="",H311=0),IF(G311="-","-",G311),G311-H311)</f>
        <v>-</v>
      </c>
      <c r="J311" s="4" t="str">
        <f>IFERROR(IF(G311&gt;0, H311/G311, 0),"-")</f>
        <v>-</v>
      </c>
      <c r="K311" s="34">
        <v>2</v>
      </c>
      <c r="L311" s="35">
        <v>2</v>
      </c>
      <c r="M311" s="34">
        <f>IF(OR(L311="-",L311="",L311=0),IF(K311="-","-",K311),K311-L311)</f>
        <v>0</v>
      </c>
      <c r="N311" s="4">
        <f>IFERROR(IF(K311&gt;0, L311/K311, 0),"-")</f>
        <v>1</v>
      </c>
      <c r="O311" s="34">
        <v>2</v>
      </c>
      <c r="P311" s="35" t="s">
        <v>959</v>
      </c>
      <c r="Q311" s="34">
        <f>IF(OR(P311="-",P311="",P311=0),IF(O311="-","-",O311),O311-P311)</f>
        <v>2</v>
      </c>
      <c r="R311" s="4" t="str">
        <f>IFERROR(IF(O311&gt;0, P311/O311, 0),"-")</f>
        <v>-</v>
      </c>
      <c r="S311" s="34">
        <v>85</v>
      </c>
      <c r="T311" s="34">
        <v>7</v>
      </c>
      <c r="U311" s="34">
        <v>10095</v>
      </c>
      <c r="V311" s="35" t="s">
        <v>959</v>
      </c>
      <c r="W311" s="35" t="s">
        <v>959</v>
      </c>
    </row>
    <row r="312" spans="1:23" x14ac:dyDescent="0.2">
      <c r="A312" s="30" t="s">
        <v>618</v>
      </c>
      <c r="B312" s="30" t="s">
        <v>1047</v>
      </c>
      <c r="C312" s="34">
        <v>132</v>
      </c>
      <c r="D312" s="35">
        <v>127</v>
      </c>
      <c r="E312" s="34">
        <f>IF(OR(D312="-",D312="",D312=0),IF(C312="-","-",C312),C312-D312)</f>
        <v>5</v>
      </c>
      <c r="F312" s="4">
        <f>IFERROR(IF(C312&gt;0, D312/C312, 0),"-")</f>
        <v>0.96212121212121215</v>
      </c>
      <c r="G312" s="34">
        <v>3</v>
      </c>
      <c r="H312" s="35" t="s">
        <v>959</v>
      </c>
      <c r="I312" s="34">
        <f>IF(OR(H312="-",H312="",H312=0),IF(G312="-","-",G312),G312-H312)</f>
        <v>3</v>
      </c>
      <c r="J312" s="4" t="str">
        <f>IFERROR(IF(G312&gt;0, H312/G312, 0),"-")</f>
        <v>-</v>
      </c>
      <c r="K312" s="34" t="s">
        <v>959</v>
      </c>
      <c r="L312" s="35" t="s">
        <v>959</v>
      </c>
      <c r="M312" s="34" t="str">
        <f>IF(OR(L312="-",L312="",L312=0),IF(K312="-","-",K312),K312-L312)</f>
        <v>-</v>
      </c>
      <c r="N312" s="4" t="str">
        <f>IFERROR(IF(K312&gt;0, L312/K312, 0),"-")</f>
        <v>-</v>
      </c>
      <c r="O312" s="34">
        <v>6</v>
      </c>
      <c r="P312" s="35">
        <v>1</v>
      </c>
      <c r="Q312" s="34">
        <f>IF(OR(P312="-",P312="",P312=0),IF(O312="-","-",O312),O312-P312)</f>
        <v>5</v>
      </c>
      <c r="R312" s="4">
        <f>IFERROR(IF(O312&gt;0, P312/O312, 0),"-")</f>
        <v>0.16666666666666666</v>
      </c>
      <c r="S312" s="34">
        <v>194</v>
      </c>
      <c r="T312" s="34">
        <v>4</v>
      </c>
      <c r="U312" s="34">
        <v>13500</v>
      </c>
      <c r="V312" s="35" t="s">
        <v>959</v>
      </c>
      <c r="W312" s="35" t="s">
        <v>959</v>
      </c>
    </row>
    <row r="313" spans="1:23" x14ac:dyDescent="0.2">
      <c r="A313" s="30" t="s">
        <v>621</v>
      </c>
      <c r="B313" s="30" t="s">
        <v>1048</v>
      </c>
      <c r="C313" s="34">
        <v>145</v>
      </c>
      <c r="D313" s="35">
        <v>141</v>
      </c>
      <c r="E313" s="34">
        <f>IF(OR(D313="-",D313="",D313=0),IF(C313="-","-",C313),C313-D313)</f>
        <v>4</v>
      </c>
      <c r="F313" s="4">
        <f>IFERROR(IF(C313&gt;0, D313/C313, 0),"-")</f>
        <v>0.97241379310344822</v>
      </c>
      <c r="G313" s="34">
        <v>3</v>
      </c>
      <c r="H313" s="35">
        <v>1</v>
      </c>
      <c r="I313" s="34">
        <f>IF(OR(H313="-",H313="",H313=0),IF(G313="-","-",G313),G313-H313)</f>
        <v>2</v>
      </c>
      <c r="J313" s="4">
        <f>IFERROR(IF(G313&gt;0, H313/G313, 0),"-")</f>
        <v>0.33333333333333331</v>
      </c>
      <c r="K313" s="34">
        <v>1</v>
      </c>
      <c r="L313" s="35" t="s">
        <v>959</v>
      </c>
      <c r="M313" s="34">
        <f>IF(OR(L313="-",L313="",L313=0),IF(K313="-","-",K313),K313-L313)</f>
        <v>1</v>
      </c>
      <c r="N313" s="4" t="str">
        <f>IFERROR(IF(K313&gt;0, L313/K313, 0),"-")</f>
        <v>-</v>
      </c>
      <c r="O313" s="34">
        <v>3</v>
      </c>
      <c r="P313" s="35" t="s">
        <v>959</v>
      </c>
      <c r="Q313" s="34">
        <f>IF(OR(P313="-",P313="",P313=0),IF(O313="-","-",O313),O313-P313)</f>
        <v>3</v>
      </c>
      <c r="R313" s="4" t="str">
        <f>IFERROR(IF(O313&gt;0, P313/O313, 0),"-")</f>
        <v>-</v>
      </c>
      <c r="S313" s="34">
        <v>74</v>
      </c>
      <c r="T313" s="34">
        <v>1</v>
      </c>
      <c r="U313" s="34">
        <v>1000</v>
      </c>
      <c r="V313" s="35" t="s">
        <v>959</v>
      </c>
      <c r="W313" s="35" t="s">
        <v>959</v>
      </c>
    </row>
    <row r="314" spans="1:23" x14ac:dyDescent="0.2">
      <c r="A314" s="30" t="s">
        <v>620</v>
      </c>
      <c r="B314" s="30" t="s">
        <v>1049</v>
      </c>
      <c r="C314" s="34">
        <v>219</v>
      </c>
      <c r="D314" s="35">
        <v>213</v>
      </c>
      <c r="E314" s="34">
        <f>IF(OR(D314="-",D314="",D314=0),IF(C314="-","-",C314),C314-D314)</f>
        <v>6</v>
      </c>
      <c r="F314" s="4">
        <f>IFERROR(IF(C314&gt;0, D314/C314, 0),"-")</f>
        <v>0.9726027397260274</v>
      </c>
      <c r="G314" s="34">
        <v>3</v>
      </c>
      <c r="H314" s="35" t="s">
        <v>959</v>
      </c>
      <c r="I314" s="34">
        <f>IF(OR(H314="-",H314="",H314=0),IF(G314="-","-",G314),G314-H314)</f>
        <v>3</v>
      </c>
      <c r="J314" s="4" t="str">
        <f>IFERROR(IF(G314&gt;0, H314/G314, 0),"-")</f>
        <v>-</v>
      </c>
      <c r="K314" s="34">
        <v>2</v>
      </c>
      <c r="L314" s="35" t="s">
        <v>959</v>
      </c>
      <c r="M314" s="34">
        <f>IF(OR(L314="-",L314="",L314=0),IF(K314="-","-",K314),K314-L314)</f>
        <v>2</v>
      </c>
      <c r="N314" s="4" t="str">
        <f>IFERROR(IF(K314&gt;0, L314/K314, 0),"-")</f>
        <v>-</v>
      </c>
      <c r="O314" s="34">
        <v>1</v>
      </c>
      <c r="P314" s="35" t="s">
        <v>959</v>
      </c>
      <c r="Q314" s="34">
        <f>IF(OR(P314="-",P314="",P314=0),IF(O314="-","-",O314),O314-P314)</f>
        <v>1</v>
      </c>
      <c r="R314" s="4" t="str">
        <f>IFERROR(IF(O314&gt;0, P314/O314, 0),"-")</f>
        <v>-</v>
      </c>
      <c r="S314" s="34">
        <v>94</v>
      </c>
      <c r="T314" s="34">
        <v>1</v>
      </c>
      <c r="U314" s="34">
        <v>500</v>
      </c>
      <c r="V314" s="35" t="s">
        <v>959</v>
      </c>
      <c r="W314" s="35" t="s">
        <v>959</v>
      </c>
    </row>
    <row r="315" spans="1:23" x14ac:dyDescent="0.2">
      <c r="A315" s="30" t="s">
        <v>617</v>
      </c>
      <c r="B315" s="30" t="s">
        <v>1050</v>
      </c>
      <c r="C315" s="34">
        <v>235</v>
      </c>
      <c r="D315" s="35">
        <v>227</v>
      </c>
      <c r="E315" s="34">
        <f>IF(OR(D315="-",D315="",D315=0),IF(C315="-","-",C315),C315-D315)</f>
        <v>8</v>
      </c>
      <c r="F315" s="4">
        <f>IFERROR(IF(C315&gt;0, D315/C315, 0),"-")</f>
        <v>0.96595744680851059</v>
      </c>
      <c r="G315" s="34">
        <v>1</v>
      </c>
      <c r="H315" s="35" t="s">
        <v>959</v>
      </c>
      <c r="I315" s="34">
        <f>IF(OR(H315="-",H315="",H315=0),IF(G315="-","-",G315),G315-H315)</f>
        <v>1</v>
      </c>
      <c r="J315" s="4" t="str">
        <f>IFERROR(IF(G315&gt;0, H315/G315, 0),"-")</f>
        <v>-</v>
      </c>
      <c r="K315" s="34">
        <v>3</v>
      </c>
      <c r="L315" s="35">
        <v>1</v>
      </c>
      <c r="M315" s="34">
        <f>IF(OR(L315="-",L315="",L315=0),IF(K315="-","-",K315),K315-L315)</f>
        <v>2</v>
      </c>
      <c r="N315" s="4">
        <f>IFERROR(IF(K315&gt;0, L315/K315, 0),"-")</f>
        <v>0.33333333333333331</v>
      </c>
      <c r="O315" s="34">
        <v>3</v>
      </c>
      <c r="P315" s="35" t="s">
        <v>959</v>
      </c>
      <c r="Q315" s="34">
        <f>IF(OR(P315="-",P315="",P315=0),IF(O315="-","-",O315),O315-P315)</f>
        <v>3</v>
      </c>
      <c r="R315" s="4" t="str">
        <f>IFERROR(IF(O315&gt;0, P315/O315, 0),"-")</f>
        <v>-</v>
      </c>
      <c r="S315" s="34">
        <v>132</v>
      </c>
      <c r="T315" s="34">
        <v>5</v>
      </c>
      <c r="U315" s="34">
        <v>14800</v>
      </c>
      <c r="V315" s="35" t="s">
        <v>959</v>
      </c>
      <c r="W315" s="35" t="s">
        <v>959</v>
      </c>
    </row>
    <row r="316" spans="1:23" x14ac:dyDescent="0.2">
      <c r="A316" s="30" t="s">
        <v>616</v>
      </c>
      <c r="B316" s="30" t="s">
        <v>1051</v>
      </c>
      <c r="C316" s="34">
        <v>170</v>
      </c>
      <c r="D316" s="35">
        <v>165</v>
      </c>
      <c r="E316" s="34">
        <f>IF(OR(D316="-",D316="",D316=0),IF(C316="-","-",C316),C316-D316)</f>
        <v>5</v>
      </c>
      <c r="F316" s="4">
        <f>IFERROR(IF(C316&gt;0, D316/C316, 0),"-")</f>
        <v>0.97058823529411764</v>
      </c>
      <c r="G316" s="34">
        <v>1</v>
      </c>
      <c r="H316" s="35" t="s">
        <v>959</v>
      </c>
      <c r="I316" s="34">
        <f>IF(OR(H316="-",H316="",H316=0),IF(G316="-","-",G316),G316-H316)</f>
        <v>1</v>
      </c>
      <c r="J316" s="4" t="str">
        <f>IFERROR(IF(G316&gt;0, H316/G316, 0),"-")</f>
        <v>-</v>
      </c>
      <c r="K316" s="34">
        <v>3</v>
      </c>
      <c r="L316" s="35">
        <v>1</v>
      </c>
      <c r="M316" s="34">
        <f>IF(OR(L316="-",L316="",L316=0),IF(K316="-","-",K316),K316-L316)</f>
        <v>2</v>
      </c>
      <c r="N316" s="4">
        <f>IFERROR(IF(K316&gt;0, L316/K316, 0),"-")</f>
        <v>0.33333333333333331</v>
      </c>
      <c r="O316" s="34">
        <v>7</v>
      </c>
      <c r="P316" s="35">
        <v>2</v>
      </c>
      <c r="Q316" s="34">
        <f>IF(OR(P316="-",P316="",P316=0),IF(O316="-","-",O316),O316-P316)</f>
        <v>5</v>
      </c>
      <c r="R316" s="4">
        <f>IFERROR(IF(O316&gt;0, P316/O316, 0),"-")</f>
        <v>0.2857142857142857</v>
      </c>
      <c r="S316" s="34">
        <v>161</v>
      </c>
      <c r="T316" s="34">
        <v>4</v>
      </c>
      <c r="U316" s="34">
        <v>23700</v>
      </c>
      <c r="V316" s="35" t="s">
        <v>959</v>
      </c>
      <c r="W316" s="35" t="s">
        <v>959</v>
      </c>
    </row>
    <row r="317" spans="1:23" x14ac:dyDescent="0.2">
      <c r="A317" s="29"/>
      <c r="B317" s="29" t="s">
        <v>16</v>
      </c>
      <c r="C317" s="32">
        <v>878</v>
      </c>
      <c r="D317" s="32">
        <v>872</v>
      </c>
      <c r="E317" s="32">
        <f>IF(OR(D317="-",D317="",D317=0),IF(C317="-","-",C317),C317-D317)</f>
        <v>6</v>
      </c>
      <c r="F317" s="36">
        <f>IFERROR(IF(C317&gt;0, D317/C317, 0),"-")</f>
        <v>0.99316628701594534</v>
      </c>
      <c r="G317" s="32">
        <v>6</v>
      </c>
      <c r="H317" s="32">
        <v>3</v>
      </c>
      <c r="I317" s="32">
        <f>IF(OR(H317="-",H317="",H317=0),IF(G317="-","-",G317),G317-H317)</f>
        <v>3</v>
      </c>
      <c r="J317" s="36">
        <f>IFERROR(IF(G317&gt;0, H317/G317, 0),"-")</f>
        <v>0.5</v>
      </c>
      <c r="K317" s="32">
        <v>5</v>
      </c>
      <c r="L317" s="32" t="s">
        <v>959</v>
      </c>
      <c r="M317" s="32">
        <f>IF(OR(L317="-",L317="",L317=0),IF(K317="-","-",K317),K317-L317)</f>
        <v>5</v>
      </c>
      <c r="N317" s="36" t="str">
        <f>IFERROR(IF(K317&gt;0, L317/K317, 0),"-")</f>
        <v>-</v>
      </c>
      <c r="O317" s="32">
        <v>1</v>
      </c>
      <c r="P317" s="32" t="s">
        <v>959</v>
      </c>
      <c r="Q317" s="32">
        <f>IF(OR(P317="-",P317="",P317=0),IF(O317="-","-",O317),O317-P317)</f>
        <v>1</v>
      </c>
      <c r="R317" s="36" t="str">
        <f>IFERROR(IF(O317&gt;0, P317/O317, 0),"-")</f>
        <v>-</v>
      </c>
      <c r="S317" s="32">
        <v>1418</v>
      </c>
      <c r="T317" s="32">
        <v>23</v>
      </c>
      <c r="U317" s="32">
        <v>73080</v>
      </c>
      <c r="V317" s="32">
        <v>22</v>
      </c>
      <c r="W317" s="32">
        <v>383720</v>
      </c>
    </row>
    <row r="318" spans="1:23" x14ac:dyDescent="0.2">
      <c r="A318" s="30" t="s">
        <v>470</v>
      </c>
      <c r="B318" s="30" t="s">
        <v>1052</v>
      </c>
      <c r="C318" s="34">
        <v>129</v>
      </c>
      <c r="D318" s="35">
        <v>129</v>
      </c>
      <c r="E318" s="34">
        <f>IF(OR(D318="-",D318="",D318=0),IF(C318="-","-",C318),C318-D318)</f>
        <v>0</v>
      </c>
      <c r="F318" s="4">
        <f>IFERROR(IF(C318&gt;0, D318/C318, 0),"-")</f>
        <v>1</v>
      </c>
      <c r="G318" s="34" t="s">
        <v>959</v>
      </c>
      <c r="H318" s="35" t="s">
        <v>959</v>
      </c>
      <c r="I318" s="34" t="str">
        <f>IF(OR(H318="-",H318="",H318=0),IF(G318="-","-",G318),G318-H318)</f>
        <v>-</v>
      </c>
      <c r="J318" s="4" t="str">
        <f>IFERROR(IF(G318&gt;0, H318/G318, 0),"-")</f>
        <v>-</v>
      </c>
      <c r="K318" s="34" t="s">
        <v>959</v>
      </c>
      <c r="L318" s="35" t="s">
        <v>959</v>
      </c>
      <c r="M318" s="34" t="str">
        <f>IF(OR(L318="-",L318="",L318=0),IF(K318="-","-",K318),K318-L318)</f>
        <v>-</v>
      </c>
      <c r="N318" s="4" t="str">
        <f>IFERROR(IF(K318&gt;0, L318/K318, 0),"-")</f>
        <v>-</v>
      </c>
      <c r="O318" s="34" t="s">
        <v>959</v>
      </c>
      <c r="P318" s="35" t="s">
        <v>959</v>
      </c>
      <c r="Q318" s="34" t="str">
        <f>IF(OR(P318="-",P318="",P318=0),IF(O318="-","-",O318),O318-P318)</f>
        <v>-</v>
      </c>
      <c r="R318" s="4" t="str">
        <f>IFERROR(IF(O318&gt;0, P318/O318, 0),"-")</f>
        <v>-</v>
      </c>
      <c r="S318" s="34">
        <v>60</v>
      </c>
      <c r="T318" s="34">
        <v>3</v>
      </c>
      <c r="U318" s="34">
        <v>300</v>
      </c>
      <c r="V318" s="35">
        <v>2</v>
      </c>
      <c r="W318" s="35">
        <v>18067</v>
      </c>
    </row>
    <row r="319" spans="1:23" x14ac:dyDescent="0.2">
      <c r="A319" s="30" t="s">
        <v>469</v>
      </c>
      <c r="B319" s="30" t="s">
        <v>1053</v>
      </c>
      <c r="C319" s="34">
        <v>161</v>
      </c>
      <c r="D319" s="35">
        <v>160</v>
      </c>
      <c r="E319" s="34">
        <f>IF(OR(D319="-",D319="",D319=0),IF(C319="-","-",C319),C319-D319)</f>
        <v>1</v>
      </c>
      <c r="F319" s="4">
        <f>IFERROR(IF(C319&gt;0, D319/C319, 0),"-")</f>
        <v>0.99378881987577639</v>
      </c>
      <c r="G319" s="34">
        <v>2</v>
      </c>
      <c r="H319" s="35">
        <v>2</v>
      </c>
      <c r="I319" s="34">
        <f>IF(OR(H319="-",H319="",H319=0),IF(G319="-","-",G319),G319-H319)</f>
        <v>0</v>
      </c>
      <c r="J319" s="4">
        <f>IFERROR(IF(G319&gt;0, H319/G319, 0),"-")</f>
        <v>1</v>
      </c>
      <c r="K319" s="34">
        <v>2</v>
      </c>
      <c r="L319" s="35" t="s">
        <v>959</v>
      </c>
      <c r="M319" s="34">
        <f>IF(OR(L319="-",L319="",L319=0),IF(K319="-","-",K319),K319-L319)</f>
        <v>2</v>
      </c>
      <c r="N319" s="4" t="str">
        <f>IFERROR(IF(K319&gt;0, L319/K319, 0),"-")</f>
        <v>-</v>
      </c>
      <c r="O319" s="34">
        <v>1</v>
      </c>
      <c r="P319" s="35" t="s">
        <v>959</v>
      </c>
      <c r="Q319" s="34">
        <f>IF(OR(P319="-",P319="",P319=0),IF(O319="-","-",O319),O319-P319)</f>
        <v>1</v>
      </c>
      <c r="R319" s="4" t="str">
        <f>IFERROR(IF(O319&gt;0, P319/O319, 0),"-")</f>
        <v>-</v>
      </c>
      <c r="S319" s="34">
        <v>169</v>
      </c>
      <c r="T319" s="34">
        <v>2</v>
      </c>
      <c r="U319" s="34">
        <v>1890</v>
      </c>
      <c r="V319" s="35">
        <v>2</v>
      </c>
      <c r="W319" s="35">
        <v>12774</v>
      </c>
    </row>
    <row r="320" spans="1:23" x14ac:dyDescent="0.2">
      <c r="A320" s="30" t="s">
        <v>472</v>
      </c>
      <c r="B320" s="30" t="s">
        <v>1054</v>
      </c>
      <c r="C320" s="34">
        <v>173</v>
      </c>
      <c r="D320" s="35">
        <v>173</v>
      </c>
      <c r="E320" s="34">
        <f>IF(OR(D320="-",D320="",D320=0),IF(C320="-","-",C320),C320-D320)</f>
        <v>0</v>
      </c>
      <c r="F320" s="4">
        <f>IFERROR(IF(C320&gt;0, D320/C320, 0),"-")</f>
        <v>1</v>
      </c>
      <c r="G320" s="34" t="s">
        <v>959</v>
      </c>
      <c r="H320" s="35" t="s">
        <v>959</v>
      </c>
      <c r="I320" s="34" t="str">
        <f>IF(OR(H320="-",H320="",H320=0),IF(G320="-","-",G320),G320-H320)</f>
        <v>-</v>
      </c>
      <c r="J320" s="4" t="str">
        <f>IFERROR(IF(G320&gt;0, H320/G320, 0),"-")</f>
        <v>-</v>
      </c>
      <c r="K320" s="34">
        <v>2</v>
      </c>
      <c r="L320" s="35" t="s">
        <v>959</v>
      </c>
      <c r="M320" s="34">
        <f>IF(OR(L320="-",L320="",L320=0),IF(K320="-","-",K320),K320-L320)</f>
        <v>2</v>
      </c>
      <c r="N320" s="4" t="str">
        <f>IFERROR(IF(K320&gt;0, L320/K320, 0),"-")</f>
        <v>-</v>
      </c>
      <c r="O320" s="34" t="s">
        <v>959</v>
      </c>
      <c r="P320" s="35" t="s">
        <v>959</v>
      </c>
      <c r="Q320" s="34" t="str">
        <f>IF(OR(P320="-",P320="",P320=0),IF(O320="-","-",O320),O320-P320)</f>
        <v>-</v>
      </c>
      <c r="R320" s="4" t="str">
        <f>IFERROR(IF(O320&gt;0, P320/O320, 0),"-")</f>
        <v>-</v>
      </c>
      <c r="S320" s="34">
        <v>65</v>
      </c>
      <c r="T320" s="34">
        <v>7</v>
      </c>
      <c r="U320" s="34">
        <v>10900</v>
      </c>
      <c r="V320" s="35">
        <v>2</v>
      </c>
      <c r="W320" s="35">
        <v>23564</v>
      </c>
    </row>
    <row r="321" spans="1:23" x14ac:dyDescent="0.2">
      <c r="A321" s="30" t="s">
        <v>468</v>
      </c>
      <c r="B321" s="30" t="s">
        <v>1055</v>
      </c>
      <c r="C321" s="34">
        <v>155</v>
      </c>
      <c r="D321" s="35">
        <v>154</v>
      </c>
      <c r="E321" s="34">
        <f>IF(OR(D321="-",D321="",D321=0),IF(C321="-","-",C321),C321-D321)</f>
        <v>1</v>
      </c>
      <c r="F321" s="4">
        <f>IFERROR(IF(C321&gt;0, D321/C321, 0),"-")</f>
        <v>0.99354838709677418</v>
      </c>
      <c r="G321" s="34">
        <v>1</v>
      </c>
      <c r="H321" s="35">
        <v>1</v>
      </c>
      <c r="I321" s="34">
        <f>IF(OR(H321="-",H321="",H321=0),IF(G321="-","-",G321),G321-H321)</f>
        <v>0</v>
      </c>
      <c r="J321" s="4">
        <f>IFERROR(IF(G321&gt;0, H321/G321, 0),"-")</f>
        <v>1</v>
      </c>
      <c r="K321" s="34" t="s">
        <v>959</v>
      </c>
      <c r="L321" s="35" t="s">
        <v>959</v>
      </c>
      <c r="M321" s="34" t="str">
        <f>IF(OR(L321="-",L321="",L321=0),IF(K321="-","-",K321),K321-L321)</f>
        <v>-</v>
      </c>
      <c r="N321" s="4" t="str">
        <f>IFERROR(IF(K321&gt;0, L321/K321, 0),"-")</f>
        <v>-</v>
      </c>
      <c r="O321" s="34" t="s">
        <v>959</v>
      </c>
      <c r="P321" s="35" t="s">
        <v>959</v>
      </c>
      <c r="Q321" s="34" t="str">
        <f>IF(OR(P321="-",P321="",P321=0),IF(O321="-","-",O321),O321-P321)</f>
        <v>-</v>
      </c>
      <c r="R321" s="4" t="str">
        <f>IFERROR(IF(O321&gt;0, P321/O321, 0),"-")</f>
        <v>-</v>
      </c>
      <c r="S321" s="34">
        <v>137</v>
      </c>
      <c r="T321" s="34">
        <v>2</v>
      </c>
      <c r="U321" s="34">
        <v>400</v>
      </c>
      <c r="V321" s="35">
        <v>3</v>
      </c>
      <c r="W321" s="35">
        <v>68752</v>
      </c>
    </row>
    <row r="322" spans="1:23" x14ac:dyDescent="0.2">
      <c r="A322" s="30" t="s">
        <v>473</v>
      </c>
      <c r="B322" s="30" t="s">
        <v>1056</v>
      </c>
      <c r="C322" s="34">
        <v>112</v>
      </c>
      <c r="D322" s="35">
        <v>111</v>
      </c>
      <c r="E322" s="34">
        <f>IF(OR(D322="-",D322="",D322=0),IF(C322="-","-",C322),C322-D322)</f>
        <v>1</v>
      </c>
      <c r="F322" s="4">
        <f>IFERROR(IF(C322&gt;0, D322/C322, 0),"-")</f>
        <v>0.9910714285714286</v>
      </c>
      <c r="G322" s="34">
        <v>2</v>
      </c>
      <c r="H322" s="35" t="s">
        <v>959</v>
      </c>
      <c r="I322" s="34">
        <f>IF(OR(H322="-",H322="",H322=0),IF(G322="-","-",G322),G322-H322)</f>
        <v>2</v>
      </c>
      <c r="J322" s="4" t="str">
        <f>IFERROR(IF(G322&gt;0, H322/G322, 0),"-")</f>
        <v>-</v>
      </c>
      <c r="K322" s="34">
        <v>1</v>
      </c>
      <c r="L322" s="35" t="s">
        <v>959</v>
      </c>
      <c r="M322" s="34">
        <f>IF(OR(L322="-",L322="",L322=0),IF(K322="-","-",K322),K322-L322)</f>
        <v>1</v>
      </c>
      <c r="N322" s="4" t="str">
        <f>IFERROR(IF(K322&gt;0, L322/K322, 0),"-")</f>
        <v>-</v>
      </c>
      <c r="O322" s="34" t="s">
        <v>959</v>
      </c>
      <c r="P322" s="35" t="s">
        <v>959</v>
      </c>
      <c r="Q322" s="34" t="str">
        <f>IF(OR(P322="-",P322="",P322=0),IF(O322="-","-",O322),O322-P322)</f>
        <v>-</v>
      </c>
      <c r="R322" s="4" t="str">
        <f>IFERROR(IF(O322&gt;0, P322/O322, 0),"-")</f>
        <v>-</v>
      </c>
      <c r="S322" s="34">
        <v>64</v>
      </c>
      <c r="T322" s="34">
        <v>6</v>
      </c>
      <c r="U322" s="34">
        <v>4195</v>
      </c>
      <c r="V322" s="35">
        <v>1</v>
      </c>
      <c r="W322" s="35">
        <v>19865</v>
      </c>
    </row>
    <row r="323" spans="1:23" x14ac:dyDescent="0.2">
      <c r="A323" s="30" t="s">
        <v>471</v>
      </c>
      <c r="B323" s="30" t="s">
        <v>1057</v>
      </c>
      <c r="C323" s="34">
        <v>148</v>
      </c>
      <c r="D323" s="35">
        <v>145</v>
      </c>
      <c r="E323" s="34">
        <f>IF(OR(D323="-",D323="",D323=0),IF(C323="-","-",C323),C323-D323)</f>
        <v>3</v>
      </c>
      <c r="F323" s="4">
        <f>IFERROR(IF(C323&gt;0, D323/C323, 0),"-")</f>
        <v>0.97972972972972971</v>
      </c>
      <c r="G323" s="34">
        <v>1</v>
      </c>
      <c r="H323" s="35" t="s">
        <v>959</v>
      </c>
      <c r="I323" s="34">
        <f>IF(OR(H323="-",H323="",H323=0),IF(G323="-","-",G323),G323-H323)</f>
        <v>1</v>
      </c>
      <c r="J323" s="4" t="str">
        <f>IFERROR(IF(G323&gt;0, H323/G323, 0),"-")</f>
        <v>-</v>
      </c>
      <c r="K323" s="34" t="s">
        <v>959</v>
      </c>
      <c r="L323" s="35" t="s">
        <v>959</v>
      </c>
      <c r="M323" s="34" t="str">
        <f>IF(OR(L323="-",L323="",L323=0),IF(K323="-","-",K323),K323-L323)</f>
        <v>-</v>
      </c>
      <c r="N323" s="4" t="str">
        <f>IFERROR(IF(K323&gt;0, L323/K323, 0),"-")</f>
        <v>-</v>
      </c>
      <c r="O323" s="34" t="s">
        <v>959</v>
      </c>
      <c r="P323" s="35" t="s">
        <v>959</v>
      </c>
      <c r="Q323" s="34" t="str">
        <f>IF(OR(P323="-",P323="",P323=0),IF(O323="-","-",O323),O323-P323)</f>
        <v>-</v>
      </c>
      <c r="R323" s="4" t="str">
        <f>IFERROR(IF(O323&gt;0, P323/O323, 0),"-")</f>
        <v>-</v>
      </c>
      <c r="S323" s="34">
        <v>923</v>
      </c>
      <c r="T323" s="34">
        <v>3</v>
      </c>
      <c r="U323" s="34">
        <v>55395</v>
      </c>
      <c r="V323" s="35">
        <v>12</v>
      </c>
      <c r="W323" s="35">
        <v>240698</v>
      </c>
    </row>
    <row r="324" spans="1:23" x14ac:dyDescent="0.2">
      <c r="A324" s="29"/>
      <c r="B324" s="29" t="s">
        <v>53</v>
      </c>
      <c r="C324" s="32">
        <v>1660</v>
      </c>
      <c r="D324" s="32">
        <v>1619</v>
      </c>
      <c r="E324" s="32">
        <f>IF(OR(D324="-",D324="",D324=0),IF(C324="-","-",C324),C324-D324)</f>
        <v>41</v>
      </c>
      <c r="F324" s="36">
        <f>IFERROR(IF(C324&gt;0, D324/C324, 0),"-")</f>
        <v>0.97530120481927707</v>
      </c>
      <c r="G324" s="32">
        <v>19</v>
      </c>
      <c r="H324" s="32">
        <v>1</v>
      </c>
      <c r="I324" s="32">
        <f>IF(OR(H324="-",H324="",H324=0),IF(G324="-","-",G324),G324-H324)</f>
        <v>18</v>
      </c>
      <c r="J324" s="36">
        <f>IFERROR(IF(G324&gt;0, H324/G324, 0),"-")</f>
        <v>5.2631578947368418E-2</v>
      </c>
      <c r="K324" s="32">
        <v>22</v>
      </c>
      <c r="L324" s="32">
        <v>4</v>
      </c>
      <c r="M324" s="32">
        <f>IF(OR(L324="-",L324="",L324=0),IF(K324="-","-",K324),K324-L324)</f>
        <v>18</v>
      </c>
      <c r="N324" s="36">
        <f>IFERROR(IF(K324&gt;0, L324/K324, 0),"-")</f>
        <v>0.18181818181818182</v>
      </c>
      <c r="O324" s="32">
        <v>19</v>
      </c>
      <c r="P324" s="32">
        <v>4</v>
      </c>
      <c r="Q324" s="32">
        <f>IF(OR(P324="-",P324="",P324=0),IF(O324="-","-",O324),O324-P324)</f>
        <v>15</v>
      </c>
      <c r="R324" s="36">
        <f>IFERROR(IF(O324&gt;0, P324/O324, 0),"-")</f>
        <v>0.21052631578947367</v>
      </c>
      <c r="S324" s="32">
        <v>1248</v>
      </c>
      <c r="T324" s="32">
        <v>23</v>
      </c>
      <c r="U324" s="32">
        <v>211993</v>
      </c>
      <c r="V324" s="32">
        <v>8</v>
      </c>
      <c r="W324" s="32">
        <v>158193</v>
      </c>
    </row>
    <row r="325" spans="1:23" x14ac:dyDescent="0.2">
      <c r="A325" s="30" t="s">
        <v>319</v>
      </c>
      <c r="B325" s="30" t="s">
        <v>1058</v>
      </c>
      <c r="C325" s="34">
        <v>181</v>
      </c>
      <c r="D325" s="35">
        <v>180</v>
      </c>
      <c r="E325" s="34">
        <f>IF(OR(D325="-",D325="",D325=0),IF(C325="-","-",C325),C325-D325)</f>
        <v>1</v>
      </c>
      <c r="F325" s="4">
        <f>IFERROR(IF(C325&gt;0, D325/C325, 0),"-")</f>
        <v>0.99447513812154698</v>
      </c>
      <c r="G325" s="34">
        <v>3</v>
      </c>
      <c r="H325" s="35" t="s">
        <v>959</v>
      </c>
      <c r="I325" s="34">
        <f>IF(OR(H325="-",H325="",H325=0),IF(G325="-","-",G325),G325-H325)</f>
        <v>3</v>
      </c>
      <c r="J325" s="4" t="str">
        <f>IFERROR(IF(G325&gt;0, H325/G325, 0),"-")</f>
        <v>-</v>
      </c>
      <c r="K325" s="34">
        <v>1</v>
      </c>
      <c r="L325" s="35">
        <v>1</v>
      </c>
      <c r="M325" s="34">
        <f>IF(OR(L325="-",L325="",L325=0),IF(K325="-","-",K325),K325-L325)</f>
        <v>0</v>
      </c>
      <c r="N325" s="4">
        <f>IFERROR(IF(K325&gt;0, L325/K325, 0),"-")</f>
        <v>1</v>
      </c>
      <c r="O325" s="34" t="s">
        <v>959</v>
      </c>
      <c r="P325" s="35" t="s">
        <v>959</v>
      </c>
      <c r="Q325" s="34" t="str">
        <f>IF(OR(P325="-",P325="",P325=0),IF(O325="-","-",O325),O325-P325)</f>
        <v>-</v>
      </c>
      <c r="R325" s="4" t="str">
        <f>IFERROR(IF(O325&gt;0, P325/O325, 0),"-")</f>
        <v>-</v>
      </c>
      <c r="S325" s="34">
        <v>121</v>
      </c>
      <c r="T325" s="34" t="s">
        <v>959</v>
      </c>
      <c r="U325" s="34" t="s">
        <v>959</v>
      </c>
      <c r="V325" s="35">
        <v>1</v>
      </c>
      <c r="W325" s="35">
        <v>26115</v>
      </c>
    </row>
    <row r="326" spans="1:23" x14ac:dyDescent="0.2">
      <c r="A326" s="30" t="s">
        <v>325</v>
      </c>
      <c r="B326" s="30" t="s">
        <v>1059</v>
      </c>
      <c r="C326" s="34">
        <v>255</v>
      </c>
      <c r="D326" s="35">
        <v>247</v>
      </c>
      <c r="E326" s="34">
        <f>IF(OR(D326="-",D326="",D326=0),IF(C326="-","-",C326),C326-D326)</f>
        <v>8</v>
      </c>
      <c r="F326" s="4">
        <f>IFERROR(IF(C326&gt;0, D326/C326, 0),"-")</f>
        <v>0.96862745098039216</v>
      </c>
      <c r="G326" s="34">
        <v>1</v>
      </c>
      <c r="H326" s="35">
        <v>1</v>
      </c>
      <c r="I326" s="34">
        <f>IF(OR(H326="-",H326="",H326=0),IF(G326="-","-",G326),G326-H326)</f>
        <v>0</v>
      </c>
      <c r="J326" s="4">
        <f>IFERROR(IF(G326&gt;0, H326/G326, 0),"-")</f>
        <v>1</v>
      </c>
      <c r="K326" s="34">
        <v>3</v>
      </c>
      <c r="L326" s="35" t="s">
        <v>959</v>
      </c>
      <c r="M326" s="34">
        <f>IF(OR(L326="-",L326="",L326=0),IF(K326="-","-",K326),K326-L326)</f>
        <v>3</v>
      </c>
      <c r="N326" s="4" t="str">
        <f>IFERROR(IF(K326&gt;0, L326/K326, 0),"-")</f>
        <v>-</v>
      </c>
      <c r="O326" s="34">
        <v>5</v>
      </c>
      <c r="P326" s="35">
        <v>1</v>
      </c>
      <c r="Q326" s="34">
        <f>IF(OR(P326="-",P326="",P326=0),IF(O326="-","-",O326),O326-P326)</f>
        <v>4</v>
      </c>
      <c r="R326" s="4">
        <f>IFERROR(IF(O326&gt;0, P326/O326, 0),"-")</f>
        <v>0.2</v>
      </c>
      <c r="S326" s="34">
        <v>133</v>
      </c>
      <c r="T326" s="34">
        <v>5</v>
      </c>
      <c r="U326" s="34">
        <v>13820</v>
      </c>
      <c r="V326" s="35">
        <v>1</v>
      </c>
      <c r="W326" s="35">
        <v>33301</v>
      </c>
    </row>
    <row r="327" spans="1:23" x14ac:dyDescent="0.2">
      <c r="A327" s="30" t="s">
        <v>322</v>
      </c>
      <c r="B327" s="30" t="s">
        <v>1060</v>
      </c>
      <c r="C327" s="34">
        <v>231</v>
      </c>
      <c r="D327" s="35">
        <v>225</v>
      </c>
      <c r="E327" s="34">
        <f>IF(OR(D327="-",D327="",D327=0),IF(C327="-","-",C327),C327-D327)</f>
        <v>6</v>
      </c>
      <c r="F327" s="4">
        <f>IFERROR(IF(C327&gt;0, D327/C327, 0),"-")</f>
        <v>0.97402597402597402</v>
      </c>
      <c r="G327" s="34">
        <v>3</v>
      </c>
      <c r="H327" s="35" t="s">
        <v>959</v>
      </c>
      <c r="I327" s="34">
        <f>IF(OR(H327="-",H327="",H327=0),IF(G327="-","-",G327),G327-H327)</f>
        <v>3</v>
      </c>
      <c r="J327" s="4" t="str">
        <f>IFERROR(IF(G327&gt;0, H327/G327, 0),"-")</f>
        <v>-</v>
      </c>
      <c r="K327" s="34">
        <v>3</v>
      </c>
      <c r="L327" s="35">
        <v>2</v>
      </c>
      <c r="M327" s="34">
        <f>IF(OR(L327="-",L327="",L327=0),IF(K327="-","-",K327),K327-L327)</f>
        <v>1</v>
      </c>
      <c r="N327" s="4">
        <f>IFERROR(IF(K327&gt;0, L327/K327, 0),"-")</f>
        <v>0.66666666666666663</v>
      </c>
      <c r="O327" s="34">
        <v>2</v>
      </c>
      <c r="P327" s="35">
        <v>1</v>
      </c>
      <c r="Q327" s="34">
        <f>IF(OR(P327="-",P327="",P327=0),IF(O327="-","-",O327),O327-P327)</f>
        <v>1</v>
      </c>
      <c r="R327" s="4">
        <f>IFERROR(IF(O327&gt;0, P327/O327, 0),"-")</f>
        <v>0.5</v>
      </c>
      <c r="S327" s="34">
        <v>200</v>
      </c>
      <c r="T327" s="34">
        <v>8</v>
      </c>
      <c r="U327" s="34">
        <v>126863</v>
      </c>
      <c r="V327" s="35">
        <v>4</v>
      </c>
      <c r="W327" s="35">
        <v>59376</v>
      </c>
    </row>
    <row r="328" spans="1:23" x14ac:dyDescent="0.2">
      <c r="A328" s="30" t="s">
        <v>320</v>
      </c>
      <c r="B328" s="30" t="s">
        <v>1061</v>
      </c>
      <c r="C328" s="34">
        <v>253</v>
      </c>
      <c r="D328" s="35">
        <v>249</v>
      </c>
      <c r="E328" s="34">
        <f>IF(OR(D328="-",D328="",D328=0),IF(C328="-","-",C328),C328-D328)</f>
        <v>4</v>
      </c>
      <c r="F328" s="4">
        <f>IFERROR(IF(C328&gt;0, D328/C328, 0),"-")</f>
        <v>0.98418972332015808</v>
      </c>
      <c r="G328" s="34">
        <v>3</v>
      </c>
      <c r="H328" s="35" t="s">
        <v>959</v>
      </c>
      <c r="I328" s="34">
        <f>IF(OR(H328="-",H328="",H328=0),IF(G328="-","-",G328),G328-H328)</f>
        <v>3</v>
      </c>
      <c r="J328" s="4" t="str">
        <f>IFERROR(IF(G328&gt;0, H328/G328, 0),"-")</f>
        <v>-</v>
      </c>
      <c r="K328" s="34">
        <v>5</v>
      </c>
      <c r="L328" s="35">
        <v>1</v>
      </c>
      <c r="M328" s="34">
        <f>IF(OR(L328="-",L328="",L328=0),IF(K328="-","-",K328),K328-L328)</f>
        <v>4</v>
      </c>
      <c r="N328" s="4">
        <f>IFERROR(IF(K328&gt;0, L328/K328, 0),"-")</f>
        <v>0.2</v>
      </c>
      <c r="O328" s="34">
        <v>5</v>
      </c>
      <c r="P328" s="35" t="s">
        <v>959</v>
      </c>
      <c r="Q328" s="34">
        <f>IF(OR(P328="-",P328="",P328=0),IF(O328="-","-",O328),O328-P328)</f>
        <v>5</v>
      </c>
      <c r="R328" s="4" t="str">
        <f>IFERROR(IF(O328&gt;0, P328/O328, 0),"-")</f>
        <v>-</v>
      </c>
      <c r="S328" s="34">
        <v>177</v>
      </c>
      <c r="T328" s="34" t="s">
        <v>959</v>
      </c>
      <c r="U328" s="34" t="s">
        <v>959</v>
      </c>
      <c r="V328" s="35" t="s">
        <v>959</v>
      </c>
      <c r="W328" s="35" t="s">
        <v>959</v>
      </c>
    </row>
    <row r="329" spans="1:23" x14ac:dyDescent="0.2">
      <c r="A329" s="30" t="s">
        <v>323</v>
      </c>
      <c r="B329" s="30" t="s">
        <v>1062</v>
      </c>
      <c r="C329" s="34">
        <v>176</v>
      </c>
      <c r="D329" s="35">
        <v>172</v>
      </c>
      <c r="E329" s="34">
        <f>IF(OR(D329="-",D329="",D329=0),IF(C329="-","-",C329),C329-D329)</f>
        <v>4</v>
      </c>
      <c r="F329" s="4">
        <f>IFERROR(IF(C329&gt;0, D329/C329, 0),"-")</f>
        <v>0.97727272727272729</v>
      </c>
      <c r="G329" s="34">
        <v>2</v>
      </c>
      <c r="H329" s="35" t="s">
        <v>959</v>
      </c>
      <c r="I329" s="34">
        <f>IF(OR(H329="-",H329="",H329=0),IF(G329="-","-",G329),G329-H329)</f>
        <v>2</v>
      </c>
      <c r="J329" s="4" t="str">
        <f>IFERROR(IF(G329&gt;0, H329/G329, 0),"-")</f>
        <v>-</v>
      </c>
      <c r="K329" s="34">
        <v>3</v>
      </c>
      <c r="L329" s="35" t="s">
        <v>959</v>
      </c>
      <c r="M329" s="34">
        <f>IF(OR(L329="-",L329="",L329=0),IF(K329="-","-",K329),K329-L329)</f>
        <v>3</v>
      </c>
      <c r="N329" s="4" t="str">
        <f>IFERROR(IF(K329&gt;0, L329/K329, 0),"-")</f>
        <v>-</v>
      </c>
      <c r="O329" s="34">
        <v>1</v>
      </c>
      <c r="P329" s="35">
        <v>1</v>
      </c>
      <c r="Q329" s="34">
        <f>IF(OR(P329="-",P329="",P329=0),IF(O329="-","-",O329),O329-P329)</f>
        <v>0</v>
      </c>
      <c r="R329" s="4">
        <f>IFERROR(IF(O329&gt;0, P329/O329, 0),"-")</f>
        <v>1</v>
      </c>
      <c r="S329" s="34">
        <v>177</v>
      </c>
      <c r="T329" s="34">
        <v>4</v>
      </c>
      <c r="U329" s="34">
        <v>45195</v>
      </c>
      <c r="V329" s="35" t="s">
        <v>959</v>
      </c>
      <c r="W329" s="35" t="s">
        <v>959</v>
      </c>
    </row>
    <row r="330" spans="1:23" x14ac:dyDescent="0.2">
      <c r="A330" s="30" t="s">
        <v>318</v>
      </c>
      <c r="B330" s="30" t="s">
        <v>1063</v>
      </c>
      <c r="C330" s="34">
        <v>165</v>
      </c>
      <c r="D330" s="35">
        <v>161</v>
      </c>
      <c r="E330" s="34">
        <f>IF(OR(D330="-",D330="",D330=0),IF(C330="-","-",C330),C330-D330)</f>
        <v>4</v>
      </c>
      <c r="F330" s="4">
        <f>IFERROR(IF(C330&gt;0, D330/C330, 0),"-")</f>
        <v>0.97575757575757571</v>
      </c>
      <c r="G330" s="34">
        <v>3</v>
      </c>
      <c r="H330" s="35" t="s">
        <v>959</v>
      </c>
      <c r="I330" s="34">
        <f>IF(OR(H330="-",H330="",H330=0),IF(G330="-","-",G330),G330-H330)</f>
        <v>3</v>
      </c>
      <c r="J330" s="4" t="str">
        <f>IFERROR(IF(G330&gt;0, H330/G330, 0),"-")</f>
        <v>-</v>
      </c>
      <c r="K330" s="34" t="s">
        <v>959</v>
      </c>
      <c r="L330" s="35" t="s">
        <v>959</v>
      </c>
      <c r="M330" s="34" t="str">
        <f>IF(OR(L330="-",L330="",L330=0),IF(K330="-","-",K330),K330-L330)</f>
        <v>-</v>
      </c>
      <c r="N330" s="4" t="str">
        <f>IFERROR(IF(K330&gt;0, L330/K330, 0),"-")</f>
        <v>-</v>
      </c>
      <c r="O330" s="34">
        <v>1</v>
      </c>
      <c r="P330" s="35" t="s">
        <v>959</v>
      </c>
      <c r="Q330" s="34">
        <f>IF(OR(P330="-",P330="",P330=0),IF(O330="-","-",O330),O330-P330)</f>
        <v>1</v>
      </c>
      <c r="R330" s="4" t="str">
        <f>IFERROR(IF(O330&gt;0, P330/O330, 0),"-")</f>
        <v>-</v>
      </c>
      <c r="S330" s="34">
        <v>216</v>
      </c>
      <c r="T330" s="34">
        <v>2</v>
      </c>
      <c r="U330" s="34">
        <v>6570</v>
      </c>
      <c r="V330" s="35" t="s">
        <v>959</v>
      </c>
      <c r="W330" s="35" t="s">
        <v>959</v>
      </c>
    </row>
    <row r="331" spans="1:23" x14ac:dyDescent="0.2">
      <c r="A331" s="30" t="s">
        <v>321</v>
      </c>
      <c r="B331" s="30" t="s">
        <v>1064</v>
      </c>
      <c r="C331" s="34">
        <v>171</v>
      </c>
      <c r="D331" s="35">
        <v>162</v>
      </c>
      <c r="E331" s="34">
        <f>IF(OR(D331="-",D331="",D331=0),IF(C331="-","-",C331),C331-D331)</f>
        <v>9</v>
      </c>
      <c r="F331" s="4">
        <f>IFERROR(IF(C331&gt;0, D331/C331, 0),"-")</f>
        <v>0.94736842105263153</v>
      </c>
      <c r="G331" s="34">
        <v>2</v>
      </c>
      <c r="H331" s="35" t="s">
        <v>959</v>
      </c>
      <c r="I331" s="34">
        <f>IF(OR(H331="-",H331="",H331=0),IF(G331="-","-",G331),G331-H331)</f>
        <v>2</v>
      </c>
      <c r="J331" s="4" t="str">
        <f>IFERROR(IF(G331&gt;0, H331/G331, 0),"-")</f>
        <v>-</v>
      </c>
      <c r="K331" s="34">
        <v>1</v>
      </c>
      <c r="L331" s="35" t="s">
        <v>959</v>
      </c>
      <c r="M331" s="34">
        <f>IF(OR(L331="-",L331="",L331=0),IF(K331="-","-",K331),K331-L331)</f>
        <v>1</v>
      </c>
      <c r="N331" s="4" t="str">
        <f>IFERROR(IF(K331&gt;0, L331/K331, 0),"-")</f>
        <v>-</v>
      </c>
      <c r="O331" s="34" t="s">
        <v>959</v>
      </c>
      <c r="P331" s="35" t="s">
        <v>959</v>
      </c>
      <c r="Q331" s="34" t="str">
        <f>IF(OR(P331="-",P331="",P331=0),IF(O331="-","-",O331),O331-P331)</f>
        <v>-</v>
      </c>
      <c r="R331" s="4" t="str">
        <f>IFERROR(IF(O331&gt;0, P331/O331, 0),"-")</f>
        <v>-</v>
      </c>
      <c r="S331" s="34">
        <v>94</v>
      </c>
      <c r="T331" s="34">
        <v>3</v>
      </c>
      <c r="U331" s="34">
        <v>9545</v>
      </c>
      <c r="V331" s="35">
        <v>1</v>
      </c>
      <c r="W331" s="35">
        <v>35952</v>
      </c>
    </row>
    <row r="332" spans="1:23" x14ac:dyDescent="0.2">
      <c r="A332" s="30" t="s">
        <v>326</v>
      </c>
      <c r="B332" s="30" t="s">
        <v>1065</v>
      </c>
      <c r="C332" s="34">
        <v>1</v>
      </c>
      <c r="D332" s="35">
        <v>1</v>
      </c>
      <c r="E332" s="34">
        <f>IF(OR(D332="-",D332="",D332=0),IF(C332="-","-",C332),C332-D332)</f>
        <v>0</v>
      </c>
      <c r="F332" s="4">
        <f>IFERROR(IF(C332&gt;0, D332/C332, 0),"-")</f>
        <v>1</v>
      </c>
      <c r="G332" s="34" t="s">
        <v>959</v>
      </c>
      <c r="H332" s="35" t="s">
        <v>959</v>
      </c>
      <c r="I332" s="34" t="str">
        <f>IF(OR(H332="-",H332="",H332=0),IF(G332="-","-",G332),G332-H332)</f>
        <v>-</v>
      </c>
      <c r="J332" s="4" t="str">
        <f>IFERROR(IF(G332&gt;0, H332/G332, 0),"-")</f>
        <v>-</v>
      </c>
      <c r="K332" s="34" t="s">
        <v>959</v>
      </c>
      <c r="L332" s="35" t="s">
        <v>959</v>
      </c>
      <c r="M332" s="34" t="str">
        <f>IF(OR(L332="-",L332="",L332=0),IF(K332="-","-",K332),K332-L332)</f>
        <v>-</v>
      </c>
      <c r="N332" s="4" t="str">
        <f>IFERROR(IF(K332&gt;0, L332/K332, 0),"-")</f>
        <v>-</v>
      </c>
      <c r="O332" s="34" t="s">
        <v>959</v>
      </c>
      <c r="P332" s="35" t="s">
        <v>959</v>
      </c>
      <c r="Q332" s="34" t="str">
        <f>IF(OR(P332="-",P332="",P332=0),IF(O332="-","-",O332),O332-P332)</f>
        <v>-</v>
      </c>
      <c r="R332" s="4" t="str">
        <f>IFERROR(IF(O332&gt;0, P332/O332, 0),"-")</f>
        <v>-</v>
      </c>
      <c r="S332" s="34" t="s">
        <v>959</v>
      </c>
      <c r="T332" s="34" t="s">
        <v>959</v>
      </c>
      <c r="U332" s="34" t="s">
        <v>959</v>
      </c>
      <c r="V332" s="35" t="s">
        <v>959</v>
      </c>
      <c r="W332" s="35" t="s">
        <v>959</v>
      </c>
    </row>
    <row r="333" spans="1:23" x14ac:dyDescent="0.2">
      <c r="A333" s="30" t="s">
        <v>324</v>
      </c>
      <c r="B333" s="30" t="s">
        <v>1066</v>
      </c>
      <c r="C333" s="34">
        <v>227</v>
      </c>
      <c r="D333" s="35">
        <v>222</v>
      </c>
      <c r="E333" s="34">
        <f>IF(OR(D333="-",D333="",D333=0),IF(C333="-","-",C333),C333-D333)</f>
        <v>5</v>
      </c>
      <c r="F333" s="4">
        <f>IFERROR(IF(C333&gt;0, D333/C333, 0),"-")</f>
        <v>0.97797356828193838</v>
      </c>
      <c r="G333" s="34">
        <v>2</v>
      </c>
      <c r="H333" s="35" t="s">
        <v>959</v>
      </c>
      <c r="I333" s="34">
        <f>IF(OR(H333="-",H333="",H333=0),IF(G333="-","-",G333),G333-H333)</f>
        <v>2</v>
      </c>
      <c r="J333" s="4" t="str">
        <f>IFERROR(IF(G333&gt;0, H333/G333, 0),"-")</f>
        <v>-</v>
      </c>
      <c r="K333" s="34">
        <v>6</v>
      </c>
      <c r="L333" s="35" t="s">
        <v>959</v>
      </c>
      <c r="M333" s="34">
        <f>IF(OR(L333="-",L333="",L333=0),IF(K333="-","-",K333),K333-L333)</f>
        <v>6</v>
      </c>
      <c r="N333" s="4" t="str">
        <f>IFERROR(IF(K333&gt;0, L333/K333, 0),"-")</f>
        <v>-</v>
      </c>
      <c r="O333" s="34">
        <v>5</v>
      </c>
      <c r="P333" s="35">
        <v>1</v>
      </c>
      <c r="Q333" s="34">
        <f>IF(OR(P333="-",P333="",P333=0),IF(O333="-","-",O333),O333-P333)</f>
        <v>4</v>
      </c>
      <c r="R333" s="4">
        <f>IFERROR(IF(O333&gt;0, P333/O333, 0),"-")</f>
        <v>0.2</v>
      </c>
      <c r="S333" s="34">
        <v>130</v>
      </c>
      <c r="T333" s="34">
        <v>1</v>
      </c>
      <c r="U333" s="34">
        <v>10000</v>
      </c>
      <c r="V333" s="35">
        <v>1</v>
      </c>
      <c r="W333" s="35">
        <v>3449</v>
      </c>
    </row>
    <row r="334" spans="1:23" x14ac:dyDescent="0.2">
      <c r="A334" s="29"/>
      <c r="B334" s="29" t="s">
        <v>35</v>
      </c>
      <c r="C334" s="32">
        <v>1060</v>
      </c>
      <c r="D334" s="32">
        <v>1048</v>
      </c>
      <c r="E334" s="32">
        <f>IF(OR(D334="-",D334="",D334=0),IF(C334="-","-",C334),C334-D334)</f>
        <v>12</v>
      </c>
      <c r="F334" s="36">
        <f>IFERROR(IF(C334&gt;0, D334/C334, 0),"-")</f>
        <v>0.98867924528301887</v>
      </c>
      <c r="G334" s="32">
        <v>6</v>
      </c>
      <c r="H334" s="32">
        <v>1</v>
      </c>
      <c r="I334" s="32">
        <f>IF(OR(H334="-",H334="",H334=0),IF(G334="-","-",G334),G334-H334)</f>
        <v>5</v>
      </c>
      <c r="J334" s="36">
        <f>IFERROR(IF(G334&gt;0, H334/G334, 0),"-")</f>
        <v>0.16666666666666666</v>
      </c>
      <c r="K334" s="32">
        <v>8</v>
      </c>
      <c r="L334" s="32">
        <v>3</v>
      </c>
      <c r="M334" s="32">
        <f>IF(OR(L334="-",L334="",L334=0),IF(K334="-","-",K334),K334-L334)</f>
        <v>5</v>
      </c>
      <c r="N334" s="36">
        <f>IFERROR(IF(K334&gt;0, L334/K334, 0),"-")</f>
        <v>0.375</v>
      </c>
      <c r="O334" s="32">
        <v>19</v>
      </c>
      <c r="P334" s="32">
        <v>4</v>
      </c>
      <c r="Q334" s="32">
        <f>IF(OR(P334="-",P334="",P334=0),IF(O334="-","-",O334),O334-P334)</f>
        <v>15</v>
      </c>
      <c r="R334" s="36">
        <f>IFERROR(IF(O334&gt;0, P334/O334, 0),"-")</f>
        <v>0.21052631578947367</v>
      </c>
      <c r="S334" s="32">
        <v>1038</v>
      </c>
      <c r="T334" s="32">
        <v>18</v>
      </c>
      <c r="U334" s="32">
        <v>69741</v>
      </c>
      <c r="V334" s="32">
        <v>9</v>
      </c>
      <c r="W334" s="32">
        <v>245007</v>
      </c>
    </row>
    <row r="335" spans="1:23" x14ac:dyDescent="0.2">
      <c r="A335" s="30" t="s">
        <v>169</v>
      </c>
      <c r="B335" s="30" t="s">
        <v>1067</v>
      </c>
      <c r="C335" s="34">
        <v>141</v>
      </c>
      <c r="D335" s="35">
        <v>138</v>
      </c>
      <c r="E335" s="34">
        <f>IF(OR(D335="-",D335="",D335=0),IF(C335="-","-",C335),C335-D335)</f>
        <v>3</v>
      </c>
      <c r="F335" s="4">
        <f>IFERROR(IF(C335&gt;0, D335/C335, 0),"-")</f>
        <v>0.97872340425531912</v>
      </c>
      <c r="G335" s="34">
        <v>2</v>
      </c>
      <c r="H335" s="35" t="s">
        <v>959</v>
      </c>
      <c r="I335" s="34">
        <f>IF(OR(H335="-",H335="",H335=0),IF(G335="-","-",G335),G335-H335)</f>
        <v>2</v>
      </c>
      <c r="J335" s="4" t="str">
        <f>IFERROR(IF(G335&gt;0, H335/G335, 0),"-")</f>
        <v>-</v>
      </c>
      <c r="K335" s="34">
        <v>2</v>
      </c>
      <c r="L335" s="35" t="s">
        <v>959</v>
      </c>
      <c r="M335" s="34">
        <f>IF(OR(L335="-",L335="",L335=0),IF(K335="-","-",K335),K335-L335)</f>
        <v>2</v>
      </c>
      <c r="N335" s="4" t="str">
        <f>IFERROR(IF(K335&gt;0, L335/K335, 0),"-")</f>
        <v>-</v>
      </c>
      <c r="O335" s="34">
        <v>5</v>
      </c>
      <c r="P335" s="35">
        <v>1</v>
      </c>
      <c r="Q335" s="34">
        <f>IF(OR(P335="-",P335="",P335=0),IF(O335="-","-",O335),O335-P335)</f>
        <v>4</v>
      </c>
      <c r="R335" s="4">
        <f>IFERROR(IF(O335&gt;0, P335/O335, 0),"-")</f>
        <v>0.2</v>
      </c>
      <c r="S335" s="34">
        <v>190</v>
      </c>
      <c r="T335" s="34">
        <v>3</v>
      </c>
      <c r="U335" s="34">
        <v>5850</v>
      </c>
      <c r="V335" s="35">
        <v>1</v>
      </c>
      <c r="W335" s="35">
        <v>10249</v>
      </c>
    </row>
    <row r="336" spans="1:23" x14ac:dyDescent="0.2">
      <c r="A336" s="30" t="s">
        <v>166</v>
      </c>
      <c r="B336" s="30" t="s">
        <v>1068</v>
      </c>
      <c r="C336" s="34">
        <v>170</v>
      </c>
      <c r="D336" s="35">
        <v>170</v>
      </c>
      <c r="E336" s="34">
        <f>IF(OR(D336="-",D336="",D336=0),IF(C336="-","-",C336),C336-D336)</f>
        <v>0</v>
      </c>
      <c r="F336" s="4">
        <f>IFERROR(IF(C336&gt;0, D336/C336, 0),"-")</f>
        <v>1</v>
      </c>
      <c r="G336" s="34">
        <v>3</v>
      </c>
      <c r="H336" s="35">
        <v>1</v>
      </c>
      <c r="I336" s="34">
        <f>IF(OR(H336="-",H336="",H336=0),IF(G336="-","-",G336),G336-H336)</f>
        <v>2</v>
      </c>
      <c r="J336" s="4">
        <f>IFERROR(IF(G336&gt;0, H336/G336, 0),"-")</f>
        <v>0.33333333333333331</v>
      </c>
      <c r="K336" s="34">
        <v>1</v>
      </c>
      <c r="L336" s="35" t="s">
        <v>959</v>
      </c>
      <c r="M336" s="34">
        <f>IF(OR(L336="-",L336="",L336=0),IF(K336="-","-",K336),K336-L336)</f>
        <v>1</v>
      </c>
      <c r="N336" s="4" t="str">
        <f>IFERROR(IF(K336&gt;0, L336/K336, 0),"-")</f>
        <v>-</v>
      </c>
      <c r="O336" s="34">
        <v>6</v>
      </c>
      <c r="P336" s="35">
        <v>3</v>
      </c>
      <c r="Q336" s="34">
        <f>IF(OR(P336="-",P336="",P336=0),IF(O336="-","-",O336),O336-P336)</f>
        <v>3</v>
      </c>
      <c r="R336" s="4">
        <f>IFERROR(IF(O336&gt;0, P336/O336, 0),"-")</f>
        <v>0.5</v>
      </c>
      <c r="S336" s="34">
        <v>170</v>
      </c>
      <c r="T336" s="34">
        <v>3</v>
      </c>
      <c r="U336" s="34">
        <v>8796</v>
      </c>
      <c r="V336" s="35" t="s">
        <v>959</v>
      </c>
      <c r="W336" s="35" t="s">
        <v>959</v>
      </c>
    </row>
    <row r="337" spans="1:23" x14ac:dyDescent="0.2">
      <c r="A337" s="30" t="s">
        <v>165</v>
      </c>
      <c r="B337" s="30" t="s">
        <v>1069</v>
      </c>
      <c r="C337" s="34">
        <v>232</v>
      </c>
      <c r="D337" s="35">
        <v>231</v>
      </c>
      <c r="E337" s="34">
        <f>IF(OR(D337="-",D337="",D337=0),IF(C337="-","-",C337),C337-D337)</f>
        <v>1</v>
      </c>
      <c r="F337" s="4">
        <f>IFERROR(IF(C337&gt;0, D337/C337, 0),"-")</f>
        <v>0.99568965517241381</v>
      </c>
      <c r="G337" s="34" t="s">
        <v>959</v>
      </c>
      <c r="H337" s="35" t="s">
        <v>959</v>
      </c>
      <c r="I337" s="34" t="str">
        <f>IF(OR(H337="-",H337="",H337=0),IF(G337="-","-",G337),G337-H337)</f>
        <v>-</v>
      </c>
      <c r="J337" s="4" t="str">
        <f>IFERROR(IF(G337&gt;0, H337/G337, 0),"-")</f>
        <v>-</v>
      </c>
      <c r="K337" s="34">
        <v>1</v>
      </c>
      <c r="L337" s="35">
        <v>1</v>
      </c>
      <c r="M337" s="34">
        <f>IF(OR(L337="-",L337="",L337=0),IF(K337="-","-",K337),K337-L337)</f>
        <v>0</v>
      </c>
      <c r="N337" s="4">
        <f>IFERROR(IF(K337&gt;0, L337/K337, 0),"-")</f>
        <v>1</v>
      </c>
      <c r="O337" s="34">
        <v>2</v>
      </c>
      <c r="P337" s="35" t="s">
        <v>959</v>
      </c>
      <c r="Q337" s="34">
        <f>IF(OR(P337="-",P337="",P337=0),IF(O337="-","-",O337),O337-P337)</f>
        <v>2</v>
      </c>
      <c r="R337" s="4" t="str">
        <f>IFERROR(IF(O337&gt;0, P337/O337, 0),"-")</f>
        <v>-</v>
      </c>
      <c r="S337" s="34">
        <v>178</v>
      </c>
      <c r="T337" s="34">
        <v>3</v>
      </c>
      <c r="U337" s="34">
        <v>7800</v>
      </c>
      <c r="V337" s="35">
        <v>1</v>
      </c>
      <c r="W337" s="35">
        <v>54420</v>
      </c>
    </row>
    <row r="338" spans="1:23" x14ac:dyDescent="0.2">
      <c r="A338" s="30" t="s">
        <v>171</v>
      </c>
      <c r="B338" s="30" t="s">
        <v>1070</v>
      </c>
      <c r="C338" s="34">
        <v>56</v>
      </c>
      <c r="D338" s="35">
        <v>56</v>
      </c>
      <c r="E338" s="34">
        <f>IF(OR(D338="-",D338="",D338=0),IF(C338="-","-",C338),C338-D338)</f>
        <v>0</v>
      </c>
      <c r="F338" s="4">
        <f>IFERROR(IF(C338&gt;0, D338/C338, 0),"-")</f>
        <v>1</v>
      </c>
      <c r="G338" s="34" t="s">
        <v>959</v>
      </c>
      <c r="H338" s="35" t="s">
        <v>959</v>
      </c>
      <c r="I338" s="34" t="str">
        <f>IF(OR(H338="-",H338="",H338=0),IF(G338="-","-",G338),G338-H338)</f>
        <v>-</v>
      </c>
      <c r="J338" s="4" t="str">
        <f>IFERROR(IF(G338&gt;0, H338/G338, 0),"-")</f>
        <v>-</v>
      </c>
      <c r="K338" s="34" t="s">
        <v>959</v>
      </c>
      <c r="L338" s="35" t="s">
        <v>959</v>
      </c>
      <c r="M338" s="34" t="str">
        <f>IF(OR(L338="-",L338="",L338=0),IF(K338="-","-",K338),K338-L338)</f>
        <v>-</v>
      </c>
      <c r="N338" s="4" t="str">
        <f>IFERROR(IF(K338&gt;0, L338/K338, 0),"-")</f>
        <v>-</v>
      </c>
      <c r="O338" s="34">
        <v>1</v>
      </c>
      <c r="P338" s="35" t="s">
        <v>959</v>
      </c>
      <c r="Q338" s="34">
        <f>IF(OR(P338="-",P338="",P338=0),IF(O338="-","-",O338),O338-P338)</f>
        <v>1</v>
      </c>
      <c r="R338" s="4" t="str">
        <f>IFERROR(IF(O338&gt;0, P338/O338, 0),"-")</f>
        <v>-</v>
      </c>
      <c r="S338" s="34">
        <v>20</v>
      </c>
      <c r="T338" s="34">
        <v>1</v>
      </c>
      <c r="U338" s="34">
        <v>2155</v>
      </c>
      <c r="V338" s="35">
        <v>1</v>
      </c>
      <c r="W338" s="35">
        <v>5636</v>
      </c>
    </row>
    <row r="339" spans="1:23" x14ac:dyDescent="0.2">
      <c r="A339" s="30" t="s">
        <v>168</v>
      </c>
      <c r="B339" s="30" t="s">
        <v>1071</v>
      </c>
      <c r="C339" s="34">
        <v>47</v>
      </c>
      <c r="D339" s="35">
        <v>45</v>
      </c>
      <c r="E339" s="34">
        <f>IF(OR(D339="-",D339="",D339=0),IF(C339="-","-",C339),C339-D339)</f>
        <v>2</v>
      </c>
      <c r="F339" s="4">
        <f>IFERROR(IF(C339&gt;0, D339/C339, 0),"-")</f>
        <v>0.95744680851063835</v>
      </c>
      <c r="G339" s="34" t="s">
        <v>959</v>
      </c>
      <c r="H339" s="35" t="s">
        <v>959</v>
      </c>
      <c r="I339" s="34" t="str">
        <f>IF(OR(H339="-",H339="",H339=0),IF(G339="-","-",G339),G339-H339)</f>
        <v>-</v>
      </c>
      <c r="J339" s="4" t="str">
        <f>IFERROR(IF(G339&gt;0, H339/G339, 0),"-")</f>
        <v>-</v>
      </c>
      <c r="K339" s="34">
        <v>2</v>
      </c>
      <c r="L339" s="35" t="s">
        <v>959</v>
      </c>
      <c r="M339" s="34">
        <f>IF(OR(L339="-",L339="",L339=0),IF(K339="-","-",K339),K339-L339)</f>
        <v>2</v>
      </c>
      <c r="N339" s="4" t="str">
        <f>IFERROR(IF(K339&gt;0, L339/K339, 0),"-")</f>
        <v>-</v>
      </c>
      <c r="O339" s="34" t="s">
        <v>959</v>
      </c>
      <c r="P339" s="35" t="s">
        <v>959</v>
      </c>
      <c r="Q339" s="34" t="str">
        <f>IF(OR(P339="-",P339="",P339=0),IF(O339="-","-",O339),O339-P339)</f>
        <v>-</v>
      </c>
      <c r="R339" s="4" t="str">
        <f>IFERROR(IF(O339&gt;0, P339/O339, 0),"-")</f>
        <v>-</v>
      </c>
      <c r="S339" s="34">
        <v>114</v>
      </c>
      <c r="T339" s="34">
        <v>2</v>
      </c>
      <c r="U339" s="34">
        <v>8140</v>
      </c>
      <c r="V339" s="35">
        <v>2</v>
      </c>
      <c r="W339" s="35">
        <v>57972</v>
      </c>
    </row>
    <row r="340" spans="1:23" x14ac:dyDescent="0.2">
      <c r="A340" s="30" t="s">
        <v>167</v>
      </c>
      <c r="B340" s="30" t="s">
        <v>1072</v>
      </c>
      <c r="C340" s="34">
        <v>197</v>
      </c>
      <c r="D340" s="35">
        <v>193</v>
      </c>
      <c r="E340" s="34">
        <f>IF(OR(D340="-",D340="",D340=0),IF(C340="-","-",C340),C340-D340)</f>
        <v>4</v>
      </c>
      <c r="F340" s="4">
        <f>IFERROR(IF(C340&gt;0, D340/C340, 0),"-")</f>
        <v>0.97969543147208127</v>
      </c>
      <c r="G340" s="34">
        <v>1</v>
      </c>
      <c r="H340" s="35" t="s">
        <v>959</v>
      </c>
      <c r="I340" s="34">
        <f>IF(OR(H340="-",H340="",H340=0),IF(G340="-","-",G340),G340-H340)</f>
        <v>1</v>
      </c>
      <c r="J340" s="4" t="str">
        <f>IFERROR(IF(G340&gt;0, H340/G340, 0),"-")</f>
        <v>-</v>
      </c>
      <c r="K340" s="34" t="s">
        <v>959</v>
      </c>
      <c r="L340" s="35" t="s">
        <v>959</v>
      </c>
      <c r="M340" s="34" t="str">
        <f>IF(OR(L340="-",L340="",L340=0),IF(K340="-","-",K340),K340-L340)</f>
        <v>-</v>
      </c>
      <c r="N340" s="4" t="str">
        <f>IFERROR(IF(K340&gt;0, L340/K340, 0),"-")</f>
        <v>-</v>
      </c>
      <c r="O340" s="34">
        <v>3</v>
      </c>
      <c r="P340" s="35" t="s">
        <v>959</v>
      </c>
      <c r="Q340" s="34">
        <f>IF(OR(P340="-",P340="",P340=0),IF(O340="-","-",O340),O340-P340)</f>
        <v>3</v>
      </c>
      <c r="R340" s="4" t="str">
        <f>IFERROR(IF(O340&gt;0, P340/O340, 0),"-")</f>
        <v>-</v>
      </c>
      <c r="S340" s="34">
        <v>210</v>
      </c>
      <c r="T340" s="34">
        <v>4</v>
      </c>
      <c r="U340" s="34">
        <v>12245</v>
      </c>
      <c r="V340" s="35">
        <v>2</v>
      </c>
      <c r="W340" s="35">
        <v>62857</v>
      </c>
    </row>
    <row r="341" spans="1:23" x14ac:dyDescent="0.2">
      <c r="A341" s="30" t="s">
        <v>170</v>
      </c>
      <c r="B341" s="30" t="s">
        <v>1073</v>
      </c>
      <c r="C341" s="34">
        <v>217</v>
      </c>
      <c r="D341" s="35">
        <v>215</v>
      </c>
      <c r="E341" s="34">
        <f>IF(OR(D341="-",D341="",D341=0),IF(C341="-","-",C341),C341-D341)</f>
        <v>2</v>
      </c>
      <c r="F341" s="4">
        <f>IFERROR(IF(C341&gt;0, D341/C341, 0),"-")</f>
        <v>0.99078341013824889</v>
      </c>
      <c r="G341" s="34" t="s">
        <v>959</v>
      </c>
      <c r="H341" s="35" t="s">
        <v>959</v>
      </c>
      <c r="I341" s="34" t="str">
        <f>IF(OR(H341="-",H341="",H341=0),IF(G341="-","-",G341),G341-H341)</f>
        <v>-</v>
      </c>
      <c r="J341" s="4" t="str">
        <f>IFERROR(IF(G341&gt;0, H341/G341, 0),"-")</f>
        <v>-</v>
      </c>
      <c r="K341" s="34">
        <v>2</v>
      </c>
      <c r="L341" s="35">
        <v>2</v>
      </c>
      <c r="M341" s="34">
        <f>IF(OR(L341="-",L341="",L341=0),IF(K341="-","-",K341),K341-L341)</f>
        <v>0</v>
      </c>
      <c r="N341" s="4">
        <f>IFERROR(IF(K341&gt;0, L341/K341, 0),"-")</f>
        <v>1</v>
      </c>
      <c r="O341" s="34">
        <v>2</v>
      </c>
      <c r="P341" s="35" t="s">
        <v>959</v>
      </c>
      <c r="Q341" s="34">
        <f>IF(OR(P341="-",P341="",P341=0),IF(O341="-","-",O341),O341-P341)</f>
        <v>2</v>
      </c>
      <c r="R341" s="4" t="str">
        <f>IFERROR(IF(O341&gt;0, P341/O341, 0),"-")</f>
        <v>-</v>
      </c>
      <c r="S341" s="34">
        <v>156</v>
      </c>
      <c r="T341" s="34">
        <v>2</v>
      </c>
      <c r="U341" s="34">
        <v>24755</v>
      </c>
      <c r="V341" s="35">
        <v>2</v>
      </c>
      <c r="W341" s="35">
        <v>53873</v>
      </c>
    </row>
    <row r="342" spans="1:23" x14ac:dyDescent="0.2">
      <c r="A342" s="29"/>
      <c r="B342" s="29" t="s">
        <v>19</v>
      </c>
      <c r="C342" s="32">
        <v>1080</v>
      </c>
      <c r="D342" s="32">
        <v>1062</v>
      </c>
      <c r="E342" s="32">
        <f>IF(OR(D342="-",D342="",D342=0),IF(C342="-","-",C342),C342-D342)</f>
        <v>18</v>
      </c>
      <c r="F342" s="36">
        <f>IFERROR(IF(C342&gt;0, D342/C342, 0),"-")</f>
        <v>0.98333333333333328</v>
      </c>
      <c r="G342" s="32">
        <v>7</v>
      </c>
      <c r="H342" s="32">
        <v>3</v>
      </c>
      <c r="I342" s="32">
        <f>IF(OR(H342="-",H342="",H342=0),IF(G342="-","-",G342),G342-H342)</f>
        <v>4</v>
      </c>
      <c r="J342" s="36">
        <f>IFERROR(IF(G342&gt;0, H342/G342, 0),"-")</f>
        <v>0.42857142857142855</v>
      </c>
      <c r="K342" s="32">
        <v>5</v>
      </c>
      <c r="L342" s="32">
        <v>1</v>
      </c>
      <c r="M342" s="32">
        <f>IF(OR(L342="-",L342="",L342=0),IF(K342="-","-",K342),K342-L342)</f>
        <v>4</v>
      </c>
      <c r="N342" s="36">
        <f>IFERROR(IF(K342&gt;0, L342/K342, 0),"-")</f>
        <v>0.2</v>
      </c>
      <c r="O342" s="32">
        <v>14</v>
      </c>
      <c r="P342" s="32">
        <v>2</v>
      </c>
      <c r="Q342" s="32">
        <f>IF(OR(P342="-",P342="",P342=0),IF(O342="-","-",O342),O342-P342)</f>
        <v>12</v>
      </c>
      <c r="R342" s="36">
        <f>IFERROR(IF(O342&gt;0, P342/O342, 0),"-")</f>
        <v>0.14285714285714285</v>
      </c>
      <c r="S342" s="32">
        <v>3068</v>
      </c>
      <c r="T342" s="32">
        <v>23</v>
      </c>
      <c r="U342" s="32">
        <v>45395</v>
      </c>
      <c r="V342" s="32">
        <v>10</v>
      </c>
      <c r="W342" s="32">
        <v>127743</v>
      </c>
    </row>
    <row r="343" spans="1:23" x14ac:dyDescent="0.2">
      <c r="A343" s="30" t="s">
        <v>552</v>
      </c>
      <c r="B343" s="30" t="s">
        <v>1074</v>
      </c>
      <c r="C343" s="34">
        <v>82</v>
      </c>
      <c r="D343" s="35">
        <v>82</v>
      </c>
      <c r="E343" s="34">
        <f>IF(OR(D343="-",D343="",D343=0),IF(C343="-","-",C343),C343-D343)</f>
        <v>0</v>
      </c>
      <c r="F343" s="4">
        <f>IFERROR(IF(C343&gt;0, D343/C343, 0),"-")</f>
        <v>1</v>
      </c>
      <c r="G343" s="34">
        <v>2</v>
      </c>
      <c r="H343" s="35">
        <v>2</v>
      </c>
      <c r="I343" s="34">
        <f>IF(OR(H343="-",H343="",H343=0),IF(G343="-","-",G343),G343-H343)</f>
        <v>0</v>
      </c>
      <c r="J343" s="4">
        <f>IFERROR(IF(G343&gt;0, H343/G343, 0),"-")</f>
        <v>1</v>
      </c>
      <c r="K343" s="34" t="s">
        <v>959</v>
      </c>
      <c r="L343" s="35" t="s">
        <v>959</v>
      </c>
      <c r="M343" s="34" t="str">
        <f>IF(OR(L343="-",L343="",L343=0),IF(K343="-","-",K343),K343-L343)</f>
        <v>-</v>
      </c>
      <c r="N343" s="4" t="str">
        <f>IFERROR(IF(K343&gt;0, L343/K343, 0),"-")</f>
        <v>-</v>
      </c>
      <c r="O343" s="34">
        <v>1</v>
      </c>
      <c r="P343" s="35">
        <v>1</v>
      </c>
      <c r="Q343" s="34">
        <f>IF(OR(P343="-",P343="",P343=0),IF(O343="-","-",O343),O343-P343)</f>
        <v>0</v>
      </c>
      <c r="R343" s="4">
        <f>IFERROR(IF(O343&gt;0, P343/O343, 0),"-")</f>
        <v>1</v>
      </c>
      <c r="S343" s="34">
        <v>401</v>
      </c>
      <c r="T343" s="34" t="s">
        <v>959</v>
      </c>
      <c r="U343" s="34" t="s">
        <v>959</v>
      </c>
      <c r="V343" s="35">
        <v>1</v>
      </c>
      <c r="W343" s="35">
        <v>2970</v>
      </c>
    </row>
    <row r="344" spans="1:23" x14ac:dyDescent="0.2">
      <c r="A344" s="30" t="s">
        <v>567</v>
      </c>
      <c r="B344" s="30" t="s">
        <v>1075</v>
      </c>
      <c r="C344" s="34">
        <v>96</v>
      </c>
      <c r="D344" s="35">
        <v>93</v>
      </c>
      <c r="E344" s="34">
        <f>IF(OR(D344="-",D344="",D344=0),IF(C344="-","-",C344),C344-D344)</f>
        <v>3</v>
      </c>
      <c r="F344" s="4">
        <f>IFERROR(IF(C344&gt;0, D344/C344, 0),"-")</f>
        <v>0.96875</v>
      </c>
      <c r="G344" s="34">
        <v>1</v>
      </c>
      <c r="H344" s="35" t="s">
        <v>959</v>
      </c>
      <c r="I344" s="34">
        <f>IF(OR(H344="-",H344="",H344=0),IF(G344="-","-",G344),G344-H344)</f>
        <v>1</v>
      </c>
      <c r="J344" s="4" t="str">
        <f>IFERROR(IF(G344&gt;0, H344/G344, 0),"-")</f>
        <v>-</v>
      </c>
      <c r="K344" s="34">
        <v>1</v>
      </c>
      <c r="L344" s="35" t="s">
        <v>959</v>
      </c>
      <c r="M344" s="34">
        <f>IF(OR(L344="-",L344="",L344=0),IF(K344="-","-",K344),K344-L344)</f>
        <v>1</v>
      </c>
      <c r="N344" s="4" t="str">
        <f>IFERROR(IF(K344&gt;0, L344/K344, 0),"-")</f>
        <v>-</v>
      </c>
      <c r="O344" s="34">
        <v>2</v>
      </c>
      <c r="P344" s="35" t="s">
        <v>959</v>
      </c>
      <c r="Q344" s="34">
        <f>IF(OR(P344="-",P344="",P344=0),IF(O344="-","-",O344),O344-P344)</f>
        <v>2</v>
      </c>
      <c r="R344" s="4" t="str">
        <f>IFERROR(IF(O344&gt;0, P344/O344, 0),"-")</f>
        <v>-</v>
      </c>
      <c r="S344" s="34">
        <v>6</v>
      </c>
      <c r="T344" s="34" t="s">
        <v>959</v>
      </c>
      <c r="U344" s="34" t="s">
        <v>959</v>
      </c>
      <c r="V344" s="35" t="s">
        <v>959</v>
      </c>
      <c r="W344" s="35" t="s">
        <v>959</v>
      </c>
    </row>
    <row r="345" spans="1:23" x14ac:dyDescent="0.2">
      <c r="A345" s="30" t="s">
        <v>566</v>
      </c>
      <c r="B345" s="30" t="s">
        <v>1076</v>
      </c>
      <c r="C345" s="34">
        <v>87</v>
      </c>
      <c r="D345" s="35">
        <v>81</v>
      </c>
      <c r="E345" s="34">
        <f>IF(OR(D345="-",D345="",D345=0),IF(C345="-","-",C345),C345-D345)</f>
        <v>6</v>
      </c>
      <c r="F345" s="4">
        <f>IFERROR(IF(C345&gt;0, D345/C345, 0),"-")</f>
        <v>0.93103448275862066</v>
      </c>
      <c r="G345" s="34" t="s">
        <v>959</v>
      </c>
      <c r="H345" s="35" t="s">
        <v>959</v>
      </c>
      <c r="I345" s="34" t="str">
        <f>IF(OR(H345="-",H345="",H345=0),IF(G345="-","-",G345),G345-H345)</f>
        <v>-</v>
      </c>
      <c r="J345" s="4" t="str">
        <f>IFERROR(IF(G345&gt;0, H345/G345, 0),"-")</f>
        <v>-</v>
      </c>
      <c r="K345" s="34">
        <v>2</v>
      </c>
      <c r="L345" s="35">
        <v>1</v>
      </c>
      <c r="M345" s="34">
        <f>IF(OR(L345="-",L345="",L345=0),IF(K345="-","-",K345),K345-L345)</f>
        <v>1</v>
      </c>
      <c r="N345" s="4">
        <f>IFERROR(IF(K345&gt;0, L345/K345, 0),"-")</f>
        <v>0.5</v>
      </c>
      <c r="O345" s="34">
        <v>1</v>
      </c>
      <c r="P345" s="35" t="s">
        <v>959</v>
      </c>
      <c r="Q345" s="34">
        <f>IF(OR(P345="-",P345="",P345=0),IF(O345="-","-",O345),O345-P345)</f>
        <v>1</v>
      </c>
      <c r="R345" s="4" t="str">
        <f>IFERROR(IF(O345&gt;0, P345/O345, 0),"-")</f>
        <v>-</v>
      </c>
      <c r="S345" s="34">
        <v>1</v>
      </c>
      <c r="T345" s="34" t="s">
        <v>959</v>
      </c>
      <c r="U345" s="34" t="s">
        <v>959</v>
      </c>
      <c r="V345" s="35" t="s">
        <v>959</v>
      </c>
      <c r="W345" s="35" t="s">
        <v>959</v>
      </c>
    </row>
    <row r="346" spans="1:23" x14ac:dyDescent="0.2">
      <c r="A346" s="30" t="s">
        <v>568</v>
      </c>
      <c r="B346" s="30" t="s">
        <v>1077</v>
      </c>
      <c r="C346" s="34">
        <v>38</v>
      </c>
      <c r="D346" s="35">
        <v>37</v>
      </c>
      <c r="E346" s="34">
        <f>IF(OR(D346="-",D346="",D346=0),IF(C346="-","-",C346),C346-D346)</f>
        <v>1</v>
      </c>
      <c r="F346" s="4">
        <f>IFERROR(IF(C346&gt;0, D346/C346, 0),"-")</f>
        <v>0.97368421052631582</v>
      </c>
      <c r="G346" s="34">
        <v>2</v>
      </c>
      <c r="H346" s="35" t="s">
        <v>959</v>
      </c>
      <c r="I346" s="34">
        <f>IF(OR(H346="-",H346="",H346=0),IF(G346="-","-",G346),G346-H346)</f>
        <v>2</v>
      </c>
      <c r="J346" s="4" t="str">
        <f>IFERROR(IF(G346&gt;0, H346/G346, 0),"-")</f>
        <v>-</v>
      </c>
      <c r="K346" s="34">
        <v>1</v>
      </c>
      <c r="L346" s="35" t="s">
        <v>959</v>
      </c>
      <c r="M346" s="34">
        <f>IF(OR(L346="-",L346="",L346=0),IF(K346="-","-",K346),K346-L346)</f>
        <v>1</v>
      </c>
      <c r="N346" s="4" t="str">
        <f>IFERROR(IF(K346&gt;0, L346/K346, 0),"-")</f>
        <v>-</v>
      </c>
      <c r="O346" s="34" t="s">
        <v>959</v>
      </c>
      <c r="P346" s="35" t="s">
        <v>959</v>
      </c>
      <c r="Q346" s="34" t="str">
        <f>IF(OR(P346="-",P346="",P346=0),IF(O346="-","-",O346),O346-P346)</f>
        <v>-</v>
      </c>
      <c r="R346" s="4" t="str">
        <f>IFERROR(IF(O346&gt;0, P346/O346, 0),"-")</f>
        <v>-</v>
      </c>
      <c r="S346" s="34">
        <v>1</v>
      </c>
      <c r="T346" s="34" t="s">
        <v>959</v>
      </c>
      <c r="U346" s="34" t="s">
        <v>959</v>
      </c>
      <c r="V346" s="35" t="s">
        <v>959</v>
      </c>
      <c r="W346" s="35" t="s">
        <v>959</v>
      </c>
    </row>
    <row r="347" spans="1:23" x14ac:dyDescent="0.2">
      <c r="A347" s="30" t="s">
        <v>553</v>
      </c>
      <c r="B347" s="30" t="s">
        <v>1078</v>
      </c>
      <c r="C347" s="34">
        <v>44</v>
      </c>
      <c r="D347" s="35">
        <v>44</v>
      </c>
      <c r="E347" s="34">
        <f>IF(OR(D347="-",D347="",D347=0),IF(C347="-","-",C347),C347-D347)</f>
        <v>0</v>
      </c>
      <c r="F347" s="4">
        <f>IFERROR(IF(C347&gt;0, D347/C347, 0),"-")</f>
        <v>1</v>
      </c>
      <c r="G347" s="34" t="s">
        <v>959</v>
      </c>
      <c r="H347" s="35" t="s">
        <v>959</v>
      </c>
      <c r="I347" s="34" t="str">
        <f>IF(OR(H347="-",H347="",H347=0),IF(G347="-","-",G347),G347-H347)</f>
        <v>-</v>
      </c>
      <c r="J347" s="4" t="str">
        <f>IFERROR(IF(G347&gt;0, H347/G347, 0),"-")</f>
        <v>-</v>
      </c>
      <c r="K347" s="34" t="s">
        <v>959</v>
      </c>
      <c r="L347" s="35" t="s">
        <v>959</v>
      </c>
      <c r="M347" s="34" t="str">
        <f>IF(OR(L347="-",L347="",L347=0),IF(K347="-","-",K347),K347-L347)</f>
        <v>-</v>
      </c>
      <c r="N347" s="4" t="str">
        <f>IFERROR(IF(K347&gt;0, L347/K347, 0),"-")</f>
        <v>-</v>
      </c>
      <c r="O347" s="34">
        <v>1</v>
      </c>
      <c r="P347" s="35" t="s">
        <v>959</v>
      </c>
      <c r="Q347" s="34">
        <f>IF(OR(P347="-",P347="",P347=0),IF(O347="-","-",O347),O347-P347)</f>
        <v>1</v>
      </c>
      <c r="R347" s="4" t="str">
        <f>IFERROR(IF(O347&gt;0, P347/O347, 0),"-")</f>
        <v>-</v>
      </c>
      <c r="S347" s="34">
        <v>316</v>
      </c>
      <c r="T347" s="34">
        <v>1</v>
      </c>
      <c r="U347" s="34">
        <v>2700</v>
      </c>
      <c r="V347" s="35" t="s">
        <v>959</v>
      </c>
      <c r="W347" s="35" t="s">
        <v>959</v>
      </c>
    </row>
    <row r="348" spans="1:23" x14ac:dyDescent="0.2">
      <c r="A348" s="30" t="s">
        <v>551</v>
      </c>
      <c r="B348" s="30" t="s">
        <v>1079</v>
      </c>
      <c r="C348" s="34">
        <v>228</v>
      </c>
      <c r="D348" s="35">
        <v>224</v>
      </c>
      <c r="E348" s="34">
        <f>IF(OR(D348="-",D348="",D348=0),IF(C348="-","-",C348),C348-D348)</f>
        <v>4</v>
      </c>
      <c r="F348" s="4">
        <f>IFERROR(IF(C348&gt;0, D348/C348, 0),"-")</f>
        <v>0.98245614035087714</v>
      </c>
      <c r="G348" s="34" t="s">
        <v>959</v>
      </c>
      <c r="H348" s="35" t="s">
        <v>959</v>
      </c>
      <c r="I348" s="34" t="str">
        <f>IF(OR(H348="-",H348="",H348=0),IF(G348="-","-",G348),G348-H348)</f>
        <v>-</v>
      </c>
      <c r="J348" s="4" t="str">
        <f>IFERROR(IF(G348&gt;0, H348/G348, 0),"-")</f>
        <v>-</v>
      </c>
      <c r="K348" s="34">
        <v>1</v>
      </c>
      <c r="L348" s="35" t="s">
        <v>959</v>
      </c>
      <c r="M348" s="34">
        <f>IF(OR(L348="-",L348="",L348=0),IF(K348="-","-",K348),K348-L348)</f>
        <v>1</v>
      </c>
      <c r="N348" s="4" t="str">
        <f>IFERROR(IF(K348&gt;0, L348/K348, 0),"-")</f>
        <v>-</v>
      </c>
      <c r="O348" s="34">
        <v>4</v>
      </c>
      <c r="P348" s="35">
        <v>1</v>
      </c>
      <c r="Q348" s="34">
        <f>IF(OR(P348="-",P348="",P348=0),IF(O348="-","-",O348),O348-P348)</f>
        <v>3</v>
      </c>
      <c r="R348" s="4">
        <f>IFERROR(IF(O348&gt;0, P348/O348, 0),"-")</f>
        <v>0.25</v>
      </c>
      <c r="S348" s="34">
        <v>261</v>
      </c>
      <c r="T348" s="34">
        <v>4</v>
      </c>
      <c r="U348" s="34">
        <v>7700</v>
      </c>
      <c r="V348" s="35">
        <v>2</v>
      </c>
      <c r="W348" s="35">
        <v>17757</v>
      </c>
    </row>
    <row r="349" spans="1:23" x14ac:dyDescent="0.2">
      <c r="A349" s="30" t="s">
        <v>555</v>
      </c>
      <c r="B349" s="30" t="s">
        <v>1080</v>
      </c>
      <c r="C349" s="34">
        <v>174</v>
      </c>
      <c r="D349" s="35">
        <v>172</v>
      </c>
      <c r="E349" s="34">
        <f>IF(OR(D349="-",D349="",D349=0),IF(C349="-","-",C349),C349-D349)</f>
        <v>2</v>
      </c>
      <c r="F349" s="4">
        <f>IFERROR(IF(C349&gt;0, D349/C349, 0),"-")</f>
        <v>0.9885057471264368</v>
      </c>
      <c r="G349" s="34" t="s">
        <v>959</v>
      </c>
      <c r="H349" s="35" t="s">
        <v>959</v>
      </c>
      <c r="I349" s="34" t="str">
        <f>IF(OR(H349="-",H349="",H349=0),IF(G349="-","-",G349),G349-H349)</f>
        <v>-</v>
      </c>
      <c r="J349" s="4" t="str">
        <f>IFERROR(IF(G349&gt;0, H349/G349, 0),"-")</f>
        <v>-</v>
      </c>
      <c r="K349" s="34" t="s">
        <v>959</v>
      </c>
      <c r="L349" s="35" t="s">
        <v>959</v>
      </c>
      <c r="M349" s="34" t="str">
        <f>IF(OR(L349="-",L349="",L349=0),IF(K349="-","-",K349),K349-L349)</f>
        <v>-</v>
      </c>
      <c r="N349" s="4" t="str">
        <f>IFERROR(IF(K349&gt;0, L349/K349, 0),"-")</f>
        <v>-</v>
      </c>
      <c r="O349" s="34">
        <v>1</v>
      </c>
      <c r="P349" s="35" t="s">
        <v>959</v>
      </c>
      <c r="Q349" s="34">
        <f>IF(OR(P349="-",P349="",P349=0),IF(O349="-","-",O349),O349-P349)</f>
        <v>1</v>
      </c>
      <c r="R349" s="4" t="str">
        <f>IFERROR(IF(O349&gt;0, P349/O349, 0),"-")</f>
        <v>-</v>
      </c>
      <c r="S349" s="34">
        <v>299</v>
      </c>
      <c r="T349" s="34">
        <v>2</v>
      </c>
      <c r="U349" s="34">
        <v>3695</v>
      </c>
      <c r="V349" s="35">
        <v>2</v>
      </c>
      <c r="W349" s="35">
        <v>25954</v>
      </c>
    </row>
    <row r="350" spans="1:23" x14ac:dyDescent="0.2">
      <c r="A350" s="30" t="s">
        <v>549</v>
      </c>
      <c r="B350" s="30" t="s">
        <v>1081</v>
      </c>
      <c r="C350" s="34">
        <v>145</v>
      </c>
      <c r="D350" s="35">
        <v>143</v>
      </c>
      <c r="E350" s="34">
        <f>IF(OR(D350="-",D350="",D350=0),IF(C350="-","-",C350),C350-D350)</f>
        <v>2</v>
      </c>
      <c r="F350" s="4">
        <f>IFERROR(IF(C350&gt;0, D350/C350, 0),"-")</f>
        <v>0.98620689655172411</v>
      </c>
      <c r="G350" s="34" t="s">
        <v>959</v>
      </c>
      <c r="H350" s="35" t="s">
        <v>959</v>
      </c>
      <c r="I350" s="34" t="str">
        <f>IF(OR(H350="-",H350="",H350=0),IF(G350="-","-",G350),G350-H350)</f>
        <v>-</v>
      </c>
      <c r="J350" s="4" t="str">
        <f>IFERROR(IF(G350&gt;0, H350/G350, 0),"-")</f>
        <v>-</v>
      </c>
      <c r="K350" s="34" t="s">
        <v>959</v>
      </c>
      <c r="L350" s="35" t="s">
        <v>959</v>
      </c>
      <c r="M350" s="34" t="str">
        <f>IF(OR(L350="-",L350="",L350=0),IF(K350="-","-",K350),K350-L350)</f>
        <v>-</v>
      </c>
      <c r="N350" s="4" t="str">
        <f>IFERROR(IF(K350&gt;0, L350/K350, 0),"-")</f>
        <v>-</v>
      </c>
      <c r="O350" s="34">
        <v>2</v>
      </c>
      <c r="P350" s="35" t="s">
        <v>959</v>
      </c>
      <c r="Q350" s="34">
        <f>IF(OR(P350="-",P350="",P350=0),IF(O350="-","-",O350),O350-P350)</f>
        <v>2</v>
      </c>
      <c r="R350" s="4" t="str">
        <f>IFERROR(IF(O350&gt;0, P350/O350, 0),"-")</f>
        <v>-</v>
      </c>
      <c r="S350" s="34">
        <v>332</v>
      </c>
      <c r="T350" s="34">
        <v>1</v>
      </c>
      <c r="U350" s="34">
        <v>1000</v>
      </c>
      <c r="V350" s="35">
        <v>2</v>
      </c>
      <c r="W350" s="35">
        <v>33634</v>
      </c>
    </row>
    <row r="351" spans="1:23" x14ac:dyDescent="0.2">
      <c r="A351" s="30" t="s">
        <v>554</v>
      </c>
      <c r="B351" s="30" t="s">
        <v>1082</v>
      </c>
      <c r="C351" s="34">
        <v>82</v>
      </c>
      <c r="D351" s="35">
        <v>82</v>
      </c>
      <c r="E351" s="34">
        <f>IF(OR(D351="-",D351="",D351=0),IF(C351="-","-",C351),C351-D351)</f>
        <v>0</v>
      </c>
      <c r="F351" s="4">
        <f>IFERROR(IF(C351&gt;0, D351/C351, 0),"-")</f>
        <v>1</v>
      </c>
      <c r="G351" s="34">
        <v>1</v>
      </c>
      <c r="H351" s="35">
        <v>1</v>
      </c>
      <c r="I351" s="34">
        <f>IF(OR(H351="-",H351="",H351=0),IF(G351="-","-",G351),G351-H351)</f>
        <v>0</v>
      </c>
      <c r="J351" s="4">
        <f>IFERROR(IF(G351&gt;0, H351/G351, 0),"-")</f>
        <v>1</v>
      </c>
      <c r="K351" s="34" t="s">
        <v>959</v>
      </c>
      <c r="L351" s="35" t="s">
        <v>959</v>
      </c>
      <c r="M351" s="34" t="str">
        <f>IF(OR(L351="-",L351="",L351=0),IF(K351="-","-",K351),K351-L351)</f>
        <v>-</v>
      </c>
      <c r="N351" s="4" t="str">
        <f>IFERROR(IF(K351&gt;0, L351/K351, 0),"-")</f>
        <v>-</v>
      </c>
      <c r="O351" s="34">
        <v>2</v>
      </c>
      <c r="P351" s="35" t="s">
        <v>959</v>
      </c>
      <c r="Q351" s="34">
        <f>IF(OR(P351="-",P351="",P351=0),IF(O351="-","-",O351),O351-P351)</f>
        <v>2</v>
      </c>
      <c r="R351" s="4" t="str">
        <f>IFERROR(IF(O351&gt;0, P351/O351, 0),"-")</f>
        <v>-</v>
      </c>
      <c r="S351" s="34">
        <v>615</v>
      </c>
      <c r="T351" s="34">
        <v>7</v>
      </c>
      <c r="U351" s="34">
        <v>19400</v>
      </c>
      <c r="V351" s="35">
        <v>2</v>
      </c>
      <c r="W351" s="35">
        <v>44131</v>
      </c>
    </row>
    <row r="352" spans="1:23" x14ac:dyDescent="0.2">
      <c r="A352" s="30" t="s">
        <v>550</v>
      </c>
      <c r="B352" s="30" t="s">
        <v>1083</v>
      </c>
      <c r="C352" s="34">
        <v>104</v>
      </c>
      <c r="D352" s="35">
        <v>104</v>
      </c>
      <c r="E352" s="34">
        <f>IF(OR(D352="-",D352="",D352=0),IF(C352="-","-",C352),C352-D352)</f>
        <v>0</v>
      </c>
      <c r="F352" s="4">
        <f>IFERROR(IF(C352&gt;0, D352/C352, 0),"-")</f>
        <v>1</v>
      </c>
      <c r="G352" s="34">
        <v>1</v>
      </c>
      <c r="H352" s="35" t="s">
        <v>959</v>
      </c>
      <c r="I352" s="34">
        <f>IF(OR(H352="-",H352="",H352=0),IF(G352="-","-",G352),G352-H352)</f>
        <v>1</v>
      </c>
      <c r="J352" s="4" t="str">
        <f>IFERROR(IF(G352&gt;0, H352/G352, 0),"-")</f>
        <v>-</v>
      </c>
      <c r="K352" s="34" t="s">
        <v>959</v>
      </c>
      <c r="L352" s="35" t="s">
        <v>959</v>
      </c>
      <c r="M352" s="34" t="str">
        <f>IF(OR(L352="-",L352="",L352=0),IF(K352="-","-",K352),K352-L352)</f>
        <v>-</v>
      </c>
      <c r="N352" s="4" t="str">
        <f>IFERROR(IF(K352&gt;0, L352/K352, 0),"-")</f>
        <v>-</v>
      </c>
      <c r="O352" s="34" t="s">
        <v>959</v>
      </c>
      <c r="P352" s="35" t="s">
        <v>959</v>
      </c>
      <c r="Q352" s="34" t="str">
        <f>IF(OR(P352="-",P352="",P352=0),IF(O352="-","-",O352),O352-P352)</f>
        <v>-</v>
      </c>
      <c r="R352" s="4" t="str">
        <f>IFERROR(IF(O352&gt;0, P352/O352, 0),"-")</f>
        <v>-</v>
      </c>
      <c r="S352" s="34">
        <v>836</v>
      </c>
      <c r="T352" s="34">
        <v>8</v>
      </c>
      <c r="U352" s="34">
        <v>10900</v>
      </c>
      <c r="V352" s="35">
        <v>1</v>
      </c>
      <c r="W352" s="35">
        <v>3297</v>
      </c>
    </row>
    <row r="353" spans="1:23" x14ac:dyDescent="0.2">
      <c r="A353" s="29"/>
      <c r="B353" s="29" t="s">
        <v>56</v>
      </c>
      <c r="C353" s="32">
        <v>1801</v>
      </c>
      <c r="D353" s="32">
        <v>1769</v>
      </c>
      <c r="E353" s="32">
        <f>IF(OR(D353="-",D353="",D353=0),IF(C353="-","-",C353),C353-D353)</f>
        <v>32</v>
      </c>
      <c r="F353" s="36">
        <f>IFERROR(IF(C353&gt;0, D353/C353, 0),"-")</f>
        <v>0.98223209328151029</v>
      </c>
      <c r="G353" s="32">
        <v>17</v>
      </c>
      <c r="H353" s="32">
        <v>5</v>
      </c>
      <c r="I353" s="32">
        <f>IF(OR(H353="-",H353="",H353=0),IF(G353="-","-",G353),G353-H353)</f>
        <v>12</v>
      </c>
      <c r="J353" s="36">
        <f>IFERROR(IF(G353&gt;0, H353/G353, 0),"-")</f>
        <v>0.29411764705882354</v>
      </c>
      <c r="K353" s="32">
        <v>21</v>
      </c>
      <c r="L353" s="32">
        <v>7</v>
      </c>
      <c r="M353" s="32">
        <f>IF(OR(L353="-",L353="",L353=0),IF(K353="-","-",K353),K353-L353)</f>
        <v>14</v>
      </c>
      <c r="N353" s="36">
        <f>IFERROR(IF(K353&gt;0, L353/K353, 0),"-")</f>
        <v>0.33333333333333331</v>
      </c>
      <c r="O353" s="32">
        <v>45</v>
      </c>
      <c r="P353" s="32">
        <v>6</v>
      </c>
      <c r="Q353" s="32">
        <f>IF(OR(P353="-",P353="",P353=0),IF(O353="-","-",O353),O353-P353)</f>
        <v>39</v>
      </c>
      <c r="R353" s="36">
        <f>IFERROR(IF(O353&gt;0, P353/O353, 0),"-")</f>
        <v>0.13333333333333333</v>
      </c>
      <c r="S353" s="32">
        <v>1250</v>
      </c>
      <c r="T353" s="32">
        <v>28</v>
      </c>
      <c r="U353" s="32">
        <v>75330</v>
      </c>
      <c r="V353" s="32">
        <v>15</v>
      </c>
      <c r="W353" s="32">
        <v>399204</v>
      </c>
    </row>
    <row r="354" spans="1:23" x14ac:dyDescent="0.2">
      <c r="A354" s="30" t="s">
        <v>349</v>
      </c>
      <c r="B354" s="30" t="s">
        <v>1084</v>
      </c>
      <c r="C354" s="34">
        <v>264</v>
      </c>
      <c r="D354" s="35">
        <v>259</v>
      </c>
      <c r="E354" s="34">
        <f>IF(OR(D354="-",D354="",D354=0),IF(C354="-","-",C354),C354-D354)</f>
        <v>5</v>
      </c>
      <c r="F354" s="4">
        <f>IFERROR(IF(C354&gt;0, D354/C354, 0),"-")</f>
        <v>0.98106060606060608</v>
      </c>
      <c r="G354" s="34">
        <v>2</v>
      </c>
      <c r="H354" s="35" t="s">
        <v>959</v>
      </c>
      <c r="I354" s="34">
        <f>IF(OR(H354="-",H354="",H354=0),IF(G354="-","-",G354),G354-H354)</f>
        <v>2</v>
      </c>
      <c r="J354" s="4" t="str">
        <f>IFERROR(IF(G354&gt;0, H354/G354, 0),"-")</f>
        <v>-</v>
      </c>
      <c r="K354" s="34">
        <v>4</v>
      </c>
      <c r="L354" s="35">
        <v>2</v>
      </c>
      <c r="M354" s="34">
        <f>IF(OR(L354="-",L354="",L354=0),IF(K354="-","-",K354),K354-L354)</f>
        <v>2</v>
      </c>
      <c r="N354" s="4">
        <f>IFERROR(IF(K354&gt;0, L354/K354, 0),"-")</f>
        <v>0.5</v>
      </c>
      <c r="O354" s="34">
        <v>9</v>
      </c>
      <c r="P354" s="35" t="s">
        <v>959</v>
      </c>
      <c r="Q354" s="34">
        <f>IF(OR(P354="-",P354="",P354=0),IF(O354="-","-",O354),O354-P354)</f>
        <v>9</v>
      </c>
      <c r="R354" s="4" t="str">
        <f>IFERROR(IF(O354&gt;0, P354/O354, 0),"-")</f>
        <v>-</v>
      </c>
      <c r="S354" s="34">
        <v>191</v>
      </c>
      <c r="T354" s="34">
        <v>2</v>
      </c>
      <c r="U354" s="34">
        <v>4700</v>
      </c>
      <c r="V354" s="35">
        <v>2</v>
      </c>
      <c r="W354" s="35">
        <v>41480</v>
      </c>
    </row>
    <row r="355" spans="1:23" x14ac:dyDescent="0.2">
      <c r="A355" s="30" t="s">
        <v>347</v>
      </c>
      <c r="B355" s="30" t="s">
        <v>1085</v>
      </c>
      <c r="C355" s="34">
        <v>220</v>
      </c>
      <c r="D355" s="35">
        <v>215</v>
      </c>
      <c r="E355" s="34">
        <f>IF(OR(D355="-",D355="",D355=0),IF(C355="-","-",C355),C355-D355)</f>
        <v>5</v>
      </c>
      <c r="F355" s="4">
        <f>IFERROR(IF(C355&gt;0, D355/C355, 0),"-")</f>
        <v>0.97727272727272729</v>
      </c>
      <c r="G355" s="34">
        <v>2</v>
      </c>
      <c r="H355" s="35">
        <v>1</v>
      </c>
      <c r="I355" s="34">
        <f>IF(OR(H355="-",H355="",H355=0),IF(G355="-","-",G355),G355-H355)</f>
        <v>1</v>
      </c>
      <c r="J355" s="4">
        <f>IFERROR(IF(G355&gt;0, H355/G355, 0),"-")</f>
        <v>0.5</v>
      </c>
      <c r="K355" s="34">
        <v>5</v>
      </c>
      <c r="L355" s="35" t="s">
        <v>959</v>
      </c>
      <c r="M355" s="34">
        <f>IF(OR(L355="-",L355="",L355=0),IF(K355="-","-",K355),K355-L355)</f>
        <v>5</v>
      </c>
      <c r="N355" s="4" t="str">
        <f>IFERROR(IF(K355&gt;0, L355/K355, 0),"-")</f>
        <v>-</v>
      </c>
      <c r="O355" s="34">
        <v>10</v>
      </c>
      <c r="P355" s="35">
        <v>3</v>
      </c>
      <c r="Q355" s="34">
        <f>IF(OR(P355="-",P355="",P355=0),IF(O355="-","-",O355),O355-P355)</f>
        <v>7</v>
      </c>
      <c r="R355" s="4">
        <f>IFERROR(IF(O355&gt;0, P355/O355, 0),"-")</f>
        <v>0.3</v>
      </c>
      <c r="S355" s="34">
        <v>239</v>
      </c>
      <c r="T355" s="34">
        <v>4</v>
      </c>
      <c r="U355" s="34">
        <v>8200</v>
      </c>
      <c r="V355" s="35">
        <v>3</v>
      </c>
      <c r="W355" s="35">
        <v>66648</v>
      </c>
    </row>
    <row r="356" spans="1:23" x14ac:dyDescent="0.2">
      <c r="A356" s="30" t="s">
        <v>351</v>
      </c>
      <c r="B356" s="30" t="s">
        <v>1086</v>
      </c>
      <c r="C356" s="34">
        <v>239</v>
      </c>
      <c r="D356" s="35">
        <v>238</v>
      </c>
      <c r="E356" s="34">
        <f>IF(OR(D356="-",D356="",D356=0),IF(C356="-","-",C356),C356-D356)</f>
        <v>1</v>
      </c>
      <c r="F356" s="4">
        <f>IFERROR(IF(C356&gt;0, D356/C356, 0),"-")</f>
        <v>0.99581589958159</v>
      </c>
      <c r="G356" s="34">
        <v>3</v>
      </c>
      <c r="H356" s="35" t="s">
        <v>959</v>
      </c>
      <c r="I356" s="34">
        <f>IF(OR(H356="-",H356="",H356=0),IF(G356="-","-",G356),G356-H356)</f>
        <v>3</v>
      </c>
      <c r="J356" s="4" t="str">
        <f>IFERROR(IF(G356&gt;0, H356/G356, 0),"-")</f>
        <v>-</v>
      </c>
      <c r="K356" s="34">
        <v>1</v>
      </c>
      <c r="L356" s="35">
        <v>1</v>
      </c>
      <c r="M356" s="34">
        <f>IF(OR(L356="-",L356="",L356=0),IF(K356="-","-",K356),K356-L356)</f>
        <v>0</v>
      </c>
      <c r="N356" s="4">
        <f>IFERROR(IF(K356&gt;0, L356/K356, 0),"-")</f>
        <v>1</v>
      </c>
      <c r="O356" s="34">
        <v>4</v>
      </c>
      <c r="P356" s="35">
        <v>1</v>
      </c>
      <c r="Q356" s="34">
        <f>IF(OR(P356="-",P356="",P356=0),IF(O356="-","-",O356),O356-P356)</f>
        <v>3</v>
      </c>
      <c r="R356" s="4">
        <f>IFERROR(IF(O356&gt;0, P356/O356, 0),"-")</f>
        <v>0.25</v>
      </c>
      <c r="S356" s="34">
        <v>141</v>
      </c>
      <c r="T356" s="34">
        <v>3</v>
      </c>
      <c r="U356" s="34">
        <v>7950</v>
      </c>
      <c r="V356" s="35" t="s">
        <v>959</v>
      </c>
      <c r="W356" s="35" t="s">
        <v>959</v>
      </c>
    </row>
    <row r="357" spans="1:23" x14ac:dyDescent="0.2">
      <c r="A357" s="30" t="s">
        <v>346</v>
      </c>
      <c r="B357" s="30" t="s">
        <v>1087</v>
      </c>
      <c r="C357" s="34">
        <v>235</v>
      </c>
      <c r="D357" s="35">
        <v>234</v>
      </c>
      <c r="E357" s="34">
        <f>IF(OR(D357="-",D357="",D357=0),IF(C357="-","-",C357),C357-D357)</f>
        <v>1</v>
      </c>
      <c r="F357" s="4">
        <f>IFERROR(IF(C357&gt;0, D357/C357, 0),"-")</f>
        <v>0.99574468085106382</v>
      </c>
      <c r="G357" s="34">
        <v>3</v>
      </c>
      <c r="H357" s="35">
        <v>1</v>
      </c>
      <c r="I357" s="34">
        <f>IF(OR(H357="-",H357="",H357=0),IF(G357="-","-",G357),G357-H357)</f>
        <v>2</v>
      </c>
      <c r="J357" s="4">
        <f>IFERROR(IF(G357&gt;0, H357/G357, 0),"-")</f>
        <v>0.33333333333333331</v>
      </c>
      <c r="K357" s="34">
        <v>3</v>
      </c>
      <c r="L357" s="35">
        <v>1</v>
      </c>
      <c r="M357" s="34">
        <f>IF(OR(L357="-",L357="",L357=0),IF(K357="-","-",K357),K357-L357)</f>
        <v>2</v>
      </c>
      <c r="N357" s="4">
        <f>IFERROR(IF(K357&gt;0, L357/K357, 0),"-")</f>
        <v>0.33333333333333331</v>
      </c>
      <c r="O357" s="34">
        <v>4</v>
      </c>
      <c r="P357" s="35" t="s">
        <v>959</v>
      </c>
      <c r="Q357" s="34">
        <f>IF(OR(P357="-",P357="",P357=0),IF(O357="-","-",O357),O357-P357)</f>
        <v>4</v>
      </c>
      <c r="R357" s="4" t="str">
        <f>IFERROR(IF(O357&gt;0, P357/O357, 0),"-")</f>
        <v>-</v>
      </c>
      <c r="S357" s="34">
        <v>159</v>
      </c>
      <c r="T357" s="34">
        <v>3</v>
      </c>
      <c r="U357" s="34">
        <v>8400</v>
      </c>
      <c r="V357" s="35">
        <v>1</v>
      </c>
      <c r="W357" s="35">
        <v>37122</v>
      </c>
    </row>
    <row r="358" spans="1:23" x14ac:dyDescent="0.2">
      <c r="A358" s="30" t="s">
        <v>350</v>
      </c>
      <c r="B358" s="30" t="s">
        <v>1088</v>
      </c>
      <c r="C358" s="34">
        <v>199</v>
      </c>
      <c r="D358" s="35">
        <v>189</v>
      </c>
      <c r="E358" s="34">
        <f>IF(OR(D358="-",D358="",D358=0),IF(C358="-","-",C358),C358-D358)</f>
        <v>10</v>
      </c>
      <c r="F358" s="4">
        <f>IFERROR(IF(C358&gt;0, D358/C358, 0),"-")</f>
        <v>0.94974874371859297</v>
      </c>
      <c r="G358" s="34">
        <v>2</v>
      </c>
      <c r="H358" s="35">
        <v>2</v>
      </c>
      <c r="I358" s="34">
        <f>IF(OR(H358="-",H358="",H358=0),IF(G358="-","-",G358),G358-H358)</f>
        <v>0</v>
      </c>
      <c r="J358" s="4">
        <f>IFERROR(IF(G358&gt;0, H358/G358, 0),"-")</f>
        <v>1</v>
      </c>
      <c r="K358" s="34">
        <v>2</v>
      </c>
      <c r="L358" s="35">
        <v>1</v>
      </c>
      <c r="M358" s="34">
        <f>IF(OR(L358="-",L358="",L358=0),IF(K358="-","-",K358),K358-L358)</f>
        <v>1</v>
      </c>
      <c r="N358" s="4">
        <f>IFERROR(IF(K358&gt;0, L358/K358, 0),"-")</f>
        <v>0.5</v>
      </c>
      <c r="O358" s="34">
        <v>3</v>
      </c>
      <c r="P358" s="35">
        <v>1</v>
      </c>
      <c r="Q358" s="34">
        <f>IF(OR(P358="-",P358="",P358=0),IF(O358="-","-",O358),O358-P358)</f>
        <v>2</v>
      </c>
      <c r="R358" s="4">
        <f>IFERROR(IF(O358&gt;0, P358/O358, 0),"-")</f>
        <v>0.33333333333333331</v>
      </c>
      <c r="S358" s="34">
        <v>94</v>
      </c>
      <c r="T358" s="34">
        <v>6</v>
      </c>
      <c r="U358" s="34">
        <v>19500</v>
      </c>
      <c r="V358" s="35">
        <v>1</v>
      </c>
      <c r="W358" s="35">
        <v>19279</v>
      </c>
    </row>
    <row r="359" spans="1:23" x14ac:dyDescent="0.2">
      <c r="A359" s="30" t="s">
        <v>345</v>
      </c>
      <c r="B359" s="30" t="s">
        <v>1089</v>
      </c>
      <c r="C359" s="34">
        <v>207</v>
      </c>
      <c r="D359" s="35">
        <v>201</v>
      </c>
      <c r="E359" s="34">
        <f>IF(OR(D359="-",D359="",D359=0),IF(C359="-","-",C359),C359-D359)</f>
        <v>6</v>
      </c>
      <c r="F359" s="4">
        <f>IFERROR(IF(C359&gt;0, D359/C359, 0),"-")</f>
        <v>0.97101449275362317</v>
      </c>
      <c r="G359" s="34">
        <v>3</v>
      </c>
      <c r="H359" s="35" t="s">
        <v>959</v>
      </c>
      <c r="I359" s="34">
        <f>IF(OR(H359="-",H359="",H359=0),IF(G359="-","-",G359),G359-H359)</f>
        <v>3</v>
      </c>
      <c r="J359" s="4" t="str">
        <f>IFERROR(IF(G359&gt;0, H359/G359, 0),"-")</f>
        <v>-</v>
      </c>
      <c r="K359" s="34">
        <v>3</v>
      </c>
      <c r="L359" s="35">
        <v>1</v>
      </c>
      <c r="M359" s="34">
        <f>IF(OR(L359="-",L359="",L359=0),IF(K359="-","-",K359),K359-L359)</f>
        <v>2</v>
      </c>
      <c r="N359" s="4">
        <f>IFERROR(IF(K359&gt;0, L359/K359, 0),"-")</f>
        <v>0.33333333333333331</v>
      </c>
      <c r="O359" s="34">
        <v>8</v>
      </c>
      <c r="P359" s="35" t="s">
        <v>959</v>
      </c>
      <c r="Q359" s="34">
        <f>IF(OR(P359="-",P359="",P359=0),IF(O359="-","-",O359),O359-P359)</f>
        <v>8</v>
      </c>
      <c r="R359" s="4" t="str">
        <f>IFERROR(IF(O359&gt;0, P359/O359, 0),"-")</f>
        <v>-</v>
      </c>
      <c r="S359" s="34">
        <v>163</v>
      </c>
      <c r="T359" s="34">
        <v>3</v>
      </c>
      <c r="U359" s="34">
        <v>10735</v>
      </c>
      <c r="V359" s="35">
        <v>3</v>
      </c>
      <c r="W359" s="35">
        <v>125602</v>
      </c>
    </row>
    <row r="360" spans="1:23" x14ac:dyDescent="0.2">
      <c r="A360" s="30" t="s">
        <v>344</v>
      </c>
      <c r="B360" s="30" t="s">
        <v>1090</v>
      </c>
      <c r="C360" s="34">
        <v>269</v>
      </c>
      <c r="D360" s="35">
        <v>265</v>
      </c>
      <c r="E360" s="34">
        <f>IF(OR(D360="-",D360="",D360=0),IF(C360="-","-",C360),C360-D360)</f>
        <v>4</v>
      </c>
      <c r="F360" s="4">
        <f>IFERROR(IF(C360&gt;0, D360/C360, 0),"-")</f>
        <v>0.98513011152416352</v>
      </c>
      <c r="G360" s="34">
        <v>1</v>
      </c>
      <c r="H360" s="35">
        <v>1</v>
      </c>
      <c r="I360" s="34">
        <f>IF(OR(H360="-",H360="",H360=0),IF(G360="-","-",G360),G360-H360)</f>
        <v>0</v>
      </c>
      <c r="J360" s="4">
        <f>IFERROR(IF(G360&gt;0, H360/G360, 0),"-")</f>
        <v>1</v>
      </c>
      <c r="K360" s="34">
        <v>1</v>
      </c>
      <c r="L360" s="35" t="s">
        <v>959</v>
      </c>
      <c r="M360" s="34">
        <f>IF(OR(L360="-",L360="",L360=0),IF(K360="-","-",K360),K360-L360)</f>
        <v>1</v>
      </c>
      <c r="N360" s="4" t="str">
        <f>IFERROR(IF(K360&gt;0, L360/K360, 0),"-")</f>
        <v>-</v>
      </c>
      <c r="O360" s="34">
        <v>4</v>
      </c>
      <c r="P360" s="35">
        <v>1</v>
      </c>
      <c r="Q360" s="34">
        <f>IF(OR(P360="-",P360="",P360=0),IF(O360="-","-",O360),O360-P360)</f>
        <v>3</v>
      </c>
      <c r="R360" s="4">
        <f>IFERROR(IF(O360&gt;0, P360/O360, 0),"-")</f>
        <v>0.25</v>
      </c>
      <c r="S360" s="34">
        <v>129</v>
      </c>
      <c r="T360" s="34">
        <v>2</v>
      </c>
      <c r="U360" s="34">
        <v>5395</v>
      </c>
      <c r="V360" s="35">
        <v>4</v>
      </c>
      <c r="W360" s="35">
        <v>81253</v>
      </c>
    </row>
    <row r="361" spans="1:23" x14ac:dyDescent="0.2">
      <c r="A361" s="30" t="s">
        <v>352</v>
      </c>
      <c r="B361" s="30" t="s">
        <v>1091</v>
      </c>
      <c r="C361" s="34">
        <v>16</v>
      </c>
      <c r="D361" s="35">
        <v>16</v>
      </c>
      <c r="E361" s="34">
        <f>IF(OR(D361="-",D361="",D361=0),IF(C361="-","-",C361),C361-D361)</f>
        <v>0</v>
      </c>
      <c r="F361" s="4">
        <f>IFERROR(IF(C361&gt;0, D361/C361, 0),"-")</f>
        <v>1</v>
      </c>
      <c r="G361" s="34" t="s">
        <v>959</v>
      </c>
      <c r="H361" s="35" t="s">
        <v>959</v>
      </c>
      <c r="I361" s="34" t="str">
        <f>IF(OR(H361="-",H361="",H361=0),IF(G361="-","-",G361),G361-H361)</f>
        <v>-</v>
      </c>
      <c r="J361" s="4" t="str">
        <f>IFERROR(IF(G361&gt;0, H361/G361, 0),"-")</f>
        <v>-</v>
      </c>
      <c r="K361" s="34" t="s">
        <v>959</v>
      </c>
      <c r="L361" s="35" t="s">
        <v>959</v>
      </c>
      <c r="M361" s="34" t="str">
        <f>IF(OR(L361="-",L361="",L361=0),IF(K361="-","-",K361),K361-L361)</f>
        <v>-</v>
      </c>
      <c r="N361" s="4" t="str">
        <f>IFERROR(IF(K361&gt;0, L361/K361, 0),"-")</f>
        <v>-</v>
      </c>
      <c r="O361" s="34" t="s">
        <v>959</v>
      </c>
      <c r="P361" s="35" t="s">
        <v>959</v>
      </c>
      <c r="Q361" s="34" t="str">
        <f>IF(OR(P361="-",P361="",P361=0),IF(O361="-","-",O361),O361-P361)</f>
        <v>-</v>
      </c>
      <c r="R361" s="4" t="str">
        <f>IFERROR(IF(O361&gt;0, P361/O361, 0),"-")</f>
        <v>-</v>
      </c>
      <c r="S361" s="34">
        <v>20</v>
      </c>
      <c r="T361" s="34">
        <v>1</v>
      </c>
      <c r="U361" s="34">
        <v>2000</v>
      </c>
      <c r="V361" s="35" t="s">
        <v>959</v>
      </c>
      <c r="W361" s="35" t="s">
        <v>959</v>
      </c>
    </row>
    <row r="362" spans="1:23" x14ac:dyDescent="0.2">
      <c r="A362" s="30" t="s">
        <v>348</v>
      </c>
      <c r="B362" s="30" t="s">
        <v>1092</v>
      </c>
      <c r="C362" s="34">
        <v>152</v>
      </c>
      <c r="D362" s="35">
        <v>152</v>
      </c>
      <c r="E362" s="34">
        <f>IF(OR(D362="-",D362="",D362=0),IF(C362="-","-",C362),C362-D362)</f>
        <v>0</v>
      </c>
      <c r="F362" s="4">
        <f>IFERROR(IF(C362&gt;0, D362/C362, 0),"-")</f>
        <v>1</v>
      </c>
      <c r="G362" s="34">
        <v>1</v>
      </c>
      <c r="H362" s="35" t="s">
        <v>959</v>
      </c>
      <c r="I362" s="34">
        <f>IF(OR(H362="-",H362="",H362=0),IF(G362="-","-",G362),G362-H362)</f>
        <v>1</v>
      </c>
      <c r="J362" s="4" t="str">
        <f>IFERROR(IF(G362&gt;0, H362/G362, 0),"-")</f>
        <v>-</v>
      </c>
      <c r="K362" s="34">
        <v>2</v>
      </c>
      <c r="L362" s="35">
        <v>1</v>
      </c>
      <c r="M362" s="34">
        <f>IF(OR(L362="-",L362="",L362=0),IF(K362="-","-",K362),K362-L362)</f>
        <v>1</v>
      </c>
      <c r="N362" s="4">
        <f>IFERROR(IF(K362&gt;0, L362/K362, 0),"-")</f>
        <v>0.5</v>
      </c>
      <c r="O362" s="34">
        <v>3</v>
      </c>
      <c r="P362" s="35" t="s">
        <v>959</v>
      </c>
      <c r="Q362" s="34">
        <f>IF(OR(P362="-",P362="",P362=0),IF(O362="-","-",O362),O362-P362)</f>
        <v>3</v>
      </c>
      <c r="R362" s="4" t="str">
        <f>IFERROR(IF(O362&gt;0, P362/O362, 0),"-")</f>
        <v>-</v>
      </c>
      <c r="S362" s="34">
        <v>114</v>
      </c>
      <c r="T362" s="34">
        <v>4</v>
      </c>
      <c r="U362" s="34">
        <v>8450</v>
      </c>
      <c r="V362" s="35">
        <v>1</v>
      </c>
      <c r="W362" s="35">
        <v>27820</v>
      </c>
    </row>
    <row r="363" spans="1:23" x14ac:dyDescent="0.2">
      <c r="A363" s="29"/>
      <c r="B363" s="29" t="s">
        <v>77</v>
      </c>
      <c r="C363" s="32">
        <v>774</v>
      </c>
      <c r="D363" s="32">
        <v>768</v>
      </c>
      <c r="E363" s="32">
        <f>IF(OR(D363="-",D363="",D363=0),IF(C363="-","-",C363),C363-D363)</f>
        <v>6</v>
      </c>
      <c r="F363" s="36">
        <f>IFERROR(IF(C363&gt;0, D363/C363, 0),"-")</f>
        <v>0.99224806201550386</v>
      </c>
      <c r="G363" s="32">
        <v>9</v>
      </c>
      <c r="H363" s="32">
        <v>2</v>
      </c>
      <c r="I363" s="32">
        <f>IF(OR(H363="-",H363="",H363=0),IF(G363="-","-",G363),G363-H363)</f>
        <v>7</v>
      </c>
      <c r="J363" s="36">
        <f>IFERROR(IF(G363&gt;0, H363/G363, 0),"-")</f>
        <v>0.22222222222222221</v>
      </c>
      <c r="K363" s="32">
        <v>16</v>
      </c>
      <c r="L363" s="32">
        <v>4</v>
      </c>
      <c r="M363" s="32">
        <f>IF(OR(L363="-",L363="",L363=0),IF(K363="-","-",K363),K363-L363)</f>
        <v>12</v>
      </c>
      <c r="N363" s="36">
        <f>IFERROR(IF(K363&gt;0, L363/K363, 0),"-")</f>
        <v>0.25</v>
      </c>
      <c r="O363" s="32">
        <v>13</v>
      </c>
      <c r="P363" s="32">
        <v>3</v>
      </c>
      <c r="Q363" s="32">
        <f>IF(OR(P363="-",P363="",P363=0),IF(O363="-","-",O363),O363-P363)</f>
        <v>10</v>
      </c>
      <c r="R363" s="36">
        <f>IFERROR(IF(O363&gt;0, P363/O363, 0),"-")</f>
        <v>0.23076923076923078</v>
      </c>
      <c r="S363" s="32">
        <v>918</v>
      </c>
      <c r="T363" s="32">
        <v>16</v>
      </c>
      <c r="U363" s="32">
        <v>39205</v>
      </c>
      <c r="V363" s="32">
        <v>5</v>
      </c>
      <c r="W363" s="32">
        <v>134226</v>
      </c>
    </row>
    <row r="364" spans="1:23" x14ac:dyDescent="0.2">
      <c r="A364" s="30" t="s">
        <v>508</v>
      </c>
      <c r="B364" s="30" t="s">
        <v>1018</v>
      </c>
      <c r="C364" s="34">
        <v>99</v>
      </c>
      <c r="D364" s="35">
        <v>98</v>
      </c>
      <c r="E364" s="34">
        <f>IF(OR(D364="-",D364="",D364=0),IF(C364="-","-",C364),C364-D364)</f>
        <v>1</v>
      </c>
      <c r="F364" s="4">
        <f>IFERROR(IF(C364&gt;0, D364/C364, 0),"-")</f>
        <v>0.98989898989898994</v>
      </c>
      <c r="G364" s="34">
        <v>1</v>
      </c>
      <c r="H364" s="35" t="s">
        <v>959</v>
      </c>
      <c r="I364" s="34">
        <f>IF(OR(H364="-",H364="",H364=0),IF(G364="-","-",G364),G364-H364)</f>
        <v>1</v>
      </c>
      <c r="J364" s="4" t="str">
        <f>IFERROR(IF(G364&gt;0, H364/G364, 0),"-")</f>
        <v>-</v>
      </c>
      <c r="K364" s="34">
        <v>1</v>
      </c>
      <c r="L364" s="35" t="s">
        <v>959</v>
      </c>
      <c r="M364" s="34">
        <f>IF(OR(L364="-",L364="",L364=0),IF(K364="-","-",K364),K364-L364)</f>
        <v>1</v>
      </c>
      <c r="N364" s="4" t="str">
        <f>IFERROR(IF(K364&gt;0, L364/K364, 0),"-")</f>
        <v>-</v>
      </c>
      <c r="O364" s="34">
        <v>2</v>
      </c>
      <c r="P364" s="35">
        <v>1</v>
      </c>
      <c r="Q364" s="34">
        <f>IF(OR(P364="-",P364="",P364=0),IF(O364="-","-",O364),O364-P364)</f>
        <v>1</v>
      </c>
      <c r="R364" s="4">
        <f>IFERROR(IF(O364&gt;0, P364/O364, 0),"-")</f>
        <v>0.5</v>
      </c>
      <c r="S364" s="34">
        <v>171</v>
      </c>
      <c r="T364" s="34">
        <v>1</v>
      </c>
      <c r="U364" s="34">
        <v>3235</v>
      </c>
      <c r="V364" s="35">
        <v>2</v>
      </c>
      <c r="W364" s="35">
        <v>40321</v>
      </c>
    </row>
    <row r="365" spans="1:23" x14ac:dyDescent="0.2">
      <c r="A365" s="30" t="s">
        <v>507</v>
      </c>
      <c r="B365" s="30" t="s">
        <v>1093</v>
      </c>
      <c r="C365" s="34">
        <v>107</v>
      </c>
      <c r="D365" s="35">
        <v>105</v>
      </c>
      <c r="E365" s="34">
        <f>IF(OR(D365="-",D365="",D365=0),IF(C365="-","-",C365),C365-D365)</f>
        <v>2</v>
      </c>
      <c r="F365" s="4">
        <f>IFERROR(IF(C365&gt;0, D365/C365, 0),"-")</f>
        <v>0.98130841121495327</v>
      </c>
      <c r="G365" s="34">
        <v>3</v>
      </c>
      <c r="H365" s="35">
        <v>2</v>
      </c>
      <c r="I365" s="34">
        <f>IF(OR(H365="-",H365="",H365=0),IF(G365="-","-",G365),G365-H365)</f>
        <v>1</v>
      </c>
      <c r="J365" s="4">
        <f>IFERROR(IF(G365&gt;0, H365/G365, 0),"-")</f>
        <v>0.66666666666666663</v>
      </c>
      <c r="K365" s="34">
        <v>6</v>
      </c>
      <c r="L365" s="35">
        <v>2</v>
      </c>
      <c r="M365" s="34">
        <f>IF(OR(L365="-",L365="",L365=0),IF(K365="-","-",K365),K365-L365)</f>
        <v>4</v>
      </c>
      <c r="N365" s="4">
        <f>IFERROR(IF(K365&gt;0, L365/K365, 0),"-")</f>
        <v>0.33333333333333331</v>
      </c>
      <c r="O365" s="34">
        <v>2</v>
      </c>
      <c r="P365" s="35">
        <v>1</v>
      </c>
      <c r="Q365" s="34">
        <f>IF(OR(P365="-",P365="",P365=0),IF(O365="-","-",O365),O365-P365)</f>
        <v>1</v>
      </c>
      <c r="R365" s="4">
        <f>IFERROR(IF(O365&gt;0, P365/O365, 0),"-")</f>
        <v>0.5</v>
      </c>
      <c r="S365" s="34">
        <v>128</v>
      </c>
      <c r="T365" s="34">
        <v>1</v>
      </c>
      <c r="U365" s="34">
        <v>2700</v>
      </c>
      <c r="V365" s="35" t="s">
        <v>959</v>
      </c>
      <c r="W365" s="35" t="s">
        <v>959</v>
      </c>
    </row>
    <row r="366" spans="1:23" x14ac:dyDescent="0.2">
      <c r="A366" s="30" t="s">
        <v>509</v>
      </c>
      <c r="B366" s="30" t="s">
        <v>1094</v>
      </c>
      <c r="C366" s="34">
        <v>77</v>
      </c>
      <c r="D366" s="35">
        <v>76</v>
      </c>
      <c r="E366" s="34">
        <f>IF(OR(D366="-",D366="",D366=0),IF(C366="-","-",C366),C366-D366)</f>
        <v>1</v>
      </c>
      <c r="F366" s="4">
        <f>IFERROR(IF(C366&gt;0, D366/C366, 0),"-")</f>
        <v>0.98701298701298701</v>
      </c>
      <c r="G366" s="34">
        <v>1</v>
      </c>
      <c r="H366" s="35" t="s">
        <v>959</v>
      </c>
      <c r="I366" s="34">
        <f>IF(OR(H366="-",H366="",H366=0),IF(G366="-","-",G366),G366-H366)</f>
        <v>1</v>
      </c>
      <c r="J366" s="4" t="str">
        <f>IFERROR(IF(G366&gt;0, H366/G366, 0),"-")</f>
        <v>-</v>
      </c>
      <c r="K366" s="34">
        <v>4</v>
      </c>
      <c r="L366" s="35">
        <v>1</v>
      </c>
      <c r="M366" s="34">
        <f>IF(OR(L366="-",L366="",L366=0),IF(K366="-","-",K366),K366-L366)</f>
        <v>3</v>
      </c>
      <c r="N366" s="4">
        <f>IFERROR(IF(K366&gt;0, L366/K366, 0),"-")</f>
        <v>0.25</v>
      </c>
      <c r="O366" s="34">
        <v>1</v>
      </c>
      <c r="P366" s="35" t="s">
        <v>959</v>
      </c>
      <c r="Q366" s="34">
        <f>IF(OR(P366="-",P366="",P366=0),IF(O366="-","-",O366),O366-P366)</f>
        <v>1</v>
      </c>
      <c r="R366" s="4" t="str">
        <f>IFERROR(IF(O366&gt;0, P366/O366, 0),"-")</f>
        <v>-</v>
      </c>
      <c r="S366" s="34">
        <v>42</v>
      </c>
      <c r="T366" s="34">
        <v>5</v>
      </c>
      <c r="U366" s="34">
        <v>14465</v>
      </c>
      <c r="V366" s="35" t="s">
        <v>959</v>
      </c>
      <c r="W366" s="35" t="s">
        <v>959</v>
      </c>
    </row>
    <row r="367" spans="1:23" x14ac:dyDescent="0.2">
      <c r="A367" s="30" t="s">
        <v>512</v>
      </c>
      <c r="B367" s="30" t="s">
        <v>1095</v>
      </c>
      <c r="C367" s="34">
        <v>20</v>
      </c>
      <c r="D367" s="35">
        <v>20</v>
      </c>
      <c r="E367" s="34">
        <f>IF(OR(D367="-",D367="",D367=0),IF(C367="-","-",C367),C367-D367)</f>
        <v>0</v>
      </c>
      <c r="F367" s="4">
        <f>IFERROR(IF(C367&gt;0, D367/C367, 0),"-")</f>
        <v>1</v>
      </c>
      <c r="G367" s="34">
        <v>1</v>
      </c>
      <c r="H367" s="35" t="s">
        <v>959</v>
      </c>
      <c r="I367" s="34">
        <f>IF(OR(H367="-",H367="",H367=0),IF(G367="-","-",G367),G367-H367)</f>
        <v>1</v>
      </c>
      <c r="J367" s="4" t="str">
        <f>IFERROR(IF(G367&gt;0, H367/G367, 0),"-")</f>
        <v>-</v>
      </c>
      <c r="K367" s="34" t="s">
        <v>959</v>
      </c>
      <c r="L367" s="35" t="s">
        <v>959</v>
      </c>
      <c r="M367" s="34" t="str">
        <f>IF(OR(L367="-",L367="",L367=0),IF(K367="-","-",K367),K367-L367)</f>
        <v>-</v>
      </c>
      <c r="N367" s="4" t="str">
        <f>IFERROR(IF(K367&gt;0, L367/K367, 0),"-")</f>
        <v>-</v>
      </c>
      <c r="O367" s="34" t="s">
        <v>959</v>
      </c>
      <c r="P367" s="35" t="s">
        <v>959</v>
      </c>
      <c r="Q367" s="34" t="str">
        <f>IF(OR(P367="-",P367="",P367=0),IF(O367="-","-",O367),O367-P367)</f>
        <v>-</v>
      </c>
      <c r="R367" s="4" t="str">
        <f>IFERROR(IF(O367&gt;0, P367/O367, 0),"-")</f>
        <v>-</v>
      </c>
      <c r="S367" s="34">
        <v>96</v>
      </c>
      <c r="T367" s="34" t="s">
        <v>959</v>
      </c>
      <c r="U367" s="34" t="s">
        <v>959</v>
      </c>
      <c r="V367" s="35" t="s">
        <v>959</v>
      </c>
      <c r="W367" s="35" t="s">
        <v>959</v>
      </c>
    </row>
    <row r="368" spans="1:23" x14ac:dyDescent="0.2">
      <c r="A368" s="30" t="s">
        <v>511</v>
      </c>
      <c r="B368" s="30" t="s">
        <v>1096</v>
      </c>
      <c r="C368" s="34">
        <v>209</v>
      </c>
      <c r="D368" s="35">
        <v>209</v>
      </c>
      <c r="E368" s="34">
        <f>IF(OR(D368="-",D368="",D368=0),IF(C368="-","-",C368),C368-D368)</f>
        <v>0</v>
      </c>
      <c r="F368" s="4">
        <f>IFERROR(IF(C368&gt;0, D368/C368, 0),"-")</f>
        <v>1</v>
      </c>
      <c r="G368" s="34">
        <v>1</v>
      </c>
      <c r="H368" s="35" t="s">
        <v>959</v>
      </c>
      <c r="I368" s="34">
        <f>IF(OR(H368="-",H368="",H368=0),IF(G368="-","-",G368),G368-H368)</f>
        <v>1</v>
      </c>
      <c r="J368" s="4" t="str">
        <f>IFERROR(IF(G368&gt;0, H368/G368, 0),"-")</f>
        <v>-</v>
      </c>
      <c r="K368" s="34" t="s">
        <v>959</v>
      </c>
      <c r="L368" s="35" t="s">
        <v>959</v>
      </c>
      <c r="M368" s="34" t="str">
        <f>IF(OR(L368="-",L368="",L368=0),IF(K368="-","-",K368),K368-L368)</f>
        <v>-</v>
      </c>
      <c r="N368" s="4" t="str">
        <f>IFERROR(IF(K368&gt;0, L368/K368, 0),"-")</f>
        <v>-</v>
      </c>
      <c r="O368" s="34">
        <v>3</v>
      </c>
      <c r="P368" s="35" t="s">
        <v>959</v>
      </c>
      <c r="Q368" s="34">
        <f>IF(OR(P368="-",P368="",P368=0),IF(O368="-","-",O368),O368-P368)</f>
        <v>3</v>
      </c>
      <c r="R368" s="4" t="str">
        <f>IFERROR(IF(O368&gt;0, P368/O368, 0),"-")</f>
        <v>-</v>
      </c>
      <c r="S368" s="34">
        <v>203</v>
      </c>
      <c r="T368" s="34">
        <v>3</v>
      </c>
      <c r="U368" s="34">
        <v>8650</v>
      </c>
      <c r="V368" s="35">
        <v>1</v>
      </c>
      <c r="W368" s="35">
        <v>41090</v>
      </c>
    </row>
    <row r="369" spans="1:23" x14ac:dyDescent="0.2">
      <c r="A369" s="30" t="s">
        <v>506</v>
      </c>
      <c r="B369" s="30" t="s">
        <v>1097</v>
      </c>
      <c r="C369" s="34">
        <v>136</v>
      </c>
      <c r="D369" s="35">
        <v>134</v>
      </c>
      <c r="E369" s="34">
        <f>IF(OR(D369="-",D369="",D369=0),IF(C369="-","-",C369),C369-D369)</f>
        <v>2</v>
      </c>
      <c r="F369" s="4">
        <f>IFERROR(IF(C369&gt;0, D369/C369, 0),"-")</f>
        <v>0.98529411764705888</v>
      </c>
      <c r="G369" s="34">
        <v>2</v>
      </c>
      <c r="H369" s="35" t="s">
        <v>959</v>
      </c>
      <c r="I369" s="34">
        <f>IF(OR(H369="-",H369="",H369=0),IF(G369="-","-",G369),G369-H369)</f>
        <v>2</v>
      </c>
      <c r="J369" s="4" t="str">
        <f>IFERROR(IF(G369&gt;0, H369/G369, 0),"-")</f>
        <v>-</v>
      </c>
      <c r="K369" s="34">
        <v>3</v>
      </c>
      <c r="L369" s="35" t="s">
        <v>959</v>
      </c>
      <c r="M369" s="34">
        <f>IF(OR(L369="-",L369="",L369=0),IF(K369="-","-",K369),K369-L369)</f>
        <v>3</v>
      </c>
      <c r="N369" s="4" t="str">
        <f>IFERROR(IF(K369&gt;0, L369/K369, 0),"-")</f>
        <v>-</v>
      </c>
      <c r="O369" s="34">
        <v>2</v>
      </c>
      <c r="P369" s="35" t="s">
        <v>959</v>
      </c>
      <c r="Q369" s="34">
        <f>IF(OR(P369="-",P369="",P369=0),IF(O369="-","-",O369),O369-P369)</f>
        <v>2</v>
      </c>
      <c r="R369" s="4" t="str">
        <f>IFERROR(IF(O369&gt;0, P369/O369, 0),"-")</f>
        <v>-</v>
      </c>
      <c r="S369" s="34">
        <v>125</v>
      </c>
      <c r="T369" s="34">
        <v>2</v>
      </c>
      <c r="U369" s="34">
        <v>5000</v>
      </c>
      <c r="V369" s="35">
        <v>2</v>
      </c>
      <c r="W369" s="35">
        <v>52815</v>
      </c>
    </row>
    <row r="370" spans="1:23" x14ac:dyDescent="0.2">
      <c r="A370" s="30" t="s">
        <v>510</v>
      </c>
      <c r="B370" s="30" t="s">
        <v>999</v>
      </c>
      <c r="C370" s="34">
        <v>126</v>
      </c>
      <c r="D370" s="35">
        <v>126</v>
      </c>
      <c r="E370" s="34">
        <f>IF(OR(D370="-",D370="",D370=0),IF(C370="-","-",C370),C370-D370)</f>
        <v>0</v>
      </c>
      <c r="F370" s="4">
        <f>IFERROR(IF(C370&gt;0, D370/C370, 0),"-")</f>
        <v>1</v>
      </c>
      <c r="G370" s="34" t="s">
        <v>959</v>
      </c>
      <c r="H370" s="35" t="s">
        <v>959</v>
      </c>
      <c r="I370" s="34" t="str">
        <f>IF(OR(H370="-",H370="",H370=0),IF(G370="-","-",G370),G370-H370)</f>
        <v>-</v>
      </c>
      <c r="J370" s="4" t="str">
        <f>IFERROR(IF(G370&gt;0, H370/G370, 0),"-")</f>
        <v>-</v>
      </c>
      <c r="K370" s="34">
        <v>2</v>
      </c>
      <c r="L370" s="35">
        <v>1</v>
      </c>
      <c r="M370" s="34">
        <f>IF(OR(L370="-",L370="",L370=0),IF(K370="-","-",K370),K370-L370)</f>
        <v>1</v>
      </c>
      <c r="N370" s="4">
        <f>IFERROR(IF(K370&gt;0, L370/K370, 0),"-")</f>
        <v>0.5</v>
      </c>
      <c r="O370" s="34">
        <v>3</v>
      </c>
      <c r="P370" s="35">
        <v>1</v>
      </c>
      <c r="Q370" s="34">
        <f>IF(OR(P370="-",P370="",P370=0),IF(O370="-","-",O370),O370-P370)</f>
        <v>2</v>
      </c>
      <c r="R370" s="4">
        <f>IFERROR(IF(O370&gt;0, P370/O370, 0),"-")</f>
        <v>0.33333333333333331</v>
      </c>
      <c r="S370" s="34">
        <v>153</v>
      </c>
      <c r="T370" s="34">
        <v>4</v>
      </c>
      <c r="U370" s="34">
        <v>5155</v>
      </c>
      <c r="V370" s="35" t="s">
        <v>959</v>
      </c>
      <c r="W370" s="35" t="s">
        <v>959</v>
      </c>
    </row>
    <row r="371" spans="1:23" x14ac:dyDescent="0.2">
      <c r="A371" s="29"/>
      <c r="B371" s="29" t="s">
        <v>12</v>
      </c>
      <c r="C371" s="32">
        <v>1170</v>
      </c>
      <c r="D371" s="32">
        <v>1157</v>
      </c>
      <c r="E371" s="32">
        <f>IF(OR(D371="-",D371="",D371=0),IF(C371="-","-",C371),C371-D371)</f>
        <v>13</v>
      </c>
      <c r="F371" s="36">
        <f>IFERROR(IF(C371&gt;0, D371/C371, 0),"-")</f>
        <v>0.98888888888888893</v>
      </c>
      <c r="G371" s="32">
        <v>15</v>
      </c>
      <c r="H371" s="32">
        <v>5</v>
      </c>
      <c r="I371" s="32">
        <f>IF(OR(H371="-",H371="",H371=0),IF(G371="-","-",G371),G371-H371)</f>
        <v>10</v>
      </c>
      <c r="J371" s="36">
        <f>IFERROR(IF(G371&gt;0, H371/G371, 0),"-")</f>
        <v>0.33333333333333331</v>
      </c>
      <c r="K371" s="32">
        <v>11</v>
      </c>
      <c r="L371" s="32">
        <v>8</v>
      </c>
      <c r="M371" s="32">
        <f>IF(OR(L371="-",L371="",L371=0),IF(K371="-","-",K371),K371-L371)</f>
        <v>3</v>
      </c>
      <c r="N371" s="36">
        <f>IFERROR(IF(K371&gt;0, L371/K371, 0),"-")</f>
        <v>0.72727272727272729</v>
      </c>
      <c r="O371" s="32">
        <v>26</v>
      </c>
      <c r="P371" s="32">
        <v>9</v>
      </c>
      <c r="Q371" s="32">
        <f>IF(OR(P371="-",P371="",P371=0),IF(O371="-","-",O371),O371-P371)</f>
        <v>17</v>
      </c>
      <c r="R371" s="36">
        <f>IFERROR(IF(O371&gt;0, P371/O371, 0),"-")</f>
        <v>0.34615384615384615</v>
      </c>
      <c r="S371" s="32">
        <v>852</v>
      </c>
      <c r="T371" s="32">
        <v>31</v>
      </c>
      <c r="U371" s="32">
        <v>75258</v>
      </c>
      <c r="V371" s="32">
        <v>7</v>
      </c>
      <c r="W371" s="32">
        <v>71596</v>
      </c>
    </row>
    <row r="372" spans="1:23" x14ac:dyDescent="0.2">
      <c r="A372" s="30" t="s">
        <v>517</v>
      </c>
      <c r="B372" s="30" t="s">
        <v>1098</v>
      </c>
      <c r="C372" s="34">
        <v>175</v>
      </c>
      <c r="D372" s="35">
        <v>174</v>
      </c>
      <c r="E372" s="34">
        <f>IF(OR(D372="-",D372="",D372=0),IF(C372="-","-",C372),C372-D372)</f>
        <v>1</v>
      </c>
      <c r="F372" s="4">
        <f>IFERROR(IF(C372&gt;0, D372/C372, 0),"-")</f>
        <v>0.99428571428571433</v>
      </c>
      <c r="G372" s="34">
        <v>2</v>
      </c>
      <c r="H372" s="35">
        <v>2</v>
      </c>
      <c r="I372" s="34">
        <f>IF(OR(H372="-",H372="",H372=0),IF(G372="-","-",G372),G372-H372)</f>
        <v>0</v>
      </c>
      <c r="J372" s="4">
        <f>IFERROR(IF(G372&gt;0, H372/G372, 0),"-")</f>
        <v>1</v>
      </c>
      <c r="K372" s="34">
        <v>2</v>
      </c>
      <c r="L372" s="35">
        <v>1</v>
      </c>
      <c r="M372" s="34">
        <f>IF(OR(L372="-",L372="",L372=0),IF(K372="-","-",K372),K372-L372)</f>
        <v>1</v>
      </c>
      <c r="N372" s="4">
        <f>IFERROR(IF(K372&gt;0, L372/K372, 0),"-")</f>
        <v>0.5</v>
      </c>
      <c r="O372" s="34">
        <v>3</v>
      </c>
      <c r="P372" s="35">
        <v>1</v>
      </c>
      <c r="Q372" s="34">
        <f>IF(OR(P372="-",P372="",P372=0),IF(O372="-","-",O372),O372-P372)</f>
        <v>2</v>
      </c>
      <c r="R372" s="4">
        <f>IFERROR(IF(O372&gt;0, P372/O372, 0),"-")</f>
        <v>0.33333333333333331</v>
      </c>
      <c r="S372" s="34">
        <v>81</v>
      </c>
      <c r="T372" s="34">
        <v>8</v>
      </c>
      <c r="U372" s="34">
        <v>14615</v>
      </c>
      <c r="V372" s="35">
        <v>1</v>
      </c>
      <c r="W372" s="35">
        <v>8253</v>
      </c>
    </row>
    <row r="373" spans="1:23" x14ac:dyDescent="0.2">
      <c r="A373" s="30" t="s">
        <v>514</v>
      </c>
      <c r="B373" s="30" t="s">
        <v>1099</v>
      </c>
      <c r="C373" s="34">
        <v>147</v>
      </c>
      <c r="D373" s="35">
        <v>147</v>
      </c>
      <c r="E373" s="34">
        <f>IF(OR(D373="-",D373="",D373=0),IF(C373="-","-",C373),C373-D373)</f>
        <v>0</v>
      </c>
      <c r="F373" s="4">
        <f>IFERROR(IF(C373&gt;0, D373/C373, 0),"-")</f>
        <v>1</v>
      </c>
      <c r="G373" s="34">
        <v>3</v>
      </c>
      <c r="H373" s="35">
        <v>1</v>
      </c>
      <c r="I373" s="34">
        <f>IF(OR(H373="-",H373="",H373=0),IF(G373="-","-",G373),G373-H373)</f>
        <v>2</v>
      </c>
      <c r="J373" s="4">
        <f>IFERROR(IF(G373&gt;0, H373/G373, 0),"-")</f>
        <v>0.33333333333333331</v>
      </c>
      <c r="K373" s="34">
        <v>3</v>
      </c>
      <c r="L373" s="35">
        <v>3</v>
      </c>
      <c r="M373" s="34">
        <f>IF(OR(L373="-",L373="",L373=0),IF(K373="-","-",K373),K373-L373)</f>
        <v>0</v>
      </c>
      <c r="N373" s="4">
        <f>IFERROR(IF(K373&gt;0, L373/K373, 0),"-")</f>
        <v>1</v>
      </c>
      <c r="O373" s="34">
        <v>6</v>
      </c>
      <c r="P373" s="35">
        <v>1</v>
      </c>
      <c r="Q373" s="34">
        <f>IF(OR(P373="-",P373="",P373=0),IF(O373="-","-",O373),O373-P373)</f>
        <v>5</v>
      </c>
      <c r="R373" s="4">
        <f>IFERROR(IF(O373&gt;0, P373/O373, 0),"-")</f>
        <v>0.16666666666666666</v>
      </c>
      <c r="S373" s="34">
        <v>92</v>
      </c>
      <c r="T373" s="34">
        <v>3</v>
      </c>
      <c r="U373" s="34">
        <v>9900</v>
      </c>
      <c r="V373" s="35" t="s">
        <v>959</v>
      </c>
      <c r="W373" s="35" t="s">
        <v>959</v>
      </c>
    </row>
    <row r="374" spans="1:23" x14ac:dyDescent="0.2">
      <c r="A374" s="30" t="s">
        <v>519</v>
      </c>
      <c r="B374" s="30" t="s">
        <v>1100</v>
      </c>
      <c r="C374" s="34">
        <v>185</v>
      </c>
      <c r="D374" s="35">
        <v>182</v>
      </c>
      <c r="E374" s="34">
        <f>IF(OR(D374="-",D374="",D374=0),IF(C374="-","-",C374),C374-D374)</f>
        <v>3</v>
      </c>
      <c r="F374" s="4">
        <f>IFERROR(IF(C374&gt;0, D374/C374, 0),"-")</f>
        <v>0.98378378378378384</v>
      </c>
      <c r="G374" s="34" t="s">
        <v>959</v>
      </c>
      <c r="H374" s="35" t="s">
        <v>959</v>
      </c>
      <c r="I374" s="34" t="str">
        <f>IF(OR(H374="-",H374="",H374=0),IF(G374="-","-",G374),G374-H374)</f>
        <v>-</v>
      </c>
      <c r="J374" s="4" t="str">
        <f>IFERROR(IF(G374&gt;0, H374/G374, 0),"-")</f>
        <v>-</v>
      </c>
      <c r="K374" s="34">
        <v>2</v>
      </c>
      <c r="L374" s="35" t="s">
        <v>959</v>
      </c>
      <c r="M374" s="34">
        <f>IF(OR(L374="-",L374="",L374=0),IF(K374="-","-",K374),K374-L374)</f>
        <v>2</v>
      </c>
      <c r="N374" s="4" t="str">
        <f>IFERROR(IF(K374&gt;0, L374/K374, 0),"-")</f>
        <v>-</v>
      </c>
      <c r="O374" s="34">
        <v>4</v>
      </c>
      <c r="P374" s="35">
        <v>1</v>
      </c>
      <c r="Q374" s="34">
        <f>IF(OR(P374="-",P374="",P374=0),IF(O374="-","-",O374),O374-P374)</f>
        <v>3</v>
      </c>
      <c r="R374" s="4">
        <f>IFERROR(IF(O374&gt;0, P374/O374, 0),"-")</f>
        <v>0.25</v>
      </c>
      <c r="S374" s="34">
        <v>129</v>
      </c>
      <c r="T374" s="34">
        <v>1</v>
      </c>
      <c r="U374" s="34">
        <v>1500</v>
      </c>
      <c r="V374" s="35">
        <v>1</v>
      </c>
      <c r="W374" s="35">
        <v>5550</v>
      </c>
    </row>
    <row r="375" spans="1:23" x14ac:dyDescent="0.2">
      <c r="A375" s="30" t="s">
        <v>516</v>
      </c>
      <c r="B375" s="30" t="s">
        <v>1101</v>
      </c>
      <c r="C375" s="34">
        <v>154</v>
      </c>
      <c r="D375" s="35">
        <v>150</v>
      </c>
      <c r="E375" s="34">
        <f>IF(OR(D375="-",D375="",D375=0),IF(C375="-","-",C375),C375-D375)</f>
        <v>4</v>
      </c>
      <c r="F375" s="4">
        <f>IFERROR(IF(C375&gt;0, D375/C375, 0),"-")</f>
        <v>0.97402597402597402</v>
      </c>
      <c r="G375" s="34">
        <v>5</v>
      </c>
      <c r="H375" s="35">
        <v>1</v>
      </c>
      <c r="I375" s="34">
        <f>IF(OR(H375="-",H375="",H375=0),IF(G375="-","-",G375),G375-H375)</f>
        <v>4</v>
      </c>
      <c r="J375" s="4">
        <f>IFERROR(IF(G375&gt;0, H375/G375, 0),"-")</f>
        <v>0.2</v>
      </c>
      <c r="K375" s="34" t="s">
        <v>959</v>
      </c>
      <c r="L375" s="35" t="s">
        <v>959</v>
      </c>
      <c r="M375" s="34" t="str">
        <f>IF(OR(L375="-",L375="",L375=0),IF(K375="-","-",K375),K375-L375)</f>
        <v>-</v>
      </c>
      <c r="N375" s="4" t="str">
        <f>IFERROR(IF(K375&gt;0, L375/K375, 0),"-")</f>
        <v>-</v>
      </c>
      <c r="O375" s="34">
        <v>3</v>
      </c>
      <c r="P375" s="35" t="s">
        <v>959</v>
      </c>
      <c r="Q375" s="34">
        <f>IF(OR(P375="-",P375="",P375=0),IF(O375="-","-",O375),O375-P375)</f>
        <v>3</v>
      </c>
      <c r="R375" s="4" t="str">
        <f>IFERROR(IF(O375&gt;0, P375/O375, 0),"-")</f>
        <v>-</v>
      </c>
      <c r="S375" s="34">
        <v>129</v>
      </c>
      <c r="T375" s="34">
        <v>3</v>
      </c>
      <c r="U375" s="34">
        <v>8620</v>
      </c>
      <c r="V375" s="35">
        <v>1</v>
      </c>
      <c r="W375" s="35">
        <v>3413</v>
      </c>
    </row>
    <row r="376" spans="1:23" x14ac:dyDescent="0.2">
      <c r="A376" s="30" t="s">
        <v>513</v>
      </c>
      <c r="B376" s="30" t="s">
        <v>1020</v>
      </c>
      <c r="C376" s="34">
        <v>158</v>
      </c>
      <c r="D376" s="35">
        <v>156</v>
      </c>
      <c r="E376" s="34">
        <f>IF(OR(D376="-",D376="",D376=0),IF(C376="-","-",C376),C376-D376)</f>
        <v>2</v>
      </c>
      <c r="F376" s="4">
        <f>IFERROR(IF(C376&gt;0, D376/C376, 0),"-")</f>
        <v>0.98734177215189878</v>
      </c>
      <c r="G376" s="34">
        <v>2</v>
      </c>
      <c r="H376" s="35">
        <v>1</v>
      </c>
      <c r="I376" s="34">
        <f>IF(OR(H376="-",H376="",H376=0),IF(G376="-","-",G376),G376-H376)</f>
        <v>1</v>
      </c>
      <c r="J376" s="4">
        <f>IFERROR(IF(G376&gt;0, H376/G376, 0),"-")</f>
        <v>0.5</v>
      </c>
      <c r="K376" s="34">
        <v>2</v>
      </c>
      <c r="L376" s="35">
        <v>2</v>
      </c>
      <c r="M376" s="34">
        <f>IF(OR(L376="-",L376="",L376=0),IF(K376="-","-",K376),K376-L376)</f>
        <v>0</v>
      </c>
      <c r="N376" s="4">
        <f>IFERROR(IF(K376&gt;0, L376/K376, 0),"-")</f>
        <v>1</v>
      </c>
      <c r="O376" s="34">
        <v>2</v>
      </c>
      <c r="P376" s="35">
        <v>1</v>
      </c>
      <c r="Q376" s="34">
        <f>IF(OR(P376="-",P376="",P376=0),IF(O376="-","-",O376),O376-P376)</f>
        <v>1</v>
      </c>
      <c r="R376" s="4">
        <f>IFERROR(IF(O376&gt;0, P376/O376, 0),"-")</f>
        <v>0.5</v>
      </c>
      <c r="S376" s="34">
        <v>151</v>
      </c>
      <c r="T376" s="34">
        <v>6</v>
      </c>
      <c r="U376" s="34">
        <v>14445</v>
      </c>
      <c r="V376" s="35">
        <v>1</v>
      </c>
      <c r="W376" s="35">
        <v>19795</v>
      </c>
    </row>
    <row r="377" spans="1:23" x14ac:dyDescent="0.2">
      <c r="A377" s="30" t="s">
        <v>515</v>
      </c>
      <c r="B377" s="30" t="s">
        <v>1022</v>
      </c>
      <c r="C377" s="34">
        <v>171</v>
      </c>
      <c r="D377" s="35">
        <v>170</v>
      </c>
      <c r="E377" s="34">
        <f>IF(OR(D377="-",D377="",D377=0),IF(C377="-","-",C377),C377-D377)</f>
        <v>1</v>
      </c>
      <c r="F377" s="4">
        <f>IFERROR(IF(C377&gt;0, D377/C377, 0),"-")</f>
        <v>0.99415204678362568</v>
      </c>
      <c r="G377" s="34">
        <v>1</v>
      </c>
      <c r="H377" s="35" t="s">
        <v>959</v>
      </c>
      <c r="I377" s="34">
        <f>IF(OR(H377="-",H377="",H377=0),IF(G377="-","-",G377),G377-H377)</f>
        <v>1</v>
      </c>
      <c r="J377" s="4" t="str">
        <f>IFERROR(IF(G377&gt;0, H377/G377, 0),"-")</f>
        <v>-</v>
      </c>
      <c r="K377" s="34">
        <v>1</v>
      </c>
      <c r="L377" s="35">
        <v>1</v>
      </c>
      <c r="M377" s="34">
        <f>IF(OR(L377="-",L377="",L377=0),IF(K377="-","-",K377),K377-L377)</f>
        <v>0</v>
      </c>
      <c r="N377" s="4">
        <f>IFERROR(IF(K377&gt;0, L377/K377, 0),"-")</f>
        <v>1</v>
      </c>
      <c r="O377" s="34">
        <v>5</v>
      </c>
      <c r="P377" s="35">
        <v>3</v>
      </c>
      <c r="Q377" s="34">
        <f>IF(OR(P377="-",P377="",P377=0),IF(O377="-","-",O377),O377-P377)</f>
        <v>2</v>
      </c>
      <c r="R377" s="4">
        <f>IFERROR(IF(O377&gt;0, P377/O377, 0),"-")</f>
        <v>0.6</v>
      </c>
      <c r="S377" s="34">
        <v>115</v>
      </c>
      <c r="T377" s="34">
        <v>4</v>
      </c>
      <c r="U377" s="34">
        <v>13325</v>
      </c>
      <c r="V377" s="35">
        <v>2</v>
      </c>
      <c r="W377" s="35">
        <v>11200</v>
      </c>
    </row>
    <row r="378" spans="1:23" x14ac:dyDescent="0.2">
      <c r="A378" s="30" t="s">
        <v>518</v>
      </c>
      <c r="B378" s="30" t="s">
        <v>1102</v>
      </c>
      <c r="C378" s="34">
        <v>180</v>
      </c>
      <c r="D378" s="35">
        <v>178</v>
      </c>
      <c r="E378" s="34">
        <f>IF(OR(D378="-",D378="",D378=0),IF(C378="-","-",C378),C378-D378)</f>
        <v>2</v>
      </c>
      <c r="F378" s="4">
        <f>IFERROR(IF(C378&gt;0, D378/C378, 0),"-")</f>
        <v>0.98888888888888893</v>
      </c>
      <c r="G378" s="34">
        <v>2</v>
      </c>
      <c r="H378" s="35" t="s">
        <v>959</v>
      </c>
      <c r="I378" s="34">
        <f>IF(OR(H378="-",H378="",H378=0),IF(G378="-","-",G378),G378-H378)</f>
        <v>2</v>
      </c>
      <c r="J378" s="4" t="str">
        <f>IFERROR(IF(G378&gt;0, H378/G378, 0),"-")</f>
        <v>-</v>
      </c>
      <c r="K378" s="34">
        <v>1</v>
      </c>
      <c r="L378" s="35">
        <v>1</v>
      </c>
      <c r="M378" s="34">
        <f>IF(OR(L378="-",L378="",L378=0),IF(K378="-","-",K378),K378-L378)</f>
        <v>0</v>
      </c>
      <c r="N378" s="4">
        <f>IFERROR(IF(K378&gt;0, L378/K378, 0),"-")</f>
        <v>1</v>
      </c>
      <c r="O378" s="34">
        <v>3</v>
      </c>
      <c r="P378" s="35">
        <v>2</v>
      </c>
      <c r="Q378" s="34">
        <f>IF(OR(P378="-",P378="",P378=0),IF(O378="-","-",O378),O378-P378)</f>
        <v>1</v>
      </c>
      <c r="R378" s="4">
        <f>IFERROR(IF(O378&gt;0, P378/O378, 0),"-")</f>
        <v>0.66666666666666663</v>
      </c>
      <c r="S378" s="34">
        <v>155</v>
      </c>
      <c r="T378" s="34">
        <v>6</v>
      </c>
      <c r="U378" s="34">
        <v>12853</v>
      </c>
      <c r="V378" s="35">
        <v>1</v>
      </c>
      <c r="W378" s="35">
        <v>23385</v>
      </c>
    </row>
    <row r="379" spans="1:23" x14ac:dyDescent="0.2">
      <c r="A379" s="29"/>
      <c r="B379" s="29" t="s">
        <v>59</v>
      </c>
      <c r="C379" s="32">
        <v>948</v>
      </c>
      <c r="D379" s="32">
        <v>929</v>
      </c>
      <c r="E379" s="32">
        <f>IF(OR(D379="-",D379="",D379=0),IF(C379="-","-",C379),C379-D379)</f>
        <v>19</v>
      </c>
      <c r="F379" s="36">
        <f>IFERROR(IF(C379&gt;0, D379/C379, 0),"-")</f>
        <v>0.97995780590717296</v>
      </c>
      <c r="G379" s="32">
        <v>12</v>
      </c>
      <c r="H379" s="32">
        <v>6</v>
      </c>
      <c r="I379" s="32">
        <f>IF(OR(H379="-",H379="",H379=0),IF(G379="-","-",G379),G379-H379)</f>
        <v>6</v>
      </c>
      <c r="J379" s="36">
        <f>IFERROR(IF(G379&gt;0, H379/G379, 0),"-")</f>
        <v>0.5</v>
      </c>
      <c r="K379" s="32">
        <v>6</v>
      </c>
      <c r="L379" s="32">
        <v>3</v>
      </c>
      <c r="M379" s="32">
        <f>IF(OR(L379="-",L379="",L379=0),IF(K379="-","-",K379),K379-L379)</f>
        <v>3</v>
      </c>
      <c r="N379" s="36">
        <f>IFERROR(IF(K379&gt;0, L379/K379, 0),"-")</f>
        <v>0.5</v>
      </c>
      <c r="O379" s="32">
        <v>13</v>
      </c>
      <c r="P379" s="32">
        <v>2</v>
      </c>
      <c r="Q379" s="32">
        <f>IF(OR(P379="-",P379="",P379=0),IF(O379="-","-",O379),O379-P379)</f>
        <v>11</v>
      </c>
      <c r="R379" s="36">
        <f>IFERROR(IF(O379&gt;0, P379/O379, 0),"-")</f>
        <v>0.15384615384615385</v>
      </c>
      <c r="S379" s="32">
        <v>334</v>
      </c>
      <c r="T379" s="32">
        <v>11</v>
      </c>
      <c r="U379" s="32">
        <v>37595</v>
      </c>
      <c r="V379" s="32">
        <v>1</v>
      </c>
      <c r="W379" s="32">
        <v>15935</v>
      </c>
    </row>
    <row r="380" spans="1:23" x14ac:dyDescent="0.2">
      <c r="A380" s="30" t="s">
        <v>363</v>
      </c>
      <c r="B380" s="30" t="s">
        <v>1103</v>
      </c>
      <c r="C380" s="34">
        <v>234</v>
      </c>
      <c r="D380" s="35">
        <v>225</v>
      </c>
      <c r="E380" s="34">
        <f>IF(OR(D380="-",D380="",D380=0),IF(C380="-","-",C380),C380-D380)</f>
        <v>9</v>
      </c>
      <c r="F380" s="4">
        <f>IFERROR(IF(C380&gt;0, D380/C380, 0),"-")</f>
        <v>0.96153846153846156</v>
      </c>
      <c r="G380" s="34" t="s">
        <v>959</v>
      </c>
      <c r="H380" s="35" t="s">
        <v>959</v>
      </c>
      <c r="I380" s="34" t="str">
        <f>IF(OR(H380="-",H380="",H380=0),IF(G380="-","-",G380),G380-H380)</f>
        <v>-</v>
      </c>
      <c r="J380" s="4" t="str">
        <f>IFERROR(IF(G380&gt;0, H380/G380, 0),"-")</f>
        <v>-</v>
      </c>
      <c r="K380" s="34">
        <v>2</v>
      </c>
      <c r="L380" s="35">
        <v>1</v>
      </c>
      <c r="M380" s="34">
        <f>IF(OR(L380="-",L380="",L380=0),IF(K380="-","-",K380),K380-L380)</f>
        <v>1</v>
      </c>
      <c r="N380" s="4">
        <f>IFERROR(IF(K380&gt;0, L380/K380, 0),"-")</f>
        <v>0.5</v>
      </c>
      <c r="O380" s="34">
        <v>3</v>
      </c>
      <c r="P380" s="35">
        <v>1</v>
      </c>
      <c r="Q380" s="34">
        <f>IF(OR(P380="-",P380="",P380=0),IF(O380="-","-",O380),O380-P380)</f>
        <v>2</v>
      </c>
      <c r="R380" s="4">
        <f>IFERROR(IF(O380&gt;0, P380/O380, 0),"-")</f>
        <v>0.33333333333333331</v>
      </c>
      <c r="S380" s="34">
        <v>58</v>
      </c>
      <c r="T380" s="34">
        <v>1</v>
      </c>
      <c r="U380" s="34">
        <v>1425</v>
      </c>
      <c r="V380" s="35" t="s">
        <v>959</v>
      </c>
      <c r="W380" s="35" t="s">
        <v>959</v>
      </c>
    </row>
    <row r="381" spans="1:23" x14ac:dyDescent="0.2">
      <c r="A381" s="30" t="s">
        <v>364</v>
      </c>
      <c r="B381" s="30" t="s">
        <v>1104</v>
      </c>
      <c r="C381" s="34">
        <v>167</v>
      </c>
      <c r="D381" s="35">
        <v>167</v>
      </c>
      <c r="E381" s="34">
        <f>IF(OR(D381="-",D381="",D381=0),IF(C381="-","-",C381),C381-D381)</f>
        <v>0</v>
      </c>
      <c r="F381" s="4">
        <f>IFERROR(IF(C381&gt;0, D381/C381, 0),"-")</f>
        <v>1</v>
      </c>
      <c r="G381" s="34">
        <v>3</v>
      </c>
      <c r="H381" s="35" t="s">
        <v>959</v>
      </c>
      <c r="I381" s="34">
        <f>IF(OR(H381="-",H381="",H381=0),IF(G381="-","-",G381),G381-H381)</f>
        <v>3</v>
      </c>
      <c r="J381" s="4" t="str">
        <f>IFERROR(IF(G381&gt;0, H381/G381, 0),"-")</f>
        <v>-</v>
      </c>
      <c r="K381" s="34" t="s">
        <v>959</v>
      </c>
      <c r="L381" s="35" t="s">
        <v>959</v>
      </c>
      <c r="M381" s="34" t="str">
        <f>IF(OR(L381="-",L381="",L381=0),IF(K381="-","-",K381),K381-L381)</f>
        <v>-</v>
      </c>
      <c r="N381" s="4" t="str">
        <f>IFERROR(IF(K381&gt;0, L381/K381, 0),"-")</f>
        <v>-</v>
      </c>
      <c r="O381" s="34">
        <v>4</v>
      </c>
      <c r="P381" s="35" t="s">
        <v>959</v>
      </c>
      <c r="Q381" s="34">
        <f>IF(OR(P381="-",P381="",P381=0),IF(O381="-","-",O381),O381-P381)</f>
        <v>4</v>
      </c>
      <c r="R381" s="4" t="str">
        <f>IFERROR(IF(O381&gt;0, P381/O381, 0),"-")</f>
        <v>-</v>
      </c>
      <c r="S381" s="34">
        <v>43</v>
      </c>
      <c r="T381" s="34">
        <v>2</v>
      </c>
      <c r="U381" s="34">
        <v>1500</v>
      </c>
      <c r="V381" s="35">
        <v>1</v>
      </c>
      <c r="W381" s="35">
        <v>15935</v>
      </c>
    </row>
    <row r="382" spans="1:23" x14ac:dyDescent="0.2">
      <c r="A382" s="30" t="s">
        <v>362</v>
      </c>
      <c r="B382" s="30" t="s">
        <v>1105</v>
      </c>
      <c r="C382" s="34">
        <v>195</v>
      </c>
      <c r="D382" s="35">
        <v>192</v>
      </c>
      <c r="E382" s="34">
        <f>IF(OR(D382="-",D382="",D382=0),IF(C382="-","-",C382),C382-D382)</f>
        <v>3</v>
      </c>
      <c r="F382" s="4">
        <f>IFERROR(IF(C382&gt;0, D382/C382, 0),"-")</f>
        <v>0.98461538461538467</v>
      </c>
      <c r="G382" s="34">
        <v>3</v>
      </c>
      <c r="H382" s="35">
        <v>2</v>
      </c>
      <c r="I382" s="34">
        <f>IF(OR(H382="-",H382="",H382=0),IF(G382="-","-",G382),G382-H382)</f>
        <v>1</v>
      </c>
      <c r="J382" s="4">
        <f>IFERROR(IF(G382&gt;0, H382/G382, 0),"-")</f>
        <v>0.66666666666666663</v>
      </c>
      <c r="K382" s="34">
        <v>2</v>
      </c>
      <c r="L382" s="35">
        <v>1</v>
      </c>
      <c r="M382" s="34">
        <f>IF(OR(L382="-",L382="",L382=0),IF(K382="-","-",K382),K382-L382)</f>
        <v>1</v>
      </c>
      <c r="N382" s="4">
        <f>IFERROR(IF(K382&gt;0, L382/K382, 0),"-")</f>
        <v>0.5</v>
      </c>
      <c r="O382" s="34">
        <v>2</v>
      </c>
      <c r="P382" s="35" t="s">
        <v>959</v>
      </c>
      <c r="Q382" s="34">
        <f>IF(OR(P382="-",P382="",P382=0),IF(O382="-","-",O382),O382-P382)</f>
        <v>2</v>
      </c>
      <c r="R382" s="4" t="str">
        <f>IFERROR(IF(O382&gt;0, P382/O382, 0),"-")</f>
        <v>-</v>
      </c>
      <c r="S382" s="34">
        <v>76</v>
      </c>
      <c r="T382" s="34">
        <v>3</v>
      </c>
      <c r="U382" s="34">
        <v>23250</v>
      </c>
      <c r="V382" s="35" t="s">
        <v>959</v>
      </c>
      <c r="W382" s="35" t="s">
        <v>959</v>
      </c>
    </row>
    <row r="383" spans="1:23" x14ac:dyDescent="0.2">
      <c r="A383" s="30" t="s">
        <v>366</v>
      </c>
      <c r="B383" s="30" t="s">
        <v>1106</v>
      </c>
      <c r="C383" s="34">
        <v>196</v>
      </c>
      <c r="D383" s="35">
        <v>191</v>
      </c>
      <c r="E383" s="34">
        <f>IF(OR(D383="-",D383="",D383=0),IF(C383="-","-",C383),C383-D383)</f>
        <v>5</v>
      </c>
      <c r="F383" s="4">
        <f>IFERROR(IF(C383&gt;0, D383/C383, 0),"-")</f>
        <v>0.97448979591836737</v>
      </c>
      <c r="G383" s="34">
        <v>3</v>
      </c>
      <c r="H383" s="35">
        <v>1</v>
      </c>
      <c r="I383" s="34">
        <f>IF(OR(H383="-",H383="",H383=0),IF(G383="-","-",G383),G383-H383)</f>
        <v>2</v>
      </c>
      <c r="J383" s="4">
        <f>IFERROR(IF(G383&gt;0, H383/G383, 0),"-")</f>
        <v>0.33333333333333331</v>
      </c>
      <c r="K383" s="34">
        <v>2</v>
      </c>
      <c r="L383" s="35">
        <v>1</v>
      </c>
      <c r="M383" s="34">
        <f>IF(OR(L383="-",L383="",L383=0),IF(K383="-","-",K383),K383-L383)</f>
        <v>1</v>
      </c>
      <c r="N383" s="4">
        <f>IFERROR(IF(K383&gt;0, L383/K383, 0),"-")</f>
        <v>0.5</v>
      </c>
      <c r="O383" s="34">
        <v>1</v>
      </c>
      <c r="P383" s="35">
        <v>1</v>
      </c>
      <c r="Q383" s="34">
        <f>IF(OR(P383="-",P383="",P383=0),IF(O383="-","-",O383),O383-P383)</f>
        <v>0</v>
      </c>
      <c r="R383" s="4">
        <f>IFERROR(IF(O383&gt;0, P383/O383, 0),"-")</f>
        <v>1</v>
      </c>
      <c r="S383" s="34">
        <v>61</v>
      </c>
      <c r="T383" s="34">
        <v>4</v>
      </c>
      <c r="U383" s="34">
        <v>8725</v>
      </c>
      <c r="V383" s="35" t="s">
        <v>959</v>
      </c>
      <c r="W383" s="35" t="s">
        <v>959</v>
      </c>
    </row>
    <row r="384" spans="1:23" x14ac:dyDescent="0.2">
      <c r="A384" s="30" t="s">
        <v>365</v>
      </c>
      <c r="B384" s="30" t="s">
        <v>1107</v>
      </c>
      <c r="C384" s="34">
        <v>156</v>
      </c>
      <c r="D384" s="35">
        <v>154</v>
      </c>
      <c r="E384" s="34">
        <f>IF(OR(D384="-",D384="",D384=0),IF(C384="-","-",C384),C384-D384)</f>
        <v>2</v>
      </c>
      <c r="F384" s="4">
        <f>IFERROR(IF(C384&gt;0, D384/C384, 0),"-")</f>
        <v>0.98717948717948723</v>
      </c>
      <c r="G384" s="34">
        <v>3</v>
      </c>
      <c r="H384" s="35">
        <v>3</v>
      </c>
      <c r="I384" s="34">
        <f>IF(OR(H384="-",H384="",H384=0),IF(G384="-","-",G384),G384-H384)</f>
        <v>0</v>
      </c>
      <c r="J384" s="4">
        <f>IFERROR(IF(G384&gt;0, H384/G384, 0),"-")</f>
        <v>1</v>
      </c>
      <c r="K384" s="34" t="s">
        <v>959</v>
      </c>
      <c r="L384" s="35" t="s">
        <v>959</v>
      </c>
      <c r="M384" s="34" t="str">
        <f>IF(OR(L384="-",L384="",L384=0),IF(K384="-","-",K384),K384-L384)</f>
        <v>-</v>
      </c>
      <c r="N384" s="4" t="str">
        <f>IFERROR(IF(K384&gt;0, L384/K384, 0),"-")</f>
        <v>-</v>
      </c>
      <c r="O384" s="34">
        <v>3</v>
      </c>
      <c r="P384" s="35" t="s">
        <v>959</v>
      </c>
      <c r="Q384" s="34">
        <f>IF(OR(P384="-",P384="",P384=0),IF(O384="-","-",O384),O384-P384)</f>
        <v>3</v>
      </c>
      <c r="R384" s="4" t="str">
        <f>IFERROR(IF(O384&gt;0, P384/O384, 0),"-")</f>
        <v>-</v>
      </c>
      <c r="S384" s="34">
        <v>96</v>
      </c>
      <c r="T384" s="34">
        <v>1</v>
      </c>
      <c r="U384" s="34">
        <v>2695</v>
      </c>
      <c r="V384" s="35" t="s">
        <v>959</v>
      </c>
      <c r="W384" s="35" t="s">
        <v>959</v>
      </c>
    </row>
    <row r="385" spans="1:23" x14ac:dyDescent="0.2">
      <c r="A385" s="29"/>
      <c r="B385" s="29" t="s">
        <v>129</v>
      </c>
      <c r="C385" s="32">
        <v>682</v>
      </c>
      <c r="D385" s="32">
        <v>670</v>
      </c>
      <c r="E385" s="32">
        <f>IF(OR(D385="-",D385="",D385=0),IF(C385="-","-",C385),C385-D385)</f>
        <v>12</v>
      </c>
      <c r="F385" s="36">
        <f>IFERROR(IF(C385&gt;0, D385/C385, 0),"-")</f>
        <v>0.98240469208211145</v>
      </c>
      <c r="G385" s="32">
        <v>6</v>
      </c>
      <c r="H385" s="32">
        <v>2</v>
      </c>
      <c r="I385" s="32">
        <f>IF(OR(H385="-",H385="",H385=0),IF(G385="-","-",G385),G385-H385)</f>
        <v>4</v>
      </c>
      <c r="J385" s="36">
        <f>IFERROR(IF(G385&gt;0, H385/G385, 0),"-")</f>
        <v>0.33333333333333331</v>
      </c>
      <c r="K385" s="32">
        <v>6</v>
      </c>
      <c r="L385" s="32" t="s">
        <v>959</v>
      </c>
      <c r="M385" s="32">
        <f>IF(OR(L385="-",L385="",L385=0),IF(K385="-","-",K385),K385-L385)</f>
        <v>6</v>
      </c>
      <c r="N385" s="36" t="str">
        <f>IFERROR(IF(K385&gt;0, L385/K385, 0),"-")</f>
        <v>-</v>
      </c>
      <c r="O385" s="32">
        <v>7</v>
      </c>
      <c r="P385" s="32">
        <v>1</v>
      </c>
      <c r="Q385" s="32">
        <f>IF(OR(P385="-",P385="",P385=0),IF(O385="-","-",O385),O385-P385)</f>
        <v>6</v>
      </c>
      <c r="R385" s="36">
        <f>IFERROR(IF(O385&gt;0, P385/O385, 0),"-")</f>
        <v>0.14285714285714285</v>
      </c>
      <c r="S385" s="32">
        <v>643</v>
      </c>
      <c r="T385" s="32">
        <v>6</v>
      </c>
      <c r="U385" s="32">
        <v>11765</v>
      </c>
      <c r="V385" s="32">
        <v>3</v>
      </c>
      <c r="W385" s="32">
        <v>76367</v>
      </c>
    </row>
    <row r="386" spans="1:23" x14ac:dyDescent="0.2">
      <c r="A386" s="30" t="s">
        <v>897</v>
      </c>
      <c r="B386" s="30" t="s">
        <v>1108</v>
      </c>
      <c r="C386" s="34">
        <v>216</v>
      </c>
      <c r="D386" s="35">
        <v>214</v>
      </c>
      <c r="E386" s="34">
        <f>IF(OR(D386="-",D386="",D386=0),IF(C386="-","-",C386),C386-D386)</f>
        <v>2</v>
      </c>
      <c r="F386" s="4">
        <f>IFERROR(IF(C386&gt;0, D386/C386, 0),"-")</f>
        <v>0.9907407407407407</v>
      </c>
      <c r="G386" s="34">
        <v>1</v>
      </c>
      <c r="H386" s="35" t="s">
        <v>959</v>
      </c>
      <c r="I386" s="34">
        <f>IF(OR(H386="-",H386="",H386=0),IF(G386="-","-",G386),G386-H386)</f>
        <v>1</v>
      </c>
      <c r="J386" s="4" t="str">
        <f>IFERROR(IF(G386&gt;0, H386/G386, 0),"-")</f>
        <v>-</v>
      </c>
      <c r="K386" s="34">
        <v>2</v>
      </c>
      <c r="L386" s="35" t="s">
        <v>959</v>
      </c>
      <c r="M386" s="34">
        <f>IF(OR(L386="-",L386="",L386=0),IF(K386="-","-",K386),K386-L386)</f>
        <v>2</v>
      </c>
      <c r="N386" s="4" t="str">
        <f>IFERROR(IF(K386&gt;0, L386/K386, 0),"-")</f>
        <v>-</v>
      </c>
      <c r="O386" s="34">
        <v>1</v>
      </c>
      <c r="P386" s="35" t="s">
        <v>959</v>
      </c>
      <c r="Q386" s="34">
        <f>IF(OR(P386="-",P386="",P386=0),IF(O386="-","-",O386),O386-P386)</f>
        <v>1</v>
      </c>
      <c r="R386" s="4" t="str">
        <f>IFERROR(IF(O386&gt;0, P386/O386, 0),"-")</f>
        <v>-</v>
      </c>
      <c r="S386" s="34">
        <v>147</v>
      </c>
      <c r="T386" s="34">
        <v>3</v>
      </c>
      <c r="U386" s="34">
        <v>5895</v>
      </c>
      <c r="V386" s="35" t="s">
        <v>959</v>
      </c>
      <c r="W386" s="35" t="s">
        <v>959</v>
      </c>
    </row>
    <row r="387" spans="1:23" x14ac:dyDescent="0.2">
      <c r="A387" s="30" t="s">
        <v>895</v>
      </c>
      <c r="B387" s="30" t="s">
        <v>1109</v>
      </c>
      <c r="C387" s="34">
        <v>165</v>
      </c>
      <c r="D387" s="35">
        <v>163</v>
      </c>
      <c r="E387" s="34">
        <f>IF(OR(D387="-",D387="",D387=0),IF(C387="-","-",C387),C387-D387)</f>
        <v>2</v>
      </c>
      <c r="F387" s="4">
        <f>IFERROR(IF(C387&gt;0, D387/C387, 0),"-")</f>
        <v>0.98787878787878791</v>
      </c>
      <c r="G387" s="34">
        <v>1</v>
      </c>
      <c r="H387" s="35">
        <v>1</v>
      </c>
      <c r="I387" s="34">
        <f>IF(OR(H387="-",H387="",H387=0),IF(G387="-","-",G387),G387-H387)</f>
        <v>0</v>
      </c>
      <c r="J387" s="4">
        <f>IFERROR(IF(G387&gt;0, H387/G387, 0),"-")</f>
        <v>1</v>
      </c>
      <c r="K387" s="34">
        <v>3</v>
      </c>
      <c r="L387" s="35" t="s">
        <v>959</v>
      </c>
      <c r="M387" s="34">
        <f>IF(OR(L387="-",L387="",L387=0),IF(K387="-","-",K387),K387-L387)</f>
        <v>3</v>
      </c>
      <c r="N387" s="4" t="str">
        <f>IFERROR(IF(K387&gt;0, L387/K387, 0),"-")</f>
        <v>-</v>
      </c>
      <c r="O387" s="34" t="s">
        <v>959</v>
      </c>
      <c r="P387" s="35" t="s">
        <v>959</v>
      </c>
      <c r="Q387" s="34" t="str">
        <f>IF(OR(P387="-",P387="",P387=0),IF(O387="-","-",O387),O387-P387)</f>
        <v>-</v>
      </c>
      <c r="R387" s="4" t="str">
        <f>IFERROR(IF(O387&gt;0, P387/O387, 0),"-")</f>
        <v>-</v>
      </c>
      <c r="S387" s="34">
        <v>47</v>
      </c>
      <c r="T387" s="34" t="s">
        <v>959</v>
      </c>
      <c r="U387" s="34" t="s">
        <v>959</v>
      </c>
      <c r="V387" s="35">
        <v>1</v>
      </c>
      <c r="W387" s="35">
        <v>27107</v>
      </c>
    </row>
    <row r="388" spans="1:23" x14ac:dyDescent="0.2">
      <c r="A388" s="30" t="s">
        <v>896</v>
      </c>
      <c r="B388" s="30" t="s">
        <v>1110</v>
      </c>
      <c r="C388" s="34">
        <v>157</v>
      </c>
      <c r="D388" s="35">
        <v>150</v>
      </c>
      <c r="E388" s="34">
        <f>IF(OR(D388="-",D388="",D388=0),IF(C388="-","-",C388),C388-D388)</f>
        <v>7</v>
      </c>
      <c r="F388" s="4">
        <f>IFERROR(IF(C388&gt;0, D388/C388, 0),"-")</f>
        <v>0.95541401273885351</v>
      </c>
      <c r="G388" s="34">
        <v>4</v>
      </c>
      <c r="H388" s="35">
        <v>1</v>
      </c>
      <c r="I388" s="34">
        <f>IF(OR(H388="-",H388="",H388=0),IF(G388="-","-",G388),G388-H388)</f>
        <v>3</v>
      </c>
      <c r="J388" s="4">
        <f>IFERROR(IF(G388&gt;0, H388/G388, 0),"-")</f>
        <v>0.25</v>
      </c>
      <c r="K388" s="34">
        <v>1</v>
      </c>
      <c r="L388" s="35" t="s">
        <v>959</v>
      </c>
      <c r="M388" s="34">
        <f>IF(OR(L388="-",L388="",L388=0),IF(K388="-","-",K388),K388-L388)</f>
        <v>1</v>
      </c>
      <c r="N388" s="4" t="str">
        <f>IFERROR(IF(K388&gt;0, L388/K388, 0),"-")</f>
        <v>-</v>
      </c>
      <c r="O388" s="34">
        <v>5</v>
      </c>
      <c r="P388" s="35" t="s">
        <v>959</v>
      </c>
      <c r="Q388" s="34">
        <f>IF(OR(P388="-",P388="",P388=0),IF(O388="-","-",O388),O388-P388)</f>
        <v>5</v>
      </c>
      <c r="R388" s="4" t="str">
        <f>IFERROR(IF(O388&gt;0, P388/O388, 0),"-")</f>
        <v>-</v>
      </c>
      <c r="S388" s="34">
        <v>379</v>
      </c>
      <c r="T388" s="34">
        <v>2</v>
      </c>
      <c r="U388" s="34">
        <v>4270</v>
      </c>
      <c r="V388" s="35">
        <v>2</v>
      </c>
      <c r="W388" s="35">
        <v>49260</v>
      </c>
    </row>
    <row r="389" spans="1:23" x14ac:dyDescent="0.2">
      <c r="A389" s="30" t="s">
        <v>894</v>
      </c>
      <c r="B389" s="30" t="s">
        <v>1111</v>
      </c>
      <c r="C389" s="34">
        <v>144</v>
      </c>
      <c r="D389" s="35">
        <v>143</v>
      </c>
      <c r="E389" s="34">
        <f>IF(OR(D389="-",D389="",D389=0),IF(C389="-","-",C389),C389-D389)</f>
        <v>1</v>
      </c>
      <c r="F389" s="4">
        <f>IFERROR(IF(C389&gt;0, D389/C389, 0),"-")</f>
        <v>0.99305555555555558</v>
      </c>
      <c r="G389" s="34" t="s">
        <v>959</v>
      </c>
      <c r="H389" s="35" t="s">
        <v>959</v>
      </c>
      <c r="I389" s="34" t="str">
        <f>IF(OR(H389="-",H389="",H389=0),IF(G389="-","-",G389),G389-H389)</f>
        <v>-</v>
      </c>
      <c r="J389" s="4" t="str">
        <f>IFERROR(IF(G389&gt;0, H389/G389, 0),"-")</f>
        <v>-</v>
      </c>
      <c r="K389" s="34" t="s">
        <v>959</v>
      </c>
      <c r="L389" s="35" t="s">
        <v>959</v>
      </c>
      <c r="M389" s="34" t="str">
        <f>IF(OR(L389="-",L389="",L389=0),IF(K389="-","-",K389),K389-L389)</f>
        <v>-</v>
      </c>
      <c r="N389" s="4" t="str">
        <f>IFERROR(IF(K389&gt;0, L389/K389, 0),"-")</f>
        <v>-</v>
      </c>
      <c r="O389" s="34">
        <v>1</v>
      </c>
      <c r="P389" s="35">
        <v>1</v>
      </c>
      <c r="Q389" s="34">
        <f>IF(OR(P389="-",P389="",P389=0),IF(O389="-","-",O389),O389-P389)</f>
        <v>0</v>
      </c>
      <c r="R389" s="4">
        <f>IFERROR(IF(O389&gt;0, P389/O389, 0),"-")</f>
        <v>1</v>
      </c>
      <c r="S389" s="34">
        <v>70</v>
      </c>
      <c r="T389" s="34">
        <v>1</v>
      </c>
      <c r="U389" s="34">
        <v>1600</v>
      </c>
      <c r="V389" s="35" t="s">
        <v>959</v>
      </c>
      <c r="W389" s="35" t="s">
        <v>959</v>
      </c>
    </row>
    <row r="390" spans="1:23" x14ac:dyDescent="0.2">
      <c r="A390" s="29"/>
      <c r="B390" s="29" t="s">
        <v>110</v>
      </c>
      <c r="C390" s="32">
        <v>1637</v>
      </c>
      <c r="D390" s="32">
        <v>1614</v>
      </c>
      <c r="E390" s="32">
        <f>IF(OR(D390="-",D390="",D390=0),IF(C390="-","-",C390),C390-D390)</f>
        <v>23</v>
      </c>
      <c r="F390" s="36">
        <f>IFERROR(IF(C390&gt;0, D390/C390, 0),"-")</f>
        <v>0.98594990836896768</v>
      </c>
      <c r="G390" s="32">
        <v>14</v>
      </c>
      <c r="H390" s="32">
        <v>8</v>
      </c>
      <c r="I390" s="32">
        <f>IF(OR(H390="-",H390="",H390=0),IF(G390="-","-",G390),G390-H390)</f>
        <v>6</v>
      </c>
      <c r="J390" s="36">
        <f>IFERROR(IF(G390&gt;0, H390/G390, 0),"-")</f>
        <v>0.5714285714285714</v>
      </c>
      <c r="K390" s="32">
        <v>13</v>
      </c>
      <c r="L390" s="32">
        <v>3</v>
      </c>
      <c r="M390" s="32">
        <f>IF(OR(L390="-",L390="",L390=0),IF(K390="-","-",K390),K390-L390)</f>
        <v>10</v>
      </c>
      <c r="N390" s="36">
        <f>IFERROR(IF(K390&gt;0, L390/K390, 0),"-")</f>
        <v>0.23076923076923078</v>
      </c>
      <c r="O390" s="32">
        <v>12</v>
      </c>
      <c r="P390" s="32">
        <v>2</v>
      </c>
      <c r="Q390" s="32">
        <f>IF(OR(P390="-",P390="",P390=0),IF(O390="-","-",O390),O390-P390)</f>
        <v>10</v>
      </c>
      <c r="R390" s="36">
        <f>IFERROR(IF(O390&gt;0, P390/O390, 0),"-")</f>
        <v>0.16666666666666666</v>
      </c>
      <c r="S390" s="32">
        <v>24</v>
      </c>
      <c r="T390" s="32" t="s">
        <v>959</v>
      </c>
      <c r="U390" s="32" t="s">
        <v>959</v>
      </c>
      <c r="V390" s="32" t="s">
        <v>959</v>
      </c>
      <c r="W390" s="32" t="s">
        <v>959</v>
      </c>
    </row>
    <row r="391" spans="1:23" x14ac:dyDescent="0.2">
      <c r="A391" s="30" t="s">
        <v>796</v>
      </c>
      <c r="B391" s="30" t="s">
        <v>1112</v>
      </c>
      <c r="C391" s="34">
        <v>409</v>
      </c>
      <c r="D391" s="35">
        <v>405</v>
      </c>
      <c r="E391" s="34">
        <f>IF(OR(D391="-",D391="",D391=0),IF(C391="-","-",C391),C391-D391)</f>
        <v>4</v>
      </c>
      <c r="F391" s="4">
        <f>IFERROR(IF(C391&gt;0, D391/C391, 0),"-")</f>
        <v>0.99022004889975546</v>
      </c>
      <c r="G391" s="34">
        <v>4</v>
      </c>
      <c r="H391" s="35">
        <v>2</v>
      </c>
      <c r="I391" s="34">
        <f>IF(OR(H391="-",H391="",H391=0),IF(G391="-","-",G391),G391-H391)</f>
        <v>2</v>
      </c>
      <c r="J391" s="4">
        <f>IFERROR(IF(G391&gt;0, H391/G391, 0),"-")</f>
        <v>0.5</v>
      </c>
      <c r="K391" s="34">
        <v>5</v>
      </c>
      <c r="L391" s="35">
        <v>2</v>
      </c>
      <c r="M391" s="34">
        <f>IF(OR(L391="-",L391="",L391=0),IF(K391="-","-",K391),K391-L391)</f>
        <v>3</v>
      </c>
      <c r="N391" s="4">
        <f>IFERROR(IF(K391&gt;0, L391/K391, 0),"-")</f>
        <v>0.4</v>
      </c>
      <c r="O391" s="34" t="s">
        <v>959</v>
      </c>
      <c r="P391" s="35" t="s">
        <v>959</v>
      </c>
      <c r="Q391" s="34" t="str">
        <f>IF(OR(P391="-",P391="",P391=0),IF(O391="-","-",O391),O391-P391)</f>
        <v>-</v>
      </c>
      <c r="R391" s="4" t="str">
        <f>IFERROR(IF(O391&gt;0, P391/O391, 0),"-")</f>
        <v>-</v>
      </c>
      <c r="S391" s="34">
        <v>2</v>
      </c>
      <c r="T391" s="34" t="s">
        <v>959</v>
      </c>
      <c r="U391" s="34" t="s">
        <v>959</v>
      </c>
      <c r="V391" s="35" t="s">
        <v>959</v>
      </c>
      <c r="W391" s="35" t="s">
        <v>959</v>
      </c>
    </row>
    <row r="392" spans="1:23" x14ac:dyDescent="0.2">
      <c r="A392" s="30" t="s">
        <v>800</v>
      </c>
      <c r="B392" s="30" t="s">
        <v>1113</v>
      </c>
      <c r="C392" s="34">
        <v>353</v>
      </c>
      <c r="D392" s="35">
        <v>348</v>
      </c>
      <c r="E392" s="34">
        <f>IF(OR(D392="-",D392="",D392=0),IF(C392="-","-",C392),C392-D392)</f>
        <v>5</v>
      </c>
      <c r="F392" s="4">
        <f>IFERROR(IF(C392&gt;0, D392/C392, 0),"-")</f>
        <v>0.98583569405099147</v>
      </c>
      <c r="G392" s="34">
        <v>3</v>
      </c>
      <c r="H392" s="35">
        <v>1</v>
      </c>
      <c r="I392" s="34">
        <f>IF(OR(H392="-",H392="",H392=0),IF(G392="-","-",G392),G392-H392)</f>
        <v>2</v>
      </c>
      <c r="J392" s="4">
        <f>IFERROR(IF(G392&gt;0, H392/G392, 0),"-")</f>
        <v>0.33333333333333331</v>
      </c>
      <c r="K392" s="34">
        <v>2</v>
      </c>
      <c r="L392" s="35" t="s">
        <v>959</v>
      </c>
      <c r="M392" s="34">
        <f>IF(OR(L392="-",L392="",L392=0),IF(K392="-","-",K392),K392-L392)</f>
        <v>2</v>
      </c>
      <c r="N392" s="4" t="str">
        <f>IFERROR(IF(K392&gt;0, L392/K392, 0),"-")</f>
        <v>-</v>
      </c>
      <c r="O392" s="34">
        <v>1</v>
      </c>
      <c r="P392" s="35">
        <v>1</v>
      </c>
      <c r="Q392" s="34">
        <f>IF(OR(P392="-",P392="",P392=0),IF(O392="-","-",O392),O392-P392)</f>
        <v>0</v>
      </c>
      <c r="R392" s="4">
        <f>IFERROR(IF(O392&gt;0, P392/O392, 0),"-")</f>
        <v>1</v>
      </c>
      <c r="S392" s="34">
        <v>4</v>
      </c>
      <c r="T392" s="34" t="s">
        <v>959</v>
      </c>
      <c r="U392" s="34" t="s">
        <v>959</v>
      </c>
      <c r="V392" s="35" t="s">
        <v>959</v>
      </c>
      <c r="W392" s="35" t="s">
        <v>959</v>
      </c>
    </row>
    <row r="393" spans="1:23" x14ac:dyDescent="0.2">
      <c r="A393" s="30" t="s">
        <v>798</v>
      </c>
      <c r="B393" s="30" t="s">
        <v>1114</v>
      </c>
      <c r="C393" s="34">
        <v>389</v>
      </c>
      <c r="D393" s="35">
        <v>379</v>
      </c>
      <c r="E393" s="34">
        <f>IF(OR(D393="-",D393="",D393=0),IF(C393="-","-",C393),C393-D393)</f>
        <v>10</v>
      </c>
      <c r="F393" s="4">
        <f>IFERROR(IF(C393&gt;0, D393/C393, 0),"-")</f>
        <v>0.97429305912596398</v>
      </c>
      <c r="G393" s="34">
        <v>2</v>
      </c>
      <c r="H393" s="35">
        <v>1</v>
      </c>
      <c r="I393" s="34">
        <f>IF(OR(H393="-",H393="",H393=0),IF(G393="-","-",G393),G393-H393)</f>
        <v>1</v>
      </c>
      <c r="J393" s="4">
        <f>IFERROR(IF(G393&gt;0, H393/G393, 0),"-")</f>
        <v>0.5</v>
      </c>
      <c r="K393" s="34">
        <v>1</v>
      </c>
      <c r="L393" s="35" t="s">
        <v>959</v>
      </c>
      <c r="M393" s="34">
        <f>IF(OR(L393="-",L393="",L393=0),IF(K393="-","-",K393),K393-L393)</f>
        <v>1</v>
      </c>
      <c r="N393" s="4" t="str">
        <f>IFERROR(IF(K393&gt;0, L393/K393, 0),"-")</f>
        <v>-</v>
      </c>
      <c r="O393" s="34">
        <v>2</v>
      </c>
      <c r="P393" s="35" t="s">
        <v>959</v>
      </c>
      <c r="Q393" s="34">
        <f>IF(OR(P393="-",P393="",P393=0),IF(O393="-","-",O393),O393-P393)</f>
        <v>2</v>
      </c>
      <c r="R393" s="4" t="str">
        <f>IFERROR(IF(O393&gt;0, P393/O393, 0),"-")</f>
        <v>-</v>
      </c>
      <c r="S393" s="34">
        <v>1</v>
      </c>
      <c r="T393" s="34" t="s">
        <v>959</v>
      </c>
      <c r="U393" s="34" t="s">
        <v>959</v>
      </c>
      <c r="V393" s="35" t="s">
        <v>959</v>
      </c>
      <c r="W393" s="35" t="s">
        <v>959</v>
      </c>
    </row>
    <row r="394" spans="1:23" x14ac:dyDescent="0.2">
      <c r="A394" s="30" t="s">
        <v>799</v>
      </c>
      <c r="B394" s="30" t="s">
        <v>1115</v>
      </c>
      <c r="C394" s="34">
        <v>238</v>
      </c>
      <c r="D394" s="35">
        <v>237</v>
      </c>
      <c r="E394" s="34">
        <f>IF(OR(D394="-",D394="",D394=0),IF(C394="-","-",C394),C394-D394)</f>
        <v>1</v>
      </c>
      <c r="F394" s="4">
        <f>IFERROR(IF(C394&gt;0, D394/C394, 0),"-")</f>
        <v>0.99579831932773111</v>
      </c>
      <c r="G394" s="34">
        <v>1</v>
      </c>
      <c r="H394" s="35">
        <v>1</v>
      </c>
      <c r="I394" s="34">
        <f>IF(OR(H394="-",H394="",H394=0),IF(G394="-","-",G394),G394-H394)</f>
        <v>0</v>
      </c>
      <c r="J394" s="4">
        <f>IFERROR(IF(G394&gt;0, H394/G394, 0),"-")</f>
        <v>1</v>
      </c>
      <c r="K394" s="34" t="s">
        <v>959</v>
      </c>
      <c r="L394" s="35" t="s">
        <v>959</v>
      </c>
      <c r="M394" s="34" t="str">
        <f>IF(OR(L394="-",L394="",L394=0),IF(K394="-","-",K394),K394-L394)</f>
        <v>-</v>
      </c>
      <c r="N394" s="4" t="str">
        <f>IFERROR(IF(K394&gt;0, L394/K394, 0),"-")</f>
        <v>-</v>
      </c>
      <c r="O394" s="34">
        <v>1</v>
      </c>
      <c r="P394" s="35" t="s">
        <v>959</v>
      </c>
      <c r="Q394" s="34">
        <f>IF(OR(P394="-",P394="",P394=0),IF(O394="-","-",O394),O394-P394)</f>
        <v>1</v>
      </c>
      <c r="R394" s="4" t="str">
        <f>IFERROR(IF(O394&gt;0, P394/O394, 0),"-")</f>
        <v>-</v>
      </c>
      <c r="S394" s="34" t="s">
        <v>959</v>
      </c>
      <c r="T394" s="34" t="s">
        <v>959</v>
      </c>
      <c r="U394" s="34" t="s">
        <v>959</v>
      </c>
      <c r="V394" s="35" t="s">
        <v>959</v>
      </c>
      <c r="W394" s="35" t="s">
        <v>959</v>
      </c>
    </row>
    <row r="395" spans="1:23" x14ac:dyDescent="0.2">
      <c r="A395" s="30" t="s">
        <v>797</v>
      </c>
      <c r="B395" s="30" t="s">
        <v>1116</v>
      </c>
      <c r="C395" s="34">
        <v>160</v>
      </c>
      <c r="D395" s="35">
        <v>157</v>
      </c>
      <c r="E395" s="34">
        <f>IF(OR(D395="-",D395="",D395=0),IF(C395="-","-",C395),C395-D395)</f>
        <v>3</v>
      </c>
      <c r="F395" s="4">
        <f>IFERROR(IF(C395&gt;0, D395/C395, 0),"-")</f>
        <v>0.98124999999999996</v>
      </c>
      <c r="G395" s="34">
        <v>4</v>
      </c>
      <c r="H395" s="35">
        <v>3</v>
      </c>
      <c r="I395" s="34">
        <f>IF(OR(H395="-",H395="",H395=0),IF(G395="-","-",G395),G395-H395)</f>
        <v>1</v>
      </c>
      <c r="J395" s="4">
        <f>IFERROR(IF(G395&gt;0, H395/G395, 0),"-")</f>
        <v>0.75</v>
      </c>
      <c r="K395" s="34">
        <v>3</v>
      </c>
      <c r="L395" s="35">
        <v>1</v>
      </c>
      <c r="M395" s="34">
        <f>IF(OR(L395="-",L395="",L395=0),IF(K395="-","-",K395),K395-L395)</f>
        <v>2</v>
      </c>
      <c r="N395" s="4">
        <f>IFERROR(IF(K395&gt;0, L395/K395, 0),"-")</f>
        <v>0.33333333333333331</v>
      </c>
      <c r="O395" s="34">
        <v>3</v>
      </c>
      <c r="P395" s="35" t="s">
        <v>959</v>
      </c>
      <c r="Q395" s="34">
        <f>IF(OR(P395="-",P395="",P395=0),IF(O395="-","-",O395),O395-P395)</f>
        <v>3</v>
      </c>
      <c r="R395" s="4" t="str">
        <f>IFERROR(IF(O395&gt;0, P395/O395, 0),"-")</f>
        <v>-</v>
      </c>
      <c r="S395" s="34">
        <v>6</v>
      </c>
      <c r="T395" s="34" t="s">
        <v>959</v>
      </c>
      <c r="U395" s="34" t="s">
        <v>959</v>
      </c>
      <c r="V395" s="35" t="s">
        <v>959</v>
      </c>
      <c r="W395" s="35" t="s">
        <v>959</v>
      </c>
    </row>
    <row r="396" spans="1:23" x14ac:dyDescent="0.2">
      <c r="A396" s="30" t="s">
        <v>801</v>
      </c>
      <c r="B396" s="30" t="s">
        <v>1117</v>
      </c>
      <c r="C396" s="34">
        <v>88</v>
      </c>
      <c r="D396" s="35">
        <v>88</v>
      </c>
      <c r="E396" s="34">
        <f>IF(OR(D396="-",D396="",D396=0),IF(C396="-","-",C396),C396-D396)</f>
        <v>0</v>
      </c>
      <c r="F396" s="4">
        <f>IFERROR(IF(C396&gt;0, D396/C396, 0),"-")</f>
        <v>1</v>
      </c>
      <c r="G396" s="34" t="s">
        <v>959</v>
      </c>
      <c r="H396" s="35" t="s">
        <v>959</v>
      </c>
      <c r="I396" s="34" t="str">
        <f>IF(OR(H396="-",H396="",H396=0),IF(G396="-","-",G396),G396-H396)</f>
        <v>-</v>
      </c>
      <c r="J396" s="4" t="str">
        <f>IFERROR(IF(G396&gt;0, H396/G396, 0),"-")</f>
        <v>-</v>
      </c>
      <c r="K396" s="34">
        <v>2</v>
      </c>
      <c r="L396" s="35" t="s">
        <v>959</v>
      </c>
      <c r="M396" s="34">
        <f>IF(OR(L396="-",L396="",L396=0),IF(K396="-","-",K396),K396-L396)</f>
        <v>2</v>
      </c>
      <c r="N396" s="4" t="str">
        <f>IFERROR(IF(K396&gt;0, L396/K396, 0),"-")</f>
        <v>-</v>
      </c>
      <c r="O396" s="34">
        <v>5</v>
      </c>
      <c r="P396" s="35">
        <v>1</v>
      </c>
      <c r="Q396" s="34">
        <f>IF(OR(P396="-",P396="",P396=0),IF(O396="-","-",O396),O396-P396)</f>
        <v>4</v>
      </c>
      <c r="R396" s="4">
        <f>IFERROR(IF(O396&gt;0, P396/O396, 0),"-")</f>
        <v>0.2</v>
      </c>
      <c r="S396" s="34">
        <v>11</v>
      </c>
      <c r="T396" s="34" t="s">
        <v>959</v>
      </c>
      <c r="U396" s="34" t="s">
        <v>959</v>
      </c>
      <c r="V396" s="35" t="s">
        <v>959</v>
      </c>
      <c r="W396" s="35" t="s">
        <v>959</v>
      </c>
    </row>
    <row r="397" spans="1:23" x14ac:dyDescent="0.2">
      <c r="A397" s="29"/>
      <c r="B397" s="29" t="s">
        <v>50</v>
      </c>
      <c r="C397" s="32">
        <v>1574</v>
      </c>
      <c r="D397" s="32">
        <v>1563</v>
      </c>
      <c r="E397" s="32">
        <f>IF(OR(D397="-",D397="",D397=0),IF(C397="-","-",C397),C397-D397)</f>
        <v>11</v>
      </c>
      <c r="F397" s="36">
        <f>IFERROR(IF(C397&gt;0, D397/C397, 0),"-")</f>
        <v>0.99301143583227447</v>
      </c>
      <c r="G397" s="32">
        <v>11</v>
      </c>
      <c r="H397" s="32">
        <v>3</v>
      </c>
      <c r="I397" s="32">
        <f>IF(OR(H397="-",H397="",H397=0),IF(G397="-","-",G397),G397-H397)</f>
        <v>8</v>
      </c>
      <c r="J397" s="36">
        <f>IFERROR(IF(G397&gt;0, H397/G397, 0),"-")</f>
        <v>0.27272727272727271</v>
      </c>
      <c r="K397" s="32">
        <v>16</v>
      </c>
      <c r="L397" s="32">
        <v>3</v>
      </c>
      <c r="M397" s="32">
        <f>IF(OR(L397="-",L397="",L397=0),IF(K397="-","-",K397),K397-L397)</f>
        <v>13</v>
      </c>
      <c r="N397" s="36">
        <f>IFERROR(IF(K397&gt;0, L397/K397, 0),"-")</f>
        <v>0.1875</v>
      </c>
      <c r="O397" s="32">
        <v>38</v>
      </c>
      <c r="P397" s="32">
        <v>4</v>
      </c>
      <c r="Q397" s="32">
        <f>IF(OR(P397="-",P397="",P397=0),IF(O397="-","-",O397),O397-P397)</f>
        <v>34</v>
      </c>
      <c r="R397" s="36">
        <f>IFERROR(IF(O397&gt;0, P397/O397, 0),"-")</f>
        <v>0.10526315789473684</v>
      </c>
      <c r="S397" s="32">
        <v>819</v>
      </c>
      <c r="T397" s="32">
        <v>18</v>
      </c>
      <c r="U397" s="32">
        <v>83335</v>
      </c>
      <c r="V397" s="32">
        <v>7</v>
      </c>
      <c r="W397" s="32">
        <v>125620</v>
      </c>
    </row>
    <row r="398" spans="1:23" x14ac:dyDescent="0.2">
      <c r="A398" s="30" t="s">
        <v>285</v>
      </c>
      <c r="B398" s="30" t="s">
        <v>1118</v>
      </c>
      <c r="C398" s="34">
        <v>152</v>
      </c>
      <c r="D398" s="35">
        <v>150</v>
      </c>
      <c r="E398" s="34">
        <f>IF(OR(D398="-",D398="",D398=0),IF(C398="-","-",C398),C398-D398)</f>
        <v>2</v>
      </c>
      <c r="F398" s="4">
        <f>IFERROR(IF(C398&gt;0, D398/C398, 0),"-")</f>
        <v>0.98684210526315785</v>
      </c>
      <c r="G398" s="34">
        <v>1</v>
      </c>
      <c r="H398" s="35" t="s">
        <v>959</v>
      </c>
      <c r="I398" s="34">
        <f>IF(OR(H398="-",H398="",H398=0),IF(G398="-","-",G398),G398-H398)</f>
        <v>1</v>
      </c>
      <c r="J398" s="4" t="str">
        <f>IFERROR(IF(G398&gt;0, H398/G398, 0),"-")</f>
        <v>-</v>
      </c>
      <c r="K398" s="34">
        <v>3</v>
      </c>
      <c r="L398" s="35" t="s">
        <v>959</v>
      </c>
      <c r="M398" s="34">
        <f>IF(OR(L398="-",L398="",L398=0),IF(K398="-","-",K398),K398-L398)</f>
        <v>3</v>
      </c>
      <c r="N398" s="4" t="str">
        <f>IFERROR(IF(K398&gt;0, L398/K398, 0),"-")</f>
        <v>-</v>
      </c>
      <c r="O398" s="34">
        <v>2</v>
      </c>
      <c r="P398" s="35" t="s">
        <v>959</v>
      </c>
      <c r="Q398" s="34">
        <f>IF(OR(P398="-",P398="",P398=0),IF(O398="-","-",O398),O398-P398)</f>
        <v>2</v>
      </c>
      <c r="R398" s="4" t="str">
        <f>IFERROR(IF(O398&gt;0, P398/O398, 0),"-")</f>
        <v>-</v>
      </c>
      <c r="S398" s="34">
        <v>110</v>
      </c>
      <c r="T398" s="34">
        <v>1</v>
      </c>
      <c r="U398" s="34">
        <v>1000</v>
      </c>
      <c r="V398" s="35">
        <v>1</v>
      </c>
      <c r="W398" s="35">
        <v>190</v>
      </c>
    </row>
    <row r="399" spans="1:23" x14ac:dyDescent="0.2">
      <c r="A399" s="30" t="s">
        <v>287</v>
      </c>
      <c r="B399" s="30" t="s">
        <v>1119</v>
      </c>
      <c r="C399" s="34">
        <v>268</v>
      </c>
      <c r="D399" s="35">
        <v>267</v>
      </c>
      <c r="E399" s="34">
        <f>IF(OR(D399="-",D399="",D399=0),IF(C399="-","-",C399),C399-D399)</f>
        <v>1</v>
      </c>
      <c r="F399" s="4">
        <f>IFERROR(IF(C399&gt;0, D399/C399, 0),"-")</f>
        <v>0.99626865671641796</v>
      </c>
      <c r="G399" s="34">
        <v>1</v>
      </c>
      <c r="H399" s="35" t="s">
        <v>959</v>
      </c>
      <c r="I399" s="34">
        <f>IF(OR(H399="-",H399="",H399=0),IF(G399="-","-",G399),G399-H399)</f>
        <v>1</v>
      </c>
      <c r="J399" s="4" t="str">
        <f>IFERROR(IF(G399&gt;0, H399/G399, 0),"-")</f>
        <v>-</v>
      </c>
      <c r="K399" s="34">
        <v>2</v>
      </c>
      <c r="L399" s="35" t="s">
        <v>959</v>
      </c>
      <c r="M399" s="34">
        <f>IF(OR(L399="-",L399="",L399=0),IF(K399="-","-",K399),K399-L399)</f>
        <v>2</v>
      </c>
      <c r="N399" s="4" t="str">
        <f>IFERROR(IF(K399&gt;0, L399/K399, 0),"-")</f>
        <v>-</v>
      </c>
      <c r="O399" s="34">
        <v>4</v>
      </c>
      <c r="P399" s="35">
        <v>1</v>
      </c>
      <c r="Q399" s="34">
        <f>IF(OR(P399="-",P399="",P399=0),IF(O399="-","-",O399),O399-P399)</f>
        <v>3</v>
      </c>
      <c r="R399" s="4">
        <f>IFERROR(IF(O399&gt;0, P399/O399, 0),"-")</f>
        <v>0.25</v>
      </c>
      <c r="S399" s="34">
        <v>90</v>
      </c>
      <c r="T399" s="34">
        <v>5</v>
      </c>
      <c r="U399" s="34">
        <v>35890</v>
      </c>
      <c r="V399" s="35" t="s">
        <v>959</v>
      </c>
      <c r="W399" s="35" t="s">
        <v>959</v>
      </c>
    </row>
    <row r="400" spans="1:23" x14ac:dyDescent="0.2">
      <c r="A400" s="30" t="s">
        <v>281</v>
      </c>
      <c r="B400" s="30" t="s">
        <v>1120</v>
      </c>
      <c r="C400" s="34">
        <v>187</v>
      </c>
      <c r="D400" s="35">
        <v>186</v>
      </c>
      <c r="E400" s="34">
        <f>IF(OR(D400="-",D400="",D400=0),IF(C400="-","-",C400),C400-D400)</f>
        <v>1</v>
      </c>
      <c r="F400" s="4">
        <f>IFERROR(IF(C400&gt;0, D400/C400, 0),"-")</f>
        <v>0.99465240641711228</v>
      </c>
      <c r="G400" s="34" t="s">
        <v>959</v>
      </c>
      <c r="H400" s="35" t="s">
        <v>959</v>
      </c>
      <c r="I400" s="34" t="str">
        <f>IF(OR(H400="-",H400="",H400=0),IF(G400="-","-",G400),G400-H400)</f>
        <v>-</v>
      </c>
      <c r="J400" s="4" t="str">
        <f>IFERROR(IF(G400&gt;0, H400/G400, 0),"-")</f>
        <v>-</v>
      </c>
      <c r="K400" s="34">
        <v>1</v>
      </c>
      <c r="L400" s="35" t="s">
        <v>959</v>
      </c>
      <c r="M400" s="34">
        <f>IF(OR(L400="-",L400="",L400=0),IF(K400="-","-",K400),K400-L400)</f>
        <v>1</v>
      </c>
      <c r="N400" s="4" t="str">
        <f>IFERROR(IF(K400&gt;0, L400/K400, 0),"-")</f>
        <v>-</v>
      </c>
      <c r="O400" s="34">
        <v>5</v>
      </c>
      <c r="P400" s="35" t="s">
        <v>959</v>
      </c>
      <c r="Q400" s="34">
        <f>IF(OR(P400="-",P400="",P400=0),IF(O400="-","-",O400),O400-P400)</f>
        <v>5</v>
      </c>
      <c r="R400" s="4" t="str">
        <f>IFERROR(IF(O400&gt;0, P400/O400, 0),"-")</f>
        <v>-</v>
      </c>
      <c r="S400" s="34">
        <v>55</v>
      </c>
      <c r="T400" s="34">
        <v>2</v>
      </c>
      <c r="U400" s="34">
        <v>3695</v>
      </c>
      <c r="V400" s="35">
        <v>1</v>
      </c>
      <c r="W400" s="35">
        <v>8066</v>
      </c>
    </row>
    <row r="401" spans="1:23" x14ac:dyDescent="0.2">
      <c r="A401" s="30" t="s">
        <v>282</v>
      </c>
      <c r="B401" s="30" t="s">
        <v>1121</v>
      </c>
      <c r="C401" s="34">
        <v>210</v>
      </c>
      <c r="D401" s="35">
        <v>210</v>
      </c>
      <c r="E401" s="34">
        <f>IF(OR(D401="-",D401="",D401=0),IF(C401="-","-",C401),C401-D401)</f>
        <v>0</v>
      </c>
      <c r="F401" s="4">
        <f>IFERROR(IF(C401&gt;0, D401/C401, 0),"-")</f>
        <v>1</v>
      </c>
      <c r="G401" s="34">
        <v>1</v>
      </c>
      <c r="H401" s="35">
        <v>1</v>
      </c>
      <c r="I401" s="34">
        <f>IF(OR(H401="-",H401="",H401=0),IF(G401="-","-",G401),G401-H401)</f>
        <v>0</v>
      </c>
      <c r="J401" s="4">
        <f>IFERROR(IF(G401&gt;0, H401/G401, 0),"-")</f>
        <v>1</v>
      </c>
      <c r="K401" s="34">
        <v>1</v>
      </c>
      <c r="L401" s="35" t="s">
        <v>959</v>
      </c>
      <c r="M401" s="34">
        <f>IF(OR(L401="-",L401="",L401=0),IF(K401="-","-",K401),K401-L401)</f>
        <v>1</v>
      </c>
      <c r="N401" s="4" t="str">
        <f>IFERROR(IF(K401&gt;0, L401/K401, 0),"-")</f>
        <v>-</v>
      </c>
      <c r="O401" s="34">
        <v>3</v>
      </c>
      <c r="P401" s="35">
        <v>1</v>
      </c>
      <c r="Q401" s="34">
        <f>IF(OR(P401="-",P401="",P401=0),IF(O401="-","-",O401),O401-P401)</f>
        <v>2</v>
      </c>
      <c r="R401" s="4">
        <f>IFERROR(IF(O401&gt;0, P401/O401, 0),"-")</f>
        <v>0.33333333333333331</v>
      </c>
      <c r="S401" s="34">
        <v>79</v>
      </c>
      <c r="T401" s="34">
        <v>2</v>
      </c>
      <c r="U401" s="34">
        <v>10780</v>
      </c>
      <c r="V401" s="35" t="s">
        <v>959</v>
      </c>
      <c r="W401" s="35" t="s">
        <v>959</v>
      </c>
    </row>
    <row r="402" spans="1:23" x14ac:dyDescent="0.2">
      <c r="A402" s="30" t="s">
        <v>286</v>
      </c>
      <c r="B402" s="30" t="s">
        <v>1122</v>
      </c>
      <c r="C402" s="34">
        <v>91</v>
      </c>
      <c r="D402" s="35">
        <v>91</v>
      </c>
      <c r="E402" s="34">
        <f>IF(OR(D402="-",D402="",D402=0),IF(C402="-","-",C402),C402-D402)</f>
        <v>0</v>
      </c>
      <c r="F402" s="4">
        <f>IFERROR(IF(C402&gt;0, D402/C402, 0),"-")</f>
        <v>1</v>
      </c>
      <c r="G402" s="34">
        <v>1</v>
      </c>
      <c r="H402" s="35" t="s">
        <v>959</v>
      </c>
      <c r="I402" s="34">
        <f>IF(OR(H402="-",H402="",H402=0),IF(G402="-","-",G402),G402-H402)</f>
        <v>1</v>
      </c>
      <c r="J402" s="4" t="str">
        <f>IFERROR(IF(G402&gt;0, H402/G402, 0),"-")</f>
        <v>-</v>
      </c>
      <c r="K402" s="34" t="s">
        <v>959</v>
      </c>
      <c r="L402" s="35" t="s">
        <v>959</v>
      </c>
      <c r="M402" s="34" t="str">
        <f>IF(OR(L402="-",L402="",L402=0),IF(K402="-","-",K402),K402-L402)</f>
        <v>-</v>
      </c>
      <c r="N402" s="4" t="str">
        <f>IFERROR(IF(K402&gt;0, L402/K402, 0),"-")</f>
        <v>-</v>
      </c>
      <c r="O402" s="34">
        <v>5</v>
      </c>
      <c r="P402" s="35">
        <v>1</v>
      </c>
      <c r="Q402" s="34">
        <f>IF(OR(P402="-",P402="",P402=0),IF(O402="-","-",O402),O402-P402)</f>
        <v>4</v>
      </c>
      <c r="R402" s="4">
        <f>IFERROR(IF(O402&gt;0, P402/O402, 0),"-")</f>
        <v>0.2</v>
      </c>
      <c r="S402" s="34">
        <v>112</v>
      </c>
      <c r="T402" s="34">
        <v>5</v>
      </c>
      <c r="U402" s="34">
        <v>24230</v>
      </c>
      <c r="V402" s="35" t="s">
        <v>959</v>
      </c>
      <c r="W402" s="35" t="s">
        <v>959</v>
      </c>
    </row>
    <row r="403" spans="1:23" x14ac:dyDescent="0.2">
      <c r="A403" s="30" t="s">
        <v>302</v>
      </c>
      <c r="B403" s="30" t="s">
        <v>1123</v>
      </c>
      <c r="C403" s="34">
        <v>4</v>
      </c>
      <c r="D403" s="35">
        <v>3</v>
      </c>
      <c r="E403" s="34">
        <f>IF(OR(D403="-",D403="",D403=0),IF(C403="-","-",C403),C403-D403)</f>
        <v>1</v>
      </c>
      <c r="F403" s="4">
        <f>IFERROR(IF(C403&gt;0, D403/C403, 0),"-")</f>
        <v>0.75</v>
      </c>
      <c r="G403" s="34" t="s">
        <v>959</v>
      </c>
      <c r="H403" s="35" t="s">
        <v>959</v>
      </c>
      <c r="I403" s="34" t="str">
        <f>IF(OR(H403="-",H403="",H403=0),IF(G403="-","-",G403),G403-H403)</f>
        <v>-</v>
      </c>
      <c r="J403" s="4" t="str">
        <f>IFERROR(IF(G403&gt;0, H403/G403, 0),"-")</f>
        <v>-</v>
      </c>
      <c r="K403" s="34" t="s">
        <v>959</v>
      </c>
      <c r="L403" s="35" t="s">
        <v>959</v>
      </c>
      <c r="M403" s="34" t="str">
        <f>IF(OR(L403="-",L403="",L403=0),IF(K403="-","-",K403),K403-L403)</f>
        <v>-</v>
      </c>
      <c r="N403" s="4" t="str">
        <f>IFERROR(IF(K403&gt;0, L403/K403, 0),"-")</f>
        <v>-</v>
      </c>
      <c r="O403" s="34" t="s">
        <v>959</v>
      </c>
      <c r="P403" s="35" t="s">
        <v>959</v>
      </c>
      <c r="Q403" s="34" t="str">
        <f>IF(OR(P403="-",P403="",P403=0),IF(O403="-","-",O403),O403-P403)</f>
        <v>-</v>
      </c>
      <c r="R403" s="4" t="str">
        <f>IFERROR(IF(O403&gt;0, P403/O403, 0),"-")</f>
        <v>-</v>
      </c>
      <c r="S403" s="34">
        <v>56</v>
      </c>
      <c r="T403" s="34" t="s">
        <v>959</v>
      </c>
      <c r="U403" s="34" t="s">
        <v>959</v>
      </c>
      <c r="V403" s="35" t="s">
        <v>959</v>
      </c>
      <c r="W403" s="35" t="s">
        <v>959</v>
      </c>
    </row>
    <row r="404" spans="1:23" x14ac:dyDescent="0.2">
      <c r="A404" s="30" t="s">
        <v>280</v>
      </c>
      <c r="B404" s="30" t="s">
        <v>1124</v>
      </c>
      <c r="C404" s="34">
        <v>229</v>
      </c>
      <c r="D404" s="35">
        <v>227</v>
      </c>
      <c r="E404" s="34">
        <f>IF(OR(D404="-",D404="",D404=0),IF(C404="-","-",C404),C404-D404)</f>
        <v>2</v>
      </c>
      <c r="F404" s="4">
        <f>IFERROR(IF(C404&gt;0, D404/C404, 0),"-")</f>
        <v>0.99126637554585151</v>
      </c>
      <c r="G404" s="34">
        <v>3</v>
      </c>
      <c r="H404" s="35" t="s">
        <v>959</v>
      </c>
      <c r="I404" s="34">
        <f>IF(OR(H404="-",H404="",H404=0),IF(G404="-","-",G404),G404-H404)</f>
        <v>3</v>
      </c>
      <c r="J404" s="4" t="str">
        <f>IFERROR(IF(G404&gt;0, H404/G404, 0),"-")</f>
        <v>-</v>
      </c>
      <c r="K404" s="34">
        <v>2</v>
      </c>
      <c r="L404" s="35" t="s">
        <v>959</v>
      </c>
      <c r="M404" s="34">
        <f>IF(OR(L404="-",L404="",L404=0),IF(K404="-","-",K404),K404-L404)</f>
        <v>2</v>
      </c>
      <c r="N404" s="4" t="str">
        <f>IFERROR(IF(K404&gt;0, L404/K404, 0),"-")</f>
        <v>-</v>
      </c>
      <c r="O404" s="34">
        <v>9</v>
      </c>
      <c r="P404" s="35" t="s">
        <v>959</v>
      </c>
      <c r="Q404" s="34">
        <f>IF(OR(P404="-",P404="",P404=0),IF(O404="-","-",O404),O404-P404)</f>
        <v>9</v>
      </c>
      <c r="R404" s="4" t="str">
        <f>IFERROR(IF(O404&gt;0, P404/O404, 0),"-")</f>
        <v>-</v>
      </c>
      <c r="S404" s="34">
        <v>59</v>
      </c>
      <c r="T404" s="34">
        <v>2</v>
      </c>
      <c r="U404" s="34">
        <v>6740</v>
      </c>
      <c r="V404" s="35">
        <v>2</v>
      </c>
      <c r="W404" s="35">
        <v>52959</v>
      </c>
    </row>
    <row r="405" spans="1:23" x14ac:dyDescent="0.2">
      <c r="A405" s="30" t="s">
        <v>284</v>
      </c>
      <c r="B405" s="30" t="s">
        <v>1125</v>
      </c>
      <c r="C405" s="34">
        <v>241</v>
      </c>
      <c r="D405" s="35">
        <v>237</v>
      </c>
      <c r="E405" s="34">
        <f>IF(OR(D405="-",D405="",D405=0),IF(C405="-","-",C405),C405-D405)</f>
        <v>4</v>
      </c>
      <c r="F405" s="4">
        <f>IFERROR(IF(C405&gt;0, D405/C405, 0),"-")</f>
        <v>0.98340248962655596</v>
      </c>
      <c r="G405" s="34">
        <v>2</v>
      </c>
      <c r="H405" s="35" t="s">
        <v>959</v>
      </c>
      <c r="I405" s="34">
        <f>IF(OR(H405="-",H405="",H405=0),IF(G405="-","-",G405),G405-H405)</f>
        <v>2</v>
      </c>
      <c r="J405" s="4" t="str">
        <f>IFERROR(IF(G405&gt;0, H405/G405, 0),"-")</f>
        <v>-</v>
      </c>
      <c r="K405" s="34">
        <v>4</v>
      </c>
      <c r="L405" s="35">
        <v>1</v>
      </c>
      <c r="M405" s="34">
        <f>IF(OR(L405="-",L405="",L405=0),IF(K405="-","-",K405),K405-L405)</f>
        <v>3</v>
      </c>
      <c r="N405" s="4">
        <f>IFERROR(IF(K405&gt;0, L405/K405, 0),"-")</f>
        <v>0.25</v>
      </c>
      <c r="O405" s="34">
        <v>3</v>
      </c>
      <c r="P405" s="35" t="s">
        <v>959</v>
      </c>
      <c r="Q405" s="34">
        <f>IF(OR(P405="-",P405="",P405=0),IF(O405="-","-",O405),O405-P405)</f>
        <v>3</v>
      </c>
      <c r="R405" s="4" t="str">
        <f>IFERROR(IF(O405&gt;0, P405/O405, 0),"-")</f>
        <v>-</v>
      </c>
      <c r="S405" s="34">
        <v>158</v>
      </c>
      <c r="T405" s="34">
        <v>1</v>
      </c>
      <c r="U405" s="34">
        <v>1000</v>
      </c>
      <c r="V405" s="35">
        <v>2</v>
      </c>
      <c r="W405" s="35">
        <v>23552</v>
      </c>
    </row>
    <row r="406" spans="1:23" x14ac:dyDescent="0.2">
      <c r="A406" s="30" t="s">
        <v>283</v>
      </c>
      <c r="B406" s="30" t="s">
        <v>1126</v>
      </c>
      <c r="C406" s="34">
        <v>192</v>
      </c>
      <c r="D406" s="35">
        <v>192</v>
      </c>
      <c r="E406" s="34">
        <f>IF(OR(D406="-",D406="",D406=0),IF(C406="-","-",C406),C406-D406)</f>
        <v>0</v>
      </c>
      <c r="F406" s="4">
        <f>IFERROR(IF(C406&gt;0, D406/C406, 0),"-")</f>
        <v>1</v>
      </c>
      <c r="G406" s="34">
        <v>2</v>
      </c>
      <c r="H406" s="35">
        <v>2</v>
      </c>
      <c r="I406" s="34">
        <f>IF(OR(H406="-",H406="",H406=0),IF(G406="-","-",G406),G406-H406)</f>
        <v>0</v>
      </c>
      <c r="J406" s="4">
        <f>IFERROR(IF(G406&gt;0, H406/G406, 0),"-")</f>
        <v>1</v>
      </c>
      <c r="K406" s="34">
        <v>3</v>
      </c>
      <c r="L406" s="35">
        <v>2</v>
      </c>
      <c r="M406" s="34">
        <f>IF(OR(L406="-",L406="",L406=0),IF(K406="-","-",K406),K406-L406)</f>
        <v>1</v>
      </c>
      <c r="N406" s="4">
        <f>IFERROR(IF(K406&gt;0, L406/K406, 0),"-")</f>
        <v>0.66666666666666663</v>
      </c>
      <c r="O406" s="34">
        <v>7</v>
      </c>
      <c r="P406" s="35">
        <v>1</v>
      </c>
      <c r="Q406" s="34">
        <f>IF(OR(P406="-",P406="",P406=0),IF(O406="-","-",O406),O406-P406)</f>
        <v>6</v>
      </c>
      <c r="R406" s="4">
        <f>IFERROR(IF(O406&gt;0, P406/O406, 0),"-")</f>
        <v>0.14285714285714285</v>
      </c>
      <c r="S406" s="34">
        <v>100</v>
      </c>
      <c r="T406" s="34" t="s">
        <v>959</v>
      </c>
      <c r="U406" s="34" t="s">
        <v>959</v>
      </c>
      <c r="V406" s="35">
        <v>1</v>
      </c>
      <c r="W406" s="35">
        <v>40853</v>
      </c>
    </row>
    <row r="407" spans="1:23" x14ac:dyDescent="0.2">
      <c r="A407" s="29"/>
      <c r="B407" s="29" t="s">
        <v>105</v>
      </c>
      <c r="C407" s="32">
        <v>1088</v>
      </c>
      <c r="D407" s="32">
        <v>1051</v>
      </c>
      <c r="E407" s="32">
        <f>IF(OR(D407="-",D407="",D407=0),IF(C407="-","-",C407),C407-D407)</f>
        <v>37</v>
      </c>
      <c r="F407" s="36">
        <f>IFERROR(IF(C407&gt;0, D407/C407, 0),"-")</f>
        <v>0.96599264705882348</v>
      </c>
      <c r="G407" s="32">
        <v>8</v>
      </c>
      <c r="H407" s="32">
        <v>3</v>
      </c>
      <c r="I407" s="32">
        <f>IF(OR(H407="-",H407="",H407=0),IF(G407="-","-",G407),G407-H407)</f>
        <v>5</v>
      </c>
      <c r="J407" s="36">
        <f>IFERROR(IF(G407&gt;0, H407/G407, 0),"-")</f>
        <v>0.375</v>
      </c>
      <c r="K407" s="32">
        <v>10</v>
      </c>
      <c r="L407" s="32">
        <v>3</v>
      </c>
      <c r="M407" s="32">
        <f>IF(OR(L407="-",L407="",L407=0),IF(K407="-","-",K407),K407-L407)</f>
        <v>7</v>
      </c>
      <c r="N407" s="36">
        <f>IFERROR(IF(K407&gt;0, L407/K407, 0),"-")</f>
        <v>0.3</v>
      </c>
      <c r="O407" s="32">
        <v>14</v>
      </c>
      <c r="P407" s="32">
        <v>2</v>
      </c>
      <c r="Q407" s="32">
        <f>IF(OR(P407="-",P407="",P407=0),IF(O407="-","-",O407),O407-P407)</f>
        <v>12</v>
      </c>
      <c r="R407" s="36">
        <f>IFERROR(IF(O407&gt;0, P407/O407, 0),"-")</f>
        <v>0.14285714285714285</v>
      </c>
      <c r="S407" s="32">
        <v>777</v>
      </c>
      <c r="T407" s="32">
        <v>8</v>
      </c>
      <c r="U407" s="32">
        <v>91410</v>
      </c>
      <c r="V407" s="32">
        <v>17</v>
      </c>
      <c r="W407" s="32">
        <v>619542</v>
      </c>
    </row>
    <row r="408" spans="1:23" x14ac:dyDescent="0.2">
      <c r="A408" s="30" t="s">
        <v>757</v>
      </c>
      <c r="B408" s="30" t="s">
        <v>1127</v>
      </c>
      <c r="C408" s="34">
        <v>219</v>
      </c>
      <c r="D408" s="35">
        <v>213</v>
      </c>
      <c r="E408" s="34">
        <f>IF(OR(D408="-",D408="",D408=0),IF(C408="-","-",C408),C408-D408)</f>
        <v>6</v>
      </c>
      <c r="F408" s="4">
        <f>IFERROR(IF(C408&gt;0, D408/C408, 0),"-")</f>
        <v>0.9726027397260274</v>
      </c>
      <c r="G408" s="34">
        <v>1</v>
      </c>
      <c r="H408" s="35" t="s">
        <v>959</v>
      </c>
      <c r="I408" s="34">
        <f>IF(OR(H408="-",H408="",H408=0),IF(G408="-","-",G408),G408-H408)</f>
        <v>1</v>
      </c>
      <c r="J408" s="4" t="str">
        <f>IFERROR(IF(G408&gt;0, H408/G408, 0),"-")</f>
        <v>-</v>
      </c>
      <c r="K408" s="34">
        <v>2</v>
      </c>
      <c r="L408" s="35">
        <v>1</v>
      </c>
      <c r="M408" s="34">
        <f>IF(OR(L408="-",L408="",L408=0),IF(K408="-","-",K408),K408-L408)</f>
        <v>1</v>
      </c>
      <c r="N408" s="4">
        <f>IFERROR(IF(K408&gt;0, L408/K408, 0),"-")</f>
        <v>0.5</v>
      </c>
      <c r="O408" s="34">
        <v>1</v>
      </c>
      <c r="P408" s="35" t="s">
        <v>959</v>
      </c>
      <c r="Q408" s="34">
        <f>IF(OR(P408="-",P408="",P408=0),IF(O408="-","-",O408),O408-P408)</f>
        <v>1</v>
      </c>
      <c r="R408" s="4" t="str">
        <f>IFERROR(IF(O408&gt;0, P408/O408, 0),"-")</f>
        <v>-</v>
      </c>
      <c r="S408" s="34">
        <v>110</v>
      </c>
      <c r="T408" s="34" t="s">
        <v>959</v>
      </c>
      <c r="U408" s="34" t="s">
        <v>959</v>
      </c>
      <c r="V408" s="35">
        <v>1</v>
      </c>
      <c r="W408" s="35">
        <v>59635</v>
      </c>
    </row>
    <row r="409" spans="1:23" x14ac:dyDescent="0.2">
      <c r="A409" s="30" t="s">
        <v>759</v>
      </c>
      <c r="B409" s="30" t="s">
        <v>1128</v>
      </c>
      <c r="C409" s="34">
        <v>165</v>
      </c>
      <c r="D409" s="35">
        <v>160</v>
      </c>
      <c r="E409" s="34">
        <f>IF(OR(D409="-",D409="",D409=0),IF(C409="-","-",C409),C409-D409)</f>
        <v>5</v>
      </c>
      <c r="F409" s="4">
        <f>IFERROR(IF(C409&gt;0, D409/C409, 0),"-")</f>
        <v>0.96969696969696972</v>
      </c>
      <c r="G409" s="34">
        <v>1</v>
      </c>
      <c r="H409" s="35" t="s">
        <v>959</v>
      </c>
      <c r="I409" s="34">
        <f>IF(OR(H409="-",H409="",H409=0),IF(G409="-","-",G409),G409-H409)</f>
        <v>1</v>
      </c>
      <c r="J409" s="4" t="str">
        <f>IFERROR(IF(G409&gt;0, H409/G409, 0),"-")</f>
        <v>-</v>
      </c>
      <c r="K409" s="34">
        <v>1</v>
      </c>
      <c r="L409" s="35" t="s">
        <v>959</v>
      </c>
      <c r="M409" s="34">
        <f>IF(OR(L409="-",L409="",L409=0),IF(K409="-","-",K409),K409-L409)</f>
        <v>1</v>
      </c>
      <c r="N409" s="4" t="str">
        <f>IFERROR(IF(K409&gt;0, L409/K409, 0),"-")</f>
        <v>-</v>
      </c>
      <c r="O409" s="34" t="s">
        <v>959</v>
      </c>
      <c r="P409" s="35" t="s">
        <v>959</v>
      </c>
      <c r="Q409" s="34" t="str">
        <f>IF(OR(P409="-",P409="",P409=0),IF(O409="-","-",O409),O409-P409)</f>
        <v>-</v>
      </c>
      <c r="R409" s="4" t="str">
        <f>IFERROR(IF(O409&gt;0, P409/O409, 0),"-")</f>
        <v>-</v>
      </c>
      <c r="S409" s="34">
        <v>153</v>
      </c>
      <c r="T409" s="34" t="s">
        <v>959</v>
      </c>
      <c r="U409" s="34" t="s">
        <v>959</v>
      </c>
      <c r="V409" s="35">
        <v>4</v>
      </c>
      <c r="W409" s="35">
        <v>122133</v>
      </c>
    </row>
    <row r="410" spans="1:23" x14ac:dyDescent="0.2">
      <c r="A410" s="30" t="s">
        <v>758</v>
      </c>
      <c r="B410" s="30" t="s">
        <v>1129</v>
      </c>
      <c r="C410" s="34">
        <v>122</v>
      </c>
      <c r="D410" s="35">
        <v>115</v>
      </c>
      <c r="E410" s="34">
        <f>IF(OR(D410="-",D410="",D410=0),IF(C410="-","-",C410),C410-D410)</f>
        <v>7</v>
      </c>
      <c r="F410" s="4">
        <f>IFERROR(IF(C410&gt;0, D410/C410, 0),"-")</f>
        <v>0.94262295081967218</v>
      </c>
      <c r="G410" s="34">
        <v>1</v>
      </c>
      <c r="H410" s="35">
        <v>1</v>
      </c>
      <c r="I410" s="34">
        <f>IF(OR(H410="-",H410="",H410=0),IF(G410="-","-",G410),G410-H410)</f>
        <v>0</v>
      </c>
      <c r="J410" s="4">
        <f>IFERROR(IF(G410&gt;0, H410/G410, 0),"-")</f>
        <v>1</v>
      </c>
      <c r="K410" s="34" t="s">
        <v>959</v>
      </c>
      <c r="L410" s="35" t="s">
        <v>959</v>
      </c>
      <c r="M410" s="34" t="str">
        <f>IF(OR(L410="-",L410="",L410=0),IF(K410="-","-",K410),K410-L410)</f>
        <v>-</v>
      </c>
      <c r="N410" s="4" t="str">
        <f>IFERROR(IF(K410&gt;0, L410/K410, 0),"-")</f>
        <v>-</v>
      </c>
      <c r="O410" s="34">
        <v>2</v>
      </c>
      <c r="P410" s="35" t="s">
        <v>959</v>
      </c>
      <c r="Q410" s="34">
        <f>IF(OR(P410="-",P410="",P410=0),IF(O410="-","-",O410),O410-P410)</f>
        <v>2</v>
      </c>
      <c r="R410" s="4" t="str">
        <f>IFERROR(IF(O410&gt;0, P410/O410, 0),"-")</f>
        <v>-</v>
      </c>
      <c r="S410" s="34">
        <v>82</v>
      </c>
      <c r="T410" s="34">
        <v>2</v>
      </c>
      <c r="U410" s="34">
        <v>26950</v>
      </c>
      <c r="V410" s="35">
        <v>5</v>
      </c>
      <c r="W410" s="35">
        <v>170951</v>
      </c>
    </row>
    <row r="411" spans="1:23" x14ac:dyDescent="0.2">
      <c r="A411" s="30" t="s">
        <v>768</v>
      </c>
      <c r="B411" s="30" t="s">
        <v>1130</v>
      </c>
      <c r="C411" s="34">
        <v>137</v>
      </c>
      <c r="D411" s="35">
        <v>128</v>
      </c>
      <c r="E411" s="34">
        <f>IF(OR(D411="-",D411="",D411=0),IF(C411="-","-",C411),C411-D411)</f>
        <v>9</v>
      </c>
      <c r="F411" s="4">
        <f>IFERROR(IF(C411&gt;0, D411/C411, 0),"-")</f>
        <v>0.93430656934306566</v>
      </c>
      <c r="G411" s="34">
        <v>3</v>
      </c>
      <c r="H411" s="35">
        <v>2</v>
      </c>
      <c r="I411" s="34">
        <f>IF(OR(H411="-",H411="",H411=0),IF(G411="-","-",G411),G411-H411)</f>
        <v>1</v>
      </c>
      <c r="J411" s="4">
        <f>IFERROR(IF(G411&gt;0, H411/G411, 0),"-")</f>
        <v>0.66666666666666663</v>
      </c>
      <c r="K411" s="34" t="s">
        <v>959</v>
      </c>
      <c r="L411" s="35" t="s">
        <v>959</v>
      </c>
      <c r="M411" s="34" t="str">
        <f>IF(OR(L411="-",L411="",L411=0),IF(K411="-","-",K411),K411-L411)</f>
        <v>-</v>
      </c>
      <c r="N411" s="4" t="str">
        <f>IFERROR(IF(K411&gt;0, L411/K411, 0),"-")</f>
        <v>-</v>
      </c>
      <c r="O411" s="34">
        <v>2</v>
      </c>
      <c r="P411" s="35" t="s">
        <v>959</v>
      </c>
      <c r="Q411" s="34">
        <f>IF(OR(P411="-",P411="",P411=0),IF(O411="-","-",O411),O411-P411)</f>
        <v>2</v>
      </c>
      <c r="R411" s="4" t="str">
        <f>IFERROR(IF(O411&gt;0, P411/O411, 0),"-")</f>
        <v>-</v>
      </c>
      <c r="S411" s="34">
        <v>15</v>
      </c>
      <c r="T411" s="34">
        <v>1</v>
      </c>
      <c r="U411" s="34">
        <v>3100</v>
      </c>
      <c r="V411" s="35" t="s">
        <v>959</v>
      </c>
      <c r="W411" s="35" t="s">
        <v>959</v>
      </c>
    </row>
    <row r="412" spans="1:23" x14ac:dyDescent="0.2">
      <c r="A412" s="30" t="s">
        <v>754</v>
      </c>
      <c r="B412" s="30" t="s">
        <v>1131</v>
      </c>
      <c r="C412" s="34">
        <v>103</v>
      </c>
      <c r="D412" s="35">
        <v>100</v>
      </c>
      <c r="E412" s="34">
        <f>IF(OR(D412="-",D412="",D412=0),IF(C412="-","-",C412),C412-D412)</f>
        <v>3</v>
      </c>
      <c r="F412" s="4">
        <f>IFERROR(IF(C412&gt;0, D412/C412, 0),"-")</f>
        <v>0.970873786407767</v>
      </c>
      <c r="G412" s="34">
        <v>1</v>
      </c>
      <c r="H412" s="35" t="s">
        <v>959</v>
      </c>
      <c r="I412" s="34">
        <f>IF(OR(H412="-",H412="",H412=0),IF(G412="-","-",G412),G412-H412)</f>
        <v>1</v>
      </c>
      <c r="J412" s="4" t="str">
        <f>IFERROR(IF(G412&gt;0, H412/G412, 0),"-")</f>
        <v>-</v>
      </c>
      <c r="K412" s="34">
        <v>2</v>
      </c>
      <c r="L412" s="35" t="s">
        <v>959</v>
      </c>
      <c r="M412" s="34">
        <f>IF(OR(L412="-",L412="",L412=0),IF(K412="-","-",K412),K412-L412)</f>
        <v>2</v>
      </c>
      <c r="N412" s="4" t="str">
        <f>IFERROR(IF(K412&gt;0, L412/K412, 0),"-")</f>
        <v>-</v>
      </c>
      <c r="O412" s="34">
        <v>4</v>
      </c>
      <c r="P412" s="35" t="s">
        <v>959</v>
      </c>
      <c r="Q412" s="34">
        <f>IF(OR(P412="-",P412="",P412=0),IF(O412="-","-",O412),O412-P412)</f>
        <v>4</v>
      </c>
      <c r="R412" s="4" t="str">
        <f>IFERROR(IF(O412&gt;0, P412/O412, 0),"-")</f>
        <v>-</v>
      </c>
      <c r="S412" s="34">
        <v>148</v>
      </c>
      <c r="T412" s="34" t="s">
        <v>959</v>
      </c>
      <c r="U412" s="34" t="s">
        <v>959</v>
      </c>
      <c r="V412" s="35">
        <v>1</v>
      </c>
      <c r="W412" s="35">
        <v>29944</v>
      </c>
    </row>
    <row r="413" spans="1:23" x14ac:dyDescent="0.2">
      <c r="A413" s="30" t="s">
        <v>756</v>
      </c>
      <c r="B413" s="30" t="s">
        <v>1132</v>
      </c>
      <c r="C413" s="34">
        <v>193</v>
      </c>
      <c r="D413" s="35">
        <v>191</v>
      </c>
      <c r="E413" s="34">
        <f>IF(OR(D413="-",D413="",D413=0),IF(C413="-","-",C413),C413-D413)</f>
        <v>2</v>
      </c>
      <c r="F413" s="4">
        <f>IFERROR(IF(C413&gt;0, D413/C413, 0),"-")</f>
        <v>0.98963730569948183</v>
      </c>
      <c r="G413" s="34" t="s">
        <v>959</v>
      </c>
      <c r="H413" s="35" t="s">
        <v>959</v>
      </c>
      <c r="I413" s="34" t="str">
        <f>IF(OR(H413="-",H413="",H413=0),IF(G413="-","-",G413),G413-H413)</f>
        <v>-</v>
      </c>
      <c r="J413" s="4" t="str">
        <f>IFERROR(IF(G413&gt;0, H413/G413, 0),"-")</f>
        <v>-</v>
      </c>
      <c r="K413" s="34">
        <v>1</v>
      </c>
      <c r="L413" s="35">
        <v>1</v>
      </c>
      <c r="M413" s="34">
        <f>IF(OR(L413="-",L413="",L413=0),IF(K413="-","-",K413),K413-L413)</f>
        <v>0</v>
      </c>
      <c r="N413" s="4">
        <f>IFERROR(IF(K413&gt;0, L413/K413, 0),"-")</f>
        <v>1</v>
      </c>
      <c r="O413" s="34">
        <v>2</v>
      </c>
      <c r="P413" s="35" t="s">
        <v>959</v>
      </c>
      <c r="Q413" s="34">
        <f>IF(OR(P413="-",P413="",P413=0),IF(O413="-","-",O413),O413-P413)</f>
        <v>2</v>
      </c>
      <c r="R413" s="4" t="str">
        <f>IFERROR(IF(O413&gt;0, P413/O413, 0),"-")</f>
        <v>-</v>
      </c>
      <c r="S413" s="34">
        <v>95</v>
      </c>
      <c r="T413" s="34">
        <v>5</v>
      </c>
      <c r="U413" s="34">
        <v>61360</v>
      </c>
      <c r="V413" s="35">
        <v>3</v>
      </c>
      <c r="W413" s="35">
        <v>115108</v>
      </c>
    </row>
    <row r="414" spans="1:23" x14ac:dyDescent="0.2">
      <c r="A414" s="30" t="s">
        <v>755</v>
      </c>
      <c r="B414" s="30" t="s">
        <v>1133</v>
      </c>
      <c r="C414" s="34">
        <v>149</v>
      </c>
      <c r="D414" s="35">
        <v>144</v>
      </c>
      <c r="E414" s="34">
        <f>IF(OR(D414="-",D414="",D414=0),IF(C414="-","-",C414),C414-D414)</f>
        <v>5</v>
      </c>
      <c r="F414" s="4">
        <f>IFERROR(IF(C414&gt;0, D414/C414, 0),"-")</f>
        <v>0.96644295302013428</v>
      </c>
      <c r="G414" s="34">
        <v>1</v>
      </c>
      <c r="H414" s="35" t="s">
        <v>959</v>
      </c>
      <c r="I414" s="34">
        <f>IF(OR(H414="-",H414="",H414=0),IF(G414="-","-",G414),G414-H414)</f>
        <v>1</v>
      </c>
      <c r="J414" s="4" t="str">
        <f>IFERROR(IF(G414&gt;0, H414/G414, 0),"-")</f>
        <v>-</v>
      </c>
      <c r="K414" s="34">
        <v>4</v>
      </c>
      <c r="L414" s="35">
        <v>1</v>
      </c>
      <c r="M414" s="34">
        <f>IF(OR(L414="-",L414="",L414=0),IF(K414="-","-",K414),K414-L414)</f>
        <v>3</v>
      </c>
      <c r="N414" s="4">
        <f>IFERROR(IF(K414&gt;0, L414/K414, 0),"-")</f>
        <v>0.25</v>
      </c>
      <c r="O414" s="34">
        <v>3</v>
      </c>
      <c r="P414" s="35">
        <v>2</v>
      </c>
      <c r="Q414" s="34">
        <f>IF(OR(P414="-",P414="",P414=0),IF(O414="-","-",O414),O414-P414)</f>
        <v>1</v>
      </c>
      <c r="R414" s="4">
        <f>IFERROR(IF(O414&gt;0, P414/O414, 0),"-")</f>
        <v>0.66666666666666663</v>
      </c>
      <c r="S414" s="34">
        <v>174</v>
      </c>
      <c r="T414" s="34" t="s">
        <v>959</v>
      </c>
      <c r="U414" s="34" t="s">
        <v>959</v>
      </c>
      <c r="V414" s="35">
        <v>3</v>
      </c>
      <c r="W414" s="35">
        <v>121771</v>
      </c>
    </row>
    <row r="415" spans="1:23" x14ac:dyDescent="0.2">
      <c r="A415" s="29"/>
      <c r="B415" s="29" t="s">
        <v>100</v>
      </c>
      <c r="C415" s="32">
        <v>694</v>
      </c>
      <c r="D415" s="32">
        <v>679</v>
      </c>
      <c r="E415" s="32">
        <f>IF(OR(D415="-",D415="",D415=0),IF(C415="-","-",C415),C415-D415)</f>
        <v>15</v>
      </c>
      <c r="F415" s="36">
        <f>IFERROR(IF(C415&gt;0, D415/C415, 0),"-")</f>
        <v>0.97838616714697402</v>
      </c>
      <c r="G415" s="32">
        <v>29</v>
      </c>
      <c r="H415" s="32">
        <v>17</v>
      </c>
      <c r="I415" s="32">
        <f>IF(OR(H415="-",H415="",H415=0),IF(G415="-","-",G415),G415-H415)</f>
        <v>12</v>
      </c>
      <c r="J415" s="36">
        <f>IFERROR(IF(G415&gt;0, H415/G415, 0),"-")</f>
        <v>0.58620689655172409</v>
      </c>
      <c r="K415" s="32">
        <v>39</v>
      </c>
      <c r="L415" s="32">
        <v>19</v>
      </c>
      <c r="M415" s="32">
        <f>IF(OR(L415="-",L415="",L415=0),IF(K415="-","-",K415),K415-L415)</f>
        <v>20</v>
      </c>
      <c r="N415" s="36">
        <f>IFERROR(IF(K415&gt;0, L415/K415, 0),"-")</f>
        <v>0.48717948717948717</v>
      </c>
      <c r="O415" s="32">
        <v>29</v>
      </c>
      <c r="P415" s="32">
        <v>5</v>
      </c>
      <c r="Q415" s="32">
        <f>IF(OR(P415="-",P415="",P415=0),IF(O415="-","-",O415),O415-P415)</f>
        <v>24</v>
      </c>
      <c r="R415" s="36">
        <f>IFERROR(IF(O415&gt;0, P415/O415, 0),"-")</f>
        <v>0.17241379310344829</v>
      </c>
      <c r="S415" s="32">
        <v>1559</v>
      </c>
      <c r="T415" s="32">
        <v>44</v>
      </c>
      <c r="U415" s="32">
        <v>174465</v>
      </c>
      <c r="V415" s="32">
        <v>18</v>
      </c>
      <c r="W415" s="32">
        <v>320722</v>
      </c>
    </row>
    <row r="416" spans="1:23" x14ac:dyDescent="0.2">
      <c r="A416" s="30" t="s">
        <v>708</v>
      </c>
      <c r="B416" s="30" t="s">
        <v>1134</v>
      </c>
      <c r="C416" s="34">
        <v>101</v>
      </c>
      <c r="D416" s="35">
        <v>98</v>
      </c>
      <c r="E416" s="34">
        <f>IF(OR(D416="-",D416="",D416=0),IF(C416="-","-",C416),C416-D416)</f>
        <v>3</v>
      </c>
      <c r="F416" s="4">
        <f>IFERROR(IF(C416&gt;0, D416/C416, 0),"-")</f>
        <v>0.97029702970297027</v>
      </c>
      <c r="G416" s="34">
        <v>5</v>
      </c>
      <c r="H416" s="35">
        <v>2</v>
      </c>
      <c r="I416" s="34">
        <f>IF(OR(H416="-",H416="",H416=0),IF(G416="-","-",G416),G416-H416)</f>
        <v>3</v>
      </c>
      <c r="J416" s="4">
        <f>IFERROR(IF(G416&gt;0, H416/G416, 0),"-")</f>
        <v>0.4</v>
      </c>
      <c r="K416" s="34">
        <v>6</v>
      </c>
      <c r="L416" s="35">
        <v>2</v>
      </c>
      <c r="M416" s="34">
        <f>IF(OR(L416="-",L416="",L416=0),IF(K416="-","-",K416),K416-L416)</f>
        <v>4</v>
      </c>
      <c r="N416" s="4">
        <f>IFERROR(IF(K416&gt;0, L416/K416, 0),"-")</f>
        <v>0.33333333333333331</v>
      </c>
      <c r="O416" s="34">
        <v>6</v>
      </c>
      <c r="P416" s="35">
        <v>3</v>
      </c>
      <c r="Q416" s="34">
        <f>IF(OR(P416="-",P416="",P416=0),IF(O416="-","-",O416),O416-P416)</f>
        <v>3</v>
      </c>
      <c r="R416" s="4">
        <f>IFERROR(IF(O416&gt;0, P416/O416, 0),"-")</f>
        <v>0.5</v>
      </c>
      <c r="S416" s="34">
        <v>337</v>
      </c>
      <c r="T416" s="34">
        <v>6</v>
      </c>
      <c r="U416" s="34">
        <v>26170</v>
      </c>
      <c r="V416" s="35">
        <v>4</v>
      </c>
      <c r="W416" s="35">
        <v>60000</v>
      </c>
    </row>
    <row r="417" spans="1:23" x14ac:dyDescent="0.2">
      <c r="A417" s="30" t="s">
        <v>706</v>
      </c>
      <c r="B417" s="30" t="s">
        <v>1135</v>
      </c>
      <c r="C417" s="34">
        <v>179</v>
      </c>
      <c r="D417" s="35">
        <v>176</v>
      </c>
      <c r="E417" s="34">
        <f>IF(OR(D417="-",D417="",D417=0),IF(C417="-","-",C417),C417-D417)</f>
        <v>3</v>
      </c>
      <c r="F417" s="4">
        <f>IFERROR(IF(C417&gt;0, D417/C417, 0),"-")</f>
        <v>0.98324022346368711</v>
      </c>
      <c r="G417" s="34">
        <v>3</v>
      </c>
      <c r="H417" s="35">
        <v>2</v>
      </c>
      <c r="I417" s="34">
        <f>IF(OR(H417="-",H417="",H417=0),IF(G417="-","-",G417),G417-H417)</f>
        <v>1</v>
      </c>
      <c r="J417" s="4">
        <f>IFERROR(IF(G417&gt;0, H417/G417, 0),"-")</f>
        <v>0.66666666666666663</v>
      </c>
      <c r="K417" s="34">
        <v>8</v>
      </c>
      <c r="L417" s="35">
        <v>5</v>
      </c>
      <c r="M417" s="34">
        <f>IF(OR(L417="-",L417="",L417=0),IF(K417="-","-",K417),K417-L417)</f>
        <v>3</v>
      </c>
      <c r="N417" s="4">
        <f>IFERROR(IF(K417&gt;0, L417/K417, 0),"-")</f>
        <v>0.625</v>
      </c>
      <c r="O417" s="34">
        <v>4</v>
      </c>
      <c r="P417" s="35" t="s">
        <v>959</v>
      </c>
      <c r="Q417" s="34">
        <f>IF(OR(P417="-",P417="",P417=0),IF(O417="-","-",O417),O417-P417)</f>
        <v>4</v>
      </c>
      <c r="R417" s="4" t="str">
        <f>IFERROR(IF(O417&gt;0, P417/O417, 0),"-")</f>
        <v>-</v>
      </c>
      <c r="S417" s="34">
        <v>202</v>
      </c>
      <c r="T417" s="34">
        <v>4</v>
      </c>
      <c r="U417" s="34">
        <v>19305</v>
      </c>
      <c r="V417" s="35">
        <v>2</v>
      </c>
      <c r="W417" s="35">
        <v>42017</v>
      </c>
    </row>
    <row r="418" spans="1:23" x14ac:dyDescent="0.2">
      <c r="A418" s="30" t="s">
        <v>704</v>
      </c>
      <c r="B418" s="30" t="s">
        <v>1136</v>
      </c>
      <c r="C418" s="34">
        <v>150</v>
      </c>
      <c r="D418" s="35">
        <v>146</v>
      </c>
      <c r="E418" s="34">
        <f>IF(OR(D418="-",D418="",D418=0),IF(C418="-","-",C418),C418-D418)</f>
        <v>4</v>
      </c>
      <c r="F418" s="4">
        <f>IFERROR(IF(C418&gt;0, D418/C418, 0),"-")</f>
        <v>0.97333333333333338</v>
      </c>
      <c r="G418" s="34">
        <v>9</v>
      </c>
      <c r="H418" s="35">
        <v>7</v>
      </c>
      <c r="I418" s="34">
        <f>IF(OR(H418="-",H418="",H418=0),IF(G418="-","-",G418),G418-H418)</f>
        <v>2</v>
      </c>
      <c r="J418" s="4">
        <f>IFERROR(IF(G418&gt;0, H418/G418, 0),"-")</f>
        <v>0.77777777777777779</v>
      </c>
      <c r="K418" s="34">
        <v>13</v>
      </c>
      <c r="L418" s="35">
        <v>7</v>
      </c>
      <c r="M418" s="34">
        <f>IF(OR(L418="-",L418="",L418=0),IF(K418="-","-",K418),K418-L418)</f>
        <v>6</v>
      </c>
      <c r="N418" s="4">
        <f>IFERROR(IF(K418&gt;0, L418/K418, 0),"-")</f>
        <v>0.53846153846153844</v>
      </c>
      <c r="O418" s="34">
        <v>5</v>
      </c>
      <c r="P418" s="35">
        <v>1</v>
      </c>
      <c r="Q418" s="34">
        <f>IF(OR(P418="-",P418="",P418=0),IF(O418="-","-",O418),O418-P418)</f>
        <v>4</v>
      </c>
      <c r="R418" s="4">
        <f>IFERROR(IF(O418&gt;0, P418/O418, 0),"-")</f>
        <v>0.2</v>
      </c>
      <c r="S418" s="34">
        <v>260</v>
      </c>
      <c r="T418" s="34">
        <v>18</v>
      </c>
      <c r="U418" s="34">
        <v>47310</v>
      </c>
      <c r="V418" s="35">
        <v>4</v>
      </c>
      <c r="W418" s="35">
        <v>59232</v>
      </c>
    </row>
    <row r="419" spans="1:23" x14ac:dyDescent="0.2">
      <c r="A419" s="30" t="s">
        <v>709</v>
      </c>
      <c r="B419" s="30" t="s">
        <v>1137</v>
      </c>
      <c r="C419" s="34">
        <v>3</v>
      </c>
      <c r="D419" s="35">
        <v>3</v>
      </c>
      <c r="E419" s="34">
        <f>IF(OR(D419="-",D419="",D419=0),IF(C419="-","-",C419),C419-D419)</f>
        <v>0</v>
      </c>
      <c r="F419" s="4">
        <f>IFERROR(IF(C419&gt;0, D419/C419, 0),"-")</f>
        <v>1</v>
      </c>
      <c r="G419" s="34" t="s">
        <v>959</v>
      </c>
      <c r="H419" s="35" t="s">
        <v>959</v>
      </c>
      <c r="I419" s="34" t="str">
        <f>IF(OR(H419="-",H419="",H419=0),IF(G419="-","-",G419),G419-H419)</f>
        <v>-</v>
      </c>
      <c r="J419" s="4" t="str">
        <f>IFERROR(IF(G419&gt;0, H419/G419, 0),"-")</f>
        <v>-</v>
      </c>
      <c r="K419" s="34" t="s">
        <v>959</v>
      </c>
      <c r="L419" s="35" t="s">
        <v>959</v>
      </c>
      <c r="M419" s="34" t="str">
        <f>IF(OR(L419="-",L419="",L419=0),IF(K419="-","-",K419),K419-L419)</f>
        <v>-</v>
      </c>
      <c r="N419" s="4" t="str">
        <f>IFERROR(IF(K419&gt;0, L419/K419, 0),"-")</f>
        <v>-</v>
      </c>
      <c r="O419" s="34" t="s">
        <v>959</v>
      </c>
      <c r="P419" s="35" t="s">
        <v>959</v>
      </c>
      <c r="Q419" s="34" t="str">
        <f>IF(OR(P419="-",P419="",P419=0),IF(O419="-","-",O419),O419-P419)</f>
        <v>-</v>
      </c>
      <c r="R419" s="4" t="str">
        <f>IFERROR(IF(O419&gt;0, P419/O419, 0),"-")</f>
        <v>-</v>
      </c>
      <c r="S419" s="34">
        <v>96</v>
      </c>
      <c r="T419" s="34" t="s">
        <v>959</v>
      </c>
      <c r="U419" s="34" t="s">
        <v>959</v>
      </c>
      <c r="V419" s="35" t="s">
        <v>959</v>
      </c>
      <c r="W419" s="35" t="s">
        <v>959</v>
      </c>
    </row>
    <row r="420" spans="1:23" x14ac:dyDescent="0.2">
      <c r="A420" s="30" t="s">
        <v>707</v>
      </c>
      <c r="B420" s="30" t="s">
        <v>1138</v>
      </c>
      <c r="C420" s="34">
        <v>69</v>
      </c>
      <c r="D420" s="35">
        <v>68</v>
      </c>
      <c r="E420" s="34">
        <f>IF(OR(D420="-",D420="",D420=0),IF(C420="-","-",C420),C420-D420)</f>
        <v>1</v>
      </c>
      <c r="F420" s="4">
        <f>IFERROR(IF(C420&gt;0, D420/C420, 0),"-")</f>
        <v>0.98550724637681164</v>
      </c>
      <c r="G420" s="34">
        <v>3</v>
      </c>
      <c r="H420" s="35">
        <v>1</v>
      </c>
      <c r="I420" s="34">
        <f>IF(OR(H420="-",H420="",H420=0),IF(G420="-","-",G420),G420-H420)</f>
        <v>2</v>
      </c>
      <c r="J420" s="4">
        <f>IFERROR(IF(G420&gt;0, H420/G420, 0),"-")</f>
        <v>0.33333333333333331</v>
      </c>
      <c r="K420" s="34">
        <v>3</v>
      </c>
      <c r="L420" s="35">
        <v>1</v>
      </c>
      <c r="M420" s="34">
        <f>IF(OR(L420="-",L420="",L420=0),IF(K420="-","-",K420),K420-L420)</f>
        <v>2</v>
      </c>
      <c r="N420" s="4">
        <f>IFERROR(IF(K420&gt;0, L420/K420, 0),"-")</f>
        <v>0.33333333333333331</v>
      </c>
      <c r="O420" s="34">
        <v>4</v>
      </c>
      <c r="P420" s="35" t="s">
        <v>959</v>
      </c>
      <c r="Q420" s="34">
        <f>IF(OR(P420="-",P420="",P420=0),IF(O420="-","-",O420),O420-P420)</f>
        <v>4</v>
      </c>
      <c r="R420" s="4" t="str">
        <f>IFERROR(IF(O420&gt;0, P420/O420, 0),"-")</f>
        <v>-</v>
      </c>
      <c r="S420" s="34">
        <v>386</v>
      </c>
      <c r="T420" s="34">
        <v>11</v>
      </c>
      <c r="U420" s="34">
        <v>61365</v>
      </c>
      <c r="V420" s="35">
        <v>6</v>
      </c>
      <c r="W420" s="35">
        <v>106088</v>
      </c>
    </row>
    <row r="421" spans="1:23" x14ac:dyDescent="0.2">
      <c r="A421" s="30" t="s">
        <v>705</v>
      </c>
      <c r="B421" s="30" t="s">
        <v>1139</v>
      </c>
      <c r="C421" s="34">
        <v>192</v>
      </c>
      <c r="D421" s="35">
        <v>188</v>
      </c>
      <c r="E421" s="34">
        <f>IF(OR(D421="-",D421="",D421=0),IF(C421="-","-",C421),C421-D421)</f>
        <v>4</v>
      </c>
      <c r="F421" s="4">
        <f>IFERROR(IF(C421&gt;0, D421/C421, 0),"-")</f>
        <v>0.97916666666666663</v>
      </c>
      <c r="G421" s="34">
        <v>9</v>
      </c>
      <c r="H421" s="35">
        <v>5</v>
      </c>
      <c r="I421" s="34">
        <f>IF(OR(H421="-",H421="",H421=0),IF(G421="-","-",G421),G421-H421)</f>
        <v>4</v>
      </c>
      <c r="J421" s="4">
        <f>IFERROR(IF(G421&gt;0, H421/G421, 0),"-")</f>
        <v>0.55555555555555558</v>
      </c>
      <c r="K421" s="34">
        <v>9</v>
      </c>
      <c r="L421" s="35">
        <v>4</v>
      </c>
      <c r="M421" s="34">
        <f>IF(OR(L421="-",L421="",L421=0),IF(K421="-","-",K421),K421-L421)</f>
        <v>5</v>
      </c>
      <c r="N421" s="4">
        <f>IFERROR(IF(K421&gt;0, L421/K421, 0),"-")</f>
        <v>0.44444444444444442</v>
      </c>
      <c r="O421" s="34">
        <v>10</v>
      </c>
      <c r="P421" s="35">
        <v>1</v>
      </c>
      <c r="Q421" s="34">
        <f>IF(OR(P421="-",P421="",P421=0),IF(O421="-","-",O421),O421-P421)</f>
        <v>9</v>
      </c>
      <c r="R421" s="4">
        <f>IFERROR(IF(O421&gt;0, P421/O421, 0),"-")</f>
        <v>0.1</v>
      </c>
      <c r="S421" s="34">
        <v>278</v>
      </c>
      <c r="T421" s="34">
        <v>5</v>
      </c>
      <c r="U421" s="34">
        <v>20315</v>
      </c>
      <c r="V421" s="35">
        <v>2</v>
      </c>
      <c r="W421" s="35">
        <v>53385</v>
      </c>
    </row>
    <row r="422" spans="1:23" x14ac:dyDescent="0.2">
      <c r="A422" s="29"/>
      <c r="B422" s="29" t="s">
        <v>31</v>
      </c>
      <c r="C422" s="32">
        <v>1157</v>
      </c>
      <c r="D422" s="32">
        <v>1134</v>
      </c>
      <c r="E422" s="32">
        <f>IF(OR(D422="-",D422="",D422=0),IF(C422="-","-",C422),C422-D422)</f>
        <v>23</v>
      </c>
      <c r="F422" s="36">
        <f>IFERROR(IF(C422&gt;0, D422/C422, 0),"-")</f>
        <v>0.98012100259291268</v>
      </c>
      <c r="G422" s="32">
        <v>16</v>
      </c>
      <c r="H422" s="32">
        <v>9</v>
      </c>
      <c r="I422" s="32">
        <f>IF(OR(H422="-",H422="",H422=0),IF(G422="-","-",G422),G422-H422)</f>
        <v>7</v>
      </c>
      <c r="J422" s="36">
        <f>IFERROR(IF(G422&gt;0, H422/G422, 0),"-")</f>
        <v>0.5625</v>
      </c>
      <c r="K422" s="32">
        <v>10</v>
      </c>
      <c r="L422" s="32">
        <v>4</v>
      </c>
      <c r="M422" s="32">
        <f>IF(OR(L422="-",L422="",L422=0),IF(K422="-","-",K422),K422-L422)</f>
        <v>6</v>
      </c>
      <c r="N422" s="36">
        <f>IFERROR(IF(K422&gt;0, L422/K422, 0),"-")</f>
        <v>0.4</v>
      </c>
      <c r="O422" s="32">
        <v>4</v>
      </c>
      <c r="P422" s="32">
        <v>2</v>
      </c>
      <c r="Q422" s="32">
        <f>IF(OR(P422="-",P422="",P422=0),IF(O422="-","-",O422),O422-P422)</f>
        <v>2</v>
      </c>
      <c r="R422" s="36">
        <f>IFERROR(IF(O422&gt;0, P422/O422, 0),"-")</f>
        <v>0.5</v>
      </c>
      <c r="S422" s="32">
        <v>1629</v>
      </c>
      <c r="T422" s="32">
        <v>29</v>
      </c>
      <c r="U422" s="32">
        <v>134012</v>
      </c>
      <c r="V422" s="32">
        <v>20</v>
      </c>
      <c r="W422" s="32">
        <v>514325</v>
      </c>
    </row>
    <row r="423" spans="1:23" x14ac:dyDescent="0.2">
      <c r="A423" s="30" t="s">
        <v>138</v>
      </c>
      <c r="B423" s="30" t="s">
        <v>1140</v>
      </c>
      <c r="C423" s="34">
        <v>167</v>
      </c>
      <c r="D423" s="35">
        <v>166</v>
      </c>
      <c r="E423" s="34">
        <f>IF(OR(D423="-",D423="",D423=0),IF(C423="-","-",C423),C423-D423)</f>
        <v>1</v>
      </c>
      <c r="F423" s="4">
        <f>IFERROR(IF(C423&gt;0, D423/C423, 0),"-")</f>
        <v>0.99401197604790414</v>
      </c>
      <c r="G423" s="34">
        <v>2</v>
      </c>
      <c r="H423" s="35">
        <v>1</v>
      </c>
      <c r="I423" s="34">
        <f>IF(OR(H423="-",H423="",H423=0),IF(G423="-","-",G423),G423-H423)</f>
        <v>1</v>
      </c>
      <c r="J423" s="4">
        <f>IFERROR(IF(G423&gt;0, H423/G423, 0),"-")</f>
        <v>0.5</v>
      </c>
      <c r="K423" s="34" t="s">
        <v>959</v>
      </c>
      <c r="L423" s="35" t="s">
        <v>959</v>
      </c>
      <c r="M423" s="34" t="str">
        <f>IF(OR(L423="-",L423="",L423=0),IF(K423="-","-",K423),K423-L423)</f>
        <v>-</v>
      </c>
      <c r="N423" s="4" t="str">
        <f>IFERROR(IF(K423&gt;0, L423/K423, 0),"-")</f>
        <v>-</v>
      </c>
      <c r="O423" s="34" t="s">
        <v>959</v>
      </c>
      <c r="P423" s="35" t="s">
        <v>959</v>
      </c>
      <c r="Q423" s="34" t="str">
        <f>IF(OR(P423="-",P423="",P423=0),IF(O423="-","-",O423),O423-P423)</f>
        <v>-</v>
      </c>
      <c r="R423" s="4" t="str">
        <f>IFERROR(IF(O423&gt;0, P423/O423, 0),"-")</f>
        <v>-</v>
      </c>
      <c r="S423" s="34">
        <v>231</v>
      </c>
      <c r="T423" s="34">
        <v>2</v>
      </c>
      <c r="U423" s="34">
        <v>5000</v>
      </c>
      <c r="V423" s="35">
        <v>2</v>
      </c>
      <c r="W423" s="35">
        <v>75545</v>
      </c>
    </row>
    <row r="424" spans="1:23" x14ac:dyDescent="0.2">
      <c r="A424" s="30" t="s">
        <v>142</v>
      </c>
      <c r="B424" s="30" t="s">
        <v>1141</v>
      </c>
      <c r="C424" s="34" t="s">
        <v>959</v>
      </c>
      <c r="D424" s="35" t="s">
        <v>959</v>
      </c>
      <c r="E424" s="34" t="str">
        <f>IF(OR(D424="-",D424="",D424=0),IF(C424="-","-",C424),C424-D424)</f>
        <v>-</v>
      </c>
      <c r="F424" s="4" t="str">
        <f>IFERROR(IF(C424&gt;0, D424/C424, 0),"-")</f>
        <v>-</v>
      </c>
      <c r="G424" s="34" t="s">
        <v>959</v>
      </c>
      <c r="H424" s="35" t="s">
        <v>959</v>
      </c>
      <c r="I424" s="34" t="str">
        <f>IF(OR(H424="-",H424="",H424=0),IF(G424="-","-",G424),G424-H424)</f>
        <v>-</v>
      </c>
      <c r="J424" s="4" t="str">
        <f>IFERROR(IF(G424&gt;0, H424/G424, 0),"-")</f>
        <v>-</v>
      </c>
      <c r="K424" s="34" t="s">
        <v>959</v>
      </c>
      <c r="L424" s="35" t="s">
        <v>959</v>
      </c>
      <c r="M424" s="34" t="str">
        <f>IF(OR(L424="-",L424="",L424=0),IF(K424="-","-",K424),K424-L424)</f>
        <v>-</v>
      </c>
      <c r="N424" s="4" t="str">
        <f>IFERROR(IF(K424&gt;0, L424/K424, 0),"-")</f>
        <v>-</v>
      </c>
      <c r="O424" s="34" t="s">
        <v>959</v>
      </c>
      <c r="P424" s="35" t="s">
        <v>959</v>
      </c>
      <c r="Q424" s="34" t="str">
        <f>IF(OR(P424="-",P424="",P424=0),IF(O424="-","-",O424),O424-P424)</f>
        <v>-</v>
      </c>
      <c r="R424" s="4" t="str">
        <f>IFERROR(IF(O424&gt;0, P424/O424, 0),"-")</f>
        <v>-</v>
      </c>
      <c r="S424" s="34">
        <v>1</v>
      </c>
      <c r="T424" s="34" t="s">
        <v>959</v>
      </c>
      <c r="U424" s="34" t="s">
        <v>959</v>
      </c>
      <c r="V424" s="35" t="s">
        <v>959</v>
      </c>
      <c r="W424" s="35" t="s">
        <v>959</v>
      </c>
    </row>
    <row r="425" spans="1:23" x14ac:dyDescent="0.2">
      <c r="A425" s="30" t="s">
        <v>139</v>
      </c>
      <c r="B425" s="30" t="s">
        <v>1142</v>
      </c>
      <c r="C425" s="34">
        <v>195</v>
      </c>
      <c r="D425" s="35">
        <v>192</v>
      </c>
      <c r="E425" s="34">
        <f>IF(OR(D425="-",D425="",D425=0),IF(C425="-","-",C425),C425-D425)</f>
        <v>3</v>
      </c>
      <c r="F425" s="4">
        <f>IFERROR(IF(C425&gt;0, D425/C425, 0),"-")</f>
        <v>0.98461538461538467</v>
      </c>
      <c r="G425" s="34">
        <v>2</v>
      </c>
      <c r="H425" s="35" t="s">
        <v>959</v>
      </c>
      <c r="I425" s="34">
        <f>IF(OR(H425="-",H425="",H425=0),IF(G425="-","-",G425),G425-H425)</f>
        <v>2</v>
      </c>
      <c r="J425" s="4" t="str">
        <f>IFERROR(IF(G425&gt;0, H425/G425, 0),"-")</f>
        <v>-</v>
      </c>
      <c r="K425" s="34">
        <v>1</v>
      </c>
      <c r="L425" s="35" t="s">
        <v>959</v>
      </c>
      <c r="M425" s="34">
        <f>IF(OR(L425="-",L425="",L425=0),IF(K425="-","-",K425),K425-L425)</f>
        <v>1</v>
      </c>
      <c r="N425" s="4" t="str">
        <f>IFERROR(IF(K425&gt;0, L425/K425, 0),"-")</f>
        <v>-</v>
      </c>
      <c r="O425" s="34">
        <v>1</v>
      </c>
      <c r="P425" s="35">
        <v>1</v>
      </c>
      <c r="Q425" s="34">
        <f>IF(OR(P425="-",P425="",P425=0),IF(O425="-","-",O425),O425-P425)</f>
        <v>0</v>
      </c>
      <c r="R425" s="4">
        <f>IFERROR(IF(O425&gt;0, P425/O425, 0),"-")</f>
        <v>1</v>
      </c>
      <c r="S425" s="34">
        <v>414</v>
      </c>
      <c r="T425" s="34">
        <v>1</v>
      </c>
      <c r="U425" s="34">
        <v>2695</v>
      </c>
      <c r="V425" s="35">
        <v>1</v>
      </c>
      <c r="W425" s="35">
        <v>957</v>
      </c>
    </row>
    <row r="426" spans="1:23" x14ac:dyDescent="0.2">
      <c r="A426" s="30" t="s">
        <v>137</v>
      </c>
      <c r="B426" s="30" t="s">
        <v>1143</v>
      </c>
      <c r="C426" s="34">
        <v>221</v>
      </c>
      <c r="D426" s="35">
        <v>216</v>
      </c>
      <c r="E426" s="34">
        <f>IF(OR(D426="-",D426="",D426=0),IF(C426="-","-",C426),C426-D426)</f>
        <v>5</v>
      </c>
      <c r="F426" s="4">
        <f>IFERROR(IF(C426&gt;0, D426/C426, 0),"-")</f>
        <v>0.9773755656108597</v>
      </c>
      <c r="G426" s="34">
        <v>5</v>
      </c>
      <c r="H426" s="35">
        <v>4</v>
      </c>
      <c r="I426" s="34">
        <f>IF(OR(H426="-",H426="",H426=0),IF(G426="-","-",G426),G426-H426)</f>
        <v>1</v>
      </c>
      <c r="J426" s="4">
        <f>IFERROR(IF(G426&gt;0, H426/G426, 0),"-")</f>
        <v>0.8</v>
      </c>
      <c r="K426" s="34">
        <v>5</v>
      </c>
      <c r="L426" s="35">
        <v>4</v>
      </c>
      <c r="M426" s="34">
        <f>IF(OR(L426="-",L426="",L426=0),IF(K426="-","-",K426),K426-L426)</f>
        <v>1</v>
      </c>
      <c r="N426" s="4">
        <f>IFERROR(IF(K426&gt;0, L426/K426, 0),"-")</f>
        <v>0.8</v>
      </c>
      <c r="O426" s="34" t="s">
        <v>959</v>
      </c>
      <c r="P426" s="35" t="s">
        <v>959</v>
      </c>
      <c r="Q426" s="34" t="str">
        <f>IF(OR(P426="-",P426="",P426=0),IF(O426="-","-",O426),O426-P426)</f>
        <v>-</v>
      </c>
      <c r="R426" s="4" t="str">
        <f>IFERROR(IF(O426&gt;0, P426/O426, 0),"-")</f>
        <v>-</v>
      </c>
      <c r="S426" s="34">
        <v>407</v>
      </c>
      <c r="T426" s="34">
        <v>18</v>
      </c>
      <c r="U426" s="34">
        <v>22277</v>
      </c>
      <c r="V426" s="35">
        <v>6</v>
      </c>
      <c r="W426" s="35">
        <v>85712</v>
      </c>
    </row>
    <row r="427" spans="1:23" x14ac:dyDescent="0.2">
      <c r="A427" s="30" t="s">
        <v>140</v>
      </c>
      <c r="B427" s="30" t="s">
        <v>1144</v>
      </c>
      <c r="C427" s="34">
        <v>207</v>
      </c>
      <c r="D427" s="35">
        <v>204</v>
      </c>
      <c r="E427" s="34">
        <f>IF(OR(D427="-",D427="",D427=0),IF(C427="-","-",C427),C427-D427)</f>
        <v>3</v>
      </c>
      <c r="F427" s="4">
        <f>IFERROR(IF(C427&gt;0, D427/C427, 0),"-")</f>
        <v>0.98550724637681164</v>
      </c>
      <c r="G427" s="34">
        <v>2</v>
      </c>
      <c r="H427" s="35">
        <v>1</v>
      </c>
      <c r="I427" s="34">
        <f>IF(OR(H427="-",H427="",H427=0),IF(G427="-","-",G427),G427-H427)</f>
        <v>1</v>
      </c>
      <c r="J427" s="4">
        <f>IFERROR(IF(G427&gt;0, H427/G427, 0),"-")</f>
        <v>0.5</v>
      </c>
      <c r="K427" s="34">
        <v>2</v>
      </c>
      <c r="L427" s="35" t="s">
        <v>959</v>
      </c>
      <c r="M427" s="34">
        <f>IF(OR(L427="-",L427="",L427=0),IF(K427="-","-",K427),K427-L427)</f>
        <v>2</v>
      </c>
      <c r="N427" s="4" t="str">
        <f>IFERROR(IF(K427&gt;0, L427/K427, 0),"-")</f>
        <v>-</v>
      </c>
      <c r="O427" s="34" t="s">
        <v>959</v>
      </c>
      <c r="P427" s="35" t="s">
        <v>959</v>
      </c>
      <c r="Q427" s="34" t="str">
        <f>IF(OR(P427="-",P427="",P427=0),IF(O427="-","-",O427),O427-P427)</f>
        <v>-</v>
      </c>
      <c r="R427" s="4" t="str">
        <f>IFERROR(IF(O427&gt;0, P427/O427, 0),"-")</f>
        <v>-</v>
      </c>
      <c r="S427" s="34">
        <v>336</v>
      </c>
      <c r="T427" s="34">
        <v>3</v>
      </c>
      <c r="U427" s="34">
        <v>89340</v>
      </c>
      <c r="V427" s="35">
        <v>3</v>
      </c>
      <c r="W427" s="35">
        <v>80472</v>
      </c>
    </row>
    <row r="428" spans="1:23" x14ac:dyDescent="0.2">
      <c r="A428" s="30" t="s">
        <v>141</v>
      </c>
      <c r="B428" s="30" t="s">
        <v>1145</v>
      </c>
      <c r="C428" s="34" t="s">
        <v>959</v>
      </c>
      <c r="D428" s="35" t="s">
        <v>959</v>
      </c>
      <c r="E428" s="34" t="str">
        <f>IF(OR(D428="-",D428="",D428=0),IF(C428="-","-",C428),C428-D428)</f>
        <v>-</v>
      </c>
      <c r="F428" s="4" t="str">
        <f>IFERROR(IF(C428&gt;0, D428/C428, 0),"-")</f>
        <v>-</v>
      </c>
      <c r="G428" s="34" t="s">
        <v>959</v>
      </c>
      <c r="H428" s="35" t="s">
        <v>959</v>
      </c>
      <c r="I428" s="34" t="str">
        <f>IF(OR(H428="-",H428="",H428=0),IF(G428="-","-",G428),G428-H428)</f>
        <v>-</v>
      </c>
      <c r="J428" s="4" t="str">
        <f>IFERROR(IF(G428&gt;0, H428/G428, 0),"-")</f>
        <v>-</v>
      </c>
      <c r="K428" s="34" t="s">
        <v>959</v>
      </c>
      <c r="L428" s="35" t="s">
        <v>959</v>
      </c>
      <c r="M428" s="34" t="str">
        <f>IF(OR(L428="-",L428="",L428=0),IF(K428="-","-",K428),K428-L428)</f>
        <v>-</v>
      </c>
      <c r="N428" s="4" t="str">
        <f>IFERROR(IF(K428&gt;0, L428/K428, 0),"-")</f>
        <v>-</v>
      </c>
      <c r="O428" s="34" t="s">
        <v>959</v>
      </c>
      <c r="P428" s="35" t="s">
        <v>959</v>
      </c>
      <c r="Q428" s="34" t="str">
        <f>IF(OR(P428="-",P428="",P428=0),IF(O428="-","-",O428),O428-P428)</f>
        <v>-</v>
      </c>
      <c r="R428" s="4" t="str">
        <f>IFERROR(IF(O428&gt;0, P428/O428, 0),"-")</f>
        <v>-</v>
      </c>
      <c r="S428" s="34" t="s">
        <v>959</v>
      </c>
      <c r="T428" s="34" t="s">
        <v>959</v>
      </c>
      <c r="U428" s="34" t="s">
        <v>959</v>
      </c>
      <c r="V428" s="35" t="s">
        <v>959</v>
      </c>
      <c r="W428" s="35" t="s">
        <v>959</v>
      </c>
    </row>
    <row r="429" spans="1:23" x14ac:dyDescent="0.2">
      <c r="A429" s="30" t="s">
        <v>136</v>
      </c>
      <c r="B429" s="30" t="s">
        <v>1146</v>
      </c>
      <c r="C429" s="34">
        <v>367</v>
      </c>
      <c r="D429" s="35">
        <v>356</v>
      </c>
      <c r="E429" s="34">
        <f>IF(OR(D429="-",D429="",D429=0),IF(C429="-","-",C429),C429-D429)</f>
        <v>11</v>
      </c>
      <c r="F429" s="4">
        <f>IFERROR(IF(C429&gt;0, D429/C429, 0),"-")</f>
        <v>0.97002724795640327</v>
      </c>
      <c r="G429" s="34">
        <v>5</v>
      </c>
      <c r="H429" s="35">
        <v>3</v>
      </c>
      <c r="I429" s="34">
        <f>IF(OR(H429="-",H429="",H429=0),IF(G429="-","-",G429),G429-H429)</f>
        <v>2</v>
      </c>
      <c r="J429" s="4">
        <f>IFERROR(IF(G429&gt;0, H429/G429, 0),"-")</f>
        <v>0.6</v>
      </c>
      <c r="K429" s="34">
        <v>2</v>
      </c>
      <c r="L429" s="35" t="s">
        <v>959</v>
      </c>
      <c r="M429" s="34">
        <f>IF(OR(L429="-",L429="",L429=0),IF(K429="-","-",K429),K429-L429)</f>
        <v>2</v>
      </c>
      <c r="N429" s="4" t="str">
        <f>IFERROR(IF(K429&gt;0, L429/K429, 0),"-")</f>
        <v>-</v>
      </c>
      <c r="O429" s="34">
        <v>3</v>
      </c>
      <c r="P429" s="35">
        <v>1</v>
      </c>
      <c r="Q429" s="34">
        <f>IF(OR(P429="-",P429="",P429=0),IF(O429="-","-",O429),O429-P429)</f>
        <v>2</v>
      </c>
      <c r="R429" s="4">
        <f>IFERROR(IF(O429&gt;0, P429/O429, 0),"-")</f>
        <v>0.33333333333333331</v>
      </c>
      <c r="S429" s="34">
        <v>240</v>
      </c>
      <c r="T429" s="34">
        <v>5</v>
      </c>
      <c r="U429" s="34">
        <v>14700</v>
      </c>
      <c r="V429" s="35">
        <v>8</v>
      </c>
      <c r="W429" s="35">
        <v>271639</v>
      </c>
    </row>
    <row r="430" spans="1:23" x14ac:dyDescent="0.2">
      <c r="A430" s="29"/>
      <c r="B430" s="29" t="s">
        <v>84</v>
      </c>
      <c r="C430" s="32">
        <v>1371</v>
      </c>
      <c r="D430" s="32">
        <v>1336</v>
      </c>
      <c r="E430" s="32">
        <f>IF(OR(D430="-",D430="",D430=0),IF(C430="-","-",C430),C430-D430)</f>
        <v>35</v>
      </c>
      <c r="F430" s="36">
        <f>IFERROR(IF(C430&gt;0, D430/C430, 0),"-")</f>
        <v>0.97447118891320206</v>
      </c>
      <c r="G430" s="32">
        <v>16</v>
      </c>
      <c r="H430" s="32">
        <v>5</v>
      </c>
      <c r="I430" s="32">
        <f>IF(OR(H430="-",H430="",H430=0),IF(G430="-","-",G430),G430-H430)</f>
        <v>11</v>
      </c>
      <c r="J430" s="36">
        <f>IFERROR(IF(G430&gt;0, H430/G430, 0),"-")</f>
        <v>0.3125</v>
      </c>
      <c r="K430" s="32">
        <v>18</v>
      </c>
      <c r="L430" s="32">
        <v>5</v>
      </c>
      <c r="M430" s="32">
        <f>IF(OR(L430="-",L430="",L430=0),IF(K430="-","-",K430),K430-L430)</f>
        <v>13</v>
      </c>
      <c r="N430" s="36">
        <f>IFERROR(IF(K430&gt;0, L430/K430, 0),"-")</f>
        <v>0.27777777777777779</v>
      </c>
      <c r="O430" s="32">
        <v>17</v>
      </c>
      <c r="P430" s="32">
        <v>4</v>
      </c>
      <c r="Q430" s="32">
        <f>IF(OR(P430="-",P430="",P430=0),IF(O430="-","-",O430),O430-P430)</f>
        <v>13</v>
      </c>
      <c r="R430" s="36">
        <f>IFERROR(IF(O430&gt;0, P430/O430, 0),"-")</f>
        <v>0.23529411764705882</v>
      </c>
      <c r="S430" s="32">
        <v>1336</v>
      </c>
      <c r="T430" s="32">
        <v>20</v>
      </c>
      <c r="U430" s="32">
        <v>63025</v>
      </c>
      <c r="V430" s="32">
        <v>15</v>
      </c>
      <c r="W430" s="32">
        <v>295504</v>
      </c>
    </row>
    <row r="431" spans="1:23" x14ac:dyDescent="0.2">
      <c r="A431" s="30" t="s">
        <v>578</v>
      </c>
      <c r="B431" s="30" t="s">
        <v>1147</v>
      </c>
      <c r="C431" s="34">
        <v>246</v>
      </c>
      <c r="D431" s="35">
        <v>239</v>
      </c>
      <c r="E431" s="34">
        <f>IF(OR(D431="-",D431="",D431=0),IF(C431="-","-",C431),C431-D431)</f>
        <v>7</v>
      </c>
      <c r="F431" s="4">
        <f>IFERROR(IF(C431&gt;0, D431/C431, 0),"-")</f>
        <v>0.97154471544715448</v>
      </c>
      <c r="G431" s="34">
        <v>1</v>
      </c>
      <c r="H431" s="35" t="s">
        <v>959</v>
      </c>
      <c r="I431" s="34">
        <f>IF(OR(H431="-",H431="",H431=0),IF(G431="-","-",G431),G431-H431)</f>
        <v>1</v>
      </c>
      <c r="J431" s="4" t="str">
        <f>IFERROR(IF(G431&gt;0, H431/G431, 0),"-")</f>
        <v>-</v>
      </c>
      <c r="K431" s="34">
        <v>1</v>
      </c>
      <c r="L431" s="35" t="s">
        <v>959</v>
      </c>
      <c r="M431" s="34">
        <f>IF(OR(L431="-",L431="",L431=0),IF(K431="-","-",K431),K431-L431)</f>
        <v>1</v>
      </c>
      <c r="N431" s="4" t="str">
        <f>IFERROR(IF(K431&gt;0, L431/K431, 0),"-")</f>
        <v>-</v>
      </c>
      <c r="O431" s="34">
        <v>4</v>
      </c>
      <c r="P431" s="35">
        <v>1</v>
      </c>
      <c r="Q431" s="34">
        <f>IF(OR(P431="-",P431="",P431=0),IF(O431="-","-",O431),O431-P431)</f>
        <v>3</v>
      </c>
      <c r="R431" s="4">
        <f>IFERROR(IF(O431&gt;0, P431/O431, 0),"-")</f>
        <v>0.25</v>
      </c>
      <c r="S431" s="34">
        <v>134</v>
      </c>
      <c r="T431" s="34">
        <v>5</v>
      </c>
      <c r="U431" s="34">
        <v>24440</v>
      </c>
      <c r="V431" s="35" t="s">
        <v>959</v>
      </c>
      <c r="W431" s="35" t="s">
        <v>959</v>
      </c>
    </row>
    <row r="432" spans="1:23" x14ac:dyDescent="0.2">
      <c r="A432" s="30" t="s">
        <v>565</v>
      </c>
      <c r="B432" s="30" t="s">
        <v>1148</v>
      </c>
      <c r="C432" s="34">
        <v>123</v>
      </c>
      <c r="D432" s="35">
        <v>121</v>
      </c>
      <c r="E432" s="34">
        <f>IF(OR(D432="-",D432="",D432=0),IF(C432="-","-",C432),C432-D432)</f>
        <v>2</v>
      </c>
      <c r="F432" s="4">
        <f>IFERROR(IF(C432&gt;0, D432/C432, 0),"-")</f>
        <v>0.98373983739837401</v>
      </c>
      <c r="G432" s="34">
        <v>2</v>
      </c>
      <c r="H432" s="35" t="s">
        <v>959</v>
      </c>
      <c r="I432" s="34">
        <f>IF(OR(H432="-",H432="",H432=0),IF(G432="-","-",G432),G432-H432)</f>
        <v>2</v>
      </c>
      <c r="J432" s="4" t="str">
        <f>IFERROR(IF(G432&gt;0, H432/G432, 0),"-")</f>
        <v>-</v>
      </c>
      <c r="K432" s="34">
        <v>3</v>
      </c>
      <c r="L432" s="35">
        <v>2</v>
      </c>
      <c r="M432" s="34">
        <f>IF(OR(L432="-",L432="",L432=0),IF(K432="-","-",K432),K432-L432)</f>
        <v>1</v>
      </c>
      <c r="N432" s="4">
        <f>IFERROR(IF(K432&gt;0, L432/K432, 0),"-")</f>
        <v>0.66666666666666663</v>
      </c>
      <c r="O432" s="34">
        <v>4</v>
      </c>
      <c r="P432" s="35" t="s">
        <v>959</v>
      </c>
      <c r="Q432" s="34">
        <f>IF(OR(P432="-",P432="",P432=0),IF(O432="-","-",O432),O432-P432)</f>
        <v>4</v>
      </c>
      <c r="R432" s="4" t="str">
        <f>IFERROR(IF(O432&gt;0, P432/O432, 0),"-")</f>
        <v>-</v>
      </c>
      <c r="S432" s="34">
        <v>215</v>
      </c>
      <c r="T432" s="34">
        <v>3</v>
      </c>
      <c r="U432" s="34">
        <v>10510</v>
      </c>
      <c r="V432" s="35">
        <v>3</v>
      </c>
      <c r="W432" s="35">
        <v>78770</v>
      </c>
    </row>
    <row r="433" spans="1:23" x14ac:dyDescent="0.2">
      <c r="A433" s="30" t="s">
        <v>563</v>
      </c>
      <c r="B433" s="30" t="s">
        <v>1149</v>
      </c>
      <c r="C433" s="34">
        <v>249</v>
      </c>
      <c r="D433" s="35">
        <v>240</v>
      </c>
      <c r="E433" s="34">
        <f>IF(OR(D433="-",D433="",D433=0),IF(C433="-","-",C433),C433-D433)</f>
        <v>9</v>
      </c>
      <c r="F433" s="4">
        <f>IFERROR(IF(C433&gt;0, D433/C433, 0),"-")</f>
        <v>0.96385542168674698</v>
      </c>
      <c r="G433" s="34">
        <v>2</v>
      </c>
      <c r="H433" s="35">
        <v>2</v>
      </c>
      <c r="I433" s="34">
        <f>IF(OR(H433="-",H433="",H433=0),IF(G433="-","-",G433),G433-H433)</f>
        <v>0</v>
      </c>
      <c r="J433" s="4">
        <f>IFERROR(IF(G433&gt;0, H433/G433, 0),"-")</f>
        <v>1</v>
      </c>
      <c r="K433" s="34">
        <v>2</v>
      </c>
      <c r="L433" s="35" t="s">
        <v>959</v>
      </c>
      <c r="M433" s="34">
        <f>IF(OR(L433="-",L433="",L433=0),IF(K433="-","-",K433),K433-L433)</f>
        <v>2</v>
      </c>
      <c r="N433" s="4" t="str">
        <f>IFERROR(IF(K433&gt;0, L433/K433, 0),"-")</f>
        <v>-</v>
      </c>
      <c r="O433" s="34">
        <v>3</v>
      </c>
      <c r="P433" s="35">
        <v>1</v>
      </c>
      <c r="Q433" s="34">
        <f>IF(OR(P433="-",P433="",P433=0),IF(O433="-","-",O433),O433-P433)</f>
        <v>2</v>
      </c>
      <c r="R433" s="4">
        <f>IFERROR(IF(O433&gt;0, P433/O433, 0),"-")</f>
        <v>0.33333333333333331</v>
      </c>
      <c r="S433" s="34">
        <v>240</v>
      </c>
      <c r="T433" s="34">
        <v>7</v>
      </c>
      <c r="U433" s="34">
        <v>19665</v>
      </c>
      <c r="V433" s="35">
        <v>2</v>
      </c>
      <c r="W433" s="35">
        <v>17718</v>
      </c>
    </row>
    <row r="434" spans="1:23" x14ac:dyDescent="0.2">
      <c r="A434" s="30" t="s">
        <v>564</v>
      </c>
      <c r="B434" s="30" t="s">
        <v>1073</v>
      </c>
      <c r="C434" s="34">
        <v>239</v>
      </c>
      <c r="D434" s="35">
        <v>233</v>
      </c>
      <c r="E434" s="34">
        <f>IF(OR(D434="-",D434="",D434=0),IF(C434="-","-",C434),C434-D434)</f>
        <v>6</v>
      </c>
      <c r="F434" s="4">
        <f>IFERROR(IF(C434&gt;0, D434/C434, 0),"-")</f>
        <v>0.97489539748953979</v>
      </c>
      <c r="G434" s="34">
        <v>6</v>
      </c>
      <c r="H434" s="35">
        <v>3</v>
      </c>
      <c r="I434" s="34">
        <f>IF(OR(H434="-",H434="",H434=0),IF(G434="-","-",G434),G434-H434)</f>
        <v>3</v>
      </c>
      <c r="J434" s="4">
        <f>IFERROR(IF(G434&gt;0, H434/G434, 0),"-")</f>
        <v>0.5</v>
      </c>
      <c r="K434" s="34">
        <v>5</v>
      </c>
      <c r="L434" s="35">
        <v>2</v>
      </c>
      <c r="M434" s="34">
        <f>IF(OR(L434="-",L434="",L434=0),IF(K434="-","-",K434),K434-L434)</f>
        <v>3</v>
      </c>
      <c r="N434" s="4">
        <f>IFERROR(IF(K434&gt;0, L434/K434, 0),"-")</f>
        <v>0.4</v>
      </c>
      <c r="O434" s="34">
        <v>3</v>
      </c>
      <c r="P434" s="35">
        <v>1</v>
      </c>
      <c r="Q434" s="34">
        <f>IF(OR(P434="-",P434="",P434=0),IF(O434="-","-",O434),O434-P434)</f>
        <v>2</v>
      </c>
      <c r="R434" s="4">
        <f>IFERROR(IF(O434&gt;0, P434/O434, 0),"-")</f>
        <v>0.33333333333333331</v>
      </c>
      <c r="S434" s="34">
        <v>211</v>
      </c>
      <c r="T434" s="34">
        <v>2</v>
      </c>
      <c r="U434" s="34">
        <v>3770</v>
      </c>
      <c r="V434" s="35">
        <v>3</v>
      </c>
      <c r="W434" s="35">
        <v>64365</v>
      </c>
    </row>
    <row r="435" spans="1:23" x14ac:dyDescent="0.2">
      <c r="A435" s="30" t="s">
        <v>562</v>
      </c>
      <c r="B435" s="30" t="s">
        <v>1150</v>
      </c>
      <c r="C435" s="34">
        <v>154</v>
      </c>
      <c r="D435" s="35">
        <v>146</v>
      </c>
      <c r="E435" s="34">
        <f>IF(OR(D435="-",D435="",D435=0),IF(C435="-","-",C435),C435-D435)</f>
        <v>8</v>
      </c>
      <c r="F435" s="4">
        <f>IFERROR(IF(C435&gt;0, D435/C435, 0),"-")</f>
        <v>0.94805194805194803</v>
      </c>
      <c r="G435" s="34">
        <v>4</v>
      </c>
      <c r="H435" s="35" t="s">
        <v>959</v>
      </c>
      <c r="I435" s="34">
        <f>IF(OR(H435="-",H435="",H435=0),IF(G435="-","-",G435),G435-H435)</f>
        <v>4</v>
      </c>
      <c r="J435" s="4" t="str">
        <f>IFERROR(IF(G435&gt;0, H435/G435, 0),"-")</f>
        <v>-</v>
      </c>
      <c r="K435" s="34">
        <v>4</v>
      </c>
      <c r="L435" s="35">
        <v>1</v>
      </c>
      <c r="M435" s="34">
        <f>IF(OR(L435="-",L435="",L435=0),IF(K435="-","-",K435),K435-L435)</f>
        <v>3</v>
      </c>
      <c r="N435" s="4">
        <f>IFERROR(IF(K435&gt;0, L435/K435, 0),"-")</f>
        <v>0.25</v>
      </c>
      <c r="O435" s="34">
        <v>1</v>
      </c>
      <c r="P435" s="35" t="s">
        <v>959</v>
      </c>
      <c r="Q435" s="34">
        <f>IF(OR(P435="-",P435="",P435=0),IF(O435="-","-",O435),O435-P435)</f>
        <v>1</v>
      </c>
      <c r="R435" s="4" t="str">
        <f>IFERROR(IF(O435&gt;0, P435/O435, 0),"-")</f>
        <v>-</v>
      </c>
      <c r="S435" s="34">
        <v>301</v>
      </c>
      <c r="T435" s="34" t="s">
        <v>959</v>
      </c>
      <c r="U435" s="34" t="s">
        <v>959</v>
      </c>
      <c r="V435" s="35">
        <v>3</v>
      </c>
      <c r="W435" s="35">
        <v>52223</v>
      </c>
    </row>
    <row r="436" spans="1:23" x14ac:dyDescent="0.2">
      <c r="A436" s="30" t="s">
        <v>561</v>
      </c>
      <c r="B436" s="30" t="s">
        <v>1151</v>
      </c>
      <c r="C436" s="34">
        <v>360</v>
      </c>
      <c r="D436" s="35">
        <v>357</v>
      </c>
      <c r="E436" s="34">
        <f>IF(OR(D436="-",D436="",D436=0),IF(C436="-","-",C436),C436-D436)</f>
        <v>3</v>
      </c>
      <c r="F436" s="4">
        <f>IFERROR(IF(C436&gt;0, D436/C436, 0),"-")</f>
        <v>0.9916666666666667</v>
      </c>
      <c r="G436" s="34">
        <v>1</v>
      </c>
      <c r="H436" s="35" t="s">
        <v>959</v>
      </c>
      <c r="I436" s="34">
        <f>IF(OR(H436="-",H436="",H436=0),IF(G436="-","-",G436),G436-H436)</f>
        <v>1</v>
      </c>
      <c r="J436" s="4" t="str">
        <f>IFERROR(IF(G436&gt;0, H436/G436, 0),"-")</f>
        <v>-</v>
      </c>
      <c r="K436" s="34">
        <v>3</v>
      </c>
      <c r="L436" s="35" t="s">
        <v>959</v>
      </c>
      <c r="M436" s="34">
        <f>IF(OR(L436="-",L436="",L436=0),IF(K436="-","-",K436),K436-L436)</f>
        <v>3</v>
      </c>
      <c r="N436" s="4" t="str">
        <f>IFERROR(IF(K436&gt;0, L436/K436, 0),"-")</f>
        <v>-</v>
      </c>
      <c r="O436" s="34">
        <v>2</v>
      </c>
      <c r="P436" s="35">
        <v>1</v>
      </c>
      <c r="Q436" s="34">
        <f>IF(OR(P436="-",P436="",P436=0),IF(O436="-","-",O436),O436-P436)</f>
        <v>1</v>
      </c>
      <c r="R436" s="4">
        <f>IFERROR(IF(O436&gt;0, P436/O436, 0),"-")</f>
        <v>0.5</v>
      </c>
      <c r="S436" s="34">
        <v>235</v>
      </c>
      <c r="T436" s="34">
        <v>3</v>
      </c>
      <c r="U436" s="34">
        <v>4640</v>
      </c>
      <c r="V436" s="35">
        <v>4</v>
      </c>
      <c r="W436" s="35">
        <v>82428</v>
      </c>
    </row>
    <row r="437" spans="1:23" x14ac:dyDescent="0.2">
      <c r="A437" s="29"/>
      <c r="B437" s="29" t="s">
        <v>14</v>
      </c>
      <c r="C437" s="32">
        <v>1502</v>
      </c>
      <c r="D437" s="32">
        <v>1479</v>
      </c>
      <c r="E437" s="32">
        <f>IF(OR(D437="-",D437="",D437=0),IF(C437="-","-",C437),C437-D437)</f>
        <v>23</v>
      </c>
      <c r="F437" s="36">
        <f>IFERROR(IF(C437&gt;0, D437/C437, 0),"-")</f>
        <v>0.98468708388814918</v>
      </c>
      <c r="G437" s="32">
        <v>20</v>
      </c>
      <c r="H437" s="32">
        <v>14</v>
      </c>
      <c r="I437" s="32">
        <f>IF(OR(H437="-",H437="",H437=0),IF(G437="-","-",G437),G437-H437)</f>
        <v>6</v>
      </c>
      <c r="J437" s="36">
        <f>IFERROR(IF(G437&gt;0, H437/G437, 0),"-")</f>
        <v>0.7</v>
      </c>
      <c r="K437" s="32">
        <v>13</v>
      </c>
      <c r="L437" s="32">
        <v>5</v>
      </c>
      <c r="M437" s="32">
        <f>IF(OR(L437="-",L437="",L437=0),IF(K437="-","-",K437),K437-L437)</f>
        <v>8</v>
      </c>
      <c r="N437" s="36">
        <f>IFERROR(IF(K437&gt;0, L437/K437, 0),"-")</f>
        <v>0.38461538461538464</v>
      </c>
      <c r="O437" s="32">
        <v>13</v>
      </c>
      <c r="P437" s="32">
        <v>6</v>
      </c>
      <c r="Q437" s="32">
        <f>IF(OR(P437="-",P437="",P437=0),IF(O437="-","-",O437),O437-P437)</f>
        <v>7</v>
      </c>
      <c r="R437" s="36">
        <f>IFERROR(IF(O437&gt;0, P437/O437, 0),"-")</f>
        <v>0.46153846153846156</v>
      </c>
      <c r="S437" s="32">
        <v>907</v>
      </c>
      <c r="T437" s="32">
        <v>20</v>
      </c>
      <c r="U437" s="32">
        <v>39975</v>
      </c>
      <c r="V437" s="32">
        <v>18</v>
      </c>
      <c r="W437" s="32">
        <v>438373</v>
      </c>
    </row>
    <row r="438" spans="1:23" x14ac:dyDescent="0.2">
      <c r="A438" s="30" t="s">
        <v>381</v>
      </c>
      <c r="B438" s="30" t="s">
        <v>1152</v>
      </c>
      <c r="C438" s="34">
        <v>309</v>
      </c>
      <c r="D438" s="35">
        <v>304</v>
      </c>
      <c r="E438" s="34">
        <f>IF(OR(D438="-",D438="",D438=0),IF(C438="-","-",C438),C438-D438)</f>
        <v>5</v>
      </c>
      <c r="F438" s="4">
        <f>IFERROR(IF(C438&gt;0, D438/C438, 0),"-")</f>
        <v>0.98381877022653719</v>
      </c>
      <c r="G438" s="34">
        <v>5</v>
      </c>
      <c r="H438" s="35">
        <v>2</v>
      </c>
      <c r="I438" s="34">
        <f>IF(OR(H438="-",H438="",H438=0),IF(G438="-","-",G438),G438-H438)</f>
        <v>3</v>
      </c>
      <c r="J438" s="4">
        <f>IFERROR(IF(G438&gt;0, H438/G438, 0),"-")</f>
        <v>0.4</v>
      </c>
      <c r="K438" s="34">
        <v>4</v>
      </c>
      <c r="L438" s="35">
        <v>1</v>
      </c>
      <c r="M438" s="34">
        <f>IF(OR(L438="-",L438="",L438=0),IF(K438="-","-",K438),K438-L438)</f>
        <v>3</v>
      </c>
      <c r="N438" s="4">
        <f>IFERROR(IF(K438&gt;0, L438/K438, 0),"-")</f>
        <v>0.25</v>
      </c>
      <c r="O438" s="34">
        <v>3</v>
      </c>
      <c r="P438" s="35">
        <v>2</v>
      </c>
      <c r="Q438" s="34">
        <f>IF(OR(P438="-",P438="",P438=0),IF(O438="-","-",O438),O438-P438)</f>
        <v>1</v>
      </c>
      <c r="R438" s="4">
        <f>IFERROR(IF(O438&gt;0, P438/O438, 0),"-")</f>
        <v>0.66666666666666663</v>
      </c>
      <c r="S438" s="34">
        <v>141</v>
      </c>
      <c r="T438" s="34">
        <v>2</v>
      </c>
      <c r="U438" s="34">
        <v>4540</v>
      </c>
      <c r="V438" s="35">
        <v>2</v>
      </c>
      <c r="W438" s="35">
        <v>51368</v>
      </c>
    </row>
    <row r="439" spans="1:23" x14ac:dyDescent="0.2">
      <c r="A439" s="30" t="s">
        <v>380</v>
      </c>
      <c r="B439" s="30" t="s">
        <v>1153</v>
      </c>
      <c r="C439" s="34">
        <v>319</v>
      </c>
      <c r="D439" s="35">
        <v>315</v>
      </c>
      <c r="E439" s="34">
        <f>IF(OR(D439="-",D439="",D439=0),IF(C439="-","-",C439),C439-D439)</f>
        <v>4</v>
      </c>
      <c r="F439" s="4">
        <f>IFERROR(IF(C439&gt;0, D439/C439, 0),"-")</f>
        <v>0.98746081504702199</v>
      </c>
      <c r="G439" s="34">
        <v>7</v>
      </c>
      <c r="H439" s="35">
        <v>5</v>
      </c>
      <c r="I439" s="34">
        <f>IF(OR(H439="-",H439="",H439=0),IF(G439="-","-",G439),G439-H439)</f>
        <v>2</v>
      </c>
      <c r="J439" s="4">
        <f>IFERROR(IF(G439&gt;0, H439/G439, 0),"-")</f>
        <v>0.7142857142857143</v>
      </c>
      <c r="K439" s="34">
        <v>4</v>
      </c>
      <c r="L439" s="35">
        <v>3</v>
      </c>
      <c r="M439" s="34">
        <f>IF(OR(L439="-",L439="",L439=0),IF(K439="-","-",K439),K439-L439)</f>
        <v>1</v>
      </c>
      <c r="N439" s="4">
        <f>IFERROR(IF(K439&gt;0, L439/K439, 0),"-")</f>
        <v>0.75</v>
      </c>
      <c r="O439" s="34">
        <v>3</v>
      </c>
      <c r="P439" s="35">
        <v>2</v>
      </c>
      <c r="Q439" s="34">
        <f>IF(OR(P439="-",P439="",P439=0),IF(O439="-","-",O439),O439-P439)</f>
        <v>1</v>
      </c>
      <c r="R439" s="4">
        <f>IFERROR(IF(O439&gt;0, P439/O439, 0),"-")</f>
        <v>0.66666666666666663</v>
      </c>
      <c r="S439" s="34">
        <v>244</v>
      </c>
      <c r="T439" s="34">
        <v>4</v>
      </c>
      <c r="U439" s="34">
        <v>7925</v>
      </c>
      <c r="V439" s="35">
        <v>12</v>
      </c>
      <c r="W439" s="35">
        <v>309709</v>
      </c>
    </row>
    <row r="440" spans="1:23" x14ac:dyDescent="0.2">
      <c r="A440" s="30" t="s">
        <v>379</v>
      </c>
      <c r="B440" s="30" t="s">
        <v>1154</v>
      </c>
      <c r="C440" s="34">
        <v>247</v>
      </c>
      <c r="D440" s="35">
        <v>242</v>
      </c>
      <c r="E440" s="34">
        <f>IF(OR(D440="-",D440="",D440=0),IF(C440="-","-",C440),C440-D440)</f>
        <v>5</v>
      </c>
      <c r="F440" s="4">
        <f>IFERROR(IF(C440&gt;0, D440/C440, 0),"-")</f>
        <v>0.97975708502024295</v>
      </c>
      <c r="G440" s="34">
        <v>2</v>
      </c>
      <c r="H440" s="35">
        <v>2</v>
      </c>
      <c r="I440" s="34">
        <f>IF(OR(H440="-",H440="",H440=0),IF(G440="-","-",G440),G440-H440)</f>
        <v>0</v>
      </c>
      <c r="J440" s="4">
        <f>IFERROR(IF(G440&gt;0, H440/G440, 0),"-")</f>
        <v>1</v>
      </c>
      <c r="K440" s="34" t="s">
        <v>959</v>
      </c>
      <c r="L440" s="35" t="s">
        <v>959</v>
      </c>
      <c r="M440" s="34" t="str">
        <f>IF(OR(L440="-",L440="",L440=0),IF(K440="-","-",K440),K440-L440)</f>
        <v>-</v>
      </c>
      <c r="N440" s="4" t="str">
        <f>IFERROR(IF(K440&gt;0, L440/K440, 0),"-")</f>
        <v>-</v>
      </c>
      <c r="O440" s="34">
        <v>2</v>
      </c>
      <c r="P440" s="35">
        <v>2</v>
      </c>
      <c r="Q440" s="34">
        <f>IF(OR(P440="-",P440="",P440=0),IF(O440="-","-",O440),O440-P440)</f>
        <v>0</v>
      </c>
      <c r="R440" s="4">
        <f>IFERROR(IF(O440&gt;0, P440/O440, 0),"-")</f>
        <v>1</v>
      </c>
      <c r="S440" s="34">
        <v>236</v>
      </c>
      <c r="T440" s="34">
        <v>4</v>
      </c>
      <c r="U440" s="34">
        <v>7655</v>
      </c>
      <c r="V440" s="35">
        <v>3</v>
      </c>
      <c r="W440" s="35">
        <v>57858</v>
      </c>
    </row>
    <row r="441" spans="1:23" x14ac:dyDescent="0.2">
      <c r="A441" s="30" t="s">
        <v>378</v>
      </c>
      <c r="B441" s="30" t="s">
        <v>1155</v>
      </c>
      <c r="C441" s="34">
        <v>374</v>
      </c>
      <c r="D441" s="35">
        <v>369</v>
      </c>
      <c r="E441" s="34">
        <f>IF(OR(D441="-",D441="",D441=0),IF(C441="-","-",C441),C441-D441)</f>
        <v>5</v>
      </c>
      <c r="F441" s="4">
        <f>IFERROR(IF(C441&gt;0, D441/C441, 0),"-")</f>
        <v>0.9866310160427807</v>
      </c>
      <c r="G441" s="34">
        <v>4</v>
      </c>
      <c r="H441" s="35">
        <v>4</v>
      </c>
      <c r="I441" s="34">
        <f>IF(OR(H441="-",H441="",H441=0),IF(G441="-","-",G441),G441-H441)</f>
        <v>0</v>
      </c>
      <c r="J441" s="4">
        <f>IFERROR(IF(G441&gt;0, H441/G441, 0),"-")</f>
        <v>1</v>
      </c>
      <c r="K441" s="34">
        <v>3</v>
      </c>
      <c r="L441" s="35" t="s">
        <v>959</v>
      </c>
      <c r="M441" s="34">
        <f>IF(OR(L441="-",L441="",L441=0),IF(K441="-","-",K441),K441-L441)</f>
        <v>3</v>
      </c>
      <c r="N441" s="4" t="str">
        <f>IFERROR(IF(K441&gt;0, L441/K441, 0),"-")</f>
        <v>-</v>
      </c>
      <c r="O441" s="34">
        <v>4</v>
      </c>
      <c r="P441" s="35" t="s">
        <v>959</v>
      </c>
      <c r="Q441" s="34">
        <f>IF(OR(P441="-",P441="",P441=0),IF(O441="-","-",O441),O441-P441)</f>
        <v>4</v>
      </c>
      <c r="R441" s="4" t="str">
        <f>IFERROR(IF(O441&gt;0, P441/O441, 0),"-")</f>
        <v>-</v>
      </c>
      <c r="S441" s="34">
        <v>127</v>
      </c>
      <c r="T441" s="34">
        <v>7</v>
      </c>
      <c r="U441" s="34">
        <v>12235</v>
      </c>
      <c r="V441" s="35">
        <v>1</v>
      </c>
      <c r="W441" s="35">
        <v>19438</v>
      </c>
    </row>
    <row r="442" spans="1:23" x14ac:dyDescent="0.2">
      <c r="A442" s="30" t="s">
        <v>377</v>
      </c>
      <c r="B442" s="30" t="s">
        <v>1156</v>
      </c>
      <c r="C442" s="34">
        <v>253</v>
      </c>
      <c r="D442" s="35">
        <v>249</v>
      </c>
      <c r="E442" s="34">
        <f>IF(OR(D442="-",D442="",D442=0),IF(C442="-","-",C442),C442-D442)</f>
        <v>4</v>
      </c>
      <c r="F442" s="4">
        <f>IFERROR(IF(C442&gt;0, D442/C442, 0),"-")</f>
        <v>0.98418972332015808</v>
      </c>
      <c r="G442" s="34">
        <v>2</v>
      </c>
      <c r="H442" s="35">
        <v>1</v>
      </c>
      <c r="I442" s="34">
        <f>IF(OR(H442="-",H442="",H442=0),IF(G442="-","-",G442),G442-H442)</f>
        <v>1</v>
      </c>
      <c r="J442" s="4">
        <f>IFERROR(IF(G442&gt;0, H442/G442, 0),"-")</f>
        <v>0.5</v>
      </c>
      <c r="K442" s="34">
        <v>2</v>
      </c>
      <c r="L442" s="35">
        <v>1</v>
      </c>
      <c r="M442" s="34">
        <f>IF(OR(L442="-",L442="",L442=0),IF(K442="-","-",K442),K442-L442)</f>
        <v>1</v>
      </c>
      <c r="N442" s="4">
        <f>IFERROR(IF(K442&gt;0, L442/K442, 0),"-")</f>
        <v>0.5</v>
      </c>
      <c r="O442" s="34">
        <v>1</v>
      </c>
      <c r="P442" s="35" t="s">
        <v>959</v>
      </c>
      <c r="Q442" s="34">
        <f>IF(OR(P442="-",P442="",P442=0),IF(O442="-","-",O442),O442-P442)</f>
        <v>1</v>
      </c>
      <c r="R442" s="4" t="str">
        <f>IFERROR(IF(O442&gt;0, P442/O442, 0),"-")</f>
        <v>-</v>
      </c>
      <c r="S442" s="34">
        <v>159</v>
      </c>
      <c r="T442" s="34">
        <v>3</v>
      </c>
      <c r="U442" s="34">
        <v>7620</v>
      </c>
      <c r="V442" s="35" t="s">
        <v>959</v>
      </c>
      <c r="W442" s="35" t="s">
        <v>959</v>
      </c>
    </row>
    <row r="443" spans="1:23" x14ac:dyDescent="0.2">
      <c r="A443" s="29"/>
      <c r="B443" s="29" t="s">
        <v>98</v>
      </c>
      <c r="C443" s="32">
        <v>772</v>
      </c>
      <c r="D443" s="32">
        <v>761</v>
      </c>
      <c r="E443" s="32">
        <f>IF(OR(D443="-",D443="",D443=0),IF(C443="-","-",C443),C443-D443)</f>
        <v>11</v>
      </c>
      <c r="F443" s="36">
        <f>IFERROR(IF(C443&gt;0, D443/C443, 0),"-")</f>
        <v>0.98575129533678751</v>
      </c>
      <c r="G443" s="32">
        <v>7</v>
      </c>
      <c r="H443" s="32">
        <v>2</v>
      </c>
      <c r="I443" s="32">
        <f>IF(OR(H443="-",H443="",H443=0),IF(G443="-","-",G443),G443-H443)</f>
        <v>5</v>
      </c>
      <c r="J443" s="36">
        <f>IFERROR(IF(G443&gt;0, H443/G443, 0),"-")</f>
        <v>0.2857142857142857</v>
      </c>
      <c r="K443" s="32">
        <v>4</v>
      </c>
      <c r="L443" s="32">
        <v>1</v>
      </c>
      <c r="M443" s="32">
        <f>IF(OR(L443="-",L443="",L443=0),IF(K443="-","-",K443),K443-L443)</f>
        <v>3</v>
      </c>
      <c r="N443" s="36">
        <f>IFERROR(IF(K443&gt;0, L443/K443, 0),"-")</f>
        <v>0.25</v>
      </c>
      <c r="O443" s="32">
        <v>14</v>
      </c>
      <c r="P443" s="32">
        <v>2</v>
      </c>
      <c r="Q443" s="32">
        <f>IF(OR(P443="-",P443="",P443=0),IF(O443="-","-",O443),O443-P443)</f>
        <v>12</v>
      </c>
      <c r="R443" s="36">
        <f>IFERROR(IF(O443&gt;0, P443/O443, 0),"-")</f>
        <v>0.14285714285714285</v>
      </c>
      <c r="S443" s="32">
        <v>703</v>
      </c>
      <c r="T443" s="32">
        <v>2</v>
      </c>
      <c r="U443" s="32">
        <v>3700</v>
      </c>
      <c r="V443" s="32">
        <v>6</v>
      </c>
      <c r="W443" s="32">
        <v>179836</v>
      </c>
    </row>
    <row r="444" spans="1:23" x14ac:dyDescent="0.2">
      <c r="A444" s="30" t="s">
        <v>695</v>
      </c>
      <c r="B444" s="30" t="s">
        <v>1157</v>
      </c>
      <c r="C444" s="34">
        <v>218</v>
      </c>
      <c r="D444" s="35">
        <v>215</v>
      </c>
      <c r="E444" s="34">
        <f>IF(OR(D444="-",D444="",D444=0),IF(C444="-","-",C444),C444-D444)</f>
        <v>3</v>
      </c>
      <c r="F444" s="4">
        <f>IFERROR(IF(C444&gt;0, D444/C444, 0),"-")</f>
        <v>0.98623853211009171</v>
      </c>
      <c r="G444" s="34">
        <v>1</v>
      </c>
      <c r="H444" s="35" t="s">
        <v>959</v>
      </c>
      <c r="I444" s="34">
        <f>IF(OR(H444="-",H444="",H444=0),IF(G444="-","-",G444),G444-H444)</f>
        <v>1</v>
      </c>
      <c r="J444" s="4" t="str">
        <f>IFERROR(IF(G444&gt;0, H444/G444, 0),"-")</f>
        <v>-</v>
      </c>
      <c r="K444" s="34" t="s">
        <v>959</v>
      </c>
      <c r="L444" s="35" t="s">
        <v>959</v>
      </c>
      <c r="M444" s="34" t="str">
        <f>IF(OR(L444="-",L444="",L444=0),IF(K444="-","-",K444),K444-L444)</f>
        <v>-</v>
      </c>
      <c r="N444" s="4" t="str">
        <f>IFERROR(IF(K444&gt;0, L444/K444, 0),"-")</f>
        <v>-</v>
      </c>
      <c r="O444" s="34">
        <v>5</v>
      </c>
      <c r="P444" s="35" t="s">
        <v>959</v>
      </c>
      <c r="Q444" s="34">
        <f>IF(OR(P444="-",P444="",P444=0),IF(O444="-","-",O444),O444-P444)</f>
        <v>5</v>
      </c>
      <c r="R444" s="4" t="str">
        <f>IFERROR(IF(O444&gt;0, P444/O444, 0),"-")</f>
        <v>-</v>
      </c>
      <c r="S444" s="34">
        <v>175</v>
      </c>
      <c r="T444" s="34" t="s">
        <v>959</v>
      </c>
      <c r="U444" s="34" t="s">
        <v>959</v>
      </c>
      <c r="V444" s="35">
        <v>2</v>
      </c>
      <c r="W444" s="35">
        <v>71874</v>
      </c>
    </row>
    <row r="445" spans="1:23" x14ac:dyDescent="0.2">
      <c r="A445" s="30" t="s">
        <v>693</v>
      </c>
      <c r="B445" s="30" t="s">
        <v>1158</v>
      </c>
      <c r="C445" s="34">
        <v>120</v>
      </c>
      <c r="D445" s="35">
        <v>120</v>
      </c>
      <c r="E445" s="34">
        <f>IF(OR(D445="-",D445="",D445=0),IF(C445="-","-",C445),C445-D445)</f>
        <v>0</v>
      </c>
      <c r="F445" s="4">
        <f>IFERROR(IF(C445&gt;0, D445/C445, 0),"-")</f>
        <v>1</v>
      </c>
      <c r="G445" s="34">
        <v>1</v>
      </c>
      <c r="H445" s="35" t="s">
        <v>959</v>
      </c>
      <c r="I445" s="34">
        <f>IF(OR(H445="-",H445="",H445=0),IF(G445="-","-",G445),G445-H445)</f>
        <v>1</v>
      </c>
      <c r="J445" s="4" t="str">
        <f>IFERROR(IF(G445&gt;0, H445/G445, 0),"-")</f>
        <v>-</v>
      </c>
      <c r="K445" s="34">
        <v>1</v>
      </c>
      <c r="L445" s="35">
        <v>1</v>
      </c>
      <c r="M445" s="34">
        <f>IF(OR(L445="-",L445="",L445=0),IF(K445="-","-",K445),K445-L445)</f>
        <v>0</v>
      </c>
      <c r="N445" s="4">
        <f>IFERROR(IF(K445&gt;0, L445/K445, 0),"-")</f>
        <v>1</v>
      </c>
      <c r="O445" s="34">
        <v>2</v>
      </c>
      <c r="P445" s="35">
        <v>1</v>
      </c>
      <c r="Q445" s="34">
        <f>IF(OR(P445="-",P445="",P445=0),IF(O445="-","-",O445),O445-P445)</f>
        <v>1</v>
      </c>
      <c r="R445" s="4">
        <f>IFERROR(IF(O445&gt;0, P445/O445, 0),"-")</f>
        <v>0.5</v>
      </c>
      <c r="S445" s="34">
        <v>183</v>
      </c>
      <c r="T445" s="34" t="s">
        <v>959</v>
      </c>
      <c r="U445" s="34" t="s">
        <v>959</v>
      </c>
      <c r="V445" s="35">
        <v>2</v>
      </c>
      <c r="W445" s="35">
        <v>63767</v>
      </c>
    </row>
    <row r="446" spans="1:23" x14ac:dyDescent="0.2">
      <c r="A446" s="30" t="s">
        <v>691</v>
      </c>
      <c r="B446" s="30" t="s">
        <v>1159</v>
      </c>
      <c r="C446" s="34">
        <v>99</v>
      </c>
      <c r="D446" s="35">
        <v>96</v>
      </c>
      <c r="E446" s="34">
        <f>IF(OR(D446="-",D446="",D446=0),IF(C446="-","-",C446),C446-D446)</f>
        <v>3</v>
      </c>
      <c r="F446" s="4">
        <f>IFERROR(IF(C446&gt;0, D446/C446, 0),"-")</f>
        <v>0.96969696969696972</v>
      </c>
      <c r="G446" s="34">
        <v>1</v>
      </c>
      <c r="H446" s="35" t="s">
        <v>959</v>
      </c>
      <c r="I446" s="34">
        <f>IF(OR(H446="-",H446="",H446=0),IF(G446="-","-",G446),G446-H446)</f>
        <v>1</v>
      </c>
      <c r="J446" s="4" t="str">
        <f>IFERROR(IF(G446&gt;0, H446/G446, 0),"-")</f>
        <v>-</v>
      </c>
      <c r="K446" s="34">
        <v>1</v>
      </c>
      <c r="L446" s="35" t="s">
        <v>959</v>
      </c>
      <c r="M446" s="34">
        <f>IF(OR(L446="-",L446="",L446=0),IF(K446="-","-",K446),K446-L446)</f>
        <v>1</v>
      </c>
      <c r="N446" s="4" t="str">
        <f>IFERROR(IF(K446&gt;0, L446/K446, 0),"-")</f>
        <v>-</v>
      </c>
      <c r="O446" s="34">
        <v>3</v>
      </c>
      <c r="P446" s="35">
        <v>1</v>
      </c>
      <c r="Q446" s="34">
        <f>IF(OR(P446="-",P446="",P446=0),IF(O446="-","-",O446),O446-P446)</f>
        <v>2</v>
      </c>
      <c r="R446" s="4">
        <f>IFERROR(IF(O446&gt;0, P446/O446, 0),"-")</f>
        <v>0.33333333333333331</v>
      </c>
      <c r="S446" s="34">
        <v>128</v>
      </c>
      <c r="T446" s="34">
        <v>1</v>
      </c>
      <c r="U446" s="34">
        <v>2700</v>
      </c>
      <c r="V446" s="35" t="s">
        <v>959</v>
      </c>
      <c r="W446" s="35" t="s">
        <v>959</v>
      </c>
    </row>
    <row r="447" spans="1:23" x14ac:dyDescent="0.2">
      <c r="A447" s="30" t="s">
        <v>692</v>
      </c>
      <c r="B447" s="30" t="s">
        <v>1160</v>
      </c>
      <c r="C447" s="34">
        <v>148</v>
      </c>
      <c r="D447" s="35">
        <v>145</v>
      </c>
      <c r="E447" s="34">
        <f>IF(OR(D447="-",D447="",D447=0),IF(C447="-","-",C447),C447-D447)</f>
        <v>3</v>
      </c>
      <c r="F447" s="4">
        <f>IFERROR(IF(C447&gt;0, D447/C447, 0),"-")</f>
        <v>0.97972972972972971</v>
      </c>
      <c r="G447" s="34">
        <v>2</v>
      </c>
      <c r="H447" s="35">
        <v>2</v>
      </c>
      <c r="I447" s="34">
        <f>IF(OR(H447="-",H447="",H447=0),IF(G447="-","-",G447),G447-H447)</f>
        <v>0</v>
      </c>
      <c r="J447" s="4">
        <f>IFERROR(IF(G447&gt;0, H447/G447, 0),"-")</f>
        <v>1</v>
      </c>
      <c r="K447" s="34">
        <v>1</v>
      </c>
      <c r="L447" s="35" t="s">
        <v>959</v>
      </c>
      <c r="M447" s="34">
        <f>IF(OR(L447="-",L447="",L447=0),IF(K447="-","-",K447),K447-L447)</f>
        <v>1</v>
      </c>
      <c r="N447" s="4" t="str">
        <f>IFERROR(IF(K447&gt;0, L447/K447, 0),"-")</f>
        <v>-</v>
      </c>
      <c r="O447" s="34">
        <v>3</v>
      </c>
      <c r="P447" s="35" t="s">
        <v>959</v>
      </c>
      <c r="Q447" s="34">
        <f>IF(OR(P447="-",P447="",P447=0),IF(O447="-","-",O447),O447-P447)</f>
        <v>3</v>
      </c>
      <c r="R447" s="4" t="str">
        <f>IFERROR(IF(O447&gt;0, P447/O447, 0),"-")</f>
        <v>-</v>
      </c>
      <c r="S447" s="34">
        <v>90</v>
      </c>
      <c r="T447" s="34">
        <v>1</v>
      </c>
      <c r="U447" s="34">
        <v>1000</v>
      </c>
      <c r="V447" s="35" t="s">
        <v>959</v>
      </c>
      <c r="W447" s="35" t="s">
        <v>959</v>
      </c>
    </row>
    <row r="448" spans="1:23" x14ac:dyDescent="0.2">
      <c r="A448" s="30" t="s">
        <v>694</v>
      </c>
      <c r="B448" s="30" t="s">
        <v>1161</v>
      </c>
      <c r="C448" s="34">
        <v>187</v>
      </c>
      <c r="D448" s="35">
        <v>185</v>
      </c>
      <c r="E448" s="34">
        <f>IF(OR(D448="-",D448="",D448=0),IF(C448="-","-",C448),C448-D448)</f>
        <v>2</v>
      </c>
      <c r="F448" s="4">
        <f>IFERROR(IF(C448&gt;0, D448/C448, 0),"-")</f>
        <v>0.98930481283422456</v>
      </c>
      <c r="G448" s="34">
        <v>2</v>
      </c>
      <c r="H448" s="35" t="s">
        <v>959</v>
      </c>
      <c r="I448" s="34">
        <f>IF(OR(H448="-",H448="",H448=0),IF(G448="-","-",G448),G448-H448)</f>
        <v>2</v>
      </c>
      <c r="J448" s="4" t="str">
        <f>IFERROR(IF(G448&gt;0, H448/G448, 0),"-")</f>
        <v>-</v>
      </c>
      <c r="K448" s="34">
        <v>1</v>
      </c>
      <c r="L448" s="35" t="s">
        <v>959</v>
      </c>
      <c r="M448" s="34">
        <f>IF(OR(L448="-",L448="",L448=0),IF(K448="-","-",K448),K448-L448)</f>
        <v>1</v>
      </c>
      <c r="N448" s="4" t="str">
        <f>IFERROR(IF(K448&gt;0, L448/K448, 0),"-")</f>
        <v>-</v>
      </c>
      <c r="O448" s="34">
        <v>1</v>
      </c>
      <c r="P448" s="35" t="s">
        <v>959</v>
      </c>
      <c r="Q448" s="34">
        <f>IF(OR(P448="-",P448="",P448=0),IF(O448="-","-",O448),O448-P448)</f>
        <v>1</v>
      </c>
      <c r="R448" s="4" t="str">
        <f>IFERROR(IF(O448&gt;0, P448/O448, 0),"-")</f>
        <v>-</v>
      </c>
      <c r="S448" s="34">
        <v>127</v>
      </c>
      <c r="T448" s="34" t="s">
        <v>959</v>
      </c>
      <c r="U448" s="34" t="s">
        <v>959</v>
      </c>
      <c r="V448" s="35">
        <v>2</v>
      </c>
      <c r="W448" s="35">
        <v>44195</v>
      </c>
    </row>
    <row r="449" spans="1:23" x14ac:dyDescent="0.2">
      <c r="A449" s="29"/>
      <c r="B449" s="29" t="s">
        <v>21</v>
      </c>
      <c r="C449" s="32">
        <v>1588</v>
      </c>
      <c r="D449" s="32">
        <v>1543</v>
      </c>
      <c r="E449" s="32">
        <f>IF(OR(D449="-",D449="",D449=0),IF(C449="-","-",C449),C449-D449)</f>
        <v>45</v>
      </c>
      <c r="F449" s="36">
        <f>IFERROR(IF(C449&gt;0, D449/C449, 0),"-")</f>
        <v>0.97166246851385385</v>
      </c>
      <c r="G449" s="32">
        <v>12</v>
      </c>
      <c r="H449" s="32">
        <v>3</v>
      </c>
      <c r="I449" s="32">
        <f>IF(OR(H449="-",H449="",H449=0),IF(G449="-","-",G449),G449-H449)</f>
        <v>9</v>
      </c>
      <c r="J449" s="36">
        <f>IFERROR(IF(G449&gt;0, H449/G449, 0),"-")</f>
        <v>0.25</v>
      </c>
      <c r="K449" s="32">
        <v>6</v>
      </c>
      <c r="L449" s="32">
        <v>4</v>
      </c>
      <c r="M449" s="32">
        <f>IF(OR(L449="-",L449="",L449=0),IF(K449="-","-",K449),K449-L449)</f>
        <v>2</v>
      </c>
      <c r="N449" s="36">
        <f>IFERROR(IF(K449&gt;0, L449/K449, 0),"-")</f>
        <v>0.66666666666666663</v>
      </c>
      <c r="O449" s="32">
        <v>9</v>
      </c>
      <c r="P449" s="32">
        <v>1</v>
      </c>
      <c r="Q449" s="32">
        <f>IF(OR(P449="-",P449="",P449=0),IF(O449="-","-",O449),O449-P449)</f>
        <v>8</v>
      </c>
      <c r="R449" s="36">
        <f>IFERROR(IF(O449&gt;0, P449/O449, 0),"-")</f>
        <v>0.1111111111111111</v>
      </c>
      <c r="S449" s="32">
        <v>1496</v>
      </c>
      <c r="T449" s="32">
        <v>48</v>
      </c>
      <c r="U449" s="32">
        <v>71435</v>
      </c>
      <c r="V449" s="32">
        <v>6</v>
      </c>
      <c r="W449" s="32">
        <v>135825</v>
      </c>
    </row>
    <row r="450" spans="1:23" x14ac:dyDescent="0.2">
      <c r="A450" s="30" t="s">
        <v>651</v>
      </c>
      <c r="B450" s="30" t="s">
        <v>1162</v>
      </c>
      <c r="C450" s="34">
        <v>228</v>
      </c>
      <c r="D450" s="35">
        <v>223</v>
      </c>
      <c r="E450" s="34">
        <f>IF(OR(D450="-",D450="",D450=0),IF(C450="-","-",C450),C450-D450)</f>
        <v>5</v>
      </c>
      <c r="F450" s="4">
        <f>IFERROR(IF(C450&gt;0, D450/C450, 0),"-")</f>
        <v>0.97807017543859653</v>
      </c>
      <c r="G450" s="34">
        <v>3</v>
      </c>
      <c r="H450" s="35" t="s">
        <v>959</v>
      </c>
      <c r="I450" s="34">
        <f>IF(OR(H450="-",H450="",H450=0),IF(G450="-","-",G450),G450-H450)</f>
        <v>3</v>
      </c>
      <c r="J450" s="4" t="str">
        <f>IFERROR(IF(G450&gt;0, H450/G450, 0),"-")</f>
        <v>-</v>
      </c>
      <c r="K450" s="34">
        <v>1</v>
      </c>
      <c r="L450" s="35">
        <v>1</v>
      </c>
      <c r="M450" s="34">
        <f>IF(OR(L450="-",L450="",L450=0),IF(K450="-","-",K450),K450-L450)</f>
        <v>0</v>
      </c>
      <c r="N450" s="4">
        <f>IFERROR(IF(K450&gt;0, L450/K450, 0),"-")</f>
        <v>1</v>
      </c>
      <c r="O450" s="34">
        <v>3</v>
      </c>
      <c r="P450" s="35" t="s">
        <v>959</v>
      </c>
      <c r="Q450" s="34">
        <f>IF(OR(P450="-",P450="",P450=0),IF(O450="-","-",O450),O450-P450)</f>
        <v>3</v>
      </c>
      <c r="R450" s="4" t="str">
        <f>IFERROR(IF(O450&gt;0, P450/O450, 0),"-")</f>
        <v>-</v>
      </c>
      <c r="S450" s="34">
        <v>176</v>
      </c>
      <c r="T450" s="34">
        <v>9</v>
      </c>
      <c r="U450" s="34">
        <v>8550</v>
      </c>
      <c r="V450" s="35">
        <v>2</v>
      </c>
      <c r="W450" s="35">
        <v>35719</v>
      </c>
    </row>
    <row r="451" spans="1:23" x14ac:dyDescent="0.2">
      <c r="A451" s="30" t="s">
        <v>653</v>
      </c>
      <c r="B451" s="30" t="s">
        <v>1163</v>
      </c>
      <c r="C451" s="34">
        <v>179</v>
      </c>
      <c r="D451" s="35">
        <v>177</v>
      </c>
      <c r="E451" s="34">
        <f>IF(OR(D451="-",D451="",D451=0),IF(C451="-","-",C451),C451-D451)</f>
        <v>2</v>
      </c>
      <c r="F451" s="4">
        <f>IFERROR(IF(C451&gt;0, D451/C451, 0),"-")</f>
        <v>0.98882681564245811</v>
      </c>
      <c r="G451" s="34">
        <v>1</v>
      </c>
      <c r="H451" s="35" t="s">
        <v>959</v>
      </c>
      <c r="I451" s="34">
        <f>IF(OR(H451="-",H451="",H451=0),IF(G451="-","-",G451),G451-H451)</f>
        <v>1</v>
      </c>
      <c r="J451" s="4" t="str">
        <f>IFERROR(IF(G451&gt;0, H451/G451, 0),"-")</f>
        <v>-</v>
      </c>
      <c r="K451" s="34" t="s">
        <v>959</v>
      </c>
      <c r="L451" s="35" t="s">
        <v>959</v>
      </c>
      <c r="M451" s="34" t="str">
        <f>IF(OR(L451="-",L451="",L451=0),IF(K451="-","-",K451),K451-L451)</f>
        <v>-</v>
      </c>
      <c r="N451" s="4" t="str">
        <f>IFERROR(IF(K451&gt;0, L451/K451, 0),"-")</f>
        <v>-</v>
      </c>
      <c r="O451" s="34">
        <v>4</v>
      </c>
      <c r="P451" s="35">
        <v>1</v>
      </c>
      <c r="Q451" s="34">
        <f>IF(OR(P451="-",P451="",P451=0),IF(O451="-","-",O451),O451-P451)</f>
        <v>3</v>
      </c>
      <c r="R451" s="4">
        <f>IFERROR(IF(O451&gt;0, P451/O451, 0),"-")</f>
        <v>0.25</v>
      </c>
      <c r="S451" s="34">
        <v>148</v>
      </c>
      <c r="T451" s="34">
        <v>6</v>
      </c>
      <c r="U451" s="34">
        <v>7300</v>
      </c>
      <c r="V451" s="35">
        <v>1</v>
      </c>
      <c r="W451" s="35">
        <v>30601</v>
      </c>
    </row>
    <row r="452" spans="1:23" x14ac:dyDescent="0.2">
      <c r="A452" s="30" t="s">
        <v>655</v>
      </c>
      <c r="B452" s="30" t="s">
        <v>1164</v>
      </c>
      <c r="C452" s="34">
        <v>70</v>
      </c>
      <c r="D452" s="35">
        <v>67</v>
      </c>
      <c r="E452" s="34">
        <f>IF(OR(D452="-",D452="",D452=0),IF(C452="-","-",C452),C452-D452)</f>
        <v>3</v>
      </c>
      <c r="F452" s="4">
        <f>IFERROR(IF(C452&gt;0, D452/C452, 0),"-")</f>
        <v>0.95714285714285718</v>
      </c>
      <c r="G452" s="34" t="s">
        <v>959</v>
      </c>
      <c r="H452" s="35" t="s">
        <v>959</v>
      </c>
      <c r="I452" s="34" t="str">
        <f>IF(OR(H452="-",H452="",H452=0),IF(G452="-","-",G452),G452-H452)</f>
        <v>-</v>
      </c>
      <c r="J452" s="4" t="str">
        <f>IFERROR(IF(G452&gt;0, H452/G452, 0),"-")</f>
        <v>-</v>
      </c>
      <c r="K452" s="34" t="s">
        <v>959</v>
      </c>
      <c r="L452" s="35" t="s">
        <v>959</v>
      </c>
      <c r="M452" s="34" t="str">
        <f>IF(OR(L452="-",L452="",L452=0),IF(K452="-","-",K452),K452-L452)</f>
        <v>-</v>
      </c>
      <c r="N452" s="4" t="str">
        <f>IFERROR(IF(K452&gt;0, L452/K452, 0),"-")</f>
        <v>-</v>
      </c>
      <c r="O452" s="34" t="s">
        <v>959</v>
      </c>
      <c r="P452" s="35" t="s">
        <v>959</v>
      </c>
      <c r="Q452" s="34" t="str">
        <f>IF(OR(P452="-",P452="",P452=0),IF(O452="-","-",O452),O452-P452)</f>
        <v>-</v>
      </c>
      <c r="R452" s="4" t="str">
        <f>IFERROR(IF(O452&gt;0, P452/O452, 0),"-")</f>
        <v>-</v>
      </c>
      <c r="S452" s="34">
        <v>2</v>
      </c>
      <c r="T452" s="34" t="s">
        <v>959</v>
      </c>
      <c r="U452" s="34" t="s">
        <v>959</v>
      </c>
      <c r="V452" s="35" t="s">
        <v>959</v>
      </c>
      <c r="W452" s="35" t="s">
        <v>959</v>
      </c>
    </row>
    <row r="453" spans="1:23" x14ac:dyDescent="0.2">
      <c r="A453" s="30" t="s">
        <v>652</v>
      </c>
      <c r="B453" s="30" t="s">
        <v>1165</v>
      </c>
      <c r="C453" s="34">
        <v>206</v>
      </c>
      <c r="D453" s="35">
        <v>200</v>
      </c>
      <c r="E453" s="34">
        <f>IF(OR(D453="-",D453="",D453=0),IF(C453="-","-",C453),C453-D453)</f>
        <v>6</v>
      </c>
      <c r="F453" s="4">
        <f>IFERROR(IF(C453&gt;0, D453/C453, 0),"-")</f>
        <v>0.970873786407767</v>
      </c>
      <c r="G453" s="34">
        <v>2</v>
      </c>
      <c r="H453" s="35" t="s">
        <v>959</v>
      </c>
      <c r="I453" s="34">
        <f>IF(OR(H453="-",H453="",H453=0),IF(G453="-","-",G453),G453-H453)</f>
        <v>2</v>
      </c>
      <c r="J453" s="4" t="str">
        <f>IFERROR(IF(G453&gt;0, H453/G453, 0),"-")</f>
        <v>-</v>
      </c>
      <c r="K453" s="34" t="s">
        <v>959</v>
      </c>
      <c r="L453" s="35" t="s">
        <v>959</v>
      </c>
      <c r="M453" s="34" t="str">
        <f>IF(OR(L453="-",L453="",L453=0),IF(K453="-","-",K453),K453-L453)</f>
        <v>-</v>
      </c>
      <c r="N453" s="4" t="str">
        <f>IFERROR(IF(K453&gt;0, L453/K453, 0),"-")</f>
        <v>-</v>
      </c>
      <c r="O453" s="34" t="s">
        <v>959</v>
      </c>
      <c r="P453" s="35" t="s">
        <v>959</v>
      </c>
      <c r="Q453" s="34" t="str">
        <f>IF(OR(P453="-",P453="",P453=0),IF(O453="-","-",O453),O453-P453)</f>
        <v>-</v>
      </c>
      <c r="R453" s="4" t="str">
        <f>IFERROR(IF(O453&gt;0, P453/O453, 0),"-")</f>
        <v>-</v>
      </c>
      <c r="S453" s="34">
        <v>179</v>
      </c>
      <c r="T453" s="34">
        <v>3</v>
      </c>
      <c r="U453" s="34">
        <v>11395</v>
      </c>
      <c r="V453" s="35" t="s">
        <v>959</v>
      </c>
      <c r="W453" s="35" t="s">
        <v>959</v>
      </c>
    </row>
    <row r="454" spans="1:23" x14ac:dyDescent="0.2">
      <c r="A454" s="30" t="s">
        <v>654</v>
      </c>
      <c r="B454" s="30" t="s">
        <v>1166</v>
      </c>
      <c r="C454" s="34">
        <v>232</v>
      </c>
      <c r="D454" s="35">
        <v>223</v>
      </c>
      <c r="E454" s="34">
        <f>IF(OR(D454="-",D454="",D454=0),IF(C454="-","-",C454),C454-D454)</f>
        <v>9</v>
      </c>
      <c r="F454" s="4">
        <f>IFERROR(IF(C454&gt;0, D454/C454, 0),"-")</f>
        <v>0.96120689655172409</v>
      </c>
      <c r="G454" s="34" t="s">
        <v>959</v>
      </c>
      <c r="H454" s="35" t="s">
        <v>959</v>
      </c>
      <c r="I454" s="34" t="str">
        <f>IF(OR(H454="-",H454="",H454=0),IF(G454="-","-",G454),G454-H454)</f>
        <v>-</v>
      </c>
      <c r="J454" s="4" t="str">
        <f>IFERROR(IF(G454&gt;0, H454/G454, 0),"-")</f>
        <v>-</v>
      </c>
      <c r="K454" s="34">
        <v>3</v>
      </c>
      <c r="L454" s="35">
        <v>2</v>
      </c>
      <c r="M454" s="34">
        <f>IF(OR(L454="-",L454="",L454=0),IF(K454="-","-",K454),K454-L454)</f>
        <v>1</v>
      </c>
      <c r="N454" s="4">
        <f>IFERROR(IF(K454&gt;0, L454/K454, 0),"-")</f>
        <v>0.66666666666666663</v>
      </c>
      <c r="O454" s="34" t="s">
        <v>959</v>
      </c>
      <c r="P454" s="35" t="s">
        <v>959</v>
      </c>
      <c r="Q454" s="34" t="str">
        <f>IF(OR(P454="-",P454="",P454=0),IF(O454="-","-",O454),O454-P454)</f>
        <v>-</v>
      </c>
      <c r="R454" s="4" t="str">
        <f>IFERROR(IF(O454&gt;0, P454/O454, 0),"-")</f>
        <v>-</v>
      </c>
      <c r="S454" s="34">
        <v>35</v>
      </c>
      <c r="T454" s="34">
        <v>3</v>
      </c>
      <c r="U454" s="34">
        <v>6360</v>
      </c>
      <c r="V454" s="35" t="s">
        <v>959</v>
      </c>
      <c r="W454" s="35" t="s">
        <v>959</v>
      </c>
    </row>
    <row r="455" spans="1:23" x14ac:dyDescent="0.2">
      <c r="A455" s="30" t="s">
        <v>647</v>
      </c>
      <c r="B455" s="30" t="s">
        <v>1167</v>
      </c>
      <c r="C455" s="34">
        <v>206</v>
      </c>
      <c r="D455" s="35">
        <v>199</v>
      </c>
      <c r="E455" s="34">
        <f>IF(OR(D455="-",D455="",D455=0),IF(C455="-","-",C455),C455-D455)</f>
        <v>7</v>
      </c>
      <c r="F455" s="4">
        <f>IFERROR(IF(C455&gt;0, D455/C455, 0),"-")</f>
        <v>0.96601941747572817</v>
      </c>
      <c r="G455" s="34">
        <v>1</v>
      </c>
      <c r="H455" s="35" t="s">
        <v>959</v>
      </c>
      <c r="I455" s="34">
        <f>IF(OR(H455="-",H455="",H455=0),IF(G455="-","-",G455),G455-H455)</f>
        <v>1</v>
      </c>
      <c r="J455" s="4" t="str">
        <f>IFERROR(IF(G455&gt;0, H455/G455, 0),"-")</f>
        <v>-</v>
      </c>
      <c r="K455" s="34" t="s">
        <v>959</v>
      </c>
      <c r="L455" s="35" t="s">
        <v>959</v>
      </c>
      <c r="M455" s="34" t="str">
        <f>IF(OR(L455="-",L455="",L455=0),IF(K455="-","-",K455),K455-L455)</f>
        <v>-</v>
      </c>
      <c r="N455" s="4" t="str">
        <f>IFERROR(IF(K455&gt;0, L455/K455, 0),"-")</f>
        <v>-</v>
      </c>
      <c r="O455" s="34">
        <v>2</v>
      </c>
      <c r="P455" s="35" t="s">
        <v>959</v>
      </c>
      <c r="Q455" s="34">
        <f>IF(OR(P455="-",P455="",P455=0),IF(O455="-","-",O455),O455-P455)</f>
        <v>2</v>
      </c>
      <c r="R455" s="4" t="str">
        <f>IFERROR(IF(O455&gt;0, P455/O455, 0),"-")</f>
        <v>-</v>
      </c>
      <c r="S455" s="34">
        <v>109</v>
      </c>
      <c r="T455" s="34">
        <v>11</v>
      </c>
      <c r="U455" s="34">
        <v>11960</v>
      </c>
      <c r="V455" s="35" t="s">
        <v>959</v>
      </c>
      <c r="W455" s="35" t="s">
        <v>959</v>
      </c>
    </row>
    <row r="456" spans="1:23" x14ac:dyDescent="0.2">
      <c r="A456" s="30" t="s">
        <v>650</v>
      </c>
      <c r="B456" s="30" t="s">
        <v>1168</v>
      </c>
      <c r="C456" s="34">
        <v>183</v>
      </c>
      <c r="D456" s="35">
        <v>173</v>
      </c>
      <c r="E456" s="34">
        <f>IF(OR(D456="-",D456="",D456=0),IF(C456="-","-",C456),C456-D456)</f>
        <v>10</v>
      </c>
      <c r="F456" s="4">
        <f>IFERROR(IF(C456&gt;0, D456/C456, 0),"-")</f>
        <v>0.94535519125683065</v>
      </c>
      <c r="G456" s="34">
        <v>3</v>
      </c>
      <c r="H456" s="35">
        <v>2</v>
      </c>
      <c r="I456" s="34">
        <f>IF(OR(H456="-",H456="",H456=0),IF(G456="-","-",G456),G456-H456)</f>
        <v>1</v>
      </c>
      <c r="J456" s="4">
        <f>IFERROR(IF(G456&gt;0, H456/G456, 0),"-")</f>
        <v>0.66666666666666663</v>
      </c>
      <c r="K456" s="34">
        <v>2</v>
      </c>
      <c r="L456" s="35">
        <v>1</v>
      </c>
      <c r="M456" s="34">
        <f>IF(OR(L456="-",L456="",L456=0),IF(K456="-","-",K456),K456-L456)</f>
        <v>1</v>
      </c>
      <c r="N456" s="4">
        <f>IFERROR(IF(K456&gt;0, L456/K456, 0),"-")</f>
        <v>0.5</v>
      </c>
      <c r="O456" s="34" t="s">
        <v>959</v>
      </c>
      <c r="P456" s="35" t="s">
        <v>959</v>
      </c>
      <c r="Q456" s="34" t="str">
        <f>IF(OR(P456="-",P456="",P456=0),IF(O456="-","-",O456),O456-P456)</f>
        <v>-</v>
      </c>
      <c r="R456" s="4" t="str">
        <f>IFERROR(IF(O456&gt;0, P456/O456, 0),"-")</f>
        <v>-</v>
      </c>
      <c r="S456" s="34">
        <v>183</v>
      </c>
      <c r="T456" s="34">
        <v>4</v>
      </c>
      <c r="U456" s="34">
        <v>8145</v>
      </c>
      <c r="V456" s="35">
        <v>3</v>
      </c>
      <c r="W456" s="35">
        <v>69505</v>
      </c>
    </row>
    <row r="457" spans="1:23" x14ac:dyDescent="0.2">
      <c r="A457" s="30" t="s">
        <v>648</v>
      </c>
      <c r="B457" s="30" t="s">
        <v>1169</v>
      </c>
      <c r="C457" s="34">
        <v>176</v>
      </c>
      <c r="D457" s="35">
        <v>174</v>
      </c>
      <c r="E457" s="34">
        <f>IF(OR(D457="-",D457="",D457=0),IF(C457="-","-",C457),C457-D457)</f>
        <v>2</v>
      </c>
      <c r="F457" s="4">
        <f>IFERROR(IF(C457&gt;0, D457/C457, 0),"-")</f>
        <v>0.98863636363636365</v>
      </c>
      <c r="G457" s="34">
        <v>2</v>
      </c>
      <c r="H457" s="35">
        <v>1</v>
      </c>
      <c r="I457" s="34">
        <f>IF(OR(H457="-",H457="",H457=0),IF(G457="-","-",G457),G457-H457)</f>
        <v>1</v>
      </c>
      <c r="J457" s="4">
        <f>IFERROR(IF(G457&gt;0, H457/G457, 0),"-")</f>
        <v>0.5</v>
      </c>
      <c r="K457" s="34" t="s">
        <v>959</v>
      </c>
      <c r="L457" s="35" t="s">
        <v>959</v>
      </c>
      <c r="M457" s="34" t="str">
        <f>IF(OR(L457="-",L457="",L457=0),IF(K457="-","-",K457),K457-L457)</f>
        <v>-</v>
      </c>
      <c r="N457" s="4" t="str">
        <f>IFERROR(IF(K457&gt;0, L457/K457, 0),"-")</f>
        <v>-</v>
      </c>
      <c r="O457" s="34" t="s">
        <v>959</v>
      </c>
      <c r="P457" s="35" t="s">
        <v>959</v>
      </c>
      <c r="Q457" s="34" t="str">
        <f>IF(OR(P457="-",P457="",P457=0),IF(O457="-","-",O457),O457-P457)</f>
        <v>-</v>
      </c>
      <c r="R457" s="4" t="str">
        <f>IFERROR(IF(O457&gt;0, P457/O457, 0),"-")</f>
        <v>-</v>
      </c>
      <c r="S457" s="34">
        <v>135</v>
      </c>
      <c r="T457" s="34">
        <v>9</v>
      </c>
      <c r="U457" s="34">
        <v>12525</v>
      </c>
      <c r="V457" s="35" t="s">
        <v>959</v>
      </c>
      <c r="W457" s="35" t="s">
        <v>959</v>
      </c>
    </row>
    <row r="458" spans="1:23" x14ac:dyDescent="0.2">
      <c r="A458" s="30" t="s">
        <v>649</v>
      </c>
      <c r="B458" s="30" t="s">
        <v>1170</v>
      </c>
      <c r="C458" s="34">
        <v>108</v>
      </c>
      <c r="D458" s="35">
        <v>107</v>
      </c>
      <c r="E458" s="34">
        <f>IF(OR(D458="-",D458="",D458=0),IF(C458="-","-",C458),C458-D458)</f>
        <v>1</v>
      </c>
      <c r="F458" s="4">
        <f>IFERROR(IF(C458&gt;0, D458/C458, 0),"-")</f>
        <v>0.9907407407407407</v>
      </c>
      <c r="G458" s="34" t="s">
        <v>959</v>
      </c>
      <c r="H458" s="35" t="s">
        <v>959</v>
      </c>
      <c r="I458" s="34" t="str">
        <f>IF(OR(H458="-",H458="",H458=0),IF(G458="-","-",G458),G458-H458)</f>
        <v>-</v>
      </c>
      <c r="J458" s="4" t="str">
        <f>IFERROR(IF(G458&gt;0, H458/G458, 0),"-")</f>
        <v>-</v>
      </c>
      <c r="K458" s="34" t="s">
        <v>959</v>
      </c>
      <c r="L458" s="35" t="s">
        <v>959</v>
      </c>
      <c r="M458" s="34" t="str">
        <f>IF(OR(L458="-",L458="",L458=0),IF(K458="-","-",K458),K458-L458)</f>
        <v>-</v>
      </c>
      <c r="N458" s="4" t="str">
        <f>IFERROR(IF(K458&gt;0, L458/K458, 0),"-")</f>
        <v>-</v>
      </c>
      <c r="O458" s="34" t="s">
        <v>959</v>
      </c>
      <c r="P458" s="35" t="s">
        <v>959</v>
      </c>
      <c r="Q458" s="34" t="str">
        <f>IF(OR(P458="-",P458="",P458=0),IF(O458="-","-",O458),O458-P458)</f>
        <v>-</v>
      </c>
      <c r="R458" s="4" t="str">
        <f>IFERROR(IF(O458&gt;0, P458/O458, 0),"-")</f>
        <v>-</v>
      </c>
      <c r="S458" s="34">
        <v>529</v>
      </c>
      <c r="T458" s="34">
        <v>3</v>
      </c>
      <c r="U458" s="34">
        <v>5200</v>
      </c>
      <c r="V458" s="35" t="s">
        <v>959</v>
      </c>
      <c r="W458" s="35" t="s">
        <v>959</v>
      </c>
    </row>
    <row r="459" spans="1:23" x14ac:dyDescent="0.2">
      <c r="A459" s="29"/>
      <c r="B459" s="29" t="s">
        <v>65</v>
      </c>
      <c r="C459" s="32">
        <v>853</v>
      </c>
      <c r="D459" s="32">
        <v>838</v>
      </c>
      <c r="E459" s="32">
        <f>IF(OR(D459="-",D459="",D459=0),IF(C459="-","-",C459),C459-D459)</f>
        <v>15</v>
      </c>
      <c r="F459" s="36">
        <f>IFERROR(IF(C459&gt;0, D459/C459, 0),"-")</f>
        <v>0.98241500586166475</v>
      </c>
      <c r="G459" s="32">
        <v>8</v>
      </c>
      <c r="H459" s="32">
        <v>4</v>
      </c>
      <c r="I459" s="32">
        <f>IF(OR(H459="-",H459="",H459=0),IF(G459="-","-",G459),G459-H459)</f>
        <v>4</v>
      </c>
      <c r="J459" s="36">
        <f>IFERROR(IF(G459&gt;0, H459/G459, 0),"-")</f>
        <v>0.5</v>
      </c>
      <c r="K459" s="32">
        <v>11</v>
      </c>
      <c r="L459" s="32">
        <v>3</v>
      </c>
      <c r="M459" s="32">
        <f>IF(OR(L459="-",L459="",L459=0),IF(K459="-","-",K459),K459-L459)</f>
        <v>8</v>
      </c>
      <c r="N459" s="36">
        <f>IFERROR(IF(K459&gt;0, L459/K459, 0),"-")</f>
        <v>0.27272727272727271</v>
      </c>
      <c r="O459" s="32">
        <v>13</v>
      </c>
      <c r="P459" s="32">
        <v>4</v>
      </c>
      <c r="Q459" s="32">
        <f>IF(OR(P459="-",P459="",P459=0),IF(O459="-","-",O459),O459-P459)</f>
        <v>9</v>
      </c>
      <c r="R459" s="36">
        <f>IFERROR(IF(O459&gt;0, P459/O459, 0),"-")</f>
        <v>0.30769230769230771</v>
      </c>
      <c r="S459" s="32">
        <v>873</v>
      </c>
      <c r="T459" s="32">
        <v>13</v>
      </c>
      <c r="U459" s="32">
        <v>62325</v>
      </c>
      <c r="V459" s="32">
        <v>4</v>
      </c>
      <c r="W459" s="32">
        <v>126978</v>
      </c>
    </row>
    <row r="460" spans="1:23" x14ac:dyDescent="0.2">
      <c r="A460" s="30" t="s">
        <v>416</v>
      </c>
      <c r="B460" s="30" t="s">
        <v>1171</v>
      </c>
      <c r="C460" s="34">
        <v>213</v>
      </c>
      <c r="D460" s="35">
        <v>209</v>
      </c>
      <c r="E460" s="34">
        <f>IF(OR(D460="-",D460="",D460=0),IF(C460="-","-",C460),C460-D460)</f>
        <v>4</v>
      </c>
      <c r="F460" s="4">
        <f>IFERROR(IF(C460&gt;0, D460/C460, 0),"-")</f>
        <v>0.98122065727699526</v>
      </c>
      <c r="G460" s="34">
        <v>3</v>
      </c>
      <c r="H460" s="35">
        <v>2</v>
      </c>
      <c r="I460" s="34">
        <f>IF(OR(H460="-",H460="",H460=0),IF(G460="-","-",G460),G460-H460)</f>
        <v>1</v>
      </c>
      <c r="J460" s="4">
        <f>IFERROR(IF(G460&gt;0, H460/G460, 0),"-")</f>
        <v>0.66666666666666663</v>
      </c>
      <c r="K460" s="34">
        <v>1</v>
      </c>
      <c r="L460" s="35" t="s">
        <v>959</v>
      </c>
      <c r="M460" s="34">
        <f>IF(OR(L460="-",L460="",L460=0),IF(K460="-","-",K460),K460-L460)</f>
        <v>1</v>
      </c>
      <c r="N460" s="4" t="str">
        <f>IFERROR(IF(K460&gt;0, L460/K460, 0),"-")</f>
        <v>-</v>
      </c>
      <c r="O460" s="34">
        <v>1</v>
      </c>
      <c r="P460" s="35">
        <v>1</v>
      </c>
      <c r="Q460" s="34">
        <f>IF(OR(P460="-",P460="",P460=0),IF(O460="-","-",O460),O460-P460)</f>
        <v>0</v>
      </c>
      <c r="R460" s="4">
        <f>IFERROR(IF(O460&gt;0, P460/O460, 0),"-")</f>
        <v>1</v>
      </c>
      <c r="S460" s="34">
        <v>157</v>
      </c>
      <c r="T460" s="34">
        <v>4</v>
      </c>
      <c r="U460" s="34">
        <v>10695</v>
      </c>
      <c r="V460" s="35">
        <v>3</v>
      </c>
      <c r="W460" s="35">
        <v>69840</v>
      </c>
    </row>
    <row r="461" spans="1:23" x14ac:dyDescent="0.2">
      <c r="A461" s="30" t="s">
        <v>417</v>
      </c>
      <c r="B461" s="30" t="s">
        <v>1172</v>
      </c>
      <c r="C461" s="34">
        <v>113</v>
      </c>
      <c r="D461" s="35">
        <v>108</v>
      </c>
      <c r="E461" s="34">
        <f>IF(OR(D461="-",D461="",D461=0),IF(C461="-","-",C461),C461-D461)</f>
        <v>5</v>
      </c>
      <c r="F461" s="4">
        <f>IFERROR(IF(C461&gt;0, D461/C461, 0),"-")</f>
        <v>0.95575221238938057</v>
      </c>
      <c r="G461" s="34">
        <v>2</v>
      </c>
      <c r="H461" s="35">
        <v>2</v>
      </c>
      <c r="I461" s="34">
        <f>IF(OR(H461="-",H461="",H461=0),IF(G461="-","-",G461),G461-H461)</f>
        <v>0</v>
      </c>
      <c r="J461" s="4">
        <f>IFERROR(IF(G461&gt;0, H461/G461, 0),"-")</f>
        <v>1</v>
      </c>
      <c r="K461" s="34">
        <v>2</v>
      </c>
      <c r="L461" s="35">
        <v>1</v>
      </c>
      <c r="M461" s="34">
        <f>IF(OR(L461="-",L461="",L461=0),IF(K461="-","-",K461),K461-L461)</f>
        <v>1</v>
      </c>
      <c r="N461" s="4">
        <f>IFERROR(IF(K461&gt;0, L461/K461, 0),"-")</f>
        <v>0.5</v>
      </c>
      <c r="O461" s="34">
        <v>5</v>
      </c>
      <c r="P461" s="35">
        <v>1</v>
      </c>
      <c r="Q461" s="34">
        <f>IF(OR(P461="-",P461="",P461=0),IF(O461="-","-",O461),O461-P461)</f>
        <v>4</v>
      </c>
      <c r="R461" s="4">
        <f>IFERROR(IF(O461&gt;0, P461/O461, 0),"-")</f>
        <v>0.2</v>
      </c>
      <c r="S461" s="34">
        <v>228</v>
      </c>
      <c r="T461" s="34">
        <v>3</v>
      </c>
      <c r="U461" s="34">
        <v>10735</v>
      </c>
      <c r="V461" s="35" t="s">
        <v>959</v>
      </c>
      <c r="W461" s="35" t="s">
        <v>959</v>
      </c>
    </row>
    <row r="462" spans="1:23" x14ac:dyDescent="0.2">
      <c r="A462" s="30" t="s">
        <v>419</v>
      </c>
      <c r="B462" s="30" t="s">
        <v>1173</v>
      </c>
      <c r="C462" s="34">
        <v>125</v>
      </c>
      <c r="D462" s="35">
        <v>122</v>
      </c>
      <c r="E462" s="34">
        <f>IF(OR(D462="-",D462="",D462=0),IF(C462="-","-",C462),C462-D462)</f>
        <v>3</v>
      </c>
      <c r="F462" s="4">
        <f>IFERROR(IF(C462&gt;0, D462/C462, 0),"-")</f>
        <v>0.97599999999999998</v>
      </c>
      <c r="G462" s="34" t="s">
        <v>959</v>
      </c>
      <c r="H462" s="35" t="s">
        <v>959</v>
      </c>
      <c r="I462" s="34" t="str">
        <f>IF(OR(H462="-",H462="",H462=0),IF(G462="-","-",G462),G462-H462)</f>
        <v>-</v>
      </c>
      <c r="J462" s="4" t="str">
        <f>IFERROR(IF(G462&gt;0, H462/G462, 0),"-")</f>
        <v>-</v>
      </c>
      <c r="K462" s="34">
        <v>1</v>
      </c>
      <c r="L462" s="35" t="s">
        <v>959</v>
      </c>
      <c r="M462" s="34">
        <f>IF(OR(L462="-",L462="",L462=0),IF(K462="-","-",K462),K462-L462)</f>
        <v>1</v>
      </c>
      <c r="N462" s="4" t="str">
        <f>IFERROR(IF(K462&gt;0, L462/K462, 0),"-")</f>
        <v>-</v>
      </c>
      <c r="O462" s="34">
        <v>2</v>
      </c>
      <c r="P462" s="35">
        <v>1</v>
      </c>
      <c r="Q462" s="34">
        <f>IF(OR(P462="-",P462="",P462=0),IF(O462="-","-",O462),O462-P462)</f>
        <v>1</v>
      </c>
      <c r="R462" s="4">
        <f>IFERROR(IF(O462&gt;0, P462/O462, 0),"-")</f>
        <v>0.5</v>
      </c>
      <c r="S462" s="34">
        <v>200</v>
      </c>
      <c r="T462" s="34">
        <v>1</v>
      </c>
      <c r="U462" s="34">
        <v>2000</v>
      </c>
      <c r="V462" s="35" t="s">
        <v>959</v>
      </c>
      <c r="W462" s="35" t="s">
        <v>959</v>
      </c>
    </row>
    <row r="463" spans="1:23" x14ac:dyDescent="0.2">
      <c r="A463" s="30" t="s">
        <v>418</v>
      </c>
      <c r="B463" s="30" t="s">
        <v>1174</v>
      </c>
      <c r="C463" s="34">
        <v>219</v>
      </c>
      <c r="D463" s="35">
        <v>216</v>
      </c>
      <c r="E463" s="34">
        <f>IF(OR(D463="-",D463="",D463=0),IF(C463="-","-",C463),C463-D463)</f>
        <v>3</v>
      </c>
      <c r="F463" s="4">
        <f>IFERROR(IF(C463&gt;0, D463/C463, 0),"-")</f>
        <v>0.98630136986301364</v>
      </c>
      <c r="G463" s="34">
        <v>2</v>
      </c>
      <c r="H463" s="35" t="s">
        <v>959</v>
      </c>
      <c r="I463" s="34">
        <f>IF(OR(H463="-",H463="",H463=0),IF(G463="-","-",G463),G463-H463)</f>
        <v>2</v>
      </c>
      <c r="J463" s="4" t="str">
        <f>IFERROR(IF(G463&gt;0, H463/G463, 0),"-")</f>
        <v>-</v>
      </c>
      <c r="K463" s="34">
        <v>5</v>
      </c>
      <c r="L463" s="35">
        <v>1</v>
      </c>
      <c r="M463" s="34">
        <f>IF(OR(L463="-",L463="",L463=0),IF(K463="-","-",K463),K463-L463)</f>
        <v>4</v>
      </c>
      <c r="N463" s="4">
        <f>IFERROR(IF(K463&gt;0, L463/K463, 0),"-")</f>
        <v>0.2</v>
      </c>
      <c r="O463" s="34">
        <v>3</v>
      </c>
      <c r="P463" s="35" t="s">
        <v>959</v>
      </c>
      <c r="Q463" s="34">
        <f>IF(OR(P463="-",P463="",P463=0),IF(O463="-","-",O463),O463-P463)</f>
        <v>3</v>
      </c>
      <c r="R463" s="4" t="str">
        <f>IFERROR(IF(O463&gt;0, P463/O463, 0),"-")</f>
        <v>-</v>
      </c>
      <c r="S463" s="34">
        <v>102</v>
      </c>
      <c r="T463" s="34">
        <v>2</v>
      </c>
      <c r="U463" s="34">
        <v>14695</v>
      </c>
      <c r="V463" s="35" t="s">
        <v>959</v>
      </c>
      <c r="W463" s="35" t="s">
        <v>959</v>
      </c>
    </row>
    <row r="464" spans="1:23" x14ac:dyDescent="0.2">
      <c r="A464" s="30" t="s">
        <v>415</v>
      </c>
      <c r="B464" s="30" t="s">
        <v>1175</v>
      </c>
      <c r="C464" s="34">
        <v>183</v>
      </c>
      <c r="D464" s="35">
        <v>183</v>
      </c>
      <c r="E464" s="34">
        <f>IF(OR(D464="-",D464="",D464=0),IF(C464="-","-",C464),C464-D464)</f>
        <v>0</v>
      </c>
      <c r="F464" s="4">
        <f>IFERROR(IF(C464&gt;0, D464/C464, 0),"-")</f>
        <v>1</v>
      </c>
      <c r="G464" s="34">
        <v>1</v>
      </c>
      <c r="H464" s="35" t="s">
        <v>959</v>
      </c>
      <c r="I464" s="34">
        <f>IF(OR(H464="-",H464="",H464=0),IF(G464="-","-",G464),G464-H464)</f>
        <v>1</v>
      </c>
      <c r="J464" s="4" t="str">
        <f>IFERROR(IF(G464&gt;0, H464/G464, 0),"-")</f>
        <v>-</v>
      </c>
      <c r="K464" s="34">
        <v>2</v>
      </c>
      <c r="L464" s="35">
        <v>1</v>
      </c>
      <c r="M464" s="34">
        <f>IF(OR(L464="-",L464="",L464=0),IF(K464="-","-",K464),K464-L464)</f>
        <v>1</v>
      </c>
      <c r="N464" s="4">
        <f>IFERROR(IF(K464&gt;0, L464/K464, 0),"-")</f>
        <v>0.5</v>
      </c>
      <c r="O464" s="34">
        <v>2</v>
      </c>
      <c r="P464" s="35">
        <v>1</v>
      </c>
      <c r="Q464" s="34">
        <f>IF(OR(P464="-",P464="",P464=0),IF(O464="-","-",O464),O464-P464)</f>
        <v>1</v>
      </c>
      <c r="R464" s="4">
        <f>IFERROR(IF(O464&gt;0, P464/O464, 0),"-")</f>
        <v>0.5</v>
      </c>
      <c r="S464" s="34">
        <v>186</v>
      </c>
      <c r="T464" s="34">
        <v>3</v>
      </c>
      <c r="U464" s="34">
        <v>24200</v>
      </c>
      <c r="V464" s="35">
        <v>1</v>
      </c>
      <c r="W464" s="35">
        <v>57138</v>
      </c>
    </row>
    <row r="465" spans="1:23" x14ac:dyDescent="0.2">
      <c r="A465" s="29"/>
      <c r="B465" s="29" t="s">
        <v>87</v>
      </c>
      <c r="C465" s="32">
        <v>1091</v>
      </c>
      <c r="D465" s="32">
        <v>1072</v>
      </c>
      <c r="E465" s="32">
        <f>IF(OR(D465="-",D465="",D465=0),IF(C465="-","-",C465),C465-D465)</f>
        <v>19</v>
      </c>
      <c r="F465" s="36">
        <f>IFERROR(IF(C465&gt;0, D465/C465, 0),"-")</f>
        <v>0.98258478460128318</v>
      </c>
      <c r="G465" s="32">
        <v>15</v>
      </c>
      <c r="H465" s="32">
        <v>7</v>
      </c>
      <c r="I465" s="32">
        <f>IF(OR(H465="-",H465="",H465=0),IF(G465="-","-",G465),G465-H465)</f>
        <v>8</v>
      </c>
      <c r="J465" s="36">
        <f>IFERROR(IF(G465&gt;0, H465/G465, 0),"-")</f>
        <v>0.46666666666666667</v>
      </c>
      <c r="K465" s="32">
        <v>13</v>
      </c>
      <c r="L465" s="32">
        <v>3</v>
      </c>
      <c r="M465" s="32">
        <f>IF(OR(L465="-",L465="",L465=0),IF(K465="-","-",K465),K465-L465)</f>
        <v>10</v>
      </c>
      <c r="N465" s="36">
        <f>IFERROR(IF(K465&gt;0, L465/K465, 0),"-")</f>
        <v>0.23076923076923078</v>
      </c>
      <c r="O465" s="32">
        <v>14</v>
      </c>
      <c r="P465" s="32">
        <v>1</v>
      </c>
      <c r="Q465" s="32">
        <f>IF(OR(P465="-",P465="",P465=0),IF(O465="-","-",O465),O465-P465)</f>
        <v>13</v>
      </c>
      <c r="R465" s="36">
        <f>IFERROR(IF(O465&gt;0, P465/O465, 0),"-")</f>
        <v>7.1428571428571425E-2</v>
      </c>
      <c r="S465" s="32">
        <v>1352</v>
      </c>
      <c r="T465" s="32">
        <v>25</v>
      </c>
      <c r="U465" s="32">
        <v>83802</v>
      </c>
      <c r="V465" s="32">
        <v>33</v>
      </c>
      <c r="W465" s="32">
        <v>850484</v>
      </c>
    </row>
    <row r="466" spans="1:23" x14ac:dyDescent="0.2">
      <c r="A466" s="30" t="s">
        <v>591</v>
      </c>
      <c r="B466" s="30" t="s">
        <v>1176</v>
      </c>
      <c r="C466" s="34">
        <v>187</v>
      </c>
      <c r="D466" s="35">
        <v>185</v>
      </c>
      <c r="E466" s="34">
        <f>IF(OR(D466="-",D466="",D466=0),IF(C466="-","-",C466),C466-D466)</f>
        <v>2</v>
      </c>
      <c r="F466" s="4">
        <f>IFERROR(IF(C466&gt;0, D466/C466, 0),"-")</f>
        <v>0.98930481283422456</v>
      </c>
      <c r="G466" s="34" t="s">
        <v>959</v>
      </c>
      <c r="H466" s="35" t="s">
        <v>959</v>
      </c>
      <c r="I466" s="34" t="str">
        <f>IF(OR(H466="-",H466="",H466=0),IF(G466="-","-",G466),G466-H466)</f>
        <v>-</v>
      </c>
      <c r="J466" s="4" t="str">
        <f>IFERROR(IF(G466&gt;0, H466/G466, 0),"-")</f>
        <v>-</v>
      </c>
      <c r="K466" s="34">
        <v>1</v>
      </c>
      <c r="L466" s="35" t="s">
        <v>959</v>
      </c>
      <c r="M466" s="34">
        <f>IF(OR(L466="-",L466="",L466=0),IF(K466="-","-",K466),K466-L466)</f>
        <v>1</v>
      </c>
      <c r="N466" s="4" t="str">
        <f>IFERROR(IF(K466&gt;0, L466/K466, 0),"-")</f>
        <v>-</v>
      </c>
      <c r="O466" s="34">
        <v>4</v>
      </c>
      <c r="P466" s="35" t="s">
        <v>959</v>
      </c>
      <c r="Q466" s="34">
        <f>IF(OR(P466="-",P466="",P466=0),IF(O466="-","-",O466),O466-P466)</f>
        <v>4</v>
      </c>
      <c r="R466" s="4" t="str">
        <f>IFERROR(IF(O466&gt;0, P466/O466, 0),"-")</f>
        <v>-</v>
      </c>
      <c r="S466" s="34">
        <v>181</v>
      </c>
      <c r="T466" s="34">
        <v>2</v>
      </c>
      <c r="U466" s="34">
        <v>7000</v>
      </c>
      <c r="V466" s="35">
        <v>2</v>
      </c>
      <c r="W466" s="35">
        <v>45298</v>
      </c>
    </row>
    <row r="467" spans="1:23" x14ac:dyDescent="0.2">
      <c r="A467" s="30" t="s">
        <v>588</v>
      </c>
      <c r="B467" s="30" t="s">
        <v>1177</v>
      </c>
      <c r="C467" s="34">
        <v>188</v>
      </c>
      <c r="D467" s="35">
        <v>184</v>
      </c>
      <c r="E467" s="34">
        <f>IF(OR(D467="-",D467="",D467=0),IF(C467="-","-",C467),C467-D467)</f>
        <v>4</v>
      </c>
      <c r="F467" s="4">
        <f>IFERROR(IF(C467&gt;0, D467/C467, 0),"-")</f>
        <v>0.97872340425531912</v>
      </c>
      <c r="G467" s="34">
        <v>5</v>
      </c>
      <c r="H467" s="35">
        <v>3</v>
      </c>
      <c r="I467" s="34">
        <f>IF(OR(H467="-",H467="",H467=0),IF(G467="-","-",G467),G467-H467)</f>
        <v>2</v>
      </c>
      <c r="J467" s="4">
        <f>IFERROR(IF(G467&gt;0, H467/G467, 0),"-")</f>
        <v>0.6</v>
      </c>
      <c r="K467" s="34">
        <v>3</v>
      </c>
      <c r="L467" s="35">
        <v>1</v>
      </c>
      <c r="M467" s="34">
        <f>IF(OR(L467="-",L467="",L467=0),IF(K467="-","-",K467),K467-L467)</f>
        <v>2</v>
      </c>
      <c r="N467" s="4">
        <f>IFERROR(IF(K467&gt;0, L467/K467, 0),"-")</f>
        <v>0.33333333333333331</v>
      </c>
      <c r="O467" s="34">
        <v>3</v>
      </c>
      <c r="P467" s="35">
        <v>1</v>
      </c>
      <c r="Q467" s="34">
        <f>IF(OR(P467="-",P467="",P467=0),IF(O467="-","-",O467),O467-P467)</f>
        <v>2</v>
      </c>
      <c r="R467" s="4">
        <f>IFERROR(IF(O467&gt;0, P467/O467, 0),"-")</f>
        <v>0.33333333333333331</v>
      </c>
      <c r="S467" s="34">
        <v>295</v>
      </c>
      <c r="T467" s="34">
        <v>2</v>
      </c>
      <c r="U467" s="34">
        <v>6740</v>
      </c>
      <c r="V467" s="35">
        <v>7</v>
      </c>
      <c r="W467" s="35">
        <v>176693</v>
      </c>
    </row>
    <row r="468" spans="1:23" x14ac:dyDescent="0.2">
      <c r="A468" s="30" t="s">
        <v>586</v>
      </c>
      <c r="B468" s="30" t="s">
        <v>1178</v>
      </c>
      <c r="C468" s="34">
        <v>195</v>
      </c>
      <c r="D468" s="35">
        <v>191</v>
      </c>
      <c r="E468" s="34">
        <f>IF(OR(D468="-",D468="",D468=0),IF(C468="-","-",C468),C468-D468)</f>
        <v>4</v>
      </c>
      <c r="F468" s="4">
        <f>IFERROR(IF(C468&gt;0, D468/C468, 0),"-")</f>
        <v>0.97948717948717945</v>
      </c>
      <c r="G468" s="34">
        <v>3</v>
      </c>
      <c r="H468" s="35">
        <v>1</v>
      </c>
      <c r="I468" s="34">
        <f>IF(OR(H468="-",H468="",H468=0),IF(G468="-","-",G468),G468-H468)</f>
        <v>2</v>
      </c>
      <c r="J468" s="4">
        <f>IFERROR(IF(G468&gt;0, H468/G468, 0),"-")</f>
        <v>0.33333333333333331</v>
      </c>
      <c r="K468" s="34">
        <v>3</v>
      </c>
      <c r="L468" s="35" t="s">
        <v>959</v>
      </c>
      <c r="M468" s="34">
        <f>IF(OR(L468="-",L468="",L468=0),IF(K468="-","-",K468),K468-L468)</f>
        <v>3</v>
      </c>
      <c r="N468" s="4" t="str">
        <f>IFERROR(IF(K468&gt;0, L468/K468, 0),"-")</f>
        <v>-</v>
      </c>
      <c r="O468" s="34">
        <v>2</v>
      </c>
      <c r="P468" s="35" t="s">
        <v>959</v>
      </c>
      <c r="Q468" s="34">
        <f>IF(OR(P468="-",P468="",P468=0),IF(O468="-","-",O468),O468-P468)</f>
        <v>2</v>
      </c>
      <c r="R468" s="4" t="str">
        <f>IFERROR(IF(O468&gt;0, P468/O468, 0),"-")</f>
        <v>-</v>
      </c>
      <c r="S468" s="34">
        <v>263</v>
      </c>
      <c r="T468" s="34">
        <v>7</v>
      </c>
      <c r="U468" s="34">
        <v>21830</v>
      </c>
      <c r="V468" s="35">
        <v>10</v>
      </c>
      <c r="W468" s="35">
        <v>230651</v>
      </c>
    </row>
    <row r="469" spans="1:23" x14ac:dyDescent="0.2">
      <c r="A469" s="30" t="s">
        <v>587</v>
      </c>
      <c r="B469" s="30" t="s">
        <v>1179</v>
      </c>
      <c r="C469" s="34">
        <v>97</v>
      </c>
      <c r="D469" s="35">
        <v>95</v>
      </c>
      <c r="E469" s="34">
        <f>IF(OR(D469="-",D469="",D469=0),IF(C469="-","-",C469),C469-D469)</f>
        <v>2</v>
      </c>
      <c r="F469" s="4">
        <f>IFERROR(IF(C469&gt;0, D469/C469, 0),"-")</f>
        <v>0.97938144329896903</v>
      </c>
      <c r="G469" s="34">
        <v>3</v>
      </c>
      <c r="H469" s="35">
        <v>1</v>
      </c>
      <c r="I469" s="34">
        <f>IF(OR(H469="-",H469="",H469=0),IF(G469="-","-",G469),G469-H469)</f>
        <v>2</v>
      </c>
      <c r="J469" s="4">
        <f>IFERROR(IF(G469&gt;0, H469/G469, 0),"-")</f>
        <v>0.33333333333333331</v>
      </c>
      <c r="K469" s="34">
        <v>2</v>
      </c>
      <c r="L469" s="35" t="s">
        <v>959</v>
      </c>
      <c r="M469" s="34">
        <f>IF(OR(L469="-",L469="",L469=0),IF(K469="-","-",K469),K469-L469)</f>
        <v>2</v>
      </c>
      <c r="N469" s="4" t="str">
        <f>IFERROR(IF(K469&gt;0, L469/K469, 0),"-")</f>
        <v>-</v>
      </c>
      <c r="O469" s="34">
        <v>2</v>
      </c>
      <c r="P469" s="35" t="s">
        <v>959</v>
      </c>
      <c r="Q469" s="34">
        <f>IF(OR(P469="-",P469="",P469=0),IF(O469="-","-",O469),O469-P469)</f>
        <v>2</v>
      </c>
      <c r="R469" s="4" t="str">
        <f>IFERROR(IF(O469&gt;0, P469/O469, 0),"-")</f>
        <v>-</v>
      </c>
      <c r="S469" s="34">
        <v>192</v>
      </c>
      <c r="T469" s="34">
        <v>3</v>
      </c>
      <c r="U469" s="34">
        <v>16640</v>
      </c>
      <c r="V469" s="35">
        <v>1</v>
      </c>
      <c r="W469" s="35">
        <v>47958</v>
      </c>
    </row>
    <row r="470" spans="1:23" x14ac:dyDescent="0.2">
      <c r="A470" s="30" t="s">
        <v>590</v>
      </c>
      <c r="B470" s="30" t="s">
        <v>1180</v>
      </c>
      <c r="C470" s="34">
        <v>245</v>
      </c>
      <c r="D470" s="35">
        <v>239</v>
      </c>
      <c r="E470" s="34">
        <f>IF(OR(D470="-",D470="",D470=0),IF(C470="-","-",C470),C470-D470)</f>
        <v>6</v>
      </c>
      <c r="F470" s="4">
        <f>IFERROR(IF(C470&gt;0, D470/C470, 0),"-")</f>
        <v>0.97551020408163269</v>
      </c>
      <c r="G470" s="34">
        <v>1</v>
      </c>
      <c r="H470" s="35" t="s">
        <v>959</v>
      </c>
      <c r="I470" s="34">
        <f>IF(OR(H470="-",H470="",H470=0),IF(G470="-","-",G470),G470-H470)</f>
        <v>1</v>
      </c>
      <c r="J470" s="4" t="str">
        <f>IFERROR(IF(G470&gt;0, H470/G470, 0),"-")</f>
        <v>-</v>
      </c>
      <c r="K470" s="34">
        <v>1</v>
      </c>
      <c r="L470" s="35" t="s">
        <v>959</v>
      </c>
      <c r="M470" s="34">
        <f>IF(OR(L470="-",L470="",L470=0),IF(K470="-","-",K470),K470-L470)</f>
        <v>1</v>
      </c>
      <c r="N470" s="4" t="str">
        <f>IFERROR(IF(K470&gt;0, L470/K470, 0),"-")</f>
        <v>-</v>
      </c>
      <c r="O470" s="34">
        <v>2</v>
      </c>
      <c r="P470" s="35" t="s">
        <v>959</v>
      </c>
      <c r="Q470" s="34">
        <f>IF(OR(P470="-",P470="",P470=0),IF(O470="-","-",O470),O470-P470)</f>
        <v>2</v>
      </c>
      <c r="R470" s="4" t="str">
        <f>IFERROR(IF(O470&gt;0, P470/O470, 0),"-")</f>
        <v>-</v>
      </c>
      <c r="S470" s="34">
        <v>151</v>
      </c>
      <c r="T470" s="34">
        <v>4</v>
      </c>
      <c r="U470" s="34">
        <v>21967</v>
      </c>
      <c r="V470" s="35">
        <v>5</v>
      </c>
      <c r="W470" s="35">
        <v>165247</v>
      </c>
    </row>
    <row r="471" spans="1:23" x14ac:dyDescent="0.2">
      <c r="A471" s="30" t="s">
        <v>589</v>
      </c>
      <c r="B471" s="30" t="s">
        <v>1181</v>
      </c>
      <c r="C471" s="34">
        <v>179</v>
      </c>
      <c r="D471" s="35">
        <v>178</v>
      </c>
      <c r="E471" s="34">
        <f>IF(OR(D471="-",D471="",D471=0),IF(C471="-","-",C471),C471-D471)</f>
        <v>1</v>
      </c>
      <c r="F471" s="4">
        <f>IFERROR(IF(C471&gt;0, D471/C471, 0),"-")</f>
        <v>0.994413407821229</v>
      </c>
      <c r="G471" s="34">
        <v>3</v>
      </c>
      <c r="H471" s="35">
        <v>2</v>
      </c>
      <c r="I471" s="34">
        <f>IF(OR(H471="-",H471="",H471=0),IF(G471="-","-",G471),G471-H471)</f>
        <v>1</v>
      </c>
      <c r="J471" s="4">
        <f>IFERROR(IF(G471&gt;0, H471/G471, 0),"-")</f>
        <v>0.66666666666666663</v>
      </c>
      <c r="K471" s="34">
        <v>3</v>
      </c>
      <c r="L471" s="35">
        <v>2</v>
      </c>
      <c r="M471" s="34">
        <f>IF(OR(L471="-",L471="",L471=0),IF(K471="-","-",K471),K471-L471)</f>
        <v>1</v>
      </c>
      <c r="N471" s="4">
        <f>IFERROR(IF(K471&gt;0, L471/K471, 0),"-")</f>
        <v>0.66666666666666663</v>
      </c>
      <c r="O471" s="34">
        <v>1</v>
      </c>
      <c r="P471" s="35" t="s">
        <v>959</v>
      </c>
      <c r="Q471" s="34">
        <f>IF(OR(P471="-",P471="",P471=0),IF(O471="-","-",O471),O471-P471)</f>
        <v>1</v>
      </c>
      <c r="R471" s="4" t="str">
        <f>IFERROR(IF(O471&gt;0, P471/O471, 0),"-")</f>
        <v>-</v>
      </c>
      <c r="S471" s="34">
        <v>270</v>
      </c>
      <c r="T471" s="34">
        <v>7</v>
      </c>
      <c r="U471" s="34">
        <v>9625</v>
      </c>
      <c r="V471" s="35">
        <v>8</v>
      </c>
      <c r="W471" s="35">
        <v>184637</v>
      </c>
    </row>
    <row r="472" spans="1:23" x14ac:dyDescent="0.2">
      <c r="A472" s="29"/>
      <c r="B472" s="29" t="s">
        <v>23</v>
      </c>
      <c r="C472" s="32">
        <v>1125</v>
      </c>
      <c r="D472" s="32">
        <v>1104</v>
      </c>
      <c r="E472" s="32">
        <f>IF(OR(D472="-",D472="",D472=0),IF(C472="-","-",C472),C472-D472)</f>
        <v>21</v>
      </c>
      <c r="F472" s="36">
        <f>IFERROR(IF(C472&gt;0, D472/C472, 0),"-")</f>
        <v>0.98133333333333328</v>
      </c>
      <c r="G472" s="32">
        <v>11</v>
      </c>
      <c r="H472" s="32">
        <v>8</v>
      </c>
      <c r="I472" s="32">
        <f>IF(OR(H472="-",H472="",H472=0),IF(G472="-","-",G472),G472-H472)</f>
        <v>3</v>
      </c>
      <c r="J472" s="36">
        <f>IFERROR(IF(G472&gt;0, H472/G472, 0),"-")</f>
        <v>0.72727272727272729</v>
      </c>
      <c r="K472" s="32">
        <v>13</v>
      </c>
      <c r="L472" s="32">
        <v>5</v>
      </c>
      <c r="M472" s="32">
        <f>IF(OR(L472="-",L472="",L472=0),IF(K472="-","-",K472),K472-L472)</f>
        <v>8</v>
      </c>
      <c r="N472" s="36">
        <f>IFERROR(IF(K472&gt;0, L472/K472, 0),"-")</f>
        <v>0.38461538461538464</v>
      </c>
      <c r="O472" s="32">
        <v>13</v>
      </c>
      <c r="P472" s="32">
        <v>5</v>
      </c>
      <c r="Q472" s="32">
        <f>IF(OR(P472="-",P472="",P472=0),IF(O472="-","-",O472),O472-P472)</f>
        <v>8</v>
      </c>
      <c r="R472" s="36">
        <f>IFERROR(IF(O472&gt;0, P472/O472, 0),"-")</f>
        <v>0.38461538461538464</v>
      </c>
      <c r="S472" s="32">
        <v>2260</v>
      </c>
      <c r="T472" s="32">
        <v>16</v>
      </c>
      <c r="U472" s="32">
        <v>116685</v>
      </c>
      <c r="V472" s="32">
        <v>20</v>
      </c>
      <c r="W472" s="32">
        <v>444863</v>
      </c>
    </row>
    <row r="473" spans="1:23" x14ac:dyDescent="0.2">
      <c r="A473" s="30" t="s">
        <v>721</v>
      </c>
      <c r="B473" s="30" t="s">
        <v>1182</v>
      </c>
      <c r="C473" s="34">
        <v>216</v>
      </c>
      <c r="D473" s="35">
        <v>212</v>
      </c>
      <c r="E473" s="34">
        <f>IF(OR(D473="-",D473="",D473=0),IF(C473="-","-",C473),C473-D473)</f>
        <v>4</v>
      </c>
      <c r="F473" s="4">
        <f>IFERROR(IF(C473&gt;0, D473/C473, 0),"-")</f>
        <v>0.98148148148148151</v>
      </c>
      <c r="G473" s="34">
        <v>2</v>
      </c>
      <c r="H473" s="35">
        <v>2</v>
      </c>
      <c r="I473" s="34">
        <f>IF(OR(H473="-",H473="",H473=0),IF(G473="-","-",G473),G473-H473)</f>
        <v>0</v>
      </c>
      <c r="J473" s="4">
        <f>IFERROR(IF(G473&gt;0, H473/G473, 0),"-")</f>
        <v>1</v>
      </c>
      <c r="K473" s="34">
        <v>1</v>
      </c>
      <c r="L473" s="35">
        <v>1</v>
      </c>
      <c r="M473" s="34">
        <f>IF(OR(L473="-",L473="",L473=0),IF(K473="-","-",K473),K473-L473)</f>
        <v>0</v>
      </c>
      <c r="N473" s="4">
        <f>IFERROR(IF(K473&gt;0, L473/K473, 0),"-")</f>
        <v>1</v>
      </c>
      <c r="O473" s="34" t="s">
        <v>959</v>
      </c>
      <c r="P473" s="35" t="s">
        <v>959</v>
      </c>
      <c r="Q473" s="34" t="str">
        <f>IF(OR(P473="-",P473="",P473=0),IF(O473="-","-",O473),O473-P473)</f>
        <v>-</v>
      </c>
      <c r="R473" s="4" t="str">
        <f>IFERROR(IF(O473&gt;0, P473/O473, 0),"-")</f>
        <v>-</v>
      </c>
      <c r="S473" s="34">
        <v>209</v>
      </c>
      <c r="T473" s="34">
        <v>3</v>
      </c>
      <c r="U473" s="34">
        <v>8090</v>
      </c>
      <c r="V473" s="35">
        <v>2</v>
      </c>
      <c r="W473" s="35">
        <v>37596</v>
      </c>
    </row>
    <row r="474" spans="1:23" x14ac:dyDescent="0.2">
      <c r="A474" s="30" t="s">
        <v>719</v>
      </c>
      <c r="B474" s="30" t="s">
        <v>1183</v>
      </c>
      <c r="C474" s="34">
        <v>246</v>
      </c>
      <c r="D474" s="35">
        <v>245</v>
      </c>
      <c r="E474" s="34">
        <f>IF(OR(D474="-",D474="",D474=0),IF(C474="-","-",C474),C474-D474)</f>
        <v>1</v>
      </c>
      <c r="F474" s="4">
        <f>IFERROR(IF(C474&gt;0, D474/C474, 0),"-")</f>
        <v>0.99593495934959353</v>
      </c>
      <c r="G474" s="34">
        <v>2</v>
      </c>
      <c r="H474" s="35">
        <v>1</v>
      </c>
      <c r="I474" s="34">
        <f>IF(OR(H474="-",H474="",H474=0),IF(G474="-","-",G474),G474-H474)</f>
        <v>1</v>
      </c>
      <c r="J474" s="4">
        <f>IFERROR(IF(G474&gt;0, H474/G474, 0),"-")</f>
        <v>0.5</v>
      </c>
      <c r="K474" s="34">
        <v>5</v>
      </c>
      <c r="L474" s="35">
        <v>2</v>
      </c>
      <c r="M474" s="34">
        <f>IF(OR(L474="-",L474="",L474=0),IF(K474="-","-",K474),K474-L474)</f>
        <v>3</v>
      </c>
      <c r="N474" s="4">
        <f>IFERROR(IF(K474&gt;0, L474/K474, 0),"-")</f>
        <v>0.4</v>
      </c>
      <c r="O474" s="34" t="s">
        <v>959</v>
      </c>
      <c r="P474" s="35" t="s">
        <v>959</v>
      </c>
      <c r="Q474" s="34" t="str">
        <f>IF(OR(P474="-",P474="",P474=0),IF(O474="-","-",O474),O474-P474)</f>
        <v>-</v>
      </c>
      <c r="R474" s="4" t="str">
        <f>IFERROR(IF(O474&gt;0, P474/O474, 0),"-")</f>
        <v>-</v>
      </c>
      <c r="S474" s="34">
        <v>261</v>
      </c>
      <c r="T474" s="34">
        <v>3</v>
      </c>
      <c r="U474" s="34">
        <v>8735</v>
      </c>
      <c r="V474" s="35">
        <v>6</v>
      </c>
      <c r="W474" s="35">
        <v>121199</v>
      </c>
    </row>
    <row r="475" spans="1:23" x14ac:dyDescent="0.2">
      <c r="A475" s="30" t="s">
        <v>720</v>
      </c>
      <c r="B475" s="30" t="s">
        <v>1184</v>
      </c>
      <c r="C475" s="34">
        <v>140</v>
      </c>
      <c r="D475" s="35">
        <v>135</v>
      </c>
      <c r="E475" s="34">
        <f>IF(OR(D475="-",D475="",D475=0),IF(C475="-","-",C475),C475-D475)</f>
        <v>5</v>
      </c>
      <c r="F475" s="4">
        <f>IFERROR(IF(C475&gt;0, D475/C475, 0),"-")</f>
        <v>0.9642857142857143</v>
      </c>
      <c r="G475" s="34">
        <v>1</v>
      </c>
      <c r="H475" s="35" t="s">
        <v>959</v>
      </c>
      <c r="I475" s="34">
        <f>IF(OR(H475="-",H475="",H475=0),IF(G475="-","-",G475),G475-H475)</f>
        <v>1</v>
      </c>
      <c r="J475" s="4" t="str">
        <f>IFERROR(IF(G475&gt;0, H475/G475, 0),"-")</f>
        <v>-</v>
      </c>
      <c r="K475" s="34">
        <v>2</v>
      </c>
      <c r="L475" s="35" t="s">
        <v>959</v>
      </c>
      <c r="M475" s="34">
        <f>IF(OR(L475="-",L475="",L475=0),IF(K475="-","-",K475),K475-L475)</f>
        <v>2</v>
      </c>
      <c r="N475" s="4" t="str">
        <f>IFERROR(IF(K475&gt;0, L475/K475, 0),"-")</f>
        <v>-</v>
      </c>
      <c r="O475" s="34">
        <v>3</v>
      </c>
      <c r="P475" s="35">
        <v>2</v>
      </c>
      <c r="Q475" s="34">
        <f>IF(OR(P475="-",P475="",P475=0),IF(O475="-","-",O475),O475-P475)</f>
        <v>1</v>
      </c>
      <c r="R475" s="4">
        <f>IFERROR(IF(O475&gt;0, P475/O475, 0),"-")</f>
        <v>0.66666666666666663</v>
      </c>
      <c r="S475" s="34">
        <v>417</v>
      </c>
      <c r="T475" s="34">
        <v>5</v>
      </c>
      <c r="U475" s="34">
        <v>85025</v>
      </c>
      <c r="V475" s="35">
        <v>3</v>
      </c>
      <c r="W475" s="35">
        <v>55462</v>
      </c>
    </row>
    <row r="476" spans="1:23" x14ac:dyDescent="0.2">
      <c r="A476" s="30" t="s">
        <v>726</v>
      </c>
      <c r="B476" s="30" t="s">
        <v>1185</v>
      </c>
      <c r="C476" s="34">
        <v>105</v>
      </c>
      <c r="D476" s="35">
        <v>100</v>
      </c>
      <c r="E476" s="34">
        <f>IF(OR(D476="-",D476="",D476=0),IF(C476="-","-",C476),C476-D476)</f>
        <v>5</v>
      </c>
      <c r="F476" s="4">
        <f>IFERROR(IF(C476&gt;0, D476/C476, 0),"-")</f>
        <v>0.95238095238095233</v>
      </c>
      <c r="G476" s="34">
        <v>3</v>
      </c>
      <c r="H476" s="35">
        <v>3</v>
      </c>
      <c r="I476" s="34">
        <f>IF(OR(H476="-",H476="",H476=0),IF(G476="-","-",G476),G476-H476)</f>
        <v>0</v>
      </c>
      <c r="J476" s="4">
        <f>IFERROR(IF(G476&gt;0, H476/G476, 0),"-")</f>
        <v>1</v>
      </c>
      <c r="K476" s="34" t="s">
        <v>959</v>
      </c>
      <c r="L476" s="35" t="s">
        <v>959</v>
      </c>
      <c r="M476" s="34" t="str">
        <f>IF(OR(L476="-",L476="",L476=0),IF(K476="-","-",K476),K476-L476)</f>
        <v>-</v>
      </c>
      <c r="N476" s="4" t="str">
        <f>IFERROR(IF(K476&gt;0, L476/K476, 0),"-")</f>
        <v>-</v>
      </c>
      <c r="O476" s="34">
        <v>1</v>
      </c>
      <c r="P476" s="35">
        <v>1</v>
      </c>
      <c r="Q476" s="34">
        <f>IF(OR(P476="-",P476="",P476=0),IF(O476="-","-",O476),O476-P476)</f>
        <v>0</v>
      </c>
      <c r="R476" s="4">
        <f>IFERROR(IF(O476&gt;0, P476/O476, 0),"-")</f>
        <v>1</v>
      </c>
      <c r="S476" s="34">
        <v>6</v>
      </c>
      <c r="T476" s="34" t="s">
        <v>959</v>
      </c>
      <c r="U476" s="34" t="s">
        <v>959</v>
      </c>
      <c r="V476" s="35" t="s">
        <v>959</v>
      </c>
      <c r="W476" s="35" t="s">
        <v>959</v>
      </c>
    </row>
    <row r="477" spans="1:23" x14ac:dyDescent="0.2">
      <c r="A477" s="30" t="s">
        <v>722</v>
      </c>
      <c r="B477" s="30" t="s">
        <v>1186</v>
      </c>
      <c r="C477" s="34">
        <v>150</v>
      </c>
      <c r="D477" s="35">
        <v>150</v>
      </c>
      <c r="E477" s="34">
        <f>IF(OR(D477="-",D477="",D477=0),IF(C477="-","-",C477),C477-D477)</f>
        <v>0</v>
      </c>
      <c r="F477" s="4">
        <f>IFERROR(IF(C477&gt;0, D477/C477, 0),"-")</f>
        <v>1</v>
      </c>
      <c r="G477" s="34">
        <v>2</v>
      </c>
      <c r="H477" s="35">
        <v>1</v>
      </c>
      <c r="I477" s="34">
        <f>IF(OR(H477="-",H477="",H477=0),IF(G477="-","-",G477),G477-H477)</f>
        <v>1</v>
      </c>
      <c r="J477" s="4">
        <f>IFERROR(IF(G477&gt;0, H477/G477, 0),"-")</f>
        <v>0.5</v>
      </c>
      <c r="K477" s="34">
        <v>1</v>
      </c>
      <c r="L477" s="35">
        <v>1</v>
      </c>
      <c r="M477" s="34">
        <f>IF(OR(L477="-",L477="",L477=0),IF(K477="-","-",K477),K477-L477)</f>
        <v>0</v>
      </c>
      <c r="N477" s="4">
        <f>IFERROR(IF(K477&gt;0, L477/K477, 0),"-")</f>
        <v>1</v>
      </c>
      <c r="O477" s="34">
        <v>1</v>
      </c>
      <c r="P477" s="35" t="s">
        <v>959</v>
      </c>
      <c r="Q477" s="34">
        <f>IF(OR(P477="-",P477="",P477=0),IF(O477="-","-",O477),O477-P477)</f>
        <v>1</v>
      </c>
      <c r="R477" s="4" t="str">
        <f>IFERROR(IF(O477&gt;0, P477/O477, 0),"-")</f>
        <v>-</v>
      </c>
      <c r="S477" s="34">
        <v>249</v>
      </c>
      <c r="T477" s="34" t="s">
        <v>959</v>
      </c>
      <c r="U477" s="34" t="s">
        <v>959</v>
      </c>
      <c r="V477" s="35">
        <v>1</v>
      </c>
      <c r="W477" s="35">
        <v>30802</v>
      </c>
    </row>
    <row r="478" spans="1:23" x14ac:dyDescent="0.2">
      <c r="A478" s="30" t="s">
        <v>723</v>
      </c>
      <c r="B478" s="30" t="s">
        <v>1187</v>
      </c>
      <c r="C478" s="34">
        <v>163</v>
      </c>
      <c r="D478" s="35">
        <v>159</v>
      </c>
      <c r="E478" s="34">
        <f>IF(OR(D478="-",D478="",D478=0),IF(C478="-","-",C478),C478-D478)</f>
        <v>4</v>
      </c>
      <c r="F478" s="4">
        <f>IFERROR(IF(C478&gt;0, D478/C478, 0),"-")</f>
        <v>0.97546012269938653</v>
      </c>
      <c r="G478" s="34">
        <v>1</v>
      </c>
      <c r="H478" s="35">
        <v>1</v>
      </c>
      <c r="I478" s="34">
        <f>IF(OR(H478="-",H478="",H478=0),IF(G478="-","-",G478),G478-H478)</f>
        <v>0</v>
      </c>
      <c r="J478" s="4">
        <f>IFERROR(IF(G478&gt;0, H478/G478, 0),"-")</f>
        <v>1</v>
      </c>
      <c r="K478" s="34">
        <v>2</v>
      </c>
      <c r="L478" s="35">
        <v>1</v>
      </c>
      <c r="M478" s="34">
        <f>IF(OR(L478="-",L478="",L478=0),IF(K478="-","-",K478),K478-L478)</f>
        <v>1</v>
      </c>
      <c r="N478" s="4">
        <f>IFERROR(IF(K478&gt;0, L478/K478, 0),"-")</f>
        <v>0.5</v>
      </c>
      <c r="O478" s="34">
        <v>1</v>
      </c>
      <c r="P478" s="35" t="s">
        <v>959</v>
      </c>
      <c r="Q478" s="34">
        <f>IF(OR(P478="-",P478="",P478=0),IF(O478="-","-",O478),O478-P478)</f>
        <v>1</v>
      </c>
      <c r="R478" s="4" t="str">
        <f>IFERROR(IF(O478&gt;0, P478/O478, 0),"-")</f>
        <v>-</v>
      </c>
      <c r="S478" s="34">
        <v>424</v>
      </c>
      <c r="T478" s="34">
        <v>2</v>
      </c>
      <c r="U478" s="34">
        <v>6740</v>
      </c>
      <c r="V478" s="35">
        <v>4</v>
      </c>
      <c r="W478" s="35">
        <v>100714</v>
      </c>
    </row>
    <row r="479" spans="1:23" x14ac:dyDescent="0.2">
      <c r="A479" s="30" t="s">
        <v>725</v>
      </c>
      <c r="B479" s="30" t="s">
        <v>1188</v>
      </c>
      <c r="C479" s="34">
        <v>3</v>
      </c>
      <c r="D479" s="35">
        <v>3</v>
      </c>
      <c r="E479" s="34">
        <f>IF(OR(D479="-",D479="",D479=0),IF(C479="-","-",C479),C479-D479)</f>
        <v>0</v>
      </c>
      <c r="F479" s="4">
        <f>IFERROR(IF(C479&gt;0, D479/C479, 0),"-")</f>
        <v>1</v>
      </c>
      <c r="G479" s="34" t="s">
        <v>959</v>
      </c>
      <c r="H479" s="35" t="s">
        <v>959</v>
      </c>
      <c r="I479" s="34" t="str">
        <f>IF(OR(H479="-",H479="",H479=0),IF(G479="-","-",G479),G479-H479)</f>
        <v>-</v>
      </c>
      <c r="J479" s="4" t="str">
        <f>IFERROR(IF(G479&gt;0, H479/G479, 0),"-")</f>
        <v>-</v>
      </c>
      <c r="K479" s="34" t="s">
        <v>959</v>
      </c>
      <c r="L479" s="35" t="s">
        <v>959</v>
      </c>
      <c r="M479" s="34" t="str">
        <f>IF(OR(L479="-",L479="",L479=0),IF(K479="-","-",K479),K479-L479)</f>
        <v>-</v>
      </c>
      <c r="N479" s="4" t="str">
        <f>IFERROR(IF(K479&gt;0, L479/K479, 0),"-")</f>
        <v>-</v>
      </c>
      <c r="O479" s="34" t="s">
        <v>959</v>
      </c>
      <c r="P479" s="35" t="s">
        <v>959</v>
      </c>
      <c r="Q479" s="34" t="str">
        <f>IF(OR(P479="-",P479="",P479=0),IF(O479="-","-",O479),O479-P479)</f>
        <v>-</v>
      </c>
      <c r="R479" s="4" t="str">
        <f>IFERROR(IF(O479&gt;0, P479/O479, 0),"-")</f>
        <v>-</v>
      </c>
      <c r="S479" s="34">
        <v>10</v>
      </c>
      <c r="T479" s="34" t="s">
        <v>959</v>
      </c>
      <c r="U479" s="34" t="s">
        <v>959</v>
      </c>
      <c r="V479" s="35" t="s">
        <v>959</v>
      </c>
      <c r="W479" s="35" t="s">
        <v>959</v>
      </c>
    </row>
    <row r="480" spans="1:23" x14ac:dyDescent="0.2">
      <c r="A480" s="30" t="s">
        <v>724</v>
      </c>
      <c r="B480" s="30" t="s">
        <v>1189</v>
      </c>
      <c r="C480" s="34">
        <v>102</v>
      </c>
      <c r="D480" s="35">
        <v>100</v>
      </c>
      <c r="E480" s="34">
        <f>IF(OR(D480="-",D480="",D480=0),IF(C480="-","-",C480),C480-D480)</f>
        <v>2</v>
      </c>
      <c r="F480" s="4">
        <f>IFERROR(IF(C480&gt;0, D480/C480, 0),"-")</f>
        <v>0.98039215686274506</v>
      </c>
      <c r="G480" s="34" t="s">
        <v>959</v>
      </c>
      <c r="H480" s="35" t="s">
        <v>959</v>
      </c>
      <c r="I480" s="34" t="str">
        <f>IF(OR(H480="-",H480="",H480=0),IF(G480="-","-",G480),G480-H480)</f>
        <v>-</v>
      </c>
      <c r="J480" s="4" t="str">
        <f>IFERROR(IF(G480&gt;0, H480/G480, 0),"-")</f>
        <v>-</v>
      </c>
      <c r="K480" s="34">
        <v>2</v>
      </c>
      <c r="L480" s="35" t="s">
        <v>959</v>
      </c>
      <c r="M480" s="34">
        <f>IF(OR(L480="-",L480="",L480=0),IF(K480="-","-",K480),K480-L480)</f>
        <v>2</v>
      </c>
      <c r="N480" s="4" t="str">
        <f>IFERROR(IF(K480&gt;0, L480/K480, 0),"-")</f>
        <v>-</v>
      </c>
      <c r="O480" s="34">
        <v>7</v>
      </c>
      <c r="P480" s="35">
        <v>2</v>
      </c>
      <c r="Q480" s="34">
        <f>IF(OR(P480="-",P480="",P480=0),IF(O480="-","-",O480),O480-P480)</f>
        <v>5</v>
      </c>
      <c r="R480" s="4">
        <f>IFERROR(IF(O480&gt;0, P480/O480, 0),"-")</f>
        <v>0.2857142857142857</v>
      </c>
      <c r="S480" s="34">
        <v>684</v>
      </c>
      <c r="T480" s="34">
        <v>3</v>
      </c>
      <c r="U480" s="34">
        <v>8095</v>
      </c>
      <c r="V480" s="35">
        <v>4</v>
      </c>
      <c r="W480" s="35">
        <v>99090</v>
      </c>
    </row>
    <row r="481" spans="1:23" x14ac:dyDescent="0.2">
      <c r="A481" s="29"/>
      <c r="B481" s="29" t="s">
        <v>127</v>
      </c>
      <c r="C481" s="32">
        <v>1411</v>
      </c>
      <c r="D481" s="32">
        <v>1394</v>
      </c>
      <c r="E481" s="32">
        <f>IF(OR(D481="-",D481="",D481=0),IF(C481="-","-",C481),C481-D481)</f>
        <v>17</v>
      </c>
      <c r="F481" s="36">
        <f>IFERROR(IF(C481&gt;0, D481/C481, 0),"-")</f>
        <v>0.98795180722891562</v>
      </c>
      <c r="G481" s="32">
        <v>17</v>
      </c>
      <c r="H481" s="32">
        <v>6</v>
      </c>
      <c r="I481" s="32">
        <f>IF(OR(H481="-",H481="",H481=0),IF(G481="-","-",G481),G481-H481)</f>
        <v>11</v>
      </c>
      <c r="J481" s="36">
        <f>IFERROR(IF(G481&gt;0, H481/G481, 0),"-")</f>
        <v>0.35294117647058826</v>
      </c>
      <c r="K481" s="32">
        <v>10</v>
      </c>
      <c r="L481" s="32">
        <v>3</v>
      </c>
      <c r="M481" s="32">
        <f>IF(OR(L481="-",L481="",L481=0),IF(K481="-","-",K481),K481-L481)</f>
        <v>7</v>
      </c>
      <c r="N481" s="36">
        <f>IFERROR(IF(K481&gt;0, L481/K481, 0),"-")</f>
        <v>0.3</v>
      </c>
      <c r="O481" s="32">
        <v>22</v>
      </c>
      <c r="P481" s="32">
        <v>4</v>
      </c>
      <c r="Q481" s="32">
        <f>IF(OR(P481="-",P481="",P481=0),IF(O481="-","-",O481),O481-P481)</f>
        <v>18</v>
      </c>
      <c r="R481" s="36">
        <f>IFERROR(IF(O481&gt;0, P481/O481, 0),"-")</f>
        <v>0.18181818181818182</v>
      </c>
      <c r="S481" s="32">
        <v>837</v>
      </c>
      <c r="T481" s="32">
        <v>2</v>
      </c>
      <c r="U481" s="32">
        <v>7840</v>
      </c>
      <c r="V481" s="32">
        <v>24</v>
      </c>
      <c r="W481" s="32">
        <v>517786</v>
      </c>
    </row>
    <row r="482" spans="1:23" x14ac:dyDescent="0.2">
      <c r="A482" s="30" t="s">
        <v>887</v>
      </c>
      <c r="B482" s="30" t="s">
        <v>1190</v>
      </c>
      <c r="C482" s="34">
        <v>488</v>
      </c>
      <c r="D482" s="35">
        <v>481</v>
      </c>
      <c r="E482" s="34">
        <f>IF(OR(D482="-",D482="",D482=0),IF(C482="-","-",C482),C482-D482)</f>
        <v>7</v>
      </c>
      <c r="F482" s="4">
        <f>IFERROR(IF(C482&gt;0, D482/C482, 0),"-")</f>
        <v>0.98565573770491799</v>
      </c>
      <c r="G482" s="34">
        <v>3</v>
      </c>
      <c r="H482" s="35">
        <v>2</v>
      </c>
      <c r="I482" s="34">
        <f>IF(OR(H482="-",H482="",H482=0),IF(G482="-","-",G482),G482-H482)</f>
        <v>1</v>
      </c>
      <c r="J482" s="4">
        <f>IFERROR(IF(G482&gt;0, H482/G482, 0),"-")</f>
        <v>0.66666666666666663</v>
      </c>
      <c r="K482" s="34">
        <v>2</v>
      </c>
      <c r="L482" s="35">
        <v>1</v>
      </c>
      <c r="M482" s="34">
        <f>IF(OR(L482="-",L482="",L482=0),IF(K482="-","-",K482),K482-L482)</f>
        <v>1</v>
      </c>
      <c r="N482" s="4">
        <f>IFERROR(IF(K482&gt;0, L482/K482, 0),"-")</f>
        <v>0.5</v>
      </c>
      <c r="O482" s="34">
        <v>4</v>
      </c>
      <c r="P482" s="35">
        <v>1</v>
      </c>
      <c r="Q482" s="34">
        <f>IF(OR(P482="-",P482="",P482=0),IF(O482="-","-",O482),O482-P482)</f>
        <v>3</v>
      </c>
      <c r="R482" s="4">
        <f>IFERROR(IF(O482&gt;0, P482/O482, 0),"-")</f>
        <v>0.25</v>
      </c>
      <c r="S482" s="34">
        <v>161</v>
      </c>
      <c r="T482" s="34">
        <v>1</v>
      </c>
      <c r="U482" s="34">
        <v>3800</v>
      </c>
      <c r="V482" s="35">
        <v>7</v>
      </c>
      <c r="W482" s="35">
        <v>162019</v>
      </c>
    </row>
    <row r="483" spans="1:23" x14ac:dyDescent="0.2">
      <c r="A483" s="30" t="s">
        <v>907</v>
      </c>
      <c r="B483" s="30" t="s">
        <v>1191</v>
      </c>
      <c r="C483" s="34">
        <v>100</v>
      </c>
      <c r="D483" s="35">
        <v>98</v>
      </c>
      <c r="E483" s="34">
        <f>IF(OR(D483="-",D483="",D483=0),IF(C483="-","-",C483),C483-D483)</f>
        <v>2</v>
      </c>
      <c r="F483" s="4">
        <f>IFERROR(IF(C483&gt;0, D483/C483, 0),"-")</f>
        <v>0.98</v>
      </c>
      <c r="G483" s="34">
        <v>4</v>
      </c>
      <c r="H483" s="35">
        <v>2</v>
      </c>
      <c r="I483" s="34">
        <f>IF(OR(H483="-",H483="",H483=0),IF(G483="-","-",G483),G483-H483)</f>
        <v>2</v>
      </c>
      <c r="J483" s="4">
        <f>IFERROR(IF(G483&gt;0, H483/G483, 0),"-")</f>
        <v>0.5</v>
      </c>
      <c r="K483" s="34">
        <v>3</v>
      </c>
      <c r="L483" s="35">
        <v>1</v>
      </c>
      <c r="M483" s="34">
        <f>IF(OR(L483="-",L483="",L483=0),IF(K483="-","-",K483),K483-L483)</f>
        <v>2</v>
      </c>
      <c r="N483" s="4">
        <f>IFERROR(IF(K483&gt;0, L483/K483, 0),"-")</f>
        <v>0.33333333333333331</v>
      </c>
      <c r="O483" s="34">
        <v>3</v>
      </c>
      <c r="P483" s="35" t="s">
        <v>959</v>
      </c>
      <c r="Q483" s="34">
        <f>IF(OR(P483="-",P483="",P483=0),IF(O483="-","-",O483),O483-P483)</f>
        <v>3</v>
      </c>
      <c r="R483" s="4" t="str">
        <f>IFERROR(IF(O483&gt;0, P483/O483, 0),"-")</f>
        <v>-</v>
      </c>
      <c r="S483" s="34">
        <v>5</v>
      </c>
      <c r="T483" s="34" t="s">
        <v>959</v>
      </c>
      <c r="U483" s="34" t="s">
        <v>959</v>
      </c>
      <c r="V483" s="35" t="s">
        <v>959</v>
      </c>
      <c r="W483" s="35" t="s">
        <v>959</v>
      </c>
    </row>
    <row r="484" spans="1:23" x14ac:dyDescent="0.2">
      <c r="A484" s="30" t="s">
        <v>888</v>
      </c>
      <c r="B484" s="30" t="s">
        <v>1192</v>
      </c>
      <c r="C484" s="34">
        <v>252</v>
      </c>
      <c r="D484" s="35">
        <v>250</v>
      </c>
      <c r="E484" s="34">
        <f>IF(OR(D484="-",D484="",D484=0),IF(C484="-","-",C484),C484-D484)</f>
        <v>2</v>
      </c>
      <c r="F484" s="4">
        <f>IFERROR(IF(C484&gt;0, D484/C484, 0),"-")</f>
        <v>0.99206349206349209</v>
      </c>
      <c r="G484" s="34" t="s">
        <v>959</v>
      </c>
      <c r="H484" s="35" t="s">
        <v>959</v>
      </c>
      <c r="I484" s="34" t="str">
        <f>IF(OR(H484="-",H484="",H484=0),IF(G484="-","-",G484),G484-H484)</f>
        <v>-</v>
      </c>
      <c r="J484" s="4" t="str">
        <f>IFERROR(IF(G484&gt;0, H484/G484, 0),"-")</f>
        <v>-</v>
      </c>
      <c r="K484" s="34" t="s">
        <v>959</v>
      </c>
      <c r="L484" s="35" t="s">
        <v>959</v>
      </c>
      <c r="M484" s="34" t="str">
        <f>IF(OR(L484="-",L484="",L484=0),IF(K484="-","-",K484),K484-L484)</f>
        <v>-</v>
      </c>
      <c r="N484" s="4" t="str">
        <f>IFERROR(IF(K484&gt;0, L484/K484, 0),"-")</f>
        <v>-</v>
      </c>
      <c r="O484" s="34">
        <v>6</v>
      </c>
      <c r="P484" s="35" t="s">
        <v>959</v>
      </c>
      <c r="Q484" s="34">
        <f>IF(OR(P484="-",P484="",P484=0),IF(O484="-","-",O484),O484-P484)</f>
        <v>6</v>
      </c>
      <c r="R484" s="4" t="str">
        <f>IFERROR(IF(O484&gt;0, P484/O484, 0),"-")</f>
        <v>-</v>
      </c>
      <c r="S484" s="34">
        <v>184</v>
      </c>
      <c r="T484" s="34" t="s">
        <v>959</v>
      </c>
      <c r="U484" s="34" t="s">
        <v>959</v>
      </c>
      <c r="V484" s="35">
        <v>8</v>
      </c>
      <c r="W484" s="35">
        <v>168619</v>
      </c>
    </row>
    <row r="485" spans="1:23" x14ac:dyDescent="0.2">
      <c r="A485" s="30" t="s">
        <v>885</v>
      </c>
      <c r="B485" s="30" t="s">
        <v>1193</v>
      </c>
      <c r="C485" s="34">
        <v>225</v>
      </c>
      <c r="D485" s="35">
        <v>221</v>
      </c>
      <c r="E485" s="34">
        <f>IF(OR(D485="-",D485="",D485=0),IF(C485="-","-",C485),C485-D485)</f>
        <v>4</v>
      </c>
      <c r="F485" s="4">
        <f>IFERROR(IF(C485&gt;0, D485/C485, 0),"-")</f>
        <v>0.98222222222222222</v>
      </c>
      <c r="G485" s="34">
        <v>2</v>
      </c>
      <c r="H485" s="35" t="s">
        <v>959</v>
      </c>
      <c r="I485" s="34">
        <f>IF(OR(H485="-",H485="",H485=0),IF(G485="-","-",G485),G485-H485)</f>
        <v>2</v>
      </c>
      <c r="J485" s="4" t="str">
        <f>IFERROR(IF(G485&gt;0, H485/G485, 0),"-")</f>
        <v>-</v>
      </c>
      <c r="K485" s="34">
        <v>2</v>
      </c>
      <c r="L485" s="35" t="s">
        <v>959</v>
      </c>
      <c r="M485" s="34">
        <f>IF(OR(L485="-",L485="",L485=0),IF(K485="-","-",K485),K485-L485)</f>
        <v>2</v>
      </c>
      <c r="N485" s="4" t="str">
        <f>IFERROR(IF(K485&gt;0, L485/K485, 0),"-")</f>
        <v>-</v>
      </c>
      <c r="O485" s="34">
        <v>5</v>
      </c>
      <c r="P485" s="35">
        <v>1</v>
      </c>
      <c r="Q485" s="34">
        <f>IF(OR(P485="-",P485="",P485=0),IF(O485="-","-",O485),O485-P485)</f>
        <v>4</v>
      </c>
      <c r="R485" s="4">
        <f>IFERROR(IF(O485&gt;0, P485/O485, 0),"-")</f>
        <v>0.2</v>
      </c>
      <c r="S485" s="34">
        <v>272</v>
      </c>
      <c r="T485" s="34">
        <v>1</v>
      </c>
      <c r="U485" s="34">
        <v>4040</v>
      </c>
      <c r="V485" s="35">
        <v>6</v>
      </c>
      <c r="W485" s="35">
        <v>101410</v>
      </c>
    </row>
    <row r="486" spans="1:23" x14ac:dyDescent="0.2">
      <c r="A486" s="30" t="s">
        <v>886</v>
      </c>
      <c r="B486" s="30" t="s">
        <v>1194</v>
      </c>
      <c r="C486" s="34">
        <v>346</v>
      </c>
      <c r="D486" s="35">
        <v>344</v>
      </c>
      <c r="E486" s="34">
        <f>IF(OR(D486="-",D486="",D486=0),IF(C486="-","-",C486),C486-D486)</f>
        <v>2</v>
      </c>
      <c r="F486" s="4">
        <f>IFERROR(IF(C486&gt;0, D486/C486, 0),"-")</f>
        <v>0.9942196531791907</v>
      </c>
      <c r="G486" s="34">
        <v>8</v>
      </c>
      <c r="H486" s="35">
        <v>2</v>
      </c>
      <c r="I486" s="34">
        <f>IF(OR(H486="-",H486="",H486=0),IF(G486="-","-",G486),G486-H486)</f>
        <v>6</v>
      </c>
      <c r="J486" s="4">
        <f>IFERROR(IF(G486&gt;0, H486/G486, 0),"-")</f>
        <v>0.25</v>
      </c>
      <c r="K486" s="34">
        <v>3</v>
      </c>
      <c r="L486" s="35">
        <v>1</v>
      </c>
      <c r="M486" s="34">
        <f>IF(OR(L486="-",L486="",L486=0),IF(K486="-","-",K486),K486-L486)</f>
        <v>2</v>
      </c>
      <c r="N486" s="4">
        <f>IFERROR(IF(K486&gt;0, L486/K486, 0),"-")</f>
        <v>0.33333333333333331</v>
      </c>
      <c r="O486" s="34">
        <v>4</v>
      </c>
      <c r="P486" s="35">
        <v>2</v>
      </c>
      <c r="Q486" s="34">
        <f>IF(OR(P486="-",P486="",P486=0),IF(O486="-","-",O486),O486-P486)</f>
        <v>2</v>
      </c>
      <c r="R486" s="4">
        <f>IFERROR(IF(O486&gt;0, P486/O486, 0),"-")</f>
        <v>0.5</v>
      </c>
      <c r="S486" s="34">
        <v>215</v>
      </c>
      <c r="T486" s="34" t="s">
        <v>959</v>
      </c>
      <c r="U486" s="34" t="s">
        <v>959</v>
      </c>
      <c r="V486" s="35">
        <v>3</v>
      </c>
      <c r="W486" s="35">
        <v>85738</v>
      </c>
    </row>
    <row r="487" spans="1:23" x14ac:dyDescent="0.2">
      <c r="A487" s="29"/>
      <c r="B487" s="29" t="s">
        <v>15</v>
      </c>
      <c r="C487" s="32">
        <v>1447</v>
      </c>
      <c r="D487" s="32">
        <v>1340</v>
      </c>
      <c r="E487" s="32">
        <f>IF(OR(D487="-",D487="",D487=0),IF(C487="-","-",C487),C487-D487)</f>
        <v>107</v>
      </c>
      <c r="F487" s="36">
        <f>IFERROR(IF(C487&gt;0, D487/C487, 0),"-")</f>
        <v>0.92605390463026949</v>
      </c>
      <c r="G487" s="32">
        <v>16</v>
      </c>
      <c r="H487" s="32">
        <v>3</v>
      </c>
      <c r="I487" s="32">
        <f>IF(OR(H487="-",H487="",H487=0),IF(G487="-","-",G487),G487-H487)</f>
        <v>13</v>
      </c>
      <c r="J487" s="36">
        <f>IFERROR(IF(G487&gt;0, H487/G487, 0),"-")</f>
        <v>0.1875</v>
      </c>
      <c r="K487" s="32">
        <v>4</v>
      </c>
      <c r="L487" s="32">
        <v>2</v>
      </c>
      <c r="M487" s="32">
        <f>IF(OR(L487="-",L487="",L487=0),IF(K487="-","-",K487),K487-L487)</f>
        <v>2</v>
      </c>
      <c r="N487" s="36">
        <f>IFERROR(IF(K487&gt;0, L487/K487, 0),"-")</f>
        <v>0.5</v>
      </c>
      <c r="O487" s="32">
        <v>14</v>
      </c>
      <c r="P487" s="32">
        <v>4</v>
      </c>
      <c r="Q487" s="32">
        <f>IF(OR(P487="-",P487="",P487=0),IF(O487="-","-",O487),O487-P487)</f>
        <v>10</v>
      </c>
      <c r="R487" s="36">
        <f>IFERROR(IF(O487&gt;0, P487/O487, 0),"-")</f>
        <v>0.2857142857142857</v>
      </c>
      <c r="S487" s="32">
        <v>1667</v>
      </c>
      <c r="T487" s="32">
        <v>4</v>
      </c>
      <c r="U487" s="32">
        <v>39595</v>
      </c>
      <c r="V487" s="32">
        <v>2</v>
      </c>
      <c r="W487" s="32">
        <v>23736</v>
      </c>
    </row>
    <row r="488" spans="1:23" x14ac:dyDescent="0.2">
      <c r="A488" s="30" t="s">
        <v>431</v>
      </c>
      <c r="B488" s="30" t="s">
        <v>1195</v>
      </c>
      <c r="C488" s="34">
        <v>159</v>
      </c>
      <c r="D488" s="35">
        <v>130</v>
      </c>
      <c r="E488" s="34">
        <f>IF(OR(D488="-",D488="",D488=0),IF(C488="-","-",C488),C488-D488)</f>
        <v>29</v>
      </c>
      <c r="F488" s="4">
        <f>IFERROR(IF(C488&gt;0, D488/C488, 0),"-")</f>
        <v>0.8176100628930818</v>
      </c>
      <c r="G488" s="34">
        <v>1</v>
      </c>
      <c r="H488" s="35" t="s">
        <v>959</v>
      </c>
      <c r="I488" s="34">
        <f>IF(OR(H488="-",H488="",H488=0),IF(G488="-","-",G488),G488-H488)</f>
        <v>1</v>
      </c>
      <c r="J488" s="4" t="str">
        <f>IFERROR(IF(G488&gt;0, H488/G488, 0),"-")</f>
        <v>-</v>
      </c>
      <c r="K488" s="34">
        <v>1</v>
      </c>
      <c r="L488" s="35">
        <v>1</v>
      </c>
      <c r="M488" s="34">
        <f>IF(OR(L488="-",L488="",L488=0),IF(K488="-","-",K488),K488-L488)</f>
        <v>0</v>
      </c>
      <c r="N488" s="4">
        <f>IFERROR(IF(K488&gt;0, L488/K488, 0),"-")</f>
        <v>1</v>
      </c>
      <c r="O488" s="34">
        <v>3</v>
      </c>
      <c r="P488" s="35" t="s">
        <v>959</v>
      </c>
      <c r="Q488" s="34">
        <f>IF(OR(P488="-",P488="",P488=0),IF(O488="-","-",O488),O488-P488)</f>
        <v>3</v>
      </c>
      <c r="R488" s="4" t="str">
        <f>IFERROR(IF(O488&gt;0, P488/O488, 0),"-")</f>
        <v>-</v>
      </c>
      <c r="S488" s="34">
        <v>30</v>
      </c>
      <c r="T488" s="34">
        <v>1</v>
      </c>
      <c r="U488" s="34">
        <v>2660</v>
      </c>
      <c r="V488" s="35" t="s">
        <v>959</v>
      </c>
      <c r="W488" s="35" t="s">
        <v>959</v>
      </c>
    </row>
    <row r="489" spans="1:23" x14ac:dyDescent="0.2">
      <c r="A489" s="30" t="s">
        <v>427</v>
      </c>
      <c r="B489" s="30" t="s">
        <v>1196</v>
      </c>
      <c r="C489" s="34">
        <v>212</v>
      </c>
      <c r="D489" s="35">
        <v>211</v>
      </c>
      <c r="E489" s="34">
        <f>IF(OR(D489="-",D489="",D489=0),IF(C489="-","-",C489),C489-D489)</f>
        <v>1</v>
      </c>
      <c r="F489" s="4">
        <f>IFERROR(IF(C489&gt;0, D489/C489, 0),"-")</f>
        <v>0.99528301886792447</v>
      </c>
      <c r="G489" s="34">
        <v>2</v>
      </c>
      <c r="H489" s="35" t="s">
        <v>959</v>
      </c>
      <c r="I489" s="34">
        <f>IF(OR(H489="-",H489="",H489=0),IF(G489="-","-",G489),G489-H489)</f>
        <v>2</v>
      </c>
      <c r="J489" s="4" t="str">
        <f>IFERROR(IF(G489&gt;0, H489/G489, 0),"-")</f>
        <v>-</v>
      </c>
      <c r="K489" s="34" t="s">
        <v>959</v>
      </c>
      <c r="L489" s="35" t="s">
        <v>959</v>
      </c>
      <c r="M489" s="34" t="str">
        <f>IF(OR(L489="-",L489="",L489=0),IF(K489="-","-",K489),K489-L489)</f>
        <v>-</v>
      </c>
      <c r="N489" s="4" t="str">
        <f>IFERROR(IF(K489&gt;0, L489/K489, 0),"-")</f>
        <v>-</v>
      </c>
      <c r="O489" s="34" t="s">
        <v>959</v>
      </c>
      <c r="P489" s="35" t="s">
        <v>959</v>
      </c>
      <c r="Q489" s="34" t="str">
        <f>IF(OR(P489="-",P489="",P489=0),IF(O489="-","-",O489),O489-P489)</f>
        <v>-</v>
      </c>
      <c r="R489" s="4" t="str">
        <f>IFERROR(IF(O489&gt;0, P489/O489, 0),"-")</f>
        <v>-</v>
      </c>
      <c r="S489" s="34">
        <v>249</v>
      </c>
      <c r="T489" s="34">
        <v>1</v>
      </c>
      <c r="U489" s="34">
        <v>3235</v>
      </c>
      <c r="V489" s="35" t="s">
        <v>959</v>
      </c>
      <c r="W489" s="35" t="s">
        <v>959</v>
      </c>
    </row>
    <row r="490" spans="1:23" x14ac:dyDescent="0.2">
      <c r="A490" s="30" t="s">
        <v>429</v>
      </c>
      <c r="B490" s="30" t="s">
        <v>1197</v>
      </c>
      <c r="C490" s="34">
        <v>156</v>
      </c>
      <c r="D490" s="35">
        <v>143</v>
      </c>
      <c r="E490" s="34">
        <f>IF(OR(D490="-",D490="",D490=0),IF(C490="-","-",C490),C490-D490)</f>
        <v>13</v>
      </c>
      <c r="F490" s="4">
        <f>IFERROR(IF(C490&gt;0, D490/C490, 0),"-")</f>
        <v>0.91666666666666663</v>
      </c>
      <c r="G490" s="34">
        <v>3</v>
      </c>
      <c r="H490" s="35">
        <v>1</v>
      </c>
      <c r="I490" s="34">
        <f>IF(OR(H490="-",H490="",H490=0),IF(G490="-","-",G490),G490-H490)</f>
        <v>2</v>
      </c>
      <c r="J490" s="4">
        <f>IFERROR(IF(G490&gt;0, H490/G490, 0),"-")</f>
        <v>0.33333333333333331</v>
      </c>
      <c r="K490" s="34">
        <v>1</v>
      </c>
      <c r="L490" s="35">
        <v>1</v>
      </c>
      <c r="M490" s="34">
        <f>IF(OR(L490="-",L490="",L490=0),IF(K490="-","-",K490),K490-L490)</f>
        <v>0</v>
      </c>
      <c r="N490" s="4">
        <f>IFERROR(IF(K490&gt;0, L490/K490, 0),"-")</f>
        <v>1</v>
      </c>
      <c r="O490" s="34">
        <v>4</v>
      </c>
      <c r="P490" s="35">
        <v>3</v>
      </c>
      <c r="Q490" s="34">
        <f>IF(OR(P490="-",P490="",P490=0),IF(O490="-","-",O490),O490-P490)</f>
        <v>1</v>
      </c>
      <c r="R490" s="4">
        <f>IFERROR(IF(O490&gt;0, P490/O490, 0),"-")</f>
        <v>0.75</v>
      </c>
      <c r="S490" s="34">
        <v>159</v>
      </c>
      <c r="T490" s="34" t="s">
        <v>959</v>
      </c>
      <c r="U490" s="34" t="s">
        <v>959</v>
      </c>
      <c r="V490" s="35" t="s">
        <v>959</v>
      </c>
      <c r="W490" s="35" t="s">
        <v>959</v>
      </c>
    </row>
    <row r="491" spans="1:23" x14ac:dyDescent="0.2">
      <c r="A491" s="30" t="s">
        <v>430</v>
      </c>
      <c r="B491" s="30" t="s">
        <v>1198</v>
      </c>
      <c r="C491" s="34">
        <v>72</v>
      </c>
      <c r="D491" s="35">
        <v>59</v>
      </c>
      <c r="E491" s="34">
        <f>IF(OR(D491="-",D491="",D491=0),IF(C491="-","-",C491),C491-D491)</f>
        <v>13</v>
      </c>
      <c r="F491" s="4">
        <f>IFERROR(IF(C491&gt;0, D491/C491, 0),"-")</f>
        <v>0.81944444444444442</v>
      </c>
      <c r="G491" s="34">
        <v>3</v>
      </c>
      <c r="H491" s="35">
        <v>1</v>
      </c>
      <c r="I491" s="34">
        <f>IF(OR(H491="-",H491="",H491=0),IF(G491="-","-",G491),G491-H491)</f>
        <v>2</v>
      </c>
      <c r="J491" s="4">
        <f>IFERROR(IF(G491&gt;0, H491/G491, 0),"-")</f>
        <v>0.33333333333333331</v>
      </c>
      <c r="K491" s="34" t="s">
        <v>959</v>
      </c>
      <c r="L491" s="35" t="s">
        <v>959</v>
      </c>
      <c r="M491" s="34" t="str">
        <f>IF(OR(L491="-",L491="",L491=0),IF(K491="-","-",K491),K491-L491)</f>
        <v>-</v>
      </c>
      <c r="N491" s="4" t="str">
        <f>IFERROR(IF(K491&gt;0, L491/K491, 0),"-")</f>
        <v>-</v>
      </c>
      <c r="O491" s="34">
        <v>1</v>
      </c>
      <c r="P491" s="35" t="s">
        <v>959</v>
      </c>
      <c r="Q491" s="34">
        <f>IF(OR(P491="-",P491="",P491=0),IF(O491="-","-",O491),O491-P491)</f>
        <v>1</v>
      </c>
      <c r="R491" s="4" t="str">
        <f>IFERROR(IF(O491&gt;0, P491/O491, 0),"-")</f>
        <v>-</v>
      </c>
      <c r="S491" s="34">
        <v>6</v>
      </c>
      <c r="T491" s="34">
        <v>1</v>
      </c>
      <c r="U491" s="34">
        <v>11000</v>
      </c>
      <c r="V491" s="35" t="s">
        <v>959</v>
      </c>
      <c r="W491" s="35" t="s">
        <v>959</v>
      </c>
    </row>
    <row r="492" spans="1:23" x14ac:dyDescent="0.2">
      <c r="A492" s="30" t="s">
        <v>432</v>
      </c>
      <c r="B492" s="30" t="s">
        <v>1199</v>
      </c>
      <c r="C492" s="34">
        <v>5</v>
      </c>
      <c r="D492" s="35">
        <v>4</v>
      </c>
      <c r="E492" s="34">
        <f>IF(OR(D492="-",D492="",D492=0),IF(C492="-","-",C492),C492-D492)</f>
        <v>1</v>
      </c>
      <c r="F492" s="4">
        <f>IFERROR(IF(C492&gt;0, D492/C492, 0),"-")</f>
        <v>0.8</v>
      </c>
      <c r="G492" s="34" t="s">
        <v>959</v>
      </c>
      <c r="H492" s="35" t="s">
        <v>959</v>
      </c>
      <c r="I492" s="34" t="str">
        <f>IF(OR(H492="-",H492="",H492=0),IF(G492="-","-",G492),G492-H492)</f>
        <v>-</v>
      </c>
      <c r="J492" s="4" t="str">
        <f>IFERROR(IF(G492&gt;0, H492/G492, 0),"-")</f>
        <v>-</v>
      </c>
      <c r="K492" s="34" t="s">
        <v>959</v>
      </c>
      <c r="L492" s="35" t="s">
        <v>959</v>
      </c>
      <c r="M492" s="34" t="str">
        <f>IF(OR(L492="-",L492="",L492=0),IF(K492="-","-",K492),K492-L492)</f>
        <v>-</v>
      </c>
      <c r="N492" s="4" t="str">
        <f>IFERROR(IF(K492&gt;0, L492/K492, 0),"-")</f>
        <v>-</v>
      </c>
      <c r="O492" s="34" t="s">
        <v>959</v>
      </c>
      <c r="P492" s="35" t="s">
        <v>959</v>
      </c>
      <c r="Q492" s="34" t="str">
        <f>IF(OR(P492="-",P492="",P492=0),IF(O492="-","-",O492),O492-P492)</f>
        <v>-</v>
      </c>
      <c r="R492" s="4" t="str">
        <f>IFERROR(IF(O492&gt;0, P492/O492, 0),"-")</f>
        <v>-</v>
      </c>
      <c r="S492" s="34" t="s">
        <v>959</v>
      </c>
      <c r="T492" s="34" t="s">
        <v>959</v>
      </c>
      <c r="U492" s="34" t="s">
        <v>959</v>
      </c>
      <c r="V492" s="35" t="s">
        <v>959</v>
      </c>
      <c r="W492" s="35" t="s">
        <v>959</v>
      </c>
    </row>
    <row r="493" spans="1:23" x14ac:dyDescent="0.2">
      <c r="A493" s="30" t="s">
        <v>425</v>
      </c>
      <c r="B493" s="30" t="s">
        <v>1200</v>
      </c>
      <c r="C493" s="34">
        <v>188</v>
      </c>
      <c r="D493" s="35">
        <v>178</v>
      </c>
      <c r="E493" s="34">
        <f>IF(OR(D493="-",D493="",D493=0),IF(C493="-","-",C493),C493-D493)</f>
        <v>10</v>
      </c>
      <c r="F493" s="4">
        <f>IFERROR(IF(C493&gt;0, D493/C493, 0),"-")</f>
        <v>0.94680851063829785</v>
      </c>
      <c r="G493" s="34">
        <v>2</v>
      </c>
      <c r="H493" s="35" t="s">
        <v>959</v>
      </c>
      <c r="I493" s="34">
        <f>IF(OR(H493="-",H493="",H493=0),IF(G493="-","-",G493),G493-H493)</f>
        <v>2</v>
      </c>
      <c r="J493" s="4" t="str">
        <f>IFERROR(IF(G493&gt;0, H493/G493, 0),"-")</f>
        <v>-</v>
      </c>
      <c r="K493" s="34" t="s">
        <v>959</v>
      </c>
      <c r="L493" s="35" t="s">
        <v>959</v>
      </c>
      <c r="M493" s="34" t="str">
        <f>IF(OR(L493="-",L493="",L493=0),IF(K493="-","-",K493),K493-L493)</f>
        <v>-</v>
      </c>
      <c r="N493" s="4" t="str">
        <f>IFERROR(IF(K493&gt;0, L493/K493, 0),"-")</f>
        <v>-</v>
      </c>
      <c r="O493" s="34">
        <v>1</v>
      </c>
      <c r="P493" s="35">
        <v>1</v>
      </c>
      <c r="Q493" s="34">
        <f>IF(OR(P493="-",P493="",P493=0),IF(O493="-","-",O493),O493-P493)</f>
        <v>0</v>
      </c>
      <c r="R493" s="4">
        <f>IFERROR(IF(O493&gt;0, P493/O493, 0),"-")</f>
        <v>1</v>
      </c>
      <c r="S493" s="34">
        <v>546</v>
      </c>
      <c r="T493" s="34" t="s">
        <v>959</v>
      </c>
      <c r="U493" s="34" t="s">
        <v>959</v>
      </c>
      <c r="V493" s="35" t="s">
        <v>959</v>
      </c>
      <c r="W493" s="35" t="s">
        <v>959</v>
      </c>
    </row>
    <row r="494" spans="1:23" x14ac:dyDescent="0.2">
      <c r="A494" s="30" t="s">
        <v>424</v>
      </c>
      <c r="B494" s="30" t="s">
        <v>1201</v>
      </c>
      <c r="C494" s="34">
        <v>193</v>
      </c>
      <c r="D494" s="35">
        <v>185</v>
      </c>
      <c r="E494" s="34">
        <f>IF(OR(D494="-",D494="",D494=0),IF(C494="-","-",C494),C494-D494)</f>
        <v>8</v>
      </c>
      <c r="F494" s="4">
        <f>IFERROR(IF(C494&gt;0, D494/C494, 0),"-")</f>
        <v>0.95854922279792742</v>
      </c>
      <c r="G494" s="34">
        <v>1</v>
      </c>
      <c r="H494" s="35">
        <v>1</v>
      </c>
      <c r="I494" s="34">
        <f>IF(OR(H494="-",H494="",H494=0),IF(G494="-","-",G494),G494-H494)</f>
        <v>0</v>
      </c>
      <c r="J494" s="4">
        <f>IFERROR(IF(G494&gt;0, H494/G494, 0),"-")</f>
        <v>1</v>
      </c>
      <c r="K494" s="34" t="s">
        <v>959</v>
      </c>
      <c r="L494" s="35" t="s">
        <v>959</v>
      </c>
      <c r="M494" s="34" t="str">
        <f>IF(OR(L494="-",L494="",L494=0),IF(K494="-","-",K494),K494-L494)</f>
        <v>-</v>
      </c>
      <c r="N494" s="4" t="str">
        <f>IFERROR(IF(K494&gt;0, L494/K494, 0),"-")</f>
        <v>-</v>
      </c>
      <c r="O494" s="34">
        <v>2</v>
      </c>
      <c r="P494" s="35" t="s">
        <v>959</v>
      </c>
      <c r="Q494" s="34">
        <f>IF(OR(P494="-",P494="",P494=0),IF(O494="-","-",O494),O494-P494)</f>
        <v>2</v>
      </c>
      <c r="R494" s="4" t="str">
        <f>IFERROR(IF(O494&gt;0, P494/O494, 0),"-")</f>
        <v>-</v>
      </c>
      <c r="S494" s="34">
        <v>248</v>
      </c>
      <c r="T494" s="34" t="s">
        <v>959</v>
      </c>
      <c r="U494" s="34" t="s">
        <v>959</v>
      </c>
      <c r="V494" s="35" t="s">
        <v>959</v>
      </c>
      <c r="W494" s="35" t="s">
        <v>959</v>
      </c>
    </row>
    <row r="495" spans="1:23" x14ac:dyDescent="0.2">
      <c r="A495" s="30" t="s">
        <v>428</v>
      </c>
      <c r="B495" s="30" t="s">
        <v>1202</v>
      </c>
      <c r="C495" s="34">
        <v>253</v>
      </c>
      <c r="D495" s="35">
        <v>237</v>
      </c>
      <c r="E495" s="34">
        <f>IF(OR(D495="-",D495="",D495=0),IF(C495="-","-",C495),C495-D495)</f>
        <v>16</v>
      </c>
      <c r="F495" s="4">
        <f>IFERROR(IF(C495&gt;0, D495/C495, 0),"-")</f>
        <v>0.93675889328063244</v>
      </c>
      <c r="G495" s="34">
        <v>1</v>
      </c>
      <c r="H495" s="35" t="s">
        <v>959</v>
      </c>
      <c r="I495" s="34">
        <f>IF(OR(H495="-",H495="",H495=0),IF(G495="-","-",G495),G495-H495)</f>
        <v>1</v>
      </c>
      <c r="J495" s="4" t="str">
        <f>IFERROR(IF(G495&gt;0, H495/G495, 0),"-")</f>
        <v>-</v>
      </c>
      <c r="K495" s="34">
        <v>1</v>
      </c>
      <c r="L495" s="35" t="s">
        <v>959</v>
      </c>
      <c r="M495" s="34">
        <f>IF(OR(L495="-",L495="",L495=0),IF(K495="-","-",K495),K495-L495)</f>
        <v>1</v>
      </c>
      <c r="N495" s="4" t="str">
        <f>IFERROR(IF(K495&gt;0, L495/K495, 0),"-")</f>
        <v>-</v>
      </c>
      <c r="O495" s="34">
        <v>1</v>
      </c>
      <c r="P495" s="35" t="s">
        <v>959</v>
      </c>
      <c r="Q495" s="34">
        <f>IF(OR(P495="-",P495="",P495=0),IF(O495="-","-",O495),O495-P495)</f>
        <v>1</v>
      </c>
      <c r="R495" s="4" t="str">
        <f>IFERROR(IF(O495&gt;0, P495/O495, 0),"-")</f>
        <v>-</v>
      </c>
      <c r="S495" s="34">
        <v>221</v>
      </c>
      <c r="T495" s="34" t="s">
        <v>959</v>
      </c>
      <c r="U495" s="34" t="s">
        <v>959</v>
      </c>
      <c r="V495" s="35">
        <v>2</v>
      </c>
      <c r="W495" s="35">
        <v>23736</v>
      </c>
    </row>
    <row r="496" spans="1:23" x14ac:dyDescent="0.2">
      <c r="A496" s="30" t="s">
        <v>426</v>
      </c>
      <c r="B496" s="30" t="s">
        <v>1203</v>
      </c>
      <c r="C496" s="34">
        <v>209</v>
      </c>
      <c r="D496" s="35">
        <v>193</v>
      </c>
      <c r="E496" s="34">
        <f>IF(OR(D496="-",D496="",D496=0),IF(C496="-","-",C496),C496-D496)</f>
        <v>16</v>
      </c>
      <c r="F496" s="4">
        <f>IFERROR(IF(C496&gt;0, D496/C496, 0),"-")</f>
        <v>0.92344497607655507</v>
      </c>
      <c r="G496" s="34">
        <v>3</v>
      </c>
      <c r="H496" s="35" t="s">
        <v>959</v>
      </c>
      <c r="I496" s="34">
        <f>IF(OR(H496="-",H496="",H496=0),IF(G496="-","-",G496),G496-H496)</f>
        <v>3</v>
      </c>
      <c r="J496" s="4" t="str">
        <f>IFERROR(IF(G496&gt;0, H496/G496, 0),"-")</f>
        <v>-</v>
      </c>
      <c r="K496" s="34">
        <v>1</v>
      </c>
      <c r="L496" s="35" t="s">
        <v>959</v>
      </c>
      <c r="M496" s="34">
        <f>IF(OR(L496="-",L496="",L496=0),IF(K496="-","-",K496),K496-L496)</f>
        <v>1</v>
      </c>
      <c r="N496" s="4" t="str">
        <f>IFERROR(IF(K496&gt;0, L496/K496, 0),"-")</f>
        <v>-</v>
      </c>
      <c r="O496" s="34">
        <v>2</v>
      </c>
      <c r="P496" s="35" t="s">
        <v>959</v>
      </c>
      <c r="Q496" s="34">
        <f>IF(OR(P496="-",P496="",P496=0),IF(O496="-","-",O496),O496-P496)</f>
        <v>2</v>
      </c>
      <c r="R496" s="4" t="str">
        <f>IFERROR(IF(O496&gt;0, P496/O496, 0),"-")</f>
        <v>-</v>
      </c>
      <c r="S496" s="34">
        <v>208</v>
      </c>
      <c r="T496" s="34">
        <v>1</v>
      </c>
      <c r="U496" s="34">
        <v>22700</v>
      </c>
      <c r="V496" s="35" t="s">
        <v>959</v>
      </c>
      <c r="W496" s="35" t="s">
        <v>959</v>
      </c>
    </row>
    <row r="497" spans="1:23" x14ac:dyDescent="0.2">
      <c r="A497" s="29"/>
      <c r="B497" s="29" t="s">
        <v>111</v>
      </c>
      <c r="C497" s="32">
        <v>1161</v>
      </c>
      <c r="D497" s="32">
        <v>1138</v>
      </c>
      <c r="E497" s="32">
        <f>IF(OR(D497="-",D497="",D497=0),IF(C497="-","-",C497),C497-D497)</f>
        <v>23</v>
      </c>
      <c r="F497" s="36">
        <f>IFERROR(IF(C497&gt;0, D497/C497, 0),"-")</f>
        <v>0.98018949181739878</v>
      </c>
      <c r="G497" s="32">
        <v>4</v>
      </c>
      <c r="H497" s="32">
        <v>1</v>
      </c>
      <c r="I497" s="32">
        <f>IF(OR(H497="-",H497="",H497=0),IF(G497="-","-",G497),G497-H497)</f>
        <v>3</v>
      </c>
      <c r="J497" s="36">
        <f>IFERROR(IF(G497&gt;0, H497/G497, 0),"-")</f>
        <v>0.25</v>
      </c>
      <c r="K497" s="32">
        <v>6</v>
      </c>
      <c r="L497" s="32">
        <v>3</v>
      </c>
      <c r="M497" s="32">
        <f>IF(OR(L497="-",L497="",L497=0),IF(K497="-","-",K497),K497-L497)</f>
        <v>3</v>
      </c>
      <c r="N497" s="36">
        <f>IFERROR(IF(K497&gt;0, L497/K497, 0),"-")</f>
        <v>0.5</v>
      </c>
      <c r="O497" s="32">
        <v>16</v>
      </c>
      <c r="P497" s="32" t="s">
        <v>959</v>
      </c>
      <c r="Q497" s="32">
        <f>IF(OR(P497="-",P497="",P497=0),IF(O497="-","-",O497),O497-P497)</f>
        <v>16</v>
      </c>
      <c r="R497" s="36" t="str">
        <f>IFERROR(IF(O497&gt;0, P497/O497, 0),"-")</f>
        <v>-</v>
      </c>
      <c r="S497" s="32">
        <v>460</v>
      </c>
      <c r="T497" s="32">
        <v>4</v>
      </c>
      <c r="U497" s="32">
        <v>17040</v>
      </c>
      <c r="V497" s="32">
        <v>3</v>
      </c>
      <c r="W497" s="32">
        <v>78489</v>
      </c>
    </row>
    <row r="498" spans="1:23" x14ac:dyDescent="0.2">
      <c r="A498" s="30" t="s">
        <v>805</v>
      </c>
      <c r="B498" s="30" t="s">
        <v>1204</v>
      </c>
      <c r="C498" s="34">
        <v>339</v>
      </c>
      <c r="D498" s="35">
        <v>333</v>
      </c>
      <c r="E498" s="34">
        <f>IF(OR(D498="-",D498="",D498=0),IF(C498="-","-",C498),C498-D498)</f>
        <v>6</v>
      </c>
      <c r="F498" s="4">
        <f>IFERROR(IF(C498&gt;0, D498/C498, 0),"-")</f>
        <v>0.98230088495575218</v>
      </c>
      <c r="G498" s="34" t="s">
        <v>959</v>
      </c>
      <c r="H498" s="35" t="s">
        <v>959</v>
      </c>
      <c r="I498" s="34" t="str">
        <f>IF(OR(H498="-",H498="",H498=0),IF(G498="-","-",G498),G498-H498)</f>
        <v>-</v>
      </c>
      <c r="J498" s="4" t="str">
        <f>IFERROR(IF(G498&gt;0, H498/G498, 0),"-")</f>
        <v>-</v>
      </c>
      <c r="K498" s="34">
        <v>1</v>
      </c>
      <c r="L498" s="35" t="s">
        <v>959</v>
      </c>
      <c r="M498" s="34">
        <f>IF(OR(L498="-",L498="",L498=0),IF(K498="-","-",K498),K498-L498)</f>
        <v>1</v>
      </c>
      <c r="N498" s="4" t="str">
        <f>IFERROR(IF(K498&gt;0, L498/K498, 0),"-")</f>
        <v>-</v>
      </c>
      <c r="O498" s="34">
        <v>3</v>
      </c>
      <c r="P498" s="35" t="s">
        <v>959</v>
      </c>
      <c r="Q498" s="34">
        <f>IF(OR(P498="-",P498="",P498=0),IF(O498="-","-",O498),O498-P498)</f>
        <v>3</v>
      </c>
      <c r="R498" s="4" t="str">
        <f>IFERROR(IF(O498&gt;0, P498/O498, 0),"-")</f>
        <v>-</v>
      </c>
      <c r="S498" s="34">
        <v>76</v>
      </c>
      <c r="T498" s="34">
        <v>2</v>
      </c>
      <c r="U498" s="34">
        <v>7465</v>
      </c>
      <c r="V498" s="35" t="s">
        <v>959</v>
      </c>
      <c r="W498" s="35" t="s">
        <v>959</v>
      </c>
    </row>
    <row r="499" spans="1:23" x14ac:dyDescent="0.2">
      <c r="A499" s="30" t="s">
        <v>806</v>
      </c>
      <c r="B499" s="30" t="s">
        <v>1205</v>
      </c>
      <c r="C499" s="34">
        <v>191</v>
      </c>
      <c r="D499" s="35">
        <v>183</v>
      </c>
      <c r="E499" s="34">
        <f>IF(OR(D499="-",D499="",D499=0),IF(C499="-","-",C499),C499-D499)</f>
        <v>8</v>
      </c>
      <c r="F499" s="4">
        <f>IFERROR(IF(C499&gt;0, D499/C499, 0),"-")</f>
        <v>0.95811518324607325</v>
      </c>
      <c r="G499" s="34" t="s">
        <v>959</v>
      </c>
      <c r="H499" s="35" t="s">
        <v>959</v>
      </c>
      <c r="I499" s="34" t="str">
        <f>IF(OR(H499="-",H499="",H499=0),IF(G499="-","-",G499),G499-H499)</f>
        <v>-</v>
      </c>
      <c r="J499" s="4" t="str">
        <f>IFERROR(IF(G499&gt;0, H499/G499, 0),"-")</f>
        <v>-</v>
      </c>
      <c r="K499" s="34">
        <v>1</v>
      </c>
      <c r="L499" s="35" t="s">
        <v>959</v>
      </c>
      <c r="M499" s="34">
        <f>IF(OR(L499="-",L499="",L499=0),IF(K499="-","-",K499),K499-L499)</f>
        <v>1</v>
      </c>
      <c r="N499" s="4" t="str">
        <f>IFERROR(IF(K499&gt;0, L499/K499, 0),"-")</f>
        <v>-</v>
      </c>
      <c r="O499" s="34">
        <v>2</v>
      </c>
      <c r="P499" s="35" t="s">
        <v>959</v>
      </c>
      <c r="Q499" s="34">
        <f>IF(OR(P499="-",P499="",P499=0),IF(O499="-","-",O499),O499-P499)</f>
        <v>2</v>
      </c>
      <c r="R499" s="4" t="str">
        <f>IFERROR(IF(O499&gt;0, P499/O499, 0),"-")</f>
        <v>-</v>
      </c>
      <c r="S499" s="34">
        <v>87</v>
      </c>
      <c r="T499" s="34" t="s">
        <v>959</v>
      </c>
      <c r="U499" s="34" t="s">
        <v>959</v>
      </c>
      <c r="V499" s="35" t="s">
        <v>959</v>
      </c>
      <c r="W499" s="35" t="s">
        <v>959</v>
      </c>
    </row>
    <row r="500" spans="1:23" x14ac:dyDescent="0.2">
      <c r="A500" s="30" t="s">
        <v>808</v>
      </c>
      <c r="B500" s="30" t="s">
        <v>1206</v>
      </c>
      <c r="C500" s="34">
        <v>162</v>
      </c>
      <c r="D500" s="35">
        <v>160</v>
      </c>
      <c r="E500" s="34">
        <f>IF(OR(D500="-",D500="",D500=0),IF(C500="-","-",C500),C500-D500)</f>
        <v>2</v>
      </c>
      <c r="F500" s="4">
        <f>IFERROR(IF(C500&gt;0, D500/C500, 0),"-")</f>
        <v>0.98765432098765427</v>
      </c>
      <c r="G500" s="34">
        <v>4</v>
      </c>
      <c r="H500" s="35">
        <v>1</v>
      </c>
      <c r="I500" s="34">
        <f>IF(OR(H500="-",H500="",H500=0),IF(G500="-","-",G500),G500-H500)</f>
        <v>3</v>
      </c>
      <c r="J500" s="4">
        <f>IFERROR(IF(G500&gt;0, H500/G500, 0),"-")</f>
        <v>0.25</v>
      </c>
      <c r="K500" s="34">
        <v>1</v>
      </c>
      <c r="L500" s="35" t="s">
        <v>959</v>
      </c>
      <c r="M500" s="34">
        <f>IF(OR(L500="-",L500="",L500=0),IF(K500="-","-",K500),K500-L500)</f>
        <v>1</v>
      </c>
      <c r="N500" s="4" t="str">
        <f>IFERROR(IF(K500&gt;0, L500/K500, 0),"-")</f>
        <v>-</v>
      </c>
      <c r="O500" s="34">
        <v>5</v>
      </c>
      <c r="P500" s="35" t="s">
        <v>959</v>
      </c>
      <c r="Q500" s="34">
        <f>IF(OR(P500="-",P500="",P500=0),IF(O500="-","-",O500),O500-P500)</f>
        <v>5</v>
      </c>
      <c r="R500" s="4" t="str">
        <f>IFERROR(IF(O500&gt;0, P500/O500, 0),"-")</f>
        <v>-</v>
      </c>
      <c r="S500" s="34">
        <v>100</v>
      </c>
      <c r="T500" s="34">
        <v>1</v>
      </c>
      <c r="U500" s="34">
        <v>6880</v>
      </c>
      <c r="V500" s="35">
        <v>1</v>
      </c>
      <c r="W500" s="35">
        <v>52574</v>
      </c>
    </row>
    <row r="501" spans="1:23" x14ac:dyDescent="0.2">
      <c r="A501" s="30" t="s">
        <v>804</v>
      </c>
      <c r="B501" s="30" t="s">
        <v>1207</v>
      </c>
      <c r="C501" s="34">
        <v>325</v>
      </c>
      <c r="D501" s="35">
        <v>322</v>
      </c>
      <c r="E501" s="34">
        <f>IF(OR(D501="-",D501="",D501=0),IF(C501="-","-",C501),C501-D501)</f>
        <v>3</v>
      </c>
      <c r="F501" s="4">
        <f>IFERROR(IF(C501&gt;0, D501/C501, 0),"-")</f>
        <v>0.99076923076923074</v>
      </c>
      <c r="G501" s="34" t="s">
        <v>959</v>
      </c>
      <c r="H501" s="35" t="s">
        <v>959</v>
      </c>
      <c r="I501" s="34" t="str">
        <f>IF(OR(H501="-",H501="",H501=0),IF(G501="-","-",G501),G501-H501)</f>
        <v>-</v>
      </c>
      <c r="J501" s="4" t="str">
        <f>IFERROR(IF(G501&gt;0, H501/G501, 0),"-")</f>
        <v>-</v>
      </c>
      <c r="K501" s="34">
        <v>1</v>
      </c>
      <c r="L501" s="35">
        <v>1</v>
      </c>
      <c r="M501" s="34">
        <f>IF(OR(L501="-",L501="",L501=0),IF(K501="-","-",K501),K501-L501)</f>
        <v>0</v>
      </c>
      <c r="N501" s="4">
        <f>IFERROR(IF(K501&gt;0, L501/K501, 0),"-")</f>
        <v>1</v>
      </c>
      <c r="O501" s="34">
        <v>2</v>
      </c>
      <c r="P501" s="35" t="s">
        <v>959</v>
      </c>
      <c r="Q501" s="34">
        <f>IF(OR(P501="-",P501="",P501=0),IF(O501="-","-",O501),O501-P501)</f>
        <v>2</v>
      </c>
      <c r="R501" s="4" t="str">
        <f>IFERROR(IF(O501&gt;0, P501/O501, 0),"-")</f>
        <v>-</v>
      </c>
      <c r="S501" s="34">
        <v>76</v>
      </c>
      <c r="T501" s="34" t="s">
        <v>959</v>
      </c>
      <c r="U501" s="34" t="s">
        <v>959</v>
      </c>
      <c r="V501" s="35">
        <v>1</v>
      </c>
      <c r="W501" s="35">
        <v>19357</v>
      </c>
    </row>
    <row r="502" spans="1:23" x14ac:dyDescent="0.2">
      <c r="A502" s="30" t="s">
        <v>809</v>
      </c>
      <c r="B502" s="30" t="s">
        <v>1208</v>
      </c>
      <c r="C502" s="34">
        <v>16</v>
      </c>
      <c r="D502" s="35">
        <v>15</v>
      </c>
      <c r="E502" s="34">
        <f>IF(OR(D502="-",D502="",D502=0),IF(C502="-","-",C502),C502-D502)</f>
        <v>1</v>
      </c>
      <c r="F502" s="4">
        <f>IFERROR(IF(C502&gt;0, D502/C502, 0),"-")</f>
        <v>0.9375</v>
      </c>
      <c r="G502" s="34" t="s">
        <v>959</v>
      </c>
      <c r="H502" s="35" t="s">
        <v>959</v>
      </c>
      <c r="I502" s="34" t="str">
        <f>IF(OR(H502="-",H502="",H502=0),IF(G502="-","-",G502),G502-H502)</f>
        <v>-</v>
      </c>
      <c r="J502" s="4" t="str">
        <f>IFERROR(IF(G502&gt;0, H502/G502, 0),"-")</f>
        <v>-</v>
      </c>
      <c r="K502" s="34" t="s">
        <v>959</v>
      </c>
      <c r="L502" s="35" t="s">
        <v>959</v>
      </c>
      <c r="M502" s="34" t="str">
        <f>IF(OR(L502="-",L502="",L502=0),IF(K502="-","-",K502),K502-L502)</f>
        <v>-</v>
      </c>
      <c r="N502" s="4" t="str">
        <f>IFERROR(IF(K502&gt;0, L502/K502, 0),"-")</f>
        <v>-</v>
      </c>
      <c r="O502" s="34" t="s">
        <v>959</v>
      </c>
      <c r="P502" s="35" t="s">
        <v>959</v>
      </c>
      <c r="Q502" s="34" t="str">
        <f>IF(OR(P502="-",P502="",P502=0),IF(O502="-","-",O502),O502-P502)</f>
        <v>-</v>
      </c>
      <c r="R502" s="4" t="str">
        <f>IFERROR(IF(O502&gt;0, P502/O502, 0),"-")</f>
        <v>-</v>
      </c>
      <c r="S502" s="34">
        <v>31</v>
      </c>
      <c r="T502" s="34" t="s">
        <v>959</v>
      </c>
      <c r="U502" s="34" t="s">
        <v>959</v>
      </c>
      <c r="V502" s="35" t="s">
        <v>959</v>
      </c>
      <c r="W502" s="35" t="s">
        <v>959</v>
      </c>
    </row>
    <row r="503" spans="1:23" x14ac:dyDescent="0.2">
      <c r="A503" s="30" t="s">
        <v>807</v>
      </c>
      <c r="B503" s="30" t="s">
        <v>1209</v>
      </c>
      <c r="C503" s="34">
        <v>128</v>
      </c>
      <c r="D503" s="35">
        <v>125</v>
      </c>
      <c r="E503" s="34">
        <f>IF(OR(D503="-",D503="",D503=0),IF(C503="-","-",C503),C503-D503)</f>
        <v>3</v>
      </c>
      <c r="F503" s="4">
        <f>IFERROR(IF(C503&gt;0, D503/C503, 0),"-")</f>
        <v>0.9765625</v>
      </c>
      <c r="G503" s="34" t="s">
        <v>959</v>
      </c>
      <c r="H503" s="35" t="s">
        <v>959</v>
      </c>
      <c r="I503" s="34" t="str">
        <f>IF(OR(H503="-",H503="",H503=0),IF(G503="-","-",G503),G503-H503)</f>
        <v>-</v>
      </c>
      <c r="J503" s="4" t="str">
        <f>IFERROR(IF(G503&gt;0, H503/G503, 0),"-")</f>
        <v>-</v>
      </c>
      <c r="K503" s="34">
        <v>2</v>
      </c>
      <c r="L503" s="35">
        <v>2</v>
      </c>
      <c r="M503" s="34">
        <f>IF(OR(L503="-",L503="",L503=0),IF(K503="-","-",K503),K503-L503)</f>
        <v>0</v>
      </c>
      <c r="N503" s="4">
        <f>IFERROR(IF(K503&gt;0, L503/K503, 0),"-")</f>
        <v>1</v>
      </c>
      <c r="O503" s="34">
        <v>4</v>
      </c>
      <c r="P503" s="35" t="s">
        <v>959</v>
      </c>
      <c r="Q503" s="34">
        <f>IF(OR(P503="-",P503="",P503=0),IF(O503="-","-",O503),O503-P503)</f>
        <v>4</v>
      </c>
      <c r="R503" s="4" t="str">
        <f>IFERROR(IF(O503&gt;0, P503/O503, 0),"-")</f>
        <v>-</v>
      </c>
      <c r="S503" s="34">
        <v>90</v>
      </c>
      <c r="T503" s="34">
        <v>1</v>
      </c>
      <c r="U503" s="34">
        <v>2695</v>
      </c>
      <c r="V503" s="35">
        <v>1</v>
      </c>
      <c r="W503" s="35">
        <v>6558</v>
      </c>
    </row>
    <row r="504" spans="1:23" x14ac:dyDescent="0.2">
      <c r="A504" s="29"/>
      <c r="B504" s="29" t="s">
        <v>83</v>
      </c>
      <c r="C504" s="32">
        <v>690</v>
      </c>
      <c r="D504" s="32">
        <v>663</v>
      </c>
      <c r="E504" s="32">
        <f>IF(OR(D504="-",D504="",D504=0),IF(C504="-","-",C504),C504-D504)</f>
        <v>27</v>
      </c>
      <c r="F504" s="36">
        <f>IFERROR(IF(C504&gt;0, D504/C504, 0),"-")</f>
        <v>0.96086956521739131</v>
      </c>
      <c r="G504" s="32">
        <v>14</v>
      </c>
      <c r="H504" s="32">
        <v>8</v>
      </c>
      <c r="I504" s="32">
        <f>IF(OR(H504="-",H504="",H504=0),IF(G504="-","-",G504),G504-H504)</f>
        <v>6</v>
      </c>
      <c r="J504" s="36">
        <f>IFERROR(IF(G504&gt;0, H504/G504, 0),"-")</f>
        <v>0.5714285714285714</v>
      </c>
      <c r="K504" s="32">
        <v>3</v>
      </c>
      <c r="L504" s="32">
        <v>3</v>
      </c>
      <c r="M504" s="32">
        <f>IF(OR(L504="-",L504="",L504=0),IF(K504="-","-",K504),K504-L504)</f>
        <v>0</v>
      </c>
      <c r="N504" s="36">
        <f>IFERROR(IF(K504&gt;0, L504/K504, 0),"-")</f>
        <v>1</v>
      </c>
      <c r="O504" s="32">
        <v>13</v>
      </c>
      <c r="P504" s="32">
        <v>5</v>
      </c>
      <c r="Q504" s="32">
        <f>IF(OR(P504="-",P504="",P504=0),IF(O504="-","-",O504),O504-P504)</f>
        <v>8</v>
      </c>
      <c r="R504" s="36">
        <f>IFERROR(IF(O504&gt;0, P504/O504, 0),"-")</f>
        <v>0.38461538461538464</v>
      </c>
      <c r="S504" s="32">
        <v>920</v>
      </c>
      <c r="T504" s="32">
        <v>8</v>
      </c>
      <c r="U504" s="32">
        <v>32115</v>
      </c>
      <c r="V504" s="32">
        <v>7</v>
      </c>
      <c r="W504" s="32">
        <v>190162</v>
      </c>
    </row>
    <row r="505" spans="1:23" x14ac:dyDescent="0.2">
      <c r="A505" s="30" t="s">
        <v>558</v>
      </c>
      <c r="B505" s="30" t="s">
        <v>1210</v>
      </c>
      <c r="C505" s="34">
        <v>287</v>
      </c>
      <c r="D505" s="35">
        <v>276</v>
      </c>
      <c r="E505" s="34">
        <f>IF(OR(D505="-",D505="",D505=0),IF(C505="-","-",C505),C505-D505)</f>
        <v>11</v>
      </c>
      <c r="F505" s="4">
        <f>IFERROR(IF(C505&gt;0, D505/C505, 0),"-")</f>
        <v>0.9616724738675958</v>
      </c>
      <c r="G505" s="34">
        <v>3</v>
      </c>
      <c r="H505" s="35">
        <v>3</v>
      </c>
      <c r="I505" s="34">
        <f>IF(OR(H505="-",H505="",H505=0),IF(G505="-","-",G505),G505-H505)</f>
        <v>0</v>
      </c>
      <c r="J505" s="4">
        <f>IFERROR(IF(G505&gt;0, H505/G505, 0),"-")</f>
        <v>1</v>
      </c>
      <c r="K505" s="34" t="s">
        <v>959</v>
      </c>
      <c r="L505" s="35" t="s">
        <v>959</v>
      </c>
      <c r="M505" s="34" t="str">
        <f>IF(OR(L505="-",L505="",L505=0),IF(K505="-","-",K505),K505-L505)</f>
        <v>-</v>
      </c>
      <c r="N505" s="4" t="str">
        <f>IFERROR(IF(K505&gt;0, L505/K505, 0),"-")</f>
        <v>-</v>
      </c>
      <c r="O505" s="34">
        <v>3</v>
      </c>
      <c r="P505" s="35" t="s">
        <v>959</v>
      </c>
      <c r="Q505" s="34">
        <f>IF(OR(P505="-",P505="",P505=0),IF(O505="-","-",O505),O505-P505)</f>
        <v>3</v>
      </c>
      <c r="R505" s="4" t="str">
        <f>IFERROR(IF(O505&gt;0, P505/O505, 0),"-")</f>
        <v>-</v>
      </c>
      <c r="S505" s="34">
        <v>273</v>
      </c>
      <c r="T505" s="34">
        <v>1</v>
      </c>
      <c r="U505" s="34">
        <v>2800</v>
      </c>
      <c r="V505" s="35">
        <v>2</v>
      </c>
      <c r="W505" s="35">
        <v>92984</v>
      </c>
    </row>
    <row r="506" spans="1:23" x14ac:dyDescent="0.2">
      <c r="A506" s="30" t="s">
        <v>560</v>
      </c>
      <c r="B506" s="30" t="s">
        <v>1211</v>
      </c>
      <c r="C506" s="34">
        <v>1</v>
      </c>
      <c r="D506" s="35">
        <v>1</v>
      </c>
      <c r="E506" s="34">
        <f>IF(OR(D506="-",D506="",D506=0),IF(C506="-","-",C506),C506-D506)</f>
        <v>0</v>
      </c>
      <c r="F506" s="4">
        <f>IFERROR(IF(C506&gt;0, D506/C506, 0),"-")</f>
        <v>1</v>
      </c>
      <c r="G506" s="34" t="s">
        <v>959</v>
      </c>
      <c r="H506" s="35" t="s">
        <v>959</v>
      </c>
      <c r="I506" s="34" t="str">
        <f>IF(OR(H506="-",H506="",H506=0),IF(G506="-","-",G506),G506-H506)</f>
        <v>-</v>
      </c>
      <c r="J506" s="4" t="str">
        <f>IFERROR(IF(G506&gt;0, H506/G506, 0),"-")</f>
        <v>-</v>
      </c>
      <c r="K506" s="34" t="s">
        <v>959</v>
      </c>
      <c r="L506" s="35" t="s">
        <v>959</v>
      </c>
      <c r="M506" s="34" t="str">
        <f>IF(OR(L506="-",L506="",L506=0),IF(K506="-","-",K506),K506-L506)</f>
        <v>-</v>
      </c>
      <c r="N506" s="4" t="str">
        <f>IFERROR(IF(K506&gt;0, L506/K506, 0),"-")</f>
        <v>-</v>
      </c>
      <c r="O506" s="34" t="s">
        <v>959</v>
      </c>
      <c r="P506" s="35" t="s">
        <v>959</v>
      </c>
      <c r="Q506" s="34" t="str">
        <f>IF(OR(P506="-",P506="",P506=0),IF(O506="-","-",O506),O506-P506)</f>
        <v>-</v>
      </c>
      <c r="R506" s="4" t="str">
        <f>IFERROR(IF(O506&gt;0, P506/O506, 0),"-")</f>
        <v>-</v>
      </c>
      <c r="S506" s="34" t="s">
        <v>959</v>
      </c>
      <c r="T506" s="34" t="s">
        <v>959</v>
      </c>
      <c r="U506" s="34" t="s">
        <v>959</v>
      </c>
      <c r="V506" s="35" t="s">
        <v>959</v>
      </c>
      <c r="W506" s="35" t="s">
        <v>959</v>
      </c>
    </row>
    <row r="507" spans="1:23" x14ac:dyDescent="0.2">
      <c r="A507" s="30" t="s">
        <v>556</v>
      </c>
      <c r="B507" s="30" t="s">
        <v>1212</v>
      </c>
      <c r="C507" s="34">
        <v>194</v>
      </c>
      <c r="D507" s="35">
        <v>184</v>
      </c>
      <c r="E507" s="34">
        <f>IF(OR(D507="-",D507="",D507=0),IF(C507="-","-",C507),C507-D507)</f>
        <v>10</v>
      </c>
      <c r="F507" s="4">
        <f>IFERROR(IF(C507&gt;0, D507/C507, 0),"-")</f>
        <v>0.94845360824742264</v>
      </c>
      <c r="G507" s="34">
        <v>3</v>
      </c>
      <c r="H507" s="35">
        <v>2</v>
      </c>
      <c r="I507" s="34">
        <f>IF(OR(H507="-",H507="",H507=0),IF(G507="-","-",G507),G507-H507)</f>
        <v>1</v>
      </c>
      <c r="J507" s="4">
        <f>IFERROR(IF(G507&gt;0, H507/G507, 0),"-")</f>
        <v>0.66666666666666663</v>
      </c>
      <c r="K507" s="34">
        <v>1</v>
      </c>
      <c r="L507" s="35">
        <v>1</v>
      </c>
      <c r="M507" s="34">
        <f>IF(OR(L507="-",L507="",L507=0),IF(K507="-","-",K507),K507-L507)</f>
        <v>0</v>
      </c>
      <c r="N507" s="4">
        <f>IFERROR(IF(K507&gt;0, L507/K507, 0),"-")</f>
        <v>1</v>
      </c>
      <c r="O507" s="34">
        <v>7</v>
      </c>
      <c r="P507" s="35">
        <v>3</v>
      </c>
      <c r="Q507" s="34">
        <f>IF(OR(P507="-",P507="",P507=0),IF(O507="-","-",O507),O507-P507)</f>
        <v>4</v>
      </c>
      <c r="R507" s="4">
        <f>IFERROR(IF(O507&gt;0, P507/O507, 0),"-")</f>
        <v>0.42857142857142855</v>
      </c>
      <c r="S507" s="34">
        <v>164</v>
      </c>
      <c r="T507" s="34">
        <v>6</v>
      </c>
      <c r="U507" s="34">
        <v>26620</v>
      </c>
      <c r="V507" s="35" t="s">
        <v>959</v>
      </c>
      <c r="W507" s="35" t="s">
        <v>959</v>
      </c>
    </row>
    <row r="508" spans="1:23" x14ac:dyDescent="0.2">
      <c r="A508" s="30" t="s">
        <v>557</v>
      </c>
      <c r="B508" s="30" t="s">
        <v>1213</v>
      </c>
      <c r="C508" s="34">
        <v>205</v>
      </c>
      <c r="D508" s="35">
        <v>200</v>
      </c>
      <c r="E508" s="34">
        <f>IF(OR(D508="-",D508="",D508=0),IF(C508="-","-",C508),C508-D508)</f>
        <v>5</v>
      </c>
      <c r="F508" s="4">
        <f>IFERROR(IF(C508&gt;0, D508/C508, 0),"-")</f>
        <v>0.97560975609756095</v>
      </c>
      <c r="G508" s="34">
        <v>8</v>
      </c>
      <c r="H508" s="35">
        <v>3</v>
      </c>
      <c r="I508" s="34">
        <f>IF(OR(H508="-",H508="",H508=0),IF(G508="-","-",G508),G508-H508)</f>
        <v>5</v>
      </c>
      <c r="J508" s="4">
        <f>IFERROR(IF(G508&gt;0, H508/G508, 0),"-")</f>
        <v>0.375</v>
      </c>
      <c r="K508" s="34">
        <v>2</v>
      </c>
      <c r="L508" s="35">
        <v>2</v>
      </c>
      <c r="M508" s="34">
        <f>IF(OR(L508="-",L508="",L508=0),IF(K508="-","-",K508),K508-L508)</f>
        <v>0</v>
      </c>
      <c r="N508" s="4">
        <f>IFERROR(IF(K508&gt;0, L508/K508, 0),"-")</f>
        <v>1</v>
      </c>
      <c r="O508" s="34">
        <v>3</v>
      </c>
      <c r="P508" s="35">
        <v>2</v>
      </c>
      <c r="Q508" s="34">
        <f>IF(OR(P508="-",P508="",P508=0),IF(O508="-","-",O508),O508-P508)</f>
        <v>1</v>
      </c>
      <c r="R508" s="4">
        <f>IFERROR(IF(O508&gt;0, P508/O508, 0),"-")</f>
        <v>0.66666666666666663</v>
      </c>
      <c r="S508" s="34">
        <v>483</v>
      </c>
      <c r="T508" s="34">
        <v>1</v>
      </c>
      <c r="U508" s="34">
        <v>2695</v>
      </c>
      <c r="V508" s="35">
        <v>5</v>
      </c>
      <c r="W508" s="35">
        <v>97178</v>
      </c>
    </row>
    <row r="509" spans="1:23" x14ac:dyDescent="0.2">
      <c r="A509" s="30" t="s">
        <v>559</v>
      </c>
      <c r="B509" s="30" t="s">
        <v>1214</v>
      </c>
      <c r="C509" s="34">
        <v>3</v>
      </c>
      <c r="D509" s="35">
        <v>2</v>
      </c>
      <c r="E509" s="34">
        <f>IF(OR(D509="-",D509="",D509=0),IF(C509="-","-",C509),C509-D509)</f>
        <v>1</v>
      </c>
      <c r="F509" s="4">
        <f>IFERROR(IF(C509&gt;0, D509/C509, 0),"-")</f>
        <v>0.66666666666666663</v>
      </c>
      <c r="G509" s="34" t="s">
        <v>959</v>
      </c>
      <c r="H509" s="35" t="s">
        <v>959</v>
      </c>
      <c r="I509" s="34" t="str">
        <f>IF(OR(H509="-",H509="",H509=0),IF(G509="-","-",G509),G509-H509)</f>
        <v>-</v>
      </c>
      <c r="J509" s="4" t="str">
        <f>IFERROR(IF(G509&gt;0, H509/G509, 0),"-")</f>
        <v>-</v>
      </c>
      <c r="K509" s="34" t="s">
        <v>959</v>
      </c>
      <c r="L509" s="35" t="s">
        <v>959</v>
      </c>
      <c r="M509" s="34" t="str">
        <f>IF(OR(L509="-",L509="",L509=0),IF(K509="-","-",K509),K509-L509)</f>
        <v>-</v>
      </c>
      <c r="N509" s="4" t="str">
        <f>IFERROR(IF(K509&gt;0, L509/K509, 0),"-")</f>
        <v>-</v>
      </c>
      <c r="O509" s="34" t="s">
        <v>959</v>
      </c>
      <c r="P509" s="35" t="s">
        <v>959</v>
      </c>
      <c r="Q509" s="34" t="str">
        <f>IF(OR(P509="-",P509="",P509=0),IF(O509="-","-",O509),O509-P509)</f>
        <v>-</v>
      </c>
      <c r="R509" s="4" t="str">
        <f>IFERROR(IF(O509&gt;0, P509/O509, 0),"-")</f>
        <v>-</v>
      </c>
      <c r="S509" s="34" t="s">
        <v>959</v>
      </c>
      <c r="T509" s="34" t="s">
        <v>959</v>
      </c>
      <c r="U509" s="34" t="s">
        <v>959</v>
      </c>
      <c r="V509" s="35" t="s">
        <v>959</v>
      </c>
      <c r="W509" s="35" t="s">
        <v>959</v>
      </c>
    </row>
    <row r="510" spans="1:23" x14ac:dyDescent="0.2">
      <c r="A510" s="29"/>
      <c r="B510" s="29" t="s">
        <v>116</v>
      </c>
      <c r="C510" s="32">
        <v>1065</v>
      </c>
      <c r="D510" s="32">
        <v>1022</v>
      </c>
      <c r="E510" s="32">
        <f>IF(OR(D510="-",D510="",D510=0),IF(C510="-","-",C510),C510-D510)</f>
        <v>43</v>
      </c>
      <c r="F510" s="36">
        <f>IFERROR(IF(C510&gt;0, D510/C510, 0),"-")</f>
        <v>0.95962441314553992</v>
      </c>
      <c r="G510" s="32">
        <v>20</v>
      </c>
      <c r="H510" s="32">
        <v>6</v>
      </c>
      <c r="I510" s="32">
        <f>IF(OR(H510="-",H510="",H510=0),IF(G510="-","-",G510),G510-H510)</f>
        <v>14</v>
      </c>
      <c r="J510" s="36">
        <f>IFERROR(IF(G510&gt;0, H510/G510, 0),"-")</f>
        <v>0.3</v>
      </c>
      <c r="K510" s="32">
        <v>21</v>
      </c>
      <c r="L510" s="32">
        <v>8</v>
      </c>
      <c r="M510" s="32">
        <f>IF(OR(L510="-",L510="",L510=0),IF(K510="-","-",K510),K510-L510)</f>
        <v>13</v>
      </c>
      <c r="N510" s="36">
        <f>IFERROR(IF(K510&gt;0, L510/K510, 0),"-")</f>
        <v>0.38095238095238093</v>
      </c>
      <c r="O510" s="32">
        <v>12</v>
      </c>
      <c r="P510" s="32">
        <v>2</v>
      </c>
      <c r="Q510" s="32">
        <f>IF(OR(P510="-",P510="",P510=0),IF(O510="-","-",O510),O510-P510)</f>
        <v>10</v>
      </c>
      <c r="R510" s="36">
        <f>IFERROR(IF(O510&gt;0, P510/O510, 0),"-")</f>
        <v>0.16666666666666666</v>
      </c>
      <c r="S510" s="32">
        <v>45</v>
      </c>
      <c r="T510" s="32">
        <v>1</v>
      </c>
      <c r="U510" s="32">
        <v>2000</v>
      </c>
      <c r="V510" s="32" t="s">
        <v>959</v>
      </c>
      <c r="W510" s="32" t="s">
        <v>959</v>
      </c>
    </row>
    <row r="511" spans="1:23" x14ac:dyDescent="0.2">
      <c r="A511" s="30" t="s">
        <v>829</v>
      </c>
      <c r="B511" s="30" t="s">
        <v>1215</v>
      </c>
      <c r="C511" s="34">
        <v>321</v>
      </c>
      <c r="D511" s="35">
        <v>316</v>
      </c>
      <c r="E511" s="34">
        <f>IF(OR(D511="-",D511="",D511=0),IF(C511="-","-",C511),C511-D511)</f>
        <v>5</v>
      </c>
      <c r="F511" s="4">
        <f>IFERROR(IF(C511&gt;0, D511/C511, 0),"-")</f>
        <v>0.98442367601246106</v>
      </c>
      <c r="G511" s="34" t="s">
        <v>959</v>
      </c>
      <c r="H511" s="35" t="s">
        <v>959</v>
      </c>
      <c r="I511" s="34" t="str">
        <f>IF(OR(H511="-",H511="",H511=0),IF(G511="-","-",G511),G511-H511)</f>
        <v>-</v>
      </c>
      <c r="J511" s="4" t="str">
        <f>IFERROR(IF(G511&gt;0, H511/G511, 0),"-")</f>
        <v>-</v>
      </c>
      <c r="K511" s="34" t="s">
        <v>959</v>
      </c>
      <c r="L511" s="35" t="s">
        <v>959</v>
      </c>
      <c r="M511" s="34" t="str">
        <f>IF(OR(L511="-",L511="",L511=0),IF(K511="-","-",K511),K511-L511)</f>
        <v>-</v>
      </c>
      <c r="N511" s="4" t="str">
        <f>IFERROR(IF(K511&gt;0, L511/K511, 0),"-")</f>
        <v>-</v>
      </c>
      <c r="O511" s="34">
        <v>1</v>
      </c>
      <c r="P511" s="35" t="s">
        <v>959</v>
      </c>
      <c r="Q511" s="34">
        <f>IF(OR(P511="-",P511="",P511=0),IF(O511="-","-",O511),O511-P511)</f>
        <v>1</v>
      </c>
      <c r="R511" s="4" t="str">
        <f>IFERROR(IF(O511&gt;0, P511/O511, 0),"-")</f>
        <v>-</v>
      </c>
      <c r="S511" s="34">
        <v>4</v>
      </c>
      <c r="T511" s="34" t="s">
        <v>959</v>
      </c>
      <c r="U511" s="34" t="s">
        <v>959</v>
      </c>
      <c r="V511" s="35" t="s">
        <v>959</v>
      </c>
      <c r="W511" s="35" t="s">
        <v>959</v>
      </c>
    </row>
    <row r="512" spans="1:23" x14ac:dyDescent="0.2">
      <c r="A512" s="30" t="s">
        <v>831</v>
      </c>
      <c r="B512" s="30" t="s">
        <v>1216</v>
      </c>
      <c r="C512" s="34">
        <v>316</v>
      </c>
      <c r="D512" s="35">
        <v>307</v>
      </c>
      <c r="E512" s="34">
        <f>IF(OR(D512="-",D512="",D512=0),IF(C512="-","-",C512),C512-D512)</f>
        <v>9</v>
      </c>
      <c r="F512" s="4">
        <f>IFERROR(IF(C512&gt;0, D512/C512, 0),"-")</f>
        <v>0.97151898734177211</v>
      </c>
      <c r="G512" s="34">
        <v>2</v>
      </c>
      <c r="H512" s="35">
        <v>1</v>
      </c>
      <c r="I512" s="34">
        <f>IF(OR(H512="-",H512="",H512=0),IF(G512="-","-",G512),G512-H512)</f>
        <v>1</v>
      </c>
      <c r="J512" s="4">
        <f>IFERROR(IF(G512&gt;0, H512/G512, 0),"-")</f>
        <v>0.5</v>
      </c>
      <c r="K512" s="34">
        <v>3</v>
      </c>
      <c r="L512" s="35">
        <v>1</v>
      </c>
      <c r="M512" s="34">
        <f>IF(OR(L512="-",L512="",L512=0),IF(K512="-","-",K512),K512-L512)</f>
        <v>2</v>
      </c>
      <c r="N512" s="4">
        <f>IFERROR(IF(K512&gt;0, L512/K512, 0),"-")</f>
        <v>0.33333333333333331</v>
      </c>
      <c r="O512" s="34">
        <v>3</v>
      </c>
      <c r="P512" s="35">
        <v>1</v>
      </c>
      <c r="Q512" s="34">
        <f>IF(OR(P512="-",P512="",P512=0),IF(O512="-","-",O512),O512-P512)</f>
        <v>2</v>
      </c>
      <c r="R512" s="4">
        <f>IFERROR(IF(O512&gt;0, P512/O512, 0),"-")</f>
        <v>0.33333333333333331</v>
      </c>
      <c r="S512" s="34">
        <v>29</v>
      </c>
      <c r="T512" s="34" t="s">
        <v>959</v>
      </c>
      <c r="U512" s="34" t="s">
        <v>959</v>
      </c>
      <c r="V512" s="35" t="s">
        <v>959</v>
      </c>
      <c r="W512" s="35" t="s">
        <v>959</v>
      </c>
    </row>
    <row r="513" spans="1:23" x14ac:dyDescent="0.2">
      <c r="A513" s="30" t="s">
        <v>833</v>
      </c>
      <c r="B513" s="30" t="s">
        <v>1217</v>
      </c>
      <c r="C513" s="34">
        <v>273</v>
      </c>
      <c r="D513" s="35">
        <v>263</v>
      </c>
      <c r="E513" s="34">
        <f>IF(OR(D513="-",D513="",D513=0),IF(C513="-","-",C513),C513-D513)</f>
        <v>10</v>
      </c>
      <c r="F513" s="4">
        <f>IFERROR(IF(C513&gt;0, D513/C513, 0),"-")</f>
        <v>0.96336996336996339</v>
      </c>
      <c r="G513" s="34">
        <v>5</v>
      </c>
      <c r="H513" s="35">
        <v>1</v>
      </c>
      <c r="I513" s="34">
        <f>IF(OR(H513="-",H513="",H513=0),IF(G513="-","-",G513),G513-H513)</f>
        <v>4</v>
      </c>
      <c r="J513" s="4">
        <f>IFERROR(IF(G513&gt;0, H513/G513, 0),"-")</f>
        <v>0.2</v>
      </c>
      <c r="K513" s="34">
        <v>2</v>
      </c>
      <c r="L513" s="35">
        <v>1</v>
      </c>
      <c r="M513" s="34">
        <f>IF(OR(L513="-",L513="",L513=0),IF(K513="-","-",K513),K513-L513)</f>
        <v>1</v>
      </c>
      <c r="N513" s="4">
        <f>IFERROR(IF(K513&gt;0, L513/K513, 0),"-")</f>
        <v>0.5</v>
      </c>
      <c r="O513" s="34">
        <v>1</v>
      </c>
      <c r="P513" s="35" t="s">
        <v>959</v>
      </c>
      <c r="Q513" s="34">
        <f>IF(OR(P513="-",P513="",P513=0),IF(O513="-","-",O513),O513-P513)</f>
        <v>1</v>
      </c>
      <c r="R513" s="4" t="str">
        <f>IFERROR(IF(O513&gt;0, P513/O513, 0),"-")</f>
        <v>-</v>
      </c>
      <c r="S513" s="34" t="s">
        <v>959</v>
      </c>
      <c r="T513" s="34" t="s">
        <v>959</v>
      </c>
      <c r="U513" s="34" t="s">
        <v>959</v>
      </c>
      <c r="V513" s="35" t="s">
        <v>959</v>
      </c>
      <c r="W513" s="35" t="s">
        <v>959</v>
      </c>
    </row>
    <row r="514" spans="1:23" x14ac:dyDescent="0.2">
      <c r="A514" s="30" t="s">
        <v>830</v>
      </c>
      <c r="B514" s="30" t="s">
        <v>1218</v>
      </c>
      <c r="C514" s="34">
        <v>74</v>
      </c>
      <c r="D514" s="35">
        <v>68</v>
      </c>
      <c r="E514" s="34">
        <f>IF(OR(D514="-",D514="",D514=0),IF(C514="-","-",C514),C514-D514)</f>
        <v>6</v>
      </c>
      <c r="F514" s="4">
        <f>IFERROR(IF(C514&gt;0, D514/C514, 0),"-")</f>
        <v>0.91891891891891897</v>
      </c>
      <c r="G514" s="34">
        <v>4</v>
      </c>
      <c r="H514" s="35" t="s">
        <v>959</v>
      </c>
      <c r="I514" s="34">
        <f>IF(OR(H514="-",H514="",H514=0),IF(G514="-","-",G514),G514-H514)</f>
        <v>4</v>
      </c>
      <c r="J514" s="4" t="str">
        <f>IFERROR(IF(G514&gt;0, H514/G514, 0),"-")</f>
        <v>-</v>
      </c>
      <c r="K514" s="34">
        <v>5</v>
      </c>
      <c r="L514" s="35" t="s">
        <v>959</v>
      </c>
      <c r="M514" s="34">
        <f>IF(OR(L514="-",L514="",L514=0),IF(K514="-","-",K514),K514-L514)</f>
        <v>5</v>
      </c>
      <c r="N514" s="4" t="str">
        <f>IFERROR(IF(K514&gt;0, L514/K514, 0),"-")</f>
        <v>-</v>
      </c>
      <c r="O514" s="34">
        <v>5</v>
      </c>
      <c r="P514" s="35" t="s">
        <v>959</v>
      </c>
      <c r="Q514" s="34">
        <f>IF(OR(P514="-",P514="",P514=0),IF(O514="-","-",O514),O514-P514)</f>
        <v>5</v>
      </c>
      <c r="R514" s="4" t="str">
        <f>IFERROR(IF(O514&gt;0, P514/O514, 0),"-")</f>
        <v>-</v>
      </c>
      <c r="S514" s="34">
        <v>5</v>
      </c>
      <c r="T514" s="34">
        <v>1</v>
      </c>
      <c r="U514" s="34">
        <v>2000</v>
      </c>
      <c r="V514" s="35" t="s">
        <v>959</v>
      </c>
      <c r="W514" s="35" t="s">
        <v>959</v>
      </c>
    </row>
    <row r="515" spans="1:23" x14ac:dyDescent="0.2">
      <c r="A515" s="30" t="s">
        <v>832</v>
      </c>
      <c r="B515" s="30" t="s">
        <v>1219</v>
      </c>
      <c r="C515" s="34">
        <v>81</v>
      </c>
      <c r="D515" s="35">
        <v>68</v>
      </c>
      <c r="E515" s="34">
        <f>IF(OR(D515="-",D515="",D515=0),IF(C515="-","-",C515),C515-D515)</f>
        <v>13</v>
      </c>
      <c r="F515" s="4">
        <f>IFERROR(IF(C515&gt;0, D515/C515, 0),"-")</f>
        <v>0.83950617283950613</v>
      </c>
      <c r="G515" s="34">
        <v>9</v>
      </c>
      <c r="H515" s="35">
        <v>4</v>
      </c>
      <c r="I515" s="34">
        <f>IF(OR(H515="-",H515="",H515=0),IF(G515="-","-",G515),G515-H515)</f>
        <v>5</v>
      </c>
      <c r="J515" s="4">
        <f>IFERROR(IF(G515&gt;0, H515/G515, 0),"-")</f>
        <v>0.44444444444444442</v>
      </c>
      <c r="K515" s="34">
        <v>11</v>
      </c>
      <c r="L515" s="35">
        <v>6</v>
      </c>
      <c r="M515" s="34">
        <f>IF(OR(L515="-",L515="",L515=0),IF(K515="-","-",K515),K515-L515)</f>
        <v>5</v>
      </c>
      <c r="N515" s="4">
        <f>IFERROR(IF(K515&gt;0, L515/K515, 0),"-")</f>
        <v>0.54545454545454541</v>
      </c>
      <c r="O515" s="34">
        <v>2</v>
      </c>
      <c r="P515" s="35">
        <v>1</v>
      </c>
      <c r="Q515" s="34">
        <f>IF(OR(P515="-",P515="",P515=0),IF(O515="-","-",O515),O515-P515)</f>
        <v>1</v>
      </c>
      <c r="R515" s="4">
        <f>IFERROR(IF(O515&gt;0, P515/O515, 0),"-")</f>
        <v>0.5</v>
      </c>
      <c r="S515" s="34">
        <v>7</v>
      </c>
      <c r="T515" s="34" t="s">
        <v>959</v>
      </c>
      <c r="U515" s="34" t="s">
        <v>959</v>
      </c>
      <c r="V515" s="35" t="s">
        <v>959</v>
      </c>
      <c r="W515" s="35" t="s">
        <v>959</v>
      </c>
    </row>
    <row r="516" spans="1:23" x14ac:dyDescent="0.2">
      <c r="A516" s="29"/>
      <c r="B516" s="29" t="s">
        <v>20</v>
      </c>
      <c r="C516" s="32">
        <v>1905</v>
      </c>
      <c r="D516" s="32">
        <v>1854</v>
      </c>
      <c r="E516" s="32">
        <f>IF(OR(D516="-",D516="",D516=0),IF(C516="-","-",C516),C516-D516)</f>
        <v>51</v>
      </c>
      <c r="F516" s="36">
        <f>IFERROR(IF(C516&gt;0, D516/C516, 0),"-")</f>
        <v>0.97322834645669287</v>
      </c>
      <c r="G516" s="32">
        <v>15</v>
      </c>
      <c r="H516" s="32">
        <v>5</v>
      </c>
      <c r="I516" s="32">
        <f>IF(OR(H516="-",H516="",H516=0),IF(G516="-","-",G516),G516-H516)</f>
        <v>10</v>
      </c>
      <c r="J516" s="36">
        <f>IFERROR(IF(G516&gt;0, H516/G516, 0),"-")</f>
        <v>0.33333333333333331</v>
      </c>
      <c r="K516" s="32">
        <v>21</v>
      </c>
      <c r="L516" s="32">
        <v>3</v>
      </c>
      <c r="M516" s="32">
        <f>IF(OR(L516="-",L516="",L516=0),IF(K516="-","-",K516),K516-L516)</f>
        <v>18</v>
      </c>
      <c r="N516" s="36">
        <f>IFERROR(IF(K516&gt;0, L516/K516, 0),"-")</f>
        <v>0.14285714285714285</v>
      </c>
      <c r="O516" s="32">
        <v>26</v>
      </c>
      <c r="P516" s="32">
        <v>6</v>
      </c>
      <c r="Q516" s="32">
        <f>IF(OR(P516="-",P516="",P516=0),IF(O516="-","-",O516),O516-P516)</f>
        <v>20</v>
      </c>
      <c r="R516" s="36">
        <f>IFERROR(IF(O516&gt;0, P516/O516, 0),"-")</f>
        <v>0.23076923076923078</v>
      </c>
      <c r="S516" s="32">
        <v>1190</v>
      </c>
      <c r="T516" s="32">
        <v>86</v>
      </c>
      <c r="U516" s="32">
        <v>183797</v>
      </c>
      <c r="V516" s="32">
        <v>12</v>
      </c>
      <c r="W516" s="32">
        <v>219631</v>
      </c>
    </row>
    <row r="517" spans="1:23" x14ac:dyDescent="0.2">
      <c r="A517" s="30" t="s">
        <v>678</v>
      </c>
      <c r="B517" s="30" t="s">
        <v>1220</v>
      </c>
      <c r="C517" s="34">
        <v>198</v>
      </c>
      <c r="D517" s="35">
        <v>193</v>
      </c>
      <c r="E517" s="34">
        <f>IF(OR(D517="-",D517="",D517=0),IF(C517="-","-",C517),C517-D517)</f>
        <v>5</v>
      </c>
      <c r="F517" s="4">
        <f>IFERROR(IF(C517&gt;0, D517/C517, 0),"-")</f>
        <v>0.9747474747474747</v>
      </c>
      <c r="G517" s="34">
        <v>2</v>
      </c>
      <c r="H517" s="35">
        <v>1</v>
      </c>
      <c r="I517" s="34">
        <f>IF(OR(H517="-",H517="",H517=0),IF(G517="-","-",G517),G517-H517)</f>
        <v>1</v>
      </c>
      <c r="J517" s="4">
        <f>IFERROR(IF(G517&gt;0, H517/G517, 0),"-")</f>
        <v>0.5</v>
      </c>
      <c r="K517" s="34">
        <v>2</v>
      </c>
      <c r="L517" s="35" t="s">
        <v>959</v>
      </c>
      <c r="M517" s="34">
        <f>IF(OR(L517="-",L517="",L517=0),IF(K517="-","-",K517),K517-L517)</f>
        <v>2</v>
      </c>
      <c r="N517" s="4" t="str">
        <f>IFERROR(IF(K517&gt;0, L517/K517, 0),"-")</f>
        <v>-</v>
      </c>
      <c r="O517" s="34">
        <v>3</v>
      </c>
      <c r="P517" s="35">
        <v>1</v>
      </c>
      <c r="Q517" s="34">
        <f>IF(OR(P517="-",P517="",P517=0),IF(O517="-","-",O517),O517-P517)</f>
        <v>2</v>
      </c>
      <c r="R517" s="4">
        <f>IFERROR(IF(O517&gt;0, P517/O517, 0),"-")</f>
        <v>0.33333333333333331</v>
      </c>
      <c r="S517" s="34">
        <v>122</v>
      </c>
      <c r="T517" s="34">
        <v>8</v>
      </c>
      <c r="U517" s="34">
        <v>12935</v>
      </c>
      <c r="V517" s="35" t="s">
        <v>959</v>
      </c>
      <c r="W517" s="35" t="s">
        <v>959</v>
      </c>
    </row>
    <row r="518" spans="1:23" x14ac:dyDescent="0.2">
      <c r="A518" s="30" t="s">
        <v>677</v>
      </c>
      <c r="B518" s="30" t="s">
        <v>1221</v>
      </c>
      <c r="C518" s="34">
        <v>243</v>
      </c>
      <c r="D518" s="35">
        <v>234</v>
      </c>
      <c r="E518" s="34">
        <f>IF(OR(D518="-",D518="",D518=0),IF(C518="-","-",C518),C518-D518)</f>
        <v>9</v>
      </c>
      <c r="F518" s="4">
        <f>IFERROR(IF(C518&gt;0, D518/C518, 0),"-")</f>
        <v>0.96296296296296291</v>
      </c>
      <c r="G518" s="34" t="s">
        <v>959</v>
      </c>
      <c r="H518" s="35" t="s">
        <v>959</v>
      </c>
      <c r="I518" s="34" t="str">
        <f>IF(OR(H518="-",H518="",H518=0),IF(G518="-","-",G518),G518-H518)</f>
        <v>-</v>
      </c>
      <c r="J518" s="4" t="str">
        <f>IFERROR(IF(G518&gt;0, H518/G518, 0),"-")</f>
        <v>-</v>
      </c>
      <c r="K518" s="34">
        <v>1</v>
      </c>
      <c r="L518" s="35" t="s">
        <v>959</v>
      </c>
      <c r="M518" s="34">
        <f>IF(OR(L518="-",L518="",L518=0),IF(K518="-","-",K518),K518-L518)</f>
        <v>1</v>
      </c>
      <c r="N518" s="4" t="str">
        <f>IFERROR(IF(K518&gt;0, L518/K518, 0),"-")</f>
        <v>-</v>
      </c>
      <c r="O518" s="34">
        <v>5</v>
      </c>
      <c r="P518" s="35" t="s">
        <v>959</v>
      </c>
      <c r="Q518" s="34">
        <f>IF(OR(P518="-",P518="",P518=0),IF(O518="-","-",O518),O518-P518)</f>
        <v>5</v>
      </c>
      <c r="R518" s="4" t="str">
        <f>IFERROR(IF(O518&gt;0, P518/O518, 0),"-")</f>
        <v>-</v>
      </c>
      <c r="S518" s="34">
        <v>160</v>
      </c>
      <c r="T518" s="34">
        <v>10</v>
      </c>
      <c r="U518" s="34">
        <v>48000</v>
      </c>
      <c r="V518" s="35">
        <v>1</v>
      </c>
      <c r="W518" s="35">
        <v>16696</v>
      </c>
    </row>
    <row r="519" spans="1:23" x14ac:dyDescent="0.2">
      <c r="A519" s="30" t="s">
        <v>697</v>
      </c>
      <c r="B519" s="30" t="s">
        <v>1222</v>
      </c>
      <c r="C519" s="34">
        <v>5</v>
      </c>
      <c r="D519" s="35">
        <v>5</v>
      </c>
      <c r="E519" s="34">
        <f>IF(OR(D519="-",D519="",D519=0),IF(C519="-","-",C519),C519-D519)</f>
        <v>0</v>
      </c>
      <c r="F519" s="4">
        <f>IFERROR(IF(C519&gt;0, D519/C519, 0),"-")</f>
        <v>1</v>
      </c>
      <c r="G519" s="34" t="s">
        <v>959</v>
      </c>
      <c r="H519" s="35" t="s">
        <v>959</v>
      </c>
      <c r="I519" s="34" t="str">
        <f>IF(OR(H519="-",H519="",H519=0),IF(G519="-","-",G519),G519-H519)</f>
        <v>-</v>
      </c>
      <c r="J519" s="4" t="str">
        <f>IFERROR(IF(G519&gt;0, H519/G519, 0),"-")</f>
        <v>-</v>
      </c>
      <c r="K519" s="34" t="s">
        <v>959</v>
      </c>
      <c r="L519" s="35" t="s">
        <v>959</v>
      </c>
      <c r="M519" s="34" t="str">
        <f>IF(OR(L519="-",L519="",L519=0),IF(K519="-","-",K519),K519-L519)</f>
        <v>-</v>
      </c>
      <c r="N519" s="4" t="str">
        <f>IFERROR(IF(K519&gt;0, L519/K519, 0),"-")</f>
        <v>-</v>
      </c>
      <c r="O519" s="34" t="s">
        <v>959</v>
      </c>
      <c r="P519" s="35" t="s">
        <v>959</v>
      </c>
      <c r="Q519" s="34" t="str">
        <f>IF(OR(P519="-",P519="",P519=0),IF(O519="-","-",O519),O519-P519)</f>
        <v>-</v>
      </c>
      <c r="R519" s="4" t="str">
        <f>IFERROR(IF(O519&gt;0, P519/O519, 0),"-")</f>
        <v>-</v>
      </c>
      <c r="S519" s="34" t="s">
        <v>959</v>
      </c>
      <c r="T519" s="34" t="s">
        <v>959</v>
      </c>
      <c r="U519" s="34" t="s">
        <v>959</v>
      </c>
      <c r="V519" s="35" t="s">
        <v>959</v>
      </c>
      <c r="W519" s="35" t="s">
        <v>959</v>
      </c>
    </row>
    <row r="520" spans="1:23" x14ac:dyDescent="0.2">
      <c r="A520" s="30" t="s">
        <v>696</v>
      </c>
      <c r="B520" s="30" t="s">
        <v>1223</v>
      </c>
      <c r="C520" s="34">
        <v>161</v>
      </c>
      <c r="D520" s="35">
        <v>154</v>
      </c>
      <c r="E520" s="34">
        <f>IF(OR(D520="-",D520="",D520=0),IF(C520="-","-",C520),C520-D520)</f>
        <v>7</v>
      </c>
      <c r="F520" s="4">
        <f>IFERROR(IF(C520&gt;0, D520/C520, 0),"-")</f>
        <v>0.95652173913043481</v>
      </c>
      <c r="G520" s="34">
        <v>1</v>
      </c>
      <c r="H520" s="35" t="s">
        <v>959</v>
      </c>
      <c r="I520" s="34">
        <f>IF(OR(H520="-",H520="",H520=0),IF(G520="-","-",G520),G520-H520)</f>
        <v>1</v>
      </c>
      <c r="J520" s="4" t="str">
        <f>IFERROR(IF(G520&gt;0, H520/G520, 0),"-")</f>
        <v>-</v>
      </c>
      <c r="K520" s="34">
        <v>1</v>
      </c>
      <c r="L520" s="35" t="s">
        <v>959</v>
      </c>
      <c r="M520" s="34">
        <f>IF(OR(L520="-",L520="",L520=0),IF(K520="-","-",K520),K520-L520)</f>
        <v>1</v>
      </c>
      <c r="N520" s="4" t="str">
        <f>IFERROR(IF(K520&gt;0, L520/K520, 0),"-")</f>
        <v>-</v>
      </c>
      <c r="O520" s="34">
        <v>3</v>
      </c>
      <c r="P520" s="35" t="s">
        <v>959</v>
      </c>
      <c r="Q520" s="34">
        <f>IF(OR(P520="-",P520="",P520=0),IF(O520="-","-",O520),O520-P520)</f>
        <v>3</v>
      </c>
      <c r="R520" s="4" t="str">
        <f>IFERROR(IF(O520&gt;0, P520/O520, 0),"-")</f>
        <v>-</v>
      </c>
      <c r="S520" s="34">
        <v>1</v>
      </c>
      <c r="T520" s="34" t="s">
        <v>959</v>
      </c>
      <c r="U520" s="34" t="s">
        <v>959</v>
      </c>
      <c r="V520" s="35" t="s">
        <v>959</v>
      </c>
      <c r="W520" s="35" t="s">
        <v>959</v>
      </c>
    </row>
    <row r="521" spans="1:23" x14ac:dyDescent="0.2">
      <c r="A521" s="30" t="s">
        <v>698</v>
      </c>
      <c r="B521" s="30" t="s">
        <v>1224</v>
      </c>
      <c r="C521" s="34">
        <v>1</v>
      </c>
      <c r="D521" s="35">
        <v>1</v>
      </c>
      <c r="E521" s="34">
        <f>IF(OR(D521="-",D521="",D521=0),IF(C521="-","-",C521),C521-D521)</f>
        <v>0</v>
      </c>
      <c r="F521" s="4">
        <f>IFERROR(IF(C521&gt;0, D521/C521, 0),"-")</f>
        <v>1</v>
      </c>
      <c r="G521" s="34" t="s">
        <v>959</v>
      </c>
      <c r="H521" s="35" t="s">
        <v>959</v>
      </c>
      <c r="I521" s="34" t="str">
        <f>IF(OR(H521="-",H521="",H521=0),IF(G521="-","-",G521),G521-H521)</f>
        <v>-</v>
      </c>
      <c r="J521" s="4" t="str">
        <f>IFERROR(IF(G521&gt;0, H521/G521, 0),"-")</f>
        <v>-</v>
      </c>
      <c r="K521" s="34" t="s">
        <v>959</v>
      </c>
      <c r="L521" s="35" t="s">
        <v>959</v>
      </c>
      <c r="M521" s="34" t="str">
        <f>IF(OR(L521="-",L521="",L521=0),IF(K521="-","-",K521),K521-L521)</f>
        <v>-</v>
      </c>
      <c r="N521" s="4" t="str">
        <f>IFERROR(IF(K521&gt;0, L521/K521, 0),"-")</f>
        <v>-</v>
      </c>
      <c r="O521" s="34" t="s">
        <v>959</v>
      </c>
      <c r="P521" s="35" t="s">
        <v>959</v>
      </c>
      <c r="Q521" s="34" t="str">
        <f>IF(OR(P521="-",P521="",P521=0),IF(O521="-","-",O521),O521-P521)</f>
        <v>-</v>
      </c>
      <c r="R521" s="4" t="str">
        <f>IFERROR(IF(O521&gt;0, P521/O521, 0),"-")</f>
        <v>-</v>
      </c>
      <c r="S521" s="34" t="s">
        <v>959</v>
      </c>
      <c r="T521" s="34" t="s">
        <v>959</v>
      </c>
      <c r="U521" s="34" t="s">
        <v>959</v>
      </c>
      <c r="V521" s="35" t="s">
        <v>959</v>
      </c>
      <c r="W521" s="35" t="s">
        <v>959</v>
      </c>
    </row>
    <row r="522" spans="1:23" x14ac:dyDescent="0.2">
      <c r="A522" s="30" t="s">
        <v>681</v>
      </c>
      <c r="B522" s="30" t="s">
        <v>1225</v>
      </c>
      <c r="C522" s="34">
        <v>191</v>
      </c>
      <c r="D522" s="35">
        <v>184</v>
      </c>
      <c r="E522" s="34">
        <f>IF(OR(D522="-",D522="",D522=0),IF(C522="-","-",C522),C522-D522)</f>
        <v>7</v>
      </c>
      <c r="F522" s="4">
        <f>IFERROR(IF(C522&gt;0, D522/C522, 0),"-")</f>
        <v>0.96335078534031415</v>
      </c>
      <c r="G522" s="34" t="s">
        <v>959</v>
      </c>
      <c r="H522" s="35" t="s">
        <v>959</v>
      </c>
      <c r="I522" s="34" t="str">
        <f>IF(OR(H522="-",H522="",H522=0),IF(G522="-","-",G522),G522-H522)</f>
        <v>-</v>
      </c>
      <c r="J522" s="4" t="str">
        <f>IFERROR(IF(G522&gt;0, H522/G522, 0),"-")</f>
        <v>-</v>
      </c>
      <c r="K522" s="34">
        <v>2</v>
      </c>
      <c r="L522" s="35">
        <v>1</v>
      </c>
      <c r="M522" s="34">
        <f>IF(OR(L522="-",L522="",L522=0),IF(K522="-","-",K522),K522-L522)</f>
        <v>1</v>
      </c>
      <c r="N522" s="4">
        <f>IFERROR(IF(K522&gt;0, L522/K522, 0),"-")</f>
        <v>0.5</v>
      </c>
      <c r="O522" s="34">
        <v>3</v>
      </c>
      <c r="P522" s="35">
        <v>1</v>
      </c>
      <c r="Q522" s="34">
        <f>IF(OR(P522="-",P522="",P522=0),IF(O522="-","-",O522),O522-P522)</f>
        <v>2</v>
      </c>
      <c r="R522" s="4">
        <f>IFERROR(IF(O522&gt;0, P522/O522, 0),"-")</f>
        <v>0.33333333333333331</v>
      </c>
      <c r="S522" s="34">
        <v>151</v>
      </c>
      <c r="T522" s="34">
        <v>6</v>
      </c>
      <c r="U522" s="34">
        <v>17335</v>
      </c>
      <c r="V522" s="35">
        <v>2</v>
      </c>
      <c r="W522" s="35">
        <v>10160</v>
      </c>
    </row>
    <row r="523" spans="1:23" x14ac:dyDescent="0.2">
      <c r="A523" s="30" t="s">
        <v>683</v>
      </c>
      <c r="B523" s="30" t="s">
        <v>1226</v>
      </c>
      <c r="C523" s="34">
        <v>225</v>
      </c>
      <c r="D523" s="35">
        <v>217</v>
      </c>
      <c r="E523" s="34">
        <f>IF(OR(D523="-",D523="",D523=0),IF(C523="-","-",C523),C523-D523)</f>
        <v>8</v>
      </c>
      <c r="F523" s="4">
        <f>IFERROR(IF(C523&gt;0, D523/C523, 0),"-")</f>
        <v>0.96444444444444444</v>
      </c>
      <c r="G523" s="34">
        <v>1</v>
      </c>
      <c r="H523" s="35">
        <v>1</v>
      </c>
      <c r="I523" s="34">
        <f>IF(OR(H523="-",H523="",H523=0),IF(G523="-","-",G523),G523-H523)</f>
        <v>0</v>
      </c>
      <c r="J523" s="4">
        <f>IFERROR(IF(G523&gt;0, H523/G523, 0),"-")</f>
        <v>1</v>
      </c>
      <c r="K523" s="34">
        <v>2</v>
      </c>
      <c r="L523" s="35">
        <v>1</v>
      </c>
      <c r="M523" s="34">
        <f>IF(OR(L523="-",L523="",L523=0),IF(K523="-","-",K523),K523-L523)</f>
        <v>1</v>
      </c>
      <c r="N523" s="4">
        <f>IFERROR(IF(K523&gt;0, L523/K523, 0),"-")</f>
        <v>0.5</v>
      </c>
      <c r="O523" s="34">
        <v>3</v>
      </c>
      <c r="P523" s="35">
        <v>2</v>
      </c>
      <c r="Q523" s="34">
        <f>IF(OR(P523="-",P523="",P523=0),IF(O523="-","-",O523),O523-P523)</f>
        <v>1</v>
      </c>
      <c r="R523" s="4">
        <f>IFERROR(IF(O523&gt;0, P523/O523, 0),"-")</f>
        <v>0.66666666666666663</v>
      </c>
      <c r="S523" s="34">
        <v>296</v>
      </c>
      <c r="T523" s="34">
        <v>11</v>
      </c>
      <c r="U523" s="34">
        <v>14175</v>
      </c>
      <c r="V523" s="35">
        <v>3</v>
      </c>
      <c r="W523" s="35">
        <v>46926</v>
      </c>
    </row>
    <row r="524" spans="1:23" x14ac:dyDescent="0.2">
      <c r="A524" s="30" t="s">
        <v>684</v>
      </c>
      <c r="B524" s="30" t="s">
        <v>1227</v>
      </c>
      <c r="C524" s="34">
        <v>220</v>
      </c>
      <c r="D524" s="35">
        <v>218</v>
      </c>
      <c r="E524" s="34">
        <f>IF(OR(D524="-",D524="",D524=0),IF(C524="-","-",C524),C524-D524)</f>
        <v>2</v>
      </c>
      <c r="F524" s="4">
        <f>IFERROR(IF(C524&gt;0, D524/C524, 0),"-")</f>
        <v>0.99090909090909096</v>
      </c>
      <c r="G524" s="34">
        <v>5</v>
      </c>
      <c r="H524" s="35">
        <v>1</v>
      </c>
      <c r="I524" s="34">
        <f>IF(OR(H524="-",H524="",H524=0),IF(G524="-","-",G524),G524-H524)</f>
        <v>4</v>
      </c>
      <c r="J524" s="4">
        <f>IFERROR(IF(G524&gt;0, H524/G524, 0),"-")</f>
        <v>0.2</v>
      </c>
      <c r="K524" s="34">
        <v>2</v>
      </c>
      <c r="L524" s="35">
        <v>1</v>
      </c>
      <c r="M524" s="34">
        <f>IF(OR(L524="-",L524="",L524=0),IF(K524="-","-",K524),K524-L524)</f>
        <v>1</v>
      </c>
      <c r="N524" s="4">
        <f>IFERROR(IF(K524&gt;0, L524/K524, 0),"-")</f>
        <v>0.5</v>
      </c>
      <c r="O524" s="34" t="s">
        <v>959</v>
      </c>
      <c r="P524" s="35" t="s">
        <v>959</v>
      </c>
      <c r="Q524" s="34" t="str">
        <f>IF(OR(P524="-",P524="",P524=0),IF(O524="-","-",O524),O524-P524)</f>
        <v>-</v>
      </c>
      <c r="R524" s="4" t="str">
        <f>IFERROR(IF(O524&gt;0, P524/O524, 0),"-")</f>
        <v>-</v>
      </c>
      <c r="S524" s="34">
        <v>120</v>
      </c>
      <c r="T524" s="34">
        <v>13</v>
      </c>
      <c r="U524" s="34">
        <v>22125</v>
      </c>
      <c r="V524" s="35" t="s">
        <v>959</v>
      </c>
      <c r="W524" s="35" t="s">
        <v>959</v>
      </c>
    </row>
    <row r="525" spans="1:23" x14ac:dyDescent="0.2">
      <c r="A525" s="30" t="s">
        <v>679</v>
      </c>
      <c r="B525" s="30" t="s">
        <v>1228</v>
      </c>
      <c r="C525" s="34">
        <v>218</v>
      </c>
      <c r="D525" s="35">
        <v>214</v>
      </c>
      <c r="E525" s="34">
        <f>IF(OR(D525="-",D525="",D525=0),IF(C525="-","-",C525),C525-D525)</f>
        <v>4</v>
      </c>
      <c r="F525" s="4">
        <f>IFERROR(IF(C525&gt;0, D525/C525, 0),"-")</f>
        <v>0.98165137614678899</v>
      </c>
      <c r="G525" s="34">
        <v>2</v>
      </c>
      <c r="H525" s="35" t="s">
        <v>959</v>
      </c>
      <c r="I525" s="34">
        <f>IF(OR(H525="-",H525="",H525=0),IF(G525="-","-",G525),G525-H525)</f>
        <v>2</v>
      </c>
      <c r="J525" s="4" t="str">
        <f>IFERROR(IF(G525&gt;0, H525/G525, 0),"-")</f>
        <v>-</v>
      </c>
      <c r="K525" s="34">
        <v>4</v>
      </c>
      <c r="L525" s="35" t="s">
        <v>959</v>
      </c>
      <c r="M525" s="34">
        <f>IF(OR(L525="-",L525="",L525=0),IF(K525="-","-",K525),K525-L525)</f>
        <v>4</v>
      </c>
      <c r="N525" s="4" t="str">
        <f>IFERROR(IF(K525&gt;0, L525/K525, 0),"-")</f>
        <v>-</v>
      </c>
      <c r="O525" s="34">
        <v>4</v>
      </c>
      <c r="P525" s="35">
        <v>1</v>
      </c>
      <c r="Q525" s="34">
        <f>IF(OR(P525="-",P525="",P525=0),IF(O525="-","-",O525),O525-P525)</f>
        <v>3</v>
      </c>
      <c r="R525" s="4">
        <f>IFERROR(IF(O525&gt;0, P525/O525, 0),"-")</f>
        <v>0.25</v>
      </c>
      <c r="S525" s="34">
        <v>140</v>
      </c>
      <c r="T525" s="34">
        <v>12</v>
      </c>
      <c r="U525" s="34">
        <v>17540</v>
      </c>
      <c r="V525" s="35">
        <v>1</v>
      </c>
      <c r="W525" s="35">
        <v>41601</v>
      </c>
    </row>
    <row r="526" spans="1:23" x14ac:dyDescent="0.2">
      <c r="A526" s="30" t="s">
        <v>680</v>
      </c>
      <c r="B526" s="30" t="s">
        <v>1229</v>
      </c>
      <c r="C526" s="34">
        <v>198</v>
      </c>
      <c r="D526" s="35">
        <v>194</v>
      </c>
      <c r="E526" s="34">
        <f>IF(OR(D526="-",D526="",D526=0),IF(C526="-","-",C526),C526-D526)</f>
        <v>4</v>
      </c>
      <c r="F526" s="4">
        <f>IFERROR(IF(C526&gt;0, D526/C526, 0),"-")</f>
        <v>0.97979797979797978</v>
      </c>
      <c r="G526" s="34">
        <v>1</v>
      </c>
      <c r="H526" s="35">
        <v>1</v>
      </c>
      <c r="I526" s="34">
        <f>IF(OR(H526="-",H526="",H526=0),IF(G526="-","-",G526),G526-H526)</f>
        <v>0</v>
      </c>
      <c r="J526" s="4">
        <f>IFERROR(IF(G526&gt;0, H526/G526, 0),"-")</f>
        <v>1</v>
      </c>
      <c r="K526" s="34">
        <v>3</v>
      </c>
      <c r="L526" s="35" t="s">
        <v>959</v>
      </c>
      <c r="M526" s="34">
        <f>IF(OR(L526="-",L526="",L526=0),IF(K526="-","-",K526),K526-L526)</f>
        <v>3</v>
      </c>
      <c r="N526" s="4" t="str">
        <f>IFERROR(IF(K526&gt;0, L526/K526, 0),"-")</f>
        <v>-</v>
      </c>
      <c r="O526" s="34">
        <v>4</v>
      </c>
      <c r="P526" s="35" t="s">
        <v>959</v>
      </c>
      <c r="Q526" s="34">
        <f>IF(OR(P526="-",P526="",P526=0),IF(O526="-","-",O526),O526-P526)</f>
        <v>4</v>
      </c>
      <c r="R526" s="4" t="str">
        <f>IFERROR(IF(O526&gt;0, P526/O526, 0),"-")</f>
        <v>-</v>
      </c>
      <c r="S526" s="34">
        <v>115</v>
      </c>
      <c r="T526" s="34">
        <v>15</v>
      </c>
      <c r="U526" s="34">
        <v>34590</v>
      </c>
      <c r="V526" s="35">
        <v>3</v>
      </c>
      <c r="W526" s="35">
        <v>76132</v>
      </c>
    </row>
    <row r="527" spans="1:23" x14ac:dyDescent="0.2">
      <c r="A527" s="30" t="s">
        <v>682</v>
      </c>
      <c r="B527" s="30" t="s">
        <v>1230</v>
      </c>
      <c r="C527" s="34">
        <v>245</v>
      </c>
      <c r="D527" s="35">
        <v>240</v>
      </c>
      <c r="E527" s="34">
        <f>IF(OR(D527="-",D527="",D527=0),IF(C527="-","-",C527),C527-D527)</f>
        <v>5</v>
      </c>
      <c r="F527" s="4">
        <f>IFERROR(IF(C527&gt;0, D527/C527, 0),"-")</f>
        <v>0.97959183673469385</v>
      </c>
      <c r="G527" s="34">
        <v>3</v>
      </c>
      <c r="H527" s="35">
        <v>1</v>
      </c>
      <c r="I527" s="34">
        <f>IF(OR(H527="-",H527="",H527=0),IF(G527="-","-",G527),G527-H527)</f>
        <v>2</v>
      </c>
      <c r="J527" s="4">
        <f>IFERROR(IF(G527&gt;0, H527/G527, 0),"-")</f>
        <v>0.33333333333333331</v>
      </c>
      <c r="K527" s="34">
        <v>4</v>
      </c>
      <c r="L527" s="35" t="s">
        <v>959</v>
      </c>
      <c r="M527" s="34">
        <f>IF(OR(L527="-",L527="",L527=0),IF(K527="-","-",K527),K527-L527)</f>
        <v>4</v>
      </c>
      <c r="N527" s="4" t="str">
        <f>IFERROR(IF(K527&gt;0, L527/K527, 0),"-")</f>
        <v>-</v>
      </c>
      <c r="O527" s="34">
        <v>1</v>
      </c>
      <c r="P527" s="35">
        <v>1</v>
      </c>
      <c r="Q527" s="34">
        <f>IF(OR(P527="-",P527="",P527=0),IF(O527="-","-",O527),O527-P527)</f>
        <v>0</v>
      </c>
      <c r="R527" s="4">
        <f>IFERROR(IF(O527&gt;0, P527/O527, 0),"-")</f>
        <v>1</v>
      </c>
      <c r="S527" s="34">
        <v>85</v>
      </c>
      <c r="T527" s="34">
        <v>11</v>
      </c>
      <c r="U527" s="34">
        <v>17097</v>
      </c>
      <c r="V527" s="35">
        <v>2</v>
      </c>
      <c r="W527" s="35">
        <v>28116</v>
      </c>
    </row>
    <row r="528" spans="1:23" x14ac:dyDescent="0.2">
      <c r="A528" s="29"/>
      <c r="B528" s="29" t="s">
        <v>131</v>
      </c>
      <c r="C528" s="32">
        <v>1313</v>
      </c>
      <c r="D528" s="32">
        <v>1301</v>
      </c>
      <c r="E528" s="32">
        <f>IF(OR(D528="-",D528="",D528=0),IF(C528="-","-",C528),C528-D528)</f>
        <v>12</v>
      </c>
      <c r="F528" s="36">
        <f>IFERROR(IF(C528&gt;0, D528/C528, 0),"-")</f>
        <v>0.99086062452399082</v>
      </c>
      <c r="G528" s="32">
        <v>15</v>
      </c>
      <c r="H528" s="32">
        <v>4</v>
      </c>
      <c r="I528" s="32">
        <f>IF(OR(H528="-",H528="",H528=0),IF(G528="-","-",G528),G528-H528)</f>
        <v>11</v>
      </c>
      <c r="J528" s="36">
        <f>IFERROR(IF(G528&gt;0, H528/G528, 0),"-")</f>
        <v>0.26666666666666666</v>
      </c>
      <c r="K528" s="32">
        <v>12</v>
      </c>
      <c r="L528" s="32">
        <v>2</v>
      </c>
      <c r="M528" s="32">
        <f>IF(OR(L528="-",L528="",L528=0),IF(K528="-","-",K528),K528-L528)</f>
        <v>10</v>
      </c>
      <c r="N528" s="36">
        <f>IFERROR(IF(K528&gt;0, L528/K528, 0),"-")</f>
        <v>0.16666666666666666</v>
      </c>
      <c r="O528" s="32">
        <v>12</v>
      </c>
      <c r="P528" s="32">
        <v>1</v>
      </c>
      <c r="Q528" s="32">
        <f>IF(OR(P528="-",P528="",P528=0),IF(O528="-","-",O528),O528-P528)</f>
        <v>11</v>
      </c>
      <c r="R528" s="36">
        <f>IFERROR(IF(O528&gt;0, P528/O528, 0),"-")</f>
        <v>8.3333333333333329E-2</v>
      </c>
      <c r="S528" s="32">
        <v>607</v>
      </c>
      <c r="T528" s="32">
        <v>9</v>
      </c>
      <c r="U528" s="32">
        <v>22551</v>
      </c>
      <c r="V528" s="32">
        <v>15</v>
      </c>
      <c r="W528" s="32">
        <v>217126</v>
      </c>
    </row>
    <row r="529" spans="1:23" x14ac:dyDescent="0.2">
      <c r="A529" s="30" t="s">
        <v>908</v>
      </c>
      <c r="B529" s="30" t="s">
        <v>1231</v>
      </c>
      <c r="C529" s="34">
        <v>235</v>
      </c>
      <c r="D529" s="35">
        <v>231</v>
      </c>
      <c r="E529" s="34">
        <f>IF(OR(D529="-",D529="",D529=0),IF(C529="-","-",C529),C529-D529)</f>
        <v>4</v>
      </c>
      <c r="F529" s="4">
        <f>IFERROR(IF(C529&gt;0, D529/C529, 0),"-")</f>
        <v>0.98297872340425529</v>
      </c>
      <c r="G529" s="34">
        <v>3</v>
      </c>
      <c r="H529" s="35" t="s">
        <v>959</v>
      </c>
      <c r="I529" s="34">
        <f>IF(OR(H529="-",H529="",H529=0),IF(G529="-","-",G529),G529-H529)</f>
        <v>3</v>
      </c>
      <c r="J529" s="4" t="str">
        <f>IFERROR(IF(G529&gt;0, H529/G529, 0),"-")</f>
        <v>-</v>
      </c>
      <c r="K529" s="34">
        <v>4</v>
      </c>
      <c r="L529" s="35" t="s">
        <v>959</v>
      </c>
      <c r="M529" s="34">
        <f>IF(OR(L529="-",L529="",L529=0),IF(K529="-","-",K529),K529-L529)</f>
        <v>4</v>
      </c>
      <c r="N529" s="4" t="str">
        <f>IFERROR(IF(K529&gt;0, L529/K529, 0),"-")</f>
        <v>-</v>
      </c>
      <c r="O529" s="34">
        <v>5</v>
      </c>
      <c r="P529" s="35" t="s">
        <v>959</v>
      </c>
      <c r="Q529" s="34">
        <f>IF(OR(P529="-",P529="",P529=0),IF(O529="-","-",O529),O529-P529)</f>
        <v>5</v>
      </c>
      <c r="R529" s="4" t="str">
        <f>IFERROR(IF(O529&gt;0, P529/O529, 0),"-")</f>
        <v>-</v>
      </c>
      <c r="S529" s="34">
        <v>108</v>
      </c>
      <c r="T529" s="34" t="s">
        <v>959</v>
      </c>
      <c r="U529" s="34" t="s">
        <v>959</v>
      </c>
      <c r="V529" s="35">
        <v>1</v>
      </c>
      <c r="W529" s="35">
        <v>27069</v>
      </c>
    </row>
    <row r="530" spans="1:23" x14ac:dyDescent="0.2">
      <c r="A530" s="30" t="s">
        <v>913</v>
      </c>
      <c r="B530" s="30" t="s">
        <v>1232</v>
      </c>
      <c r="C530" s="34">
        <v>171</v>
      </c>
      <c r="D530" s="35">
        <v>170</v>
      </c>
      <c r="E530" s="34">
        <f>IF(OR(D530="-",D530="",D530=0),IF(C530="-","-",C530),C530-D530)</f>
        <v>1</v>
      </c>
      <c r="F530" s="4">
        <f>IFERROR(IF(C530&gt;0, D530/C530, 0),"-")</f>
        <v>0.99415204678362568</v>
      </c>
      <c r="G530" s="34" t="s">
        <v>959</v>
      </c>
      <c r="H530" s="35" t="s">
        <v>959</v>
      </c>
      <c r="I530" s="34" t="str">
        <f>IF(OR(H530="-",H530="",H530=0),IF(G530="-","-",G530),G530-H530)</f>
        <v>-</v>
      </c>
      <c r="J530" s="4" t="str">
        <f>IFERROR(IF(G530&gt;0, H530/G530, 0),"-")</f>
        <v>-</v>
      </c>
      <c r="K530" s="34">
        <v>2</v>
      </c>
      <c r="L530" s="35" t="s">
        <v>959</v>
      </c>
      <c r="M530" s="34">
        <f>IF(OR(L530="-",L530="",L530=0),IF(K530="-","-",K530),K530-L530)</f>
        <v>2</v>
      </c>
      <c r="N530" s="4" t="str">
        <f>IFERROR(IF(K530&gt;0, L530/K530, 0),"-")</f>
        <v>-</v>
      </c>
      <c r="O530" s="34" t="s">
        <v>959</v>
      </c>
      <c r="P530" s="35" t="s">
        <v>959</v>
      </c>
      <c r="Q530" s="34" t="str">
        <f>IF(OR(P530="-",P530="",P530=0),IF(O530="-","-",O530),O530-P530)</f>
        <v>-</v>
      </c>
      <c r="R530" s="4" t="str">
        <f>IFERROR(IF(O530&gt;0, P530/O530, 0),"-")</f>
        <v>-</v>
      </c>
      <c r="S530" s="34">
        <v>124</v>
      </c>
      <c r="T530" s="34">
        <v>1</v>
      </c>
      <c r="U530" s="34">
        <v>2306</v>
      </c>
      <c r="V530" s="35">
        <v>3</v>
      </c>
      <c r="W530" s="35">
        <v>20082</v>
      </c>
    </row>
    <row r="531" spans="1:23" x14ac:dyDescent="0.2">
      <c r="A531" s="30" t="s">
        <v>909</v>
      </c>
      <c r="B531" s="30" t="s">
        <v>1233</v>
      </c>
      <c r="C531" s="34">
        <v>181</v>
      </c>
      <c r="D531" s="35">
        <v>179</v>
      </c>
      <c r="E531" s="34">
        <f>IF(OR(D531="-",D531="",D531=0),IF(C531="-","-",C531),C531-D531)</f>
        <v>2</v>
      </c>
      <c r="F531" s="4">
        <f>IFERROR(IF(C531&gt;0, D531/C531, 0),"-")</f>
        <v>0.98895027624309395</v>
      </c>
      <c r="G531" s="34">
        <v>2</v>
      </c>
      <c r="H531" s="35" t="s">
        <v>959</v>
      </c>
      <c r="I531" s="34">
        <f>IF(OR(H531="-",H531="",H531=0),IF(G531="-","-",G531),G531-H531)</f>
        <v>2</v>
      </c>
      <c r="J531" s="4" t="str">
        <f>IFERROR(IF(G531&gt;0, H531/G531, 0),"-")</f>
        <v>-</v>
      </c>
      <c r="K531" s="34">
        <v>1</v>
      </c>
      <c r="L531" s="35" t="s">
        <v>959</v>
      </c>
      <c r="M531" s="34">
        <f>IF(OR(L531="-",L531="",L531=0),IF(K531="-","-",K531),K531-L531)</f>
        <v>1</v>
      </c>
      <c r="N531" s="4" t="str">
        <f>IFERROR(IF(K531&gt;0, L531/K531, 0),"-")</f>
        <v>-</v>
      </c>
      <c r="O531" s="34" t="s">
        <v>959</v>
      </c>
      <c r="P531" s="35" t="s">
        <v>959</v>
      </c>
      <c r="Q531" s="34" t="str">
        <f>IF(OR(P531="-",P531="",P531=0),IF(O531="-","-",O531),O531-P531)</f>
        <v>-</v>
      </c>
      <c r="R531" s="4" t="str">
        <f>IFERROR(IF(O531&gt;0, P531/O531, 0),"-")</f>
        <v>-</v>
      </c>
      <c r="S531" s="34">
        <v>109</v>
      </c>
      <c r="T531" s="34">
        <v>4</v>
      </c>
      <c r="U531" s="34">
        <v>9350</v>
      </c>
      <c r="V531" s="35">
        <v>2</v>
      </c>
      <c r="W531" s="35">
        <v>17612</v>
      </c>
    </row>
    <row r="532" spans="1:23" x14ac:dyDescent="0.2">
      <c r="A532" s="30" t="s">
        <v>910</v>
      </c>
      <c r="B532" s="30" t="s">
        <v>1234</v>
      </c>
      <c r="C532" s="34">
        <v>297</v>
      </c>
      <c r="D532" s="35">
        <v>296</v>
      </c>
      <c r="E532" s="34">
        <f>IF(OR(D532="-",D532="",D532=0),IF(C532="-","-",C532),C532-D532)</f>
        <v>1</v>
      </c>
      <c r="F532" s="4">
        <f>IFERROR(IF(C532&gt;0, D532/C532, 0),"-")</f>
        <v>0.99663299663299665</v>
      </c>
      <c r="G532" s="34">
        <v>5</v>
      </c>
      <c r="H532" s="35">
        <v>2</v>
      </c>
      <c r="I532" s="34">
        <f>IF(OR(H532="-",H532="",H532=0),IF(G532="-","-",G532),G532-H532)</f>
        <v>3</v>
      </c>
      <c r="J532" s="4">
        <f>IFERROR(IF(G532&gt;0, H532/G532, 0),"-")</f>
        <v>0.4</v>
      </c>
      <c r="K532" s="34">
        <v>4</v>
      </c>
      <c r="L532" s="35">
        <v>1</v>
      </c>
      <c r="M532" s="34">
        <f>IF(OR(L532="-",L532="",L532=0),IF(K532="-","-",K532),K532-L532)</f>
        <v>3</v>
      </c>
      <c r="N532" s="4">
        <f>IFERROR(IF(K532&gt;0, L532/K532, 0),"-")</f>
        <v>0.25</v>
      </c>
      <c r="O532" s="34">
        <v>2</v>
      </c>
      <c r="P532" s="35">
        <v>1</v>
      </c>
      <c r="Q532" s="34">
        <f>IF(OR(P532="-",P532="",P532=0),IF(O532="-","-",O532),O532-P532)</f>
        <v>1</v>
      </c>
      <c r="R532" s="4">
        <f>IFERROR(IF(O532&gt;0, P532/O532, 0),"-")</f>
        <v>0.5</v>
      </c>
      <c r="S532" s="34">
        <v>70</v>
      </c>
      <c r="T532" s="34">
        <v>1</v>
      </c>
      <c r="U532" s="34">
        <v>1200</v>
      </c>
      <c r="V532" s="35">
        <v>2</v>
      </c>
      <c r="W532" s="35">
        <v>33456</v>
      </c>
    </row>
    <row r="533" spans="1:23" x14ac:dyDescent="0.2">
      <c r="A533" s="30" t="s">
        <v>912</v>
      </c>
      <c r="B533" s="30" t="s">
        <v>1235</v>
      </c>
      <c r="C533" s="34">
        <v>235</v>
      </c>
      <c r="D533" s="35">
        <v>234</v>
      </c>
      <c r="E533" s="34">
        <f>IF(OR(D533="-",D533="",D533=0),IF(C533="-","-",C533),C533-D533)</f>
        <v>1</v>
      </c>
      <c r="F533" s="4">
        <f>IFERROR(IF(C533&gt;0, D533/C533, 0),"-")</f>
        <v>0.99574468085106382</v>
      </c>
      <c r="G533" s="34">
        <v>3</v>
      </c>
      <c r="H533" s="35">
        <v>1</v>
      </c>
      <c r="I533" s="34">
        <f>IF(OR(H533="-",H533="",H533=0),IF(G533="-","-",G533),G533-H533)</f>
        <v>2</v>
      </c>
      <c r="J533" s="4">
        <f>IFERROR(IF(G533&gt;0, H533/G533, 0),"-")</f>
        <v>0.33333333333333331</v>
      </c>
      <c r="K533" s="34" t="s">
        <v>959</v>
      </c>
      <c r="L533" s="35" t="s">
        <v>959</v>
      </c>
      <c r="M533" s="34" t="str">
        <f>IF(OR(L533="-",L533="",L533=0),IF(K533="-","-",K533),K533-L533)</f>
        <v>-</v>
      </c>
      <c r="N533" s="4" t="str">
        <f>IFERROR(IF(K533&gt;0, L533/K533, 0),"-")</f>
        <v>-</v>
      </c>
      <c r="O533" s="34">
        <v>3</v>
      </c>
      <c r="P533" s="35" t="s">
        <v>959</v>
      </c>
      <c r="Q533" s="34">
        <f>IF(OR(P533="-",P533="",P533=0),IF(O533="-","-",O533),O533-P533)</f>
        <v>3</v>
      </c>
      <c r="R533" s="4" t="str">
        <f>IFERROR(IF(O533&gt;0, P533/O533, 0),"-")</f>
        <v>-</v>
      </c>
      <c r="S533" s="34">
        <v>77</v>
      </c>
      <c r="T533" s="34">
        <v>3</v>
      </c>
      <c r="U533" s="34">
        <v>9695</v>
      </c>
      <c r="V533" s="35">
        <v>4</v>
      </c>
      <c r="W533" s="35">
        <v>27355</v>
      </c>
    </row>
    <row r="534" spans="1:23" x14ac:dyDescent="0.2">
      <c r="A534" s="30" t="s">
        <v>911</v>
      </c>
      <c r="B534" s="30" t="s">
        <v>1236</v>
      </c>
      <c r="C534" s="34">
        <v>194</v>
      </c>
      <c r="D534" s="35">
        <v>191</v>
      </c>
      <c r="E534" s="34">
        <f>IF(OR(D534="-",D534="",D534=0),IF(C534="-","-",C534),C534-D534)</f>
        <v>3</v>
      </c>
      <c r="F534" s="4">
        <f>IFERROR(IF(C534&gt;0, D534/C534, 0),"-")</f>
        <v>0.98453608247422686</v>
      </c>
      <c r="G534" s="34">
        <v>2</v>
      </c>
      <c r="H534" s="35">
        <v>1</v>
      </c>
      <c r="I534" s="34">
        <f>IF(OR(H534="-",H534="",H534=0),IF(G534="-","-",G534),G534-H534)</f>
        <v>1</v>
      </c>
      <c r="J534" s="4">
        <f>IFERROR(IF(G534&gt;0, H534/G534, 0),"-")</f>
        <v>0.5</v>
      </c>
      <c r="K534" s="34">
        <v>1</v>
      </c>
      <c r="L534" s="35">
        <v>1</v>
      </c>
      <c r="M534" s="34">
        <f>IF(OR(L534="-",L534="",L534=0),IF(K534="-","-",K534),K534-L534)</f>
        <v>0</v>
      </c>
      <c r="N534" s="4">
        <f>IFERROR(IF(K534&gt;0, L534/K534, 0),"-")</f>
        <v>1</v>
      </c>
      <c r="O534" s="34">
        <v>2</v>
      </c>
      <c r="P534" s="35" t="s">
        <v>959</v>
      </c>
      <c r="Q534" s="34">
        <f>IF(OR(P534="-",P534="",P534=0),IF(O534="-","-",O534),O534-P534)</f>
        <v>2</v>
      </c>
      <c r="R534" s="4" t="str">
        <f>IFERROR(IF(O534&gt;0, P534/O534, 0),"-")</f>
        <v>-</v>
      </c>
      <c r="S534" s="34">
        <v>119</v>
      </c>
      <c r="T534" s="34" t="s">
        <v>959</v>
      </c>
      <c r="U534" s="34" t="s">
        <v>959</v>
      </c>
      <c r="V534" s="35">
        <v>3</v>
      </c>
      <c r="W534" s="35">
        <v>91552</v>
      </c>
    </row>
    <row r="535" spans="1:23" x14ac:dyDescent="0.2">
      <c r="A535" s="29"/>
      <c r="B535" s="29" t="s">
        <v>24</v>
      </c>
      <c r="C535" s="32">
        <v>1240</v>
      </c>
      <c r="D535" s="32">
        <v>1224</v>
      </c>
      <c r="E535" s="32">
        <f>IF(OR(D535="-",D535="",D535=0),IF(C535="-","-",C535),C535-D535)</f>
        <v>16</v>
      </c>
      <c r="F535" s="36">
        <f>IFERROR(IF(C535&gt;0, D535/C535, 0),"-")</f>
        <v>0.98709677419354835</v>
      </c>
      <c r="G535" s="32">
        <v>14</v>
      </c>
      <c r="H535" s="32">
        <v>1</v>
      </c>
      <c r="I535" s="32">
        <f>IF(OR(H535="-",H535="",H535=0),IF(G535="-","-",G535),G535-H535)</f>
        <v>13</v>
      </c>
      <c r="J535" s="36">
        <f>IFERROR(IF(G535&gt;0, H535/G535, 0),"-")</f>
        <v>7.1428571428571425E-2</v>
      </c>
      <c r="K535" s="32">
        <v>13</v>
      </c>
      <c r="L535" s="32">
        <v>6</v>
      </c>
      <c r="M535" s="32">
        <f>IF(OR(L535="-",L535="",L535=0),IF(K535="-","-",K535),K535-L535)</f>
        <v>7</v>
      </c>
      <c r="N535" s="36">
        <f>IFERROR(IF(K535&gt;0, L535/K535, 0),"-")</f>
        <v>0.46153846153846156</v>
      </c>
      <c r="O535" s="32">
        <v>25</v>
      </c>
      <c r="P535" s="32">
        <v>4</v>
      </c>
      <c r="Q535" s="32">
        <f>IF(OR(P535="-",P535="",P535=0),IF(O535="-","-",O535),O535-P535)</f>
        <v>21</v>
      </c>
      <c r="R535" s="36">
        <f>IFERROR(IF(O535&gt;0, P535/O535, 0),"-")</f>
        <v>0.16</v>
      </c>
      <c r="S535" s="32">
        <v>1078</v>
      </c>
      <c r="T535" s="32">
        <v>38</v>
      </c>
      <c r="U535" s="32">
        <v>83545</v>
      </c>
      <c r="V535" s="32">
        <v>5</v>
      </c>
      <c r="W535" s="32">
        <v>198002</v>
      </c>
    </row>
    <row r="536" spans="1:23" x14ac:dyDescent="0.2">
      <c r="A536" s="30" t="s">
        <v>735</v>
      </c>
      <c r="B536" s="30" t="s">
        <v>1237</v>
      </c>
      <c r="C536" s="34">
        <v>229</v>
      </c>
      <c r="D536" s="35">
        <v>224</v>
      </c>
      <c r="E536" s="34">
        <f>IF(OR(D536="-",D536="",D536=0),IF(C536="-","-",C536),C536-D536)</f>
        <v>5</v>
      </c>
      <c r="F536" s="4">
        <f>IFERROR(IF(C536&gt;0, D536/C536, 0),"-")</f>
        <v>0.97816593886462877</v>
      </c>
      <c r="G536" s="34">
        <v>1</v>
      </c>
      <c r="H536" s="35" t="s">
        <v>959</v>
      </c>
      <c r="I536" s="34">
        <f>IF(OR(H536="-",H536="",H536=0),IF(G536="-","-",G536),G536-H536)</f>
        <v>1</v>
      </c>
      <c r="J536" s="4" t="str">
        <f>IFERROR(IF(G536&gt;0, H536/G536, 0),"-")</f>
        <v>-</v>
      </c>
      <c r="K536" s="34" t="s">
        <v>959</v>
      </c>
      <c r="L536" s="35" t="s">
        <v>959</v>
      </c>
      <c r="M536" s="34" t="str">
        <f>IF(OR(L536="-",L536="",L536=0),IF(K536="-","-",K536),K536-L536)</f>
        <v>-</v>
      </c>
      <c r="N536" s="4" t="str">
        <f>IFERROR(IF(K536&gt;0, L536/K536, 0),"-")</f>
        <v>-</v>
      </c>
      <c r="O536" s="34">
        <v>1</v>
      </c>
      <c r="P536" s="35" t="s">
        <v>959</v>
      </c>
      <c r="Q536" s="34">
        <f>IF(OR(P536="-",P536="",P536=0),IF(O536="-","-",O536),O536-P536)</f>
        <v>1</v>
      </c>
      <c r="R536" s="4" t="str">
        <f>IFERROR(IF(O536&gt;0, P536/O536, 0),"-")</f>
        <v>-</v>
      </c>
      <c r="S536" s="34">
        <v>167</v>
      </c>
      <c r="T536" s="34">
        <v>8</v>
      </c>
      <c r="U536" s="34">
        <v>23860</v>
      </c>
      <c r="V536" s="35">
        <v>1</v>
      </c>
      <c r="W536" s="35">
        <v>21993</v>
      </c>
    </row>
    <row r="537" spans="1:23" x14ac:dyDescent="0.2">
      <c r="A537" s="30" t="s">
        <v>736</v>
      </c>
      <c r="B537" s="30" t="s">
        <v>1238</v>
      </c>
      <c r="C537" s="34">
        <v>222</v>
      </c>
      <c r="D537" s="35">
        <v>221</v>
      </c>
      <c r="E537" s="34">
        <f>IF(OR(D537="-",D537="",D537=0),IF(C537="-","-",C537),C537-D537)</f>
        <v>1</v>
      </c>
      <c r="F537" s="4">
        <f>IFERROR(IF(C537&gt;0, D537/C537, 0),"-")</f>
        <v>0.99549549549549554</v>
      </c>
      <c r="G537" s="34">
        <v>1</v>
      </c>
      <c r="H537" s="35" t="s">
        <v>959</v>
      </c>
      <c r="I537" s="34">
        <f>IF(OR(H537="-",H537="",H537=0),IF(G537="-","-",G537),G537-H537)</f>
        <v>1</v>
      </c>
      <c r="J537" s="4" t="str">
        <f>IFERROR(IF(G537&gt;0, H537/G537, 0),"-")</f>
        <v>-</v>
      </c>
      <c r="K537" s="34">
        <v>4</v>
      </c>
      <c r="L537" s="35">
        <v>1</v>
      </c>
      <c r="M537" s="34">
        <f>IF(OR(L537="-",L537="",L537=0),IF(K537="-","-",K537),K537-L537)</f>
        <v>3</v>
      </c>
      <c r="N537" s="4">
        <f>IFERROR(IF(K537&gt;0, L537/K537, 0),"-")</f>
        <v>0.25</v>
      </c>
      <c r="O537" s="34">
        <v>4</v>
      </c>
      <c r="P537" s="35" t="s">
        <v>959</v>
      </c>
      <c r="Q537" s="34">
        <f>IF(OR(P537="-",P537="",P537=0),IF(O537="-","-",O537),O537-P537)</f>
        <v>4</v>
      </c>
      <c r="R537" s="4" t="str">
        <f>IFERROR(IF(O537&gt;0, P537/O537, 0),"-")</f>
        <v>-</v>
      </c>
      <c r="S537" s="34">
        <v>139</v>
      </c>
      <c r="T537" s="34">
        <v>5</v>
      </c>
      <c r="U537" s="34">
        <v>5200</v>
      </c>
      <c r="V537" s="35">
        <v>2</v>
      </c>
      <c r="W537" s="35">
        <v>102439</v>
      </c>
    </row>
    <row r="538" spans="1:23" x14ac:dyDescent="0.2">
      <c r="A538" s="30" t="s">
        <v>734</v>
      </c>
      <c r="B538" s="30" t="s">
        <v>1239</v>
      </c>
      <c r="C538" s="34">
        <v>223</v>
      </c>
      <c r="D538" s="35">
        <v>221</v>
      </c>
      <c r="E538" s="34">
        <f>IF(OR(D538="-",D538="",D538=0),IF(C538="-","-",C538),C538-D538)</f>
        <v>2</v>
      </c>
      <c r="F538" s="4">
        <f>IFERROR(IF(C538&gt;0, D538/C538, 0),"-")</f>
        <v>0.99103139013452912</v>
      </c>
      <c r="G538" s="34">
        <v>4</v>
      </c>
      <c r="H538" s="35" t="s">
        <v>959</v>
      </c>
      <c r="I538" s="34">
        <f>IF(OR(H538="-",H538="",H538=0),IF(G538="-","-",G538),G538-H538)</f>
        <v>4</v>
      </c>
      <c r="J538" s="4" t="str">
        <f>IFERROR(IF(G538&gt;0, H538/G538, 0),"-")</f>
        <v>-</v>
      </c>
      <c r="K538" s="34">
        <v>4</v>
      </c>
      <c r="L538" s="35">
        <v>3</v>
      </c>
      <c r="M538" s="34">
        <f>IF(OR(L538="-",L538="",L538=0),IF(K538="-","-",K538),K538-L538)</f>
        <v>1</v>
      </c>
      <c r="N538" s="4">
        <f>IFERROR(IF(K538&gt;0, L538/K538, 0),"-")</f>
        <v>0.75</v>
      </c>
      <c r="O538" s="34">
        <v>3</v>
      </c>
      <c r="P538" s="35">
        <v>1</v>
      </c>
      <c r="Q538" s="34">
        <f>IF(OR(P538="-",P538="",P538=0),IF(O538="-","-",O538),O538-P538)</f>
        <v>2</v>
      </c>
      <c r="R538" s="4">
        <f>IFERROR(IF(O538&gt;0, P538/O538, 0),"-")</f>
        <v>0.33333333333333331</v>
      </c>
      <c r="S538" s="34">
        <v>195</v>
      </c>
      <c r="T538" s="34">
        <v>3</v>
      </c>
      <c r="U538" s="34">
        <v>3600</v>
      </c>
      <c r="V538" s="35">
        <v>2</v>
      </c>
      <c r="W538" s="35">
        <v>73570</v>
      </c>
    </row>
    <row r="539" spans="1:23" x14ac:dyDescent="0.2">
      <c r="A539" s="30" t="s">
        <v>739</v>
      </c>
      <c r="B539" s="30" t="s">
        <v>1240</v>
      </c>
      <c r="C539" s="34">
        <v>178</v>
      </c>
      <c r="D539" s="35">
        <v>173</v>
      </c>
      <c r="E539" s="34">
        <f>IF(OR(D539="-",D539="",D539=0),IF(C539="-","-",C539),C539-D539)</f>
        <v>5</v>
      </c>
      <c r="F539" s="4">
        <f>IFERROR(IF(C539&gt;0, D539/C539, 0),"-")</f>
        <v>0.9719101123595506</v>
      </c>
      <c r="G539" s="34">
        <v>1</v>
      </c>
      <c r="H539" s="35" t="s">
        <v>959</v>
      </c>
      <c r="I539" s="34">
        <f>IF(OR(H539="-",H539="",H539=0),IF(G539="-","-",G539),G539-H539)</f>
        <v>1</v>
      </c>
      <c r="J539" s="4" t="str">
        <f>IFERROR(IF(G539&gt;0, H539/G539, 0),"-")</f>
        <v>-</v>
      </c>
      <c r="K539" s="34">
        <v>1</v>
      </c>
      <c r="L539" s="35" t="s">
        <v>959</v>
      </c>
      <c r="M539" s="34">
        <f>IF(OR(L539="-",L539="",L539=0),IF(K539="-","-",K539),K539-L539)</f>
        <v>1</v>
      </c>
      <c r="N539" s="4" t="str">
        <f>IFERROR(IF(K539&gt;0, L539/K539, 0),"-")</f>
        <v>-</v>
      </c>
      <c r="O539" s="34">
        <v>6</v>
      </c>
      <c r="P539" s="35" t="s">
        <v>959</v>
      </c>
      <c r="Q539" s="34">
        <f>IF(OR(P539="-",P539="",P539=0),IF(O539="-","-",O539),O539-P539)</f>
        <v>6</v>
      </c>
      <c r="R539" s="4" t="str">
        <f>IFERROR(IF(O539&gt;0, P539/O539, 0),"-")</f>
        <v>-</v>
      </c>
      <c r="S539" s="34">
        <v>91</v>
      </c>
      <c r="T539" s="34">
        <v>4</v>
      </c>
      <c r="U539" s="34">
        <v>13490</v>
      </c>
      <c r="V539" s="35" t="s">
        <v>959</v>
      </c>
      <c r="W539" s="35" t="s">
        <v>959</v>
      </c>
    </row>
    <row r="540" spans="1:23" x14ac:dyDescent="0.2">
      <c r="A540" s="30" t="s">
        <v>733</v>
      </c>
      <c r="B540" s="30" t="s">
        <v>1241</v>
      </c>
      <c r="C540" s="34">
        <v>106</v>
      </c>
      <c r="D540" s="35">
        <v>106</v>
      </c>
      <c r="E540" s="34">
        <f>IF(OR(D540="-",D540="",D540=0),IF(C540="-","-",C540),C540-D540)</f>
        <v>0</v>
      </c>
      <c r="F540" s="4">
        <f>IFERROR(IF(C540&gt;0, D540/C540, 0),"-")</f>
        <v>1</v>
      </c>
      <c r="G540" s="34">
        <v>2</v>
      </c>
      <c r="H540" s="35" t="s">
        <v>959</v>
      </c>
      <c r="I540" s="34">
        <f>IF(OR(H540="-",H540="",H540=0),IF(G540="-","-",G540),G540-H540)</f>
        <v>2</v>
      </c>
      <c r="J540" s="4" t="str">
        <f>IFERROR(IF(G540&gt;0, H540/G540, 0),"-")</f>
        <v>-</v>
      </c>
      <c r="K540" s="34">
        <v>1</v>
      </c>
      <c r="L540" s="35" t="s">
        <v>959</v>
      </c>
      <c r="M540" s="34">
        <f>IF(OR(L540="-",L540="",L540=0),IF(K540="-","-",K540),K540-L540)</f>
        <v>1</v>
      </c>
      <c r="N540" s="4" t="str">
        <f>IFERROR(IF(K540&gt;0, L540/K540, 0),"-")</f>
        <v>-</v>
      </c>
      <c r="O540" s="34">
        <v>2</v>
      </c>
      <c r="P540" s="35">
        <v>1</v>
      </c>
      <c r="Q540" s="34">
        <f>IF(OR(P540="-",P540="",P540=0),IF(O540="-","-",O540),O540-P540)</f>
        <v>1</v>
      </c>
      <c r="R540" s="4">
        <f>IFERROR(IF(O540&gt;0, P540/O540, 0),"-")</f>
        <v>0.5</v>
      </c>
      <c r="S540" s="34">
        <v>175</v>
      </c>
      <c r="T540" s="34">
        <v>9</v>
      </c>
      <c r="U540" s="34">
        <v>15530</v>
      </c>
      <c r="V540" s="35" t="s">
        <v>959</v>
      </c>
      <c r="W540" s="35" t="s">
        <v>959</v>
      </c>
    </row>
    <row r="541" spans="1:23" x14ac:dyDescent="0.2">
      <c r="A541" s="30" t="s">
        <v>738</v>
      </c>
      <c r="B541" s="30" t="s">
        <v>1242</v>
      </c>
      <c r="C541" s="34">
        <v>135</v>
      </c>
      <c r="D541" s="35">
        <v>132</v>
      </c>
      <c r="E541" s="34">
        <f>IF(OR(D541="-",D541="",D541=0),IF(C541="-","-",C541),C541-D541)</f>
        <v>3</v>
      </c>
      <c r="F541" s="4">
        <f>IFERROR(IF(C541&gt;0, D541/C541, 0),"-")</f>
        <v>0.97777777777777775</v>
      </c>
      <c r="G541" s="34">
        <v>4</v>
      </c>
      <c r="H541" s="35">
        <v>1</v>
      </c>
      <c r="I541" s="34">
        <f>IF(OR(H541="-",H541="",H541=0),IF(G541="-","-",G541),G541-H541)</f>
        <v>3</v>
      </c>
      <c r="J541" s="4">
        <f>IFERROR(IF(G541&gt;0, H541/G541, 0),"-")</f>
        <v>0.25</v>
      </c>
      <c r="K541" s="34">
        <v>1</v>
      </c>
      <c r="L541" s="35">
        <v>1</v>
      </c>
      <c r="M541" s="34">
        <f>IF(OR(L541="-",L541="",L541=0),IF(K541="-","-",K541),K541-L541)</f>
        <v>0</v>
      </c>
      <c r="N541" s="4">
        <f>IFERROR(IF(K541&gt;0, L541/K541, 0),"-")</f>
        <v>1</v>
      </c>
      <c r="O541" s="34">
        <v>5</v>
      </c>
      <c r="P541" s="35">
        <v>1</v>
      </c>
      <c r="Q541" s="34">
        <f>IF(OR(P541="-",P541="",P541=0),IF(O541="-","-",O541),O541-P541)</f>
        <v>4</v>
      </c>
      <c r="R541" s="4">
        <f>IFERROR(IF(O541&gt;0, P541/O541, 0),"-")</f>
        <v>0.2</v>
      </c>
      <c r="S541" s="34">
        <v>162</v>
      </c>
      <c r="T541" s="34">
        <v>4</v>
      </c>
      <c r="U541" s="34">
        <v>5995</v>
      </c>
      <c r="V541" s="35" t="s">
        <v>959</v>
      </c>
      <c r="W541" s="35" t="s">
        <v>959</v>
      </c>
    </row>
    <row r="542" spans="1:23" x14ac:dyDescent="0.2">
      <c r="A542" s="30" t="s">
        <v>737</v>
      </c>
      <c r="B542" s="30" t="s">
        <v>1243</v>
      </c>
      <c r="C542" s="34">
        <v>147</v>
      </c>
      <c r="D542" s="35">
        <v>147</v>
      </c>
      <c r="E542" s="34">
        <f>IF(OR(D542="-",D542="",D542=0),IF(C542="-","-",C542),C542-D542)</f>
        <v>0</v>
      </c>
      <c r="F542" s="4">
        <f>IFERROR(IF(C542&gt;0, D542/C542, 0),"-")</f>
        <v>1</v>
      </c>
      <c r="G542" s="34">
        <v>1</v>
      </c>
      <c r="H542" s="35" t="s">
        <v>959</v>
      </c>
      <c r="I542" s="34">
        <f>IF(OR(H542="-",H542="",H542=0),IF(G542="-","-",G542),G542-H542)</f>
        <v>1</v>
      </c>
      <c r="J542" s="4" t="str">
        <f>IFERROR(IF(G542&gt;0, H542/G542, 0),"-")</f>
        <v>-</v>
      </c>
      <c r="K542" s="34">
        <v>2</v>
      </c>
      <c r="L542" s="35">
        <v>1</v>
      </c>
      <c r="M542" s="34">
        <f>IF(OR(L542="-",L542="",L542=0),IF(K542="-","-",K542),K542-L542)</f>
        <v>1</v>
      </c>
      <c r="N542" s="4">
        <f>IFERROR(IF(K542&gt;0, L542/K542, 0),"-")</f>
        <v>0.5</v>
      </c>
      <c r="O542" s="34">
        <v>4</v>
      </c>
      <c r="P542" s="35">
        <v>1</v>
      </c>
      <c r="Q542" s="34">
        <f>IF(OR(P542="-",P542="",P542=0),IF(O542="-","-",O542),O542-P542)</f>
        <v>3</v>
      </c>
      <c r="R542" s="4">
        <f>IFERROR(IF(O542&gt;0, P542/O542, 0),"-")</f>
        <v>0.25</v>
      </c>
      <c r="S542" s="34">
        <v>149</v>
      </c>
      <c r="T542" s="34">
        <v>5</v>
      </c>
      <c r="U542" s="34">
        <v>15870</v>
      </c>
      <c r="V542" s="35" t="s">
        <v>959</v>
      </c>
      <c r="W542" s="35" t="s">
        <v>959</v>
      </c>
    </row>
    <row r="543" spans="1:23" x14ac:dyDescent="0.2">
      <c r="A543" s="29"/>
      <c r="B543" s="29" t="s">
        <v>122</v>
      </c>
      <c r="C543" s="32">
        <v>369</v>
      </c>
      <c r="D543" s="32">
        <v>356</v>
      </c>
      <c r="E543" s="32">
        <f>IF(OR(D543="-",D543="",D543=0),IF(C543="-","-",C543),C543-D543)</f>
        <v>13</v>
      </c>
      <c r="F543" s="36">
        <f>IFERROR(IF(C543&gt;0, D543/C543, 0),"-")</f>
        <v>0.964769647696477</v>
      </c>
      <c r="G543" s="32">
        <v>7</v>
      </c>
      <c r="H543" s="32">
        <v>4</v>
      </c>
      <c r="I543" s="32">
        <f>IF(OR(H543="-",H543="",H543=0),IF(G543="-","-",G543),G543-H543)</f>
        <v>3</v>
      </c>
      <c r="J543" s="36">
        <f>IFERROR(IF(G543&gt;0, H543/G543, 0),"-")</f>
        <v>0.5714285714285714</v>
      </c>
      <c r="K543" s="32">
        <v>4</v>
      </c>
      <c r="L543" s="32">
        <v>2</v>
      </c>
      <c r="M543" s="32">
        <f>IF(OR(L543="-",L543="",L543=0),IF(K543="-","-",K543),K543-L543)</f>
        <v>2</v>
      </c>
      <c r="N543" s="36">
        <f>IFERROR(IF(K543&gt;0, L543/K543, 0),"-")</f>
        <v>0.5</v>
      </c>
      <c r="O543" s="32">
        <v>1</v>
      </c>
      <c r="P543" s="32" t="s">
        <v>959</v>
      </c>
      <c r="Q543" s="32">
        <f>IF(OR(P543="-",P543="",P543=0),IF(O543="-","-",O543),O543-P543)</f>
        <v>1</v>
      </c>
      <c r="R543" s="36" t="str">
        <f>IFERROR(IF(O543&gt;0, P543/O543, 0),"-")</f>
        <v>-</v>
      </c>
      <c r="S543" s="32">
        <v>5</v>
      </c>
      <c r="T543" s="32">
        <v>2</v>
      </c>
      <c r="U543" s="32">
        <v>3695</v>
      </c>
      <c r="V543" s="32" t="s">
        <v>959</v>
      </c>
      <c r="W543" s="32" t="s">
        <v>959</v>
      </c>
    </row>
    <row r="544" spans="1:23" x14ac:dyDescent="0.2">
      <c r="A544" s="30" t="s">
        <v>863</v>
      </c>
      <c r="B544" s="30" t="s">
        <v>1244</v>
      </c>
      <c r="C544" s="34">
        <v>141</v>
      </c>
      <c r="D544" s="35">
        <v>137</v>
      </c>
      <c r="E544" s="34">
        <f>IF(OR(D544="-",D544="",D544=0),IF(C544="-","-",C544),C544-D544)</f>
        <v>4</v>
      </c>
      <c r="F544" s="4">
        <f>IFERROR(IF(C544&gt;0, D544/C544, 0),"-")</f>
        <v>0.97163120567375882</v>
      </c>
      <c r="G544" s="34">
        <v>1</v>
      </c>
      <c r="H544" s="35" t="s">
        <v>959</v>
      </c>
      <c r="I544" s="34">
        <f>IF(OR(H544="-",H544="",H544=0),IF(G544="-","-",G544),G544-H544)</f>
        <v>1</v>
      </c>
      <c r="J544" s="4" t="str">
        <f>IFERROR(IF(G544&gt;0, H544/G544, 0),"-")</f>
        <v>-</v>
      </c>
      <c r="K544" s="34">
        <v>3</v>
      </c>
      <c r="L544" s="35">
        <v>2</v>
      </c>
      <c r="M544" s="34">
        <f>IF(OR(L544="-",L544="",L544=0),IF(K544="-","-",K544),K544-L544)</f>
        <v>1</v>
      </c>
      <c r="N544" s="4">
        <f>IFERROR(IF(K544&gt;0, L544/K544, 0),"-")</f>
        <v>0.66666666666666663</v>
      </c>
      <c r="O544" s="34" t="s">
        <v>959</v>
      </c>
      <c r="P544" s="35" t="s">
        <v>959</v>
      </c>
      <c r="Q544" s="34" t="str">
        <f>IF(OR(P544="-",P544="",P544=0),IF(O544="-","-",O544),O544-P544)</f>
        <v>-</v>
      </c>
      <c r="R544" s="4" t="str">
        <f>IFERROR(IF(O544&gt;0, P544/O544, 0),"-")</f>
        <v>-</v>
      </c>
      <c r="S544" s="34" t="s">
        <v>959</v>
      </c>
      <c r="T544" s="34" t="s">
        <v>959</v>
      </c>
      <c r="U544" s="34" t="s">
        <v>959</v>
      </c>
      <c r="V544" s="35" t="s">
        <v>959</v>
      </c>
      <c r="W544" s="35" t="s">
        <v>959</v>
      </c>
    </row>
    <row r="545" spans="1:23" x14ac:dyDescent="0.2">
      <c r="A545" s="30" t="s">
        <v>866</v>
      </c>
      <c r="B545" s="30" t="s">
        <v>1245</v>
      </c>
      <c r="C545" s="34">
        <v>98</v>
      </c>
      <c r="D545" s="35">
        <v>95</v>
      </c>
      <c r="E545" s="34">
        <f>IF(OR(D545="-",D545="",D545=0),IF(C545="-","-",C545),C545-D545)</f>
        <v>3</v>
      </c>
      <c r="F545" s="4">
        <f>IFERROR(IF(C545&gt;0, D545/C545, 0),"-")</f>
        <v>0.96938775510204078</v>
      </c>
      <c r="G545" s="34">
        <v>4</v>
      </c>
      <c r="H545" s="35">
        <v>3</v>
      </c>
      <c r="I545" s="34">
        <f>IF(OR(H545="-",H545="",H545=0),IF(G545="-","-",G545),G545-H545)</f>
        <v>1</v>
      </c>
      <c r="J545" s="4">
        <f>IFERROR(IF(G545&gt;0, H545/G545, 0),"-")</f>
        <v>0.75</v>
      </c>
      <c r="K545" s="34">
        <v>1</v>
      </c>
      <c r="L545" s="35" t="s">
        <v>959</v>
      </c>
      <c r="M545" s="34">
        <f>IF(OR(L545="-",L545="",L545=0),IF(K545="-","-",K545),K545-L545)</f>
        <v>1</v>
      </c>
      <c r="N545" s="4" t="str">
        <f>IFERROR(IF(K545&gt;0, L545/K545, 0),"-")</f>
        <v>-</v>
      </c>
      <c r="O545" s="34" t="s">
        <v>959</v>
      </c>
      <c r="P545" s="35" t="s">
        <v>959</v>
      </c>
      <c r="Q545" s="34" t="str">
        <f>IF(OR(P545="-",P545="",P545=0),IF(O545="-","-",O545),O545-P545)</f>
        <v>-</v>
      </c>
      <c r="R545" s="4" t="str">
        <f>IFERROR(IF(O545&gt;0, P545/O545, 0),"-")</f>
        <v>-</v>
      </c>
      <c r="S545" s="34">
        <v>4</v>
      </c>
      <c r="T545" s="34">
        <v>1</v>
      </c>
      <c r="U545" s="34">
        <v>2695</v>
      </c>
      <c r="V545" s="35" t="s">
        <v>959</v>
      </c>
      <c r="W545" s="35" t="s">
        <v>959</v>
      </c>
    </row>
    <row r="546" spans="1:23" x14ac:dyDescent="0.2">
      <c r="A546" s="30" t="s">
        <v>865</v>
      </c>
      <c r="B546" s="30" t="s">
        <v>1246</v>
      </c>
      <c r="C546" s="34">
        <v>71</v>
      </c>
      <c r="D546" s="35">
        <v>70</v>
      </c>
      <c r="E546" s="34">
        <f>IF(OR(D546="-",D546="",D546=0),IF(C546="-","-",C546),C546-D546)</f>
        <v>1</v>
      </c>
      <c r="F546" s="4">
        <f>IFERROR(IF(C546&gt;0, D546/C546, 0),"-")</f>
        <v>0.9859154929577465</v>
      </c>
      <c r="G546" s="34">
        <v>2</v>
      </c>
      <c r="H546" s="35">
        <v>1</v>
      </c>
      <c r="I546" s="34">
        <f>IF(OR(H546="-",H546="",H546=0),IF(G546="-","-",G546),G546-H546)</f>
        <v>1</v>
      </c>
      <c r="J546" s="4">
        <f>IFERROR(IF(G546&gt;0, H546/G546, 0),"-")</f>
        <v>0.5</v>
      </c>
      <c r="K546" s="34" t="s">
        <v>959</v>
      </c>
      <c r="L546" s="35" t="s">
        <v>959</v>
      </c>
      <c r="M546" s="34" t="str">
        <f>IF(OR(L546="-",L546="",L546=0),IF(K546="-","-",K546),K546-L546)</f>
        <v>-</v>
      </c>
      <c r="N546" s="4" t="str">
        <f>IFERROR(IF(K546&gt;0, L546/K546, 0),"-")</f>
        <v>-</v>
      </c>
      <c r="O546" s="34">
        <v>1</v>
      </c>
      <c r="P546" s="35" t="s">
        <v>959</v>
      </c>
      <c r="Q546" s="34">
        <f>IF(OR(P546="-",P546="",P546=0),IF(O546="-","-",O546),O546-P546)</f>
        <v>1</v>
      </c>
      <c r="R546" s="4" t="str">
        <f>IFERROR(IF(O546&gt;0, P546/O546, 0),"-")</f>
        <v>-</v>
      </c>
      <c r="S546" s="34" t="s">
        <v>959</v>
      </c>
      <c r="T546" s="34" t="s">
        <v>959</v>
      </c>
      <c r="U546" s="34" t="s">
        <v>959</v>
      </c>
      <c r="V546" s="35" t="s">
        <v>959</v>
      </c>
      <c r="W546" s="35" t="s">
        <v>959</v>
      </c>
    </row>
    <row r="547" spans="1:23" x14ac:dyDescent="0.2">
      <c r="A547" s="30" t="s">
        <v>864</v>
      </c>
      <c r="B547" s="30" t="s">
        <v>1247</v>
      </c>
      <c r="C547" s="34">
        <v>59</v>
      </c>
      <c r="D547" s="35">
        <v>54</v>
      </c>
      <c r="E547" s="34">
        <f>IF(OR(D547="-",D547="",D547=0),IF(C547="-","-",C547),C547-D547)</f>
        <v>5</v>
      </c>
      <c r="F547" s="4">
        <f>IFERROR(IF(C547&gt;0, D547/C547, 0),"-")</f>
        <v>0.9152542372881356</v>
      </c>
      <c r="G547" s="34" t="s">
        <v>959</v>
      </c>
      <c r="H547" s="35" t="s">
        <v>959</v>
      </c>
      <c r="I547" s="34" t="str">
        <f>IF(OR(H547="-",H547="",H547=0),IF(G547="-","-",G547),G547-H547)</f>
        <v>-</v>
      </c>
      <c r="J547" s="4" t="str">
        <f>IFERROR(IF(G547&gt;0, H547/G547, 0),"-")</f>
        <v>-</v>
      </c>
      <c r="K547" s="34" t="s">
        <v>959</v>
      </c>
      <c r="L547" s="35" t="s">
        <v>959</v>
      </c>
      <c r="M547" s="34" t="str">
        <f>IF(OR(L547="-",L547="",L547=0),IF(K547="-","-",K547),K547-L547)</f>
        <v>-</v>
      </c>
      <c r="N547" s="4" t="str">
        <f>IFERROR(IF(K547&gt;0, L547/K547, 0),"-")</f>
        <v>-</v>
      </c>
      <c r="O547" s="34" t="s">
        <v>959</v>
      </c>
      <c r="P547" s="35" t="s">
        <v>959</v>
      </c>
      <c r="Q547" s="34" t="str">
        <f>IF(OR(P547="-",P547="",P547=0),IF(O547="-","-",O547),O547-P547)</f>
        <v>-</v>
      </c>
      <c r="R547" s="4" t="str">
        <f>IFERROR(IF(O547&gt;0, P547/O547, 0),"-")</f>
        <v>-</v>
      </c>
      <c r="S547" s="34">
        <v>1</v>
      </c>
      <c r="T547" s="34">
        <v>1</v>
      </c>
      <c r="U547" s="34">
        <v>1000</v>
      </c>
      <c r="V547" s="35" t="s">
        <v>959</v>
      </c>
      <c r="W547" s="35" t="s">
        <v>959</v>
      </c>
    </row>
    <row r="548" spans="1:23" x14ac:dyDescent="0.2">
      <c r="A548" s="29"/>
      <c r="B548" s="29" t="s">
        <v>133</v>
      </c>
      <c r="C548" s="32">
        <v>1113</v>
      </c>
      <c r="D548" s="32">
        <v>1090</v>
      </c>
      <c r="E548" s="32">
        <f>IF(OR(D548="-",D548="",D548=0),IF(C548="-","-",C548),C548-D548)</f>
        <v>23</v>
      </c>
      <c r="F548" s="36">
        <f>IFERROR(IF(C548&gt;0, D548/C548, 0),"-")</f>
        <v>0.97933513027852648</v>
      </c>
      <c r="G548" s="32">
        <v>15</v>
      </c>
      <c r="H548" s="32">
        <v>4</v>
      </c>
      <c r="I548" s="32">
        <f>IF(OR(H548="-",H548="",H548=0),IF(G548="-","-",G548),G548-H548)</f>
        <v>11</v>
      </c>
      <c r="J548" s="36">
        <f>IFERROR(IF(G548&gt;0, H548/G548, 0),"-")</f>
        <v>0.26666666666666666</v>
      </c>
      <c r="K548" s="32">
        <v>14</v>
      </c>
      <c r="L548" s="32">
        <v>3</v>
      </c>
      <c r="M548" s="32">
        <f>IF(OR(L548="-",L548="",L548=0),IF(K548="-","-",K548),K548-L548)</f>
        <v>11</v>
      </c>
      <c r="N548" s="36">
        <f>IFERROR(IF(K548&gt;0, L548/K548, 0),"-")</f>
        <v>0.21428571428571427</v>
      </c>
      <c r="O548" s="32">
        <v>28</v>
      </c>
      <c r="P548" s="32">
        <v>1</v>
      </c>
      <c r="Q548" s="32">
        <f>IF(OR(P548="-",P548="",P548=0),IF(O548="-","-",O548),O548-P548)</f>
        <v>27</v>
      </c>
      <c r="R548" s="36">
        <f>IFERROR(IF(O548&gt;0, P548/O548, 0),"-")</f>
        <v>3.5714285714285712E-2</v>
      </c>
      <c r="S548" s="32">
        <v>1178</v>
      </c>
      <c r="T548" s="32">
        <v>18</v>
      </c>
      <c r="U548" s="32">
        <v>43025</v>
      </c>
      <c r="V548" s="32">
        <v>3</v>
      </c>
      <c r="W548" s="32">
        <v>21334</v>
      </c>
    </row>
    <row r="549" spans="1:23" x14ac:dyDescent="0.2">
      <c r="A549" s="30" t="s">
        <v>932</v>
      </c>
      <c r="B549" s="30" t="s">
        <v>1248</v>
      </c>
      <c r="C549" s="34">
        <v>141</v>
      </c>
      <c r="D549" s="35">
        <v>138</v>
      </c>
      <c r="E549" s="34">
        <f>IF(OR(D549="-",D549="",D549=0),IF(C549="-","-",C549),C549-D549)</f>
        <v>3</v>
      </c>
      <c r="F549" s="4">
        <f>IFERROR(IF(C549&gt;0, D549/C549, 0),"-")</f>
        <v>0.97872340425531912</v>
      </c>
      <c r="G549" s="34" t="s">
        <v>959</v>
      </c>
      <c r="H549" s="35" t="s">
        <v>959</v>
      </c>
      <c r="I549" s="34" t="str">
        <f>IF(OR(H549="-",H549="",H549=0),IF(G549="-","-",G549),G549-H549)</f>
        <v>-</v>
      </c>
      <c r="J549" s="4" t="str">
        <f>IFERROR(IF(G549&gt;0, H549/G549, 0),"-")</f>
        <v>-</v>
      </c>
      <c r="K549" s="34" t="s">
        <v>959</v>
      </c>
      <c r="L549" s="35" t="s">
        <v>959</v>
      </c>
      <c r="M549" s="34" t="str">
        <f>IF(OR(L549="-",L549="",L549=0),IF(K549="-","-",K549),K549-L549)</f>
        <v>-</v>
      </c>
      <c r="N549" s="4" t="str">
        <f>IFERROR(IF(K549&gt;0, L549/K549, 0),"-")</f>
        <v>-</v>
      </c>
      <c r="O549" s="34">
        <v>5</v>
      </c>
      <c r="P549" s="35" t="s">
        <v>959</v>
      </c>
      <c r="Q549" s="34">
        <f>IF(OR(P549="-",P549="",P549=0),IF(O549="-","-",O549),O549-P549)</f>
        <v>5</v>
      </c>
      <c r="R549" s="4" t="str">
        <f>IFERROR(IF(O549&gt;0, P549/O549, 0),"-")</f>
        <v>-</v>
      </c>
      <c r="S549" s="34">
        <v>171</v>
      </c>
      <c r="T549" s="34" t="s">
        <v>959</v>
      </c>
      <c r="U549" s="34" t="s">
        <v>959</v>
      </c>
      <c r="V549" s="35">
        <v>2</v>
      </c>
      <c r="W549" s="35">
        <v>9673</v>
      </c>
    </row>
    <row r="550" spans="1:23" x14ac:dyDescent="0.2">
      <c r="A550" s="30" t="s">
        <v>930</v>
      </c>
      <c r="B550" s="30" t="s">
        <v>1249</v>
      </c>
      <c r="C550" s="34">
        <v>211</v>
      </c>
      <c r="D550" s="35">
        <v>207</v>
      </c>
      <c r="E550" s="34">
        <f>IF(OR(D550="-",D550="",D550=0),IF(C550="-","-",C550),C550-D550)</f>
        <v>4</v>
      </c>
      <c r="F550" s="4">
        <f>IFERROR(IF(C550&gt;0, D550/C550, 0),"-")</f>
        <v>0.98104265402843605</v>
      </c>
      <c r="G550" s="34">
        <v>1</v>
      </c>
      <c r="H550" s="35">
        <v>1</v>
      </c>
      <c r="I550" s="34">
        <f>IF(OR(H550="-",H550="",H550=0),IF(G550="-","-",G550),G550-H550)</f>
        <v>0</v>
      </c>
      <c r="J550" s="4">
        <f>IFERROR(IF(G550&gt;0, H550/G550, 0),"-")</f>
        <v>1</v>
      </c>
      <c r="K550" s="34">
        <v>1</v>
      </c>
      <c r="L550" s="35" t="s">
        <v>959</v>
      </c>
      <c r="M550" s="34">
        <f>IF(OR(L550="-",L550="",L550=0),IF(K550="-","-",K550),K550-L550)</f>
        <v>1</v>
      </c>
      <c r="N550" s="4" t="str">
        <f>IFERROR(IF(K550&gt;0, L550/K550, 0),"-")</f>
        <v>-</v>
      </c>
      <c r="O550" s="34">
        <v>7</v>
      </c>
      <c r="P550" s="35" t="s">
        <v>959</v>
      </c>
      <c r="Q550" s="34">
        <f>IF(OR(P550="-",P550="",P550=0),IF(O550="-","-",O550),O550-P550)</f>
        <v>7</v>
      </c>
      <c r="R550" s="4" t="str">
        <f>IFERROR(IF(O550&gt;0, P550/O550, 0),"-")</f>
        <v>-</v>
      </c>
      <c r="S550" s="34">
        <v>368</v>
      </c>
      <c r="T550" s="34">
        <v>8</v>
      </c>
      <c r="U550" s="34">
        <v>11295</v>
      </c>
      <c r="V550" s="35" t="s">
        <v>959</v>
      </c>
      <c r="W550" s="35" t="s">
        <v>959</v>
      </c>
    </row>
    <row r="551" spans="1:23" x14ac:dyDescent="0.2">
      <c r="A551" s="30" t="s">
        <v>929</v>
      </c>
      <c r="B551" s="30" t="s">
        <v>1250</v>
      </c>
      <c r="C551" s="34">
        <v>194</v>
      </c>
      <c r="D551" s="35">
        <v>193</v>
      </c>
      <c r="E551" s="34">
        <f>IF(OR(D551="-",D551="",D551=0),IF(C551="-","-",C551),C551-D551)</f>
        <v>1</v>
      </c>
      <c r="F551" s="4">
        <f>IFERROR(IF(C551&gt;0, D551/C551, 0),"-")</f>
        <v>0.99484536082474229</v>
      </c>
      <c r="G551" s="34">
        <v>4</v>
      </c>
      <c r="H551" s="35">
        <v>3</v>
      </c>
      <c r="I551" s="34">
        <f>IF(OR(H551="-",H551="",H551=0),IF(G551="-","-",G551),G551-H551)</f>
        <v>1</v>
      </c>
      <c r="J551" s="4">
        <f>IFERROR(IF(G551&gt;0, H551/G551, 0),"-")</f>
        <v>0.75</v>
      </c>
      <c r="K551" s="34">
        <v>4</v>
      </c>
      <c r="L551" s="35">
        <v>2</v>
      </c>
      <c r="M551" s="34">
        <f>IF(OR(L551="-",L551="",L551=0),IF(K551="-","-",K551),K551-L551)</f>
        <v>2</v>
      </c>
      <c r="N551" s="4">
        <f>IFERROR(IF(K551&gt;0, L551/K551, 0),"-")</f>
        <v>0.5</v>
      </c>
      <c r="O551" s="34">
        <v>3</v>
      </c>
      <c r="P551" s="35" t="s">
        <v>959</v>
      </c>
      <c r="Q551" s="34">
        <f>IF(OR(P551="-",P551="",P551=0),IF(O551="-","-",O551),O551-P551)</f>
        <v>3</v>
      </c>
      <c r="R551" s="4" t="str">
        <f>IFERROR(IF(O551&gt;0, P551/O551, 0),"-")</f>
        <v>-</v>
      </c>
      <c r="S551" s="34">
        <v>157</v>
      </c>
      <c r="T551" s="34">
        <v>2</v>
      </c>
      <c r="U551" s="34">
        <v>7990</v>
      </c>
      <c r="V551" s="35" t="s">
        <v>959</v>
      </c>
      <c r="W551" s="35" t="s">
        <v>959</v>
      </c>
    </row>
    <row r="552" spans="1:23" x14ac:dyDescent="0.2">
      <c r="A552" s="30" t="s">
        <v>936</v>
      </c>
      <c r="B552" s="30" t="s">
        <v>1251</v>
      </c>
      <c r="C552" s="34">
        <v>190</v>
      </c>
      <c r="D552" s="35">
        <v>185</v>
      </c>
      <c r="E552" s="34">
        <f>IF(OR(D552="-",D552="",D552=0),IF(C552="-","-",C552),C552-D552)</f>
        <v>5</v>
      </c>
      <c r="F552" s="4">
        <f>IFERROR(IF(C552&gt;0, D552/C552, 0),"-")</f>
        <v>0.97368421052631582</v>
      </c>
      <c r="G552" s="34">
        <v>7</v>
      </c>
      <c r="H552" s="35" t="s">
        <v>959</v>
      </c>
      <c r="I552" s="34">
        <f>IF(OR(H552="-",H552="",H552=0),IF(G552="-","-",G552),G552-H552)</f>
        <v>7</v>
      </c>
      <c r="J552" s="4" t="str">
        <f>IFERROR(IF(G552&gt;0, H552/G552, 0),"-")</f>
        <v>-</v>
      </c>
      <c r="K552" s="34">
        <v>4</v>
      </c>
      <c r="L552" s="35">
        <v>1</v>
      </c>
      <c r="M552" s="34">
        <f>IF(OR(L552="-",L552="",L552=0),IF(K552="-","-",K552),K552-L552)</f>
        <v>3</v>
      </c>
      <c r="N552" s="4">
        <f>IFERROR(IF(K552&gt;0, L552/K552, 0),"-")</f>
        <v>0.25</v>
      </c>
      <c r="O552" s="34">
        <v>7</v>
      </c>
      <c r="P552" s="35">
        <v>1</v>
      </c>
      <c r="Q552" s="34">
        <f>IF(OR(P552="-",P552="",P552=0),IF(O552="-","-",O552),O552-P552)</f>
        <v>6</v>
      </c>
      <c r="R552" s="4">
        <f>IFERROR(IF(O552&gt;0, P552/O552, 0),"-")</f>
        <v>0.14285714285714285</v>
      </c>
      <c r="S552" s="34">
        <v>43</v>
      </c>
      <c r="T552" s="34">
        <v>1</v>
      </c>
      <c r="U552" s="34">
        <v>10000</v>
      </c>
      <c r="V552" s="35" t="s">
        <v>959</v>
      </c>
      <c r="W552" s="35" t="s">
        <v>959</v>
      </c>
    </row>
    <row r="553" spans="1:23" x14ac:dyDescent="0.2">
      <c r="A553" s="30" t="s">
        <v>934</v>
      </c>
      <c r="B553" s="30" t="s">
        <v>1252</v>
      </c>
      <c r="C553" s="34">
        <v>75</v>
      </c>
      <c r="D553" s="35">
        <v>72</v>
      </c>
      <c r="E553" s="34">
        <f>IF(OR(D553="-",D553="",D553=0),IF(C553="-","-",C553),C553-D553)</f>
        <v>3</v>
      </c>
      <c r="F553" s="4">
        <f>IFERROR(IF(C553&gt;0, D553/C553, 0),"-")</f>
        <v>0.96</v>
      </c>
      <c r="G553" s="34">
        <v>1</v>
      </c>
      <c r="H553" s="35" t="s">
        <v>959</v>
      </c>
      <c r="I553" s="34">
        <f>IF(OR(H553="-",H553="",H553=0),IF(G553="-","-",G553),G553-H553)</f>
        <v>1</v>
      </c>
      <c r="J553" s="4" t="str">
        <f>IFERROR(IF(G553&gt;0, H553/G553, 0),"-")</f>
        <v>-</v>
      </c>
      <c r="K553" s="34">
        <v>1</v>
      </c>
      <c r="L553" s="35" t="s">
        <v>959</v>
      </c>
      <c r="M553" s="34">
        <f>IF(OR(L553="-",L553="",L553=0),IF(K553="-","-",K553),K553-L553)</f>
        <v>1</v>
      </c>
      <c r="N553" s="4" t="str">
        <f>IFERROR(IF(K553&gt;0, L553/K553, 0),"-")</f>
        <v>-</v>
      </c>
      <c r="O553" s="34">
        <v>3</v>
      </c>
      <c r="P553" s="35" t="s">
        <v>959</v>
      </c>
      <c r="Q553" s="34">
        <f>IF(OR(P553="-",P553="",P553=0),IF(O553="-","-",O553),O553-P553)</f>
        <v>3</v>
      </c>
      <c r="R553" s="4" t="str">
        <f>IFERROR(IF(O553&gt;0, P553/O553, 0),"-")</f>
        <v>-</v>
      </c>
      <c r="S553" s="34">
        <v>136</v>
      </c>
      <c r="T553" s="34">
        <v>1</v>
      </c>
      <c r="U553" s="34">
        <v>3770</v>
      </c>
      <c r="V553" s="35" t="s">
        <v>959</v>
      </c>
      <c r="W553" s="35" t="s">
        <v>959</v>
      </c>
    </row>
    <row r="554" spans="1:23" x14ac:dyDescent="0.2">
      <c r="A554" s="30" t="s">
        <v>933</v>
      </c>
      <c r="B554" s="30" t="s">
        <v>1253</v>
      </c>
      <c r="C554" s="34">
        <v>139</v>
      </c>
      <c r="D554" s="35">
        <v>137</v>
      </c>
      <c r="E554" s="34">
        <f>IF(OR(D554="-",D554="",D554=0),IF(C554="-","-",C554),C554-D554)</f>
        <v>2</v>
      </c>
      <c r="F554" s="4">
        <f>IFERROR(IF(C554&gt;0, D554/C554, 0),"-")</f>
        <v>0.98561151079136688</v>
      </c>
      <c r="G554" s="34">
        <v>2</v>
      </c>
      <c r="H554" s="35" t="s">
        <v>959</v>
      </c>
      <c r="I554" s="34">
        <f>IF(OR(H554="-",H554="",H554=0),IF(G554="-","-",G554),G554-H554)</f>
        <v>2</v>
      </c>
      <c r="J554" s="4" t="str">
        <f>IFERROR(IF(G554&gt;0, H554/G554, 0),"-")</f>
        <v>-</v>
      </c>
      <c r="K554" s="34">
        <v>3</v>
      </c>
      <c r="L554" s="35" t="s">
        <v>959</v>
      </c>
      <c r="M554" s="34">
        <f>IF(OR(L554="-",L554="",L554=0),IF(K554="-","-",K554),K554-L554)</f>
        <v>3</v>
      </c>
      <c r="N554" s="4" t="str">
        <f>IFERROR(IF(K554&gt;0, L554/K554, 0),"-")</f>
        <v>-</v>
      </c>
      <c r="O554" s="34" t="s">
        <v>959</v>
      </c>
      <c r="P554" s="35" t="s">
        <v>959</v>
      </c>
      <c r="Q554" s="34" t="str">
        <f>IF(OR(P554="-",P554="",P554=0),IF(O554="-","-",O554),O554-P554)</f>
        <v>-</v>
      </c>
      <c r="R554" s="4" t="str">
        <f>IFERROR(IF(O554&gt;0, P554/O554, 0),"-")</f>
        <v>-</v>
      </c>
      <c r="S554" s="34">
        <v>177</v>
      </c>
      <c r="T554" s="34">
        <v>2</v>
      </c>
      <c r="U554" s="34">
        <v>4770</v>
      </c>
      <c r="V554" s="35">
        <v>1</v>
      </c>
      <c r="W554" s="35">
        <v>11661</v>
      </c>
    </row>
    <row r="555" spans="1:23" x14ac:dyDescent="0.2">
      <c r="A555" s="30" t="s">
        <v>931</v>
      </c>
      <c r="B555" s="30" t="s">
        <v>989</v>
      </c>
      <c r="C555" s="34">
        <v>163</v>
      </c>
      <c r="D555" s="35">
        <v>158</v>
      </c>
      <c r="E555" s="34">
        <f>IF(OR(D555="-",D555="",D555=0),IF(C555="-","-",C555),C555-D555)</f>
        <v>5</v>
      </c>
      <c r="F555" s="4">
        <f>IFERROR(IF(C555&gt;0, D555/C555, 0),"-")</f>
        <v>0.96932515337423308</v>
      </c>
      <c r="G555" s="34" t="s">
        <v>959</v>
      </c>
      <c r="H555" s="35" t="s">
        <v>959</v>
      </c>
      <c r="I555" s="34" t="str">
        <f>IF(OR(H555="-",H555="",H555=0),IF(G555="-","-",G555),G555-H555)</f>
        <v>-</v>
      </c>
      <c r="J555" s="4" t="str">
        <f>IFERROR(IF(G555&gt;0, H555/G555, 0),"-")</f>
        <v>-</v>
      </c>
      <c r="K555" s="34">
        <v>1</v>
      </c>
      <c r="L555" s="35" t="s">
        <v>959</v>
      </c>
      <c r="M555" s="34">
        <f>IF(OR(L555="-",L555="",L555=0),IF(K555="-","-",K555),K555-L555)</f>
        <v>1</v>
      </c>
      <c r="N555" s="4" t="str">
        <f>IFERROR(IF(K555&gt;0, L555/K555, 0),"-")</f>
        <v>-</v>
      </c>
      <c r="O555" s="34">
        <v>3</v>
      </c>
      <c r="P555" s="35" t="s">
        <v>959</v>
      </c>
      <c r="Q555" s="34">
        <f>IF(OR(P555="-",P555="",P555=0),IF(O555="-","-",O555),O555-P555)</f>
        <v>3</v>
      </c>
      <c r="R555" s="4" t="str">
        <f>IFERROR(IF(O555&gt;0, P555/O555, 0),"-")</f>
        <v>-</v>
      </c>
      <c r="S555" s="34">
        <v>126</v>
      </c>
      <c r="T555" s="34">
        <v>4</v>
      </c>
      <c r="U555" s="34">
        <v>5200</v>
      </c>
      <c r="V555" s="35" t="s">
        <v>959</v>
      </c>
      <c r="W555" s="35" t="s">
        <v>959</v>
      </c>
    </row>
    <row r="556" spans="1:23" x14ac:dyDescent="0.2">
      <c r="A556" s="29"/>
      <c r="B556" s="29" t="s">
        <v>108</v>
      </c>
      <c r="C556" s="32">
        <v>1233</v>
      </c>
      <c r="D556" s="32">
        <v>1218</v>
      </c>
      <c r="E556" s="32">
        <f>IF(OR(D556="-",D556="",D556=0),IF(C556="-","-",C556),C556-D556)</f>
        <v>15</v>
      </c>
      <c r="F556" s="36">
        <f>IFERROR(IF(C556&gt;0, D556/C556, 0),"-")</f>
        <v>0.98783454987834551</v>
      </c>
      <c r="G556" s="32">
        <v>7</v>
      </c>
      <c r="H556" s="32" t="s">
        <v>959</v>
      </c>
      <c r="I556" s="32">
        <f>IF(OR(H556="-",H556="",H556=0),IF(G556="-","-",G556),G556-H556)</f>
        <v>7</v>
      </c>
      <c r="J556" s="36" t="str">
        <f>IFERROR(IF(G556&gt;0, H556/G556, 0),"-")</f>
        <v>-</v>
      </c>
      <c r="K556" s="32">
        <v>10</v>
      </c>
      <c r="L556" s="32">
        <v>1</v>
      </c>
      <c r="M556" s="32">
        <f>IF(OR(L556="-",L556="",L556=0),IF(K556="-","-",K556),K556-L556)</f>
        <v>9</v>
      </c>
      <c r="N556" s="36">
        <f>IFERROR(IF(K556&gt;0, L556/K556, 0),"-")</f>
        <v>0.1</v>
      </c>
      <c r="O556" s="32">
        <v>23</v>
      </c>
      <c r="P556" s="32">
        <v>1</v>
      </c>
      <c r="Q556" s="32">
        <f>IF(OR(P556="-",P556="",P556=0),IF(O556="-","-",O556),O556-P556)</f>
        <v>22</v>
      </c>
      <c r="R556" s="36">
        <f>IFERROR(IF(O556&gt;0, P556/O556, 0),"-")</f>
        <v>4.3478260869565216E-2</v>
      </c>
      <c r="S556" s="32">
        <v>829</v>
      </c>
      <c r="T556" s="32">
        <v>12</v>
      </c>
      <c r="U556" s="32">
        <v>16175</v>
      </c>
      <c r="V556" s="32">
        <v>4</v>
      </c>
      <c r="W556" s="32">
        <v>65515</v>
      </c>
    </row>
    <row r="557" spans="1:23" x14ac:dyDescent="0.2">
      <c r="A557" s="30" t="s">
        <v>781</v>
      </c>
      <c r="B557" s="30" t="s">
        <v>1254</v>
      </c>
      <c r="C557" s="34">
        <v>190</v>
      </c>
      <c r="D557" s="35">
        <v>188</v>
      </c>
      <c r="E557" s="34">
        <f>IF(OR(D557="-",D557="",D557=0),IF(C557="-","-",C557),C557-D557)</f>
        <v>2</v>
      </c>
      <c r="F557" s="4">
        <f>IFERROR(IF(C557&gt;0, D557/C557, 0),"-")</f>
        <v>0.98947368421052628</v>
      </c>
      <c r="G557" s="34">
        <v>4</v>
      </c>
      <c r="H557" s="35" t="s">
        <v>959</v>
      </c>
      <c r="I557" s="34">
        <f>IF(OR(H557="-",H557="",H557=0),IF(G557="-","-",G557),G557-H557)</f>
        <v>4</v>
      </c>
      <c r="J557" s="4" t="str">
        <f>IFERROR(IF(G557&gt;0, H557/G557, 0),"-")</f>
        <v>-</v>
      </c>
      <c r="K557" s="34" t="s">
        <v>959</v>
      </c>
      <c r="L557" s="35" t="s">
        <v>959</v>
      </c>
      <c r="M557" s="34" t="str">
        <f>IF(OR(L557="-",L557="",L557=0),IF(K557="-","-",K557),K557-L557)</f>
        <v>-</v>
      </c>
      <c r="N557" s="4" t="str">
        <f>IFERROR(IF(K557&gt;0, L557/K557, 0),"-")</f>
        <v>-</v>
      </c>
      <c r="O557" s="34">
        <v>6</v>
      </c>
      <c r="P557" s="35" t="s">
        <v>959</v>
      </c>
      <c r="Q557" s="34">
        <f>IF(OR(P557="-",P557="",P557=0),IF(O557="-","-",O557),O557-P557)</f>
        <v>6</v>
      </c>
      <c r="R557" s="4" t="str">
        <f>IFERROR(IF(O557&gt;0, P557/O557, 0),"-")</f>
        <v>-</v>
      </c>
      <c r="S557" s="34">
        <v>31</v>
      </c>
      <c r="T557" s="34">
        <v>1</v>
      </c>
      <c r="U557" s="34">
        <v>1000</v>
      </c>
      <c r="V557" s="35" t="s">
        <v>959</v>
      </c>
      <c r="W557" s="35" t="s">
        <v>959</v>
      </c>
    </row>
    <row r="558" spans="1:23" x14ac:dyDescent="0.2">
      <c r="A558" s="30" t="s">
        <v>780</v>
      </c>
      <c r="B558" s="30" t="s">
        <v>1255</v>
      </c>
      <c r="C558" s="34">
        <v>282</v>
      </c>
      <c r="D558" s="35">
        <v>282</v>
      </c>
      <c r="E558" s="34">
        <f>IF(OR(D558="-",D558="",D558=0),IF(C558="-","-",C558),C558-D558)</f>
        <v>0</v>
      </c>
      <c r="F558" s="4">
        <f>IFERROR(IF(C558&gt;0, D558/C558, 0),"-")</f>
        <v>1</v>
      </c>
      <c r="G558" s="34" t="s">
        <v>959</v>
      </c>
      <c r="H558" s="35" t="s">
        <v>959</v>
      </c>
      <c r="I558" s="34" t="str">
        <f>IF(OR(H558="-",H558="",H558=0),IF(G558="-","-",G558),G558-H558)</f>
        <v>-</v>
      </c>
      <c r="J558" s="4" t="str">
        <f>IFERROR(IF(G558&gt;0, H558/G558, 0),"-")</f>
        <v>-</v>
      </c>
      <c r="K558" s="34">
        <v>4</v>
      </c>
      <c r="L558" s="35">
        <v>1</v>
      </c>
      <c r="M558" s="34">
        <f>IF(OR(L558="-",L558="",L558=0),IF(K558="-","-",K558),K558-L558)</f>
        <v>3</v>
      </c>
      <c r="N558" s="4">
        <f>IFERROR(IF(K558&gt;0, L558/K558, 0),"-")</f>
        <v>0.25</v>
      </c>
      <c r="O558" s="34">
        <v>6</v>
      </c>
      <c r="P558" s="35" t="s">
        <v>959</v>
      </c>
      <c r="Q558" s="34">
        <f>IF(OR(P558="-",P558="",P558=0),IF(O558="-","-",O558),O558-P558)</f>
        <v>6</v>
      </c>
      <c r="R558" s="4" t="str">
        <f>IFERROR(IF(O558&gt;0, P558/O558, 0),"-")</f>
        <v>-</v>
      </c>
      <c r="S558" s="34">
        <v>17</v>
      </c>
      <c r="T558" s="34">
        <v>2</v>
      </c>
      <c r="U558" s="34">
        <v>1000</v>
      </c>
      <c r="V558" s="35" t="s">
        <v>959</v>
      </c>
      <c r="W558" s="35" t="s">
        <v>959</v>
      </c>
    </row>
    <row r="559" spans="1:23" x14ac:dyDescent="0.2">
      <c r="A559" s="30" t="s">
        <v>776</v>
      </c>
      <c r="B559" s="30" t="s">
        <v>1256</v>
      </c>
      <c r="C559" s="34">
        <v>137</v>
      </c>
      <c r="D559" s="35">
        <v>137</v>
      </c>
      <c r="E559" s="34">
        <f>IF(OR(D559="-",D559="",D559=0),IF(C559="-","-",C559),C559-D559)</f>
        <v>0</v>
      </c>
      <c r="F559" s="4">
        <f>IFERROR(IF(C559&gt;0, D559/C559, 0),"-")</f>
        <v>1</v>
      </c>
      <c r="G559" s="34">
        <v>1</v>
      </c>
      <c r="H559" s="35" t="s">
        <v>959</v>
      </c>
      <c r="I559" s="34">
        <f>IF(OR(H559="-",H559="",H559=0),IF(G559="-","-",G559),G559-H559)</f>
        <v>1</v>
      </c>
      <c r="J559" s="4" t="str">
        <f>IFERROR(IF(G559&gt;0, H559/G559, 0),"-")</f>
        <v>-</v>
      </c>
      <c r="K559" s="34">
        <v>2</v>
      </c>
      <c r="L559" s="35" t="s">
        <v>959</v>
      </c>
      <c r="M559" s="34">
        <f>IF(OR(L559="-",L559="",L559=0),IF(K559="-","-",K559),K559-L559)</f>
        <v>2</v>
      </c>
      <c r="N559" s="4" t="str">
        <f>IFERROR(IF(K559&gt;0, L559/K559, 0),"-")</f>
        <v>-</v>
      </c>
      <c r="O559" s="34">
        <v>3</v>
      </c>
      <c r="P559" s="35" t="s">
        <v>959</v>
      </c>
      <c r="Q559" s="34">
        <f>IF(OR(P559="-",P559="",P559=0),IF(O559="-","-",O559),O559-P559)</f>
        <v>3</v>
      </c>
      <c r="R559" s="4" t="str">
        <f>IFERROR(IF(O559&gt;0, P559/O559, 0),"-")</f>
        <v>-</v>
      </c>
      <c r="S559" s="34">
        <v>179</v>
      </c>
      <c r="T559" s="34">
        <v>2</v>
      </c>
      <c r="U559" s="34">
        <v>1000</v>
      </c>
      <c r="V559" s="35">
        <v>2</v>
      </c>
      <c r="W559" s="35">
        <v>39166</v>
      </c>
    </row>
    <row r="560" spans="1:23" x14ac:dyDescent="0.2">
      <c r="A560" s="30" t="s">
        <v>775</v>
      </c>
      <c r="B560" s="30" t="s">
        <v>1257</v>
      </c>
      <c r="C560" s="34">
        <v>169</v>
      </c>
      <c r="D560" s="35">
        <v>168</v>
      </c>
      <c r="E560" s="34">
        <f>IF(OR(D560="-",D560="",D560=0),IF(C560="-","-",C560),C560-D560)</f>
        <v>1</v>
      </c>
      <c r="F560" s="4">
        <f>IFERROR(IF(C560&gt;0, D560/C560, 0),"-")</f>
        <v>0.99408284023668636</v>
      </c>
      <c r="G560" s="34">
        <v>1</v>
      </c>
      <c r="H560" s="35" t="s">
        <v>959</v>
      </c>
      <c r="I560" s="34">
        <f>IF(OR(H560="-",H560="",H560=0),IF(G560="-","-",G560),G560-H560)</f>
        <v>1</v>
      </c>
      <c r="J560" s="4" t="str">
        <f>IFERROR(IF(G560&gt;0, H560/G560, 0),"-")</f>
        <v>-</v>
      </c>
      <c r="K560" s="34">
        <v>1</v>
      </c>
      <c r="L560" s="35" t="s">
        <v>959</v>
      </c>
      <c r="M560" s="34">
        <f>IF(OR(L560="-",L560="",L560=0),IF(K560="-","-",K560),K560-L560)</f>
        <v>1</v>
      </c>
      <c r="N560" s="4" t="str">
        <f>IFERROR(IF(K560&gt;0, L560/K560, 0),"-")</f>
        <v>-</v>
      </c>
      <c r="O560" s="34">
        <v>2</v>
      </c>
      <c r="P560" s="35" t="s">
        <v>959</v>
      </c>
      <c r="Q560" s="34">
        <f>IF(OR(P560="-",P560="",P560=0),IF(O560="-","-",O560),O560-P560)</f>
        <v>2</v>
      </c>
      <c r="R560" s="4" t="str">
        <f>IFERROR(IF(O560&gt;0, P560/O560, 0),"-")</f>
        <v>-</v>
      </c>
      <c r="S560" s="34">
        <v>173</v>
      </c>
      <c r="T560" s="34">
        <v>4</v>
      </c>
      <c r="U560" s="34">
        <v>8975</v>
      </c>
      <c r="V560" s="35">
        <v>1</v>
      </c>
      <c r="W560" s="35">
        <v>23654</v>
      </c>
    </row>
    <row r="561" spans="1:23" x14ac:dyDescent="0.2">
      <c r="A561" s="30" t="s">
        <v>779</v>
      </c>
      <c r="B561" s="30" t="s">
        <v>989</v>
      </c>
      <c r="C561" s="34">
        <v>153</v>
      </c>
      <c r="D561" s="35">
        <v>148</v>
      </c>
      <c r="E561" s="34">
        <f>IF(OR(D561="-",D561="",D561=0),IF(C561="-","-",C561),C561-D561)</f>
        <v>5</v>
      </c>
      <c r="F561" s="4">
        <f>IFERROR(IF(C561&gt;0, D561/C561, 0),"-")</f>
        <v>0.9673202614379085</v>
      </c>
      <c r="G561" s="34" t="s">
        <v>959</v>
      </c>
      <c r="H561" s="35" t="s">
        <v>959</v>
      </c>
      <c r="I561" s="34" t="str">
        <f>IF(OR(H561="-",H561="",H561=0),IF(G561="-","-",G561),G561-H561)</f>
        <v>-</v>
      </c>
      <c r="J561" s="4" t="str">
        <f>IFERROR(IF(G561&gt;0, H561/G561, 0),"-")</f>
        <v>-</v>
      </c>
      <c r="K561" s="34">
        <v>1</v>
      </c>
      <c r="L561" s="35" t="s">
        <v>959</v>
      </c>
      <c r="M561" s="34">
        <f>IF(OR(L561="-",L561="",L561=0),IF(K561="-","-",K561),K561-L561)</f>
        <v>1</v>
      </c>
      <c r="N561" s="4" t="str">
        <f>IFERROR(IF(K561&gt;0, L561/K561, 0),"-")</f>
        <v>-</v>
      </c>
      <c r="O561" s="34">
        <v>2</v>
      </c>
      <c r="P561" s="35">
        <v>1</v>
      </c>
      <c r="Q561" s="34">
        <f>IF(OR(P561="-",P561="",P561=0),IF(O561="-","-",O561),O561-P561)</f>
        <v>1</v>
      </c>
      <c r="R561" s="4">
        <f>IFERROR(IF(O561&gt;0, P561/O561, 0),"-")</f>
        <v>0.5</v>
      </c>
      <c r="S561" s="34">
        <v>163</v>
      </c>
      <c r="T561" s="34">
        <v>1</v>
      </c>
      <c r="U561" s="34">
        <v>2700</v>
      </c>
      <c r="V561" s="35" t="s">
        <v>959</v>
      </c>
      <c r="W561" s="35" t="s">
        <v>959</v>
      </c>
    </row>
    <row r="562" spans="1:23" x14ac:dyDescent="0.2">
      <c r="A562" s="30" t="s">
        <v>777</v>
      </c>
      <c r="B562" s="30" t="s">
        <v>1258</v>
      </c>
      <c r="C562" s="34">
        <v>146</v>
      </c>
      <c r="D562" s="35">
        <v>140</v>
      </c>
      <c r="E562" s="34">
        <f>IF(OR(D562="-",D562="",D562=0),IF(C562="-","-",C562),C562-D562)</f>
        <v>6</v>
      </c>
      <c r="F562" s="4">
        <f>IFERROR(IF(C562&gt;0, D562/C562, 0),"-")</f>
        <v>0.95890410958904104</v>
      </c>
      <c r="G562" s="34">
        <v>1</v>
      </c>
      <c r="H562" s="35" t="s">
        <v>959</v>
      </c>
      <c r="I562" s="34">
        <f>IF(OR(H562="-",H562="",H562=0),IF(G562="-","-",G562),G562-H562)</f>
        <v>1</v>
      </c>
      <c r="J562" s="4" t="str">
        <f>IFERROR(IF(G562&gt;0, H562/G562, 0),"-")</f>
        <v>-</v>
      </c>
      <c r="K562" s="34">
        <v>2</v>
      </c>
      <c r="L562" s="35" t="s">
        <v>959</v>
      </c>
      <c r="M562" s="34">
        <f>IF(OR(L562="-",L562="",L562=0),IF(K562="-","-",K562),K562-L562)</f>
        <v>2</v>
      </c>
      <c r="N562" s="4" t="str">
        <f>IFERROR(IF(K562&gt;0, L562/K562, 0),"-")</f>
        <v>-</v>
      </c>
      <c r="O562" s="34">
        <v>3</v>
      </c>
      <c r="P562" s="35" t="s">
        <v>959</v>
      </c>
      <c r="Q562" s="34">
        <f>IF(OR(P562="-",P562="",P562=0),IF(O562="-","-",O562),O562-P562)</f>
        <v>3</v>
      </c>
      <c r="R562" s="4" t="str">
        <f>IFERROR(IF(O562&gt;0, P562/O562, 0),"-")</f>
        <v>-</v>
      </c>
      <c r="S562" s="34">
        <v>150</v>
      </c>
      <c r="T562" s="34">
        <v>1</v>
      </c>
      <c r="U562" s="34">
        <v>500</v>
      </c>
      <c r="V562" s="35" t="s">
        <v>959</v>
      </c>
      <c r="W562" s="35" t="s">
        <v>959</v>
      </c>
    </row>
    <row r="563" spans="1:23" x14ac:dyDescent="0.2">
      <c r="A563" s="30" t="s">
        <v>778</v>
      </c>
      <c r="B563" s="30" t="s">
        <v>1259</v>
      </c>
      <c r="C563" s="34">
        <v>156</v>
      </c>
      <c r="D563" s="35">
        <v>155</v>
      </c>
      <c r="E563" s="34">
        <f>IF(OR(D563="-",D563="",D563=0),IF(C563="-","-",C563),C563-D563)</f>
        <v>1</v>
      </c>
      <c r="F563" s="4">
        <f>IFERROR(IF(C563&gt;0, D563/C563, 0),"-")</f>
        <v>0.99358974358974361</v>
      </c>
      <c r="G563" s="34" t="s">
        <v>959</v>
      </c>
      <c r="H563" s="35" t="s">
        <v>959</v>
      </c>
      <c r="I563" s="34" t="str">
        <f>IF(OR(H563="-",H563="",H563=0),IF(G563="-","-",G563),G563-H563)</f>
        <v>-</v>
      </c>
      <c r="J563" s="4" t="str">
        <f>IFERROR(IF(G563&gt;0, H563/G563, 0),"-")</f>
        <v>-</v>
      </c>
      <c r="K563" s="34" t="s">
        <v>959</v>
      </c>
      <c r="L563" s="35" t="s">
        <v>959</v>
      </c>
      <c r="M563" s="34" t="str">
        <f>IF(OR(L563="-",L563="",L563=0),IF(K563="-","-",K563),K563-L563)</f>
        <v>-</v>
      </c>
      <c r="N563" s="4" t="str">
        <f>IFERROR(IF(K563&gt;0, L563/K563, 0),"-")</f>
        <v>-</v>
      </c>
      <c r="O563" s="34">
        <v>1</v>
      </c>
      <c r="P563" s="35" t="s">
        <v>959</v>
      </c>
      <c r="Q563" s="34">
        <f>IF(OR(P563="-",P563="",P563=0),IF(O563="-","-",O563),O563-P563)</f>
        <v>1</v>
      </c>
      <c r="R563" s="4" t="str">
        <f>IFERROR(IF(O563&gt;0, P563/O563, 0),"-")</f>
        <v>-</v>
      </c>
      <c r="S563" s="34">
        <v>116</v>
      </c>
      <c r="T563" s="34">
        <v>1</v>
      </c>
      <c r="U563" s="34">
        <v>1000</v>
      </c>
      <c r="V563" s="35">
        <v>1</v>
      </c>
      <c r="W563" s="35">
        <v>2695</v>
      </c>
    </row>
    <row r="564" spans="1:23" x14ac:dyDescent="0.2">
      <c r="A564" s="29"/>
      <c r="B564" s="29" t="s">
        <v>85</v>
      </c>
      <c r="C564" s="32">
        <v>904</v>
      </c>
      <c r="D564" s="32">
        <v>864</v>
      </c>
      <c r="E564" s="32">
        <f>IF(OR(D564="-",D564="",D564=0),IF(C564="-","-",C564),C564-D564)</f>
        <v>40</v>
      </c>
      <c r="F564" s="36">
        <f>IFERROR(IF(C564&gt;0, D564/C564, 0),"-")</f>
        <v>0.95575221238938057</v>
      </c>
      <c r="G564" s="32">
        <v>20</v>
      </c>
      <c r="H564" s="32">
        <v>9</v>
      </c>
      <c r="I564" s="32">
        <f>IF(OR(H564="-",H564="",H564=0),IF(G564="-","-",G564),G564-H564)</f>
        <v>11</v>
      </c>
      <c r="J564" s="36">
        <f>IFERROR(IF(G564&gt;0, H564/G564, 0),"-")</f>
        <v>0.45</v>
      </c>
      <c r="K564" s="32">
        <v>14</v>
      </c>
      <c r="L564" s="32">
        <v>3</v>
      </c>
      <c r="M564" s="32">
        <f>IF(OR(L564="-",L564="",L564=0),IF(K564="-","-",K564),K564-L564)</f>
        <v>11</v>
      </c>
      <c r="N564" s="36">
        <f>IFERROR(IF(K564&gt;0, L564/K564, 0),"-")</f>
        <v>0.21428571428571427</v>
      </c>
      <c r="O564" s="32">
        <v>15</v>
      </c>
      <c r="P564" s="32">
        <v>1</v>
      </c>
      <c r="Q564" s="32">
        <f>IF(OR(P564="-",P564="",P564=0),IF(O564="-","-",O564),O564-P564)</f>
        <v>14</v>
      </c>
      <c r="R564" s="36">
        <f>IFERROR(IF(O564&gt;0, P564/O564, 0),"-")</f>
        <v>6.6666666666666666E-2</v>
      </c>
      <c r="S564" s="32">
        <v>1881</v>
      </c>
      <c r="T564" s="32">
        <v>15</v>
      </c>
      <c r="U564" s="32">
        <v>33065</v>
      </c>
      <c r="V564" s="32">
        <v>4</v>
      </c>
      <c r="W564" s="32">
        <v>68903</v>
      </c>
    </row>
    <row r="565" spans="1:23" x14ac:dyDescent="0.2">
      <c r="A565" s="30" t="s">
        <v>577</v>
      </c>
      <c r="B565" s="30" t="s">
        <v>1260</v>
      </c>
      <c r="C565" s="34">
        <v>90</v>
      </c>
      <c r="D565" s="35">
        <v>85</v>
      </c>
      <c r="E565" s="34">
        <f>IF(OR(D565="-",D565="",D565=0),IF(C565="-","-",C565),C565-D565)</f>
        <v>5</v>
      </c>
      <c r="F565" s="4">
        <f>IFERROR(IF(C565&gt;0, D565/C565, 0),"-")</f>
        <v>0.94444444444444442</v>
      </c>
      <c r="G565" s="34">
        <v>5</v>
      </c>
      <c r="H565" s="35">
        <v>3</v>
      </c>
      <c r="I565" s="34">
        <f>IF(OR(H565="-",H565="",H565=0),IF(G565="-","-",G565),G565-H565)</f>
        <v>2</v>
      </c>
      <c r="J565" s="4">
        <f>IFERROR(IF(G565&gt;0, H565/G565, 0),"-")</f>
        <v>0.6</v>
      </c>
      <c r="K565" s="34">
        <v>3</v>
      </c>
      <c r="L565" s="35" t="s">
        <v>959</v>
      </c>
      <c r="M565" s="34">
        <f>IF(OR(L565="-",L565="",L565=0),IF(K565="-","-",K565),K565-L565)</f>
        <v>3</v>
      </c>
      <c r="N565" s="4" t="str">
        <f>IFERROR(IF(K565&gt;0, L565/K565, 0),"-")</f>
        <v>-</v>
      </c>
      <c r="O565" s="34">
        <v>1</v>
      </c>
      <c r="P565" s="35" t="s">
        <v>959</v>
      </c>
      <c r="Q565" s="34">
        <f>IF(OR(P565="-",P565="",P565=0),IF(O565="-","-",O565),O565-P565)</f>
        <v>1</v>
      </c>
      <c r="R565" s="4" t="str">
        <f>IFERROR(IF(O565&gt;0, P565/O565, 0),"-")</f>
        <v>-</v>
      </c>
      <c r="S565" s="34">
        <v>210</v>
      </c>
      <c r="T565" s="34">
        <v>1</v>
      </c>
      <c r="U565" s="34">
        <v>2700</v>
      </c>
      <c r="V565" s="35" t="s">
        <v>959</v>
      </c>
      <c r="W565" s="35" t="s">
        <v>959</v>
      </c>
    </row>
    <row r="566" spans="1:23" x14ac:dyDescent="0.2">
      <c r="A566" s="30" t="s">
        <v>569</v>
      </c>
      <c r="B566" s="30" t="s">
        <v>1261</v>
      </c>
      <c r="C566" s="34">
        <v>78</v>
      </c>
      <c r="D566" s="35">
        <v>77</v>
      </c>
      <c r="E566" s="34">
        <f>IF(OR(D566="-",D566="",D566=0),IF(C566="-","-",C566),C566-D566)</f>
        <v>1</v>
      </c>
      <c r="F566" s="4">
        <f>IFERROR(IF(C566&gt;0, D566/C566, 0),"-")</f>
        <v>0.98717948717948723</v>
      </c>
      <c r="G566" s="34">
        <v>1</v>
      </c>
      <c r="H566" s="35" t="s">
        <v>959</v>
      </c>
      <c r="I566" s="34">
        <f>IF(OR(H566="-",H566="",H566=0),IF(G566="-","-",G566),G566-H566)</f>
        <v>1</v>
      </c>
      <c r="J566" s="4" t="str">
        <f>IFERROR(IF(G566&gt;0, H566/G566, 0),"-")</f>
        <v>-</v>
      </c>
      <c r="K566" s="34">
        <v>1</v>
      </c>
      <c r="L566" s="35" t="s">
        <v>959</v>
      </c>
      <c r="M566" s="34">
        <f>IF(OR(L566="-",L566="",L566=0),IF(K566="-","-",K566),K566-L566)</f>
        <v>1</v>
      </c>
      <c r="N566" s="4" t="str">
        <f>IFERROR(IF(K566&gt;0, L566/K566, 0),"-")</f>
        <v>-</v>
      </c>
      <c r="O566" s="34" t="s">
        <v>959</v>
      </c>
      <c r="P566" s="35" t="s">
        <v>959</v>
      </c>
      <c r="Q566" s="34" t="str">
        <f>IF(OR(P566="-",P566="",P566=0),IF(O566="-","-",O566),O566-P566)</f>
        <v>-</v>
      </c>
      <c r="R566" s="4" t="str">
        <f>IFERROR(IF(O566&gt;0, P566/O566, 0),"-")</f>
        <v>-</v>
      </c>
      <c r="S566" s="34">
        <v>160</v>
      </c>
      <c r="T566" s="34">
        <v>1</v>
      </c>
      <c r="U566" s="34">
        <v>2695</v>
      </c>
      <c r="V566" s="35" t="s">
        <v>959</v>
      </c>
      <c r="W566" s="35" t="s">
        <v>959</v>
      </c>
    </row>
    <row r="567" spans="1:23" x14ac:dyDescent="0.2">
      <c r="A567" s="30" t="s">
        <v>572</v>
      </c>
      <c r="B567" s="30" t="s">
        <v>1262</v>
      </c>
      <c r="C567" s="34">
        <v>93</v>
      </c>
      <c r="D567" s="35">
        <v>87</v>
      </c>
      <c r="E567" s="34">
        <f>IF(OR(D567="-",D567="",D567=0),IF(C567="-","-",C567),C567-D567)</f>
        <v>6</v>
      </c>
      <c r="F567" s="4">
        <f>IFERROR(IF(C567&gt;0, D567/C567, 0),"-")</f>
        <v>0.93548387096774188</v>
      </c>
      <c r="G567" s="34">
        <v>2</v>
      </c>
      <c r="H567" s="35">
        <v>1</v>
      </c>
      <c r="I567" s="34">
        <f>IF(OR(H567="-",H567="",H567=0),IF(G567="-","-",G567),G567-H567)</f>
        <v>1</v>
      </c>
      <c r="J567" s="4">
        <f>IFERROR(IF(G567&gt;0, H567/G567, 0),"-")</f>
        <v>0.5</v>
      </c>
      <c r="K567" s="34">
        <v>1</v>
      </c>
      <c r="L567" s="35">
        <v>1</v>
      </c>
      <c r="M567" s="34">
        <f>IF(OR(L567="-",L567="",L567=0),IF(K567="-","-",K567),K567-L567)</f>
        <v>0</v>
      </c>
      <c r="N567" s="4">
        <f>IFERROR(IF(K567&gt;0, L567/K567, 0),"-")</f>
        <v>1</v>
      </c>
      <c r="O567" s="34">
        <v>3</v>
      </c>
      <c r="P567" s="35">
        <v>1</v>
      </c>
      <c r="Q567" s="34">
        <f>IF(OR(P567="-",P567="",P567=0),IF(O567="-","-",O567),O567-P567)</f>
        <v>2</v>
      </c>
      <c r="R567" s="4">
        <f>IFERROR(IF(O567&gt;0, P567/O567, 0),"-")</f>
        <v>0.33333333333333331</v>
      </c>
      <c r="S567" s="34">
        <v>217</v>
      </c>
      <c r="T567" s="34">
        <v>3</v>
      </c>
      <c r="U567" s="34">
        <v>7800</v>
      </c>
      <c r="V567" s="35" t="s">
        <v>959</v>
      </c>
      <c r="W567" s="35" t="s">
        <v>959</v>
      </c>
    </row>
    <row r="568" spans="1:23" x14ac:dyDescent="0.2">
      <c r="A568" s="30" t="s">
        <v>575</v>
      </c>
      <c r="B568" s="30" t="s">
        <v>1263</v>
      </c>
      <c r="C568" s="34">
        <v>129</v>
      </c>
      <c r="D568" s="35">
        <v>124</v>
      </c>
      <c r="E568" s="34">
        <f>IF(OR(D568="-",D568="",D568=0),IF(C568="-","-",C568),C568-D568)</f>
        <v>5</v>
      </c>
      <c r="F568" s="4">
        <f>IFERROR(IF(C568&gt;0, D568/C568, 0),"-")</f>
        <v>0.96124031007751942</v>
      </c>
      <c r="G568" s="34">
        <v>4</v>
      </c>
      <c r="H568" s="35">
        <v>2</v>
      </c>
      <c r="I568" s="34">
        <f>IF(OR(H568="-",H568="",H568=0),IF(G568="-","-",G568),G568-H568)</f>
        <v>2</v>
      </c>
      <c r="J568" s="4">
        <f>IFERROR(IF(G568&gt;0, H568/G568, 0),"-")</f>
        <v>0.5</v>
      </c>
      <c r="K568" s="34">
        <v>2</v>
      </c>
      <c r="L568" s="35">
        <v>1</v>
      </c>
      <c r="M568" s="34">
        <f>IF(OR(L568="-",L568="",L568=0),IF(K568="-","-",K568),K568-L568)</f>
        <v>1</v>
      </c>
      <c r="N568" s="4">
        <f>IFERROR(IF(K568&gt;0, L568/K568, 0),"-")</f>
        <v>0.5</v>
      </c>
      <c r="O568" s="34">
        <v>3</v>
      </c>
      <c r="P568" s="35" t="s">
        <v>959</v>
      </c>
      <c r="Q568" s="34">
        <f>IF(OR(P568="-",P568="",P568=0),IF(O568="-","-",O568),O568-P568)</f>
        <v>3</v>
      </c>
      <c r="R568" s="4" t="str">
        <f>IFERROR(IF(O568&gt;0, P568/O568, 0),"-")</f>
        <v>-</v>
      </c>
      <c r="S568" s="34">
        <v>113</v>
      </c>
      <c r="T568" s="34">
        <v>1</v>
      </c>
      <c r="U568" s="34">
        <v>2670</v>
      </c>
      <c r="V568" s="35" t="s">
        <v>959</v>
      </c>
      <c r="W568" s="35" t="s">
        <v>959</v>
      </c>
    </row>
    <row r="569" spans="1:23" x14ac:dyDescent="0.2">
      <c r="A569" s="30" t="s">
        <v>576</v>
      </c>
      <c r="B569" s="30" t="s">
        <v>1264</v>
      </c>
      <c r="C569" s="34">
        <v>8</v>
      </c>
      <c r="D569" s="35">
        <v>7</v>
      </c>
      <c r="E569" s="34">
        <f>IF(OR(D569="-",D569="",D569=0),IF(C569="-","-",C569),C569-D569)</f>
        <v>1</v>
      </c>
      <c r="F569" s="4">
        <f>IFERROR(IF(C569&gt;0, D569/C569, 0),"-")</f>
        <v>0.875</v>
      </c>
      <c r="G569" s="34" t="s">
        <v>959</v>
      </c>
      <c r="H569" s="35" t="s">
        <v>959</v>
      </c>
      <c r="I569" s="34" t="str">
        <f>IF(OR(H569="-",H569="",H569=0),IF(G569="-","-",G569),G569-H569)</f>
        <v>-</v>
      </c>
      <c r="J569" s="4" t="str">
        <f>IFERROR(IF(G569&gt;0, H569/G569, 0),"-")</f>
        <v>-</v>
      </c>
      <c r="K569" s="34" t="s">
        <v>959</v>
      </c>
      <c r="L569" s="35" t="s">
        <v>959</v>
      </c>
      <c r="M569" s="34" t="str">
        <f>IF(OR(L569="-",L569="",L569=0),IF(K569="-","-",K569),K569-L569)</f>
        <v>-</v>
      </c>
      <c r="N569" s="4" t="str">
        <f>IFERROR(IF(K569&gt;0, L569/K569, 0),"-")</f>
        <v>-</v>
      </c>
      <c r="O569" s="34">
        <v>1</v>
      </c>
      <c r="P569" s="35" t="s">
        <v>959</v>
      </c>
      <c r="Q569" s="34">
        <f>IF(OR(P569="-",P569="",P569=0),IF(O569="-","-",O569),O569-P569)</f>
        <v>1</v>
      </c>
      <c r="R569" s="4" t="str">
        <f>IFERROR(IF(O569&gt;0, P569/O569, 0),"-")</f>
        <v>-</v>
      </c>
      <c r="S569" s="34">
        <v>1</v>
      </c>
      <c r="T569" s="34" t="s">
        <v>959</v>
      </c>
      <c r="U569" s="34" t="s">
        <v>959</v>
      </c>
      <c r="V569" s="35" t="s">
        <v>959</v>
      </c>
      <c r="W569" s="35" t="s">
        <v>959</v>
      </c>
    </row>
    <row r="570" spans="1:23" x14ac:dyDescent="0.2">
      <c r="A570" s="30" t="s">
        <v>579</v>
      </c>
      <c r="B570" s="30" t="s">
        <v>1265</v>
      </c>
      <c r="C570" s="34">
        <v>123</v>
      </c>
      <c r="D570" s="35">
        <v>112</v>
      </c>
      <c r="E570" s="34">
        <f>IF(OR(D570="-",D570="",D570=0),IF(C570="-","-",C570),C570-D570)</f>
        <v>11</v>
      </c>
      <c r="F570" s="4">
        <f>IFERROR(IF(C570&gt;0, D570/C570, 0),"-")</f>
        <v>0.91056910569105687</v>
      </c>
      <c r="G570" s="34">
        <v>5</v>
      </c>
      <c r="H570" s="35">
        <v>1</v>
      </c>
      <c r="I570" s="34">
        <f>IF(OR(H570="-",H570="",H570=0),IF(G570="-","-",G570),G570-H570)</f>
        <v>4</v>
      </c>
      <c r="J570" s="4">
        <f>IFERROR(IF(G570&gt;0, H570/G570, 0),"-")</f>
        <v>0.2</v>
      </c>
      <c r="K570" s="34">
        <v>4</v>
      </c>
      <c r="L570" s="35" t="s">
        <v>959</v>
      </c>
      <c r="M570" s="34">
        <f>IF(OR(L570="-",L570="",L570=0),IF(K570="-","-",K570),K570-L570)</f>
        <v>4</v>
      </c>
      <c r="N570" s="4" t="str">
        <f>IFERROR(IF(K570&gt;0, L570/K570, 0),"-")</f>
        <v>-</v>
      </c>
      <c r="O570" s="34">
        <v>3</v>
      </c>
      <c r="P570" s="35" t="s">
        <v>959</v>
      </c>
      <c r="Q570" s="34">
        <f>IF(OR(P570="-",P570="",P570=0),IF(O570="-","-",O570),O570-P570)</f>
        <v>3</v>
      </c>
      <c r="R570" s="4" t="str">
        <f>IFERROR(IF(O570&gt;0, P570/O570, 0),"-")</f>
        <v>-</v>
      </c>
      <c r="S570" s="34">
        <v>6</v>
      </c>
      <c r="T570" s="34" t="s">
        <v>959</v>
      </c>
      <c r="U570" s="34" t="s">
        <v>959</v>
      </c>
      <c r="V570" s="35" t="s">
        <v>959</v>
      </c>
      <c r="W570" s="35" t="s">
        <v>959</v>
      </c>
    </row>
    <row r="571" spans="1:23" x14ac:dyDescent="0.2">
      <c r="A571" s="30" t="s">
        <v>574</v>
      </c>
      <c r="B571" s="30" t="s">
        <v>1266</v>
      </c>
      <c r="C571" s="34">
        <v>66</v>
      </c>
      <c r="D571" s="35">
        <v>65</v>
      </c>
      <c r="E571" s="34">
        <f>IF(OR(D571="-",D571="",D571=0),IF(C571="-","-",C571),C571-D571)</f>
        <v>1</v>
      </c>
      <c r="F571" s="4">
        <f>IFERROR(IF(C571&gt;0, D571/C571, 0),"-")</f>
        <v>0.98484848484848486</v>
      </c>
      <c r="G571" s="34" t="s">
        <v>959</v>
      </c>
      <c r="H571" s="35" t="s">
        <v>959</v>
      </c>
      <c r="I571" s="34" t="str">
        <f>IF(OR(H571="-",H571="",H571=0),IF(G571="-","-",G571),G571-H571)</f>
        <v>-</v>
      </c>
      <c r="J571" s="4" t="str">
        <f>IFERROR(IF(G571&gt;0, H571/G571, 0),"-")</f>
        <v>-</v>
      </c>
      <c r="K571" s="34" t="s">
        <v>959</v>
      </c>
      <c r="L571" s="35" t="s">
        <v>959</v>
      </c>
      <c r="M571" s="34" t="str">
        <f>IF(OR(L571="-",L571="",L571=0),IF(K571="-","-",K571),K571-L571)</f>
        <v>-</v>
      </c>
      <c r="N571" s="4" t="str">
        <f>IFERROR(IF(K571&gt;0, L571/K571, 0),"-")</f>
        <v>-</v>
      </c>
      <c r="O571" s="34">
        <v>1</v>
      </c>
      <c r="P571" s="35" t="s">
        <v>959</v>
      </c>
      <c r="Q571" s="34">
        <f>IF(OR(P571="-",P571="",P571=0),IF(O571="-","-",O571),O571-P571)</f>
        <v>1</v>
      </c>
      <c r="R571" s="4" t="str">
        <f>IFERROR(IF(O571&gt;0, P571/O571, 0),"-")</f>
        <v>-</v>
      </c>
      <c r="S571" s="34">
        <v>236</v>
      </c>
      <c r="T571" s="34">
        <v>4</v>
      </c>
      <c r="U571" s="34">
        <v>9000</v>
      </c>
      <c r="V571" s="35">
        <v>2</v>
      </c>
      <c r="W571" s="35">
        <v>30864</v>
      </c>
    </row>
    <row r="572" spans="1:23" x14ac:dyDescent="0.2">
      <c r="A572" s="30" t="s">
        <v>570</v>
      </c>
      <c r="B572" s="30" t="s">
        <v>1267</v>
      </c>
      <c r="C572" s="34">
        <v>160</v>
      </c>
      <c r="D572" s="35">
        <v>158</v>
      </c>
      <c r="E572" s="34">
        <f>IF(OR(D572="-",D572="",D572=0),IF(C572="-","-",C572),C572-D572)</f>
        <v>2</v>
      </c>
      <c r="F572" s="4">
        <f>IFERROR(IF(C572&gt;0, D572/C572, 0),"-")</f>
        <v>0.98750000000000004</v>
      </c>
      <c r="G572" s="34">
        <v>1</v>
      </c>
      <c r="H572" s="35" t="s">
        <v>959</v>
      </c>
      <c r="I572" s="34">
        <f>IF(OR(H572="-",H572="",H572=0),IF(G572="-","-",G572),G572-H572)</f>
        <v>1</v>
      </c>
      <c r="J572" s="4" t="str">
        <f>IFERROR(IF(G572&gt;0, H572/G572, 0),"-")</f>
        <v>-</v>
      </c>
      <c r="K572" s="34">
        <v>1</v>
      </c>
      <c r="L572" s="35" t="s">
        <v>959</v>
      </c>
      <c r="M572" s="34">
        <f>IF(OR(L572="-",L572="",L572=0),IF(K572="-","-",K572),K572-L572)</f>
        <v>1</v>
      </c>
      <c r="N572" s="4" t="str">
        <f>IFERROR(IF(K572&gt;0, L572/K572, 0),"-")</f>
        <v>-</v>
      </c>
      <c r="O572" s="34">
        <v>2</v>
      </c>
      <c r="P572" s="35" t="s">
        <v>959</v>
      </c>
      <c r="Q572" s="34">
        <f>IF(OR(P572="-",P572="",P572=0),IF(O572="-","-",O572),O572-P572)</f>
        <v>2</v>
      </c>
      <c r="R572" s="4" t="str">
        <f>IFERROR(IF(O572&gt;0, P572/O572, 0),"-")</f>
        <v>-</v>
      </c>
      <c r="S572" s="34">
        <v>306</v>
      </c>
      <c r="T572" s="34">
        <v>4</v>
      </c>
      <c r="U572" s="34">
        <v>7700</v>
      </c>
      <c r="V572" s="35" t="s">
        <v>959</v>
      </c>
      <c r="W572" s="35" t="s">
        <v>959</v>
      </c>
    </row>
    <row r="573" spans="1:23" x14ac:dyDescent="0.2">
      <c r="A573" s="30" t="s">
        <v>571</v>
      </c>
      <c r="B573" s="30" t="s">
        <v>1268</v>
      </c>
      <c r="C573" s="34">
        <v>64</v>
      </c>
      <c r="D573" s="35">
        <v>63</v>
      </c>
      <c r="E573" s="34">
        <f>IF(OR(D573="-",D573="",D573=0),IF(C573="-","-",C573),C573-D573)</f>
        <v>1</v>
      </c>
      <c r="F573" s="4">
        <f>IFERROR(IF(C573&gt;0, D573/C573, 0),"-")</f>
        <v>0.984375</v>
      </c>
      <c r="G573" s="34">
        <v>2</v>
      </c>
      <c r="H573" s="35">
        <v>2</v>
      </c>
      <c r="I573" s="34">
        <f>IF(OR(H573="-",H573="",H573=0),IF(G573="-","-",G573),G573-H573)</f>
        <v>0</v>
      </c>
      <c r="J573" s="4">
        <f>IFERROR(IF(G573&gt;0, H573/G573, 0),"-")</f>
        <v>1</v>
      </c>
      <c r="K573" s="34">
        <v>1</v>
      </c>
      <c r="L573" s="35">
        <v>1</v>
      </c>
      <c r="M573" s="34">
        <f>IF(OR(L573="-",L573="",L573=0),IF(K573="-","-",K573),K573-L573)</f>
        <v>0</v>
      </c>
      <c r="N573" s="4">
        <f>IFERROR(IF(K573&gt;0, L573/K573, 0),"-")</f>
        <v>1</v>
      </c>
      <c r="O573" s="34">
        <v>1</v>
      </c>
      <c r="P573" s="35" t="s">
        <v>959</v>
      </c>
      <c r="Q573" s="34">
        <f>IF(OR(P573="-",P573="",P573=0),IF(O573="-","-",O573),O573-P573)</f>
        <v>1</v>
      </c>
      <c r="R573" s="4" t="str">
        <f>IFERROR(IF(O573&gt;0, P573/O573, 0),"-")</f>
        <v>-</v>
      </c>
      <c r="S573" s="34">
        <v>38</v>
      </c>
      <c r="T573" s="34" t="s">
        <v>959</v>
      </c>
      <c r="U573" s="34" t="s">
        <v>959</v>
      </c>
      <c r="V573" s="35" t="s">
        <v>959</v>
      </c>
      <c r="W573" s="35" t="s">
        <v>959</v>
      </c>
    </row>
    <row r="574" spans="1:23" x14ac:dyDescent="0.2">
      <c r="A574" s="30" t="s">
        <v>573</v>
      </c>
      <c r="B574" s="30" t="s">
        <v>1269</v>
      </c>
      <c r="C574" s="34">
        <v>93</v>
      </c>
      <c r="D574" s="35">
        <v>86</v>
      </c>
      <c r="E574" s="34">
        <f>IF(OR(D574="-",D574="",D574=0),IF(C574="-","-",C574),C574-D574)</f>
        <v>7</v>
      </c>
      <c r="F574" s="4">
        <f>IFERROR(IF(C574&gt;0, D574/C574, 0),"-")</f>
        <v>0.92473118279569888</v>
      </c>
      <c r="G574" s="34" t="s">
        <v>959</v>
      </c>
      <c r="H574" s="35" t="s">
        <v>959</v>
      </c>
      <c r="I574" s="34" t="str">
        <f>IF(OR(H574="-",H574="",H574=0),IF(G574="-","-",G574),G574-H574)</f>
        <v>-</v>
      </c>
      <c r="J574" s="4" t="str">
        <f>IFERROR(IF(G574&gt;0, H574/G574, 0),"-")</f>
        <v>-</v>
      </c>
      <c r="K574" s="34">
        <v>1</v>
      </c>
      <c r="L574" s="35" t="s">
        <v>959</v>
      </c>
      <c r="M574" s="34">
        <f>IF(OR(L574="-",L574="",L574=0),IF(K574="-","-",K574),K574-L574)</f>
        <v>1</v>
      </c>
      <c r="N574" s="4" t="str">
        <f>IFERROR(IF(K574&gt;0, L574/K574, 0),"-")</f>
        <v>-</v>
      </c>
      <c r="O574" s="34" t="s">
        <v>959</v>
      </c>
      <c r="P574" s="35" t="s">
        <v>959</v>
      </c>
      <c r="Q574" s="34" t="str">
        <f>IF(OR(P574="-",P574="",P574=0),IF(O574="-","-",O574),O574-P574)</f>
        <v>-</v>
      </c>
      <c r="R574" s="4" t="str">
        <f>IFERROR(IF(O574&gt;0, P574/O574, 0),"-")</f>
        <v>-</v>
      </c>
      <c r="S574" s="34">
        <v>594</v>
      </c>
      <c r="T574" s="34">
        <v>1</v>
      </c>
      <c r="U574" s="34">
        <v>500</v>
      </c>
      <c r="V574" s="35">
        <v>2</v>
      </c>
      <c r="W574" s="35">
        <v>38039</v>
      </c>
    </row>
    <row r="575" spans="1:23" x14ac:dyDescent="0.2">
      <c r="A575" s="29"/>
      <c r="B575" s="29" t="s">
        <v>132</v>
      </c>
      <c r="C575" s="32">
        <v>1733</v>
      </c>
      <c r="D575" s="32">
        <v>1699</v>
      </c>
      <c r="E575" s="32">
        <f>IF(OR(D575="-",D575="",D575=0),IF(C575="-","-",C575),C575-D575)</f>
        <v>34</v>
      </c>
      <c r="F575" s="36">
        <f>IFERROR(IF(C575&gt;0, D575/C575, 0),"-")</f>
        <v>0.98038084246970569</v>
      </c>
      <c r="G575" s="32">
        <v>22</v>
      </c>
      <c r="H575" s="32">
        <v>6</v>
      </c>
      <c r="I575" s="32">
        <f>IF(OR(H575="-",H575="",H575=0),IF(G575="-","-",G575),G575-H575)</f>
        <v>16</v>
      </c>
      <c r="J575" s="36">
        <f>IFERROR(IF(G575&gt;0, H575/G575, 0),"-")</f>
        <v>0.27272727272727271</v>
      </c>
      <c r="K575" s="32">
        <v>25</v>
      </c>
      <c r="L575" s="32">
        <v>7</v>
      </c>
      <c r="M575" s="32">
        <f>IF(OR(L575="-",L575="",L575=0),IF(K575="-","-",K575),K575-L575)</f>
        <v>18</v>
      </c>
      <c r="N575" s="36">
        <f>IFERROR(IF(K575&gt;0, L575/K575, 0),"-")</f>
        <v>0.28000000000000003</v>
      </c>
      <c r="O575" s="32">
        <v>37</v>
      </c>
      <c r="P575" s="32">
        <v>5</v>
      </c>
      <c r="Q575" s="32">
        <f>IF(OR(P575="-",P575="",P575=0),IF(O575="-","-",O575),O575-P575)</f>
        <v>32</v>
      </c>
      <c r="R575" s="36">
        <f>IFERROR(IF(O575&gt;0, P575/O575, 0),"-")</f>
        <v>0.13513513513513514</v>
      </c>
      <c r="S575" s="32">
        <v>1723</v>
      </c>
      <c r="T575" s="32">
        <v>45</v>
      </c>
      <c r="U575" s="32">
        <v>256326</v>
      </c>
      <c r="V575" s="32">
        <v>34</v>
      </c>
      <c r="W575" s="32">
        <v>658426</v>
      </c>
    </row>
    <row r="576" spans="1:23" x14ac:dyDescent="0.2">
      <c r="A576" s="30" t="s">
        <v>926</v>
      </c>
      <c r="B576" s="30" t="s">
        <v>1270</v>
      </c>
      <c r="C576" s="34">
        <v>203</v>
      </c>
      <c r="D576" s="35">
        <v>196</v>
      </c>
      <c r="E576" s="34">
        <f>IF(OR(D576="-",D576="",D576=0),IF(C576="-","-",C576),C576-D576)</f>
        <v>7</v>
      </c>
      <c r="F576" s="4">
        <f>IFERROR(IF(C576&gt;0, D576/C576, 0),"-")</f>
        <v>0.96551724137931039</v>
      </c>
      <c r="G576" s="34" t="s">
        <v>959</v>
      </c>
      <c r="H576" s="35" t="s">
        <v>959</v>
      </c>
      <c r="I576" s="34" t="str">
        <f>IF(OR(H576="-",H576="",H576=0),IF(G576="-","-",G576),G576-H576)</f>
        <v>-</v>
      </c>
      <c r="J576" s="4" t="str">
        <f>IFERROR(IF(G576&gt;0, H576/G576, 0),"-")</f>
        <v>-</v>
      </c>
      <c r="K576" s="34">
        <v>1</v>
      </c>
      <c r="L576" s="35" t="s">
        <v>959</v>
      </c>
      <c r="M576" s="34">
        <f>IF(OR(L576="-",L576="",L576=0),IF(K576="-","-",K576),K576-L576)</f>
        <v>1</v>
      </c>
      <c r="N576" s="4" t="str">
        <f>IFERROR(IF(K576&gt;0, L576/K576, 0),"-")</f>
        <v>-</v>
      </c>
      <c r="O576" s="34">
        <v>1</v>
      </c>
      <c r="P576" s="35">
        <v>1</v>
      </c>
      <c r="Q576" s="34">
        <f>IF(OR(P576="-",P576="",P576=0),IF(O576="-","-",O576),O576-P576)</f>
        <v>0</v>
      </c>
      <c r="R576" s="4">
        <f>IFERROR(IF(O576&gt;0, P576/O576, 0),"-")</f>
        <v>1</v>
      </c>
      <c r="S576" s="34">
        <v>294</v>
      </c>
      <c r="T576" s="34">
        <v>6</v>
      </c>
      <c r="U576" s="34">
        <v>52398</v>
      </c>
      <c r="V576" s="35">
        <v>7</v>
      </c>
      <c r="W576" s="35">
        <v>98243</v>
      </c>
    </row>
    <row r="577" spans="1:23" x14ac:dyDescent="0.2">
      <c r="A577" s="30" t="s">
        <v>942</v>
      </c>
      <c r="B577" s="30" t="s">
        <v>1271</v>
      </c>
      <c r="C577" s="34" t="s">
        <v>959</v>
      </c>
      <c r="D577" s="35" t="s">
        <v>959</v>
      </c>
      <c r="E577" s="34" t="str">
        <f>IF(OR(D577="-",D577="",D577=0),IF(C577="-","-",C577),C577-D577)</f>
        <v>-</v>
      </c>
      <c r="F577" s="4" t="str">
        <f>IFERROR(IF(C577&gt;0, D577/C577, 0),"-")</f>
        <v>-</v>
      </c>
      <c r="G577" s="34" t="s">
        <v>959</v>
      </c>
      <c r="H577" s="35" t="s">
        <v>959</v>
      </c>
      <c r="I577" s="34" t="str">
        <f>IF(OR(H577="-",H577="",H577=0),IF(G577="-","-",G577),G577-H577)</f>
        <v>-</v>
      </c>
      <c r="J577" s="4" t="str">
        <f>IFERROR(IF(G577&gt;0, H577/G577, 0),"-")</f>
        <v>-</v>
      </c>
      <c r="K577" s="34" t="s">
        <v>959</v>
      </c>
      <c r="L577" s="35" t="s">
        <v>959</v>
      </c>
      <c r="M577" s="34" t="str">
        <f>IF(OR(L577="-",L577="",L577=0),IF(K577="-","-",K577),K577-L577)</f>
        <v>-</v>
      </c>
      <c r="N577" s="4" t="str">
        <f>IFERROR(IF(K577&gt;0, L577/K577, 0),"-")</f>
        <v>-</v>
      </c>
      <c r="O577" s="34" t="s">
        <v>959</v>
      </c>
      <c r="P577" s="35" t="s">
        <v>959</v>
      </c>
      <c r="Q577" s="34" t="str">
        <f>IF(OR(P577="-",P577="",P577=0),IF(O577="-","-",O577),O577-P577)</f>
        <v>-</v>
      </c>
      <c r="R577" s="4" t="str">
        <f>IFERROR(IF(O577&gt;0, P577/O577, 0),"-")</f>
        <v>-</v>
      </c>
      <c r="S577" s="34" t="s">
        <v>959</v>
      </c>
      <c r="T577" s="34" t="s">
        <v>959</v>
      </c>
      <c r="U577" s="34" t="s">
        <v>959</v>
      </c>
      <c r="V577" s="35" t="s">
        <v>959</v>
      </c>
      <c r="W577" s="35" t="s">
        <v>959</v>
      </c>
    </row>
    <row r="578" spans="1:23" x14ac:dyDescent="0.2">
      <c r="A578" s="30" t="s">
        <v>935</v>
      </c>
      <c r="B578" s="30" t="s">
        <v>1272</v>
      </c>
      <c r="C578" s="34">
        <v>163</v>
      </c>
      <c r="D578" s="35">
        <v>155</v>
      </c>
      <c r="E578" s="34">
        <f>IF(OR(D578="-",D578="",D578=0),IF(C578="-","-",C578),C578-D578)</f>
        <v>8</v>
      </c>
      <c r="F578" s="4">
        <f>IFERROR(IF(C578&gt;0, D578/C578, 0),"-")</f>
        <v>0.95092024539877296</v>
      </c>
      <c r="G578" s="34">
        <v>6</v>
      </c>
      <c r="H578" s="35">
        <v>1</v>
      </c>
      <c r="I578" s="34">
        <f>IF(OR(H578="-",H578="",H578=0),IF(G578="-","-",G578),G578-H578)</f>
        <v>5</v>
      </c>
      <c r="J578" s="4">
        <f>IFERROR(IF(G578&gt;0, H578/G578, 0),"-")</f>
        <v>0.16666666666666666</v>
      </c>
      <c r="K578" s="34">
        <v>5</v>
      </c>
      <c r="L578" s="35">
        <v>3</v>
      </c>
      <c r="M578" s="34">
        <f>IF(OR(L578="-",L578="",L578=0),IF(K578="-","-",K578),K578-L578)</f>
        <v>2</v>
      </c>
      <c r="N578" s="4">
        <f>IFERROR(IF(K578&gt;0, L578/K578, 0),"-")</f>
        <v>0.6</v>
      </c>
      <c r="O578" s="34">
        <v>16</v>
      </c>
      <c r="P578" s="35">
        <v>2</v>
      </c>
      <c r="Q578" s="34">
        <f>IF(OR(P578="-",P578="",P578=0),IF(O578="-","-",O578),O578-P578)</f>
        <v>14</v>
      </c>
      <c r="R578" s="4">
        <f>IFERROR(IF(O578&gt;0, P578/O578, 0),"-")</f>
        <v>0.125</v>
      </c>
      <c r="S578" s="34">
        <v>266</v>
      </c>
      <c r="T578" s="34">
        <v>10</v>
      </c>
      <c r="U578" s="34">
        <v>59120</v>
      </c>
      <c r="V578" s="35">
        <v>3</v>
      </c>
      <c r="W578" s="35">
        <v>67168</v>
      </c>
    </row>
    <row r="579" spans="1:23" x14ac:dyDescent="0.2">
      <c r="A579" s="30" t="s">
        <v>943</v>
      </c>
      <c r="B579" s="30" t="s">
        <v>1273</v>
      </c>
      <c r="C579" s="34">
        <v>5</v>
      </c>
      <c r="D579" s="35">
        <v>5</v>
      </c>
      <c r="E579" s="34">
        <f>IF(OR(D579="-",D579="",D579=0),IF(C579="-","-",C579),C579-D579)</f>
        <v>0</v>
      </c>
      <c r="F579" s="4">
        <f>IFERROR(IF(C579&gt;0, D579/C579, 0),"-")</f>
        <v>1</v>
      </c>
      <c r="G579" s="34" t="s">
        <v>959</v>
      </c>
      <c r="H579" s="35" t="s">
        <v>959</v>
      </c>
      <c r="I579" s="34" t="str">
        <f>IF(OR(H579="-",H579="",H579=0),IF(G579="-","-",G579),G579-H579)</f>
        <v>-</v>
      </c>
      <c r="J579" s="4" t="str">
        <f>IFERROR(IF(G579&gt;0, H579/G579, 0),"-")</f>
        <v>-</v>
      </c>
      <c r="K579" s="34" t="s">
        <v>959</v>
      </c>
      <c r="L579" s="35" t="s">
        <v>959</v>
      </c>
      <c r="M579" s="34" t="str">
        <f>IF(OR(L579="-",L579="",L579=0),IF(K579="-","-",K579),K579-L579)</f>
        <v>-</v>
      </c>
      <c r="N579" s="4" t="str">
        <f>IFERROR(IF(K579&gt;0, L579/K579, 0),"-")</f>
        <v>-</v>
      </c>
      <c r="O579" s="34" t="s">
        <v>959</v>
      </c>
      <c r="P579" s="35" t="s">
        <v>959</v>
      </c>
      <c r="Q579" s="34" t="str">
        <f>IF(OR(P579="-",P579="",P579=0),IF(O579="-","-",O579),O579-P579)</f>
        <v>-</v>
      </c>
      <c r="R579" s="4" t="str">
        <f>IFERROR(IF(O579&gt;0, P579/O579, 0),"-")</f>
        <v>-</v>
      </c>
      <c r="S579" s="34" t="s">
        <v>959</v>
      </c>
      <c r="T579" s="34" t="s">
        <v>959</v>
      </c>
      <c r="U579" s="34" t="s">
        <v>959</v>
      </c>
      <c r="V579" s="35" t="s">
        <v>959</v>
      </c>
      <c r="W579" s="35" t="s">
        <v>959</v>
      </c>
    </row>
    <row r="580" spans="1:23" x14ac:dyDescent="0.2">
      <c r="A580" s="30" t="s">
        <v>924</v>
      </c>
      <c r="B580" s="30" t="s">
        <v>1274</v>
      </c>
      <c r="C580" s="34">
        <v>487</v>
      </c>
      <c r="D580" s="35">
        <v>483</v>
      </c>
      <c r="E580" s="34">
        <f>IF(OR(D580="-",D580="",D580=0),IF(C580="-","-",C580),C580-D580)</f>
        <v>4</v>
      </c>
      <c r="F580" s="4">
        <f>IFERROR(IF(C580&gt;0, D580/C580, 0),"-")</f>
        <v>0.99178644763860369</v>
      </c>
      <c r="G580" s="34">
        <v>6</v>
      </c>
      <c r="H580" s="35">
        <v>1</v>
      </c>
      <c r="I580" s="34">
        <f>IF(OR(H580="-",H580="",H580=0),IF(G580="-","-",G580),G580-H580)</f>
        <v>5</v>
      </c>
      <c r="J580" s="4">
        <f>IFERROR(IF(G580&gt;0, H580/G580, 0),"-")</f>
        <v>0.16666666666666666</v>
      </c>
      <c r="K580" s="34">
        <v>6</v>
      </c>
      <c r="L580" s="35">
        <v>2</v>
      </c>
      <c r="M580" s="34">
        <f>IF(OR(L580="-",L580="",L580=0),IF(K580="-","-",K580),K580-L580)</f>
        <v>4</v>
      </c>
      <c r="N580" s="4">
        <f>IFERROR(IF(K580&gt;0, L580/K580, 0),"-")</f>
        <v>0.33333333333333331</v>
      </c>
      <c r="O580" s="34">
        <v>6</v>
      </c>
      <c r="P580" s="35" t="s">
        <v>959</v>
      </c>
      <c r="Q580" s="34">
        <f>IF(OR(P580="-",P580="",P580=0),IF(O580="-","-",O580),O580-P580)</f>
        <v>6</v>
      </c>
      <c r="R580" s="4" t="str">
        <f>IFERROR(IF(O580&gt;0, P580/O580, 0),"-")</f>
        <v>-</v>
      </c>
      <c r="S580" s="34">
        <v>308</v>
      </c>
      <c r="T580" s="34">
        <v>6</v>
      </c>
      <c r="U580" s="34">
        <v>54420</v>
      </c>
      <c r="V580" s="35">
        <v>5</v>
      </c>
      <c r="W580" s="35">
        <v>103773</v>
      </c>
    </row>
    <row r="581" spans="1:23" x14ac:dyDescent="0.2">
      <c r="A581" s="30" t="s">
        <v>922</v>
      </c>
      <c r="B581" s="30" t="s">
        <v>1275</v>
      </c>
      <c r="C581" s="34">
        <v>255</v>
      </c>
      <c r="D581" s="35">
        <v>254</v>
      </c>
      <c r="E581" s="34">
        <f>IF(OR(D581="-",D581="",D581=0),IF(C581="-","-",C581),C581-D581)</f>
        <v>1</v>
      </c>
      <c r="F581" s="4">
        <f>IFERROR(IF(C581&gt;0, D581/C581, 0),"-")</f>
        <v>0.99607843137254903</v>
      </c>
      <c r="G581" s="34">
        <v>3</v>
      </c>
      <c r="H581" s="35">
        <v>2</v>
      </c>
      <c r="I581" s="34">
        <f>IF(OR(H581="-",H581="",H581=0),IF(G581="-","-",G581),G581-H581)</f>
        <v>1</v>
      </c>
      <c r="J581" s="4">
        <f>IFERROR(IF(G581&gt;0, H581/G581, 0),"-")</f>
        <v>0.66666666666666663</v>
      </c>
      <c r="K581" s="34">
        <v>2</v>
      </c>
      <c r="L581" s="35" t="s">
        <v>959</v>
      </c>
      <c r="M581" s="34">
        <f>IF(OR(L581="-",L581="",L581=0),IF(K581="-","-",K581),K581-L581)</f>
        <v>2</v>
      </c>
      <c r="N581" s="4" t="str">
        <f>IFERROR(IF(K581&gt;0, L581/K581, 0),"-")</f>
        <v>-</v>
      </c>
      <c r="O581" s="34">
        <v>3</v>
      </c>
      <c r="P581" s="35">
        <v>2</v>
      </c>
      <c r="Q581" s="34">
        <f>IF(OR(P581="-",P581="",P581=0),IF(O581="-","-",O581),O581-P581)</f>
        <v>1</v>
      </c>
      <c r="R581" s="4">
        <f>IFERROR(IF(O581&gt;0, P581/O581, 0),"-")</f>
        <v>0.66666666666666663</v>
      </c>
      <c r="S581" s="34">
        <v>200</v>
      </c>
      <c r="T581" s="34">
        <v>7</v>
      </c>
      <c r="U581" s="34">
        <v>21755</v>
      </c>
      <c r="V581" s="35">
        <v>5</v>
      </c>
      <c r="W581" s="35">
        <v>139150</v>
      </c>
    </row>
    <row r="582" spans="1:23" x14ac:dyDescent="0.2">
      <c r="A582" s="30" t="s">
        <v>923</v>
      </c>
      <c r="B582" s="30" t="s">
        <v>1276</v>
      </c>
      <c r="C582" s="34">
        <v>202</v>
      </c>
      <c r="D582" s="35">
        <v>193</v>
      </c>
      <c r="E582" s="34">
        <f>IF(OR(D582="-",D582="",D582=0),IF(C582="-","-",C582),C582-D582)</f>
        <v>9</v>
      </c>
      <c r="F582" s="4">
        <f>IFERROR(IF(C582&gt;0, D582/C582, 0),"-")</f>
        <v>0.95544554455445541</v>
      </c>
      <c r="G582" s="34">
        <v>2</v>
      </c>
      <c r="H582" s="35">
        <v>1</v>
      </c>
      <c r="I582" s="34">
        <f>IF(OR(H582="-",H582="",H582=0),IF(G582="-","-",G582),G582-H582)</f>
        <v>1</v>
      </c>
      <c r="J582" s="4">
        <f>IFERROR(IF(G582&gt;0, H582/G582, 0),"-")</f>
        <v>0.5</v>
      </c>
      <c r="K582" s="34">
        <v>6</v>
      </c>
      <c r="L582" s="35" t="s">
        <v>959</v>
      </c>
      <c r="M582" s="34">
        <f>IF(OR(L582="-",L582="",L582=0),IF(K582="-","-",K582),K582-L582)</f>
        <v>6</v>
      </c>
      <c r="N582" s="4" t="str">
        <f>IFERROR(IF(K582&gt;0, L582/K582, 0),"-")</f>
        <v>-</v>
      </c>
      <c r="O582" s="34">
        <v>4</v>
      </c>
      <c r="P582" s="35" t="s">
        <v>959</v>
      </c>
      <c r="Q582" s="34">
        <f>IF(OR(P582="-",P582="",P582=0),IF(O582="-","-",O582),O582-P582)</f>
        <v>4</v>
      </c>
      <c r="R582" s="4" t="str">
        <f>IFERROR(IF(O582&gt;0, P582/O582, 0),"-")</f>
        <v>-</v>
      </c>
      <c r="S582" s="34">
        <v>185</v>
      </c>
      <c r="T582" s="34">
        <v>4</v>
      </c>
      <c r="U582" s="34">
        <v>12970</v>
      </c>
      <c r="V582" s="35">
        <v>2</v>
      </c>
      <c r="W582" s="35">
        <v>32902</v>
      </c>
    </row>
    <row r="583" spans="1:23" x14ac:dyDescent="0.2">
      <c r="A583" s="30" t="s">
        <v>927</v>
      </c>
      <c r="B583" s="30" t="s">
        <v>1277</v>
      </c>
      <c r="C583" s="34">
        <v>193</v>
      </c>
      <c r="D583" s="35">
        <v>190</v>
      </c>
      <c r="E583" s="34">
        <f>IF(OR(D583="-",D583="",D583=0),IF(C583="-","-",C583),C583-D583)</f>
        <v>3</v>
      </c>
      <c r="F583" s="4">
        <f>IFERROR(IF(C583&gt;0, D583/C583, 0),"-")</f>
        <v>0.98445595854922274</v>
      </c>
      <c r="G583" s="34" t="s">
        <v>959</v>
      </c>
      <c r="H583" s="35" t="s">
        <v>959</v>
      </c>
      <c r="I583" s="34" t="str">
        <f>IF(OR(H583="-",H583="",H583=0),IF(G583="-","-",G583),G583-H583)</f>
        <v>-</v>
      </c>
      <c r="J583" s="4" t="str">
        <f>IFERROR(IF(G583&gt;0, H583/G583, 0),"-")</f>
        <v>-</v>
      </c>
      <c r="K583" s="34" t="s">
        <v>959</v>
      </c>
      <c r="L583" s="35" t="s">
        <v>959</v>
      </c>
      <c r="M583" s="34" t="str">
        <f>IF(OR(L583="-",L583="",L583=0),IF(K583="-","-",K583),K583-L583)</f>
        <v>-</v>
      </c>
      <c r="N583" s="4" t="str">
        <f>IFERROR(IF(K583&gt;0, L583/K583, 0),"-")</f>
        <v>-</v>
      </c>
      <c r="O583" s="34">
        <v>2</v>
      </c>
      <c r="P583" s="35" t="s">
        <v>959</v>
      </c>
      <c r="Q583" s="34">
        <f>IF(OR(P583="-",P583="",P583=0),IF(O583="-","-",O583),O583-P583)</f>
        <v>2</v>
      </c>
      <c r="R583" s="4" t="str">
        <f>IFERROR(IF(O583&gt;0, P583/O583, 0),"-")</f>
        <v>-</v>
      </c>
      <c r="S583" s="34">
        <v>249</v>
      </c>
      <c r="T583" s="34">
        <v>5</v>
      </c>
      <c r="U583" s="34">
        <v>42285</v>
      </c>
      <c r="V583" s="35">
        <v>10</v>
      </c>
      <c r="W583" s="35">
        <v>161165</v>
      </c>
    </row>
    <row r="584" spans="1:23" x14ac:dyDescent="0.2">
      <c r="A584" s="30" t="s">
        <v>925</v>
      </c>
      <c r="B584" s="30" t="s">
        <v>1278</v>
      </c>
      <c r="C584" s="34">
        <v>225</v>
      </c>
      <c r="D584" s="35">
        <v>223</v>
      </c>
      <c r="E584" s="34">
        <f>IF(OR(D584="-",D584="",D584=0),IF(C584="-","-",C584),C584-D584)</f>
        <v>2</v>
      </c>
      <c r="F584" s="4">
        <f>IFERROR(IF(C584&gt;0, D584/C584, 0),"-")</f>
        <v>0.99111111111111116</v>
      </c>
      <c r="G584" s="34">
        <v>5</v>
      </c>
      <c r="H584" s="35">
        <v>1</v>
      </c>
      <c r="I584" s="34">
        <f>IF(OR(H584="-",H584="",H584=0),IF(G584="-","-",G584),G584-H584)</f>
        <v>4</v>
      </c>
      <c r="J584" s="4">
        <f>IFERROR(IF(G584&gt;0, H584/G584, 0),"-")</f>
        <v>0.2</v>
      </c>
      <c r="K584" s="34">
        <v>5</v>
      </c>
      <c r="L584" s="35">
        <v>2</v>
      </c>
      <c r="M584" s="34">
        <f>IF(OR(L584="-",L584="",L584=0),IF(K584="-","-",K584),K584-L584)</f>
        <v>3</v>
      </c>
      <c r="N584" s="4">
        <f>IFERROR(IF(K584&gt;0, L584/K584, 0),"-")</f>
        <v>0.4</v>
      </c>
      <c r="O584" s="34">
        <v>5</v>
      </c>
      <c r="P584" s="35" t="s">
        <v>959</v>
      </c>
      <c r="Q584" s="34">
        <f>IF(OR(P584="-",P584="",P584=0),IF(O584="-","-",O584),O584-P584)</f>
        <v>5</v>
      </c>
      <c r="R584" s="4" t="str">
        <f>IFERROR(IF(O584&gt;0, P584/O584, 0),"-")</f>
        <v>-</v>
      </c>
      <c r="S584" s="34">
        <v>221</v>
      </c>
      <c r="T584" s="34">
        <v>7</v>
      </c>
      <c r="U584" s="34">
        <v>13378</v>
      </c>
      <c r="V584" s="35">
        <v>2</v>
      </c>
      <c r="W584" s="35">
        <v>56025</v>
      </c>
    </row>
    <row r="585" spans="1:23" x14ac:dyDescent="0.2">
      <c r="A585" s="29"/>
      <c r="B585" s="29" t="s">
        <v>96</v>
      </c>
      <c r="C585" s="32">
        <v>1061</v>
      </c>
      <c r="D585" s="32">
        <v>1023</v>
      </c>
      <c r="E585" s="32">
        <f>IF(OR(D585="-",D585="",D585=0),IF(C585="-","-",C585),C585-D585)</f>
        <v>38</v>
      </c>
      <c r="F585" s="36">
        <f>IFERROR(IF(C585&gt;0, D585/C585, 0),"-")</f>
        <v>0.96418473138548544</v>
      </c>
      <c r="G585" s="32">
        <v>14</v>
      </c>
      <c r="H585" s="32">
        <v>4</v>
      </c>
      <c r="I585" s="32">
        <f>IF(OR(H585="-",H585="",H585=0),IF(G585="-","-",G585),G585-H585)</f>
        <v>10</v>
      </c>
      <c r="J585" s="36">
        <f>IFERROR(IF(G585&gt;0, H585/G585, 0),"-")</f>
        <v>0.2857142857142857</v>
      </c>
      <c r="K585" s="32">
        <v>9</v>
      </c>
      <c r="L585" s="32">
        <v>5</v>
      </c>
      <c r="M585" s="32">
        <f>IF(OR(L585="-",L585="",L585=0),IF(K585="-","-",K585),K585-L585)</f>
        <v>4</v>
      </c>
      <c r="N585" s="36">
        <f>IFERROR(IF(K585&gt;0, L585/K585, 0),"-")</f>
        <v>0.55555555555555558</v>
      </c>
      <c r="O585" s="32">
        <v>15</v>
      </c>
      <c r="P585" s="32">
        <v>4</v>
      </c>
      <c r="Q585" s="32">
        <f>IF(OR(P585="-",P585="",P585=0),IF(O585="-","-",O585),O585-P585)</f>
        <v>11</v>
      </c>
      <c r="R585" s="36">
        <f>IFERROR(IF(O585&gt;0, P585/O585, 0),"-")</f>
        <v>0.26666666666666666</v>
      </c>
      <c r="S585" s="32">
        <v>1317</v>
      </c>
      <c r="T585" s="32">
        <v>10</v>
      </c>
      <c r="U585" s="32">
        <v>53440</v>
      </c>
      <c r="V585" s="32">
        <v>11</v>
      </c>
      <c r="W585" s="32">
        <v>295269</v>
      </c>
    </row>
    <row r="586" spans="1:23" x14ac:dyDescent="0.2">
      <c r="A586" s="30" t="s">
        <v>664</v>
      </c>
      <c r="B586" s="30" t="s">
        <v>1279</v>
      </c>
      <c r="C586" s="34">
        <v>247</v>
      </c>
      <c r="D586" s="35">
        <v>242</v>
      </c>
      <c r="E586" s="34">
        <f>IF(OR(D586="-",D586="",D586=0),IF(C586="-","-",C586),C586-D586)</f>
        <v>5</v>
      </c>
      <c r="F586" s="4">
        <f>IFERROR(IF(C586&gt;0, D586/C586, 0),"-")</f>
        <v>0.97975708502024295</v>
      </c>
      <c r="G586" s="34">
        <v>2</v>
      </c>
      <c r="H586" s="35" t="s">
        <v>959</v>
      </c>
      <c r="I586" s="34">
        <f>IF(OR(H586="-",H586="",H586=0),IF(G586="-","-",G586),G586-H586)</f>
        <v>2</v>
      </c>
      <c r="J586" s="4" t="str">
        <f>IFERROR(IF(G586&gt;0, H586/G586, 0),"-")</f>
        <v>-</v>
      </c>
      <c r="K586" s="34">
        <v>1</v>
      </c>
      <c r="L586" s="35" t="s">
        <v>959</v>
      </c>
      <c r="M586" s="34">
        <f>IF(OR(L586="-",L586="",L586=0),IF(K586="-","-",K586),K586-L586)</f>
        <v>1</v>
      </c>
      <c r="N586" s="4" t="str">
        <f>IFERROR(IF(K586&gt;0, L586/K586, 0),"-")</f>
        <v>-</v>
      </c>
      <c r="O586" s="34">
        <v>3</v>
      </c>
      <c r="P586" s="35">
        <v>1</v>
      </c>
      <c r="Q586" s="34">
        <f>IF(OR(P586="-",P586="",P586=0),IF(O586="-","-",O586),O586-P586)</f>
        <v>2</v>
      </c>
      <c r="R586" s="4">
        <f>IFERROR(IF(O586&gt;0, P586/O586, 0),"-")</f>
        <v>0.33333333333333331</v>
      </c>
      <c r="S586" s="34">
        <v>252</v>
      </c>
      <c r="T586" s="34">
        <v>2</v>
      </c>
      <c r="U586" s="34">
        <v>6040</v>
      </c>
      <c r="V586" s="35">
        <v>2</v>
      </c>
      <c r="W586" s="35">
        <v>46375</v>
      </c>
    </row>
    <row r="587" spans="1:23" x14ac:dyDescent="0.2">
      <c r="A587" s="30" t="s">
        <v>669</v>
      </c>
      <c r="B587" s="30" t="s">
        <v>1280</v>
      </c>
      <c r="C587" s="34">
        <v>78</v>
      </c>
      <c r="D587" s="35">
        <v>73</v>
      </c>
      <c r="E587" s="34">
        <f>IF(OR(D587="-",D587="",D587=0),IF(C587="-","-",C587),C587-D587)</f>
        <v>5</v>
      </c>
      <c r="F587" s="4">
        <f>IFERROR(IF(C587&gt;0, D587/C587, 0),"-")</f>
        <v>0.9358974358974359</v>
      </c>
      <c r="G587" s="34">
        <v>1</v>
      </c>
      <c r="H587" s="35" t="s">
        <v>959</v>
      </c>
      <c r="I587" s="34">
        <f>IF(OR(H587="-",H587="",H587=0),IF(G587="-","-",G587),G587-H587)</f>
        <v>1</v>
      </c>
      <c r="J587" s="4" t="str">
        <f>IFERROR(IF(G587&gt;0, H587/G587, 0),"-")</f>
        <v>-</v>
      </c>
      <c r="K587" s="34">
        <v>1</v>
      </c>
      <c r="L587" s="35">
        <v>1</v>
      </c>
      <c r="M587" s="34">
        <f>IF(OR(L587="-",L587="",L587=0),IF(K587="-","-",K587),K587-L587)</f>
        <v>0</v>
      </c>
      <c r="N587" s="4">
        <f>IFERROR(IF(K587&gt;0, L587/K587, 0),"-")</f>
        <v>1</v>
      </c>
      <c r="O587" s="34" t="s">
        <v>959</v>
      </c>
      <c r="P587" s="35" t="s">
        <v>959</v>
      </c>
      <c r="Q587" s="34" t="str">
        <f>IF(OR(P587="-",P587="",P587=0),IF(O587="-","-",O587),O587-P587)</f>
        <v>-</v>
      </c>
      <c r="R587" s="4" t="str">
        <f>IFERROR(IF(O587&gt;0, P587/O587, 0),"-")</f>
        <v>-</v>
      </c>
      <c r="S587" s="34">
        <v>10</v>
      </c>
      <c r="T587" s="34" t="s">
        <v>959</v>
      </c>
      <c r="U587" s="34" t="s">
        <v>959</v>
      </c>
      <c r="V587" s="35" t="s">
        <v>959</v>
      </c>
      <c r="W587" s="35" t="s">
        <v>959</v>
      </c>
    </row>
    <row r="588" spans="1:23" x14ac:dyDescent="0.2">
      <c r="A588" s="30" t="s">
        <v>670</v>
      </c>
      <c r="B588" s="30" t="s">
        <v>1281</v>
      </c>
      <c r="C588" s="34">
        <v>32</v>
      </c>
      <c r="D588" s="35">
        <v>30</v>
      </c>
      <c r="E588" s="34">
        <f>IF(OR(D588="-",D588="",D588=0),IF(C588="-","-",C588),C588-D588)</f>
        <v>2</v>
      </c>
      <c r="F588" s="4">
        <f>IFERROR(IF(C588&gt;0, D588/C588, 0),"-")</f>
        <v>0.9375</v>
      </c>
      <c r="G588" s="34" t="s">
        <v>959</v>
      </c>
      <c r="H588" s="35" t="s">
        <v>959</v>
      </c>
      <c r="I588" s="34" t="str">
        <f>IF(OR(H588="-",H588="",H588=0),IF(G588="-","-",G588),G588-H588)</f>
        <v>-</v>
      </c>
      <c r="J588" s="4" t="str">
        <f>IFERROR(IF(G588&gt;0, H588/G588, 0),"-")</f>
        <v>-</v>
      </c>
      <c r="K588" s="34">
        <v>2</v>
      </c>
      <c r="L588" s="35">
        <v>2</v>
      </c>
      <c r="M588" s="34">
        <f>IF(OR(L588="-",L588="",L588=0),IF(K588="-","-",K588),K588-L588)</f>
        <v>0</v>
      </c>
      <c r="N588" s="4">
        <f>IFERROR(IF(K588&gt;0, L588/K588, 0),"-")</f>
        <v>1</v>
      </c>
      <c r="O588" s="34" t="s">
        <v>959</v>
      </c>
      <c r="P588" s="35" t="s">
        <v>959</v>
      </c>
      <c r="Q588" s="34" t="str">
        <f>IF(OR(P588="-",P588="",P588=0),IF(O588="-","-",O588),O588-P588)</f>
        <v>-</v>
      </c>
      <c r="R588" s="4" t="str">
        <f>IFERROR(IF(O588&gt;0, P588/O588, 0),"-")</f>
        <v>-</v>
      </c>
      <c r="S588" s="34">
        <v>12</v>
      </c>
      <c r="T588" s="34" t="s">
        <v>959</v>
      </c>
      <c r="U588" s="34" t="s">
        <v>959</v>
      </c>
      <c r="V588" s="35" t="s">
        <v>959</v>
      </c>
      <c r="W588" s="35" t="s">
        <v>959</v>
      </c>
    </row>
    <row r="589" spans="1:23" x14ac:dyDescent="0.2">
      <c r="A589" s="30" t="s">
        <v>666</v>
      </c>
      <c r="B589" s="30" t="s">
        <v>1282</v>
      </c>
      <c r="C589" s="34">
        <v>200</v>
      </c>
      <c r="D589" s="35">
        <v>194</v>
      </c>
      <c r="E589" s="34">
        <f>IF(OR(D589="-",D589="",D589=0),IF(C589="-","-",C589),C589-D589)</f>
        <v>6</v>
      </c>
      <c r="F589" s="4">
        <f>IFERROR(IF(C589&gt;0, D589/C589, 0),"-")</f>
        <v>0.97</v>
      </c>
      <c r="G589" s="34">
        <v>8</v>
      </c>
      <c r="H589" s="35">
        <v>4</v>
      </c>
      <c r="I589" s="34">
        <f>IF(OR(H589="-",H589="",H589=0),IF(G589="-","-",G589),G589-H589)</f>
        <v>4</v>
      </c>
      <c r="J589" s="4">
        <f>IFERROR(IF(G589&gt;0, H589/G589, 0),"-")</f>
        <v>0.5</v>
      </c>
      <c r="K589" s="34">
        <v>3</v>
      </c>
      <c r="L589" s="35">
        <v>1</v>
      </c>
      <c r="M589" s="34">
        <f>IF(OR(L589="-",L589="",L589=0),IF(K589="-","-",K589),K589-L589)</f>
        <v>2</v>
      </c>
      <c r="N589" s="4">
        <f>IFERROR(IF(K589&gt;0, L589/K589, 0),"-")</f>
        <v>0.33333333333333331</v>
      </c>
      <c r="O589" s="34">
        <v>7</v>
      </c>
      <c r="P589" s="35">
        <v>3</v>
      </c>
      <c r="Q589" s="34">
        <f>IF(OR(P589="-",P589="",P589=0),IF(O589="-","-",O589),O589-P589)</f>
        <v>4</v>
      </c>
      <c r="R589" s="4">
        <f>IFERROR(IF(O589&gt;0, P589/O589, 0),"-")</f>
        <v>0.42857142857142855</v>
      </c>
      <c r="S589" s="34">
        <v>331</v>
      </c>
      <c r="T589" s="34">
        <v>3</v>
      </c>
      <c r="U589" s="34">
        <v>27700</v>
      </c>
      <c r="V589" s="35">
        <v>2</v>
      </c>
      <c r="W589" s="35">
        <v>66031</v>
      </c>
    </row>
    <row r="590" spans="1:23" x14ac:dyDescent="0.2">
      <c r="A590" s="30" t="s">
        <v>665</v>
      </c>
      <c r="B590" s="30" t="s">
        <v>1283</v>
      </c>
      <c r="C590" s="34">
        <v>178</v>
      </c>
      <c r="D590" s="35">
        <v>171</v>
      </c>
      <c r="E590" s="34">
        <f>IF(OR(D590="-",D590="",D590=0),IF(C590="-","-",C590),C590-D590)</f>
        <v>7</v>
      </c>
      <c r="F590" s="4">
        <f>IFERROR(IF(C590&gt;0, D590/C590, 0),"-")</f>
        <v>0.9606741573033708</v>
      </c>
      <c r="G590" s="34">
        <v>2</v>
      </c>
      <c r="H590" s="35" t="s">
        <v>959</v>
      </c>
      <c r="I590" s="34">
        <f>IF(OR(H590="-",H590="",H590=0),IF(G590="-","-",G590),G590-H590)</f>
        <v>2</v>
      </c>
      <c r="J590" s="4" t="str">
        <f>IFERROR(IF(G590&gt;0, H590/G590, 0),"-")</f>
        <v>-</v>
      </c>
      <c r="K590" s="34" t="s">
        <v>959</v>
      </c>
      <c r="L590" s="35" t="s">
        <v>959</v>
      </c>
      <c r="M590" s="34" t="str">
        <f>IF(OR(L590="-",L590="",L590=0),IF(K590="-","-",K590),K590-L590)</f>
        <v>-</v>
      </c>
      <c r="N590" s="4" t="str">
        <f>IFERROR(IF(K590&gt;0, L590/K590, 0),"-")</f>
        <v>-</v>
      </c>
      <c r="O590" s="34">
        <v>2</v>
      </c>
      <c r="P590" s="35" t="s">
        <v>959</v>
      </c>
      <c r="Q590" s="34">
        <f>IF(OR(P590="-",P590="",P590=0),IF(O590="-","-",O590),O590-P590)</f>
        <v>2</v>
      </c>
      <c r="R590" s="4" t="str">
        <f>IFERROR(IF(O590&gt;0, P590/O590, 0),"-")</f>
        <v>-</v>
      </c>
      <c r="S590" s="34">
        <v>271</v>
      </c>
      <c r="T590" s="34">
        <v>2</v>
      </c>
      <c r="U590" s="34">
        <v>10540</v>
      </c>
      <c r="V590" s="35">
        <v>2</v>
      </c>
      <c r="W590" s="35">
        <v>111551</v>
      </c>
    </row>
    <row r="591" spans="1:23" x14ac:dyDescent="0.2">
      <c r="A591" s="30" t="s">
        <v>667</v>
      </c>
      <c r="B591" s="30" t="s">
        <v>1284</v>
      </c>
      <c r="C591" s="34">
        <v>199</v>
      </c>
      <c r="D591" s="35">
        <v>189</v>
      </c>
      <c r="E591" s="34">
        <f>IF(OR(D591="-",D591="",D591=0),IF(C591="-","-",C591),C591-D591)</f>
        <v>10</v>
      </c>
      <c r="F591" s="4">
        <f>IFERROR(IF(C591&gt;0, D591/C591, 0),"-")</f>
        <v>0.94974874371859297</v>
      </c>
      <c r="G591" s="34" t="s">
        <v>959</v>
      </c>
      <c r="H591" s="35" t="s">
        <v>959</v>
      </c>
      <c r="I591" s="34" t="str">
        <f>IF(OR(H591="-",H591="",H591=0),IF(G591="-","-",G591),G591-H591)</f>
        <v>-</v>
      </c>
      <c r="J591" s="4" t="str">
        <f>IFERROR(IF(G591&gt;0, H591/G591, 0),"-")</f>
        <v>-</v>
      </c>
      <c r="K591" s="34">
        <v>1</v>
      </c>
      <c r="L591" s="35">
        <v>1</v>
      </c>
      <c r="M591" s="34">
        <f>IF(OR(L591="-",L591="",L591=0),IF(K591="-","-",K591),K591-L591)</f>
        <v>0</v>
      </c>
      <c r="N591" s="4">
        <f>IFERROR(IF(K591&gt;0, L591/K591, 0),"-")</f>
        <v>1</v>
      </c>
      <c r="O591" s="34">
        <v>2</v>
      </c>
      <c r="P591" s="35" t="s">
        <v>959</v>
      </c>
      <c r="Q591" s="34">
        <f>IF(OR(P591="-",P591="",P591=0),IF(O591="-","-",O591),O591-P591)</f>
        <v>2</v>
      </c>
      <c r="R591" s="4" t="str">
        <f>IFERROR(IF(O591&gt;0, P591/O591, 0),"-")</f>
        <v>-</v>
      </c>
      <c r="S591" s="34">
        <v>223</v>
      </c>
      <c r="T591" s="34">
        <v>2</v>
      </c>
      <c r="U591" s="34">
        <v>6465</v>
      </c>
      <c r="V591" s="35">
        <v>2</v>
      </c>
      <c r="W591" s="35">
        <v>32841</v>
      </c>
    </row>
    <row r="592" spans="1:23" x14ac:dyDescent="0.2">
      <c r="A592" s="30" t="s">
        <v>668</v>
      </c>
      <c r="B592" s="30" t="s">
        <v>1285</v>
      </c>
      <c r="C592" s="34">
        <v>127</v>
      </c>
      <c r="D592" s="35">
        <v>124</v>
      </c>
      <c r="E592" s="34">
        <f>IF(OR(D592="-",D592="",D592=0),IF(C592="-","-",C592),C592-D592)</f>
        <v>3</v>
      </c>
      <c r="F592" s="4">
        <f>IFERROR(IF(C592&gt;0, D592/C592, 0),"-")</f>
        <v>0.97637795275590555</v>
      </c>
      <c r="G592" s="34">
        <v>1</v>
      </c>
      <c r="H592" s="35" t="s">
        <v>959</v>
      </c>
      <c r="I592" s="34">
        <f>IF(OR(H592="-",H592="",H592=0),IF(G592="-","-",G592),G592-H592)</f>
        <v>1</v>
      </c>
      <c r="J592" s="4" t="str">
        <f>IFERROR(IF(G592&gt;0, H592/G592, 0),"-")</f>
        <v>-</v>
      </c>
      <c r="K592" s="34">
        <v>1</v>
      </c>
      <c r="L592" s="35" t="s">
        <v>959</v>
      </c>
      <c r="M592" s="34">
        <f>IF(OR(L592="-",L592="",L592=0),IF(K592="-","-",K592),K592-L592)</f>
        <v>1</v>
      </c>
      <c r="N592" s="4" t="str">
        <f>IFERROR(IF(K592&gt;0, L592/K592, 0),"-")</f>
        <v>-</v>
      </c>
      <c r="O592" s="34">
        <v>1</v>
      </c>
      <c r="P592" s="35" t="s">
        <v>959</v>
      </c>
      <c r="Q592" s="34">
        <f>IF(OR(P592="-",P592="",P592=0),IF(O592="-","-",O592),O592-P592)</f>
        <v>1</v>
      </c>
      <c r="R592" s="4" t="str">
        <f>IFERROR(IF(O592&gt;0, P592/O592, 0),"-")</f>
        <v>-</v>
      </c>
      <c r="S592" s="34">
        <v>218</v>
      </c>
      <c r="T592" s="34">
        <v>1</v>
      </c>
      <c r="U592" s="34">
        <v>2695</v>
      </c>
      <c r="V592" s="35">
        <v>3</v>
      </c>
      <c r="W592" s="35">
        <v>38471</v>
      </c>
    </row>
    <row r="593" spans="1:23" x14ac:dyDescent="0.2">
      <c r="A593" s="29"/>
      <c r="B593" s="29" t="s">
        <v>117</v>
      </c>
      <c r="C593" s="32">
        <v>1074</v>
      </c>
      <c r="D593" s="32">
        <v>1058</v>
      </c>
      <c r="E593" s="32">
        <f>IF(OR(D593="-",D593="",D593=0),IF(C593="-","-",C593),C593-D593)</f>
        <v>16</v>
      </c>
      <c r="F593" s="36">
        <f>IFERROR(IF(C593&gt;0, D593/C593, 0),"-")</f>
        <v>0.98510242085661082</v>
      </c>
      <c r="G593" s="32">
        <v>7</v>
      </c>
      <c r="H593" s="32">
        <v>4</v>
      </c>
      <c r="I593" s="32">
        <f>IF(OR(H593="-",H593="",H593=0),IF(G593="-","-",G593),G593-H593)</f>
        <v>3</v>
      </c>
      <c r="J593" s="36">
        <f>IFERROR(IF(G593&gt;0, H593/G593, 0),"-")</f>
        <v>0.5714285714285714</v>
      </c>
      <c r="K593" s="32">
        <v>8</v>
      </c>
      <c r="L593" s="32">
        <v>3</v>
      </c>
      <c r="M593" s="32">
        <f>IF(OR(L593="-",L593="",L593=0),IF(K593="-","-",K593),K593-L593)</f>
        <v>5</v>
      </c>
      <c r="N593" s="36">
        <f>IFERROR(IF(K593&gt;0, L593/K593, 0),"-")</f>
        <v>0.375</v>
      </c>
      <c r="O593" s="32">
        <v>16</v>
      </c>
      <c r="P593" s="32">
        <v>6</v>
      </c>
      <c r="Q593" s="32">
        <f>IF(OR(P593="-",P593="",P593=0),IF(O593="-","-",O593),O593-P593)</f>
        <v>10</v>
      </c>
      <c r="R593" s="36">
        <f>IFERROR(IF(O593&gt;0, P593/O593, 0),"-")</f>
        <v>0.375</v>
      </c>
      <c r="S593" s="32">
        <v>1088</v>
      </c>
      <c r="T593" s="32">
        <v>22</v>
      </c>
      <c r="U593" s="32">
        <v>44215</v>
      </c>
      <c r="V593" s="32">
        <v>2</v>
      </c>
      <c r="W593" s="32">
        <v>31036</v>
      </c>
    </row>
    <row r="594" spans="1:23" x14ac:dyDescent="0.2">
      <c r="A594" s="30" t="s">
        <v>839</v>
      </c>
      <c r="B594" s="30" t="s">
        <v>1286</v>
      </c>
      <c r="C594" s="34">
        <v>10</v>
      </c>
      <c r="D594" s="35">
        <v>10</v>
      </c>
      <c r="E594" s="34">
        <f>IF(OR(D594="-",D594="",D594=0),IF(C594="-","-",C594),C594-D594)</f>
        <v>0</v>
      </c>
      <c r="F594" s="4">
        <f>IFERROR(IF(C594&gt;0, D594/C594, 0),"-")</f>
        <v>1</v>
      </c>
      <c r="G594" s="34" t="s">
        <v>959</v>
      </c>
      <c r="H594" s="35" t="s">
        <v>959</v>
      </c>
      <c r="I594" s="34" t="str">
        <f>IF(OR(H594="-",H594="",H594=0),IF(G594="-","-",G594),G594-H594)</f>
        <v>-</v>
      </c>
      <c r="J594" s="4" t="str">
        <f>IFERROR(IF(G594&gt;0, H594/G594, 0),"-")</f>
        <v>-</v>
      </c>
      <c r="K594" s="34" t="s">
        <v>959</v>
      </c>
      <c r="L594" s="35" t="s">
        <v>959</v>
      </c>
      <c r="M594" s="34" t="str">
        <f>IF(OR(L594="-",L594="",L594=0),IF(K594="-","-",K594),K594-L594)</f>
        <v>-</v>
      </c>
      <c r="N594" s="4" t="str">
        <f>IFERROR(IF(K594&gt;0, L594/K594, 0),"-")</f>
        <v>-</v>
      </c>
      <c r="O594" s="34">
        <v>1</v>
      </c>
      <c r="P594" s="35">
        <v>1</v>
      </c>
      <c r="Q594" s="34">
        <f>IF(OR(P594="-",P594="",P594=0),IF(O594="-","-",O594),O594-P594)</f>
        <v>0</v>
      </c>
      <c r="R594" s="4">
        <f>IFERROR(IF(O594&gt;0, P594/O594, 0),"-")</f>
        <v>1</v>
      </c>
      <c r="S594" s="34">
        <v>435</v>
      </c>
      <c r="T594" s="34" t="s">
        <v>959</v>
      </c>
      <c r="U594" s="34" t="s">
        <v>959</v>
      </c>
      <c r="V594" s="35" t="s">
        <v>959</v>
      </c>
      <c r="W594" s="35" t="s">
        <v>959</v>
      </c>
    </row>
    <row r="595" spans="1:23" x14ac:dyDescent="0.2">
      <c r="A595" s="30" t="s">
        <v>837</v>
      </c>
      <c r="B595" s="30" t="s">
        <v>1287</v>
      </c>
      <c r="C595" s="34">
        <v>163</v>
      </c>
      <c r="D595" s="35">
        <v>162</v>
      </c>
      <c r="E595" s="34">
        <f>IF(OR(D595="-",D595="",D595=0),IF(C595="-","-",C595),C595-D595)</f>
        <v>1</v>
      </c>
      <c r="F595" s="4">
        <f>IFERROR(IF(C595&gt;0, D595/C595, 0),"-")</f>
        <v>0.99386503067484666</v>
      </c>
      <c r="G595" s="34" t="s">
        <v>959</v>
      </c>
      <c r="H595" s="35" t="s">
        <v>959</v>
      </c>
      <c r="I595" s="34" t="str">
        <f>IF(OR(H595="-",H595="",H595=0),IF(G595="-","-",G595),G595-H595)</f>
        <v>-</v>
      </c>
      <c r="J595" s="4" t="str">
        <f>IFERROR(IF(G595&gt;0, H595/G595, 0),"-")</f>
        <v>-</v>
      </c>
      <c r="K595" s="34" t="s">
        <v>959</v>
      </c>
      <c r="L595" s="35" t="s">
        <v>959</v>
      </c>
      <c r="M595" s="34" t="str">
        <f>IF(OR(L595="-",L595="",L595=0),IF(K595="-","-",K595),K595-L595)</f>
        <v>-</v>
      </c>
      <c r="N595" s="4" t="str">
        <f>IFERROR(IF(K595&gt;0, L595/K595, 0),"-")</f>
        <v>-</v>
      </c>
      <c r="O595" s="34">
        <v>5</v>
      </c>
      <c r="P595" s="35">
        <v>1</v>
      </c>
      <c r="Q595" s="34">
        <f>IF(OR(P595="-",P595="",P595=0),IF(O595="-","-",O595),O595-P595)</f>
        <v>4</v>
      </c>
      <c r="R595" s="4">
        <f>IFERROR(IF(O595&gt;0, P595/O595, 0),"-")</f>
        <v>0.2</v>
      </c>
      <c r="S595" s="34">
        <v>91</v>
      </c>
      <c r="T595" s="34">
        <v>2</v>
      </c>
      <c r="U595" s="34">
        <v>5100</v>
      </c>
      <c r="V595" s="35" t="s">
        <v>959</v>
      </c>
      <c r="W595" s="35" t="s">
        <v>959</v>
      </c>
    </row>
    <row r="596" spans="1:23" x14ac:dyDescent="0.2">
      <c r="A596" s="30" t="s">
        <v>835</v>
      </c>
      <c r="B596" s="30" t="s">
        <v>1288</v>
      </c>
      <c r="C596" s="34">
        <v>245</v>
      </c>
      <c r="D596" s="35">
        <v>244</v>
      </c>
      <c r="E596" s="34">
        <f>IF(OR(D596="-",D596="",D596=0),IF(C596="-","-",C596),C596-D596)</f>
        <v>1</v>
      </c>
      <c r="F596" s="4">
        <f>IFERROR(IF(C596&gt;0, D596/C596, 0),"-")</f>
        <v>0.99591836734693873</v>
      </c>
      <c r="G596" s="34">
        <v>2</v>
      </c>
      <c r="H596" s="35">
        <v>2</v>
      </c>
      <c r="I596" s="34">
        <f>IF(OR(H596="-",H596="",H596=0),IF(G596="-","-",G596),G596-H596)</f>
        <v>0</v>
      </c>
      <c r="J596" s="4">
        <f>IFERROR(IF(G596&gt;0, H596/G596, 0),"-")</f>
        <v>1</v>
      </c>
      <c r="K596" s="34">
        <v>5</v>
      </c>
      <c r="L596" s="35">
        <v>2</v>
      </c>
      <c r="M596" s="34">
        <f>IF(OR(L596="-",L596="",L596=0),IF(K596="-","-",K596),K596-L596)</f>
        <v>3</v>
      </c>
      <c r="N596" s="4">
        <f>IFERROR(IF(K596&gt;0, L596/K596, 0),"-")</f>
        <v>0.4</v>
      </c>
      <c r="O596" s="34">
        <v>1</v>
      </c>
      <c r="P596" s="35" t="s">
        <v>959</v>
      </c>
      <c r="Q596" s="34">
        <f>IF(OR(P596="-",P596="",P596=0),IF(O596="-","-",O596),O596-P596)</f>
        <v>1</v>
      </c>
      <c r="R596" s="4" t="str">
        <f>IFERROR(IF(O596&gt;0, P596/O596, 0),"-")</f>
        <v>-</v>
      </c>
      <c r="S596" s="34">
        <v>135</v>
      </c>
      <c r="T596" s="34">
        <v>7</v>
      </c>
      <c r="U596" s="34">
        <v>14335</v>
      </c>
      <c r="V596" s="35">
        <v>1</v>
      </c>
      <c r="W596" s="35">
        <v>2583</v>
      </c>
    </row>
    <row r="597" spans="1:23" x14ac:dyDescent="0.2">
      <c r="A597" s="30" t="s">
        <v>836</v>
      </c>
      <c r="B597" s="30" t="s">
        <v>1289</v>
      </c>
      <c r="C597" s="34">
        <v>222</v>
      </c>
      <c r="D597" s="35">
        <v>216</v>
      </c>
      <c r="E597" s="34">
        <f>IF(OR(D597="-",D597="",D597=0),IF(C597="-","-",C597),C597-D597)</f>
        <v>6</v>
      </c>
      <c r="F597" s="4">
        <f>IFERROR(IF(C597&gt;0, D597/C597, 0),"-")</f>
        <v>0.97297297297297303</v>
      </c>
      <c r="G597" s="34">
        <v>4</v>
      </c>
      <c r="H597" s="35">
        <v>2</v>
      </c>
      <c r="I597" s="34">
        <f>IF(OR(H597="-",H597="",H597=0),IF(G597="-","-",G597),G597-H597)</f>
        <v>2</v>
      </c>
      <c r="J597" s="4">
        <f>IFERROR(IF(G597&gt;0, H597/G597, 0),"-")</f>
        <v>0.5</v>
      </c>
      <c r="K597" s="34" t="s">
        <v>959</v>
      </c>
      <c r="L597" s="35" t="s">
        <v>959</v>
      </c>
      <c r="M597" s="34" t="str">
        <f>IF(OR(L597="-",L597="",L597=0),IF(K597="-","-",K597),K597-L597)</f>
        <v>-</v>
      </c>
      <c r="N597" s="4" t="str">
        <f>IFERROR(IF(K597&gt;0, L597/K597, 0),"-")</f>
        <v>-</v>
      </c>
      <c r="O597" s="34">
        <v>5</v>
      </c>
      <c r="P597" s="35">
        <v>3</v>
      </c>
      <c r="Q597" s="34">
        <f>IF(OR(P597="-",P597="",P597=0),IF(O597="-","-",O597),O597-P597)</f>
        <v>2</v>
      </c>
      <c r="R597" s="4">
        <f>IFERROR(IF(O597&gt;0, P597/O597, 0),"-")</f>
        <v>0.6</v>
      </c>
      <c r="S597" s="34">
        <v>151</v>
      </c>
      <c r="T597" s="34">
        <v>4</v>
      </c>
      <c r="U597" s="34">
        <v>7600</v>
      </c>
      <c r="V597" s="35" t="s">
        <v>959</v>
      </c>
      <c r="W597" s="35" t="s">
        <v>959</v>
      </c>
    </row>
    <row r="598" spans="1:23" x14ac:dyDescent="0.2">
      <c r="A598" s="30" t="s">
        <v>838</v>
      </c>
      <c r="B598" s="30" t="s">
        <v>1290</v>
      </c>
      <c r="C598" s="34">
        <v>217</v>
      </c>
      <c r="D598" s="35">
        <v>211</v>
      </c>
      <c r="E598" s="34">
        <f>IF(OR(D598="-",D598="",D598=0),IF(C598="-","-",C598),C598-D598)</f>
        <v>6</v>
      </c>
      <c r="F598" s="4">
        <f>IFERROR(IF(C598&gt;0, D598/C598, 0),"-")</f>
        <v>0.97235023041474655</v>
      </c>
      <c r="G598" s="34" t="s">
        <v>959</v>
      </c>
      <c r="H598" s="35" t="s">
        <v>959</v>
      </c>
      <c r="I598" s="34" t="str">
        <f>IF(OR(H598="-",H598="",H598=0),IF(G598="-","-",G598),G598-H598)</f>
        <v>-</v>
      </c>
      <c r="J598" s="4" t="str">
        <f>IFERROR(IF(G598&gt;0, H598/G598, 0),"-")</f>
        <v>-</v>
      </c>
      <c r="K598" s="34">
        <v>2</v>
      </c>
      <c r="L598" s="35">
        <v>1</v>
      </c>
      <c r="M598" s="34">
        <f>IF(OR(L598="-",L598="",L598=0),IF(K598="-","-",K598),K598-L598)</f>
        <v>1</v>
      </c>
      <c r="N598" s="4">
        <f>IFERROR(IF(K598&gt;0, L598/K598, 0),"-")</f>
        <v>0.5</v>
      </c>
      <c r="O598" s="34">
        <v>3</v>
      </c>
      <c r="P598" s="35">
        <v>1</v>
      </c>
      <c r="Q598" s="34">
        <f>IF(OR(P598="-",P598="",P598=0),IF(O598="-","-",O598),O598-P598)</f>
        <v>2</v>
      </c>
      <c r="R598" s="4">
        <f>IFERROR(IF(O598&gt;0, P598/O598, 0),"-")</f>
        <v>0.33333333333333331</v>
      </c>
      <c r="S598" s="34">
        <v>90</v>
      </c>
      <c r="T598" s="34">
        <v>1</v>
      </c>
      <c r="U598" s="34">
        <v>2700</v>
      </c>
      <c r="V598" s="35" t="s">
        <v>959</v>
      </c>
      <c r="W598" s="35" t="s">
        <v>959</v>
      </c>
    </row>
    <row r="599" spans="1:23" x14ac:dyDescent="0.2">
      <c r="A599" s="30" t="s">
        <v>834</v>
      </c>
      <c r="B599" s="30" t="s">
        <v>1291</v>
      </c>
      <c r="C599" s="34">
        <v>217</v>
      </c>
      <c r="D599" s="35">
        <v>215</v>
      </c>
      <c r="E599" s="34">
        <f>IF(OR(D599="-",D599="",D599=0),IF(C599="-","-",C599),C599-D599)</f>
        <v>2</v>
      </c>
      <c r="F599" s="4">
        <f>IFERROR(IF(C599&gt;0, D599/C599, 0),"-")</f>
        <v>0.99078341013824889</v>
      </c>
      <c r="G599" s="34">
        <v>1</v>
      </c>
      <c r="H599" s="35" t="s">
        <v>959</v>
      </c>
      <c r="I599" s="34">
        <f>IF(OR(H599="-",H599="",H599=0),IF(G599="-","-",G599),G599-H599)</f>
        <v>1</v>
      </c>
      <c r="J599" s="4" t="str">
        <f>IFERROR(IF(G599&gt;0, H599/G599, 0),"-")</f>
        <v>-</v>
      </c>
      <c r="K599" s="34">
        <v>1</v>
      </c>
      <c r="L599" s="35" t="s">
        <v>959</v>
      </c>
      <c r="M599" s="34">
        <f>IF(OR(L599="-",L599="",L599=0),IF(K599="-","-",K599),K599-L599)</f>
        <v>1</v>
      </c>
      <c r="N599" s="4" t="str">
        <f>IFERROR(IF(K599&gt;0, L599/K599, 0),"-")</f>
        <v>-</v>
      </c>
      <c r="O599" s="34">
        <v>1</v>
      </c>
      <c r="P599" s="35" t="s">
        <v>959</v>
      </c>
      <c r="Q599" s="34">
        <f>IF(OR(P599="-",P599="",P599=0),IF(O599="-","-",O599),O599-P599)</f>
        <v>1</v>
      </c>
      <c r="R599" s="4" t="str">
        <f>IFERROR(IF(O599&gt;0, P599/O599, 0),"-")</f>
        <v>-</v>
      </c>
      <c r="S599" s="34">
        <v>186</v>
      </c>
      <c r="T599" s="34">
        <v>8</v>
      </c>
      <c r="U599" s="34">
        <v>14480</v>
      </c>
      <c r="V599" s="35">
        <v>1</v>
      </c>
      <c r="W599" s="35">
        <v>28453</v>
      </c>
    </row>
    <row r="600" spans="1:23" x14ac:dyDescent="0.2">
      <c r="A600" s="29"/>
      <c r="B600" s="29" t="s">
        <v>49</v>
      </c>
      <c r="C600" s="32">
        <v>1323</v>
      </c>
      <c r="D600" s="32">
        <v>1296</v>
      </c>
      <c r="E600" s="32">
        <f>IF(OR(D600="-",D600="",D600=0),IF(C600="-","-",C600),C600-D600)</f>
        <v>27</v>
      </c>
      <c r="F600" s="36">
        <f>IFERROR(IF(C600&gt;0, D600/C600, 0),"-")</f>
        <v>0.97959183673469385</v>
      </c>
      <c r="G600" s="32">
        <v>15</v>
      </c>
      <c r="H600" s="32">
        <v>7</v>
      </c>
      <c r="I600" s="32">
        <f>IF(OR(H600="-",H600="",H600=0),IF(G600="-","-",G600),G600-H600)</f>
        <v>8</v>
      </c>
      <c r="J600" s="36">
        <f>IFERROR(IF(G600&gt;0, H600/G600, 0),"-")</f>
        <v>0.46666666666666667</v>
      </c>
      <c r="K600" s="32">
        <v>17</v>
      </c>
      <c r="L600" s="32">
        <v>7</v>
      </c>
      <c r="M600" s="32">
        <f>IF(OR(L600="-",L600="",L600=0),IF(K600="-","-",K600),K600-L600)</f>
        <v>10</v>
      </c>
      <c r="N600" s="36">
        <f>IFERROR(IF(K600&gt;0, L600/K600, 0),"-")</f>
        <v>0.41176470588235292</v>
      </c>
      <c r="O600" s="32">
        <v>12</v>
      </c>
      <c r="P600" s="32">
        <v>4</v>
      </c>
      <c r="Q600" s="32">
        <f>IF(OR(P600="-",P600="",P600=0),IF(O600="-","-",O600),O600-P600)</f>
        <v>8</v>
      </c>
      <c r="R600" s="36">
        <f>IFERROR(IF(O600&gt;0, P600/O600, 0),"-")</f>
        <v>0.33333333333333331</v>
      </c>
      <c r="S600" s="32">
        <v>1316</v>
      </c>
      <c r="T600" s="32">
        <v>54</v>
      </c>
      <c r="U600" s="32">
        <v>112355</v>
      </c>
      <c r="V600" s="32">
        <v>7</v>
      </c>
      <c r="W600" s="32">
        <v>146767</v>
      </c>
    </row>
    <row r="601" spans="1:23" x14ac:dyDescent="0.2">
      <c r="A601" s="30" t="s">
        <v>270</v>
      </c>
      <c r="B601" s="30" t="s">
        <v>1292</v>
      </c>
      <c r="C601" s="34">
        <v>240</v>
      </c>
      <c r="D601" s="35">
        <v>239</v>
      </c>
      <c r="E601" s="34">
        <f>IF(OR(D601="-",D601="",D601=0),IF(C601="-","-",C601),C601-D601)</f>
        <v>1</v>
      </c>
      <c r="F601" s="4">
        <f>IFERROR(IF(C601&gt;0, D601/C601, 0),"-")</f>
        <v>0.99583333333333335</v>
      </c>
      <c r="G601" s="34">
        <v>3</v>
      </c>
      <c r="H601" s="35">
        <v>1</v>
      </c>
      <c r="I601" s="34">
        <f>IF(OR(H601="-",H601="",H601=0),IF(G601="-","-",G601),G601-H601)</f>
        <v>2</v>
      </c>
      <c r="J601" s="4">
        <f>IFERROR(IF(G601&gt;0, H601/G601, 0),"-")</f>
        <v>0.33333333333333331</v>
      </c>
      <c r="K601" s="34">
        <v>2</v>
      </c>
      <c r="L601" s="35" t="s">
        <v>959</v>
      </c>
      <c r="M601" s="34">
        <f>IF(OR(L601="-",L601="",L601=0),IF(K601="-","-",K601),K601-L601)</f>
        <v>2</v>
      </c>
      <c r="N601" s="4" t="str">
        <f>IFERROR(IF(K601&gt;0, L601/K601, 0),"-")</f>
        <v>-</v>
      </c>
      <c r="O601" s="34" t="s">
        <v>959</v>
      </c>
      <c r="P601" s="35" t="s">
        <v>959</v>
      </c>
      <c r="Q601" s="34" t="str">
        <f>IF(OR(P601="-",P601="",P601=0),IF(O601="-","-",O601),O601-P601)</f>
        <v>-</v>
      </c>
      <c r="R601" s="4" t="str">
        <f>IFERROR(IF(O601&gt;0, P601/O601, 0),"-")</f>
        <v>-</v>
      </c>
      <c r="S601" s="34">
        <v>44</v>
      </c>
      <c r="T601" s="34">
        <v>12</v>
      </c>
      <c r="U601" s="34">
        <v>13100</v>
      </c>
      <c r="V601" s="35">
        <v>2</v>
      </c>
      <c r="W601" s="35">
        <v>61649</v>
      </c>
    </row>
    <row r="602" spans="1:23" x14ac:dyDescent="0.2">
      <c r="A602" s="30" t="s">
        <v>273</v>
      </c>
      <c r="B602" s="30" t="s">
        <v>1293</v>
      </c>
      <c r="C602" s="34">
        <v>171</v>
      </c>
      <c r="D602" s="35">
        <v>168</v>
      </c>
      <c r="E602" s="34">
        <f>IF(OR(D602="-",D602="",D602=0),IF(C602="-","-",C602),C602-D602)</f>
        <v>3</v>
      </c>
      <c r="F602" s="4">
        <f>IFERROR(IF(C602&gt;0, D602/C602, 0),"-")</f>
        <v>0.98245614035087714</v>
      </c>
      <c r="G602" s="34">
        <v>1</v>
      </c>
      <c r="H602" s="35" t="s">
        <v>959</v>
      </c>
      <c r="I602" s="34">
        <f>IF(OR(H602="-",H602="",H602=0),IF(G602="-","-",G602),G602-H602)</f>
        <v>1</v>
      </c>
      <c r="J602" s="4" t="str">
        <f>IFERROR(IF(G602&gt;0, H602/G602, 0),"-")</f>
        <v>-</v>
      </c>
      <c r="K602" s="34">
        <v>3</v>
      </c>
      <c r="L602" s="35">
        <v>2</v>
      </c>
      <c r="M602" s="34">
        <f>IF(OR(L602="-",L602="",L602=0),IF(K602="-","-",K602),K602-L602)</f>
        <v>1</v>
      </c>
      <c r="N602" s="4">
        <f>IFERROR(IF(K602&gt;0, L602/K602, 0),"-")</f>
        <v>0.66666666666666663</v>
      </c>
      <c r="O602" s="34">
        <v>2</v>
      </c>
      <c r="P602" s="35" t="s">
        <v>959</v>
      </c>
      <c r="Q602" s="34">
        <f>IF(OR(P602="-",P602="",P602=0),IF(O602="-","-",O602),O602-P602)</f>
        <v>2</v>
      </c>
      <c r="R602" s="4" t="str">
        <f>IFERROR(IF(O602&gt;0, P602/O602, 0),"-")</f>
        <v>-</v>
      </c>
      <c r="S602" s="34">
        <v>43</v>
      </c>
      <c r="T602" s="34">
        <v>9</v>
      </c>
      <c r="U602" s="34">
        <v>10650</v>
      </c>
      <c r="V602" s="35" t="s">
        <v>959</v>
      </c>
      <c r="W602" s="35" t="s">
        <v>959</v>
      </c>
    </row>
    <row r="603" spans="1:23" x14ac:dyDescent="0.2">
      <c r="A603" s="30" t="s">
        <v>268</v>
      </c>
      <c r="B603" s="30" t="s">
        <v>1294</v>
      </c>
      <c r="C603" s="34">
        <v>246</v>
      </c>
      <c r="D603" s="35">
        <v>239</v>
      </c>
      <c r="E603" s="34">
        <f>IF(OR(D603="-",D603="",D603=0),IF(C603="-","-",C603),C603-D603)</f>
        <v>7</v>
      </c>
      <c r="F603" s="4">
        <f>IFERROR(IF(C603&gt;0, D603/C603, 0),"-")</f>
        <v>0.97154471544715448</v>
      </c>
      <c r="G603" s="34">
        <v>3</v>
      </c>
      <c r="H603" s="35">
        <v>1</v>
      </c>
      <c r="I603" s="34">
        <f>IF(OR(H603="-",H603="",H603=0),IF(G603="-","-",G603),G603-H603)</f>
        <v>2</v>
      </c>
      <c r="J603" s="4">
        <f>IFERROR(IF(G603&gt;0, H603/G603, 0),"-")</f>
        <v>0.33333333333333331</v>
      </c>
      <c r="K603" s="34" t="s">
        <v>959</v>
      </c>
      <c r="L603" s="35" t="s">
        <v>959</v>
      </c>
      <c r="M603" s="34" t="str">
        <f>IF(OR(L603="-",L603="",L603=0),IF(K603="-","-",K603),K603-L603)</f>
        <v>-</v>
      </c>
      <c r="N603" s="4" t="str">
        <f>IFERROR(IF(K603&gt;0, L603/K603, 0),"-")</f>
        <v>-</v>
      </c>
      <c r="O603" s="34">
        <v>2</v>
      </c>
      <c r="P603" s="35" t="s">
        <v>959</v>
      </c>
      <c r="Q603" s="34">
        <f>IF(OR(P603="-",P603="",P603=0),IF(O603="-","-",O603),O603-P603)</f>
        <v>2</v>
      </c>
      <c r="R603" s="4" t="str">
        <f>IFERROR(IF(O603&gt;0, P603/O603, 0),"-")</f>
        <v>-</v>
      </c>
      <c r="S603" s="34">
        <v>722</v>
      </c>
      <c r="T603" s="34">
        <v>9</v>
      </c>
      <c r="U603" s="34">
        <v>1900</v>
      </c>
      <c r="V603" s="35">
        <v>3</v>
      </c>
      <c r="W603" s="35">
        <v>64427</v>
      </c>
    </row>
    <row r="604" spans="1:23" x14ac:dyDescent="0.2">
      <c r="A604" s="30" t="s">
        <v>271</v>
      </c>
      <c r="B604" s="30" t="s">
        <v>1295</v>
      </c>
      <c r="C604" s="34">
        <v>212</v>
      </c>
      <c r="D604" s="35">
        <v>210</v>
      </c>
      <c r="E604" s="34">
        <f>IF(OR(D604="-",D604="",D604=0),IF(C604="-","-",C604),C604-D604)</f>
        <v>2</v>
      </c>
      <c r="F604" s="4">
        <f>IFERROR(IF(C604&gt;0, D604/C604, 0),"-")</f>
        <v>0.99056603773584906</v>
      </c>
      <c r="G604" s="34">
        <v>3</v>
      </c>
      <c r="H604" s="35">
        <v>2</v>
      </c>
      <c r="I604" s="34">
        <f>IF(OR(H604="-",H604="",H604=0),IF(G604="-","-",G604),G604-H604)</f>
        <v>1</v>
      </c>
      <c r="J604" s="4">
        <f>IFERROR(IF(G604&gt;0, H604/G604, 0),"-")</f>
        <v>0.66666666666666663</v>
      </c>
      <c r="K604" s="34">
        <v>3</v>
      </c>
      <c r="L604" s="35">
        <v>1</v>
      </c>
      <c r="M604" s="34">
        <f>IF(OR(L604="-",L604="",L604=0),IF(K604="-","-",K604),K604-L604)</f>
        <v>2</v>
      </c>
      <c r="N604" s="4">
        <f>IFERROR(IF(K604&gt;0, L604/K604, 0),"-")</f>
        <v>0.33333333333333331</v>
      </c>
      <c r="O604" s="34">
        <v>3</v>
      </c>
      <c r="P604" s="35">
        <v>1</v>
      </c>
      <c r="Q604" s="34">
        <f>IF(OR(P604="-",P604="",P604=0),IF(O604="-","-",O604),O604-P604)</f>
        <v>2</v>
      </c>
      <c r="R604" s="4">
        <f>IFERROR(IF(O604&gt;0, P604/O604, 0),"-")</f>
        <v>0.33333333333333331</v>
      </c>
      <c r="S604" s="34">
        <v>173</v>
      </c>
      <c r="T604" s="34">
        <v>1</v>
      </c>
      <c r="U604" s="34">
        <v>60</v>
      </c>
      <c r="V604" s="35">
        <v>1</v>
      </c>
      <c r="W604" s="35">
        <v>5729</v>
      </c>
    </row>
    <row r="605" spans="1:23" x14ac:dyDescent="0.2">
      <c r="A605" s="30" t="s">
        <v>269</v>
      </c>
      <c r="B605" s="30" t="s">
        <v>1296</v>
      </c>
      <c r="C605" s="34">
        <v>175</v>
      </c>
      <c r="D605" s="35">
        <v>170</v>
      </c>
      <c r="E605" s="34">
        <f>IF(OR(D605="-",D605="",D605=0),IF(C605="-","-",C605),C605-D605)</f>
        <v>5</v>
      </c>
      <c r="F605" s="4">
        <f>IFERROR(IF(C605&gt;0, D605/C605, 0),"-")</f>
        <v>0.97142857142857142</v>
      </c>
      <c r="G605" s="34">
        <v>3</v>
      </c>
      <c r="H605" s="35">
        <v>2</v>
      </c>
      <c r="I605" s="34">
        <f>IF(OR(H605="-",H605="",H605=0),IF(G605="-","-",G605),G605-H605)</f>
        <v>1</v>
      </c>
      <c r="J605" s="4">
        <f>IFERROR(IF(G605&gt;0, H605/G605, 0),"-")</f>
        <v>0.66666666666666663</v>
      </c>
      <c r="K605" s="34">
        <v>2</v>
      </c>
      <c r="L605" s="35">
        <v>1</v>
      </c>
      <c r="M605" s="34">
        <f>IF(OR(L605="-",L605="",L605=0),IF(K605="-","-",K605),K605-L605)</f>
        <v>1</v>
      </c>
      <c r="N605" s="4">
        <f>IFERROR(IF(K605&gt;0, L605/K605, 0),"-")</f>
        <v>0.5</v>
      </c>
      <c r="O605" s="34" t="s">
        <v>959</v>
      </c>
      <c r="P605" s="35" t="s">
        <v>959</v>
      </c>
      <c r="Q605" s="34" t="str">
        <f>IF(OR(P605="-",P605="",P605=0),IF(O605="-","-",O605),O605-P605)</f>
        <v>-</v>
      </c>
      <c r="R605" s="4" t="str">
        <f>IFERROR(IF(O605&gt;0, P605/O605, 0),"-")</f>
        <v>-</v>
      </c>
      <c r="S605" s="34">
        <v>158</v>
      </c>
      <c r="T605" s="34">
        <v>14</v>
      </c>
      <c r="U605" s="34">
        <v>65700</v>
      </c>
      <c r="V605" s="35" t="s">
        <v>959</v>
      </c>
      <c r="W605" s="35" t="s">
        <v>959</v>
      </c>
    </row>
    <row r="606" spans="1:23" x14ac:dyDescent="0.2">
      <c r="A606" s="30" t="s">
        <v>272</v>
      </c>
      <c r="B606" s="30" t="s">
        <v>1297</v>
      </c>
      <c r="C606" s="34">
        <v>279</v>
      </c>
      <c r="D606" s="35">
        <v>270</v>
      </c>
      <c r="E606" s="34">
        <f>IF(OR(D606="-",D606="",D606=0),IF(C606="-","-",C606),C606-D606)</f>
        <v>9</v>
      </c>
      <c r="F606" s="4">
        <f>IFERROR(IF(C606&gt;0, D606/C606, 0),"-")</f>
        <v>0.967741935483871</v>
      </c>
      <c r="G606" s="34">
        <v>2</v>
      </c>
      <c r="H606" s="35">
        <v>1</v>
      </c>
      <c r="I606" s="34">
        <f>IF(OR(H606="-",H606="",H606=0),IF(G606="-","-",G606),G606-H606)</f>
        <v>1</v>
      </c>
      <c r="J606" s="4">
        <f>IFERROR(IF(G606&gt;0, H606/G606, 0),"-")</f>
        <v>0.5</v>
      </c>
      <c r="K606" s="34">
        <v>7</v>
      </c>
      <c r="L606" s="35">
        <v>3</v>
      </c>
      <c r="M606" s="34">
        <f>IF(OR(L606="-",L606="",L606=0),IF(K606="-","-",K606),K606-L606)</f>
        <v>4</v>
      </c>
      <c r="N606" s="4">
        <f>IFERROR(IF(K606&gt;0, L606/K606, 0),"-")</f>
        <v>0.42857142857142855</v>
      </c>
      <c r="O606" s="34">
        <v>5</v>
      </c>
      <c r="P606" s="35">
        <v>3</v>
      </c>
      <c r="Q606" s="34">
        <f>IF(OR(P606="-",P606="",P606=0),IF(O606="-","-",O606),O606-P606)</f>
        <v>2</v>
      </c>
      <c r="R606" s="4">
        <f>IFERROR(IF(O606&gt;0, P606/O606, 0),"-")</f>
        <v>0.6</v>
      </c>
      <c r="S606" s="34">
        <v>176</v>
      </c>
      <c r="T606" s="34">
        <v>9</v>
      </c>
      <c r="U606" s="34">
        <v>20945</v>
      </c>
      <c r="V606" s="35">
        <v>1</v>
      </c>
      <c r="W606" s="35">
        <v>14962</v>
      </c>
    </row>
    <row r="607" spans="1:23" x14ac:dyDescent="0.2">
      <c r="A607" s="29"/>
      <c r="B607" s="29" t="s">
        <v>70</v>
      </c>
      <c r="C607" s="32">
        <v>892</v>
      </c>
      <c r="D607" s="32">
        <v>860</v>
      </c>
      <c r="E607" s="32">
        <f>IF(OR(D607="-",D607="",D607=0),IF(C607="-","-",C607),C607-D607)</f>
        <v>32</v>
      </c>
      <c r="F607" s="36">
        <f>IFERROR(IF(C607&gt;0, D607/C607, 0),"-")</f>
        <v>0.9641255605381166</v>
      </c>
      <c r="G607" s="32">
        <v>10</v>
      </c>
      <c r="H607" s="32">
        <v>3</v>
      </c>
      <c r="I607" s="32">
        <f>IF(OR(H607="-",H607="",H607=0),IF(G607="-","-",G607),G607-H607)</f>
        <v>7</v>
      </c>
      <c r="J607" s="36">
        <f>IFERROR(IF(G607&gt;0, H607/G607, 0),"-")</f>
        <v>0.3</v>
      </c>
      <c r="K607" s="32">
        <v>7</v>
      </c>
      <c r="L607" s="32">
        <v>6</v>
      </c>
      <c r="M607" s="32">
        <f>IF(OR(L607="-",L607="",L607=0),IF(K607="-","-",K607),K607-L607)</f>
        <v>1</v>
      </c>
      <c r="N607" s="36">
        <f>IFERROR(IF(K607&gt;0, L607/K607, 0),"-")</f>
        <v>0.8571428571428571</v>
      </c>
      <c r="O607" s="32">
        <v>11</v>
      </c>
      <c r="P607" s="32">
        <v>3</v>
      </c>
      <c r="Q607" s="32">
        <f>IF(OR(P607="-",P607="",P607=0),IF(O607="-","-",O607),O607-P607)</f>
        <v>8</v>
      </c>
      <c r="R607" s="36">
        <f>IFERROR(IF(O607&gt;0, P607/O607, 0),"-")</f>
        <v>0.27272727272727271</v>
      </c>
      <c r="S607" s="32">
        <v>547</v>
      </c>
      <c r="T607" s="32">
        <v>24</v>
      </c>
      <c r="U607" s="32">
        <v>27570</v>
      </c>
      <c r="V607" s="32">
        <v>2</v>
      </c>
      <c r="W607" s="32">
        <v>28260</v>
      </c>
    </row>
    <row r="608" spans="1:23" x14ac:dyDescent="0.2">
      <c r="A608" s="30" t="s">
        <v>466</v>
      </c>
      <c r="B608" s="30" t="s">
        <v>1298</v>
      </c>
      <c r="C608" s="34">
        <v>233</v>
      </c>
      <c r="D608" s="35">
        <v>229</v>
      </c>
      <c r="E608" s="34">
        <f>IF(OR(D608="-",D608="",D608=0),IF(C608="-","-",C608),C608-D608)</f>
        <v>4</v>
      </c>
      <c r="F608" s="4">
        <f>IFERROR(IF(C608&gt;0, D608/C608, 0),"-")</f>
        <v>0.98283261802575106</v>
      </c>
      <c r="G608" s="34">
        <v>2</v>
      </c>
      <c r="H608" s="35" t="s">
        <v>959</v>
      </c>
      <c r="I608" s="34">
        <f>IF(OR(H608="-",H608="",H608=0),IF(G608="-","-",G608),G608-H608)</f>
        <v>2</v>
      </c>
      <c r="J608" s="4" t="str">
        <f>IFERROR(IF(G608&gt;0, H608/G608, 0),"-")</f>
        <v>-</v>
      </c>
      <c r="K608" s="34" t="s">
        <v>959</v>
      </c>
      <c r="L608" s="35" t="s">
        <v>959</v>
      </c>
      <c r="M608" s="34" t="str">
        <f>IF(OR(L608="-",L608="",L608=0),IF(K608="-","-",K608),K608-L608)</f>
        <v>-</v>
      </c>
      <c r="N608" s="4" t="str">
        <f>IFERROR(IF(K608&gt;0, L608/K608, 0),"-")</f>
        <v>-</v>
      </c>
      <c r="O608" s="34">
        <v>1</v>
      </c>
      <c r="P608" s="35" t="s">
        <v>959</v>
      </c>
      <c r="Q608" s="34">
        <f>IF(OR(P608="-",P608="",P608=0),IF(O608="-","-",O608),O608-P608)</f>
        <v>1</v>
      </c>
      <c r="R608" s="4" t="str">
        <f>IFERROR(IF(O608&gt;0, P608/O608, 0),"-")</f>
        <v>-</v>
      </c>
      <c r="S608" s="34">
        <v>11</v>
      </c>
      <c r="T608" s="34">
        <v>1</v>
      </c>
      <c r="U608" s="34">
        <v>3000</v>
      </c>
      <c r="V608" s="35" t="s">
        <v>959</v>
      </c>
      <c r="W608" s="35" t="s">
        <v>959</v>
      </c>
    </row>
    <row r="609" spans="1:23" x14ac:dyDescent="0.2">
      <c r="A609" s="30" t="s">
        <v>462</v>
      </c>
      <c r="B609" s="30" t="s">
        <v>1299</v>
      </c>
      <c r="C609" s="34">
        <v>143</v>
      </c>
      <c r="D609" s="35">
        <v>132</v>
      </c>
      <c r="E609" s="34">
        <f>IF(OR(D609="-",D609="",D609=0),IF(C609="-","-",C609),C609-D609)</f>
        <v>11</v>
      </c>
      <c r="F609" s="4">
        <f>IFERROR(IF(C609&gt;0, D609/C609, 0),"-")</f>
        <v>0.92307692307692313</v>
      </c>
      <c r="G609" s="34">
        <v>1</v>
      </c>
      <c r="H609" s="35" t="s">
        <v>959</v>
      </c>
      <c r="I609" s="34">
        <f>IF(OR(H609="-",H609="",H609=0),IF(G609="-","-",G609),G609-H609)</f>
        <v>1</v>
      </c>
      <c r="J609" s="4" t="str">
        <f>IFERROR(IF(G609&gt;0, H609/G609, 0),"-")</f>
        <v>-</v>
      </c>
      <c r="K609" s="34">
        <v>1</v>
      </c>
      <c r="L609" s="35" t="s">
        <v>959</v>
      </c>
      <c r="M609" s="34">
        <f>IF(OR(L609="-",L609="",L609=0),IF(K609="-","-",K609),K609-L609)</f>
        <v>1</v>
      </c>
      <c r="N609" s="4" t="str">
        <f>IFERROR(IF(K609&gt;0, L609/K609, 0),"-")</f>
        <v>-</v>
      </c>
      <c r="O609" s="34">
        <v>1</v>
      </c>
      <c r="P609" s="35" t="s">
        <v>959</v>
      </c>
      <c r="Q609" s="34">
        <f>IF(OR(P609="-",P609="",P609=0),IF(O609="-","-",O609),O609-P609)</f>
        <v>1</v>
      </c>
      <c r="R609" s="4" t="str">
        <f>IFERROR(IF(O609&gt;0, P609/O609, 0),"-")</f>
        <v>-</v>
      </c>
      <c r="S609" s="34">
        <v>98</v>
      </c>
      <c r="T609" s="34">
        <v>8</v>
      </c>
      <c r="U609" s="34">
        <v>7490</v>
      </c>
      <c r="V609" s="35" t="s">
        <v>959</v>
      </c>
      <c r="W609" s="35" t="s">
        <v>959</v>
      </c>
    </row>
    <row r="610" spans="1:23" x14ac:dyDescent="0.2">
      <c r="A610" s="30" t="s">
        <v>467</v>
      </c>
      <c r="B610" s="30" t="s">
        <v>1300</v>
      </c>
      <c r="C610" s="34">
        <v>4</v>
      </c>
      <c r="D610" s="35">
        <v>4</v>
      </c>
      <c r="E610" s="34">
        <f>IF(OR(D610="-",D610="",D610=0),IF(C610="-","-",C610),C610-D610)</f>
        <v>0</v>
      </c>
      <c r="F610" s="4">
        <f>IFERROR(IF(C610&gt;0, D610/C610, 0),"-")</f>
        <v>1</v>
      </c>
      <c r="G610" s="34" t="s">
        <v>959</v>
      </c>
      <c r="H610" s="35" t="s">
        <v>959</v>
      </c>
      <c r="I610" s="34" t="str">
        <f>IF(OR(H610="-",H610="",H610=0),IF(G610="-","-",G610),G610-H610)</f>
        <v>-</v>
      </c>
      <c r="J610" s="4" t="str">
        <f>IFERROR(IF(G610&gt;0, H610/G610, 0),"-")</f>
        <v>-</v>
      </c>
      <c r="K610" s="34" t="s">
        <v>959</v>
      </c>
      <c r="L610" s="35" t="s">
        <v>959</v>
      </c>
      <c r="M610" s="34" t="str">
        <f>IF(OR(L610="-",L610="",L610=0),IF(K610="-","-",K610),K610-L610)</f>
        <v>-</v>
      </c>
      <c r="N610" s="4" t="str">
        <f>IFERROR(IF(K610&gt;0, L610/K610, 0),"-")</f>
        <v>-</v>
      </c>
      <c r="O610" s="34" t="s">
        <v>959</v>
      </c>
      <c r="P610" s="35" t="s">
        <v>959</v>
      </c>
      <c r="Q610" s="34" t="str">
        <f>IF(OR(P610="-",P610="",P610=0),IF(O610="-","-",O610),O610-P610)</f>
        <v>-</v>
      </c>
      <c r="R610" s="4" t="str">
        <f>IFERROR(IF(O610&gt;0, P610/O610, 0),"-")</f>
        <v>-</v>
      </c>
      <c r="S610" s="34" t="s">
        <v>959</v>
      </c>
      <c r="T610" s="34" t="s">
        <v>959</v>
      </c>
      <c r="U610" s="34" t="s">
        <v>959</v>
      </c>
      <c r="V610" s="35" t="s">
        <v>959</v>
      </c>
      <c r="W610" s="35" t="s">
        <v>959</v>
      </c>
    </row>
    <row r="611" spans="1:23" x14ac:dyDescent="0.2">
      <c r="A611" s="30" t="s">
        <v>464</v>
      </c>
      <c r="B611" s="30" t="s">
        <v>1301</v>
      </c>
      <c r="C611" s="34">
        <v>167</v>
      </c>
      <c r="D611" s="35">
        <v>157</v>
      </c>
      <c r="E611" s="34">
        <f>IF(OR(D611="-",D611="",D611=0),IF(C611="-","-",C611),C611-D611)</f>
        <v>10</v>
      </c>
      <c r="F611" s="4">
        <f>IFERROR(IF(C611&gt;0, D611/C611, 0),"-")</f>
        <v>0.94011976047904189</v>
      </c>
      <c r="G611" s="34">
        <v>4</v>
      </c>
      <c r="H611" s="35">
        <v>2</v>
      </c>
      <c r="I611" s="34">
        <f>IF(OR(H611="-",H611="",H611=0),IF(G611="-","-",G611),G611-H611)</f>
        <v>2</v>
      </c>
      <c r="J611" s="4">
        <f>IFERROR(IF(G611&gt;0, H611/G611, 0),"-")</f>
        <v>0.5</v>
      </c>
      <c r="K611" s="34">
        <v>1</v>
      </c>
      <c r="L611" s="35">
        <v>1</v>
      </c>
      <c r="M611" s="34">
        <f>IF(OR(L611="-",L611="",L611=0),IF(K611="-","-",K611),K611-L611)</f>
        <v>0</v>
      </c>
      <c r="N611" s="4">
        <f>IFERROR(IF(K611&gt;0, L611/K611, 0),"-")</f>
        <v>1</v>
      </c>
      <c r="O611" s="34">
        <v>1</v>
      </c>
      <c r="P611" s="35">
        <v>1</v>
      </c>
      <c r="Q611" s="34">
        <f>IF(OR(P611="-",P611="",P611=0),IF(O611="-","-",O611),O611-P611)</f>
        <v>0</v>
      </c>
      <c r="R611" s="4">
        <f>IFERROR(IF(O611&gt;0, P611/O611, 0),"-")</f>
        <v>1</v>
      </c>
      <c r="S611" s="34">
        <v>138</v>
      </c>
      <c r="T611" s="34">
        <v>6</v>
      </c>
      <c r="U611" s="34">
        <v>7090</v>
      </c>
      <c r="V611" s="35">
        <v>2</v>
      </c>
      <c r="W611" s="35">
        <v>28260</v>
      </c>
    </row>
    <row r="612" spans="1:23" x14ac:dyDescent="0.2">
      <c r="A612" s="30" t="s">
        <v>463</v>
      </c>
      <c r="B612" s="30" t="s">
        <v>1302</v>
      </c>
      <c r="C612" s="34">
        <v>157</v>
      </c>
      <c r="D612" s="35">
        <v>152</v>
      </c>
      <c r="E612" s="34">
        <f>IF(OR(D612="-",D612="",D612=0),IF(C612="-","-",C612),C612-D612)</f>
        <v>5</v>
      </c>
      <c r="F612" s="4">
        <f>IFERROR(IF(C612&gt;0, D612/C612, 0),"-")</f>
        <v>0.96815286624203822</v>
      </c>
      <c r="G612" s="34">
        <v>1</v>
      </c>
      <c r="H612" s="35" t="s">
        <v>959</v>
      </c>
      <c r="I612" s="34">
        <f>IF(OR(H612="-",H612="",H612=0),IF(G612="-","-",G612),G612-H612)</f>
        <v>1</v>
      </c>
      <c r="J612" s="4" t="str">
        <f>IFERROR(IF(G612&gt;0, H612/G612, 0),"-")</f>
        <v>-</v>
      </c>
      <c r="K612" s="34" t="s">
        <v>959</v>
      </c>
      <c r="L612" s="35" t="s">
        <v>959</v>
      </c>
      <c r="M612" s="34" t="str">
        <f>IF(OR(L612="-",L612="",L612=0),IF(K612="-","-",K612),K612-L612)</f>
        <v>-</v>
      </c>
      <c r="N612" s="4" t="str">
        <f>IFERROR(IF(K612&gt;0, L612/K612, 0),"-")</f>
        <v>-</v>
      </c>
      <c r="O612" s="34">
        <v>2</v>
      </c>
      <c r="P612" s="35">
        <v>1</v>
      </c>
      <c r="Q612" s="34">
        <f>IF(OR(P612="-",P612="",P612=0),IF(O612="-","-",O612),O612-P612)</f>
        <v>1</v>
      </c>
      <c r="R612" s="4">
        <f>IFERROR(IF(O612&gt;0, P612/O612, 0),"-")</f>
        <v>0.5</v>
      </c>
      <c r="S612" s="34">
        <v>121</v>
      </c>
      <c r="T612" s="34">
        <v>6</v>
      </c>
      <c r="U612" s="34">
        <v>3200</v>
      </c>
      <c r="V612" s="35" t="s">
        <v>959</v>
      </c>
      <c r="W612" s="35" t="s">
        <v>959</v>
      </c>
    </row>
    <row r="613" spans="1:23" x14ac:dyDescent="0.2">
      <c r="A613" s="30" t="s">
        <v>465</v>
      </c>
      <c r="B613" s="30" t="s">
        <v>1303</v>
      </c>
      <c r="C613" s="34">
        <v>188</v>
      </c>
      <c r="D613" s="35">
        <v>186</v>
      </c>
      <c r="E613" s="34">
        <f>IF(OR(D613="-",D613="",D613=0),IF(C613="-","-",C613),C613-D613)</f>
        <v>2</v>
      </c>
      <c r="F613" s="4">
        <f>IFERROR(IF(C613&gt;0, D613/C613, 0),"-")</f>
        <v>0.98936170212765961</v>
      </c>
      <c r="G613" s="34">
        <v>2</v>
      </c>
      <c r="H613" s="35">
        <v>1</v>
      </c>
      <c r="I613" s="34">
        <f>IF(OR(H613="-",H613="",H613=0),IF(G613="-","-",G613),G613-H613)</f>
        <v>1</v>
      </c>
      <c r="J613" s="4">
        <f>IFERROR(IF(G613&gt;0, H613/G613, 0),"-")</f>
        <v>0.5</v>
      </c>
      <c r="K613" s="34">
        <v>5</v>
      </c>
      <c r="L613" s="35">
        <v>5</v>
      </c>
      <c r="M613" s="34">
        <f>IF(OR(L613="-",L613="",L613=0),IF(K613="-","-",K613),K613-L613)</f>
        <v>0</v>
      </c>
      <c r="N613" s="4">
        <f>IFERROR(IF(K613&gt;0, L613/K613, 0),"-")</f>
        <v>1</v>
      </c>
      <c r="O613" s="34">
        <v>6</v>
      </c>
      <c r="P613" s="35">
        <v>1</v>
      </c>
      <c r="Q613" s="34">
        <f>IF(OR(P613="-",P613="",P613=0),IF(O613="-","-",O613),O613-P613)</f>
        <v>5</v>
      </c>
      <c r="R613" s="4">
        <f>IFERROR(IF(O613&gt;0, P613/O613, 0),"-")</f>
        <v>0.16666666666666666</v>
      </c>
      <c r="S613" s="34">
        <v>179</v>
      </c>
      <c r="T613" s="34">
        <v>3</v>
      </c>
      <c r="U613" s="34">
        <v>6790</v>
      </c>
      <c r="V613" s="35" t="s">
        <v>959</v>
      </c>
      <c r="W613" s="35" t="s">
        <v>959</v>
      </c>
    </row>
    <row r="614" spans="1:23" x14ac:dyDescent="0.2">
      <c r="A614" s="29"/>
      <c r="B614" s="29" t="s">
        <v>76</v>
      </c>
      <c r="C614" s="32">
        <v>1074</v>
      </c>
      <c r="D614" s="32">
        <v>1067</v>
      </c>
      <c r="E614" s="32">
        <f>IF(OR(D614="-",D614="",D614=0),IF(C614="-","-",C614),C614-D614)</f>
        <v>7</v>
      </c>
      <c r="F614" s="36">
        <f>IFERROR(IF(C614&gt;0, D614/C614, 0),"-")</f>
        <v>0.9934823091247672</v>
      </c>
      <c r="G614" s="32">
        <v>11</v>
      </c>
      <c r="H614" s="32">
        <v>6</v>
      </c>
      <c r="I614" s="32">
        <f>IF(OR(H614="-",H614="",H614=0),IF(G614="-","-",G614),G614-H614)</f>
        <v>5</v>
      </c>
      <c r="J614" s="36">
        <f>IFERROR(IF(G614&gt;0, H614/G614, 0),"-")</f>
        <v>0.54545454545454541</v>
      </c>
      <c r="K614" s="32">
        <v>9</v>
      </c>
      <c r="L614" s="32">
        <v>5</v>
      </c>
      <c r="M614" s="32">
        <f>IF(OR(L614="-",L614="",L614=0),IF(K614="-","-",K614),K614-L614)</f>
        <v>4</v>
      </c>
      <c r="N614" s="36">
        <f>IFERROR(IF(K614&gt;0, L614/K614, 0),"-")</f>
        <v>0.55555555555555558</v>
      </c>
      <c r="O614" s="32">
        <v>15</v>
      </c>
      <c r="P614" s="32">
        <v>1</v>
      </c>
      <c r="Q614" s="32">
        <f>IF(OR(P614="-",P614="",P614=0),IF(O614="-","-",O614),O614-P614)</f>
        <v>14</v>
      </c>
      <c r="R614" s="36">
        <f>IFERROR(IF(O614&gt;0, P614/O614, 0),"-")</f>
        <v>6.6666666666666666E-2</v>
      </c>
      <c r="S614" s="32">
        <v>1269</v>
      </c>
      <c r="T614" s="32">
        <v>13</v>
      </c>
      <c r="U614" s="32">
        <v>49965</v>
      </c>
      <c r="V614" s="32">
        <v>9</v>
      </c>
      <c r="W614" s="32">
        <v>112996</v>
      </c>
    </row>
    <row r="615" spans="1:23" x14ac:dyDescent="0.2">
      <c r="A615" s="30" t="s">
        <v>501</v>
      </c>
      <c r="B615" s="30" t="s">
        <v>1304</v>
      </c>
      <c r="C615" s="34">
        <v>218</v>
      </c>
      <c r="D615" s="35">
        <v>217</v>
      </c>
      <c r="E615" s="34">
        <f>IF(OR(D615="-",D615="",D615=0),IF(C615="-","-",C615),C615-D615)</f>
        <v>1</v>
      </c>
      <c r="F615" s="4">
        <f>IFERROR(IF(C615&gt;0, D615/C615, 0),"-")</f>
        <v>0.99541284403669728</v>
      </c>
      <c r="G615" s="34">
        <v>3</v>
      </c>
      <c r="H615" s="35">
        <v>2</v>
      </c>
      <c r="I615" s="34">
        <f>IF(OR(H615="-",H615="",H615=0),IF(G615="-","-",G615),G615-H615)</f>
        <v>1</v>
      </c>
      <c r="J615" s="4">
        <f>IFERROR(IF(G615&gt;0, H615/G615, 0),"-")</f>
        <v>0.66666666666666663</v>
      </c>
      <c r="K615" s="34">
        <v>1</v>
      </c>
      <c r="L615" s="35" t="s">
        <v>959</v>
      </c>
      <c r="M615" s="34">
        <f>IF(OR(L615="-",L615="",L615=0),IF(K615="-","-",K615),K615-L615)</f>
        <v>1</v>
      </c>
      <c r="N615" s="4" t="str">
        <f>IFERROR(IF(K615&gt;0, L615/K615, 0),"-")</f>
        <v>-</v>
      </c>
      <c r="O615" s="34">
        <v>9</v>
      </c>
      <c r="P615" s="35">
        <v>1</v>
      </c>
      <c r="Q615" s="34">
        <f>IF(OR(P615="-",P615="",P615=0),IF(O615="-","-",O615),O615-P615)</f>
        <v>8</v>
      </c>
      <c r="R615" s="4">
        <f>IFERROR(IF(O615&gt;0, P615/O615, 0),"-")</f>
        <v>0.1111111111111111</v>
      </c>
      <c r="S615" s="34">
        <v>325</v>
      </c>
      <c r="T615" s="34">
        <v>6</v>
      </c>
      <c r="U615" s="34">
        <v>22405</v>
      </c>
      <c r="V615" s="35">
        <v>2</v>
      </c>
      <c r="W615" s="35">
        <v>8937</v>
      </c>
    </row>
    <row r="616" spans="1:23" x14ac:dyDescent="0.2">
      <c r="A616" s="30" t="s">
        <v>504</v>
      </c>
      <c r="B616" s="30" t="s">
        <v>1305</v>
      </c>
      <c r="C616" s="34">
        <v>238</v>
      </c>
      <c r="D616" s="35">
        <v>235</v>
      </c>
      <c r="E616" s="34">
        <f>IF(OR(D616="-",D616="",D616=0),IF(C616="-","-",C616),C616-D616)</f>
        <v>3</v>
      </c>
      <c r="F616" s="4">
        <f>IFERROR(IF(C616&gt;0, D616/C616, 0),"-")</f>
        <v>0.98739495798319332</v>
      </c>
      <c r="G616" s="34">
        <v>4</v>
      </c>
      <c r="H616" s="35">
        <v>2</v>
      </c>
      <c r="I616" s="34">
        <f>IF(OR(H616="-",H616="",H616=0),IF(G616="-","-",G616),G616-H616)</f>
        <v>2</v>
      </c>
      <c r="J616" s="4">
        <f>IFERROR(IF(G616&gt;0, H616/G616, 0),"-")</f>
        <v>0.5</v>
      </c>
      <c r="K616" s="34">
        <v>3</v>
      </c>
      <c r="L616" s="35">
        <v>3</v>
      </c>
      <c r="M616" s="34">
        <f>IF(OR(L616="-",L616="",L616=0),IF(K616="-","-",K616),K616-L616)</f>
        <v>0</v>
      </c>
      <c r="N616" s="4">
        <f>IFERROR(IF(K616&gt;0, L616/K616, 0),"-")</f>
        <v>1</v>
      </c>
      <c r="O616" s="34">
        <v>1</v>
      </c>
      <c r="P616" s="35" t="s">
        <v>959</v>
      </c>
      <c r="Q616" s="34">
        <f>IF(OR(P616="-",P616="",P616=0),IF(O616="-","-",O616),O616-P616)</f>
        <v>1</v>
      </c>
      <c r="R616" s="4" t="str">
        <f>IFERROR(IF(O616&gt;0, P616/O616, 0),"-")</f>
        <v>-</v>
      </c>
      <c r="S616" s="34">
        <v>380</v>
      </c>
      <c r="T616" s="34">
        <v>3</v>
      </c>
      <c r="U616" s="34">
        <v>8070</v>
      </c>
      <c r="V616" s="35">
        <v>1</v>
      </c>
      <c r="W616" s="35">
        <v>2729</v>
      </c>
    </row>
    <row r="617" spans="1:23" x14ac:dyDescent="0.2">
      <c r="A617" s="30" t="s">
        <v>520</v>
      </c>
      <c r="B617" s="30" t="s">
        <v>1306</v>
      </c>
      <c r="C617" s="34">
        <v>13</v>
      </c>
      <c r="D617" s="35">
        <v>13</v>
      </c>
      <c r="E617" s="34">
        <f>IF(OR(D617="-",D617="",D617=0),IF(C617="-","-",C617),C617-D617)</f>
        <v>0</v>
      </c>
      <c r="F617" s="4">
        <f>IFERROR(IF(C617&gt;0, D617/C617, 0),"-")</f>
        <v>1</v>
      </c>
      <c r="G617" s="34" t="s">
        <v>959</v>
      </c>
      <c r="H617" s="35" t="s">
        <v>959</v>
      </c>
      <c r="I617" s="34" t="str">
        <f>IF(OR(H617="-",H617="",H617=0),IF(G617="-","-",G617),G617-H617)</f>
        <v>-</v>
      </c>
      <c r="J617" s="4" t="str">
        <f>IFERROR(IF(G617&gt;0, H617/G617, 0),"-")</f>
        <v>-</v>
      </c>
      <c r="K617" s="34" t="s">
        <v>959</v>
      </c>
      <c r="L617" s="35" t="s">
        <v>959</v>
      </c>
      <c r="M617" s="34" t="str">
        <f>IF(OR(L617="-",L617="",L617=0),IF(K617="-","-",K617),K617-L617)</f>
        <v>-</v>
      </c>
      <c r="N617" s="4" t="str">
        <f>IFERROR(IF(K617&gt;0, L617/K617, 0),"-")</f>
        <v>-</v>
      </c>
      <c r="O617" s="34" t="s">
        <v>959</v>
      </c>
      <c r="P617" s="35" t="s">
        <v>959</v>
      </c>
      <c r="Q617" s="34" t="str">
        <f>IF(OR(P617="-",P617="",P617=0),IF(O617="-","-",O617),O617-P617)</f>
        <v>-</v>
      </c>
      <c r="R617" s="4" t="str">
        <f>IFERROR(IF(O617&gt;0, P617/O617, 0),"-")</f>
        <v>-</v>
      </c>
      <c r="S617" s="34" t="s">
        <v>959</v>
      </c>
      <c r="T617" s="34" t="s">
        <v>959</v>
      </c>
      <c r="U617" s="34" t="s">
        <v>959</v>
      </c>
      <c r="V617" s="35" t="s">
        <v>959</v>
      </c>
      <c r="W617" s="35" t="s">
        <v>959</v>
      </c>
    </row>
    <row r="618" spans="1:23" x14ac:dyDescent="0.2">
      <c r="A618" s="30" t="s">
        <v>505</v>
      </c>
      <c r="B618" s="30" t="s">
        <v>1307</v>
      </c>
      <c r="C618" s="34">
        <v>140</v>
      </c>
      <c r="D618" s="35">
        <v>140</v>
      </c>
      <c r="E618" s="34">
        <f>IF(OR(D618="-",D618="",D618=0),IF(C618="-","-",C618),C618-D618)</f>
        <v>0</v>
      </c>
      <c r="F618" s="4">
        <f>IFERROR(IF(C618&gt;0, D618/C618, 0),"-")</f>
        <v>1</v>
      </c>
      <c r="G618" s="34">
        <v>2</v>
      </c>
      <c r="H618" s="35">
        <v>1</v>
      </c>
      <c r="I618" s="34">
        <f>IF(OR(H618="-",H618="",H618=0),IF(G618="-","-",G618),G618-H618)</f>
        <v>1</v>
      </c>
      <c r="J618" s="4">
        <f>IFERROR(IF(G618&gt;0, H618/G618, 0),"-")</f>
        <v>0.5</v>
      </c>
      <c r="K618" s="34">
        <v>3</v>
      </c>
      <c r="L618" s="35" t="s">
        <v>959</v>
      </c>
      <c r="M618" s="34">
        <f>IF(OR(L618="-",L618="",L618=0),IF(K618="-","-",K618),K618-L618)</f>
        <v>3</v>
      </c>
      <c r="N618" s="4" t="str">
        <f>IFERROR(IF(K618&gt;0, L618/K618, 0),"-")</f>
        <v>-</v>
      </c>
      <c r="O618" s="34">
        <v>2</v>
      </c>
      <c r="P618" s="35" t="s">
        <v>959</v>
      </c>
      <c r="Q618" s="34">
        <f>IF(OR(P618="-",P618="",P618=0),IF(O618="-","-",O618),O618-P618)</f>
        <v>2</v>
      </c>
      <c r="R618" s="4" t="str">
        <f>IFERROR(IF(O618&gt;0, P618/O618, 0),"-")</f>
        <v>-</v>
      </c>
      <c r="S618" s="34">
        <v>113</v>
      </c>
      <c r="T618" s="34">
        <v>1</v>
      </c>
      <c r="U618" s="34">
        <v>5400</v>
      </c>
      <c r="V618" s="35">
        <v>5</v>
      </c>
      <c r="W618" s="35">
        <v>56058</v>
      </c>
    </row>
    <row r="619" spans="1:23" x14ac:dyDescent="0.2">
      <c r="A619" s="30" t="s">
        <v>502</v>
      </c>
      <c r="B619" s="30" t="s">
        <v>1308</v>
      </c>
      <c r="C619" s="34">
        <v>218</v>
      </c>
      <c r="D619" s="35">
        <v>218</v>
      </c>
      <c r="E619" s="34">
        <f>IF(OR(D619="-",D619="",D619=0),IF(C619="-","-",C619),C619-D619)</f>
        <v>0</v>
      </c>
      <c r="F619" s="4">
        <f>IFERROR(IF(C619&gt;0, D619/C619, 0),"-")</f>
        <v>1</v>
      </c>
      <c r="G619" s="34" t="s">
        <v>959</v>
      </c>
      <c r="H619" s="35" t="s">
        <v>959</v>
      </c>
      <c r="I619" s="34" t="str">
        <f>IF(OR(H619="-",H619="",H619=0),IF(G619="-","-",G619),G619-H619)</f>
        <v>-</v>
      </c>
      <c r="J619" s="4" t="str">
        <f>IFERROR(IF(G619&gt;0, H619/G619, 0),"-")</f>
        <v>-</v>
      </c>
      <c r="K619" s="34">
        <v>2</v>
      </c>
      <c r="L619" s="35">
        <v>2</v>
      </c>
      <c r="M619" s="34">
        <f>IF(OR(L619="-",L619="",L619=0),IF(K619="-","-",K619),K619-L619)</f>
        <v>0</v>
      </c>
      <c r="N619" s="4">
        <f>IFERROR(IF(K619&gt;0, L619/K619, 0),"-")</f>
        <v>1</v>
      </c>
      <c r="O619" s="34">
        <v>2</v>
      </c>
      <c r="P619" s="35" t="s">
        <v>959</v>
      </c>
      <c r="Q619" s="34">
        <f>IF(OR(P619="-",P619="",P619=0),IF(O619="-","-",O619),O619-P619)</f>
        <v>2</v>
      </c>
      <c r="R619" s="4" t="str">
        <f>IFERROR(IF(O619&gt;0, P619/O619, 0),"-")</f>
        <v>-</v>
      </c>
      <c r="S619" s="34">
        <v>228</v>
      </c>
      <c r="T619" s="34">
        <v>2</v>
      </c>
      <c r="U619" s="34">
        <v>11390</v>
      </c>
      <c r="V619" s="35">
        <v>1</v>
      </c>
      <c r="W619" s="35">
        <v>45272</v>
      </c>
    </row>
    <row r="620" spans="1:23" x14ac:dyDescent="0.2">
      <c r="A620" s="30" t="s">
        <v>503</v>
      </c>
      <c r="B620" s="30" t="s">
        <v>1309</v>
      </c>
      <c r="C620" s="34">
        <v>247</v>
      </c>
      <c r="D620" s="35">
        <v>244</v>
      </c>
      <c r="E620" s="34">
        <f>IF(OR(D620="-",D620="",D620=0),IF(C620="-","-",C620),C620-D620)</f>
        <v>3</v>
      </c>
      <c r="F620" s="4">
        <f>IFERROR(IF(C620&gt;0, D620/C620, 0),"-")</f>
        <v>0.98785425101214575</v>
      </c>
      <c r="G620" s="34">
        <v>2</v>
      </c>
      <c r="H620" s="35">
        <v>1</v>
      </c>
      <c r="I620" s="34">
        <f>IF(OR(H620="-",H620="",H620=0),IF(G620="-","-",G620),G620-H620)</f>
        <v>1</v>
      </c>
      <c r="J620" s="4">
        <f>IFERROR(IF(G620&gt;0, H620/G620, 0),"-")</f>
        <v>0.5</v>
      </c>
      <c r="K620" s="34" t="s">
        <v>959</v>
      </c>
      <c r="L620" s="35" t="s">
        <v>959</v>
      </c>
      <c r="M620" s="34" t="str">
        <f>IF(OR(L620="-",L620="",L620=0),IF(K620="-","-",K620),K620-L620)</f>
        <v>-</v>
      </c>
      <c r="N620" s="4" t="str">
        <f>IFERROR(IF(K620&gt;0, L620/K620, 0),"-")</f>
        <v>-</v>
      </c>
      <c r="O620" s="34">
        <v>1</v>
      </c>
      <c r="P620" s="35" t="s">
        <v>959</v>
      </c>
      <c r="Q620" s="34">
        <f>IF(OR(P620="-",P620="",P620=0),IF(O620="-","-",O620),O620-P620)</f>
        <v>1</v>
      </c>
      <c r="R620" s="4" t="str">
        <f>IFERROR(IF(O620&gt;0, P620/O620, 0),"-")</f>
        <v>-</v>
      </c>
      <c r="S620" s="34">
        <v>223</v>
      </c>
      <c r="T620" s="34">
        <v>1</v>
      </c>
      <c r="U620" s="34">
        <v>2700</v>
      </c>
      <c r="V620" s="35" t="s">
        <v>959</v>
      </c>
      <c r="W620" s="35" t="s">
        <v>959</v>
      </c>
    </row>
    <row r="621" spans="1:23" x14ac:dyDescent="0.2">
      <c r="A621" s="29"/>
      <c r="B621" s="29" t="s">
        <v>102</v>
      </c>
      <c r="C621" s="32">
        <v>1015</v>
      </c>
      <c r="D621" s="32">
        <v>996</v>
      </c>
      <c r="E621" s="32">
        <f>IF(OR(D621="-",D621="",D621=0),IF(C621="-","-",C621),C621-D621)</f>
        <v>19</v>
      </c>
      <c r="F621" s="36">
        <f>IFERROR(IF(C621&gt;0, D621/C621, 0),"-")</f>
        <v>0.98128078817733988</v>
      </c>
      <c r="G621" s="32">
        <v>16</v>
      </c>
      <c r="H621" s="32">
        <v>7</v>
      </c>
      <c r="I621" s="32">
        <f>IF(OR(H621="-",H621="",H621=0),IF(G621="-","-",G621),G621-H621)</f>
        <v>9</v>
      </c>
      <c r="J621" s="36">
        <f>IFERROR(IF(G621&gt;0, H621/G621, 0),"-")</f>
        <v>0.4375</v>
      </c>
      <c r="K621" s="32">
        <v>7</v>
      </c>
      <c r="L621" s="32">
        <v>3</v>
      </c>
      <c r="M621" s="32">
        <f>IF(OR(L621="-",L621="",L621=0),IF(K621="-","-",K621),K621-L621)</f>
        <v>4</v>
      </c>
      <c r="N621" s="36">
        <f>IFERROR(IF(K621&gt;0, L621/K621, 0),"-")</f>
        <v>0.42857142857142855</v>
      </c>
      <c r="O621" s="32">
        <v>23</v>
      </c>
      <c r="P621" s="32">
        <v>1</v>
      </c>
      <c r="Q621" s="32">
        <f>IF(OR(P621="-",P621="",P621=0),IF(O621="-","-",O621),O621-P621)</f>
        <v>22</v>
      </c>
      <c r="R621" s="36">
        <f>IFERROR(IF(O621&gt;0, P621/O621, 0),"-")</f>
        <v>4.3478260869565216E-2</v>
      </c>
      <c r="S621" s="32">
        <v>1596</v>
      </c>
      <c r="T621" s="32">
        <v>9</v>
      </c>
      <c r="U621" s="32">
        <v>44955</v>
      </c>
      <c r="V621" s="32">
        <v>31</v>
      </c>
      <c r="W621" s="32">
        <v>823100</v>
      </c>
    </row>
    <row r="622" spans="1:23" x14ac:dyDescent="0.2">
      <c r="A622" s="30" t="s">
        <v>731</v>
      </c>
      <c r="B622" s="30" t="s">
        <v>1310</v>
      </c>
      <c r="C622" s="34">
        <v>229</v>
      </c>
      <c r="D622" s="35">
        <v>225</v>
      </c>
      <c r="E622" s="34">
        <f>IF(OR(D622="-",D622="",D622=0),IF(C622="-","-",C622),C622-D622)</f>
        <v>4</v>
      </c>
      <c r="F622" s="4">
        <f>IFERROR(IF(C622&gt;0, D622/C622, 0),"-")</f>
        <v>0.98253275109170302</v>
      </c>
      <c r="G622" s="34">
        <v>1</v>
      </c>
      <c r="H622" s="35" t="s">
        <v>959</v>
      </c>
      <c r="I622" s="34">
        <f>IF(OR(H622="-",H622="",H622=0),IF(G622="-","-",G622),G622-H622)</f>
        <v>1</v>
      </c>
      <c r="J622" s="4" t="str">
        <f>IFERROR(IF(G622&gt;0, H622/G622, 0),"-")</f>
        <v>-</v>
      </c>
      <c r="K622" s="34">
        <v>1</v>
      </c>
      <c r="L622" s="35" t="s">
        <v>959</v>
      </c>
      <c r="M622" s="34">
        <f>IF(OR(L622="-",L622="",L622=0),IF(K622="-","-",K622),K622-L622)</f>
        <v>1</v>
      </c>
      <c r="N622" s="4" t="str">
        <f>IFERROR(IF(K622&gt;0, L622/K622, 0),"-")</f>
        <v>-</v>
      </c>
      <c r="O622" s="34">
        <v>2</v>
      </c>
      <c r="P622" s="35" t="s">
        <v>959</v>
      </c>
      <c r="Q622" s="34">
        <f>IF(OR(P622="-",P622="",P622=0),IF(O622="-","-",O622),O622-P622)</f>
        <v>2</v>
      </c>
      <c r="R622" s="4" t="str">
        <f>IFERROR(IF(O622&gt;0, P622/O622, 0),"-")</f>
        <v>-</v>
      </c>
      <c r="S622" s="34">
        <v>175</v>
      </c>
      <c r="T622" s="34">
        <v>2</v>
      </c>
      <c r="U622" s="34">
        <v>24255</v>
      </c>
      <c r="V622" s="35">
        <v>3</v>
      </c>
      <c r="W622" s="35">
        <v>81490</v>
      </c>
    </row>
    <row r="623" spans="1:23" x14ac:dyDescent="0.2">
      <c r="A623" s="30" t="s">
        <v>729</v>
      </c>
      <c r="B623" s="30" t="s">
        <v>1311</v>
      </c>
      <c r="C623" s="34">
        <v>257</v>
      </c>
      <c r="D623" s="35">
        <v>251</v>
      </c>
      <c r="E623" s="34">
        <f>IF(OR(D623="-",D623="",D623=0),IF(C623="-","-",C623),C623-D623)</f>
        <v>6</v>
      </c>
      <c r="F623" s="4">
        <f>IFERROR(IF(C623&gt;0, D623/C623, 0),"-")</f>
        <v>0.97665369649805445</v>
      </c>
      <c r="G623" s="34" t="s">
        <v>959</v>
      </c>
      <c r="H623" s="35" t="s">
        <v>959</v>
      </c>
      <c r="I623" s="34" t="str">
        <f>IF(OR(H623="-",H623="",H623=0),IF(G623="-","-",G623),G623-H623)</f>
        <v>-</v>
      </c>
      <c r="J623" s="4" t="str">
        <f>IFERROR(IF(G623&gt;0, H623/G623, 0),"-")</f>
        <v>-</v>
      </c>
      <c r="K623" s="34" t="s">
        <v>959</v>
      </c>
      <c r="L623" s="35" t="s">
        <v>959</v>
      </c>
      <c r="M623" s="34" t="str">
        <f>IF(OR(L623="-",L623="",L623=0),IF(K623="-","-",K623),K623-L623)</f>
        <v>-</v>
      </c>
      <c r="N623" s="4" t="str">
        <f>IFERROR(IF(K623&gt;0, L623/K623, 0),"-")</f>
        <v>-</v>
      </c>
      <c r="O623" s="34">
        <v>5</v>
      </c>
      <c r="P623" s="35" t="s">
        <v>959</v>
      </c>
      <c r="Q623" s="34">
        <f>IF(OR(P623="-",P623="",P623=0),IF(O623="-","-",O623),O623-P623)</f>
        <v>5</v>
      </c>
      <c r="R623" s="4" t="str">
        <f>IFERROR(IF(O623&gt;0, P623/O623, 0),"-")</f>
        <v>-</v>
      </c>
      <c r="S623" s="34">
        <v>514</v>
      </c>
      <c r="T623" s="34">
        <v>4</v>
      </c>
      <c r="U623" s="34">
        <v>11400</v>
      </c>
      <c r="V623" s="35">
        <v>12</v>
      </c>
      <c r="W623" s="35">
        <v>389384</v>
      </c>
    </row>
    <row r="624" spans="1:23" x14ac:dyDescent="0.2">
      <c r="A624" s="30" t="s">
        <v>728</v>
      </c>
      <c r="B624" s="30" t="s">
        <v>1312</v>
      </c>
      <c r="C624" s="34">
        <v>200</v>
      </c>
      <c r="D624" s="35">
        <v>199</v>
      </c>
      <c r="E624" s="34">
        <f>IF(OR(D624="-",D624="",D624=0),IF(C624="-","-",C624),C624-D624)</f>
        <v>1</v>
      </c>
      <c r="F624" s="4">
        <f>IFERROR(IF(C624&gt;0, D624/C624, 0),"-")</f>
        <v>0.995</v>
      </c>
      <c r="G624" s="34">
        <v>4</v>
      </c>
      <c r="H624" s="35">
        <v>3</v>
      </c>
      <c r="I624" s="34">
        <f>IF(OR(H624="-",H624="",H624=0),IF(G624="-","-",G624),G624-H624)</f>
        <v>1</v>
      </c>
      <c r="J624" s="4">
        <f>IFERROR(IF(G624&gt;0, H624/G624, 0),"-")</f>
        <v>0.75</v>
      </c>
      <c r="K624" s="34">
        <v>1</v>
      </c>
      <c r="L624" s="35" t="s">
        <v>959</v>
      </c>
      <c r="M624" s="34">
        <f>IF(OR(L624="-",L624="",L624=0),IF(K624="-","-",K624),K624-L624)</f>
        <v>1</v>
      </c>
      <c r="N624" s="4" t="str">
        <f>IFERROR(IF(K624&gt;0, L624/K624, 0),"-")</f>
        <v>-</v>
      </c>
      <c r="O624" s="34">
        <v>3</v>
      </c>
      <c r="P624" s="35" t="s">
        <v>959</v>
      </c>
      <c r="Q624" s="34">
        <f>IF(OR(P624="-",P624="",P624=0),IF(O624="-","-",O624),O624-P624)</f>
        <v>3</v>
      </c>
      <c r="R624" s="4" t="str">
        <f>IFERROR(IF(O624&gt;0, P624/O624, 0),"-")</f>
        <v>-</v>
      </c>
      <c r="S624" s="34">
        <v>208</v>
      </c>
      <c r="T624" s="34">
        <v>2</v>
      </c>
      <c r="U624" s="34">
        <v>6600</v>
      </c>
      <c r="V624" s="35">
        <v>6</v>
      </c>
      <c r="W624" s="35">
        <v>130203</v>
      </c>
    </row>
    <row r="625" spans="1:23" x14ac:dyDescent="0.2">
      <c r="A625" s="30" t="s">
        <v>727</v>
      </c>
      <c r="B625" s="30" t="s">
        <v>1313</v>
      </c>
      <c r="C625" s="34">
        <v>140</v>
      </c>
      <c r="D625" s="35">
        <v>138</v>
      </c>
      <c r="E625" s="34">
        <f>IF(OR(D625="-",D625="",D625=0),IF(C625="-","-",C625),C625-D625)</f>
        <v>2</v>
      </c>
      <c r="F625" s="4">
        <f>IFERROR(IF(C625&gt;0, D625/C625, 0),"-")</f>
        <v>0.98571428571428577</v>
      </c>
      <c r="G625" s="34">
        <v>5</v>
      </c>
      <c r="H625" s="35">
        <v>1</v>
      </c>
      <c r="I625" s="34">
        <f>IF(OR(H625="-",H625="",H625=0),IF(G625="-","-",G625),G625-H625)</f>
        <v>4</v>
      </c>
      <c r="J625" s="4">
        <f>IFERROR(IF(G625&gt;0, H625/G625, 0),"-")</f>
        <v>0.2</v>
      </c>
      <c r="K625" s="34">
        <v>1</v>
      </c>
      <c r="L625" s="35">
        <v>1</v>
      </c>
      <c r="M625" s="34">
        <f>IF(OR(L625="-",L625="",L625=0),IF(K625="-","-",K625),K625-L625)</f>
        <v>0</v>
      </c>
      <c r="N625" s="4">
        <f>IFERROR(IF(K625&gt;0, L625/K625, 0),"-")</f>
        <v>1</v>
      </c>
      <c r="O625" s="34">
        <v>6</v>
      </c>
      <c r="P625" s="35" t="s">
        <v>959</v>
      </c>
      <c r="Q625" s="34">
        <f>IF(OR(P625="-",P625="",P625=0),IF(O625="-","-",O625),O625-P625)</f>
        <v>6</v>
      </c>
      <c r="R625" s="4" t="str">
        <f>IFERROR(IF(O625&gt;0, P625/O625, 0),"-")</f>
        <v>-</v>
      </c>
      <c r="S625" s="34">
        <v>447</v>
      </c>
      <c r="T625" s="34" t="s">
        <v>959</v>
      </c>
      <c r="U625" s="34" t="s">
        <v>959</v>
      </c>
      <c r="V625" s="35">
        <v>6</v>
      </c>
      <c r="W625" s="35">
        <v>108058</v>
      </c>
    </row>
    <row r="626" spans="1:23" x14ac:dyDescent="0.2">
      <c r="A626" s="30" t="s">
        <v>730</v>
      </c>
      <c r="B626" s="30" t="s">
        <v>1314</v>
      </c>
      <c r="C626" s="34">
        <v>189</v>
      </c>
      <c r="D626" s="35">
        <v>183</v>
      </c>
      <c r="E626" s="34">
        <f>IF(OR(D626="-",D626="",D626=0),IF(C626="-","-",C626),C626-D626)</f>
        <v>6</v>
      </c>
      <c r="F626" s="4">
        <f>IFERROR(IF(C626&gt;0, D626/C626, 0),"-")</f>
        <v>0.96825396825396826</v>
      </c>
      <c r="G626" s="34">
        <v>6</v>
      </c>
      <c r="H626" s="35">
        <v>3</v>
      </c>
      <c r="I626" s="34">
        <f>IF(OR(H626="-",H626="",H626=0),IF(G626="-","-",G626),G626-H626)</f>
        <v>3</v>
      </c>
      <c r="J626" s="4">
        <f>IFERROR(IF(G626&gt;0, H626/G626, 0),"-")</f>
        <v>0.5</v>
      </c>
      <c r="K626" s="34">
        <v>4</v>
      </c>
      <c r="L626" s="35">
        <v>2</v>
      </c>
      <c r="M626" s="34">
        <f>IF(OR(L626="-",L626="",L626=0),IF(K626="-","-",K626),K626-L626)</f>
        <v>2</v>
      </c>
      <c r="N626" s="4">
        <f>IFERROR(IF(K626&gt;0, L626/K626, 0),"-")</f>
        <v>0.5</v>
      </c>
      <c r="O626" s="34">
        <v>7</v>
      </c>
      <c r="P626" s="35">
        <v>1</v>
      </c>
      <c r="Q626" s="34">
        <f>IF(OR(P626="-",P626="",P626=0),IF(O626="-","-",O626),O626-P626)</f>
        <v>6</v>
      </c>
      <c r="R626" s="4">
        <f>IFERROR(IF(O626&gt;0, P626/O626, 0),"-")</f>
        <v>0.14285714285714285</v>
      </c>
      <c r="S626" s="34">
        <v>252</v>
      </c>
      <c r="T626" s="34">
        <v>1</v>
      </c>
      <c r="U626" s="34">
        <v>2700</v>
      </c>
      <c r="V626" s="35">
        <v>4</v>
      </c>
      <c r="W626" s="35">
        <v>113965</v>
      </c>
    </row>
    <row r="627" spans="1:23" x14ac:dyDescent="0.2">
      <c r="A627" s="29"/>
      <c r="B627" s="29" t="s">
        <v>33</v>
      </c>
      <c r="C627" s="32">
        <v>760</v>
      </c>
      <c r="D627" s="32">
        <v>745</v>
      </c>
      <c r="E627" s="32">
        <f>IF(OR(D627="-",D627="",D627=0),IF(C627="-","-",C627),C627-D627)</f>
        <v>15</v>
      </c>
      <c r="F627" s="36">
        <f>IFERROR(IF(C627&gt;0, D627/C627, 0),"-")</f>
        <v>0.98026315789473684</v>
      </c>
      <c r="G627" s="32">
        <v>8</v>
      </c>
      <c r="H627" s="32">
        <v>1</v>
      </c>
      <c r="I627" s="32">
        <f>IF(OR(H627="-",H627="",H627=0),IF(G627="-","-",G627),G627-H627)</f>
        <v>7</v>
      </c>
      <c r="J627" s="36">
        <f>IFERROR(IF(G627&gt;0, H627/G627, 0),"-")</f>
        <v>0.125</v>
      </c>
      <c r="K627" s="32">
        <v>4</v>
      </c>
      <c r="L627" s="32">
        <v>1</v>
      </c>
      <c r="M627" s="32">
        <f>IF(OR(L627="-",L627="",L627=0),IF(K627="-","-",K627),K627-L627)</f>
        <v>3</v>
      </c>
      <c r="N627" s="36">
        <f>IFERROR(IF(K627&gt;0, L627/K627, 0),"-")</f>
        <v>0.25</v>
      </c>
      <c r="O627" s="32">
        <v>7</v>
      </c>
      <c r="P627" s="32" t="s">
        <v>959</v>
      </c>
      <c r="Q627" s="32">
        <f>IF(OR(P627="-",P627="",P627=0),IF(O627="-","-",O627),O627-P627)</f>
        <v>7</v>
      </c>
      <c r="R627" s="36" t="str">
        <f>IFERROR(IF(O627&gt;0, P627/O627, 0),"-")</f>
        <v>-</v>
      </c>
      <c r="S627" s="32">
        <v>163</v>
      </c>
      <c r="T627" s="32">
        <v>7</v>
      </c>
      <c r="U627" s="32">
        <v>16104</v>
      </c>
      <c r="V627" s="32">
        <v>2</v>
      </c>
      <c r="W627" s="32">
        <v>82027</v>
      </c>
    </row>
    <row r="628" spans="1:23" x14ac:dyDescent="0.2">
      <c r="A628" s="30" t="s">
        <v>151</v>
      </c>
      <c r="B628" s="30" t="s">
        <v>1315</v>
      </c>
      <c r="C628" s="34">
        <v>213</v>
      </c>
      <c r="D628" s="35">
        <v>211</v>
      </c>
      <c r="E628" s="34">
        <f>IF(OR(D628="-",D628="",D628=0),IF(C628="-","-",C628),C628-D628)</f>
        <v>2</v>
      </c>
      <c r="F628" s="4">
        <f>IFERROR(IF(C628&gt;0, D628/C628, 0),"-")</f>
        <v>0.99061032863849763</v>
      </c>
      <c r="G628" s="34" t="s">
        <v>959</v>
      </c>
      <c r="H628" s="35" t="s">
        <v>959</v>
      </c>
      <c r="I628" s="34" t="str">
        <f>IF(OR(H628="-",H628="",H628=0),IF(G628="-","-",G628),G628-H628)</f>
        <v>-</v>
      </c>
      <c r="J628" s="4" t="str">
        <f>IFERROR(IF(G628&gt;0, H628/G628, 0),"-")</f>
        <v>-</v>
      </c>
      <c r="K628" s="34" t="s">
        <v>959</v>
      </c>
      <c r="L628" s="35" t="s">
        <v>959</v>
      </c>
      <c r="M628" s="34" t="str">
        <f>IF(OR(L628="-",L628="",L628=0),IF(K628="-","-",K628),K628-L628)</f>
        <v>-</v>
      </c>
      <c r="N628" s="4" t="str">
        <f>IFERROR(IF(K628&gt;0, L628/K628, 0),"-")</f>
        <v>-</v>
      </c>
      <c r="O628" s="34">
        <v>1</v>
      </c>
      <c r="P628" s="35" t="s">
        <v>959</v>
      </c>
      <c r="Q628" s="34">
        <f>IF(OR(P628="-",P628="",P628=0),IF(O628="-","-",O628),O628-P628)</f>
        <v>1</v>
      </c>
      <c r="R628" s="4" t="str">
        <f>IFERROR(IF(O628&gt;0, P628/O628, 0),"-")</f>
        <v>-</v>
      </c>
      <c r="S628" s="34">
        <v>37</v>
      </c>
      <c r="T628" s="34">
        <v>4</v>
      </c>
      <c r="U628" s="34">
        <v>9704</v>
      </c>
      <c r="V628" s="35" t="s">
        <v>959</v>
      </c>
      <c r="W628" s="35" t="s">
        <v>959</v>
      </c>
    </row>
    <row r="629" spans="1:23" x14ac:dyDescent="0.2">
      <c r="A629" s="30" t="s">
        <v>152</v>
      </c>
      <c r="B629" s="30" t="s">
        <v>1316</v>
      </c>
      <c r="C629" s="34">
        <v>194</v>
      </c>
      <c r="D629" s="35">
        <v>189</v>
      </c>
      <c r="E629" s="34">
        <f>IF(OR(D629="-",D629="",D629=0),IF(C629="-","-",C629),C629-D629)</f>
        <v>5</v>
      </c>
      <c r="F629" s="4">
        <f>IFERROR(IF(C629&gt;0, D629/C629, 0),"-")</f>
        <v>0.97422680412371132</v>
      </c>
      <c r="G629" s="34">
        <v>5</v>
      </c>
      <c r="H629" s="35">
        <v>1</v>
      </c>
      <c r="I629" s="34">
        <f>IF(OR(H629="-",H629="",H629=0),IF(G629="-","-",G629),G629-H629)</f>
        <v>4</v>
      </c>
      <c r="J629" s="4">
        <f>IFERROR(IF(G629&gt;0, H629/G629, 0),"-")</f>
        <v>0.2</v>
      </c>
      <c r="K629" s="34">
        <v>1</v>
      </c>
      <c r="L629" s="35" t="s">
        <v>959</v>
      </c>
      <c r="M629" s="34">
        <f>IF(OR(L629="-",L629="",L629=0),IF(K629="-","-",K629),K629-L629)</f>
        <v>1</v>
      </c>
      <c r="N629" s="4" t="str">
        <f>IFERROR(IF(K629&gt;0, L629/K629, 0),"-")</f>
        <v>-</v>
      </c>
      <c r="O629" s="34">
        <v>4</v>
      </c>
      <c r="P629" s="35" t="s">
        <v>959</v>
      </c>
      <c r="Q629" s="34">
        <f>IF(OR(P629="-",P629="",P629=0),IF(O629="-","-",O629),O629-P629)</f>
        <v>4</v>
      </c>
      <c r="R629" s="4" t="str">
        <f>IFERROR(IF(O629&gt;0, P629/O629, 0),"-")</f>
        <v>-</v>
      </c>
      <c r="S629" s="34">
        <v>75</v>
      </c>
      <c r="T629" s="34">
        <v>1</v>
      </c>
      <c r="U629" s="34">
        <v>2500</v>
      </c>
      <c r="V629" s="35" t="s">
        <v>959</v>
      </c>
      <c r="W629" s="35" t="s">
        <v>959</v>
      </c>
    </row>
    <row r="630" spans="1:23" x14ac:dyDescent="0.2">
      <c r="A630" s="30" t="s">
        <v>154</v>
      </c>
      <c r="B630" s="30" t="s">
        <v>1317</v>
      </c>
      <c r="C630" s="34">
        <v>141</v>
      </c>
      <c r="D630" s="35">
        <v>139</v>
      </c>
      <c r="E630" s="34">
        <f>IF(OR(D630="-",D630="",D630=0),IF(C630="-","-",C630),C630-D630)</f>
        <v>2</v>
      </c>
      <c r="F630" s="4">
        <f>IFERROR(IF(C630&gt;0, D630/C630, 0),"-")</f>
        <v>0.98581560283687941</v>
      </c>
      <c r="G630" s="34">
        <v>1</v>
      </c>
      <c r="H630" s="35" t="s">
        <v>959</v>
      </c>
      <c r="I630" s="34">
        <f>IF(OR(H630="-",H630="",H630=0),IF(G630="-","-",G630),G630-H630)</f>
        <v>1</v>
      </c>
      <c r="J630" s="4" t="str">
        <f>IFERROR(IF(G630&gt;0, H630/G630, 0),"-")</f>
        <v>-</v>
      </c>
      <c r="K630" s="34">
        <v>1</v>
      </c>
      <c r="L630" s="35" t="s">
        <v>959</v>
      </c>
      <c r="M630" s="34">
        <f>IF(OR(L630="-",L630="",L630=0),IF(K630="-","-",K630),K630-L630)</f>
        <v>1</v>
      </c>
      <c r="N630" s="4" t="str">
        <f>IFERROR(IF(K630&gt;0, L630/K630, 0),"-")</f>
        <v>-</v>
      </c>
      <c r="O630" s="34" t="s">
        <v>959</v>
      </c>
      <c r="P630" s="35" t="s">
        <v>959</v>
      </c>
      <c r="Q630" s="34" t="str">
        <f>IF(OR(P630="-",P630="",P630=0),IF(O630="-","-",O630),O630-P630)</f>
        <v>-</v>
      </c>
      <c r="R630" s="4" t="str">
        <f>IFERROR(IF(O630&gt;0, P630/O630, 0),"-")</f>
        <v>-</v>
      </c>
      <c r="S630" s="34">
        <v>16</v>
      </c>
      <c r="T630" s="34">
        <v>1</v>
      </c>
      <c r="U630" s="34">
        <v>3200</v>
      </c>
      <c r="V630" s="35" t="s">
        <v>959</v>
      </c>
      <c r="W630" s="35" t="s">
        <v>959</v>
      </c>
    </row>
    <row r="631" spans="1:23" x14ac:dyDescent="0.2">
      <c r="A631" s="30" t="s">
        <v>153</v>
      </c>
      <c r="B631" s="30" t="s">
        <v>1318</v>
      </c>
      <c r="C631" s="34">
        <v>212</v>
      </c>
      <c r="D631" s="35">
        <v>206</v>
      </c>
      <c r="E631" s="34">
        <f>IF(OR(D631="-",D631="",D631=0),IF(C631="-","-",C631),C631-D631)</f>
        <v>6</v>
      </c>
      <c r="F631" s="4">
        <f>IFERROR(IF(C631&gt;0, D631/C631, 0),"-")</f>
        <v>0.97169811320754718</v>
      </c>
      <c r="G631" s="34">
        <v>2</v>
      </c>
      <c r="H631" s="35" t="s">
        <v>959</v>
      </c>
      <c r="I631" s="34">
        <f>IF(OR(H631="-",H631="",H631=0),IF(G631="-","-",G631),G631-H631)</f>
        <v>2</v>
      </c>
      <c r="J631" s="4" t="str">
        <f>IFERROR(IF(G631&gt;0, H631/G631, 0),"-")</f>
        <v>-</v>
      </c>
      <c r="K631" s="34">
        <v>2</v>
      </c>
      <c r="L631" s="35">
        <v>1</v>
      </c>
      <c r="M631" s="34">
        <f>IF(OR(L631="-",L631="",L631=0),IF(K631="-","-",K631),K631-L631)</f>
        <v>1</v>
      </c>
      <c r="N631" s="4">
        <f>IFERROR(IF(K631&gt;0, L631/K631, 0),"-")</f>
        <v>0.5</v>
      </c>
      <c r="O631" s="34">
        <v>2</v>
      </c>
      <c r="P631" s="35" t="s">
        <v>959</v>
      </c>
      <c r="Q631" s="34">
        <f>IF(OR(P631="-",P631="",P631=0),IF(O631="-","-",O631),O631-P631)</f>
        <v>2</v>
      </c>
      <c r="R631" s="4" t="str">
        <f>IFERROR(IF(O631&gt;0, P631/O631, 0),"-")</f>
        <v>-</v>
      </c>
      <c r="S631" s="34">
        <v>35</v>
      </c>
      <c r="T631" s="34">
        <v>1</v>
      </c>
      <c r="U631" s="34">
        <v>700</v>
      </c>
      <c r="V631" s="35">
        <v>2</v>
      </c>
      <c r="W631" s="35">
        <v>82027</v>
      </c>
    </row>
    <row r="632" spans="1:23" x14ac:dyDescent="0.2">
      <c r="A632" s="29"/>
      <c r="B632" s="29" t="s">
        <v>67</v>
      </c>
      <c r="C632" s="32">
        <v>1045</v>
      </c>
      <c r="D632" s="32">
        <v>995</v>
      </c>
      <c r="E632" s="32">
        <f>IF(OR(D632="-",D632="",D632=0),IF(C632="-","-",C632),C632-D632)</f>
        <v>50</v>
      </c>
      <c r="F632" s="36">
        <f>IFERROR(IF(C632&gt;0, D632/C632, 0),"-")</f>
        <v>0.95215311004784686</v>
      </c>
      <c r="G632" s="32">
        <v>14</v>
      </c>
      <c r="H632" s="32">
        <v>2</v>
      </c>
      <c r="I632" s="32">
        <f>IF(OR(H632="-",H632="",H632=0),IF(G632="-","-",G632),G632-H632)</f>
        <v>12</v>
      </c>
      <c r="J632" s="36">
        <f>IFERROR(IF(G632&gt;0, H632/G632, 0),"-")</f>
        <v>0.14285714285714285</v>
      </c>
      <c r="K632" s="32">
        <v>2</v>
      </c>
      <c r="L632" s="32" t="s">
        <v>959</v>
      </c>
      <c r="M632" s="32">
        <f>IF(OR(L632="-",L632="",L632=0),IF(K632="-","-",K632),K632-L632)</f>
        <v>2</v>
      </c>
      <c r="N632" s="36" t="str">
        <f>IFERROR(IF(K632&gt;0, L632/K632, 0),"-")</f>
        <v>-</v>
      </c>
      <c r="O632" s="32">
        <v>6</v>
      </c>
      <c r="P632" s="32" t="s">
        <v>959</v>
      </c>
      <c r="Q632" s="32">
        <f>IF(OR(P632="-",P632="",P632=0),IF(O632="-","-",O632),O632-P632)</f>
        <v>6</v>
      </c>
      <c r="R632" s="36" t="str">
        <f>IFERROR(IF(O632&gt;0, P632/O632, 0),"-")</f>
        <v>-</v>
      </c>
      <c r="S632" s="32">
        <v>964</v>
      </c>
      <c r="T632" s="32">
        <v>16</v>
      </c>
      <c r="U632" s="32">
        <v>15845</v>
      </c>
      <c r="V632" s="32">
        <v>2</v>
      </c>
      <c r="W632" s="32">
        <v>49634</v>
      </c>
    </row>
    <row r="633" spans="1:23" x14ac:dyDescent="0.2">
      <c r="A633" s="30" t="s">
        <v>446</v>
      </c>
      <c r="B633" s="30" t="s">
        <v>1319</v>
      </c>
      <c r="C633" s="34">
        <v>134</v>
      </c>
      <c r="D633" s="35">
        <v>121</v>
      </c>
      <c r="E633" s="34">
        <f>IF(OR(D633="-",D633="",D633=0),IF(C633="-","-",C633),C633-D633)</f>
        <v>13</v>
      </c>
      <c r="F633" s="4">
        <f>IFERROR(IF(C633&gt;0, D633/C633, 0),"-")</f>
        <v>0.90298507462686572</v>
      </c>
      <c r="G633" s="34">
        <v>2</v>
      </c>
      <c r="H633" s="35" t="s">
        <v>959</v>
      </c>
      <c r="I633" s="34">
        <f>IF(OR(H633="-",H633="",H633=0),IF(G633="-","-",G633),G633-H633)</f>
        <v>2</v>
      </c>
      <c r="J633" s="4" t="str">
        <f>IFERROR(IF(G633&gt;0, H633/G633, 0),"-")</f>
        <v>-</v>
      </c>
      <c r="K633" s="34" t="s">
        <v>959</v>
      </c>
      <c r="L633" s="35" t="s">
        <v>959</v>
      </c>
      <c r="M633" s="34" t="str">
        <f>IF(OR(L633="-",L633="",L633=0),IF(K633="-","-",K633),K633-L633)</f>
        <v>-</v>
      </c>
      <c r="N633" s="4" t="str">
        <f>IFERROR(IF(K633&gt;0, L633/K633, 0),"-")</f>
        <v>-</v>
      </c>
      <c r="O633" s="34">
        <v>1</v>
      </c>
      <c r="P633" s="35" t="s">
        <v>959</v>
      </c>
      <c r="Q633" s="34">
        <f>IF(OR(P633="-",P633="",P633=0),IF(O633="-","-",O633),O633-P633)</f>
        <v>1</v>
      </c>
      <c r="R633" s="4" t="str">
        <f>IFERROR(IF(O633&gt;0, P633/O633, 0),"-")</f>
        <v>-</v>
      </c>
      <c r="S633" s="34">
        <v>18</v>
      </c>
      <c r="T633" s="34" t="s">
        <v>959</v>
      </c>
      <c r="U633" s="34" t="s">
        <v>959</v>
      </c>
      <c r="V633" s="35" t="s">
        <v>959</v>
      </c>
      <c r="W633" s="35" t="s">
        <v>959</v>
      </c>
    </row>
    <row r="634" spans="1:23" x14ac:dyDescent="0.2">
      <c r="A634" s="30" t="s">
        <v>444</v>
      </c>
      <c r="B634" s="30" t="s">
        <v>1320</v>
      </c>
      <c r="C634" s="34">
        <v>98</v>
      </c>
      <c r="D634" s="35">
        <v>92</v>
      </c>
      <c r="E634" s="34">
        <f>IF(OR(D634="-",D634="",D634=0),IF(C634="-","-",C634),C634-D634)</f>
        <v>6</v>
      </c>
      <c r="F634" s="4">
        <f>IFERROR(IF(C634&gt;0, D634/C634, 0),"-")</f>
        <v>0.93877551020408168</v>
      </c>
      <c r="G634" s="34">
        <v>3</v>
      </c>
      <c r="H634" s="35">
        <v>1</v>
      </c>
      <c r="I634" s="34">
        <f>IF(OR(H634="-",H634="",H634=0),IF(G634="-","-",G634),G634-H634)</f>
        <v>2</v>
      </c>
      <c r="J634" s="4">
        <f>IFERROR(IF(G634&gt;0, H634/G634, 0),"-")</f>
        <v>0.33333333333333331</v>
      </c>
      <c r="K634" s="34" t="s">
        <v>959</v>
      </c>
      <c r="L634" s="35" t="s">
        <v>959</v>
      </c>
      <c r="M634" s="34" t="str">
        <f>IF(OR(L634="-",L634="",L634=0),IF(K634="-","-",K634),K634-L634)</f>
        <v>-</v>
      </c>
      <c r="N634" s="4" t="str">
        <f>IFERROR(IF(K634&gt;0, L634/K634, 0),"-")</f>
        <v>-</v>
      </c>
      <c r="O634" s="34">
        <v>1</v>
      </c>
      <c r="P634" s="35" t="s">
        <v>959</v>
      </c>
      <c r="Q634" s="34">
        <f>IF(OR(P634="-",P634="",P634=0),IF(O634="-","-",O634),O634-P634)</f>
        <v>1</v>
      </c>
      <c r="R634" s="4" t="str">
        <f>IFERROR(IF(O634&gt;0, P634/O634, 0),"-")</f>
        <v>-</v>
      </c>
      <c r="S634" s="34">
        <v>139</v>
      </c>
      <c r="T634" s="34">
        <v>6</v>
      </c>
      <c r="U634" s="34">
        <v>4500</v>
      </c>
      <c r="V634" s="35" t="s">
        <v>959</v>
      </c>
      <c r="W634" s="35" t="s">
        <v>959</v>
      </c>
    </row>
    <row r="635" spans="1:23" x14ac:dyDescent="0.2">
      <c r="A635" s="30" t="s">
        <v>443</v>
      </c>
      <c r="B635" s="30" t="s">
        <v>1321</v>
      </c>
      <c r="C635" s="34">
        <v>188</v>
      </c>
      <c r="D635" s="35">
        <v>182</v>
      </c>
      <c r="E635" s="34">
        <f>IF(OR(D635="-",D635="",D635=0),IF(C635="-","-",C635),C635-D635)</f>
        <v>6</v>
      </c>
      <c r="F635" s="4">
        <f>IFERROR(IF(C635&gt;0, D635/C635, 0),"-")</f>
        <v>0.96808510638297873</v>
      </c>
      <c r="G635" s="34">
        <v>1</v>
      </c>
      <c r="H635" s="35" t="s">
        <v>959</v>
      </c>
      <c r="I635" s="34">
        <f>IF(OR(H635="-",H635="",H635=0),IF(G635="-","-",G635),G635-H635)</f>
        <v>1</v>
      </c>
      <c r="J635" s="4" t="str">
        <f>IFERROR(IF(G635&gt;0, H635/G635, 0),"-")</f>
        <v>-</v>
      </c>
      <c r="K635" s="34" t="s">
        <v>959</v>
      </c>
      <c r="L635" s="35" t="s">
        <v>959</v>
      </c>
      <c r="M635" s="34" t="str">
        <f>IF(OR(L635="-",L635="",L635=0),IF(K635="-","-",K635),K635-L635)</f>
        <v>-</v>
      </c>
      <c r="N635" s="4" t="str">
        <f>IFERROR(IF(K635&gt;0, L635/K635, 0),"-")</f>
        <v>-</v>
      </c>
      <c r="O635" s="34" t="s">
        <v>959</v>
      </c>
      <c r="P635" s="35" t="s">
        <v>959</v>
      </c>
      <c r="Q635" s="34" t="str">
        <f>IF(OR(P635="-",P635="",P635=0),IF(O635="-","-",O635),O635-P635)</f>
        <v>-</v>
      </c>
      <c r="R635" s="4" t="str">
        <f>IFERROR(IF(O635&gt;0, P635/O635, 0),"-")</f>
        <v>-</v>
      </c>
      <c r="S635" s="34">
        <v>37</v>
      </c>
      <c r="T635" s="34" t="s">
        <v>959</v>
      </c>
      <c r="U635" s="34" t="s">
        <v>959</v>
      </c>
      <c r="V635" s="35" t="s">
        <v>959</v>
      </c>
      <c r="W635" s="35" t="s">
        <v>959</v>
      </c>
    </row>
    <row r="636" spans="1:23" x14ac:dyDescent="0.2">
      <c r="A636" s="30" t="s">
        <v>440</v>
      </c>
      <c r="B636" s="30" t="s">
        <v>1322</v>
      </c>
      <c r="C636" s="34">
        <v>151</v>
      </c>
      <c r="D636" s="35">
        <v>142</v>
      </c>
      <c r="E636" s="34">
        <f>IF(OR(D636="-",D636="",D636=0),IF(C636="-","-",C636),C636-D636)</f>
        <v>9</v>
      </c>
      <c r="F636" s="4">
        <f>IFERROR(IF(C636&gt;0, D636/C636, 0),"-")</f>
        <v>0.94039735099337751</v>
      </c>
      <c r="G636" s="34">
        <v>3</v>
      </c>
      <c r="H636" s="35" t="s">
        <v>959</v>
      </c>
      <c r="I636" s="34">
        <f>IF(OR(H636="-",H636="",H636=0),IF(G636="-","-",G636),G636-H636)</f>
        <v>3</v>
      </c>
      <c r="J636" s="4" t="str">
        <f>IFERROR(IF(G636&gt;0, H636/G636, 0),"-")</f>
        <v>-</v>
      </c>
      <c r="K636" s="34" t="s">
        <v>959</v>
      </c>
      <c r="L636" s="35" t="s">
        <v>959</v>
      </c>
      <c r="M636" s="34" t="str">
        <f>IF(OR(L636="-",L636="",L636=0),IF(K636="-","-",K636),K636-L636)</f>
        <v>-</v>
      </c>
      <c r="N636" s="4" t="str">
        <f>IFERROR(IF(K636&gt;0, L636/K636, 0),"-")</f>
        <v>-</v>
      </c>
      <c r="O636" s="34">
        <v>1</v>
      </c>
      <c r="P636" s="35" t="s">
        <v>959</v>
      </c>
      <c r="Q636" s="34">
        <f>IF(OR(P636="-",P636="",P636=0),IF(O636="-","-",O636),O636-P636)</f>
        <v>1</v>
      </c>
      <c r="R636" s="4" t="str">
        <f>IFERROR(IF(O636&gt;0, P636/O636, 0),"-")</f>
        <v>-</v>
      </c>
      <c r="S636" s="34">
        <v>106</v>
      </c>
      <c r="T636" s="34">
        <v>1</v>
      </c>
      <c r="U636" s="34">
        <v>4045</v>
      </c>
      <c r="V636" s="35">
        <v>1</v>
      </c>
      <c r="W636" s="35">
        <v>16689</v>
      </c>
    </row>
    <row r="637" spans="1:23" x14ac:dyDescent="0.2">
      <c r="A637" s="30" t="s">
        <v>441</v>
      </c>
      <c r="B637" s="30" t="s">
        <v>1323</v>
      </c>
      <c r="C637" s="34">
        <v>178</v>
      </c>
      <c r="D637" s="35">
        <v>175</v>
      </c>
      <c r="E637" s="34">
        <f>IF(OR(D637="-",D637="",D637=0),IF(C637="-","-",C637),C637-D637)</f>
        <v>3</v>
      </c>
      <c r="F637" s="4">
        <f>IFERROR(IF(C637&gt;0, D637/C637, 0),"-")</f>
        <v>0.9831460674157303</v>
      </c>
      <c r="G637" s="34">
        <v>2</v>
      </c>
      <c r="H637" s="35">
        <v>1</v>
      </c>
      <c r="I637" s="34">
        <f>IF(OR(H637="-",H637="",H637=0),IF(G637="-","-",G637),G637-H637)</f>
        <v>1</v>
      </c>
      <c r="J637" s="4">
        <f>IFERROR(IF(G637&gt;0, H637/G637, 0),"-")</f>
        <v>0.5</v>
      </c>
      <c r="K637" s="34">
        <v>1</v>
      </c>
      <c r="L637" s="35" t="s">
        <v>959</v>
      </c>
      <c r="M637" s="34">
        <f>IF(OR(L637="-",L637="",L637=0),IF(K637="-","-",K637),K637-L637)</f>
        <v>1</v>
      </c>
      <c r="N637" s="4" t="str">
        <f>IFERROR(IF(K637&gt;0, L637/K637, 0),"-")</f>
        <v>-</v>
      </c>
      <c r="O637" s="34" t="s">
        <v>959</v>
      </c>
      <c r="P637" s="35" t="s">
        <v>959</v>
      </c>
      <c r="Q637" s="34" t="str">
        <f>IF(OR(P637="-",P637="",P637=0),IF(O637="-","-",O637),O637-P637)</f>
        <v>-</v>
      </c>
      <c r="R637" s="4" t="str">
        <f>IFERROR(IF(O637&gt;0, P637/O637, 0),"-")</f>
        <v>-</v>
      </c>
      <c r="S637" s="34">
        <v>219</v>
      </c>
      <c r="T637" s="34">
        <v>7</v>
      </c>
      <c r="U637" s="34">
        <v>4800</v>
      </c>
      <c r="V637" s="35">
        <v>1</v>
      </c>
      <c r="W637" s="35">
        <v>32945</v>
      </c>
    </row>
    <row r="638" spans="1:23" x14ac:dyDescent="0.2">
      <c r="A638" s="30" t="s">
        <v>442</v>
      </c>
      <c r="B638" s="30" t="s">
        <v>1324</v>
      </c>
      <c r="C638" s="34">
        <v>179</v>
      </c>
      <c r="D638" s="35">
        <v>173</v>
      </c>
      <c r="E638" s="34">
        <f>IF(OR(D638="-",D638="",D638=0),IF(C638="-","-",C638),C638-D638)</f>
        <v>6</v>
      </c>
      <c r="F638" s="4">
        <f>IFERROR(IF(C638&gt;0, D638/C638, 0),"-")</f>
        <v>0.96648044692737434</v>
      </c>
      <c r="G638" s="34">
        <v>1</v>
      </c>
      <c r="H638" s="35" t="s">
        <v>959</v>
      </c>
      <c r="I638" s="34">
        <f>IF(OR(H638="-",H638="",H638=0),IF(G638="-","-",G638),G638-H638)</f>
        <v>1</v>
      </c>
      <c r="J638" s="4" t="str">
        <f>IFERROR(IF(G638&gt;0, H638/G638, 0),"-")</f>
        <v>-</v>
      </c>
      <c r="K638" s="34" t="s">
        <v>959</v>
      </c>
      <c r="L638" s="35" t="s">
        <v>959</v>
      </c>
      <c r="M638" s="34" t="str">
        <f>IF(OR(L638="-",L638="",L638=0),IF(K638="-","-",K638),K638-L638)</f>
        <v>-</v>
      </c>
      <c r="N638" s="4" t="str">
        <f>IFERROR(IF(K638&gt;0, L638/K638, 0),"-")</f>
        <v>-</v>
      </c>
      <c r="O638" s="34">
        <v>2</v>
      </c>
      <c r="P638" s="35" t="s">
        <v>959</v>
      </c>
      <c r="Q638" s="34">
        <f>IF(OR(P638="-",P638="",P638=0),IF(O638="-","-",O638),O638-P638)</f>
        <v>2</v>
      </c>
      <c r="R638" s="4" t="str">
        <f>IFERROR(IF(O638&gt;0, P638/O638, 0),"-")</f>
        <v>-</v>
      </c>
      <c r="S638" s="34">
        <v>181</v>
      </c>
      <c r="T638" s="34">
        <v>1</v>
      </c>
      <c r="U638" s="34">
        <v>500</v>
      </c>
      <c r="V638" s="35" t="s">
        <v>959</v>
      </c>
      <c r="W638" s="35" t="s">
        <v>959</v>
      </c>
    </row>
    <row r="639" spans="1:23" x14ac:dyDescent="0.2">
      <c r="A639" s="30" t="s">
        <v>445</v>
      </c>
      <c r="B639" s="30" t="s">
        <v>1325</v>
      </c>
      <c r="C639" s="34">
        <v>117</v>
      </c>
      <c r="D639" s="35">
        <v>110</v>
      </c>
      <c r="E639" s="34">
        <f>IF(OR(D639="-",D639="",D639=0),IF(C639="-","-",C639),C639-D639)</f>
        <v>7</v>
      </c>
      <c r="F639" s="4">
        <f>IFERROR(IF(C639&gt;0, D639/C639, 0),"-")</f>
        <v>0.94017094017094016</v>
      </c>
      <c r="G639" s="34">
        <v>2</v>
      </c>
      <c r="H639" s="35" t="s">
        <v>959</v>
      </c>
      <c r="I639" s="34">
        <f>IF(OR(H639="-",H639="",H639=0),IF(G639="-","-",G639),G639-H639)</f>
        <v>2</v>
      </c>
      <c r="J639" s="4" t="str">
        <f>IFERROR(IF(G639&gt;0, H639/G639, 0),"-")</f>
        <v>-</v>
      </c>
      <c r="K639" s="34">
        <v>1</v>
      </c>
      <c r="L639" s="35" t="s">
        <v>959</v>
      </c>
      <c r="M639" s="34">
        <f>IF(OR(L639="-",L639="",L639=0),IF(K639="-","-",K639),K639-L639)</f>
        <v>1</v>
      </c>
      <c r="N639" s="4" t="str">
        <f>IFERROR(IF(K639&gt;0, L639/K639, 0),"-")</f>
        <v>-</v>
      </c>
      <c r="O639" s="34">
        <v>1</v>
      </c>
      <c r="P639" s="35" t="s">
        <v>959</v>
      </c>
      <c r="Q639" s="34">
        <f>IF(OR(P639="-",P639="",P639=0),IF(O639="-","-",O639),O639-P639)</f>
        <v>1</v>
      </c>
      <c r="R639" s="4" t="str">
        <f>IFERROR(IF(O639&gt;0, P639/O639, 0),"-")</f>
        <v>-</v>
      </c>
      <c r="S639" s="34">
        <v>264</v>
      </c>
      <c r="T639" s="34">
        <v>1</v>
      </c>
      <c r="U639" s="34">
        <v>2000</v>
      </c>
      <c r="V639" s="35" t="s">
        <v>959</v>
      </c>
      <c r="W639" s="35" t="s">
        <v>959</v>
      </c>
    </row>
    <row r="640" spans="1:23" x14ac:dyDescent="0.2">
      <c r="A640" s="29"/>
      <c r="B640" s="29" t="s">
        <v>135</v>
      </c>
      <c r="C640" s="32">
        <v>1224</v>
      </c>
      <c r="D640" s="32">
        <v>1183</v>
      </c>
      <c r="E640" s="32">
        <f>IF(OR(D640="-",D640="",D640=0),IF(C640="-","-",C640),C640-D640)</f>
        <v>41</v>
      </c>
      <c r="F640" s="36">
        <f>IFERROR(IF(C640&gt;0, D640/C640, 0),"-")</f>
        <v>0.96650326797385622</v>
      </c>
      <c r="G640" s="32">
        <v>20</v>
      </c>
      <c r="H640" s="32">
        <v>9</v>
      </c>
      <c r="I640" s="32">
        <f>IF(OR(H640="-",H640="",H640=0),IF(G640="-","-",G640),G640-H640)</f>
        <v>11</v>
      </c>
      <c r="J640" s="36">
        <f>IFERROR(IF(G640&gt;0, H640/G640, 0),"-")</f>
        <v>0.45</v>
      </c>
      <c r="K640" s="32">
        <v>7</v>
      </c>
      <c r="L640" s="32">
        <v>3</v>
      </c>
      <c r="M640" s="32">
        <f>IF(OR(L640="-",L640="",L640=0),IF(K640="-","-",K640),K640-L640)</f>
        <v>4</v>
      </c>
      <c r="N640" s="36">
        <f>IFERROR(IF(K640&gt;0, L640/K640, 0),"-")</f>
        <v>0.42857142857142855</v>
      </c>
      <c r="O640" s="32">
        <v>9</v>
      </c>
      <c r="P640" s="32">
        <v>1</v>
      </c>
      <c r="Q640" s="32">
        <f>IF(OR(P640="-",P640="",P640=0),IF(O640="-","-",O640),O640-P640)</f>
        <v>8</v>
      </c>
      <c r="R640" s="36">
        <f>IFERROR(IF(O640&gt;0, P640/O640, 0),"-")</f>
        <v>0.1111111111111111</v>
      </c>
      <c r="S640" s="32">
        <v>1690</v>
      </c>
      <c r="T640" s="32">
        <v>35</v>
      </c>
      <c r="U640" s="32">
        <v>322000</v>
      </c>
      <c r="V640" s="32">
        <v>31</v>
      </c>
      <c r="W640" s="32">
        <v>675255</v>
      </c>
    </row>
    <row r="641" spans="1:23" x14ac:dyDescent="0.2">
      <c r="A641" s="30" t="s">
        <v>947</v>
      </c>
      <c r="B641" s="30" t="s">
        <v>1326</v>
      </c>
      <c r="C641" s="34">
        <v>205</v>
      </c>
      <c r="D641" s="35">
        <v>194</v>
      </c>
      <c r="E641" s="34">
        <f>IF(OR(D641="-",D641="",D641=0),IF(C641="-","-",C641),C641-D641)</f>
        <v>11</v>
      </c>
      <c r="F641" s="4">
        <f>IFERROR(IF(C641&gt;0, D641/C641, 0),"-")</f>
        <v>0.9463414634146341</v>
      </c>
      <c r="G641" s="34">
        <v>7</v>
      </c>
      <c r="H641" s="35">
        <v>2</v>
      </c>
      <c r="I641" s="34">
        <f>IF(OR(H641="-",H641="",H641=0),IF(G641="-","-",G641),G641-H641)</f>
        <v>5</v>
      </c>
      <c r="J641" s="4">
        <f>IFERROR(IF(G641&gt;0, H641/G641, 0),"-")</f>
        <v>0.2857142857142857</v>
      </c>
      <c r="K641" s="34">
        <v>3</v>
      </c>
      <c r="L641" s="35">
        <v>2</v>
      </c>
      <c r="M641" s="34">
        <f>IF(OR(L641="-",L641="",L641=0),IF(K641="-","-",K641),K641-L641)</f>
        <v>1</v>
      </c>
      <c r="N641" s="4">
        <f>IFERROR(IF(K641&gt;0, L641/K641, 0),"-")</f>
        <v>0.66666666666666663</v>
      </c>
      <c r="O641" s="34">
        <v>3</v>
      </c>
      <c r="P641" s="35" t="s">
        <v>959</v>
      </c>
      <c r="Q641" s="34">
        <f>IF(OR(P641="-",P641="",P641=0),IF(O641="-","-",O641),O641-P641)</f>
        <v>3</v>
      </c>
      <c r="R641" s="4" t="str">
        <f>IFERROR(IF(O641&gt;0, P641/O641, 0),"-")</f>
        <v>-</v>
      </c>
      <c r="S641" s="34">
        <v>295</v>
      </c>
      <c r="T641" s="34">
        <v>6</v>
      </c>
      <c r="U641" s="34">
        <v>107400</v>
      </c>
      <c r="V641" s="35">
        <v>4</v>
      </c>
      <c r="W641" s="35">
        <v>59711</v>
      </c>
    </row>
    <row r="642" spans="1:23" x14ac:dyDescent="0.2">
      <c r="A642" s="30" t="s">
        <v>948</v>
      </c>
      <c r="B642" s="30" t="s">
        <v>1327</v>
      </c>
      <c r="C642" s="34">
        <v>160</v>
      </c>
      <c r="D642" s="35">
        <v>155</v>
      </c>
      <c r="E642" s="34">
        <f>IF(OR(D642="-",D642="",D642=0),IF(C642="-","-",C642),C642-D642)</f>
        <v>5</v>
      </c>
      <c r="F642" s="4">
        <f>IFERROR(IF(C642&gt;0, D642/C642, 0),"-")</f>
        <v>0.96875</v>
      </c>
      <c r="G642" s="34">
        <v>4</v>
      </c>
      <c r="H642" s="35">
        <v>4</v>
      </c>
      <c r="I642" s="34">
        <f>IF(OR(H642="-",H642="",H642=0),IF(G642="-","-",G642),G642-H642)</f>
        <v>0</v>
      </c>
      <c r="J642" s="4">
        <f>IFERROR(IF(G642&gt;0, H642/G642, 0),"-")</f>
        <v>1</v>
      </c>
      <c r="K642" s="34">
        <v>2</v>
      </c>
      <c r="L642" s="35" t="s">
        <v>959</v>
      </c>
      <c r="M642" s="34">
        <f>IF(OR(L642="-",L642="",L642=0),IF(K642="-","-",K642),K642-L642)</f>
        <v>2</v>
      </c>
      <c r="N642" s="4" t="str">
        <f>IFERROR(IF(K642&gt;0, L642/K642, 0),"-")</f>
        <v>-</v>
      </c>
      <c r="O642" s="34">
        <v>1</v>
      </c>
      <c r="P642" s="35" t="s">
        <v>959</v>
      </c>
      <c r="Q642" s="34">
        <f>IF(OR(P642="-",P642="",P642=0),IF(O642="-","-",O642),O642-P642)</f>
        <v>1</v>
      </c>
      <c r="R642" s="4" t="str">
        <f>IFERROR(IF(O642&gt;0, P642/O642, 0),"-")</f>
        <v>-</v>
      </c>
      <c r="S642" s="34">
        <v>370</v>
      </c>
      <c r="T642" s="34">
        <v>6</v>
      </c>
      <c r="U642" s="34">
        <v>107245</v>
      </c>
      <c r="V642" s="35">
        <v>8</v>
      </c>
      <c r="W642" s="35">
        <v>179729</v>
      </c>
    </row>
    <row r="643" spans="1:23" x14ac:dyDescent="0.2">
      <c r="A643" s="30" t="s">
        <v>949</v>
      </c>
      <c r="B643" s="30" t="s">
        <v>1328</v>
      </c>
      <c r="C643" s="34">
        <v>212</v>
      </c>
      <c r="D643" s="35">
        <v>205</v>
      </c>
      <c r="E643" s="34">
        <f>IF(OR(D643="-",D643="",D643=0),IF(C643="-","-",C643),C643-D643)</f>
        <v>7</v>
      </c>
      <c r="F643" s="4">
        <f>IFERROR(IF(C643&gt;0, D643/C643, 0),"-")</f>
        <v>0.96698113207547165</v>
      </c>
      <c r="G643" s="34">
        <v>3</v>
      </c>
      <c r="H643" s="35" t="s">
        <v>959</v>
      </c>
      <c r="I643" s="34">
        <f>IF(OR(H643="-",H643="",H643=0),IF(G643="-","-",G643),G643-H643)</f>
        <v>3</v>
      </c>
      <c r="J643" s="4" t="str">
        <f>IFERROR(IF(G643&gt;0, H643/G643, 0),"-")</f>
        <v>-</v>
      </c>
      <c r="K643" s="34">
        <v>1</v>
      </c>
      <c r="L643" s="35">
        <v>1</v>
      </c>
      <c r="M643" s="34">
        <f>IF(OR(L643="-",L643="",L643=0),IF(K643="-","-",K643),K643-L643)</f>
        <v>0</v>
      </c>
      <c r="N643" s="4">
        <f>IFERROR(IF(K643&gt;0, L643/K643, 0),"-")</f>
        <v>1</v>
      </c>
      <c r="O643" s="34">
        <v>1</v>
      </c>
      <c r="P643" s="35" t="s">
        <v>959</v>
      </c>
      <c r="Q643" s="34">
        <f>IF(OR(P643="-",P643="",P643=0),IF(O643="-","-",O643),O643-P643)</f>
        <v>1</v>
      </c>
      <c r="R643" s="4" t="str">
        <f>IFERROR(IF(O643&gt;0, P643/O643, 0),"-")</f>
        <v>-</v>
      </c>
      <c r="S643" s="34">
        <v>206</v>
      </c>
      <c r="T643" s="34">
        <v>2</v>
      </c>
      <c r="U643" s="34">
        <v>4240</v>
      </c>
      <c r="V643" s="35">
        <v>3</v>
      </c>
      <c r="W643" s="35">
        <v>89844</v>
      </c>
    </row>
    <row r="644" spans="1:23" x14ac:dyDescent="0.2">
      <c r="A644" s="30" t="s">
        <v>945</v>
      </c>
      <c r="B644" s="30" t="s">
        <v>1329</v>
      </c>
      <c r="C644" s="34">
        <v>176</v>
      </c>
      <c r="D644" s="35">
        <v>174</v>
      </c>
      <c r="E644" s="34">
        <f>IF(OR(D644="-",D644="",D644=0),IF(C644="-","-",C644),C644-D644)</f>
        <v>2</v>
      </c>
      <c r="F644" s="4">
        <f>IFERROR(IF(C644&gt;0, D644/C644, 0),"-")</f>
        <v>0.98863636363636365</v>
      </c>
      <c r="G644" s="34" t="s">
        <v>959</v>
      </c>
      <c r="H644" s="35" t="s">
        <v>959</v>
      </c>
      <c r="I644" s="34" t="str">
        <f>IF(OR(H644="-",H644="",H644=0),IF(G644="-","-",G644),G644-H644)</f>
        <v>-</v>
      </c>
      <c r="J644" s="4" t="str">
        <f>IFERROR(IF(G644&gt;0, H644/G644, 0),"-")</f>
        <v>-</v>
      </c>
      <c r="K644" s="34" t="s">
        <v>959</v>
      </c>
      <c r="L644" s="35" t="s">
        <v>959</v>
      </c>
      <c r="M644" s="34" t="str">
        <f>IF(OR(L644="-",L644="",L644=0),IF(K644="-","-",K644),K644-L644)</f>
        <v>-</v>
      </c>
      <c r="N644" s="4" t="str">
        <f>IFERROR(IF(K644&gt;0, L644/K644, 0),"-")</f>
        <v>-</v>
      </c>
      <c r="O644" s="34">
        <v>1</v>
      </c>
      <c r="P644" s="35" t="s">
        <v>959</v>
      </c>
      <c r="Q644" s="34">
        <f>IF(OR(P644="-",P644="",P644=0),IF(O644="-","-",O644),O644-P644)</f>
        <v>1</v>
      </c>
      <c r="R644" s="4" t="str">
        <f>IFERROR(IF(O644&gt;0, P644/O644, 0),"-")</f>
        <v>-</v>
      </c>
      <c r="S644" s="34">
        <v>259</v>
      </c>
      <c r="T644" s="34">
        <v>6</v>
      </c>
      <c r="U644" s="34">
        <v>40835</v>
      </c>
      <c r="V644" s="35">
        <v>6</v>
      </c>
      <c r="W644" s="35">
        <v>133997</v>
      </c>
    </row>
    <row r="645" spans="1:23" x14ac:dyDescent="0.2">
      <c r="A645" s="30" t="s">
        <v>946</v>
      </c>
      <c r="B645" s="30" t="s">
        <v>1330</v>
      </c>
      <c r="C645" s="34">
        <v>282</v>
      </c>
      <c r="D645" s="35">
        <v>269</v>
      </c>
      <c r="E645" s="34">
        <f>IF(OR(D645="-",D645="",D645=0),IF(C645="-","-",C645),C645-D645)</f>
        <v>13</v>
      </c>
      <c r="F645" s="4">
        <f>IFERROR(IF(C645&gt;0, D645/C645, 0),"-")</f>
        <v>0.95390070921985815</v>
      </c>
      <c r="G645" s="34">
        <v>5</v>
      </c>
      <c r="H645" s="35">
        <v>2</v>
      </c>
      <c r="I645" s="34">
        <f>IF(OR(H645="-",H645="",H645=0),IF(G645="-","-",G645),G645-H645)</f>
        <v>3</v>
      </c>
      <c r="J645" s="4">
        <f>IFERROR(IF(G645&gt;0, H645/G645, 0),"-")</f>
        <v>0.4</v>
      </c>
      <c r="K645" s="34" t="s">
        <v>959</v>
      </c>
      <c r="L645" s="35" t="s">
        <v>959</v>
      </c>
      <c r="M645" s="34" t="str">
        <f>IF(OR(L645="-",L645="",L645=0),IF(K645="-","-",K645),K645-L645)</f>
        <v>-</v>
      </c>
      <c r="N645" s="4" t="str">
        <f>IFERROR(IF(K645&gt;0, L645/K645, 0),"-")</f>
        <v>-</v>
      </c>
      <c r="O645" s="34">
        <v>1</v>
      </c>
      <c r="P645" s="35" t="s">
        <v>959</v>
      </c>
      <c r="Q645" s="34">
        <f>IF(OR(P645="-",P645="",P645=0),IF(O645="-","-",O645),O645-P645)</f>
        <v>1</v>
      </c>
      <c r="R645" s="4" t="str">
        <f>IFERROR(IF(O645&gt;0, P645/O645, 0),"-")</f>
        <v>-</v>
      </c>
      <c r="S645" s="34">
        <v>302</v>
      </c>
      <c r="T645" s="34">
        <v>9</v>
      </c>
      <c r="U645" s="34">
        <v>48885</v>
      </c>
      <c r="V645" s="35">
        <v>3</v>
      </c>
      <c r="W645" s="35">
        <v>60047</v>
      </c>
    </row>
    <row r="646" spans="1:23" x14ac:dyDescent="0.2">
      <c r="A646" s="30" t="s">
        <v>944</v>
      </c>
      <c r="B646" s="30" t="s">
        <v>1331</v>
      </c>
      <c r="C646" s="34">
        <v>189</v>
      </c>
      <c r="D646" s="35">
        <v>186</v>
      </c>
      <c r="E646" s="34">
        <f>IF(OR(D646="-",D646="",D646=0),IF(C646="-","-",C646),C646-D646)</f>
        <v>3</v>
      </c>
      <c r="F646" s="4">
        <f>IFERROR(IF(C646&gt;0, D646/C646, 0),"-")</f>
        <v>0.98412698412698407</v>
      </c>
      <c r="G646" s="34">
        <v>1</v>
      </c>
      <c r="H646" s="35">
        <v>1</v>
      </c>
      <c r="I646" s="34">
        <f>IF(OR(H646="-",H646="",H646=0),IF(G646="-","-",G646),G646-H646)</f>
        <v>0</v>
      </c>
      <c r="J646" s="4">
        <f>IFERROR(IF(G646&gt;0, H646/G646, 0),"-")</f>
        <v>1</v>
      </c>
      <c r="K646" s="34">
        <v>1</v>
      </c>
      <c r="L646" s="35" t="s">
        <v>959</v>
      </c>
      <c r="M646" s="34">
        <f>IF(OR(L646="-",L646="",L646=0),IF(K646="-","-",K646),K646-L646)</f>
        <v>1</v>
      </c>
      <c r="N646" s="4" t="str">
        <f>IFERROR(IF(K646&gt;0, L646/K646, 0),"-")</f>
        <v>-</v>
      </c>
      <c r="O646" s="34">
        <v>2</v>
      </c>
      <c r="P646" s="35">
        <v>1</v>
      </c>
      <c r="Q646" s="34">
        <f>IF(OR(P646="-",P646="",P646=0),IF(O646="-","-",O646),O646-P646)</f>
        <v>1</v>
      </c>
      <c r="R646" s="4">
        <f>IFERROR(IF(O646&gt;0, P646/O646, 0),"-")</f>
        <v>0.5</v>
      </c>
      <c r="S646" s="34">
        <v>258</v>
      </c>
      <c r="T646" s="34">
        <v>6</v>
      </c>
      <c r="U646" s="34">
        <v>13395</v>
      </c>
      <c r="V646" s="35">
        <v>7</v>
      </c>
      <c r="W646" s="35">
        <v>151927</v>
      </c>
    </row>
    <row r="647" spans="1:23" x14ac:dyDescent="0.2">
      <c r="A647" s="29"/>
      <c r="B647" s="29" t="s">
        <v>120</v>
      </c>
      <c r="C647" s="32">
        <v>1029</v>
      </c>
      <c r="D647" s="32">
        <v>1007</v>
      </c>
      <c r="E647" s="32">
        <f>IF(OR(D647="-",D647="",D647=0),IF(C647="-","-",C647),C647-D647)</f>
        <v>22</v>
      </c>
      <c r="F647" s="36">
        <f>IFERROR(IF(C647&gt;0, D647/C647, 0),"-")</f>
        <v>0.97862001943634591</v>
      </c>
      <c r="G647" s="32">
        <v>10</v>
      </c>
      <c r="H647" s="32" t="s">
        <v>959</v>
      </c>
      <c r="I647" s="32">
        <f>IF(OR(H647="-",H647="",H647=0),IF(G647="-","-",G647),G647-H647)</f>
        <v>10</v>
      </c>
      <c r="J647" s="36" t="str">
        <f>IFERROR(IF(G647&gt;0, H647/G647, 0),"-")</f>
        <v>-</v>
      </c>
      <c r="K647" s="32">
        <v>9</v>
      </c>
      <c r="L647" s="32">
        <v>5</v>
      </c>
      <c r="M647" s="32">
        <f>IF(OR(L647="-",L647="",L647=0),IF(K647="-","-",K647),K647-L647)</f>
        <v>4</v>
      </c>
      <c r="N647" s="36">
        <f>IFERROR(IF(K647&gt;0, L647/K647, 0),"-")</f>
        <v>0.55555555555555558</v>
      </c>
      <c r="O647" s="32">
        <v>18</v>
      </c>
      <c r="P647" s="32">
        <v>2</v>
      </c>
      <c r="Q647" s="32">
        <f>IF(OR(P647="-",P647="",P647=0),IF(O647="-","-",O647),O647-P647)</f>
        <v>16</v>
      </c>
      <c r="R647" s="36">
        <f>IFERROR(IF(O647&gt;0, P647/O647, 0),"-")</f>
        <v>0.1111111111111111</v>
      </c>
      <c r="S647" s="32">
        <v>1347</v>
      </c>
      <c r="T647" s="32">
        <v>25</v>
      </c>
      <c r="U647" s="32">
        <v>57449</v>
      </c>
      <c r="V647" s="32">
        <v>4</v>
      </c>
      <c r="W647" s="32">
        <v>45430</v>
      </c>
    </row>
    <row r="648" spans="1:23" x14ac:dyDescent="0.2">
      <c r="A648" s="30" t="s">
        <v>856</v>
      </c>
      <c r="B648" s="30" t="s">
        <v>1332</v>
      </c>
      <c r="C648" s="34">
        <v>1</v>
      </c>
      <c r="D648" s="35">
        <v>1</v>
      </c>
      <c r="E648" s="34">
        <f>IF(OR(D648="-",D648="",D648=0),IF(C648="-","-",C648),C648-D648)</f>
        <v>0</v>
      </c>
      <c r="F648" s="4">
        <f>IFERROR(IF(C648&gt;0, D648/C648, 0),"-")</f>
        <v>1</v>
      </c>
      <c r="G648" s="34" t="s">
        <v>959</v>
      </c>
      <c r="H648" s="35" t="s">
        <v>959</v>
      </c>
      <c r="I648" s="34" t="str">
        <f>IF(OR(H648="-",H648="",H648=0),IF(G648="-","-",G648),G648-H648)</f>
        <v>-</v>
      </c>
      <c r="J648" s="4" t="str">
        <f>IFERROR(IF(G648&gt;0, H648/G648, 0),"-")</f>
        <v>-</v>
      </c>
      <c r="K648" s="34" t="s">
        <v>959</v>
      </c>
      <c r="L648" s="35" t="s">
        <v>959</v>
      </c>
      <c r="M648" s="34" t="str">
        <f>IF(OR(L648="-",L648="",L648=0),IF(K648="-","-",K648),K648-L648)</f>
        <v>-</v>
      </c>
      <c r="N648" s="4" t="str">
        <f>IFERROR(IF(K648&gt;0, L648/K648, 0),"-")</f>
        <v>-</v>
      </c>
      <c r="O648" s="34" t="s">
        <v>959</v>
      </c>
      <c r="P648" s="35" t="s">
        <v>959</v>
      </c>
      <c r="Q648" s="34" t="str">
        <f>IF(OR(P648="-",P648="",P648=0),IF(O648="-","-",O648),O648-P648)</f>
        <v>-</v>
      </c>
      <c r="R648" s="4" t="str">
        <f>IFERROR(IF(O648&gt;0, P648/O648, 0),"-")</f>
        <v>-</v>
      </c>
      <c r="S648" s="34">
        <v>161</v>
      </c>
      <c r="T648" s="34" t="s">
        <v>959</v>
      </c>
      <c r="U648" s="34" t="s">
        <v>959</v>
      </c>
      <c r="V648" s="35" t="s">
        <v>959</v>
      </c>
      <c r="W648" s="35" t="s">
        <v>959</v>
      </c>
    </row>
    <row r="649" spans="1:23" x14ac:dyDescent="0.2">
      <c r="A649" s="30" t="s">
        <v>854</v>
      </c>
      <c r="B649" s="30" t="s">
        <v>1333</v>
      </c>
      <c r="C649" s="34">
        <v>204</v>
      </c>
      <c r="D649" s="35">
        <v>196</v>
      </c>
      <c r="E649" s="34">
        <f>IF(OR(D649="-",D649="",D649=0),IF(C649="-","-",C649),C649-D649)</f>
        <v>8</v>
      </c>
      <c r="F649" s="4">
        <f>IFERROR(IF(C649&gt;0, D649/C649, 0),"-")</f>
        <v>0.96078431372549022</v>
      </c>
      <c r="G649" s="34">
        <v>5</v>
      </c>
      <c r="H649" s="35" t="s">
        <v>959</v>
      </c>
      <c r="I649" s="34">
        <f>IF(OR(H649="-",H649="",H649=0),IF(G649="-","-",G649),G649-H649)</f>
        <v>5</v>
      </c>
      <c r="J649" s="4" t="str">
        <f>IFERROR(IF(G649&gt;0, H649/G649, 0),"-")</f>
        <v>-</v>
      </c>
      <c r="K649" s="34">
        <v>1</v>
      </c>
      <c r="L649" s="35">
        <v>1</v>
      </c>
      <c r="M649" s="34">
        <f>IF(OR(L649="-",L649="",L649=0),IF(K649="-","-",K649),K649-L649)</f>
        <v>0</v>
      </c>
      <c r="N649" s="4">
        <f>IFERROR(IF(K649&gt;0, L649/K649, 0),"-")</f>
        <v>1</v>
      </c>
      <c r="O649" s="34">
        <v>6</v>
      </c>
      <c r="P649" s="35" t="s">
        <v>959</v>
      </c>
      <c r="Q649" s="34">
        <f>IF(OR(P649="-",P649="",P649=0),IF(O649="-","-",O649),O649-P649)</f>
        <v>6</v>
      </c>
      <c r="R649" s="4" t="str">
        <f>IFERROR(IF(O649&gt;0, P649/O649, 0),"-")</f>
        <v>-</v>
      </c>
      <c r="S649" s="34">
        <v>71</v>
      </c>
      <c r="T649" s="34">
        <v>4</v>
      </c>
      <c r="U649" s="34">
        <v>7123</v>
      </c>
      <c r="V649" s="35" t="s">
        <v>959</v>
      </c>
      <c r="W649" s="35" t="s">
        <v>959</v>
      </c>
    </row>
    <row r="650" spans="1:23" x14ac:dyDescent="0.2">
      <c r="A650" s="30" t="s">
        <v>851</v>
      </c>
      <c r="B650" s="30" t="s">
        <v>1334</v>
      </c>
      <c r="C650" s="34">
        <v>145</v>
      </c>
      <c r="D650" s="35">
        <v>144</v>
      </c>
      <c r="E650" s="34">
        <f>IF(OR(D650="-",D650="",D650=0),IF(C650="-","-",C650),C650-D650)</f>
        <v>1</v>
      </c>
      <c r="F650" s="4">
        <f>IFERROR(IF(C650&gt;0, D650/C650, 0),"-")</f>
        <v>0.99310344827586206</v>
      </c>
      <c r="G650" s="34" t="s">
        <v>959</v>
      </c>
      <c r="H650" s="35" t="s">
        <v>959</v>
      </c>
      <c r="I650" s="34" t="str">
        <f>IF(OR(H650="-",H650="",H650=0),IF(G650="-","-",G650),G650-H650)</f>
        <v>-</v>
      </c>
      <c r="J650" s="4" t="str">
        <f>IFERROR(IF(G650&gt;0, H650/G650, 0),"-")</f>
        <v>-</v>
      </c>
      <c r="K650" s="34">
        <v>1</v>
      </c>
      <c r="L650" s="35" t="s">
        <v>959</v>
      </c>
      <c r="M650" s="34">
        <f>IF(OR(L650="-",L650="",L650=0),IF(K650="-","-",K650),K650-L650)</f>
        <v>1</v>
      </c>
      <c r="N650" s="4" t="str">
        <f>IFERROR(IF(K650&gt;0, L650/K650, 0),"-")</f>
        <v>-</v>
      </c>
      <c r="O650" s="34" t="s">
        <v>959</v>
      </c>
      <c r="P650" s="35" t="s">
        <v>959</v>
      </c>
      <c r="Q650" s="34" t="str">
        <f>IF(OR(P650="-",P650="",P650=0),IF(O650="-","-",O650),O650-P650)</f>
        <v>-</v>
      </c>
      <c r="R650" s="4" t="str">
        <f>IFERROR(IF(O650&gt;0, P650/O650, 0),"-")</f>
        <v>-</v>
      </c>
      <c r="S650" s="34">
        <v>86</v>
      </c>
      <c r="T650" s="34">
        <v>2</v>
      </c>
      <c r="U650" s="34">
        <v>2900</v>
      </c>
      <c r="V650" s="35">
        <v>1</v>
      </c>
      <c r="W650" s="35">
        <v>12768</v>
      </c>
    </row>
    <row r="651" spans="1:23" x14ac:dyDescent="0.2">
      <c r="A651" s="30" t="s">
        <v>855</v>
      </c>
      <c r="B651" s="30" t="s">
        <v>1335</v>
      </c>
      <c r="C651" s="34">
        <v>237</v>
      </c>
      <c r="D651" s="35">
        <v>232</v>
      </c>
      <c r="E651" s="34">
        <f>IF(OR(D651="-",D651="",D651=0),IF(C651="-","-",C651),C651-D651)</f>
        <v>5</v>
      </c>
      <c r="F651" s="4">
        <f>IFERROR(IF(C651&gt;0, D651/C651, 0),"-")</f>
        <v>0.97890295358649793</v>
      </c>
      <c r="G651" s="34">
        <v>1</v>
      </c>
      <c r="H651" s="35" t="s">
        <v>959</v>
      </c>
      <c r="I651" s="34">
        <f>IF(OR(H651="-",H651="",H651=0),IF(G651="-","-",G651),G651-H651)</f>
        <v>1</v>
      </c>
      <c r="J651" s="4" t="str">
        <f>IFERROR(IF(G651&gt;0, H651/G651, 0),"-")</f>
        <v>-</v>
      </c>
      <c r="K651" s="34">
        <v>3</v>
      </c>
      <c r="L651" s="35">
        <v>1</v>
      </c>
      <c r="M651" s="34">
        <f>IF(OR(L651="-",L651="",L651=0),IF(K651="-","-",K651),K651-L651)</f>
        <v>2</v>
      </c>
      <c r="N651" s="4">
        <f>IFERROR(IF(K651&gt;0, L651/K651, 0),"-")</f>
        <v>0.33333333333333331</v>
      </c>
      <c r="O651" s="34">
        <v>6</v>
      </c>
      <c r="P651" s="35" t="s">
        <v>959</v>
      </c>
      <c r="Q651" s="34">
        <f>IF(OR(P651="-",P651="",P651=0),IF(O651="-","-",O651),O651-P651)</f>
        <v>6</v>
      </c>
      <c r="R651" s="4" t="str">
        <f>IFERROR(IF(O651&gt;0, P651/O651, 0),"-")</f>
        <v>-</v>
      </c>
      <c r="S651" s="34">
        <v>346</v>
      </c>
      <c r="T651" s="34">
        <v>11</v>
      </c>
      <c r="U651" s="34">
        <v>27346</v>
      </c>
      <c r="V651" s="35">
        <v>1</v>
      </c>
      <c r="W651" s="35">
        <v>3706</v>
      </c>
    </row>
    <row r="652" spans="1:23" x14ac:dyDescent="0.2">
      <c r="A652" s="30" t="s">
        <v>853</v>
      </c>
      <c r="B652" s="30" t="s">
        <v>1336</v>
      </c>
      <c r="C652" s="34">
        <v>210</v>
      </c>
      <c r="D652" s="35">
        <v>207</v>
      </c>
      <c r="E652" s="34">
        <f>IF(OR(D652="-",D652="",D652=0),IF(C652="-","-",C652),C652-D652)</f>
        <v>3</v>
      </c>
      <c r="F652" s="4">
        <f>IFERROR(IF(C652&gt;0, D652/C652, 0),"-")</f>
        <v>0.98571428571428577</v>
      </c>
      <c r="G652" s="34">
        <v>2</v>
      </c>
      <c r="H652" s="35" t="s">
        <v>959</v>
      </c>
      <c r="I652" s="34">
        <f>IF(OR(H652="-",H652="",H652=0),IF(G652="-","-",G652),G652-H652)</f>
        <v>2</v>
      </c>
      <c r="J652" s="4" t="str">
        <f>IFERROR(IF(G652&gt;0, H652/G652, 0),"-")</f>
        <v>-</v>
      </c>
      <c r="K652" s="34">
        <v>2</v>
      </c>
      <c r="L652" s="35">
        <v>1</v>
      </c>
      <c r="M652" s="34">
        <f>IF(OR(L652="-",L652="",L652=0),IF(K652="-","-",K652),K652-L652)</f>
        <v>1</v>
      </c>
      <c r="N652" s="4">
        <f>IFERROR(IF(K652&gt;0, L652/K652, 0),"-")</f>
        <v>0.5</v>
      </c>
      <c r="O652" s="34">
        <v>3</v>
      </c>
      <c r="P652" s="35">
        <v>1</v>
      </c>
      <c r="Q652" s="34">
        <f>IF(OR(P652="-",P652="",P652=0),IF(O652="-","-",O652),O652-P652)</f>
        <v>2</v>
      </c>
      <c r="R652" s="4">
        <f>IFERROR(IF(O652&gt;0, P652/O652, 0),"-")</f>
        <v>0.33333333333333331</v>
      </c>
      <c r="S652" s="34">
        <v>327</v>
      </c>
      <c r="T652" s="34">
        <v>3</v>
      </c>
      <c r="U652" s="34">
        <v>10285</v>
      </c>
      <c r="V652" s="35">
        <v>1</v>
      </c>
      <c r="W652" s="35">
        <v>8918</v>
      </c>
    </row>
    <row r="653" spans="1:23" x14ac:dyDescent="0.2">
      <c r="A653" s="30" t="s">
        <v>852</v>
      </c>
      <c r="B653" s="30" t="s">
        <v>1337</v>
      </c>
      <c r="C653" s="34">
        <v>232</v>
      </c>
      <c r="D653" s="35">
        <v>227</v>
      </c>
      <c r="E653" s="34">
        <f>IF(OR(D653="-",D653="",D653=0),IF(C653="-","-",C653),C653-D653)</f>
        <v>5</v>
      </c>
      <c r="F653" s="4">
        <f>IFERROR(IF(C653&gt;0, D653/C653, 0),"-")</f>
        <v>0.97844827586206895</v>
      </c>
      <c r="G653" s="34">
        <v>2</v>
      </c>
      <c r="H653" s="35" t="s">
        <v>959</v>
      </c>
      <c r="I653" s="34">
        <f>IF(OR(H653="-",H653="",H653=0),IF(G653="-","-",G653),G653-H653)</f>
        <v>2</v>
      </c>
      <c r="J653" s="4" t="str">
        <f>IFERROR(IF(G653&gt;0, H653/G653, 0),"-")</f>
        <v>-</v>
      </c>
      <c r="K653" s="34">
        <v>2</v>
      </c>
      <c r="L653" s="35">
        <v>2</v>
      </c>
      <c r="M653" s="34">
        <f>IF(OR(L653="-",L653="",L653=0),IF(K653="-","-",K653),K653-L653)</f>
        <v>0</v>
      </c>
      <c r="N653" s="4">
        <f>IFERROR(IF(K653&gt;0, L653/K653, 0),"-")</f>
        <v>1</v>
      </c>
      <c r="O653" s="34">
        <v>3</v>
      </c>
      <c r="P653" s="35">
        <v>1</v>
      </c>
      <c r="Q653" s="34">
        <f>IF(OR(P653="-",P653="",P653=0),IF(O653="-","-",O653),O653-P653)</f>
        <v>2</v>
      </c>
      <c r="R653" s="4">
        <f>IFERROR(IF(O653&gt;0, P653/O653, 0),"-")</f>
        <v>0.33333333333333331</v>
      </c>
      <c r="S653" s="34">
        <v>356</v>
      </c>
      <c r="T653" s="34">
        <v>5</v>
      </c>
      <c r="U653" s="34">
        <v>9795</v>
      </c>
      <c r="V653" s="35">
        <v>1</v>
      </c>
      <c r="W653" s="35">
        <v>20038</v>
      </c>
    </row>
    <row r="654" spans="1:23" x14ac:dyDescent="0.2">
      <c r="A654" s="29"/>
      <c r="B654" s="29" t="s">
        <v>99</v>
      </c>
      <c r="C654" s="32">
        <v>1116</v>
      </c>
      <c r="D654" s="32">
        <v>1088</v>
      </c>
      <c r="E654" s="32">
        <f>IF(OR(D654="-",D654="",D654=0),IF(C654="-","-",C654),C654-D654)</f>
        <v>28</v>
      </c>
      <c r="F654" s="36">
        <f>IFERROR(IF(C654&gt;0, D654/C654, 0),"-")</f>
        <v>0.97491039426523296</v>
      </c>
      <c r="G654" s="32">
        <v>12</v>
      </c>
      <c r="H654" s="32">
        <v>6</v>
      </c>
      <c r="I654" s="32">
        <f>IF(OR(H654="-",H654="",H654=0),IF(G654="-","-",G654),G654-H654)</f>
        <v>6</v>
      </c>
      <c r="J654" s="36">
        <f>IFERROR(IF(G654&gt;0, H654/G654, 0),"-")</f>
        <v>0.5</v>
      </c>
      <c r="K654" s="32">
        <v>18</v>
      </c>
      <c r="L654" s="32">
        <v>13</v>
      </c>
      <c r="M654" s="32">
        <f>IF(OR(L654="-",L654="",L654=0),IF(K654="-","-",K654),K654-L654)</f>
        <v>5</v>
      </c>
      <c r="N654" s="36">
        <f>IFERROR(IF(K654&gt;0, L654/K654, 0),"-")</f>
        <v>0.72222222222222221</v>
      </c>
      <c r="O654" s="32">
        <v>24</v>
      </c>
      <c r="P654" s="32">
        <v>10</v>
      </c>
      <c r="Q654" s="32">
        <f>IF(OR(P654="-",P654="",P654=0),IF(O654="-","-",O654),O654-P654)</f>
        <v>14</v>
      </c>
      <c r="R654" s="36">
        <f>IFERROR(IF(O654&gt;0, P654/O654, 0),"-")</f>
        <v>0.41666666666666669</v>
      </c>
      <c r="S654" s="32">
        <v>1652</v>
      </c>
      <c r="T654" s="32">
        <v>41</v>
      </c>
      <c r="U654" s="32">
        <v>97955</v>
      </c>
      <c r="V654" s="32">
        <v>14</v>
      </c>
      <c r="W654" s="32">
        <v>354982</v>
      </c>
    </row>
    <row r="655" spans="1:23" x14ac:dyDescent="0.2">
      <c r="A655" s="30" t="s">
        <v>701</v>
      </c>
      <c r="B655" s="30" t="s">
        <v>1338</v>
      </c>
      <c r="C655" s="34">
        <v>233</v>
      </c>
      <c r="D655" s="35">
        <v>233</v>
      </c>
      <c r="E655" s="34">
        <f>IF(OR(D655="-",D655="",D655=0),IF(C655="-","-",C655),C655-D655)</f>
        <v>0</v>
      </c>
      <c r="F655" s="4">
        <f>IFERROR(IF(C655&gt;0, D655/C655, 0),"-")</f>
        <v>1</v>
      </c>
      <c r="G655" s="34">
        <v>1</v>
      </c>
      <c r="H655" s="35">
        <v>1</v>
      </c>
      <c r="I655" s="34">
        <f>IF(OR(H655="-",H655="",H655=0),IF(G655="-","-",G655),G655-H655)</f>
        <v>0</v>
      </c>
      <c r="J655" s="4">
        <f>IFERROR(IF(G655&gt;0, H655/G655, 0),"-")</f>
        <v>1</v>
      </c>
      <c r="K655" s="34">
        <v>1</v>
      </c>
      <c r="L655" s="35">
        <v>1</v>
      </c>
      <c r="M655" s="34">
        <f>IF(OR(L655="-",L655="",L655=0),IF(K655="-","-",K655),K655-L655)</f>
        <v>0</v>
      </c>
      <c r="N655" s="4">
        <f>IFERROR(IF(K655&gt;0, L655/K655, 0),"-")</f>
        <v>1</v>
      </c>
      <c r="O655" s="34">
        <v>4</v>
      </c>
      <c r="P655" s="35">
        <v>2</v>
      </c>
      <c r="Q655" s="34">
        <f>IF(OR(P655="-",P655="",P655=0),IF(O655="-","-",O655),O655-P655)</f>
        <v>2</v>
      </c>
      <c r="R655" s="4">
        <f>IFERROR(IF(O655&gt;0, P655/O655, 0),"-")</f>
        <v>0.5</v>
      </c>
      <c r="S655" s="34">
        <v>308</v>
      </c>
      <c r="T655" s="34">
        <v>7</v>
      </c>
      <c r="U655" s="34">
        <v>7990</v>
      </c>
      <c r="V655" s="35">
        <v>1</v>
      </c>
      <c r="W655" s="35">
        <v>48016</v>
      </c>
    </row>
    <row r="656" spans="1:23" x14ac:dyDescent="0.2">
      <c r="A656" s="30" t="s">
        <v>703</v>
      </c>
      <c r="B656" s="30" t="s">
        <v>1339</v>
      </c>
      <c r="C656" s="34">
        <v>194</v>
      </c>
      <c r="D656" s="35">
        <v>186</v>
      </c>
      <c r="E656" s="34">
        <f>IF(OR(D656="-",D656="",D656=0),IF(C656="-","-",C656),C656-D656)</f>
        <v>8</v>
      </c>
      <c r="F656" s="4">
        <f>IFERROR(IF(C656&gt;0, D656/C656, 0),"-")</f>
        <v>0.95876288659793818</v>
      </c>
      <c r="G656" s="34">
        <v>3</v>
      </c>
      <c r="H656" s="35">
        <v>2</v>
      </c>
      <c r="I656" s="34">
        <f>IF(OR(H656="-",H656="",H656=0),IF(G656="-","-",G656),G656-H656)</f>
        <v>1</v>
      </c>
      <c r="J656" s="4">
        <f>IFERROR(IF(G656&gt;0, H656/G656, 0),"-")</f>
        <v>0.66666666666666663</v>
      </c>
      <c r="K656" s="34">
        <v>1</v>
      </c>
      <c r="L656" s="35">
        <v>1</v>
      </c>
      <c r="M656" s="34">
        <f>IF(OR(L656="-",L656="",L656=0),IF(K656="-","-",K656),K656-L656)</f>
        <v>0</v>
      </c>
      <c r="N656" s="4">
        <f>IFERROR(IF(K656&gt;0, L656/K656, 0),"-")</f>
        <v>1</v>
      </c>
      <c r="O656" s="34">
        <v>2</v>
      </c>
      <c r="P656" s="35">
        <v>2</v>
      </c>
      <c r="Q656" s="34">
        <f>IF(OR(P656="-",P656="",P656=0),IF(O656="-","-",O656),O656-P656)</f>
        <v>0</v>
      </c>
      <c r="R656" s="4">
        <f>IFERROR(IF(O656&gt;0, P656/O656, 0),"-")</f>
        <v>1</v>
      </c>
      <c r="S656" s="34">
        <v>368</v>
      </c>
      <c r="T656" s="34">
        <v>8</v>
      </c>
      <c r="U656" s="34">
        <v>47740</v>
      </c>
      <c r="V656" s="35">
        <v>3</v>
      </c>
      <c r="W656" s="35">
        <v>78078</v>
      </c>
    </row>
    <row r="657" spans="1:23" x14ac:dyDescent="0.2">
      <c r="A657" s="30" t="s">
        <v>702</v>
      </c>
      <c r="B657" s="30" t="s">
        <v>1340</v>
      </c>
      <c r="C657" s="34">
        <v>179</v>
      </c>
      <c r="D657" s="35">
        <v>176</v>
      </c>
      <c r="E657" s="34">
        <f>IF(OR(D657="-",D657="",D657=0),IF(C657="-","-",C657),C657-D657)</f>
        <v>3</v>
      </c>
      <c r="F657" s="4">
        <f>IFERROR(IF(C657&gt;0, D657/C657, 0),"-")</f>
        <v>0.98324022346368711</v>
      </c>
      <c r="G657" s="34">
        <v>2</v>
      </c>
      <c r="H657" s="35" t="s">
        <v>959</v>
      </c>
      <c r="I657" s="34">
        <f>IF(OR(H657="-",H657="",H657=0),IF(G657="-","-",G657),G657-H657)</f>
        <v>2</v>
      </c>
      <c r="J657" s="4" t="str">
        <f>IFERROR(IF(G657&gt;0, H657/G657, 0),"-")</f>
        <v>-</v>
      </c>
      <c r="K657" s="34">
        <v>2</v>
      </c>
      <c r="L657" s="35" t="s">
        <v>959</v>
      </c>
      <c r="M657" s="34">
        <f>IF(OR(L657="-",L657="",L657=0),IF(K657="-","-",K657),K657-L657)</f>
        <v>2</v>
      </c>
      <c r="N657" s="4" t="str">
        <f>IFERROR(IF(K657&gt;0, L657/K657, 0),"-")</f>
        <v>-</v>
      </c>
      <c r="O657" s="34">
        <v>6</v>
      </c>
      <c r="P657" s="35" t="s">
        <v>959</v>
      </c>
      <c r="Q657" s="34">
        <f>IF(OR(P657="-",P657="",P657=0),IF(O657="-","-",O657),O657-P657)</f>
        <v>6</v>
      </c>
      <c r="R657" s="4" t="str">
        <f>IFERROR(IF(O657&gt;0, P657/O657, 0),"-")</f>
        <v>-</v>
      </c>
      <c r="S657" s="34">
        <v>261</v>
      </c>
      <c r="T657" s="34">
        <v>2</v>
      </c>
      <c r="U657" s="34">
        <v>3795</v>
      </c>
      <c r="V657" s="35">
        <v>1</v>
      </c>
      <c r="W657" s="35">
        <v>2102</v>
      </c>
    </row>
    <row r="658" spans="1:23" x14ac:dyDescent="0.2">
      <c r="A658" s="30" t="s">
        <v>700</v>
      </c>
      <c r="B658" s="30" t="s">
        <v>1341</v>
      </c>
      <c r="C658" s="34">
        <v>149</v>
      </c>
      <c r="D658" s="35">
        <v>148</v>
      </c>
      <c r="E658" s="34">
        <f>IF(OR(D658="-",D658="",D658=0),IF(C658="-","-",C658),C658-D658)</f>
        <v>1</v>
      </c>
      <c r="F658" s="4">
        <f>IFERROR(IF(C658&gt;0, D658/C658, 0),"-")</f>
        <v>0.99328859060402686</v>
      </c>
      <c r="G658" s="34" t="s">
        <v>959</v>
      </c>
      <c r="H658" s="35" t="s">
        <v>959</v>
      </c>
      <c r="I658" s="34" t="str">
        <f>IF(OR(H658="-",H658="",H658=0),IF(G658="-","-",G658),G658-H658)</f>
        <v>-</v>
      </c>
      <c r="J658" s="4" t="str">
        <f>IFERROR(IF(G658&gt;0, H658/G658, 0),"-")</f>
        <v>-</v>
      </c>
      <c r="K658" s="34">
        <v>5</v>
      </c>
      <c r="L658" s="35">
        <v>5</v>
      </c>
      <c r="M658" s="34">
        <f>IF(OR(L658="-",L658="",L658=0),IF(K658="-","-",K658),K658-L658)</f>
        <v>0</v>
      </c>
      <c r="N658" s="4">
        <f>IFERROR(IF(K658&gt;0, L658/K658, 0),"-")</f>
        <v>1</v>
      </c>
      <c r="O658" s="34">
        <v>1</v>
      </c>
      <c r="P658" s="35">
        <v>1</v>
      </c>
      <c r="Q658" s="34">
        <f>IF(OR(P658="-",P658="",P658=0),IF(O658="-","-",O658),O658-P658)</f>
        <v>0</v>
      </c>
      <c r="R658" s="4">
        <f>IFERROR(IF(O658&gt;0, P658/O658, 0),"-")</f>
        <v>1</v>
      </c>
      <c r="S658" s="34">
        <v>236</v>
      </c>
      <c r="T658" s="34">
        <v>7</v>
      </c>
      <c r="U658" s="34">
        <v>13700</v>
      </c>
      <c r="V658" s="35">
        <v>2</v>
      </c>
      <c r="W658" s="35">
        <v>53544</v>
      </c>
    </row>
    <row r="659" spans="1:23" x14ac:dyDescent="0.2">
      <c r="A659" s="30" t="s">
        <v>710</v>
      </c>
      <c r="B659" s="30" t="s">
        <v>1342</v>
      </c>
      <c r="C659" s="34">
        <v>114</v>
      </c>
      <c r="D659" s="35">
        <v>109</v>
      </c>
      <c r="E659" s="34">
        <f>IF(OR(D659="-",D659="",D659=0),IF(C659="-","-",C659),C659-D659)</f>
        <v>5</v>
      </c>
      <c r="F659" s="4">
        <f>IFERROR(IF(C659&gt;0, D659/C659, 0),"-")</f>
        <v>0.95614035087719296</v>
      </c>
      <c r="G659" s="34">
        <v>1</v>
      </c>
      <c r="H659" s="35" t="s">
        <v>959</v>
      </c>
      <c r="I659" s="34">
        <f>IF(OR(H659="-",H659="",H659=0),IF(G659="-","-",G659),G659-H659)</f>
        <v>1</v>
      </c>
      <c r="J659" s="4" t="str">
        <f>IFERROR(IF(G659&gt;0, H659/G659, 0),"-")</f>
        <v>-</v>
      </c>
      <c r="K659" s="34">
        <v>3</v>
      </c>
      <c r="L659" s="35">
        <v>3</v>
      </c>
      <c r="M659" s="34">
        <f>IF(OR(L659="-",L659="",L659=0),IF(K659="-","-",K659),K659-L659)</f>
        <v>0</v>
      </c>
      <c r="N659" s="4">
        <f>IFERROR(IF(K659&gt;0, L659/K659, 0),"-")</f>
        <v>1</v>
      </c>
      <c r="O659" s="34">
        <v>6</v>
      </c>
      <c r="P659" s="35">
        <v>3</v>
      </c>
      <c r="Q659" s="34">
        <f>IF(OR(P659="-",P659="",P659=0),IF(O659="-","-",O659),O659-P659)</f>
        <v>3</v>
      </c>
      <c r="R659" s="4">
        <f>IFERROR(IF(O659&gt;0, P659/O659, 0),"-")</f>
        <v>0.5</v>
      </c>
      <c r="S659" s="34">
        <v>23</v>
      </c>
      <c r="T659" s="34">
        <v>5</v>
      </c>
      <c r="U659" s="34">
        <v>15080</v>
      </c>
      <c r="V659" s="35" t="s">
        <v>959</v>
      </c>
      <c r="W659" s="35" t="s">
        <v>959</v>
      </c>
    </row>
    <row r="660" spans="1:23" x14ac:dyDescent="0.2">
      <c r="A660" s="30" t="s">
        <v>699</v>
      </c>
      <c r="B660" s="30" t="s">
        <v>1343</v>
      </c>
      <c r="C660" s="34">
        <v>204</v>
      </c>
      <c r="D660" s="35">
        <v>202</v>
      </c>
      <c r="E660" s="34">
        <f>IF(OR(D660="-",D660="",D660=0),IF(C660="-","-",C660),C660-D660)</f>
        <v>2</v>
      </c>
      <c r="F660" s="4">
        <f>IFERROR(IF(C660&gt;0, D660/C660, 0),"-")</f>
        <v>0.99019607843137258</v>
      </c>
      <c r="G660" s="34">
        <v>2</v>
      </c>
      <c r="H660" s="35">
        <v>1</v>
      </c>
      <c r="I660" s="34">
        <f>IF(OR(H660="-",H660="",H660=0),IF(G660="-","-",G660),G660-H660)</f>
        <v>1</v>
      </c>
      <c r="J660" s="4">
        <f>IFERROR(IF(G660&gt;0, H660/G660, 0),"-")</f>
        <v>0.5</v>
      </c>
      <c r="K660" s="34">
        <v>4</v>
      </c>
      <c r="L660" s="35">
        <v>3</v>
      </c>
      <c r="M660" s="34">
        <f>IF(OR(L660="-",L660="",L660=0),IF(K660="-","-",K660),K660-L660)</f>
        <v>1</v>
      </c>
      <c r="N660" s="4">
        <f>IFERROR(IF(K660&gt;0, L660/K660, 0),"-")</f>
        <v>0.75</v>
      </c>
      <c r="O660" s="34">
        <v>4</v>
      </c>
      <c r="P660" s="35">
        <v>2</v>
      </c>
      <c r="Q660" s="34">
        <f>IF(OR(P660="-",P660="",P660=0),IF(O660="-","-",O660),O660-P660)</f>
        <v>2</v>
      </c>
      <c r="R660" s="4">
        <f>IFERROR(IF(O660&gt;0, P660/O660, 0),"-")</f>
        <v>0.5</v>
      </c>
      <c r="S660" s="34">
        <v>449</v>
      </c>
      <c r="T660" s="34">
        <v>12</v>
      </c>
      <c r="U660" s="34">
        <v>9650</v>
      </c>
      <c r="V660" s="35">
        <v>7</v>
      </c>
      <c r="W660" s="35">
        <v>173242</v>
      </c>
    </row>
    <row r="661" spans="1:23" x14ac:dyDescent="0.2">
      <c r="A661" s="30" t="s">
        <v>711</v>
      </c>
      <c r="B661" s="30" t="s">
        <v>1344</v>
      </c>
      <c r="C661" s="34">
        <v>43</v>
      </c>
      <c r="D661" s="35">
        <v>34</v>
      </c>
      <c r="E661" s="34">
        <f>IF(OR(D661="-",D661="",D661=0),IF(C661="-","-",C661),C661-D661)</f>
        <v>9</v>
      </c>
      <c r="F661" s="4">
        <f>IFERROR(IF(C661&gt;0, D661/C661, 0),"-")</f>
        <v>0.79069767441860461</v>
      </c>
      <c r="G661" s="34">
        <v>3</v>
      </c>
      <c r="H661" s="35">
        <v>2</v>
      </c>
      <c r="I661" s="34">
        <f>IF(OR(H661="-",H661="",H661=0),IF(G661="-","-",G661),G661-H661)</f>
        <v>1</v>
      </c>
      <c r="J661" s="4">
        <f>IFERROR(IF(G661&gt;0, H661/G661, 0),"-")</f>
        <v>0.66666666666666663</v>
      </c>
      <c r="K661" s="34">
        <v>2</v>
      </c>
      <c r="L661" s="35" t="s">
        <v>959</v>
      </c>
      <c r="M661" s="34">
        <f>IF(OR(L661="-",L661="",L661=0),IF(K661="-","-",K661),K661-L661)</f>
        <v>2</v>
      </c>
      <c r="N661" s="4" t="str">
        <f>IFERROR(IF(K661&gt;0, L661/K661, 0),"-")</f>
        <v>-</v>
      </c>
      <c r="O661" s="34">
        <v>1</v>
      </c>
      <c r="P661" s="35" t="s">
        <v>959</v>
      </c>
      <c r="Q661" s="34">
        <f>IF(OR(P661="-",P661="",P661=0),IF(O661="-","-",O661),O661-P661)</f>
        <v>1</v>
      </c>
      <c r="R661" s="4" t="str">
        <f>IFERROR(IF(O661&gt;0, P661/O661, 0),"-")</f>
        <v>-</v>
      </c>
      <c r="S661" s="34">
        <v>7</v>
      </c>
      <c r="T661" s="34" t="s">
        <v>959</v>
      </c>
      <c r="U661" s="34" t="s">
        <v>959</v>
      </c>
      <c r="V661" s="35" t="s">
        <v>959</v>
      </c>
      <c r="W661" s="35" t="s">
        <v>959</v>
      </c>
    </row>
    <row r="662" spans="1:23" x14ac:dyDescent="0.2">
      <c r="A662" s="29"/>
      <c r="B662" s="29" t="s">
        <v>89</v>
      </c>
      <c r="C662" s="32">
        <v>710</v>
      </c>
      <c r="D662" s="32">
        <v>693</v>
      </c>
      <c r="E662" s="32">
        <f>IF(OR(D662="-",D662="",D662=0),IF(C662="-","-",C662),C662-D662)</f>
        <v>17</v>
      </c>
      <c r="F662" s="36">
        <f>IFERROR(IF(C662&gt;0, D662/C662, 0),"-")</f>
        <v>0.97605633802816905</v>
      </c>
      <c r="G662" s="32">
        <v>6</v>
      </c>
      <c r="H662" s="32">
        <v>2</v>
      </c>
      <c r="I662" s="32">
        <f>IF(OR(H662="-",H662="",H662=0),IF(G662="-","-",G662),G662-H662)</f>
        <v>4</v>
      </c>
      <c r="J662" s="36">
        <f>IFERROR(IF(G662&gt;0, H662/G662, 0),"-")</f>
        <v>0.33333333333333331</v>
      </c>
      <c r="K662" s="32">
        <v>6</v>
      </c>
      <c r="L662" s="32">
        <v>3</v>
      </c>
      <c r="M662" s="32">
        <f>IF(OR(L662="-",L662="",L662=0),IF(K662="-","-",K662),K662-L662)</f>
        <v>3</v>
      </c>
      <c r="N662" s="36">
        <f>IFERROR(IF(K662&gt;0, L662/K662, 0),"-")</f>
        <v>0.5</v>
      </c>
      <c r="O662" s="32">
        <v>16</v>
      </c>
      <c r="P662" s="32">
        <v>2</v>
      </c>
      <c r="Q662" s="32">
        <f>IF(OR(P662="-",P662="",P662=0),IF(O662="-","-",O662),O662-P662)</f>
        <v>14</v>
      </c>
      <c r="R662" s="36">
        <f>IFERROR(IF(O662&gt;0, P662/O662, 0),"-")</f>
        <v>0.125</v>
      </c>
      <c r="S662" s="32">
        <v>370</v>
      </c>
      <c r="T662" s="32">
        <v>24</v>
      </c>
      <c r="U662" s="32">
        <v>59550</v>
      </c>
      <c r="V662" s="32">
        <v>2</v>
      </c>
      <c r="W662" s="32">
        <v>49675</v>
      </c>
    </row>
    <row r="663" spans="1:23" x14ac:dyDescent="0.2">
      <c r="A663" s="30" t="s">
        <v>601</v>
      </c>
      <c r="B663" s="30" t="s">
        <v>1345</v>
      </c>
      <c r="C663" s="34">
        <v>254</v>
      </c>
      <c r="D663" s="35">
        <v>251</v>
      </c>
      <c r="E663" s="34">
        <f>IF(OR(D663="-",D663="",D663=0),IF(C663="-","-",C663),C663-D663)</f>
        <v>3</v>
      </c>
      <c r="F663" s="4">
        <f>IFERROR(IF(C663&gt;0, D663/C663, 0),"-")</f>
        <v>0.98818897637795278</v>
      </c>
      <c r="G663" s="34">
        <v>4</v>
      </c>
      <c r="H663" s="35">
        <v>2</v>
      </c>
      <c r="I663" s="34">
        <f>IF(OR(H663="-",H663="",H663=0),IF(G663="-","-",G663),G663-H663)</f>
        <v>2</v>
      </c>
      <c r="J663" s="4">
        <f>IFERROR(IF(G663&gt;0, H663/G663, 0),"-")</f>
        <v>0.5</v>
      </c>
      <c r="K663" s="34">
        <v>2</v>
      </c>
      <c r="L663" s="35">
        <v>2</v>
      </c>
      <c r="M663" s="34">
        <f>IF(OR(L663="-",L663="",L663=0),IF(K663="-","-",K663),K663-L663)</f>
        <v>0</v>
      </c>
      <c r="N663" s="4">
        <f>IFERROR(IF(K663&gt;0, L663/K663, 0),"-")</f>
        <v>1</v>
      </c>
      <c r="O663" s="34">
        <v>5</v>
      </c>
      <c r="P663" s="35">
        <v>2</v>
      </c>
      <c r="Q663" s="34">
        <f>IF(OR(P663="-",P663="",P663=0),IF(O663="-","-",O663),O663-P663)</f>
        <v>3</v>
      </c>
      <c r="R663" s="4">
        <f>IFERROR(IF(O663&gt;0, P663/O663, 0),"-")</f>
        <v>0.4</v>
      </c>
      <c r="S663" s="34">
        <v>83</v>
      </c>
      <c r="T663" s="34">
        <v>7</v>
      </c>
      <c r="U663" s="34">
        <v>18900</v>
      </c>
      <c r="V663" s="35" t="s">
        <v>959</v>
      </c>
      <c r="W663" s="35" t="s">
        <v>959</v>
      </c>
    </row>
    <row r="664" spans="1:23" x14ac:dyDescent="0.2">
      <c r="A664" s="30" t="s">
        <v>604</v>
      </c>
      <c r="B664" s="30" t="s">
        <v>1346</v>
      </c>
      <c r="C664" s="34">
        <v>84</v>
      </c>
      <c r="D664" s="35">
        <v>79</v>
      </c>
      <c r="E664" s="34">
        <f>IF(OR(D664="-",D664="",D664=0),IF(C664="-","-",C664),C664-D664)</f>
        <v>5</v>
      </c>
      <c r="F664" s="4">
        <f>IFERROR(IF(C664&gt;0, D664/C664, 0),"-")</f>
        <v>0.94047619047619047</v>
      </c>
      <c r="G664" s="34">
        <v>2</v>
      </c>
      <c r="H664" s="35" t="s">
        <v>959</v>
      </c>
      <c r="I664" s="34">
        <f>IF(OR(H664="-",H664="",H664=0),IF(G664="-","-",G664),G664-H664)</f>
        <v>2</v>
      </c>
      <c r="J664" s="4" t="str">
        <f>IFERROR(IF(G664&gt;0, H664/G664, 0),"-")</f>
        <v>-</v>
      </c>
      <c r="K664" s="34">
        <v>1</v>
      </c>
      <c r="L664" s="35" t="s">
        <v>959</v>
      </c>
      <c r="M664" s="34">
        <f>IF(OR(L664="-",L664="",L664=0),IF(K664="-","-",K664),K664-L664)</f>
        <v>1</v>
      </c>
      <c r="N664" s="4" t="str">
        <f>IFERROR(IF(K664&gt;0, L664/K664, 0),"-")</f>
        <v>-</v>
      </c>
      <c r="O664" s="34">
        <v>1</v>
      </c>
      <c r="P664" s="35" t="s">
        <v>959</v>
      </c>
      <c r="Q664" s="34">
        <f>IF(OR(P664="-",P664="",P664=0),IF(O664="-","-",O664),O664-P664)</f>
        <v>1</v>
      </c>
      <c r="R664" s="4" t="str">
        <f>IFERROR(IF(O664&gt;0, P664/O664, 0),"-")</f>
        <v>-</v>
      </c>
      <c r="S664" s="34">
        <v>9</v>
      </c>
      <c r="T664" s="34">
        <v>1</v>
      </c>
      <c r="U664" s="34">
        <v>5710</v>
      </c>
      <c r="V664" s="35" t="s">
        <v>959</v>
      </c>
      <c r="W664" s="35" t="s">
        <v>959</v>
      </c>
    </row>
    <row r="665" spans="1:23" x14ac:dyDescent="0.2">
      <c r="A665" s="30" t="s">
        <v>615</v>
      </c>
      <c r="B665" s="30" t="s">
        <v>1347</v>
      </c>
      <c r="C665" s="34">
        <v>51</v>
      </c>
      <c r="D665" s="35">
        <v>51</v>
      </c>
      <c r="E665" s="34">
        <f>IF(OR(D665="-",D665="",D665=0),IF(C665="-","-",C665),C665-D665)</f>
        <v>0</v>
      </c>
      <c r="F665" s="4">
        <f>IFERROR(IF(C665&gt;0, D665/C665, 0),"-")</f>
        <v>1</v>
      </c>
      <c r="G665" s="34" t="s">
        <v>959</v>
      </c>
      <c r="H665" s="35" t="s">
        <v>959</v>
      </c>
      <c r="I665" s="34" t="str">
        <f>IF(OR(H665="-",H665="",H665=0),IF(G665="-","-",G665),G665-H665)</f>
        <v>-</v>
      </c>
      <c r="J665" s="4" t="str">
        <f>IFERROR(IF(G665&gt;0, H665/G665, 0),"-")</f>
        <v>-</v>
      </c>
      <c r="K665" s="34">
        <v>1</v>
      </c>
      <c r="L665" s="35" t="s">
        <v>959</v>
      </c>
      <c r="M665" s="34">
        <f>IF(OR(L665="-",L665="",L665=0),IF(K665="-","-",K665),K665-L665)</f>
        <v>1</v>
      </c>
      <c r="N665" s="4" t="str">
        <f>IFERROR(IF(K665&gt;0, L665/K665, 0),"-")</f>
        <v>-</v>
      </c>
      <c r="O665" s="34">
        <v>2</v>
      </c>
      <c r="P665" s="35" t="s">
        <v>959</v>
      </c>
      <c r="Q665" s="34">
        <f>IF(OR(P665="-",P665="",P665=0),IF(O665="-","-",O665),O665-P665)</f>
        <v>2</v>
      </c>
      <c r="R665" s="4" t="str">
        <f>IFERROR(IF(O665&gt;0, P665/O665, 0),"-")</f>
        <v>-</v>
      </c>
      <c r="S665" s="34">
        <v>4</v>
      </c>
      <c r="T665" s="34">
        <v>1</v>
      </c>
      <c r="U665" s="34">
        <v>2650</v>
      </c>
      <c r="V665" s="35" t="s">
        <v>959</v>
      </c>
      <c r="W665" s="35" t="s">
        <v>959</v>
      </c>
    </row>
    <row r="666" spans="1:23" x14ac:dyDescent="0.2">
      <c r="A666" s="30" t="s">
        <v>603</v>
      </c>
      <c r="B666" s="30" t="s">
        <v>1348</v>
      </c>
      <c r="C666" s="34">
        <v>136</v>
      </c>
      <c r="D666" s="35">
        <v>131</v>
      </c>
      <c r="E666" s="34">
        <f>IF(OR(D666="-",D666="",D666=0),IF(C666="-","-",C666),C666-D666)</f>
        <v>5</v>
      </c>
      <c r="F666" s="4">
        <f>IFERROR(IF(C666&gt;0, D666/C666, 0),"-")</f>
        <v>0.96323529411764708</v>
      </c>
      <c r="G666" s="34" t="s">
        <v>959</v>
      </c>
      <c r="H666" s="35" t="s">
        <v>959</v>
      </c>
      <c r="I666" s="34" t="str">
        <f>IF(OR(H666="-",H666="",H666=0),IF(G666="-","-",G666),G666-H666)</f>
        <v>-</v>
      </c>
      <c r="J666" s="4" t="str">
        <f>IFERROR(IF(G666&gt;0, H666/G666, 0),"-")</f>
        <v>-</v>
      </c>
      <c r="K666" s="34">
        <v>1</v>
      </c>
      <c r="L666" s="35" t="s">
        <v>959</v>
      </c>
      <c r="M666" s="34">
        <f>IF(OR(L666="-",L666="",L666=0),IF(K666="-","-",K666),K666-L666)</f>
        <v>1</v>
      </c>
      <c r="N666" s="4" t="str">
        <f>IFERROR(IF(K666&gt;0, L666/K666, 0),"-")</f>
        <v>-</v>
      </c>
      <c r="O666" s="34">
        <v>3</v>
      </c>
      <c r="P666" s="35" t="s">
        <v>959</v>
      </c>
      <c r="Q666" s="34">
        <f>IF(OR(P666="-",P666="",P666=0),IF(O666="-","-",O666),O666-P666)</f>
        <v>3</v>
      </c>
      <c r="R666" s="4" t="str">
        <f>IFERROR(IF(O666&gt;0, P666/O666, 0),"-")</f>
        <v>-</v>
      </c>
      <c r="S666" s="34">
        <v>129</v>
      </c>
      <c r="T666" s="34">
        <v>3</v>
      </c>
      <c r="U666" s="34">
        <v>3800</v>
      </c>
      <c r="V666" s="35">
        <v>2</v>
      </c>
      <c r="W666" s="35">
        <v>49675</v>
      </c>
    </row>
    <row r="667" spans="1:23" x14ac:dyDescent="0.2">
      <c r="A667" s="30" t="s">
        <v>602</v>
      </c>
      <c r="B667" s="30" t="s">
        <v>1349</v>
      </c>
      <c r="C667" s="34">
        <v>185</v>
      </c>
      <c r="D667" s="35">
        <v>181</v>
      </c>
      <c r="E667" s="34">
        <f>IF(OR(D667="-",D667="",D667=0),IF(C667="-","-",C667),C667-D667)</f>
        <v>4</v>
      </c>
      <c r="F667" s="4">
        <f>IFERROR(IF(C667&gt;0, D667/C667, 0),"-")</f>
        <v>0.97837837837837838</v>
      </c>
      <c r="G667" s="34" t="s">
        <v>959</v>
      </c>
      <c r="H667" s="35" t="s">
        <v>959</v>
      </c>
      <c r="I667" s="34" t="str">
        <f>IF(OR(H667="-",H667="",H667=0),IF(G667="-","-",G667),G667-H667)</f>
        <v>-</v>
      </c>
      <c r="J667" s="4" t="str">
        <f>IFERROR(IF(G667&gt;0, H667/G667, 0),"-")</f>
        <v>-</v>
      </c>
      <c r="K667" s="34">
        <v>1</v>
      </c>
      <c r="L667" s="35">
        <v>1</v>
      </c>
      <c r="M667" s="34">
        <f>IF(OR(L667="-",L667="",L667=0),IF(K667="-","-",K667),K667-L667)</f>
        <v>0</v>
      </c>
      <c r="N667" s="4">
        <f>IFERROR(IF(K667&gt;0, L667/K667, 0),"-")</f>
        <v>1</v>
      </c>
      <c r="O667" s="34">
        <v>5</v>
      </c>
      <c r="P667" s="35" t="s">
        <v>959</v>
      </c>
      <c r="Q667" s="34">
        <f>IF(OR(P667="-",P667="",P667=0),IF(O667="-","-",O667),O667-P667)</f>
        <v>5</v>
      </c>
      <c r="R667" s="4" t="str">
        <f>IFERROR(IF(O667&gt;0, P667/O667, 0),"-")</f>
        <v>-</v>
      </c>
      <c r="S667" s="34">
        <v>145</v>
      </c>
      <c r="T667" s="34">
        <v>12</v>
      </c>
      <c r="U667" s="34">
        <v>28490</v>
      </c>
      <c r="V667" s="35" t="s">
        <v>959</v>
      </c>
      <c r="W667" s="35" t="s">
        <v>959</v>
      </c>
    </row>
    <row r="668" spans="1:23" x14ac:dyDescent="0.2">
      <c r="A668" s="29"/>
      <c r="B668" s="29" t="s">
        <v>94</v>
      </c>
      <c r="C668" s="32">
        <v>1001</v>
      </c>
      <c r="D668" s="32">
        <v>971</v>
      </c>
      <c r="E668" s="32">
        <f>IF(OR(D668="-",D668="",D668=0),IF(C668="-","-",C668),C668-D668)</f>
        <v>30</v>
      </c>
      <c r="F668" s="36">
        <f>IFERROR(IF(C668&gt;0, D668/C668, 0),"-")</f>
        <v>0.97002997002997005</v>
      </c>
      <c r="G668" s="32">
        <v>13</v>
      </c>
      <c r="H668" s="32">
        <v>3</v>
      </c>
      <c r="I668" s="32">
        <f>IF(OR(H668="-",H668="",H668=0),IF(G668="-","-",G668),G668-H668)</f>
        <v>10</v>
      </c>
      <c r="J668" s="36">
        <f>IFERROR(IF(G668&gt;0, H668/G668, 0),"-")</f>
        <v>0.23076923076923078</v>
      </c>
      <c r="K668" s="32">
        <v>24</v>
      </c>
      <c r="L668" s="32">
        <v>3</v>
      </c>
      <c r="M668" s="32">
        <f>IF(OR(L668="-",L668="",L668=0),IF(K668="-","-",K668),K668-L668)</f>
        <v>21</v>
      </c>
      <c r="N668" s="36">
        <f>IFERROR(IF(K668&gt;0, L668/K668, 0),"-")</f>
        <v>0.125</v>
      </c>
      <c r="O668" s="32">
        <v>19</v>
      </c>
      <c r="P668" s="32">
        <v>4</v>
      </c>
      <c r="Q668" s="32">
        <f>IF(OR(P668="-",P668="",P668=0),IF(O668="-","-",O668),O668-P668)</f>
        <v>15</v>
      </c>
      <c r="R668" s="36">
        <f>IFERROR(IF(O668&gt;0, P668/O668, 0),"-")</f>
        <v>0.21052631578947367</v>
      </c>
      <c r="S668" s="32">
        <v>1871</v>
      </c>
      <c r="T668" s="32">
        <v>10</v>
      </c>
      <c r="U668" s="32">
        <v>133260</v>
      </c>
      <c r="V668" s="32">
        <v>44</v>
      </c>
      <c r="W668" s="32">
        <v>1052426</v>
      </c>
    </row>
    <row r="669" spans="1:23" x14ac:dyDescent="0.2">
      <c r="A669" s="30" t="s">
        <v>639</v>
      </c>
      <c r="B669" s="30" t="s">
        <v>1350</v>
      </c>
      <c r="C669" s="34">
        <v>129</v>
      </c>
      <c r="D669" s="35">
        <v>123</v>
      </c>
      <c r="E669" s="34">
        <f>IF(OR(D669="-",D669="",D669=0),IF(C669="-","-",C669),C669-D669)</f>
        <v>6</v>
      </c>
      <c r="F669" s="4">
        <f>IFERROR(IF(C669&gt;0, D669/C669, 0),"-")</f>
        <v>0.95348837209302328</v>
      </c>
      <c r="G669" s="34">
        <v>2</v>
      </c>
      <c r="H669" s="35" t="s">
        <v>959</v>
      </c>
      <c r="I669" s="34">
        <f>IF(OR(H669="-",H669="",H669=0),IF(G669="-","-",G669),G669-H669)</f>
        <v>2</v>
      </c>
      <c r="J669" s="4" t="str">
        <f>IFERROR(IF(G669&gt;0, H669/G669, 0),"-")</f>
        <v>-</v>
      </c>
      <c r="K669" s="34">
        <v>3</v>
      </c>
      <c r="L669" s="35" t="s">
        <v>959</v>
      </c>
      <c r="M669" s="34">
        <f>IF(OR(L669="-",L669="",L669=0),IF(K669="-","-",K669),K669-L669)</f>
        <v>3</v>
      </c>
      <c r="N669" s="4" t="str">
        <f>IFERROR(IF(K669&gt;0, L669/K669, 0),"-")</f>
        <v>-</v>
      </c>
      <c r="O669" s="34">
        <v>5</v>
      </c>
      <c r="P669" s="35" t="s">
        <v>959</v>
      </c>
      <c r="Q669" s="34">
        <f>IF(OR(P669="-",P669="",P669=0),IF(O669="-","-",O669),O669-P669)</f>
        <v>5</v>
      </c>
      <c r="R669" s="4" t="str">
        <f>IFERROR(IF(O669&gt;0, P669/O669, 0),"-")</f>
        <v>-</v>
      </c>
      <c r="S669" s="34">
        <v>393</v>
      </c>
      <c r="T669" s="34">
        <v>1</v>
      </c>
      <c r="U669" s="34">
        <v>3235</v>
      </c>
      <c r="V669" s="35">
        <v>14</v>
      </c>
      <c r="W669" s="35">
        <v>348531</v>
      </c>
    </row>
    <row r="670" spans="1:23" x14ac:dyDescent="0.2">
      <c r="A670" s="30" t="s">
        <v>644</v>
      </c>
      <c r="B670" s="30" t="s">
        <v>1351</v>
      </c>
      <c r="C670" s="34">
        <v>159</v>
      </c>
      <c r="D670" s="35">
        <v>156</v>
      </c>
      <c r="E670" s="34">
        <f>IF(OR(D670="-",D670="",D670=0),IF(C670="-","-",C670),C670-D670)</f>
        <v>3</v>
      </c>
      <c r="F670" s="4">
        <f>IFERROR(IF(C670&gt;0, D670/C670, 0),"-")</f>
        <v>0.98113207547169812</v>
      </c>
      <c r="G670" s="34">
        <v>2</v>
      </c>
      <c r="H670" s="35">
        <v>2</v>
      </c>
      <c r="I670" s="34">
        <f>IF(OR(H670="-",H670="",H670=0),IF(G670="-","-",G670),G670-H670)</f>
        <v>0</v>
      </c>
      <c r="J670" s="4">
        <f>IFERROR(IF(G670&gt;0, H670/G670, 0),"-")</f>
        <v>1</v>
      </c>
      <c r="K670" s="34">
        <v>4</v>
      </c>
      <c r="L670" s="35">
        <v>2</v>
      </c>
      <c r="M670" s="34">
        <f>IF(OR(L670="-",L670="",L670=0),IF(K670="-","-",K670),K670-L670)</f>
        <v>2</v>
      </c>
      <c r="N670" s="4">
        <f>IFERROR(IF(K670&gt;0, L670/K670, 0),"-")</f>
        <v>0.5</v>
      </c>
      <c r="O670" s="34">
        <v>3</v>
      </c>
      <c r="P670" s="35">
        <v>1</v>
      </c>
      <c r="Q670" s="34">
        <f>IF(OR(P670="-",P670="",P670=0),IF(O670="-","-",O670),O670-P670)</f>
        <v>2</v>
      </c>
      <c r="R670" s="4">
        <f>IFERROR(IF(O670&gt;0, P670/O670, 0),"-")</f>
        <v>0.33333333333333331</v>
      </c>
      <c r="S670" s="34">
        <v>285</v>
      </c>
      <c r="T670" s="34">
        <v>5</v>
      </c>
      <c r="U670" s="34">
        <v>117095</v>
      </c>
      <c r="V670" s="35">
        <v>7</v>
      </c>
      <c r="W670" s="35">
        <v>187690</v>
      </c>
    </row>
    <row r="671" spans="1:23" x14ac:dyDescent="0.2">
      <c r="A671" s="30" t="s">
        <v>663</v>
      </c>
      <c r="B671" s="30" t="s">
        <v>1352</v>
      </c>
      <c r="C671" s="34">
        <v>29</v>
      </c>
      <c r="D671" s="35">
        <v>29</v>
      </c>
      <c r="E671" s="34">
        <f>IF(OR(D671="-",D671="",D671=0),IF(C671="-","-",C671),C671-D671)</f>
        <v>0</v>
      </c>
      <c r="F671" s="4">
        <f>IFERROR(IF(C671&gt;0, D671/C671, 0),"-")</f>
        <v>1</v>
      </c>
      <c r="G671" s="34">
        <v>1</v>
      </c>
      <c r="H671" s="35">
        <v>1</v>
      </c>
      <c r="I671" s="34">
        <f>IF(OR(H671="-",H671="",H671=0),IF(G671="-","-",G671),G671-H671)</f>
        <v>0</v>
      </c>
      <c r="J671" s="4">
        <f>IFERROR(IF(G671&gt;0, H671/G671, 0),"-")</f>
        <v>1</v>
      </c>
      <c r="K671" s="34" t="s">
        <v>959</v>
      </c>
      <c r="L671" s="35" t="s">
        <v>959</v>
      </c>
      <c r="M671" s="34" t="str">
        <f>IF(OR(L671="-",L671="",L671=0),IF(K671="-","-",K671),K671-L671)</f>
        <v>-</v>
      </c>
      <c r="N671" s="4" t="str">
        <f>IFERROR(IF(K671&gt;0, L671/K671, 0),"-")</f>
        <v>-</v>
      </c>
      <c r="O671" s="34" t="s">
        <v>959</v>
      </c>
      <c r="P671" s="35" t="s">
        <v>959</v>
      </c>
      <c r="Q671" s="34" t="str">
        <f>IF(OR(P671="-",P671="",P671=0),IF(O671="-","-",O671),O671-P671)</f>
        <v>-</v>
      </c>
      <c r="R671" s="4" t="str">
        <f>IFERROR(IF(O671&gt;0, P671/O671, 0),"-")</f>
        <v>-</v>
      </c>
      <c r="S671" s="34">
        <v>4</v>
      </c>
      <c r="T671" s="34" t="s">
        <v>959</v>
      </c>
      <c r="U671" s="34" t="s">
        <v>959</v>
      </c>
      <c r="V671" s="35" t="s">
        <v>959</v>
      </c>
      <c r="W671" s="35" t="s">
        <v>959</v>
      </c>
    </row>
    <row r="672" spans="1:23" x14ac:dyDescent="0.2">
      <c r="A672" s="30" t="s">
        <v>643</v>
      </c>
      <c r="B672" s="30" t="s">
        <v>1353</v>
      </c>
      <c r="C672" s="34">
        <v>170</v>
      </c>
      <c r="D672" s="35">
        <v>164</v>
      </c>
      <c r="E672" s="34">
        <f>IF(OR(D672="-",D672="",D672=0),IF(C672="-","-",C672),C672-D672)</f>
        <v>6</v>
      </c>
      <c r="F672" s="4">
        <f>IFERROR(IF(C672&gt;0, D672/C672, 0),"-")</f>
        <v>0.96470588235294119</v>
      </c>
      <c r="G672" s="34">
        <v>2</v>
      </c>
      <c r="H672" s="35" t="s">
        <v>959</v>
      </c>
      <c r="I672" s="34">
        <f>IF(OR(H672="-",H672="",H672=0),IF(G672="-","-",G672),G672-H672)</f>
        <v>2</v>
      </c>
      <c r="J672" s="4" t="str">
        <f>IFERROR(IF(G672&gt;0, H672/G672, 0),"-")</f>
        <v>-</v>
      </c>
      <c r="K672" s="34">
        <v>6</v>
      </c>
      <c r="L672" s="35">
        <v>1</v>
      </c>
      <c r="M672" s="34">
        <f>IF(OR(L672="-",L672="",L672=0),IF(K672="-","-",K672),K672-L672)</f>
        <v>5</v>
      </c>
      <c r="N672" s="4">
        <f>IFERROR(IF(K672&gt;0, L672/K672, 0),"-")</f>
        <v>0.16666666666666666</v>
      </c>
      <c r="O672" s="34">
        <v>3</v>
      </c>
      <c r="P672" s="35">
        <v>2</v>
      </c>
      <c r="Q672" s="34">
        <f>IF(OR(P672="-",P672="",P672=0),IF(O672="-","-",O672),O672-P672)</f>
        <v>1</v>
      </c>
      <c r="R672" s="4">
        <f>IFERROR(IF(O672&gt;0, P672/O672, 0),"-")</f>
        <v>0.66666666666666663</v>
      </c>
      <c r="S672" s="34">
        <v>382</v>
      </c>
      <c r="T672" s="34" t="s">
        <v>959</v>
      </c>
      <c r="U672" s="34" t="s">
        <v>959</v>
      </c>
      <c r="V672" s="35">
        <v>6</v>
      </c>
      <c r="W672" s="35">
        <v>89597</v>
      </c>
    </row>
    <row r="673" spans="1:23" x14ac:dyDescent="0.2">
      <c r="A673" s="30" t="s">
        <v>638</v>
      </c>
      <c r="B673" s="30" t="s">
        <v>1354</v>
      </c>
      <c r="C673" s="34">
        <v>13</v>
      </c>
      <c r="D673" s="35">
        <v>10</v>
      </c>
      <c r="E673" s="34">
        <f>IF(OR(D673="-",D673="",D673=0),IF(C673="-","-",C673),C673-D673)</f>
        <v>3</v>
      </c>
      <c r="F673" s="4">
        <f>IFERROR(IF(C673&gt;0, D673/C673, 0),"-")</f>
        <v>0.76923076923076927</v>
      </c>
      <c r="G673" s="34" t="s">
        <v>959</v>
      </c>
      <c r="H673" s="35" t="s">
        <v>959</v>
      </c>
      <c r="I673" s="34" t="str">
        <f>IF(OR(H673="-",H673="",H673=0),IF(G673="-","-",G673),G673-H673)</f>
        <v>-</v>
      </c>
      <c r="J673" s="4" t="str">
        <f>IFERROR(IF(G673&gt;0, H673/G673, 0),"-")</f>
        <v>-</v>
      </c>
      <c r="K673" s="34">
        <v>2</v>
      </c>
      <c r="L673" s="35" t="s">
        <v>959</v>
      </c>
      <c r="M673" s="34">
        <f>IF(OR(L673="-",L673="",L673=0),IF(K673="-","-",K673),K673-L673)</f>
        <v>2</v>
      </c>
      <c r="N673" s="4" t="str">
        <f>IFERROR(IF(K673&gt;0, L673/K673, 0),"-")</f>
        <v>-</v>
      </c>
      <c r="O673" s="34" t="s">
        <v>959</v>
      </c>
      <c r="P673" s="35" t="s">
        <v>959</v>
      </c>
      <c r="Q673" s="34" t="str">
        <f>IF(OR(P673="-",P673="",P673=0),IF(O673="-","-",O673),O673-P673)</f>
        <v>-</v>
      </c>
      <c r="R673" s="4" t="str">
        <f>IFERROR(IF(O673&gt;0, P673/O673, 0),"-")</f>
        <v>-</v>
      </c>
      <c r="S673" s="34">
        <v>11</v>
      </c>
      <c r="T673" s="34" t="s">
        <v>959</v>
      </c>
      <c r="U673" s="34" t="s">
        <v>959</v>
      </c>
      <c r="V673" s="35" t="s">
        <v>959</v>
      </c>
      <c r="W673" s="35" t="s">
        <v>959</v>
      </c>
    </row>
    <row r="674" spans="1:23" x14ac:dyDescent="0.2">
      <c r="A674" s="30" t="s">
        <v>640</v>
      </c>
      <c r="B674" s="30" t="s">
        <v>1355</v>
      </c>
      <c r="C674" s="34">
        <v>105</v>
      </c>
      <c r="D674" s="35">
        <v>105</v>
      </c>
      <c r="E674" s="34">
        <f>IF(OR(D674="-",D674="",D674=0),IF(C674="-","-",C674),C674-D674)</f>
        <v>0</v>
      </c>
      <c r="F674" s="4">
        <f>IFERROR(IF(C674&gt;0, D674/C674, 0),"-")</f>
        <v>1</v>
      </c>
      <c r="G674" s="34" t="s">
        <v>959</v>
      </c>
      <c r="H674" s="35" t="s">
        <v>959</v>
      </c>
      <c r="I674" s="34" t="str">
        <f>IF(OR(H674="-",H674="",H674=0),IF(G674="-","-",G674),G674-H674)</f>
        <v>-</v>
      </c>
      <c r="J674" s="4" t="str">
        <f>IFERROR(IF(G674&gt;0, H674/G674, 0),"-")</f>
        <v>-</v>
      </c>
      <c r="K674" s="34">
        <v>2</v>
      </c>
      <c r="L674" s="35" t="s">
        <v>959</v>
      </c>
      <c r="M674" s="34">
        <f>IF(OR(L674="-",L674="",L674=0),IF(K674="-","-",K674),K674-L674)</f>
        <v>2</v>
      </c>
      <c r="N674" s="4" t="str">
        <f>IFERROR(IF(K674&gt;0, L674/K674, 0),"-")</f>
        <v>-</v>
      </c>
      <c r="O674" s="34">
        <v>1</v>
      </c>
      <c r="P674" s="35" t="s">
        <v>959</v>
      </c>
      <c r="Q674" s="34">
        <f>IF(OR(P674="-",P674="",P674=0),IF(O674="-","-",O674),O674-P674)</f>
        <v>1</v>
      </c>
      <c r="R674" s="4" t="str">
        <f>IFERROR(IF(O674&gt;0, P674/O674, 0),"-")</f>
        <v>-</v>
      </c>
      <c r="S674" s="34">
        <v>191</v>
      </c>
      <c r="T674" s="34" t="s">
        <v>959</v>
      </c>
      <c r="U674" s="34" t="s">
        <v>959</v>
      </c>
      <c r="V674" s="35">
        <v>5</v>
      </c>
      <c r="W674" s="35">
        <v>125449</v>
      </c>
    </row>
    <row r="675" spans="1:23" x14ac:dyDescent="0.2">
      <c r="A675" s="30" t="s">
        <v>642</v>
      </c>
      <c r="B675" s="30" t="s">
        <v>1356</v>
      </c>
      <c r="C675" s="34">
        <v>85</v>
      </c>
      <c r="D675" s="35">
        <v>83</v>
      </c>
      <c r="E675" s="34">
        <f>IF(OR(D675="-",D675="",D675=0),IF(C675="-","-",C675),C675-D675)</f>
        <v>2</v>
      </c>
      <c r="F675" s="4">
        <f>IFERROR(IF(C675&gt;0, D675/C675, 0),"-")</f>
        <v>0.97647058823529409</v>
      </c>
      <c r="G675" s="34" t="s">
        <v>959</v>
      </c>
      <c r="H675" s="35" t="s">
        <v>959</v>
      </c>
      <c r="I675" s="34" t="str">
        <f>IF(OR(H675="-",H675="",H675=0),IF(G675="-","-",G675),G675-H675)</f>
        <v>-</v>
      </c>
      <c r="J675" s="4" t="str">
        <f>IFERROR(IF(G675&gt;0, H675/G675, 0),"-")</f>
        <v>-</v>
      </c>
      <c r="K675" s="34">
        <v>5</v>
      </c>
      <c r="L675" s="35" t="s">
        <v>959</v>
      </c>
      <c r="M675" s="34">
        <f>IF(OR(L675="-",L675="",L675=0),IF(K675="-","-",K675),K675-L675)</f>
        <v>5</v>
      </c>
      <c r="N675" s="4" t="str">
        <f>IFERROR(IF(K675&gt;0, L675/K675, 0),"-")</f>
        <v>-</v>
      </c>
      <c r="O675" s="34">
        <v>1</v>
      </c>
      <c r="P675" s="35" t="s">
        <v>959</v>
      </c>
      <c r="Q675" s="34">
        <f>IF(OR(P675="-",P675="",P675=0),IF(O675="-","-",O675),O675-P675)</f>
        <v>1</v>
      </c>
      <c r="R675" s="4" t="str">
        <f>IFERROR(IF(O675&gt;0, P675/O675, 0),"-")</f>
        <v>-</v>
      </c>
      <c r="S675" s="34">
        <v>100</v>
      </c>
      <c r="T675" s="34" t="s">
        <v>959</v>
      </c>
      <c r="U675" s="34" t="s">
        <v>959</v>
      </c>
      <c r="V675" s="35">
        <v>4</v>
      </c>
      <c r="W675" s="35">
        <v>92995</v>
      </c>
    </row>
    <row r="676" spans="1:23" x14ac:dyDescent="0.2">
      <c r="A676" s="30" t="s">
        <v>641</v>
      </c>
      <c r="B676" s="30" t="s">
        <v>1357</v>
      </c>
      <c r="C676" s="34">
        <v>148</v>
      </c>
      <c r="D676" s="35">
        <v>143</v>
      </c>
      <c r="E676" s="34">
        <f>IF(OR(D676="-",D676="",D676=0),IF(C676="-","-",C676),C676-D676)</f>
        <v>5</v>
      </c>
      <c r="F676" s="4">
        <f>IFERROR(IF(C676&gt;0, D676/C676, 0),"-")</f>
        <v>0.96621621621621623</v>
      </c>
      <c r="G676" s="34">
        <v>3</v>
      </c>
      <c r="H676" s="35" t="s">
        <v>959</v>
      </c>
      <c r="I676" s="34">
        <f>IF(OR(H676="-",H676="",H676=0),IF(G676="-","-",G676),G676-H676)</f>
        <v>3</v>
      </c>
      <c r="J676" s="4" t="str">
        <f>IFERROR(IF(G676&gt;0, H676/G676, 0),"-")</f>
        <v>-</v>
      </c>
      <c r="K676" s="34">
        <v>2</v>
      </c>
      <c r="L676" s="35" t="s">
        <v>959</v>
      </c>
      <c r="M676" s="34">
        <f>IF(OR(L676="-",L676="",L676=0),IF(K676="-","-",K676),K676-L676)</f>
        <v>2</v>
      </c>
      <c r="N676" s="4" t="str">
        <f>IFERROR(IF(K676&gt;0, L676/K676, 0),"-")</f>
        <v>-</v>
      </c>
      <c r="O676" s="34">
        <v>1</v>
      </c>
      <c r="P676" s="35" t="s">
        <v>959</v>
      </c>
      <c r="Q676" s="34">
        <f>IF(OR(P676="-",P676="",P676=0),IF(O676="-","-",O676),O676-P676)</f>
        <v>1</v>
      </c>
      <c r="R676" s="4" t="str">
        <f>IFERROR(IF(O676&gt;0, P676/O676, 0),"-")</f>
        <v>-</v>
      </c>
      <c r="S676" s="34">
        <v>281</v>
      </c>
      <c r="T676" s="34">
        <v>1</v>
      </c>
      <c r="U676" s="34">
        <v>3770</v>
      </c>
      <c r="V676" s="35">
        <v>7</v>
      </c>
      <c r="W676" s="35">
        <v>173427</v>
      </c>
    </row>
    <row r="677" spans="1:23" x14ac:dyDescent="0.2">
      <c r="A677" s="30" t="s">
        <v>645</v>
      </c>
      <c r="B677" s="30" t="s">
        <v>1358</v>
      </c>
      <c r="C677" s="34">
        <v>163</v>
      </c>
      <c r="D677" s="35">
        <v>158</v>
      </c>
      <c r="E677" s="34">
        <f>IF(OR(D677="-",D677="",D677=0),IF(C677="-","-",C677),C677-D677)</f>
        <v>5</v>
      </c>
      <c r="F677" s="4">
        <f>IFERROR(IF(C677&gt;0, D677/C677, 0),"-")</f>
        <v>0.96932515337423308</v>
      </c>
      <c r="G677" s="34">
        <v>3</v>
      </c>
      <c r="H677" s="35" t="s">
        <v>959</v>
      </c>
      <c r="I677" s="34">
        <f>IF(OR(H677="-",H677="",H677=0),IF(G677="-","-",G677),G677-H677)</f>
        <v>3</v>
      </c>
      <c r="J677" s="4" t="str">
        <f>IFERROR(IF(G677&gt;0, H677/G677, 0),"-")</f>
        <v>-</v>
      </c>
      <c r="K677" s="34" t="s">
        <v>959</v>
      </c>
      <c r="L677" s="35" t="s">
        <v>959</v>
      </c>
      <c r="M677" s="34" t="str">
        <f>IF(OR(L677="-",L677="",L677=0),IF(K677="-","-",K677),K677-L677)</f>
        <v>-</v>
      </c>
      <c r="N677" s="4" t="str">
        <f>IFERROR(IF(K677&gt;0, L677/K677, 0),"-")</f>
        <v>-</v>
      </c>
      <c r="O677" s="34">
        <v>5</v>
      </c>
      <c r="P677" s="35">
        <v>1</v>
      </c>
      <c r="Q677" s="34">
        <f>IF(OR(P677="-",P677="",P677=0),IF(O677="-","-",O677),O677-P677)</f>
        <v>4</v>
      </c>
      <c r="R677" s="4">
        <f>IFERROR(IF(O677&gt;0, P677/O677, 0),"-")</f>
        <v>0.2</v>
      </c>
      <c r="S677" s="34">
        <v>224</v>
      </c>
      <c r="T677" s="34">
        <v>3</v>
      </c>
      <c r="U677" s="34">
        <v>9160</v>
      </c>
      <c r="V677" s="35">
        <v>1</v>
      </c>
      <c r="W677" s="35">
        <v>34737</v>
      </c>
    </row>
    <row r="678" spans="1:23" x14ac:dyDescent="0.2">
      <c r="A678" s="29"/>
      <c r="B678" s="29" t="s">
        <v>34</v>
      </c>
      <c r="C678" s="32">
        <v>456</v>
      </c>
      <c r="D678" s="32">
        <v>440</v>
      </c>
      <c r="E678" s="32">
        <f>IF(OR(D678="-",D678="",D678=0),IF(C678="-","-",C678),C678-D678)</f>
        <v>16</v>
      </c>
      <c r="F678" s="36">
        <f>IFERROR(IF(C678&gt;0, D678/C678, 0),"-")</f>
        <v>0.96491228070175439</v>
      </c>
      <c r="G678" s="32">
        <v>4</v>
      </c>
      <c r="H678" s="32" t="s">
        <v>959</v>
      </c>
      <c r="I678" s="32">
        <f>IF(OR(H678="-",H678="",H678=0),IF(G678="-","-",G678),G678-H678)</f>
        <v>4</v>
      </c>
      <c r="J678" s="36" t="str">
        <f>IFERROR(IF(G678&gt;0, H678/G678, 0),"-")</f>
        <v>-</v>
      </c>
      <c r="K678" s="32">
        <v>4</v>
      </c>
      <c r="L678" s="32">
        <v>3</v>
      </c>
      <c r="M678" s="32">
        <f>IF(OR(L678="-",L678="",L678=0),IF(K678="-","-",K678),K678-L678)</f>
        <v>1</v>
      </c>
      <c r="N678" s="36">
        <f>IFERROR(IF(K678&gt;0, L678/K678, 0),"-")</f>
        <v>0.75</v>
      </c>
      <c r="O678" s="32">
        <v>4</v>
      </c>
      <c r="P678" s="32" t="s">
        <v>959</v>
      </c>
      <c r="Q678" s="32">
        <f>IF(OR(P678="-",P678="",P678=0),IF(O678="-","-",O678),O678-P678)</f>
        <v>4</v>
      </c>
      <c r="R678" s="36" t="str">
        <f>IFERROR(IF(O678&gt;0, P678/O678, 0),"-")</f>
        <v>-</v>
      </c>
      <c r="S678" s="32">
        <v>258</v>
      </c>
      <c r="T678" s="32">
        <v>8</v>
      </c>
      <c r="U678" s="32">
        <v>15905</v>
      </c>
      <c r="V678" s="32">
        <v>3</v>
      </c>
      <c r="W678" s="32">
        <v>71900</v>
      </c>
    </row>
    <row r="679" spans="1:23" x14ac:dyDescent="0.2">
      <c r="A679" s="30" t="s">
        <v>155</v>
      </c>
      <c r="B679" s="30" t="s">
        <v>1244</v>
      </c>
      <c r="C679" s="34">
        <v>148</v>
      </c>
      <c r="D679" s="35">
        <v>145</v>
      </c>
      <c r="E679" s="34">
        <f>IF(OR(D679="-",D679="",D679=0),IF(C679="-","-",C679),C679-D679)</f>
        <v>3</v>
      </c>
      <c r="F679" s="4">
        <f>IFERROR(IF(C679&gt;0, D679/C679, 0),"-")</f>
        <v>0.97972972972972971</v>
      </c>
      <c r="G679" s="34">
        <v>1</v>
      </c>
      <c r="H679" s="35" t="s">
        <v>959</v>
      </c>
      <c r="I679" s="34">
        <f>IF(OR(H679="-",H679="",H679=0),IF(G679="-","-",G679),G679-H679)</f>
        <v>1</v>
      </c>
      <c r="J679" s="4" t="str">
        <f>IFERROR(IF(G679&gt;0, H679/G679, 0),"-")</f>
        <v>-</v>
      </c>
      <c r="K679" s="34">
        <v>2</v>
      </c>
      <c r="L679" s="35">
        <v>2</v>
      </c>
      <c r="M679" s="34">
        <f>IF(OR(L679="-",L679="",L679=0),IF(K679="-","-",K679),K679-L679)</f>
        <v>0</v>
      </c>
      <c r="N679" s="4">
        <f>IFERROR(IF(K679&gt;0, L679/K679, 0),"-")</f>
        <v>1</v>
      </c>
      <c r="O679" s="34" t="s">
        <v>959</v>
      </c>
      <c r="P679" s="35" t="s">
        <v>959</v>
      </c>
      <c r="Q679" s="34" t="str">
        <f>IF(OR(P679="-",P679="",P679=0),IF(O679="-","-",O679),O679-P679)</f>
        <v>-</v>
      </c>
      <c r="R679" s="4" t="str">
        <f>IFERROR(IF(O679&gt;0, P679/O679, 0),"-")</f>
        <v>-</v>
      </c>
      <c r="S679" s="34">
        <v>82</v>
      </c>
      <c r="T679" s="34">
        <v>4</v>
      </c>
      <c r="U679" s="34">
        <v>12205</v>
      </c>
      <c r="V679" s="35" t="s">
        <v>959</v>
      </c>
      <c r="W679" s="35" t="s">
        <v>959</v>
      </c>
    </row>
    <row r="680" spans="1:23" x14ac:dyDescent="0.2">
      <c r="A680" s="30" t="s">
        <v>156</v>
      </c>
      <c r="B680" s="30" t="s">
        <v>1359</v>
      </c>
      <c r="C680" s="34">
        <v>171</v>
      </c>
      <c r="D680" s="35">
        <v>165</v>
      </c>
      <c r="E680" s="34">
        <f>IF(OR(D680="-",D680="",D680=0),IF(C680="-","-",C680),C680-D680)</f>
        <v>6</v>
      </c>
      <c r="F680" s="4">
        <f>IFERROR(IF(C680&gt;0, D680/C680, 0),"-")</f>
        <v>0.96491228070175439</v>
      </c>
      <c r="G680" s="34">
        <v>2</v>
      </c>
      <c r="H680" s="35" t="s">
        <v>959</v>
      </c>
      <c r="I680" s="34">
        <f>IF(OR(H680="-",H680="",H680=0),IF(G680="-","-",G680),G680-H680)</f>
        <v>2</v>
      </c>
      <c r="J680" s="4" t="str">
        <f>IFERROR(IF(G680&gt;0, H680/G680, 0),"-")</f>
        <v>-</v>
      </c>
      <c r="K680" s="34">
        <v>2</v>
      </c>
      <c r="L680" s="35">
        <v>1</v>
      </c>
      <c r="M680" s="34">
        <f>IF(OR(L680="-",L680="",L680=0),IF(K680="-","-",K680),K680-L680)</f>
        <v>1</v>
      </c>
      <c r="N680" s="4">
        <f>IFERROR(IF(K680&gt;0, L680/K680, 0),"-")</f>
        <v>0.5</v>
      </c>
      <c r="O680" s="34">
        <v>4</v>
      </c>
      <c r="P680" s="35" t="s">
        <v>959</v>
      </c>
      <c r="Q680" s="34">
        <f>IF(OR(P680="-",P680="",P680=0),IF(O680="-","-",O680),O680-P680)</f>
        <v>4</v>
      </c>
      <c r="R680" s="4" t="str">
        <f>IFERROR(IF(O680&gt;0, P680/O680, 0),"-")</f>
        <v>-</v>
      </c>
      <c r="S680" s="34">
        <v>85</v>
      </c>
      <c r="T680" s="34">
        <v>4</v>
      </c>
      <c r="U680" s="34">
        <v>3700</v>
      </c>
      <c r="V680" s="35">
        <v>1</v>
      </c>
      <c r="W680" s="35">
        <v>24210</v>
      </c>
    </row>
    <row r="681" spans="1:23" x14ac:dyDescent="0.2">
      <c r="A681" s="30" t="s">
        <v>157</v>
      </c>
      <c r="B681" s="30" t="s">
        <v>1360</v>
      </c>
      <c r="C681" s="34">
        <v>100</v>
      </c>
      <c r="D681" s="35">
        <v>97</v>
      </c>
      <c r="E681" s="34">
        <f>IF(OR(D681="-",D681="",D681=0),IF(C681="-","-",C681),C681-D681)</f>
        <v>3</v>
      </c>
      <c r="F681" s="4">
        <f>IFERROR(IF(C681&gt;0, D681/C681, 0),"-")</f>
        <v>0.97</v>
      </c>
      <c r="G681" s="34">
        <v>1</v>
      </c>
      <c r="H681" s="35" t="s">
        <v>959</v>
      </c>
      <c r="I681" s="34">
        <f>IF(OR(H681="-",H681="",H681=0),IF(G681="-","-",G681),G681-H681)</f>
        <v>1</v>
      </c>
      <c r="J681" s="4" t="str">
        <f>IFERROR(IF(G681&gt;0, H681/G681, 0),"-")</f>
        <v>-</v>
      </c>
      <c r="K681" s="34" t="s">
        <v>959</v>
      </c>
      <c r="L681" s="35" t="s">
        <v>959</v>
      </c>
      <c r="M681" s="34" t="str">
        <f>IF(OR(L681="-",L681="",L681=0),IF(K681="-","-",K681),K681-L681)</f>
        <v>-</v>
      </c>
      <c r="N681" s="4" t="str">
        <f>IFERROR(IF(K681&gt;0, L681/K681, 0),"-")</f>
        <v>-</v>
      </c>
      <c r="O681" s="34" t="s">
        <v>959</v>
      </c>
      <c r="P681" s="35" t="s">
        <v>959</v>
      </c>
      <c r="Q681" s="34" t="str">
        <f>IF(OR(P681="-",P681="",P681=0),IF(O681="-","-",O681),O681-P681)</f>
        <v>-</v>
      </c>
      <c r="R681" s="4" t="str">
        <f>IFERROR(IF(O681&gt;0, P681/O681, 0),"-")</f>
        <v>-</v>
      </c>
      <c r="S681" s="34">
        <v>39</v>
      </c>
      <c r="T681" s="34" t="s">
        <v>959</v>
      </c>
      <c r="U681" s="34" t="s">
        <v>959</v>
      </c>
      <c r="V681" s="35" t="s">
        <v>959</v>
      </c>
      <c r="W681" s="35" t="s">
        <v>959</v>
      </c>
    </row>
    <row r="682" spans="1:23" x14ac:dyDescent="0.2">
      <c r="A682" s="30" t="s">
        <v>158</v>
      </c>
      <c r="B682" s="30" t="s">
        <v>1022</v>
      </c>
      <c r="C682" s="34">
        <v>37</v>
      </c>
      <c r="D682" s="35">
        <v>33</v>
      </c>
      <c r="E682" s="34">
        <f>IF(OR(D682="-",D682="",D682=0),IF(C682="-","-",C682),C682-D682)</f>
        <v>4</v>
      </c>
      <c r="F682" s="4">
        <f>IFERROR(IF(C682&gt;0, D682/C682, 0),"-")</f>
        <v>0.89189189189189189</v>
      </c>
      <c r="G682" s="34" t="s">
        <v>959</v>
      </c>
      <c r="H682" s="35" t="s">
        <v>959</v>
      </c>
      <c r="I682" s="34" t="str">
        <f>IF(OR(H682="-",H682="",H682=0),IF(G682="-","-",G682),G682-H682)</f>
        <v>-</v>
      </c>
      <c r="J682" s="4" t="str">
        <f>IFERROR(IF(G682&gt;0, H682/G682, 0),"-")</f>
        <v>-</v>
      </c>
      <c r="K682" s="34" t="s">
        <v>959</v>
      </c>
      <c r="L682" s="35" t="s">
        <v>959</v>
      </c>
      <c r="M682" s="34" t="str">
        <f>IF(OR(L682="-",L682="",L682=0),IF(K682="-","-",K682),K682-L682)</f>
        <v>-</v>
      </c>
      <c r="N682" s="4" t="str">
        <f>IFERROR(IF(K682&gt;0, L682/K682, 0),"-")</f>
        <v>-</v>
      </c>
      <c r="O682" s="34" t="s">
        <v>959</v>
      </c>
      <c r="P682" s="35" t="s">
        <v>959</v>
      </c>
      <c r="Q682" s="34" t="str">
        <f>IF(OR(P682="-",P682="",P682=0),IF(O682="-","-",O682),O682-P682)</f>
        <v>-</v>
      </c>
      <c r="R682" s="4" t="str">
        <f>IFERROR(IF(O682&gt;0, P682/O682, 0),"-")</f>
        <v>-</v>
      </c>
      <c r="S682" s="34">
        <v>52</v>
      </c>
      <c r="T682" s="34" t="s">
        <v>959</v>
      </c>
      <c r="U682" s="34" t="s">
        <v>959</v>
      </c>
      <c r="V682" s="35">
        <v>2</v>
      </c>
      <c r="W682" s="35">
        <v>47690</v>
      </c>
    </row>
    <row r="683" spans="1:23" x14ac:dyDescent="0.2">
      <c r="A683" s="29"/>
      <c r="B683" s="29" t="s">
        <v>5</v>
      </c>
      <c r="C683" s="32">
        <v>1202</v>
      </c>
      <c r="D683" s="32">
        <v>1182</v>
      </c>
      <c r="E683" s="32">
        <f>IF(OR(D683="-",D683="",D683=0),IF(C683="-","-",C683),C683-D683)</f>
        <v>20</v>
      </c>
      <c r="F683" s="36">
        <f>IFERROR(IF(C683&gt;0, D683/C683, 0),"-")</f>
        <v>0.98336106489184694</v>
      </c>
      <c r="G683" s="32">
        <v>10</v>
      </c>
      <c r="H683" s="32">
        <v>3</v>
      </c>
      <c r="I683" s="32">
        <f>IF(OR(H683="-",H683="",H683=0),IF(G683="-","-",G683),G683-H683)</f>
        <v>7</v>
      </c>
      <c r="J683" s="36">
        <f>IFERROR(IF(G683&gt;0, H683/G683, 0),"-")</f>
        <v>0.3</v>
      </c>
      <c r="K683" s="32">
        <v>15</v>
      </c>
      <c r="L683" s="32">
        <v>9</v>
      </c>
      <c r="M683" s="32">
        <f>IF(OR(L683="-",L683="",L683=0),IF(K683="-","-",K683),K683-L683)</f>
        <v>6</v>
      </c>
      <c r="N683" s="36">
        <f>IFERROR(IF(K683&gt;0, L683/K683, 0),"-")</f>
        <v>0.6</v>
      </c>
      <c r="O683" s="32">
        <v>23</v>
      </c>
      <c r="P683" s="32">
        <v>8</v>
      </c>
      <c r="Q683" s="32">
        <f>IF(OR(P683="-",P683="",P683=0),IF(O683="-","-",O683),O683-P683)</f>
        <v>15</v>
      </c>
      <c r="R683" s="36">
        <f>IFERROR(IF(O683&gt;0, P683/O683, 0),"-")</f>
        <v>0.34782608695652173</v>
      </c>
      <c r="S683" s="32">
        <v>1358</v>
      </c>
      <c r="T683" s="32">
        <v>10</v>
      </c>
      <c r="U683" s="32">
        <v>23430</v>
      </c>
      <c r="V683" s="32">
        <v>7</v>
      </c>
      <c r="W683" s="32">
        <v>124439</v>
      </c>
    </row>
    <row r="684" spans="1:23" x14ac:dyDescent="0.2">
      <c r="A684" s="30" t="s">
        <v>175</v>
      </c>
      <c r="B684" s="30" t="s">
        <v>1361</v>
      </c>
      <c r="C684" s="34">
        <v>139</v>
      </c>
      <c r="D684" s="35">
        <v>135</v>
      </c>
      <c r="E684" s="34">
        <f>IF(OR(D684="-",D684="",D684=0),IF(C684="-","-",C684),C684-D684)</f>
        <v>4</v>
      </c>
      <c r="F684" s="4">
        <f>IFERROR(IF(C684&gt;0, D684/C684, 0),"-")</f>
        <v>0.97122302158273377</v>
      </c>
      <c r="G684" s="34">
        <v>2</v>
      </c>
      <c r="H684" s="35">
        <v>1</v>
      </c>
      <c r="I684" s="34">
        <f>IF(OR(H684="-",H684="",H684=0),IF(G684="-","-",G684),G684-H684)</f>
        <v>1</v>
      </c>
      <c r="J684" s="4">
        <f>IFERROR(IF(G684&gt;0, H684/G684, 0),"-")</f>
        <v>0.5</v>
      </c>
      <c r="K684" s="34">
        <v>2</v>
      </c>
      <c r="L684" s="35">
        <v>1</v>
      </c>
      <c r="M684" s="34">
        <f>IF(OR(L684="-",L684="",L684=0),IF(K684="-","-",K684),K684-L684)</f>
        <v>1</v>
      </c>
      <c r="N684" s="4">
        <f>IFERROR(IF(K684&gt;0, L684/K684, 0),"-")</f>
        <v>0.5</v>
      </c>
      <c r="O684" s="34">
        <v>5</v>
      </c>
      <c r="P684" s="35">
        <v>2</v>
      </c>
      <c r="Q684" s="34">
        <f>IF(OR(P684="-",P684="",P684=0),IF(O684="-","-",O684),O684-P684)</f>
        <v>3</v>
      </c>
      <c r="R684" s="4">
        <f>IFERROR(IF(O684&gt;0, P684/O684, 0),"-")</f>
        <v>0.4</v>
      </c>
      <c r="S684" s="34">
        <v>224</v>
      </c>
      <c r="T684" s="34">
        <v>2</v>
      </c>
      <c r="U684" s="34">
        <v>2700</v>
      </c>
      <c r="V684" s="35">
        <v>4</v>
      </c>
      <c r="W684" s="35">
        <v>66612</v>
      </c>
    </row>
    <row r="685" spans="1:23" x14ac:dyDescent="0.2">
      <c r="A685" s="30" t="s">
        <v>178</v>
      </c>
      <c r="B685" s="30" t="s">
        <v>1362</v>
      </c>
      <c r="C685" s="34">
        <v>104</v>
      </c>
      <c r="D685" s="35">
        <v>101</v>
      </c>
      <c r="E685" s="34">
        <f>IF(OR(D685="-",D685="",D685=0),IF(C685="-","-",C685),C685-D685)</f>
        <v>3</v>
      </c>
      <c r="F685" s="4">
        <f>IFERROR(IF(C685&gt;0, D685/C685, 0),"-")</f>
        <v>0.97115384615384615</v>
      </c>
      <c r="G685" s="34">
        <v>4</v>
      </c>
      <c r="H685" s="35">
        <v>1</v>
      </c>
      <c r="I685" s="34">
        <f>IF(OR(H685="-",H685="",H685=0),IF(G685="-","-",G685),G685-H685)</f>
        <v>3</v>
      </c>
      <c r="J685" s="4">
        <f>IFERROR(IF(G685&gt;0, H685/G685, 0),"-")</f>
        <v>0.25</v>
      </c>
      <c r="K685" s="34">
        <v>3</v>
      </c>
      <c r="L685" s="35">
        <v>2</v>
      </c>
      <c r="M685" s="34">
        <f>IF(OR(L685="-",L685="",L685=0),IF(K685="-","-",K685),K685-L685)</f>
        <v>1</v>
      </c>
      <c r="N685" s="4">
        <f>IFERROR(IF(K685&gt;0, L685/K685, 0),"-")</f>
        <v>0.66666666666666663</v>
      </c>
      <c r="O685" s="34">
        <v>3</v>
      </c>
      <c r="P685" s="35" t="s">
        <v>959</v>
      </c>
      <c r="Q685" s="34">
        <f>IF(OR(P685="-",P685="",P685=0),IF(O685="-","-",O685),O685-P685)</f>
        <v>3</v>
      </c>
      <c r="R685" s="4" t="str">
        <f>IFERROR(IF(O685&gt;0, P685/O685, 0),"-")</f>
        <v>-</v>
      </c>
      <c r="S685" s="34">
        <v>180</v>
      </c>
      <c r="T685" s="34" t="s">
        <v>959</v>
      </c>
      <c r="U685" s="34" t="s">
        <v>959</v>
      </c>
      <c r="V685" s="35">
        <v>1</v>
      </c>
      <c r="W685" s="35">
        <v>21916</v>
      </c>
    </row>
    <row r="686" spans="1:23" x14ac:dyDescent="0.2">
      <c r="A686" s="30" t="s">
        <v>176</v>
      </c>
      <c r="B686" s="30" t="s">
        <v>1363</v>
      </c>
      <c r="C686" s="34">
        <v>114</v>
      </c>
      <c r="D686" s="35">
        <v>112</v>
      </c>
      <c r="E686" s="34">
        <f>IF(OR(D686="-",D686="",D686=0),IF(C686="-","-",C686),C686-D686)</f>
        <v>2</v>
      </c>
      <c r="F686" s="4">
        <f>IFERROR(IF(C686&gt;0, D686/C686, 0),"-")</f>
        <v>0.98245614035087714</v>
      </c>
      <c r="G686" s="34" t="s">
        <v>959</v>
      </c>
      <c r="H686" s="35" t="s">
        <v>959</v>
      </c>
      <c r="I686" s="34" t="str">
        <f>IF(OR(H686="-",H686="",H686=0),IF(G686="-","-",G686),G686-H686)</f>
        <v>-</v>
      </c>
      <c r="J686" s="4" t="str">
        <f>IFERROR(IF(G686&gt;0, H686/G686, 0),"-")</f>
        <v>-</v>
      </c>
      <c r="K686" s="34" t="s">
        <v>959</v>
      </c>
      <c r="L686" s="35" t="s">
        <v>959</v>
      </c>
      <c r="M686" s="34" t="str">
        <f>IF(OR(L686="-",L686="",L686=0),IF(K686="-","-",K686),K686-L686)</f>
        <v>-</v>
      </c>
      <c r="N686" s="4" t="str">
        <f>IFERROR(IF(K686&gt;0, L686/K686, 0),"-")</f>
        <v>-</v>
      </c>
      <c r="O686" s="34">
        <v>5</v>
      </c>
      <c r="P686" s="35">
        <v>1</v>
      </c>
      <c r="Q686" s="34">
        <f>IF(OR(P686="-",P686="",P686=0),IF(O686="-","-",O686),O686-P686)</f>
        <v>4</v>
      </c>
      <c r="R686" s="4">
        <f>IFERROR(IF(O686&gt;0, P686/O686, 0),"-")</f>
        <v>0.2</v>
      </c>
      <c r="S686" s="34">
        <v>77</v>
      </c>
      <c r="T686" s="34" t="s">
        <v>959</v>
      </c>
      <c r="U686" s="34" t="s">
        <v>959</v>
      </c>
      <c r="V686" s="35" t="s">
        <v>959</v>
      </c>
      <c r="W686" s="35" t="s">
        <v>959</v>
      </c>
    </row>
    <row r="687" spans="1:23" x14ac:dyDescent="0.2">
      <c r="A687" s="30" t="s">
        <v>173</v>
      </c>
      <c r="B687" s="30" t="s">
        <v>1364</v>
      </c>
      <c r="C687" s="34">
        <v>141</v>
      </c>
      <c r="D687" s="35">
        <v>139</v>
      </c>
      <c r="E687" s="34">
        <f>IF(OR(D687="-",D687="",D687=0),IF(C687="-","-",C687),C687-D687)</f>
        <v>2</v>
      </c>
      <c r="F687" s="4">
        <f>IFERROR(IF(C687&gt;0, D687/C687, 0),"-")</f>
        <v>0.98581560283687941</v>
      </c>
      <c r="G687" s="34" t="s">
        <v>959</v>
      </c>
      <c r="H687" s="35" t="s">
        <v>959</v>
      </c>
      <c r="I687" s="34" t="str">
        <f>IF(OR(H687="-",H687="",H687=0),IF(G687="-","-",G687),G687-H687)</f>
        <v>-</v>
      </c>
      <c r="J687" s="4" t="str">
        <f>IFERROR(IF(G687&gt;0, H687/G687, 0),"-")</f>
        <v>-</v>
      </c>
      <c r="K687" s="34">
        <v>2</v>
      </c>
      <c r="L687" s="35">
        <v>1</v>
      </c>
      <c r="M687" s="34">
        <f>IF(OR(L687="-",L687="",L687=0),IF(K687="-","-",K687),K687-L687)</f>
        <v>1</v>
      </c>
      <c r="N687" s="4">
        <f>IFERROR(IF(K687&gt;0, L687/K687, 0),"-")</f>
        <v>0.5</v>
      </c>
      <c r="O687" s="34">
        <v>2</v>
      </c>
      <c r="P687" s="35">
        <v>2</v>
      </c>
      <c r="Q687" s="34">
        <f>IF(OR(P687="-",P687="",P687=0),IF(O687="-","-",O687),O687-P687)</f>
        <v>0</v>
      </c>
      <c r="R687" s="4">
        <f>IFERROR(IF(O687&gt;0, P687/O687, 0),"-")</f>
        <v>1</v>
      </c>
      <c r="S687" s="34">
        <v>256</v>
      </c>
      <c r="T687" s="34">
        <v>3</v>
      </c>
      <c r="U687" s="34">
        <v>4775</v>
      </c>
      <c r="V687" s="35">
        <v>1</v>
      </c>
      <c r="W687" s="35">
        <v>24380</v>
      </c>
    </row>
    <row r="688" spans="1:23" x14ac:dyDescent="0.2">
      <c r="A688" s="30" t="s">
        <v>172</v>
      </c>
      <c r="B688" s="30" t="s">
        <v>1365</v>
      </c>
      <c r="C688" s="34">
        <v>216</v>
      </c>
      <c r="D688" s="35">
        <v>213</v>
      </c>
      <c r="E688" s="34">
        <f>IF(OR(D688="-",D688="",D688=0),IF(C688="-","-",C688),C688-D688)</f>
        <v>3</v>
      </c>
      <c r="F688" s="4">
        <f>IFERROR(IF(C688&gt;0, D688/C688, 0),"-")</f>
        <v>0.98611111111111116</v>
      </c>
      <c r="G688" s="34">
        <v>1</v>
      </c>
      <c r="H688" s="35">
        <v>1</v>
      </c>
      <c r="I688" s="34">
        <f>IF(OR(H688="-",H688="",H688=0),IF(G688="-","-",G688),G688-H688)</f>
        <v>0</v>
      </c>
      <c r="J688" s="4">
        <f>IFERROR(IF(G688&gt;0, H688/G688, 0),"-")</f>
        <v>1</v>
      </c>
      <c r="K688" s="34" t="s">
        <v>959</v>
      </c>
      <c r="L688" s="35" t="s">
        <v>959</v>
      </c>
      <c r="M688" s="34" t="str">
        <f>IF(OR(L688="-",L688="",L688=0),IF(K688="-","-",K688),K688-L688)</f>
        <v>-</v>
      </c>
      <c r="N688" s="4" t="str">
        <f>IFERROR(IF(K688&gt;0, L688/K688, 0),"-")</f>
        <v>-</v>
      </c>
      <c r="O688" s="34">
        <v>5</v>
      </c>
      <c r="P688" s="35">
        <v>2</v>
      </c>
      <c r="Q688" s="34">
        <f>IF(OR(P688="-",P688="",P688=0),IF(O688="-","-",O688),O688-P688)</f>
        <v>3</v>
      </c>
      <c r="R688" s="4">
        <f>IFERROR(IF(O688&gt;0, P688/O688, 0),"-")</f>
        <v>0.4</v>
      </c>
      <c r="S688" s="34">
        <v>157</v>
      </c>
      <c r="T688" s="34">
        <v>1</v>
      </c>
      <c r="U688" s="34">
        <v>2100</v>
      </c>
      <c r="V688" s="35" t="s">
        <v>959</v>
      </c>
      <c r="W688" s="35" t="s">
        <v>959</v>
      </c>
    </row>
    <row r="689" spans="1:23" x14ac:dyDescent="0.2">
      <c r="A689" s="30" t="s">
        <v>174</v>
      </c>
      <c r="B689" s="30" t="s">
        <v>1366</v>
      </c>
      <c r="C689" s="34">
        <v>301</v>
      </c>
      <c r="D689" s="35">
        <v>297</v>
      </c>
      <c r="E689" s="34">
        <f>IF(OR(D689="-",D689="",D689=0),IF(C689="-","-",C689),C689-D689)</f>
        <v>4</v>
      </c>
      <c r="F689" s="4">
        <f>IFERROR(IF(C689&gt;0, D689/C689, 0),"-")</f>
        <v>0.98671096345514953</v>
      </c>
      <c r="G689" s="34">
        <v>2</v>
      </c>
      <c r="H689" s="35" t="s">
        <v>959</v>
      </c>
      <c r="I689" s="34">
        <f>IF(OR(H689="-",H689="",H689=0),IF(G689="-","-",G689),G689-H689)</f>
        <v>2</v>
      </c>
      <c r="J689" s="4" t="str">
        <f>IFERROR(IF(G689&gt;0, H689/G689, 0),"-")</f>
        <v>-</v>
      </c>
      <c r="K689" s="34">
        <v>5</v>
      </c>
      <c r="L689" s="35">
        <v>2</v>
      </c>
      <c r="M689" s="34">
        <f>IF(OR(L689="-",L689="",L689=0),IF(K689="-","-",K689),K689-L689)</f>
        <v>3</v>
      </c>
      <c r="N689" s="4">
        <f>IFERROR(IF(K689&gt;0, L689/K689, 0),"-")</f>
        <v>0.4</v>
      </c>
      <c r="O689" s="34">
        <v>1</v>
      </c>
      <c r="P689" s="35" t="s">
        <v>959</v>
      </c>
      <c r="Q689" s="34">
        <f>IF(OR(P689="-",P689="",P689=0),IF(O689="-","-",O689),O689-P689)</f>
        <v>1</v>
      </c>
      <c r="R689" s="4" t="str">
        <f>IFERROR(IF(O689&gt;0, P689/O689, 0),"-")</f>
        <v>-</v>
      </c>
      <c r="S689" s="34">
        <v>261</v>
      </c>
      <c r="T689" s="34">
        <v>3</v>
      </c>
      <c r="U689" s="34">
        <v>12855</v>
      </c>
      <c r="V689" s="35" t="s">
        <v>959</v>
      </c>
      <c r="W689" s="35" t="s">
        <v>959</v>
      </c>
    </row>
    <row r="690" spans="1:23" x14ac:dyDescent="0.2">
      <c r="A690" s="30" t="s">
        <v>177</v>
      </c>
      <c r="B690" s="30" t="s">
        <v>1367</v>
      </c>
      <c r="C690" s="34">
        <v>187</v>
      </c>
      <c r="D690" s="35">
        <v>185</v>
      </c>
      <c r="E690" s="34">
        <f>IF(OR(D690="-",D690="",D690=0),IF(C690="-","-",C690),C690-D690)</f>
        <v>2</v>
      </c>
      <c r="F690" s="4">
        <f>IFERROR(IF(C690&gt;0, D690/C690, 0),"-")</f>
        <v>0.98930481283422456</v>
      </c>
      <c r="G690" s="34">
        <v>1</v>
      </c>
      <c r="H690" s="35" t="s">
        <v>959</v>
      </c>
      <c r="I690" s="34">
        <f>IF(OR(H690="-",H690="",H690=0),IF(G690="-","-",G690),G690-H690)</f>
        <v>1</v>
      </c>
      <c r="J690" s="4" t="str">
        <f>IFERROR(IF(G690&gt;0, H690/G690, 0),"-")</f>
        <v>-</v>
      </c>
      <c r="K690" s="34">
        <v>3</v>
      </c>
      <c r="L690" s="35">
        <v>3</v>
      </c>
      <c r="M690" s="34">
        <f>IF(OR(L690="-",L690="",L690=0),IF(K690="-","-",K690),K690-L690)</f>
        <v>0</v>
      </c>
      <c r="N690" s="4">
        <f>IFERROR(IF(K690&gt;0, L690/K690, 0),"-")</f>
        <v>1</v>
      </c>
      <c r="O690" s="34">
        <v>2</v>
      </c>
      <c r="P690" s="35">
        <v>1</v>
      </c>
      <c r="Q690" s="34">
        <f>IF(OR(P690="-",P690="",P690=0),IF(O690="-","-",O690),O690-P690)</f>
        <v>1</v>
      </c>
      <c r="R690" s="4">
        <f>IFERROR(IF(O690&gt;0, P690/O690, 0),"-")</f>
        <v>0.5</v>
      </c>
      <c r="S690" s="34">
        <v>203</v>
      </c>
      <c r="T690" s="34">
        <v>1</v>
      </c>
      <c r="U690" s="34">
        <v>1000</v>
      </c>
      <c r="V690" s="35">
        <v>1</v>
      </c>
      <c r="W690" s="35">
        <v>11531</v>
      </c>
    </row>
    <row r="691" spans="1:23" x14ac:dyDescent="0.2">
      <c r="A691" s="29"/>
      <c r="B691" s="29" t="s">
        <v>109</v>
      </c>
      <c r="C691" s="32">
        <v>629</v>
      </c>
      <c r="D691" s="32">
        <v>623</v>
      </c>
      <c r="E691" s="32">
        <f>IF(OR(D691="-",D691="",D691=0),IF(C691="-","-",C691),C691-D691)</f>
        <v>6</v>
      </c>
      <c r="F691" s="36">
        <f>IFERROR(IF(C691&gt;0, D691/C691, 0),"-")</f>
        <v>0.99046104928457868</v>
      </c>
      <c r="G691" s="32">
        <v>6</v>
      </c>
      <c r="H691" s="32">
        <v>3</v>
      </c>
      <c r="I691" s="32">
        <f>IF(OR(H691="-",H691="",H691=0),IF(G691="-","-",G691),G691-H691)</f>
        <v>3</v>
      </c>
      <c r="J691" s="36">
        <f>IFERROR(IF(G691&gt;0, H691/G691, 0),"-")</f>
        <v>0.5</v>
      </c>
      <c r="K691" s="32">
        <v>8</v>
      </c>
      <c r="L691" s="32">
        <v>3</v>
      </c>
      <c r="M691" s="32">
        <f>IF(OR(L691="-",L691="",L691=0),IF(K691="-","-",K691),K691-L691)</f>
        <v>5</v>
      </c>
      <c r="N691" s="36">
        <f>IFERROR(IF(K691&gt;0, L691/K691, 0),"-")</f>
        <v>0.375</v>
      </c>
      <c r="O691" s="32">
        <v>8</v>
      </c>
      <c r="P691" s="32">
        <v>2</v>
      </c>
      <c r="Q691" s="32">
        <f>IF(OR(P691="-",P691="",P691=0),IF(O691="-","-",O691),O691-P691)</f>
        <v>6</v>
      </c>
      <c r="R691" s="36">
        <f>IFERROR(IF(O691&gt;0, P691/O691, 0),"-")</f>
        <v>0.25</v>
      </c>
      <c r="S691" s="32">
        <v>1091</v>
      </c>
      <c r="T691" s="32">
        <v>19</v>
      </c>
      <c r="U691" s="32">
        <v>68610</v>
      </c>
      <c r="V691" s="32">
        <v>10</v>
      </c>
      <c r="W691" s="32">
        <v>263437</v>
      </c>
    </row>
    <row r="692" spans="1:23" x14ac:dyDescent="0.2">
      <c r="A692" s="30" t="s">
        <v>782</v>
      </c>
      <c r="B692" s="30" t="s">
        <v>1368</v>
      </c>
      <c r="C692" s="34">
        <v>167</v>
      </c>
      <c r="D692" s="35">
        <v>165</v>
      </c>
      <c r="E692" s="34">
        <f>IF(OR(D692="-",D692="",D692=0),IF(C692="-","-",C692),C692-D692)</f>
        <v>2</v>
      </c>
      <c r="F692" s="4">
        <f>IFERROR(IF(C692&gt;0, D692/C692, 0),"-")</f>
        <v>0.9880239520958084</v>
      </c>
      <c r="G692" s="34">
        <v>2</v>
      </c>
      <c r="H692" s="35" t="s">
        <v>959</v>
      </c>
      <c r="I692" s="34">
        <f>IF(OR(H692="-",H692="",H692=0),IF(G692="-","-",G692),G692-H692)</f>
        <v>2</v>
      </c>
      <c r="J692" s="4" t="str">
        <f>IFERROR(IF(G692&gt;0, H692/G692, 0),"-")</f>
        <v>-</v>
      </c>
      <c r="K692" s="34">
        <v>5</v>
      </c>
      <c r="L692" s="35">
        <v>1</v>
      </c>
      <c r="M692" s="34">
        <f>IF(OR(L692="-",L692="",L692=0),IF(K692="-","-",K692),K692-L692)</f>
        <v>4</v>
      </c>
      <c r="N692" s="4">
        <f>IFERROR(IF(K692&gt;0, L692/K692, 0),"-")</f>
        <v>0.2</v>
      </c>
      <c r="O692" s="34">
        <v>2</v>
      </c>
      <c r="P692" s="35">
        <v>1</v>
      </c>
      <c r="Q692" s="34">
        <f>IF(OR(P692="-",P692="",P692=0),IF(O692="-","-",O692),O692-P692)</f>
        <v>1</v>
      </c>
      <c r="R692" s="4">
        <f>IFERROR(IF(O692&gt;0, P692/O692, 0),"-")</f>
        <v>0.5</v>
      </c>
      <c r="S692" s="34">
        <v>216</v>
      </c>
      <c r="T692" s="34">
        <v>4</v>
      </c>
      <c r="U692" s="34">
        <v>17430</v>
      </c>
      <c r="V692" s="35">
        <v>3</v>
      </c>
      <c r="W692" s="35">
        <v>120244</v>
      </c>
    </row>
    <row r="693" spans="1:23" x14ac:dyDescent="0.2">
      <c r="A693" s="30" t="s">
        <v>784</v>
      </c>
      <c r="B693" s="30" t="s">
        <v>1369</v>
      </c>
      <c r="C693" s="34">
        <v>114</v>
      </c>
      <c r="D693" s="35">
        <v>114</v>
      </c>
      <c r="E693" s="34">
        <f>IF(OR(D693="-",D693="",D693=0),IF(C693="-","-",C693),C693-D693)</f>
        <v>0</v>
      </c>
      <c r="F693" s="4">
        <f>IFERROR(IF(C693&gt;0, D693/C693, 0),"-")</f>
        <v>1</v>
      </c>
      <c r="G693" s="34" t="s">
        <v>959</v>
      </c>
      <c r="H693" s="35" t="s">
        <v>959</v>
      </c>
      <c r="I693" s="34" t="str">
        <f>IF(OR(H693="-",H693="",H693=0),IF(G693="-","-",G693),G693-H693)</f>
        <v>-</v>
      </c>
      <c r="J693" s="4" t="str">
        <f>IFERROR(IF(G693&gt;0, H693/G693, 0),"-")</f>
        <v>-</v>
      </c>
      <c r="K693" s="34" t="s">
        <v>959</v>
      </c>
      <c r="L693" s="35" t="s">
        <v>959</v>
      </c>
      <c r="M693" s="34" t="str">
        <f>IF(OR(L693="-",L693="",L693=0),IF(K693="-","-",K693),K693-L693)</f>
        <v>-</v>
      </c>
      <c r="N693" s="4" t="str">
        <f>IFERROR(IF(K693&gt;0, L693/K693, 0),"-")</f>
        <v>-</v>
      </c>
      <c r="O693" s="34">
        <v>1</v>
      </c>
      <c r="P693" s="35" t="s">
        <v>959</v>
      </c>
      <c r="Q693" s="34">
        <f>IF(OR(P693="-",P693="",P693=0),IF(O693="-","-",O693),O693-P693)</f>
        <v>1</v>
      </c>
      <c r="R693" s="4" t="str">
        <f>IFERROR(IF(O693&gt;0, P693/O693, 0),"-")</f>
        <v>-</v>
      </c>
      <c r="S693" s="34">
        <v>121</v>
      </c>
      <c r="T693" s="34">
        <v>6</v>
      </c>
      <c r="U693" s="34">
        <v>24965</v>
      </c>
      <c r="V693" s="35">
        <v>1</v>
      </c>
      <c r="W693" s="35">
        <v>53141</v>
      </c>
    </row>
    <row r="694" spans="1:23" x14ac:dyDescent="0.2">
      <c r="A694" s="30" t="s">
        <v>783</v>
      </c>
      <c r="B694" s="30" t="s">
        <v>1370</v>
      </c>
      <c r="C694" s="34">
        <v>42</v>
      </c>
      <c r="D694" s="35">
        <v>41</v>
      </c>
      <c r="E694" s="34">
        <f>IF(OR(D694="-",D694="",D694=0),IF(C694="-","-",C694),C694-D694)</f>
        <v>1</v>
      </c>
      <c r="F694" s="4">
        <f>IFERROR(IF(C694&gt;0, D694/C694, 0),"-")</f>
        <v>0.97619047619047616</v>
      </c>
      <c r="G694" s="34" t="s">
        <v>959</v>
      </c>
      <c r="H694" s="35" t="s">
        <v>959</v>
      </c>
      <c r="I694" s="34" t="str">
        <f>IF(OR(H694="-",H694="",H694=0),IF(G694="-","-",G694),G694-H694)</f>
        <v>-</v>
      </c>
      <c r="J694" s="4" t="str">
        <f>IFERROR(IF(G694&gt;0, H694/G694, 0),"-")</f>
        <v>-</v>
      </c>
      <c r="K694" s="34" t="s">
        <v>959</v>
      </c>
      <c r="L694" s="35" t="s">
        <v>959</v>
      </c>
      <c r="M694" s="34" t="str">
        <f>IF(OR(L694="-",L694="",L694=0),IF(K694="-","-",K694),K694-L694)</f>
        <v>-</v>
      </c>
      <c r="N694" s="4" t="str">
        <f>IFERROR(IF(K694&gt;0, L694/K694, 0),"-")</f>
        <v>-</v>
      </c>
      <c r="O694" s="34" t="s">
        <v>959</v>
      </c>
      <c r="P694" s="35" t="s">
        <v>959</v>
      </c>
      <c r="Q694" s="34" t="str">
        <f>IF(OR(P694="-",P694="",P694=0),IF(O694="-","-",O694),O694-P694)</f>
        <v>-</v>
      </c>
      <c r="R694" s="4" t="str">
        <f>IFERROR(IF(O694&gt;0, P694/O694, 0),"-")</f>
        <v>-</v>
      </c>
      <c r="S694" s="34">
        <v>377</v>
      </c>
      <c r="T694" s="34">
        <v>5</v>
      </c>
      <c r="U694" s="34">
        <v>12745</v>
      </c>
      <c r="V694" s="35">
        <v>3</v>
      </c>
      <c r="W694" s="35">
        <v>71421</v>
      </c>
    </row>
    <row r="695" spans="1:23" x14ac:dyDescent="0.2">
      <c r="A695" s="30" t="s">
        <v>785</v>
      </c>
      <c r="B695" s="30" t="s">
        <v>1371</v>
      </c>
      <c r="C695" s="34">
        <v>97</v>
      </c>
      <c r="D695" s="35">
        <v>96</v>
      </c>
      <c r="E695" s="34">
        <f>IF(OR(D695="-",D695="",D695=0),IF(C695="-","-",C695),C695-D695)</f>
        <v>1</v>
      </c>
      <c r="F695" s="4">
        <f>IFERROR(IF(C695&gt;0, D695/C695, 0),"-")</f>
        <v>0.98969072164948457</v>
      </c>
      <c r="G695" s="34" t="s">
        <v>959</v>
      </c>
      <c r="H695" s="35" t="s">
        <v>959</v>
      </c>
      <c r="I695" s="34" t="str">
        <f>IF(OR(H695="-",H695="",H695=0),IF(G695="-","-",G695),G695-H695)</f>
        <v>-</v>
      </c>
      <c r="J695" s="4" t="str">
        <f>IFERROR(IF(G695&gt;0, H695/G695, 0),"-")</f>
        <v>-</v>
      </c>
      <c r="K695" s="34">
        <v>1</v>
      </c>
      <c r="L695" s="35">
        <v>1</v>
      </c>
      <c r="M695" s="34">
        <f>IF(OR(L695="-",L695="",L695=0),IF(K695="-","-",K695),K695-L695)</f>
        <v>0</v>
      </c>
      <c r="N695" s="4">
        <f>IFERROR(IF(K695&gt;0, L695/K695, 0),"-")</f>
        <v>1</v>
      </c>
      <c r="O695" s="34">
        <v>1</v>
      </c>
      <c r="P695" s="35" t="s">
        <v>959</v>
      </c>
      <c r="Q695" s="34">
        <f>IF(OR(P695="-",P695="",P695=0),IF(O695="-","-",O695),O695-P695)</f>
        <v>1</v>
      </c>
      <c r="R695" s="4" t="str">
        <f>IFERROR(IF(O695&gt;0, P695/O695, 0),"-")</f>
        <v>-</v>
      </c>
      <c r="S695" s="34">
        <v>126</v>
      </c>
      <c r="T695" s="34" t="s">
        <v>959</v>
      </c>
      <c r="U695" s="34" t="s">
        <v>959</v>
      </c>
      <c r="V695" s="35" t="s">
        <v>959</v>
      </c>
      <c r="W695" s="35" t="s">
        <v>959</v>
      </c>
    </row>
    <row r="696" spans="1:23" x14ac:dyDescent="0.2">
      <c r="A696" s="30" t="s">
        <v>786</v>
      </c>
      <c r="B696" s="30" t="s">
        <v>1372</v>
      </c>
      <c r="C696" s="34">
        <v>209</v>
      </c>
      <c r="D696" s="35">
        <v>207</v>
      </c>
      <c r="E696" s="34">
        <f>IF(OR(D696="-",D696="",D696=0),IF(C696="-","-",C696),C696-D696)</f>
        <v>2</v>
      </c>
      <c r="F696" s="4">
        <f>IFERROR(IF(C696&gt;0, D696/C696, 0),"-")</f>
        <v>0.99043062200956933</v>
      </c>
      <c r="G696" s="34">
        <v>4</v>
      </c>
      <c r="H696" s="35">
        <v>3</v>
      </c>
      <c r="I696" s="34">
        <f>IF(OR(H696="-",H696="",H696=0),IF(G696="-","-",G696),G696-H696)</f>
        <v>1</v>
      </c>
      <c r="J696" s="4">
        <f>IFERROR(IF(G696&gt;0, H696/G696, 0),"-")</f>
        <v>0.75</v>
      </c>
      <c r="K696" s="34">
        <v>2</v>
      </c>
      <c r="L696" s="35">
        <v>1</v>
      </c>
      <c r="M696" s="34">
        <f>IF(OR(L696="-",L696="",L696=0),IF(K696="-","-",K696),K696-L696)</f>
        <v>1</v>
      </c>
      <c r="N696" s="4">
        <f>IFERROR(IF(K696&gt;0, L696/K696, 0),"-")</f>
        <v>0.5</v>
      </c>
      <c r="O696" s="34">
        <v>4</v>
      </c>
      <c r="P696" s="35">
        <v>1</v>
      </c>
      <c r="Q696" s="34">
        <f>IF(OR(P696="-",P696="",P696=0),IF(O696="-","-",O696),O696-P696)</f>
        <v>3</v>
      </c>
      <c r="R696" s="4">
        <f>IFERROR(IF(O696&gt;0, P696/O696, 0),"-")</f>
        <v>0.25</v>
      </c>
      <c r="S696" s="34">
        <v>251</v>
      </c>
      <c r="T696" s="34">
        <v>4</v>
      </c>
      <c r="U696" s="34">
        <v>13470</v>
      </c>
      <c r="V696" s="35">
        <v>3</v>
      </c>
      <c r="W696" s="35">
        <v>18631</v>
      </c>
    </row>
    <row r="697" spans="1:23" x14ac:dyDescent="0.2">
      <c r="A697" s="29"/>
      <c r="B697" s="29" t="s">
        <v>121</v>
      </c>
      <c r="C697" s="32">
        <v>818</v>
      </c>
      <c r="D697" s="32">
        <v>803</v>
      </c>
      <c r="E697" s="32">
        <f>IF(OR(D697="-",D697="",D697=0),IF(C697="-","-",C697),C697-D697)</f>
        <v>15</v>
      </c>
      <c r="F697" s="36">
        <f>IFERROR(IF(C697&gt;0, D697/C697, 0),"-")</f>
        <v>0.98166259168704162</v>
      </c>
      <c r="G697" s="32">
        <v>9</v>
      </c>
      <c r="H697" s="32">
        <v>4</v>
      </c>
      <c r="I697" s="32">
        <f>IF(OR(H697="-",H697="",H697=0),IF(G697="-","-",G697),G697-H697)</f>
        <v>5</v>
      </c>
      <c r="J697" s="36">
        <f>IFERROR(IF(G697&gt;0, H697/G697, 0),"-")</f>
        <v>0.44444444444444442</v>
      </c>
      <c r="K697" s="32" t="s">
        <v>959</v>
      </c>
      <c r="L697" s="32" t="s">
        <v>959</v>
      </c>
      <c r="M697" s="32" t="str">
        <f>IF(OR(L697="-",L697="",L697=0),IF(K697="-","-",K697),K697-L697)</f>
        <v>-</v>
      </c>
      <c r="N697" s="36" t="str">
        <f>IFERROR(IF(K697&gt;0, L697/K697, 0),"-")</f>
        <v>-</v>
      </c>
      <c r="O697" s="32">
        <v>10</v>
      </c>
      <c r="P697" s="32">
        <v>1</v>
      </c>
      <c r="Q697" s="32">
        <f>IF(OR(P697="-",P697="",P697=0),IF(O697="-","-",O697),O697-P697)</f>
        <v>9</v>
      </c>
      <c r="R697" s="36">
        <f>IFERROR(IF(O697&gt;0, P697/O697, 0),"-")</f>
        <v>0.1</v>
      </c>
      <c r="S697" s="32">
        <v>74</v>
      </c>
      <c r="T697" s="32">
        <v>1</v>
      </c>
      <c r="U697" s="32">
        <v>600</v>
      </c>
      <c r="V697" s="32" t="s">
        <v>959</v>
      </c>
      <c r="W697" s="32" t="s">
        <v>959</v>
      </c>
    </row>
    <row r="698" spans="1:23" x14ac:dyDescent="0.2">
      <c r="A698" s="30" t="s">
        <v>861</v>
      </c>
      <c r="B698" s="30" t="s">
        <v>1373</v>
      </c>
      <c r="C698" s="34">
        <v>177</v>
      </c>
      <c r="D698" s="35">
        <v>175</v>
      </c>
      <c r="E698" s="34">
        <f>IF(OR(D698="-",D698="",D698=0),IF(C698="-","-",C698),C698-D698)</f>
        <v>2</v>
      </c>
      <c r="F698" s="4">
        <f>IFERROR(IF(C698&gt;0, D698/C698, 0),"-")</f>
        <v>0.98870056497175141</v>
      </c>
      <c r="G698" s="34" t="s">
        <v>959</v>
      </c>
      <c r="H698" s="35" t="s">
        <v>959</v>
      </c>
      <c r="I698" s="34" t="str">
        <f>IF(OR(H698="-",H698="",H698=0),IF(G698="-","-",G698),G698-H698)</f>
        <v>-</v>
      </c>
      <c r="J698" s="4" t="str">
        <f>IFERROR(IF(G698&gt;0, H698/G698, 0),"-")</f>
        <v>-</v>
      </c>
      <c r="K698" s="34" t="s">
        <v>959</v>
      </c>
      <c r="L698" s="35" t="s">
        <v>959</v>
      </c>
      <c r="M698" s="34" t="str">
        <f>IF(OR(L698="-",L698="",L698=0),IF(K698="-","-",K698),K698-L698)</f>
        <v>-</v>
      </c>
      <c r="N698" s="4" t="str">
        <f>IFERROR(IF(K698&gt;0, L698/K698, 0),"-")</f>
        <v>-</v>
      </c>
      <c r="O698" s="34">
        <v>2</v>
      </c>
      <c r="P698" s="35" t="s">
        <v>959</v>
      </c>
      <c r="Q698" s="34">
        <f>IF(OR(P698="-",P698="",P698=0),IF(O698="-","-",O698),O698-P698)</f>
        <v>2</v>
      </c>
      <c r="R698" s="4" t="str">
        <f>IFERROR(IF(O698&gt;0, P698/O698, 0),"-")</f>
        <v>-</v>
      </c>
      <c r="S698" s="34">
        <v>25</v>
      </c>
      <c r="T698" s="34" t="s">
        <v>959</v>
      </c>
      <c r="U698" s="34" t="s">
        <v>959</v>
      </c>
      <c r="V698" s="35" t="s">
        <v>959</v>
      </c>
      <c r="W698" s="35" t="s">
        <v>959</v>
      </c>
    </row>
    <row r="699" spans="1:23" x14ac:dyDescent="0.2">
      <c r="A699" s="30" t="s">
        <v>858</v>
      </c>
      <c r="B699" s="30" t="s">
        <v>1374</v>
      </c>
      <c r="C699" s="34">
        <v>167</v>
      </c>
      <c r="D699" s="35">
        <v>161</v>
      </c>
      <c r="E699" s="34">
        <f>IF(OR(D699="-",D699="",D699=0),IF(C699="-","-",C699),C699-D699)</f>
        <v>6</v>
      </c>
      <c r="F699" s="4">
        <f>IFERROR(IF(C699&gt;0, D699/C699, 0),"-")</f>
        <v>0.9640718562874252</v>
      </c>
      <c r="G699" s="34" t="s">
        <v>959</v>
      </c>
      <c r="H699" s="35" t="s">
        <v>959</v>
      </c>
      <c r="I699" s="34" t="str">
        <f>IF(OR(H699="-",H699="",H699=0),IF(G699="-","-",G699),G699-H699)</f>
        <v>-</v>
      </c>
      <c r="J699" s="4" t="str">
        <f>IFERROR(IF(G699&gt;0, H699/G699, 0),"-")</f>
        <v>-</v>
      </c>
      <c r="K699" s="34" t="s">
        <v>959</v>
      </c>
      <c r="L699" s="35" t="s">
        <v>959</v>
      </c>
      <c r="M699" s="34" t="str">
        <f>IF(OR(L699="-",L699="",L699=0),IF(K699="-","-",K699),K699-L699)</f>
        <v>-</v>
      </c>
      <c r="N699" s="4" t="str">
        <f>IFERROR(IF(K699&gt;0, L699/K699, 0),"-")</f>
        <v>-</v>
      </c>
      <c r="O699" s="34">
        <v>2</v>
      </c>
      <c r="P699" s="35">
        <v>1</v>
      </c>
      <c r="Q699" s="34">
        <f>IF(OR(P699="-",P699="",P699=0),IF(O699="-","-",O699),O699-P699)</f>
        <v>1</v>
      </c>
      <c r="R699" s="4">
        <f>IFERROR(IF(O699&gt;0, P699/O699, 0),"-")</f>
        <v>0.5</v>
      </c>
      <c r="S699" s="34">
        <v>20</v>
      </c>
      <c r="T699" s="34">
        <v>1</v>
      </c>
      <c r="U699" s="34">
        <v>600</v>
      </c>
      <c r="V699" s="35" t="s">
        <v>959</v>
      </c>
      <c r="W699" s="35" t="s">
        <v>959</v>
      </c>
    </row>
    <row r="700" spans="1:23" x14ac:dyDescent="0.2">
      <c r="A700" s="30" t="s">
        <v>859</v>
      </c>
      <c r="B700" s="30" t="s">
        <v>1375</v>
      </c>
      <c r="C700" s="34">
        <v>220</v>
      </c>
      <c r="D700" s="35">
        <v>215</v>
      </c>
      <c r="E700" s="34">
        <f>IF(OR(D700="-",D700="",D700=0),IF(C700="-","-",C700),C700-D700)</f>
        <v>5</v>
      </c>
      <c r="F700" s="4">
        <f>IFERROR(IF(C700&gt;0, D700/C700, 0),"-")</f>
        <v>0.97727272727272729</v>
      </c>
      <c r="G700" s="34">
        <v>6</v>
      </c>
      <c r="H700" s="35">
        <v>3</v>
      </c>
      <c r="I700" s="34">
        <f>IF(OR(H700="-",H700="",H700=0),IF(G700="-","-",G700),G700-H700)</f>
        <v>3</v>
      </c>
      <c r="J700" s="4">
        <f>IFERROR(IF(G700&gt;0, H700/G700, 0),"-")</f>
        <v>0.5</v>
      </c>
      <c r="K700" s="34" t="s">
        <v>959</v>
      </c>
      <c r="L700" s="35" t="s">
        <v>959</v>
      </c>
      <c r="M700" s="34" t="str">
        <f>IF(OR(L700="-",L700="",L700=0),IF(K700="-","-",K700),K700-L700)</f>
        <v>-</v>
      </c>
      <c r="N700" s="4" t="str">
        <f>IFERROR(IF(K700&gt;0, L700/K700, 0),"-")</f>
        <v>-</v>
      </c>
      <c r="O700" s="34">
        <v>3</v>
      </c>
      <c r="P700" s="35" t="s">
        <v>959</v>
      </c>
      <c r="Q700" s="34">
        <f>IF(OR(P700="-",P700="",P700=0),IF(O700="-","-",O700),O700-P700)</f>
        <v>3</v>
      </c>
      <c r="R700" s="4" t="str">
        <f>IFERROR(IF(O700&gt;0, P700/O700, 0),"-")</f>
        <v>-</v>
      </c>
      <c r="S700" s="34">
        <v>19</v>
      </c>
      <c r="T700" s="34" t="s">
        <v>959</v>
      </c>
      <c r="U700" s="34" t="s">
        <v>959</v>
      </c>
      <c r="V700" s="35" t="s">
        <v>959</v>
      </c>
      <c r="W700" s="35" t="s">
        <v>959</v>
      </c>
    </row>
    <row r="701" spans="1:23" x14ac:dyDescent="0.2">
      <c r="A701" s="30" t="s">
        <v>860</v>
      </c>
      <c r="B701" s="30" t="s">
        <v>1376</v>
      </c>
      <c r="C701" s="34">
        <v>203</v>
      </c>
      <c r="D701" s="35">
        <v>201</v>
      </c>
      <c r="E701" s="34">
        <f>IF(OR(D701="-",D701="",D701=0),IF(C701="-","-",C701),C701-D701)</f>
        <v>2</v>
      </c>
      <c r="F701" s="4">
        <f>IFERROR(IF(C701&gt;0, D701/C701, 0),"-")</f>
        <v>0.99014778325123154</v>
      </c>
      <c r="G701" s="34">
        <v>3</v>
      </c>
      <c r="H701" s="35">
        <v>1</v>
      </c>
      <c r="I701" s="34">
        <f>IF(OR(H701="-",H701="",H701=0),IF(G701="-","-",G701),G701-H701)</f>
        <v>2</v>
      </c>
      <c r="J701" s="4">
        <f>IFERROR(IF(G701&gt;0, H701/G701, 0),"-")</f>
        <v>0.33333333333333331</v>
      </c>
      <c r="K701" s="34" t="s">
        <v>959</v>
      </c>
      <c r="L701" s="35" t="s">
        <v>959</v>
      </c>
      <c r="M701" s="34" t="str">
        <f>IF(OR(L701="-",L701="",L701=0),IF(K701="-","-",K701),K701-L701)</f>
        <v>-</v>
      </c>
      <c r="N701" s="4" t="str">
        <f>IFERROR(IF(K701&gt;0, L701/K701, 0),"-")</f>
        <v>-</v>
      </c>
      <c r="O701" s="34">
        <v>3</v>
      </c>
      <c r="P701" s="35" t="s">
        <v>959</v>
      </c>
      <c r="Q701" s="34">
        <f>IF(OR(P701="-",P701="",P701=0),IF(O701="-","-",O701),O701-P701)</f>
        <v>3</v>
      </c>
      <c r="R701" s="4" t="str">
        <f>IFERROR(IF(O701&gt;0, P701/O701, 0),"-")</f>
        <v>-</v>
      </c>
      <c r="S701" s="34">
        <v>10</v>
      </c>
      <c r="T701" s="34" t="s">
        <v>959</v>
      </c>
      <c r="U701" s="34" t="s">
        <v>959</v>
      </c>
      <c r="V701" s="35" t="s">
        <v>959</v>
      </c>
      <c r="W701" s="35" t="s">
        <v>959</v>
      </c>
    </row>
    <row r="702" spans="1:23" x14ac:dyDescent="0.2">
      <c r="A702" s="30" t="s">
        <v>862</v>
      </c>
      <c r="B702" s="30" t="s">
        <v>1377</v>
      </c>
      <c r="C702" s="34">
        <v>51</v>
      </c>
      <c r="D702" s="35">
        <v>51</v>
      </c>
      <c r="E702" s="34">
        <f>IF(OR(D702="-",D702="",D702=0),IF(C702="-","-",C702),C702-D702)</f>
        <v>0</v>
      </c>
      <c r="F702" s="4">
        <f>IFERROR(IF(C702&gt;0, D702/C702, 0),"-")</f>
        <v>1</v>
      </c>
      <c r="G702" s="34" t="s">
        <v>959</v>
      </c>
      <c r="H702" s="35" t="s">
        <v>959</v>
      </c>
      <c r="I702" s="34" t="str">
        <f>IF(OR(H702="-",H702="",H702=0),IF(G702="-","-",G702),G702-H702)</f>
        <v>-</v>
      </c>
      <c r="J702" s="4" t="str">
        <f>IFERROR(IF(G702&gt;0, H702/G702, 0),"-")</f>
        <v>-</v>
      </c>
      <c r="K702" s="34" t="s">
        <v>959</v>
      </c>
      <c r="L702" s="35" t="s">
        <v>959</v>
      </c>
      <c r="M702" s="34" t="str">
        <f>IF(OR(L702="-",L702="",L702=0),IF(K702="-","-",K702),K702-L702)</f>
        <v>-</v>
      </c>
      <c r="N702" s="4" t="str">
        <f>IFERROR(IF(K702&gt;0, L702/K702, 0),"-")</f>
        <v>-</v>
      </c>
      <c r="O702" s="34" t="s">
        <v>959</v>
      </c>
      <c r="P702" s="35" t="s">
        <v>959</v>
      </c>
      <c r="Q702" s="34" t="str">
        <f>IF(OR(P702="-",P702="",P702=0),IF(O702="-","-",O702),O702-P702)</f>
        <v>-</v>
      </c>
      <c r="R702" s="4" t="str">
        <f>IFERROR(IF(O702&gt;0, P702/O702, 0),"-")</f>
        <v>-</v>
      </c>
      <c r="S702" s="34" t="s">
        <v>959</v>
      </c>
      <c r="T702" s="34" t="s">
        <v>959</v>
      </c>
      <c r="U702" s="34" t="s">
        <v>959</v>
      </c>
      <c r="V702" s="35" t="s">
        <v>959</v>
      </c>
      <c r="W702" s="35" t="s">
        <v>959</v>
      </c>
    </row>
    <row r="703" spans="1:23" x14ac:dyDescent="0.2">
      <c r="A703" s="29"/>
      <c r="B703" s="29" t="s">
        <v>9</v>
      </c>
      <c r="C703" s="32">
        <v>1767</v>
      </c>
      <c r="D703" s="32">
        <v>1730</v>
      </c>
      <c r="E703" s="32">
        <f>IF(OR(D703="-",D703="",D703=0),IF(C703="-","-",C703),C703-D703)</f>
        <v>37</v>
      </c>
      <c r="F703" s="36">
        <f>IFERROR(IF(C703&gt;0, D703/C703, 0),"-")</f>
        <v>0.97906055461233732</v>
      </c>
      <c r="G703" s="32">
        <v>25</v>
      </c>
      <c r="H703" s="32">
        <v>6</v>
      </c>
      <c r="I703" s="32">
        <f>IF(OR(H703="-",H703="",H703=0),IF(G703="-","-",G703),G703-H703)</f>
        <v>19</v>
      </c>
      <c r="J703" s="36">
        <f>IFERROR(IF(G703&gt;0, H703/G703, 0),"-")</f>
        <v>0.24</v>
      </c>
      <c r="K703" s="32">
        <v>25</v>
      </c>
      <c r="L703" s="32">
        <v>8</v>
      </c>
      <c r="M703" s="32">
        <f>IF(OR(L703="-",L703="",L703=0),IF(K703="-","-",K703),K703-L703)</f>
        <v>17</v>
      </c>
      <c r="N703" s="36">
        <f>IFERROR(IF(K703&gt;0, L703/K703, 0),"-")</f>
        <v>0.32</v>
      </c>
      <c r="O703" s="32">
        <v>37</v>
      </c>
      <c r="P703" s="32">
        <v>4</v>
      </c>
      <c r="Q703" s="32">
        <f>IF(OR(P703="-",P703="",P703=0),IF(O703="-","-",O703),O703-P703)</f>
        <v>33</v>
      </c>
      <c r="R703" s="36">
        <f>IFERROR(IF(O703&gt;0, P703/O703, 0),"-")</f>
        <v>0.10810810810810811</v>
      </c>
      <c r="S703" s="32">
        <v>858</v>
      </c>
      <c r="T703" s="32">
        <v>8</v>
      </c>
      <c r="U703" s="32">
        <v>40100</v>
      </c>
      <c r="V703" s="32">
        <v>12</v>
      </c>
      <c r="W703" s="32">
        <v>235982</v>
      </c>
    </row>
    <row r="704" spans="1:23" x14ac:dyDescent="0.2">
      <c r="A704" s="30" t="s">
        <v>312</v>
      </c>
      <c r="B704" s="30" t="s">
        <v>1378</v>
      </c>
      <c r="C704" s="34">
        <v>272</v>
      </c>
      <c r="D704" s="35">
        <v>268</v>
      </c>
      <c r="E704" s="34">
        <f>IF(OR(D704="-",D704="",D704=0),IF(C704="-","-",C704),C704-D704)</f>
        <v>4</v>
      </c>
      <c r="F704" s="4">
        <f>IFERROR(IF(C704&gt;0, D704/C704, 0),"-")</f>
        <v>0.98529411764705888</v>
      </c>
      <c r="G704" s="34">
        <v>5</v>
      </c>
      <c r="H704" s="35" t="s">
        <v>959</v>
      </c>
      <c r="I704" s="34">
        <f>IF(OR(H704="-",H704="",H704=0),IF(G704="-","-",G704),G704-H704)</f>
        <v>5</v>
      </c>
      <c r="J704" s="4" t="str">
        <f>IFERROR(IF(G704&gt;0, H704/G704, 0),"-")</f>
        <v>-</v>
      </c>
      <c r="K704" s="34">
        <v>7</v>
      </c>
      <c r="L704" s="35">
        <v>5</v>
      </c>
      <c r="M704" s="34">
        <f>IF(OR(L704="-",L704="",L704=0),IF(K704="-","-",K704),K704-L704)</f>
        <v>2</v>
      </c>
      <c r="N704" s="4">
        <f>IFERROR(IF(K704&gt;0, L704/K704, 0),"-")</f>
        <v>0.7142857142857143</v>
      </c>
      <c r="O704" s="34">
        <v>4</v>
      </c>
      <c r="P704" s="35">
        <v>1</v>
      </c>
      <c r="Q704" s="34">
        <f>IF(OR(P704="-",P704="",P704=0),IF(O704="-","-",O704),O704-P704)</f>
        <v>3</v>
      </c>
      <c r="R704" s="4">
        <f>IFERROR(IF(O704&gt;0, P704/O704, 0),"-")</f>
        <v>0.25</v>
      </c>
      <c r="S704" s="34">
        <v>147</v>
      </c>
      <c r="T704" s="34">
        <v>1</v>
      </c>
      <c r="U704" s="34">
        <v>13475</v>
      </c>
      <c r="V704" s="35">
        <v>1</v>
      </c>
      <c r="W704" s="35">
        <v>14635</v>
      </c>
    </row>
    <row r="705" spans="1:23" x14ac:dyDescent="0.2">
      <c r="A705" s="30" t="s">
        <v>314</v>
      </c>
      <c r="B705" s="30" t="s">
        <v>1379</v>
      </c>
      <c r="C705" s="34">
        <v>234</v>
      </c>
      <c r="D705" s="35">
        <v>228</v>
      </c>
      <c r="E705" s="34">
        <f>IF(OR(D705="-",D705="",D705=0),IF(C705="-","-",C705),C705-D705)</f>
        <v>6</v>
      </c>
      <c r="F705" s="4">
        <f>IFERROR(IF(C705&gt;0, D705/C705, 0),"-")</f>
        <v>0.97435897435897434</v>
      </c>
      <c r="G705" s="34">
        <v>1</v>
      </c>
      <c r="H705" s="35" t="s">
        <v>959</v>
      </c>
      <c r="I705" s="34">
        <f>IF(OR(H705="-",H705="",H705=0),IF(G705="-","-",G705),G705-H705)</f>
        <v>1</v>
      </c>
      <c r="J705" s="4" t="str">
        <f>IFERROR(IF(G705&gt;0, H705/G705, 0),"-")</f>
        <v>-</v>
      </c>
      <c r="K705" s="34" t="s">
        <v>959</v>
      </c>
      <c r="L705" s="35" t="s">
        <v>959</v>
      </c>
      <c r="M705" s="34" t="str">
        <f>IF(OR(L705="-",L705="",L705=0),IF(K705="-","-",K705),K705-L705)</f>
        <v>-</v>
      </c>
      <c r="N705" s="4" t="str">
        <f>IFERROR(IF(K705&gt;0, L705/K705, 0),"-")</f>
        <v>-</v>
      </c>
      <c r="O705" s="34">
        <v>3</v>
      </c>
      <c r="P705" s="35" t="s">
        <v>959</v>
      </c>
      <c r="Q705" s="34">
        <f>IF(OR(P705="-",P705="",P705=0),IF(O705="-","-",O705),O705-P705)</f>
        <v>3</v>
      </c>
      <c r="R705" s="4" t="str">
        <f>IFERROR(IF(O705&gt;0, P705/O705, 0),"-")</f>
        <v>-</v>
      </c>
      <c r="S705" s="34">
        <v>80</v>
      </c>
      <c r="T705" s="34">
        <v>1</v>
      </c>
      <c r="U705" s="34">
        <v>1000</v>
      </c>
      <c r="V705" s="35">
        <v>3</v>
      </c>
      <c r="W705" s="35">
        <v>53785</v>
      </c>
    </row>
    <row r="706" spans="1:23" x14ac:dyDescent="0.2">
      <c r="A706" s="30" t="s">
        <v>316</v>
      </c>
      <c r="B706" s="30" t="s">
        <v>1380</v>
      </c>
      <c r="C706" s="34">
        <v>145</v>
      </c>
      <c r="D706" s="35">
        <v>142</v>
      </c>
      <c r="E706" s="34">
        <f>IF(OR(D706="-",D706="",D706=0),IF(C706="-","-",C706),C706-D706)</f>
        <v>3</v>
      </c>
      <c r="F706" s="4">
        <f>IFERROR(IF(C706&gt;0, D706/C706, 0),"-")</f>
        <v>0.97931034482758617</v>
      </c>
      <c r="G706" s="34">
        <v>3</v>
      </c>
      <c r="H706" s="35">
        <v>1</v>
      </c>
      <c r="I706" s="34">
        <f>IF(OR(H706="-",H706="",H706=0),IF(G706="-","-",G706),G706-H706)</f>
        <v>2</v>
      </c>
      <c r="J706" s="4">
        <f>IFERROR(IF(G706&gt;0, H706/G706, 0),"-")</f>
        <v>0.33333333333333331</v>
      </c>
      <c r="K706" s="34">
        <v>8</v>
      </c>
      <c r="L706" s="35">
        <v>1</v>
      </c>
      <c r="M706" s="34">
        <f>IF(OR(L706="-",L706="",L706=0),IF(K706="-","-",K706),K706-L706)</f>
        <v>7</v>
      </c>
      <c r="N706" s="4">
        <f>IFERROR(IF(K706&gt;0, L706/K706, 0),"-")</f>
        <v>0.125</v>
      </c>
      <c r="O706" s="34">
        <v>7</v>
      </c>
      <c r="P706" s="35" t="s">
        <v>959</v>
      </c>
      <c r="Q706" s="34">
        <f>IF(OR(P706="-",P706="",P706=0),IF(O706="-","-",O706),O706-P706)</f>
        <v>7</v>
      </c>
      <c r="R706" s="4" t="str">
        <f>IFERROR(IF(O706&gt;0, P706/O706, 0),"-")</f>
        <v>-</v>
      </c>
      <c r="S706" s="34">
        <v>86</v>
      </c>
      <c r="T706" s="34">
        <v>1</v>
      </c>
      <c r="U706" s="34">
        <v>4040</v>
      </c>
      <c r="V706" s="35">
        <v>1</v>
      </c>
      <c r="W706" s="35">
        <v>28610</v>
      </c>
    </row>
    <row r="707" spans="1:23" x14ac:dyDescent="0.2">
      <c r="A707" s="30" t="s">
        <v>317</v>
      </c>
      <c r="B707" s="30" t="s">
        <v>1381</v>
      </c>
      <c r="C707" s="34">
        <v>192</v>
      </c>
      <c r="D707" s="35">
        <v>187</v>
      </c>
      <c r="E707" s="34">
        <f>IF(OR(D707="-",D707="",D707=0),IF(C707="-","-",C707),C707-D707)</f>
        <v>5</v>
      </c>
      <c r="F707" s="4">
        <f>IFERROR(IF(C707&gt;0, D707/C707, 0),"-")</f>
        <v>0.97395833333333337</v>
      </c>
      <c r="G707" s="34">
        <v>3</v>
      </c>
      <c r="H707" s="35" t="s">
        <v>959</v>
      </c>
      <c r="I707" s="34">
        <f>IF(OR(H707="-",H707="",H707=0),IF(G707="-","-",G707),G707-H707)</f>
        <v>3</v>
      </c>
      <c r="J707" s="4" t="str">
        <f>IFERROR(IF(G707&gt;0, H707/G707, 0),"-")</f>
        <v>-</v>
      </c>
      <c r="K707" s="34">
        <v>3</v>
      </c>
      <c r="L707" s="35" t="s">
        <v>959</v>
      </c>
      <c r="M707" s="34">
        <f>IF(OR(L707="-",L707="",L707=0),IF(K707="-","-",K707),K707-L707)</f>
        <v>3</v>
      </c>
      <c r="N707" s="4" t="str">
        <f>IFERROR(IF(K707&gt;0, L707/K707, 0),"-")</f>
        <v>-</v>
      </c>
      <c r="O707" s="34">
        <v>5</v>
      </c>
      <c r="P707" s="35">
        <v>1</v>
      </c>
      <c r="Q707" s="34">
        <f>IF(OR(P707="-",P707="",P707=0),IF(O707="-","-",O707),O707-P707)</f>
        <v>4</v>
      </c>
      <c r="R707" s="4">
        <f>IFERROR(IF(O707&gt;0, P707/O707, 0),"-")</f>
        <v>0.2</v>
      </c>
      <c r="S707" s="34">
        <v>93</v>
      </c>
      <c r="T707" s="34" t="s">
        <v>959</v>
      </c>
      <c r="U707" s="34" t="s">
        <v>959</v>
      </c>
      <c r="V707" s="35">
        <v>3</v>
      </c>
      <c r="W707" s="35">
        <v>75383</v>
      </c>
    </row>
    <row r="708" spans="1:23" x14ac:dyDescent="0.2">
      <c r="A708" s="30" t="s">
        <v>315</v>
      </c>
      <c r="B708" s="30" t="s">
        <v>1382</v>
      </c>
      <c r="C708" s="34">
        <v>218</v>
      </c>
      <c r="D708" s="35">
        <v>210</v>
      </c>
      <c r="E708" s="34">
        <f>IF(OR(D708="-",D708="",D708=0),IF(C708="-","-",C708),C708-D708)</f>
        <v>8</v>
      </c>
      <c r="F708" s="4">
        <f>IFERROR(IF(C708&gt;0, D708/C708, 0),"-")</f>
        <v>0.96330275229357798</v>
      </c>
      <c r="G708" s="34">
        <v>2</v>
      </c>
      <c r="H708" s="35" t="s">
        <v>959</v>
      </c>
      <c r="I708" s="34">
        <f>IF(OR(H708="-",H708="",H708=0),IF(G708="-","-",G708),G708-H708)</f>
        <v>2</v>
      </c>
      <c r="J708" s="4" t="str">
        <f>IFERROR(IF(G708&gt;0, H708/G708, 0),"-")</f>
        <v>-</v>
      </c>
      <c r="K708" s="34" t="s">
        <v>959</v>
      </c>
      <c r="L708" s="35" t="s">
        <v>959</v>
      </c>
      <c r="M708" s="34" t="str">
        <f>IF(OR(L708="-",L708="",L708=0),IF(K708="-","-",K708),K708-L708)</f>
        <v>-</v>
      </c>
      <c r="N708" s="4" t="str">
        <f>IFERROR(IF(K708&gt;0, L708/K708, 0),"-")</f>
        <v>-</v>
      </c>
      <c r="O708" s="34">
        <v>8</v>
      </c>
      <c r="P708" s="35" t="s">
        <v>959</v>
      </c>
      <c r="Q708" s="34">
        <f>IF(OR(P708="-",P708="",P708=0),IF(O708="-","-",O708),O708-P708)</f>
        <v>8</v>
      </c>
      <c r="R708" s="4" t="str">
        <f>IFERROR(IF(O708&gt;0, P708/O708, 0),"-")</f>
        <v>-</v>
      </c>
      <c r="S708" s="34">
        <v>43</v>
      </c>
      <c r="T708" s="34" t="s">
        <v>959</v>
      </c>
      <c r="U708" s="34" t="s">
        <v>959</v>
      </c>
      <c r="V708" s="35" t="s">
        <v>959</v>
      </c>
      <c r="W708" s="35" t="s">
        <v>959</v>
      </c>
    </row>
    <row r="709" spans="1:23" x14ac:dyDescent="0.2">
      <c r="A709" s="30" t="s">
        <v>313</v>
      </c>
      <c r="B709" s="30" t="s">
        <v>1383</v>
      </c>
      <c r="C709" s="34">
        <v>249</v>
      </c>
      <c r="D709" s="35">
        <v>244</v>
      </c>
      <c r="E709" s="34">
        <f>IF(OR(D709="-",D709="",D709=0),IF(C709="-","-",C709),C709-D709)</f>
        <v>5</v>
      </c>
      <c r="F709" s="4">
        <f>IFERROR(IF(C709&gt;0, D709/C709, 0),"-")</f>
        <v>0.97991967871485941</v>
      </c>
      <c r="G709" s="34">
        <v>5</v>
      </c>
      <c r="H709" s="35">
        <v>2</v>
      </c>
      <c r="I709" s="34">
        <f>IF(OR(H709="-",H709="",H709=0),IF(G709="-","-",G709),G709-H709)</f>
        <v>3</v>
      </c>
      <c r="J709" s="4">
        <f>IFERROR(IF(G709&gt;0, H709/G709, 0),"-")</f>
        <v>0.4</v>
      </c>
      <c r="K709" s="34" t="s">
        <v>959</v>
      </c>
      <c r="L709" s="35" t="s">
        <v>959</v>
      </c>
      <c r="M709" s="34" t="str">
        <f>IF(OR(L709="-",L709="",L709=0),IF(K709="-","-",K709),K709-L709)</f>
        <v>-</v>
      </c>
      <c r="N709" s="4" t="str">
        <f>IFERROR(IF(K709&gt;0, L709/K709, 0),"-")</f>
        <v>-</v>
      </c>
      <c r="O709" s="34">
        <v>1</v>
      </c>
      <c r="P709" s="35">
        <v>1</v>
      </c>
      <c r="Q709" s="34">
        <f>IF(OR(P709="-",P709="",P709=0),IF(O709="-","-",O709),O709-P709)</f>
        <v>0</v>
      </c>
      <c r="R709" s="4">
        <f>IFERROR(IF(O709&gt;0, P709/O709, 0),"-")</f>
        <v>1</v>
      </c>
      <c r="S709" s="34">
        <v>124</v>
      </c>
      <c r="T709" s="34" t="s">
        <v>959</v>
      </c>
      <c r="U709" s="34" t="s">
        <v>959</v>
      </c>
      <c r="V709" s="35">
        <v>1</v>
      </c>
      <c r="W709" s="35">
        <v>16002</v>
      </c>
    </row>
    <row r="710" spans="1:23" x14ac:dyDescent="0.2">
      <c r="A710" s="30" t="s">
        <v>311</v>
      </c>
      <c r="B710" s="30" t="s">
        <v>1384</v>
      </c>
      <c r="C710" s="34">
        <v>209</v>
      </c>
      <c r="D710" s="35">
        <v>205</v>
      </c>
      <c r="E710" s="34">
        <f>IF(OR(D710="-",D710="",D710=0),IF(C710="-","-",C710),C710-D710)</f>
        <v>4</v>
      </c>
      <c r="F710" s="4">
        <f>IFERROR(IF(C710&gt;0, D710/C710, 0),"-")</f>
        <v>0.98086124401913877</v>
      </c>
      <c r="G710" s="34">
        <v>3</v>
      </c>
      <c r="H710" s="35">
        <v>3</v>
      </c>
      <c r="I710" s="34">
        <f>IF(OR(H710="-",H710="",H710=0),IF(G710="-","-",G710),G710-H710)</f>
        <v>0</v>
      </c>
      <c r="J710" s="4">
        <f>IFERROR(IF(G710&gt;0, H710/G710, 0),"-")</f>
        <v>1</v>
      </c>
      <c r="K710" s="34">
        <v>5</v>
      </c>
      <c r="L710" s="35" t="s">
        <v>959</v>
      </c>
      <c r="M710" s="34">
        <f>IF(OR(L710="-",L710="",L710=0),IF(K710="-","-",K710),K710-L710)</f>
        <v>5</v>
      </c>
      <c r="N710" s="4" t="str">
        <f>IFERROR(IF(K710&gt;0, L710/K710, 0),"-")</f>
        <v>-</v>
      </c>
      <c r="O710" s="34">
        <v>4</v>
      </c>
      <c r="P710" s="35">
        <v>1</v>
      </c>
      <c r="Q710" s="34">
        <f>IF(OR(P710="-",P710="",P710=0),IF(O710="-","-",O710),O710-P710)</f>
        <v>3</v>
      </c>
      <c r="R710" s="4">
        <f>IFERROR(IF(O710&gt;0, P710/O710, 0),"-")</f>
        <v>0.25</v>
      </c>
      <c r="S710" s="34">
        <v>121</v>
      </c>
      <c r="T710" s="34">
        <v>4</v>
      </c>
      <c r="U710" s="34">
        <v>14085</v>
      </c>
      <c r="V710" s="35">
        <v>1</v>
      </c>
      <c r="W710" s="35">
        <v>24563</v>
      </c>
    </row>
    <row r="711" spans="1:23" x14ac:dyDescent="0.2">
      <c r="A711" s="30" t="s">
        <v>310</v>
      </c>
      <c r="B711" s="30" t="s">
        <v>1385</v>
      </c>
      <c r="C711" s="34">
        <v>248</v>
      </c>
      <c r="D711" s="35">
        <v>246</v>
      </c>
      <c r="E711" s="34">
        <f>IF(OR(D711="-",D711="",D711=0),IF(C711="-","-",C711),C711-D711)</f>
        <v>2</v>
      </c>
      <c r="F711" s="4">
        <f>IFERROR(IF(C711&gt;0, D711/C711, 0),"-")</f>
        <v>0.99193548387096775</v>
      </c>
      <c r="G711" s="34">
        <v>3</v>
      </c>
      <c r="H711" s="35" t="s">
        <v>959</v>
      </c>
      <c r="I711" s="34">
        <f>IF(OR(H711="-",H711="",H711=0),IF(G711="-","-",G711),G711-H711)</f>
        <v>3</v>
      </c>
      <c r="J711" s="4" t="str">
        <f>IFERROR(IF(G711&gt;0, H711/G711, 0),"-")</f>
        <v>-</v>
      </c>
      <c r="K711" s="34">
        <v>2</v>
      </c>
      <c r="L711" s="35">
        <v>2</v>
      </c>
      <c r="M711" s="34">
        <f>IF(OR(L711="-",L711="",L711=0),IF(K711="-","-",K711),K711-L711)</f>
        <v>0</v>
      </c>
      <c r="N711" s="4">
        <f>IFERROR(IF(K711&gt;0, L711/K711, 0),"-")</f>
        <v>1</v>
      </c>
      <c r="O711" s="34">
        <v>5</v>
      </c>
      <c r="P711" s="35" t="s">
        <v>959</v>
      </c>
      <c r="Q711" s="34">
        <f>IF(OR(P711="-",P711="",P711=0),IF(O711="-","-",O711),O711-P711)</f>
        <v>5</v>
      </c>
      <c r="R711" s="4" t="str">
        <f>IFERROR(IF(O711&gt;0, P711/O711, 0),"-")</f>
        <v>-</v>
      </c>
      <c r="S711" s="34">
        <v>164</v>
      </c>
      <c r="T711" s="34">
        <v>1</v>
      </c>
      <c r="U711" s="34">
        <v>7500</v>
      </c>
      <c r="V711" s="35">
        <v>2</v>
      </c>
      <c r="W711" s="35">
        <v>23004</v>
      </c>
    </row>
    <row r="712" spans="1:23" x14ac:dyDescent="0.2">
      <c r="A712" s="29"/>
      <c r="B712" s="29" t="s">
        <v>78</v>
      </c>
      <c r="C712" s="32">
        <v>1141</v>
      </c>
      <c r="D712" s="32">
        <v>1122</v>
      </c>
      <c r="E712" s="32">
        <f>IF(OR(D712="-",D712="",D712=0),IF(C712="-","-",C712),C712-D712)</f>
        <v>19</v>
      </c>
      <c r="F712" s="36">
        <f>IFERROR(IF(C712&gt;0, D712/C712, 0),"-")</f>
        <v>0.9833479404031551</v>
      </c>
      <c r="G712" s="32">
        <v>20</v>
      </c>
      <c r="H712" s="32">
        <v>7</v>
      </c>
      <c r="I712" s="32">
        <f>IF(OR(H712="-",H712="",H712=0),IF(G712="-","-",G712),G712-H712)</f>
        <v>13</v>
      </c>
      <c r="J712" s="36">
        <f>IFERROR(IF(G712&gt;0, H712/G712, 0),"-")</f>
        <v>0.35</v>
      </c>
      <c r="K712" s="32">
        <v>19</v>
      </c>
      <c r="L712" s="32">
        <v>5</v>
      </c>
      <c r="M712" s="32">
        <f>IF(OR(L712="-",L712="",L712=0),IF(K712="-","-",K712),K712-L712)</f>
        <v>14</v>
      </c>
      <c r="N712" s="36">
        <f>IFERROR(IF(K712&gt;0, L712/K712, 0),"-")</f>
        <v>0.26315789473684209</v>
      </c>
      <c r="O712" s="32">
        <v>25</v>
      </c>
      <c r="P712" s="32">
        <v>3</v>
      </c>
      <c r="Q712" s="32">
        <f>IF(OR(P712="-",P712="",P712=0),IF(O712="-","-",O712),O712-P712)</f>
        <v>22</v>
      </c>
      <c r="R712" s="36">
        <f>IFERROR(IF(O712&gt;0, P712/O712, 0),"-")</f>
        <v>0.12</v>
      </c>
      <c r="S712" s="32">
        <v>842</v>
      </c>
      <c r="T712" s="32">
        <v>15</v>
      </c>
      <c r="U712" s="32">
        <v>72170</v>
      </c>
      <c r="V712" s="32">
        <v>13</v>
      </c>
      <c r="W712" s="32">
        <v>201234</v>
      </c>
    </row>
    <row r="713" spans="1:23" x14ac:dyDescent="0.2">
      <c r="A713" s="30" t="s">
        <v>523</v>
      </c>
      <c r="B713" s="30" t="s">
        <v>1386</v>
      </c>
      <c r="C713" s="34">
        <v>254</v>
      </c>
      <c r="D713" s="35">
        <v>244</v>
      </c>
      <c r="E713" s="34">
        <f>IF(OR(D713="-",D713="",D713=0),IF(C713="-","-",C713),C713-D713)</f>
        <v>10</v>
      </c>
      <c r="F713" s="4">
        <f>IFERROR(IF(C713&gt;0, D713/C713, 0),"-")</f>
        <v>0.96062992125984248</v>
      </c>
      <c r="G713" s="34">
        <v>7</v>
      </c>
      <c r="H713" s="35">
        <v>2</v>
      </c>
      <c r="I713" s="34">
        <f>IF(OR(H713="-",H713="",H713=0),IF(G713="-","-",G713),G713-H713)</f>
        <v>5</v>
      </c>
      <c r="J713" s="4">
        <f>IFERROR(IF(G713&gt;0, H713/G713, 0),"-")</f>
        <v>0.2857142857142857</v>
      </c>
      <c r="K713" s="34">
        <v>6</v>
      </c>
      <c r="L713" s="35">
        <v>2</v>
      </c>
      <c r="M713" s="34">
        <f>IF(OR(L713="-",L713="",L713=0),IF(K713="-","-",K713),K713-L713)</f>
        <v>4</v>
      </c>
      <c r="N713" s="4">
        <f>IFERROR(IF(K713&gt;0, L713/K713, 0),"-")</f>
        <v>0.33333333333333331</v>
      </c>
      <c r="O713" s="34">
        <v>8</v>
      </c>
      <c r="P713" s="35" t="s">
        <v>959</v>
      </c>
      <c r="Q713" s="34">
        <f>IF(OR(P713="-",P713="",P713=0),IF(O713="-","-",O713),O713-P713)</f>
        <v>8</v>
      </c>
      <c r="R713" s="4" t="str">
        <f>IFERROR(IF(O713&gt;0, P713/O713, 0),"-")</f>
        <v>-</v>
      </c>
      <c r="S713" s="34">
        <v>247</v>
      </c>
      <c r="T713" s="34">
        <v>1</v>
      </c>
      <c r="U713" s="34">
        <v>3770</v>
      </c>
      <c r="V713" s="35">
        <v>2</v>
      </c>
      <c r="W713" s="35">
        <v>32789</v>
      </c>
    </row>
    <row r="714" spans="1:23" x14ac:dyDescent="0.2">
      <c r="A714" s="30" t="s">
        <v>521</v>
      </c>
      <c r="B714" s="30" t="s">
        <v>1387</v>
      </c>
      <c r="C714" s="34">
        <v>307</v>
      </c>
      <c r="D714" s="35">
        <v>304</v>
      </c>
      <c r="E714" s="34">
        <f>IF(OR(D714="-",D714="",D714=0),IF(C714="-","-",C714),C714-D714)</f>
        <v>3</v>
      </c>
      <c r="F714" s="4">
        <f>IFERROR(IF(C714&gt;0, D714/C714, 0),"-")</f>
        <v>0.99022801302931596</v>
      </c>
      <c r="G714" s="34">
        <v>4</v>
      </c>
      <c r="H714" s="35">
        <v>2</v>
      </c>
      <c r="I714" s="34">
        <f>IF(OR(H714="-",H714="",H714=0),IF(G714="-","-",G714),G714-H714)</f>
        <v>2</v>
      </c>
      <c r="J714" s="4">
        <f>IFERROR(IF(G714&gt;0, H714/G714, 0),"-")</f>
        <v>0.5</v>
      </c>
      <c r="K714" s="34">
        <v>4</v>
      </c>
      <c r="L714" s="35" t="s">
        <v>959</v>
      </c>
      <c r="M714" s="34">
        <f>IF(OR(L714="-",L714="",L714=0),IF(K714="-","-",K714),K714-L714)</f>
        <v>4</v>
      </c>
      <c r="N714" s="4" t="str">
        <f>IFERROR(IF(K714&gt;0, L714/K714, 0),"-")</f>
        <v>-</v>
      </c>
      <c r="O714" s="34">
        <v>7</v>
      </c>
      <c r="P714" s="35">
        <v>2</v>
      </c>
      <c r="Q714" s="34">
        <f>IF(OR(P714="-",P714="",P714=0),IF(O714="-","-",O714),O714-P714)</f>
        <v>5</v>
      </c>
      <c r="R714" s="4">
        <f>IFERROR(IF(O714&gt;0, P714/O714, 0),"-")</f>
        <v>0.2857142857142857</v>
      </c>
      <c r="S714" s="34">
        <v>150</v>
      </c>
      <c r="T714" s="34">
        <v>4</v>
      </c>
      <c r="U714" s="34">
        <v>11580</v>
      </c>
      <c r="V714" s="35">
        <v>4</v>
      </c>
      <c r="W714" s="35">
        <v>83711</v>
      </c>
    </row>
    <row r="715" spans="1:23" x14ac:dyDescent="0.2">
      <c r="A715" s="30" t="s">
        <v>526</v>
      </c>
      <c r="B715" s="30" t="s">
        <v>1388</v>
      </c>
      <c r="C715" s="34">
        <v>138</v>
      </c>
      <c r="D715" s="35">
        <v>136</v>
      </c>
      <c r="E715" s="34">
        <f>IF(OR(D715="-",D715="",D715=0),IF(C715="-","-",C715),C715-D715)</f>
        <v>2</v>
      </c>
      <c r="F715" s="4">
        <f>IFERROR(IF(C715&gt;0, D715/C715, 0),"-")</f>
        <v>0.98550724637681164</v>
      </c>
      <c r="G715" s="34">
        <v>2</v>
      </c>
      <c r="H715" s="35">
        <v>1</v>
      </c>
      <c r="I715" s="34">
        <f>IF(OR(H715="-",H715="",H715=0),IF(G715="-","-",G715),G715-H715)</f>
        <v>1</v>
      </c>
      <c r="J715" s="4">
        <f>IFERROR(IF(G715&gt;0, H715/G715, 0),"-")</f>
        <v>0.5</v>
      </c>
      <c r="K715" s="34" t="s">
        <v>959</v>
      </c>
      <c r="L715" s="35" t="s">
        <v>959</v>
      </c>
      <c r="M715" s="34" t="str">
        <f>IF(OR(L715="-",L715="",L715=0),IF(K715="-","-",K715),K715-L715)</f>
        <v>-</v>
      </c>
      <c r="N715" s="4" t="str">
        <f>IFERROR(IF(K715&gt;0, L715/K715, 0),"-")</f>
        <v>-</v>
      </c>
      <c r="O715" s="34">
        <v>6</v>
      </c>
      <c r="P715" s="35" t="s">
        <v>959</v>
      </c>
      <c r="Q715" s="34">
        <f>IF(OR(P715="-",P715="",P715=0),IF(O715="-","-",O715),O715-P715)</f>
        <v>6</v>
      </c>
      <c r="R715" s="4" t="str">
        <f>IFERROR(IF(O715&gt;0, P715/O715, 0),"-")</f>
        <v>-</v>
      </c>
      <c r="S715" s="34">
        <v>52</v>
      </c>
      <c r="T715" s="34">
        <v>3</v>
      </c>
      <c r="U715" s="34">
        <v>12150</v>
      </c>
      <c r="V715" s="35">
        <v>1</v>
      </c>
      <c r="W715" s="35">
        <v>56</v>
      </c>
    </row>
    <row r="716" spans="1:23" x14ac:dyDescent="0.2">
      <c r="A716" s="30" t="s">
        <v>522</v>
      </c>
      <c r="B716" s="30" t="s">
        <v>1389</v>
      </c>
      <c r="C716" s="34">
        <v>162</v>
      </c>
      <c r="D716" s="35">
        <v>159</v>
      </c>
      <c r="E716" s="34">
        <f>IF(OR(D716="-",D716="",D716=0),IF(C716="-","-",C716),C716-D716)</f>
        <v>3</v>
      </c>
      <c r="F716" s="4">
        <f>IFERROR(IF(C716&gt;0, D716/C716, 0),"-")</f>
        <v>0.98148148148148151</v>
      </c>
      <c r="G716" s="34">
        <v>2</v>
      </c>
      <c r="H716" s="35">
        <v>2</v>
      </c>
      <c r="I716" s="34">
        <f>IF(OR(H716="-",H716="",H716=0),IF(G716="-","-",G716),G716-H716)</f>
        <v>0</v>
      </c>
      <c r="J716" s="4">
        <f>IFERROR(IF(G716&gt;0, H716/G716, 0),"-")</f>
        <v>1</v>
      </c>
      <c r="K716" s="34">
        <v>1</v>
      </c>
      <c r="L716" s="35">
        <v>1</v>
      </c>
      <c r="M716" s="34">
        <f>IF(OR(L716="-",L716="",L716=0),IF(K716="-","-",K716),K716-L716)</f>
        <v>0</v>
      </c>
      <c r="N716" s="4">
        <f>IFERROR(IF(K716&gt;0, L716/K716, 0),"-")</f>
        <v>1</v>
      </c>
      <c r="O716" s="34">
        <v>1</v>
      </c>
      <c r="P716" s="35" t="s">
        <v>959</v>
      </c>
      <c r="Q716" s="34">
        <f>IF(OR(P716="-",P716="",P716=0),IF(O716="-","-",O716),O716-P716)</f>
        <v>1</v>
      </c>
      <c r="R716" s="4" t="str">
        <f>IFERROR(IF(O716&gt;0, P716/O716, 0),"-")</f>
        <v>-</v>
      </c>
      <c r="S716" s="34">
        <v>89</v>
      </c>
      <c r="T716" s="34">
        <v>5</v>
      </c>
      <c r="U716" s="34">
        <v>39370</v>
      </c>
      <c r="V716" s="35">
        <v>2</v>
      </c>
      <c r="W716" s="35">
        <v>48855</v>
      </c>
    </row>
    <row r="717" spans="1:23" x14ac:dyDescent="0.2">
      <c r="A717" s="30" t="s">
        <v>525</v>
      </c>
      <c r="B717" s="30" t="s">
        <v>1390</v>
      </c>
      <c r="C717" s="34">
        <v>179</v>
      </c>
      <c r="D717" s="35">
        <v>179</v>
      </c>
      <c r="E717" s="34">
        <f>IF(OR(D717="-",D717="",D717=0),IF(C717="-","-",C717),C717-D717)</f>
        <v>0</v>
      </c>
      <c r="F717" s="4">
        <f>IFERROR(IF(C717&gt;0, D717/C717, 0),"-")</f>
        <v>1</v>
      </c>
      <c r="G717" s="34">
        <v>2</v>
      </c>
      <c r="H717" s="35" t="s">
        <v>959</v>
      </c>
      <c r="I717" s="34">
        <f>IF(OR(H717="-",H717="",H717=0),IF(G717="-","-",G717),G717-H717)</f>
        <v>2</v>
      </c>
      <c r="J717" s="4" t="str">
        <f>IFERROR(IF(G717&gt;0, H717/G717, 0),"-")</f>
        <v>-</v>
      </c>
      <c r="K717" s="34">
        <v>4</v>
      </c>
      <c r="L717" s="35">
        <v>2</v>
      </c>
      <c r="M717" s="34">
        <f>IF(OR(L717="-",L717="",L717=0),IF(K717="-","-",K717),K717-L717)</f>
        <v>2</v>
      </c>
      <c r="N717" s="4">
        <f>IFERROR(IF(K717&gt;0, L717/K717, 0),"-")</f>
        <v>0.5</v>
      </c>
      <c r="O717" s="34">
        <v>2</v>
      </c>
      <c r="P717" s="35">
        <v>1</v>
      </c>
      <c r="Q717" s="34">
        <f>IF(OR(P717="-",P717="",P717=0),IF(O717="-","-",O717),O717-P717)</f>
        <v>1</v>
      </c>
      <c r="R717" s="4">
        <f>IFERROR(IF(O717&gt;0, P717/O717, 0),"-")</f>
        <v>0.5</v>
      </c>
      <c r="S717" s="34">
        <v>137</v>
      </c>
      <c r="T717" s="34" t="s">
        <v>959</v>
      </c>
      <c r="U717" s="34" t="s">
        <v>959</v>
      </c>
      <c r="V717" s="35">
        <v>3</v>
      </c>
      <c r="W717" s="35">
        <v>33398</v>
      </c>
    </row>
    <row r="718" spans="1:23" x14ac:dyDescent="0.2">
      <c r="A718" s="30" t="s">
        <v>524</v>
      </c>
      <c r="B718" s="30" t="s">
        <v>1391</v>
      </c>
      <c r="C718" s="34">
        <v>101</v>
      </c>
      <c r="D718" s="35">
        <v>100</v>
      </c>
      <c r="E718" s="34">
        <f>IF(OR(D718="-",D718="",D718=0),IF(C718="-","-",C718),C718-D718)</f>
        <v>1</v>
      </c>
      <c r="F718" s="4">
        <f>IFERROR(IF(C718&gt;0, D718/C718, 0),"-")</f>
        <v>0.99009900990099009</v>
      </c>
      <c r="G718" s="34">
        <v>3</v>
      </c>
      <c r="H718" s="35" t="s">
        <v>959</v>
      </c>
      <c r="I718" s="34">
        <f>IF(OR(H718="-",H718="",H718=0),IF(G718="-","-",G718),G718-H718)</f>
        <v>3</v>
      </c>
      <c r="J718" s="4" t="str">
        <f>IFERROR(IF(G718&gt;0, H718/G718, 0),"-")</f>
        <v>-</v>
      </c>
      <c r="K718" s="34">
        <v>4</v>
      </c>
      <c r="L718" s="35" t="s">
        <v>959</v>
      </c>
      <c r="M718" s="34">
        <f>IF(OR(L718="-",L718="",L718=0),IF(K718="-","-",K718),K718-L718)</f>
        <v>4</v>
      </c>
      <c r="N718" s="4" t="str">
        <f>IFERROR(IF(K718&gt;0, L718/K718, 0),"-")</f>
        <v>-</v>
      </c>
      <c r="O718" s="34">
        <v>1</v>
      </c>
      <c r="P718" s="35" t="s">
        <v>959</v>
      </c>
      <c r="Q718" s="34">
        <f>IF(OR(P718="-",P718="",P718=0),IF(O718="-","-",O718),O718-P718)</f>
        <v>1</v>
      </c>
      <c r="R718" s="4" t="str">
        <f>IFERROR(IF(O718&gt;0, P718/O718, 0),"-")</f>
        <v>-</v>
      </c>
      <c r="S718" s="34">
        <v>167</v>
      </c>
      <c r="T718" s="34">
        <v>2</v>
      </c>
      <c r="U718" s="34">
        <v>5300</v>
      </c>
      <c r="V718" s="35">
        <v>1</v>
      </c>
      <c r="W718" s="35">
        <v>2425</v>
      </c>
    </row>
    <row r="719" spans="1:23" x14ac:dyDescent="0.2">
      <c r="A719" s="29"/>
      <c r="B719" s="29" t="s">
        <v>104</v>
      </c>
      <c r="C719" s="32">
        <v>1712</v>
      </c>
      <c r="D719" s="32">
        <v>1663</v>
      </c>
      <c r="E719" s="32">
        <f>IF(OR(D719="-",D719="",D719=0),IF(C719="-","-",C719),C719-D719)</f>
        <v>49</v>
      </c>
      <c r="F719" s="36">
        <f>IFERROR(IF(C719&gt;0, D719/C719, 0),"-")</f>
        <v>0.97137850467289721</v>
      </c>
      <c r="G719" s="32">
        <v>26</v>
      </c>
      <c r="H719" s="32">
        <v>7</v>
      </c>
      <c r="I719" s="32">
        <f>IF(OR(H719="-",H719="",H719=0),IF(G719="-","-",G719),G719-H719)</f>
        <v>19</v>
      </c>
      <c r="J719" s="36">
        <f>IFERROR(IF(G719&gt;0, H719/G719, 0),"-")</f>
        <v>0.26923076923076922</v>
      </c>
      <c r="K719" s="32">
        <v>23</v>
      </c>
      <c r="L719" s="32">
        <v>7</v>
      </c>
      <c r="M719" s="32">
        <f>IF(OR(L719="-",L719="",L719=0),IF(K719="-","-",K719),K719-L719)</f>
        <v>16</v>
      </c>
      <c r="N719" s="36">
        <f>IFERROR(IF(K719&gt;0, L719/K719, 0),"-")</f>
        <v>0.30434782608695654</v>
      </c>
      <c r="O719" s="32">
        <v>25</v>
      </c>
      <c r="P719" s="32">
        <v>6</v>
      </c>
      <c r="Q719" s="32">
        <f>IF(OR(P719="-",P719="",P719=0),IF(O719="-","-",O719),O719-P719)</f>
        <v>19</v>
      </c>
      <c r="R719" s="36">
        <f>IFERROR(IF(O719&gt;0, P719/O719, 0),"-")</f>
        <v>0.24</v>
      </c>
      <c r="S719" s="32">
        <v>1412</v>
      </c>
      <c r="T719" s="32">
        <v>12</v>
      </c>
      <c r="U719" s="32">
        <v>48450</v>
      </c>
      <c r="V719" s="32">
        <v>27</v>
      </c>
      <c r="W719" s="32">
        <v>602014</v>
      </c>
    </row>
    <row r="720" spans="1:23" x14ac:dyDescent="0.2">
      <c r="A720" s="30" t="s">
        <v>745</v>
      </c>
      <c r="B720" s="30" t="s">
        <v>1392</v>
      </c>
      <c r="C720" s="34">
        <v>184</v>
      </c>
      <c r="D720" s="35">
        <v>174</v>
      </c>
      <c r="E720" s="34">
        <f>IF(OR(D720="-",D720="",D720=0),IF(C720="-","-",C720),C720-D720)</f>
        <v>10</v>
      </c>
      <c r="F720" s="4">
        <f>IFERROR(IF(C720&gt;0, D720/C720, 0),"-")</f>
        <v>0.94565217391304346</v>
      </c>
      <c r="G720" s="34">
        <v>7</v>
      </c>
      <c r="H720" s="35" t="s">
        <v>959</v>
      </c>
      <c r="I720" s="34">
        <f>IF(OR(H720="-",H720="",H720=0),IF(G720="-","-",G720),G720-H720)</f>
        <v>7</v>
      </c>
      <c r="J720" s="4" t="str">
        <f>IFERROR(IF(G720&gt;0, H720/G720, 0),"-")</f>
        <v>-</v>
      </c>
      <c r="K720" s="34">
        <v>8</v>
      </c>
      <c r="L720" s="35">
        <v>1</v>
      </c>
      <c r="M720" s="34">
        <f>IF(OR(L720="-",L720="",L720=0),IF(K720="-","-",K720),K720-L720)</f>
        <v>7</v>
      </c>
      <c r="N720" s="4">
        <f>IFERROR(IF(K720&gt;0, L720/K720, 0),"-")</f>
        <v>0.125</v>
      </c>
      <c r="O720" s="34">
        <v>4</v>
      </c>
      <c r="P720" s="35">
        <v>1</v>
      </c>
      <c r="Q720" s="34">
        <f>IF(OR(P720="-",P720="",P720=0),IF(O720="-","-",O720),O720-P720)</f>
        <v>3</v>
      </c>
      <c r="R720" s="4">
        <f>IFERROR(IF(O720&gt;0, P720/O720, 0),"-")</f>
        <v>0.25</v>
      </c>
      <c r="S720" s="34">
        <v>219</v>
      </c>
      <c r="T720" s="34">
        <v>1</v>
      </c>
      <c r="U720" s="34">
        <v>2695</v>
      </c>
      <c r="V720" s="35">
        <v>5</v>
      </c>
      <c r="W720" s="35">
        <v>125150</v>
      </c>
    </row>
    <row r="721" spans="1:23" x14ac:dyDescent="0.2">
      <c r="A721" s="30" t="s">
        <v>750</v>
      </c>
      <c r="B721" s="30" t="s">
        <v>1393</v>
      </c>
      <c r="C721" s="34">
        <v>162</v>
      </c>
      <c r="D721" s="35">
        <v>161</v>
      </c>
      <c r="E721" s="34">
        <f>IF(OR(D721="-",D721="",D721=0),IF(C721="-","-",C721),C721-D721)</f>
        <v>1</v>
      </c>
      <c r="F721" s="4">
        <f>IFERROR(IF(C721&gt;0, D721/C721, 0),"-")</f>
        <v>0.99382716049382713</v>
      </c>
      <c r="G721" s="34">
        <v>2</v>
      </c>
      <c r="H721" s="35">
        <v>1</v>
      </c>
      <c r="I721" s="34">
        <f>IF(OR(H721="-",H721="",H721=0),IF(G721="-","-",G721),G721-H721)</f>
        <v>1</v>
      </c>
      <c r="J721" s="4">
        <f>IFERROR(IF(G721&gt;0, H721/G721, 0),"-")</f>
        <v>0.5</v>
      </c>
      <c r="K721" s="34">
        <v>1</v>
      </c>
      <c r="L721" s="35" t="s">
        <v>959</v>
      </c>
      <c r="M721" s="34">
        <f>IF(OR(L721="-",L721="",L721=0),IF(K721="-","-",K721),K721-L721)</f>
        <v>1</v>
      </c>
      <c r="N721" s="4" t="str">
        <f>IFERROR(IF(K721&gt;0, L721/K721, 0),"-")</f>
        <v>-</v>
      </c>
      <c r="O721" s="34">
        <v>3</v>
      </c>
      <c r="P721" s="35">
        <v>1</v>
      </c>
      <c r="Q721" s="34">
        <f>IF(OR(P721="-",P721="",P721=0),IF(O721="-","-",O721),O721-P721)</f>
        <v>2</v>
      </c>
      <c r="R721" s="4">
        <f>IFERROR(IF(O721&gt;0, P721/O721, 0),"-")</f>
        <v>0.33333333333333331</v>
      </c>
      <c r="S721" s="34">
        <v>155</v>
      </c>
      <c r="T721" s="34" t="s">
        <v>959</v>
      </c>
      <c r="U721" s="34" t="s">
        <v>959</v>
      </c>
      <c r="V721" s="35">
        <v>6</v>
      </c>
      <c r="W721" s="35">
        <v>109896</v>
      </c>
    </row>
    <row r="722" spans="1:23" x14ac:dyDescent="0.2">
      <c r="A722" s="30" t="s">
        <v>751</v>
      </c>
      <c r="B722" s="30" t="s">
        <v>1394</v>
      </c>
      <c r="C722" s="34">
        <v>198</v>
      </c>
      <c r="D722" s="35">
        <v>194</v>
      </c>
      <c r="E722" s="34">
        <f>IF(OR(D722="-",D722="",D722=0),IF(C722="-","-",C722),C722-D722)</f>
        <v>4</v>
      </c>
      <c r="F722" s="4">
        <f>IFERROR(IF(C722&gt;0, D722/C722, 0),"-")</f>
        <v>0.97979797979797978</v>
      </c>
      <c r="G722" s="34">
        <v>2</v>
      </c>
      <c r="H722" s="35">
        <v>1</v>
      </c>
      <c r="I722" s="34">
        <f>IF(OR(H722="-",H722="",H722=0),IF(G722="-","-",G722),G722-H722)</f>
        <v>1</v>
      </c>
      <c r="J722" s="4">
        <f>IFERROR(IF(G722&gt;0, H722/G722, 0),"-")</f>
        <v>0.5</v>
      </c>
      <c r="K722" s="34">
        <v>2</v>
      </c>
      <c r="L722" s="35">
        <v>1</v>
      </c>
      <c r="M722" s="34">
        <f>IF(OR(L722="-",L722="",L722=0),IF(K722="-","-",K722),K722-L722)</f>
        <v>1</v>
      </c>
      <c r="N722" s="4">
        <f>IFERROR(IF(K722&gt;0, L722/K722, 0),"-")</f>
        <v>0.5</v>
      </c>
      <c r="O722" s="34">
        <v>1</v>
      </c>
      <c r="P722" s="35" t="s">
        <v>959</v>
      </c>
      <c r="Q722" s="34">
        <f>IF(OR(P722="-",P722="",P722=0),IF(O722="-","-",O722),O722-P722)</f>
        <v>1</v>
      </c>
      <c r="R722" s="4" t="str">
        <f>IFERROR(IF(O722&gt;0, P722/O722, 0),"-")</f>
        <v>-</v>
      </c>
      <c r="S722" s="34">
        <v>18</v>
      </c>
      <c r="T722" s="34" t="s">
        <v>959</v>
      </c>
      <c r="U722" s="34" t="s">
        <v>959</v>
      </c>
      <c r="V722" s="35" t="s">
        <v>959</v>
      </c>
      <c r="W722" s="35" t="s">
        <v>959</v>
      </c>
    </row>
    <row r="723" spans="1:23" x14ac:dyDescent="0.2">
      <c r="A723" s="30" t="s">
        <v>748</v>
      </c>
      <c r="B723" s="30" t="s">
        <v>1395</v>
      </c>
      <c r="C723" s="34">
        <v>195</v>
      </c>
      <c r="D723" s="35">
        <v>189</v>
      </c>
      <c r="E723" s="34">
        <f>IF(OR(D723="-",D723="",D723=0),IF(C723="-","-",C723),C723-D723)</f>
        <v>6</v>
      </c>
      <c r="F723" s="4">
        <f>IFERROR(IF(C723&gt;0, D723/C723, 0),"-")</f>
        <v>0.96923076923076923</v>
      </c>
      <c r="G723" s="34">
        <v>2</v>
      </c>
      <c r="H723" s="35">
        <v>1</v>
      </c>
      <c r="I723" s="34">
        <f>IF(OR(H723="-",H723="",H723=0),IF(G723="-","-",G723),G723-H723)</f>
        <v>1</v>
      </c>
      <c r="J723" s="4">
        <f>IFERROR(IF(G723&gt;0, H723/G723, 0),"-")</f>
        <v>0.5</v>
      </c>
      <c r="K723" s="34">
        <v>3</v>
      </c>
      <c r="L723" s="35">
        <v>1</v>
      </c>
      <c r="M723" s="34">
        <f>IF(OR(L723="-",L723="",L723=0),IF(K723="-","-",K723),K723-L723)</f>
        <v>2</v>
      </c>
      <c r="N723" s="4">
        <f>IFERROR(IF(K723&gt;0, L723/K723, 0),"-")</f>
        <v>0.33333333333333331</v>
      </c>
      <c r="O723" s="34">
        <v>4</v>
      </c>
      <c r="P723" s="35">
        <v>1</v>
      </c>
      <c r="Q723" s="34">
        <f>IF(OR(P723="-",P723="",P723=0),IF(O723="-","-",O723),O723-P723)</f>
        <v>3</v>
      </c>
      <c r="R723" s="4">
        <f>IFERROR(IF(O723&gt;0, P723/O723, 0),"-")</f>
        <v>0.25</v>
      </c>
      <c r="S723" s="34">
        <v>380</v>
      </c>
      <c r="T723" s="34">
        <v>3</v>
      </c>
      <c r="U723" s="34">
        <v>14095</v>
      </c>
      <c r="V723" s="35">
        <v>5</v>
      </c>
      <c r="W723" s="35">
        <v>119701</v>
      </c>
    </row>
    <row r="724" spans="1:23" x14ac:dyDescent="0.2">
      <c r="A724" s="30" t="s">
        <v>752</v>
      </c>
      <c r="B724" s="30" t="s">
        <v>1396</v>
      </c>
      <c r="C724" s="34">
        <v>145</v>
      </c>
      <c r="D724" s="35">
        <v>138</v>
      </c>
      <c r="E724" s="34">
        <f>IF(OR(D724="-",D724="",D724=0),IF(C724="-","-",C724),C724-D724)</f>
        <v>7</v>
      </c>
      <c r="F724" s="4">
        <f>IFERROR(IF(C724&gt;0, D724/C724, 0),"-")</f>
        <v>0.9517241379310345</v>
      </c>
      <c r="G724" s="34">
        <v>6</v>
      </c>
      <c r="H724" s="35">
        <v>3</v>
      </c>
      <c r="I724" s="34">
        <f>IF(OR(H724="-",H724="",H724=0),IF(G724="-","-",G724),G724-H724)</f>
        <v>3</v>
      </c>
      <c r="J724" s="4">
        <f>IFERROR(IF(G724&gt;0, H724/G724, 0),"-")</f>
        <v>0.5</v>
      </c>
      <c r="K724" s="34">
        <v>3</v>
      </c>
      <c r="L724" s="35">
        <v>2</v>
      </c>
      <c r="M724" s="34">
        <f>IF(OR(L724="-",L724="",L724=0),IF(K724="-","-",K724),K724-L724)</f>
        <v>1</v>
      </c>
      <c r="N724" s="4">
        <f>IFERROR(IF(K724&gt;0, L724/K724, 0),"-")</f>
        <v>0.66666666666666663</v>
      </c>
      <c r="O724" s="34">
        <v>2</v>
      </c>
      <c r="P724" s="35">
        <v>1</v>
      </c>
      <c r="Q724" s="34">
        <f>IF(OR(P724="-",P724="",P724=0),IF(O724="-","-",O724),O724-P724)</f>
        <v>1</v>
      </c>
      <c r="R724" s="4">
        <f>IFERROR(IF(O724&gt;0, P724/O724, 0),"-")</f>
        <v>0.5</v>
      </c>
      <c r="S724" s="34">
        <v>13</v>
      </c>
      <c r="T724" s="34">
        <v>2</v>
      </c>
      <c r="U724" s="34">
        <v>11420</v>
      </c>
      <c r="V724" s="35" t="s">
        <v>959</v>
      </c>
      <c r="W724" s="35" t="s">
        <v>959</v>
      </c>
    </row>
    <row r="725" spans="1:23" x14ac:dyDescent="0.2">
      <c r="A725" s="30" t="s">
        <v>753</v>
      </c>
      <c r="B725" s="30" t="s">
        <v>1397</v>
      </c>
      <c r="C725" s="34">
        <v>9</v>
      </c>
      <c r="D725" s="35">
        <v>9</v>
      </c>
      <c r="E725" s="34">
        <f>IF(OR(D725="-",D725="",D725=0),IF(C725="-","-",C725),C725-D725)</f>
        <v>0</v>
      </c>
      <c r="F725" s="4">
        <f>IFERROR(IF(C725&gt;0, D725/C725, 0),"-")</f>
        <v>1</v>
      </c>
      <c r="G725" s="34" t="s">
        <v>959</v>
      </c>
      <c r="H725" s="35" t="s">
        <v>959</v>
      </c>
      <c r="I725" s="34" t="str">
        <f>IF(OR(H725="-",H725="",H725=0),IF(G725="-","-",G725),G725-H725)</f>
        <v>-</v>
      </c>
      <c r="J725" s="4" t="str">
        <f>IFERROR(IF(G725&gt;0, H725/G725, 0),"-")</f>
        <v>-</v>
      </c>
      <c r="K725" s="34" t="s">
        <v>959</v>
      </c>
      <c r="L725" s="35" t="s">
        <v>959</v>
      </c>
      <c r="M725" s="34" t="str">
        <f>IF(OR(L725="-",L725="",L725=0),IF(K725="-","-",K725),K725-L725)</f>
        <v>-</v>
      </c>
      <c r="N725" s="4" t="str">
        <f>IFERROR(IF(K725&gt;0, L725/K725, 0),"-")</f>
        <v>-</v>
      </c>
      <c r="O725" s="34" t="s">
        <v>959</v>
      </c>
      <c r="P725" s="35" t="s">
        <v>959</v>
      </c>
      <c r="Q725" s="34" t="str">
        <f>IF(OR(P725="-",P725="",P725=0),IF(O725="-","-",O725),O725-P725)</f>
        <v>-</v>
      </c>
      <c r="R725" s="4" t="str">
        <f>IFERROR(IF(O725&gt;0, P725/O725, 0),"-")</f>
        <v>-</v>
      </c>
      <c r="S725" s="34" t="s">
        <v>959</v>
      </c>
      <c r="T725" s="34" t="s">
        <v>959</v>
      </c>
      <c r="U725" s="34" t="s">
        <v>959</v>
      </c>
      <c r="V725" s="35" t="s">
        <v>959</v>
      </c>
      <c r="W725" s="35" t="s">
        <v>959</v>
      </c>
    </row>
    <row r="726" spans="1:23" x14ac:dyDescent="0.2">
      <c r="A726" s="30" t="s">
        <v>746</v>
      </c>
      <c r="B726" s="30" t="s">
        <v>1398</v>
      </c>
      <c r="C726" s="34">
        <v>272</v>
      </c>
      <c r="D726" s="35">
        <v>260</v>
      </c>
      <c r="E726" s="34">
        <f>IF(OR(D726="-",D726="",D726=0),IF(C726="-","-",C726),C726-D726)</f>
        <v>12</v>
      </c>
      <c r="F726" s="4">
        <f>IFERROR(IF(C726&gt;0, D726/C726, 0),"-")</f>
        <v>0.95588235294117652</v>
      </c>
      <c r="G726" s="34" t="s">
        <v>959</v>
      </c>
      <c r="H726" s="35" t="s">
        <v>959</v>
      </c>
      <c r="I726" s="34" t="str">
        <f>IF(OR(H726="-",H726="",H726=0),IF(G726="-","-",G726),G726-H726)</f>
        <v>-</v>
      </c>
      <c r="J726" s="4" t="str">
        <f>IFERROR(IF(G726&gt;0, H726/G726, 0),"-")</f>
        <v>-</v>
      </c>
      <c r="K726" s="34">
        <v>1</v>
      </c>
      <c r="L726" s="35" t="s">
        <v>959</v>
      </c>
      <c r="M726" s="34">
        <f>IF(OR(L726="-",L726="",L726=0),IF(K726="-","-",K726),K726-L726)</f>
        <v>1</v>
      </c>
      <c r="N726" s="4" t="str">
        <f>IFERROR(IF(K726&gt;0, L726/K726, 0),"-")</f>
        <v>-</v>
      </c>
      <c r="O726" s="34" t="s">
        <v>959</v>
      </c>
      <c r="P726" s="35" t="s">
        <v>959</v>
      </c>
      <c r="Q726" s="34" t="str">
        <f>IF(OR(P726="-",P726="",P726=0),IF(O726="-","-",O726),O726-P726)</f>
        <v>-</v>
      </c>
      <c r="R726" s="4" t="str">
        <f>IFERROR(IF(O726&gt;0, P726/O726, 0),"-")</f>
        <v>-</v>
      </c>
      <c r="S726" s="34">
        <v>231</v>
      </c>
      <c r="T726" s="34">
        <v>3</v>
      </c>
      <c r="U726" s="34">
        <v>11600</v>
      </c>
      <c r="V726" s="35">
        <v>2</v>
      </c>
      <c r="W726" s="35">
        <v>54338</v>
      </c>
    </row>
    <row r="727" spans="1:23" x14ac:dyDescent="0.2">
      <c r="A727" s="30" t="s">
        <v>749</v>
      </c>
      <c r="B727" s="30" t="s">
        <v>1399</v>
      </c>
      <c r="C727" s="34">
        <v>246</v>
      </c>
      <c r="D727" s="35">
        <v>243</v>
      </c>
      <c r="E727" s="34">
        <f>IF(OR(D727="-",D727="",D727=0),IF(C727="-","-",C727),C727-D727)</f>
        <v>3</v>
      </c>
      <c r="F727" s="4">
        <f>IFERROR(IF(C727&gt;0, D727/C727, 0),"-")</f>
        <v>0.98780487804878048</v>
      </c>
      <c r="G727" s="34">
        <v>2</v>
      </c>
      <c r="H727" s="35" t="s">
        <v>959</v>
      </c>
      <c r="I727" s="34">
        <f>IF(OR(H727="-",H727="",H727=0),IF(G727="-","-",G727),G727-H727)</f>
        <v>2</v>
      </c>
      <c r="J727" s="4" t="str">
        <f>IFERROR(IF(G727&gt;0, H727/G727, 0),"-")</f>
        <v>-</v>
      </c>
      <c r="K727" s="34">
        <v>2</v>
      </c>
      <c r="L727" s="35">
        <v>1</v>
      </c>
      <c r="M727" s="34">
        <f>IF(OR(L727="-",L727="",L727=0),IF(K727="-","-",K727),K727-L727)</f>
        <v>1</v>
      </c>
      <c r="N727" s="4">
        <f>IFERROR(IF(K727&gt;0, L727/K727, 0),"-")</f>
        <v>0.5</v>
      </c>
      <c r="O727" s="34">
        <v>4</v>
      </c>
      <c r="P727" s="35" t="s">
        <v>959</v>
      </c>
      <c r="Q727" s="34">
        <f>IF(OR(P727="-",P727="",P727=0),IF(O727="-","-",O727),O727-P727)</f>
        <v>4</v>
      </c>
      <c r="R727" s="4" t="str">
        <f>IFERROR(IF(O727&gt;0, P727/O727, 0),"-")</f>
        <v>-</v>
      </c>
      <c r="S727" s="34">
        <v>173</v>
      </c>
      <c r="T727" s="34" t="s">
        <v>959</v>
      </c>
      <c r="U727" s="34" t="s">
        <v>959</v>
      </c>
      <c r="V727" s="35">
        <v>2</v>
      </c>
      <c r="W727" s="35">
        <v>49038</v>
      </c>
    </row>
    <row r="728" spans="1:23" x14ac:dyDescent="0.2">
      <c r="A728" s="30" t="s">
        <v>747</v>
      </c>
      <c r="B728" s="30" t="s">
        <v>1400</v>
      </c>
      <c r="C728" s="34">
        <v>301</v>
      </c>
      <c r="D728" s="35">
        <v>295</v>
      </c>
      <c r="E728" s="34">
        <f>IF(OR(D728="-",D728="",D728=0),IF(C728="-","-",C728),C728-D728)</f>
        <v>6</v>
      </c>
      <c r="F728" s="4">
        <f>IFERROR(IF(C728&gt;0, D728/C728, 0),"-")</f>
        <v>0.98006644518272423</v>
      </c>
      <c r="G728" s="34">
        <v>5</v>
      </c>
      <c r="H728" s="35">
        <v>1</v>
      </c>
      <c r="I728" s="34">
        <f>IF(OR(H728="-",H728="",H728=0),IF(G728="-","-",G728),G728-H728)</f>
        <v>4</v>
      </c>
      <c r="J728" s="4">
        <f>IFERROR(IF(G728&gt;0, H728/G728, 0),"-")</f>
        <v>0.2</v>
      </c>
      <c r="K728" s="34">
        <v>3</v>
      </c>
      <c r="L728" s="35">
        <v>1</v>
      </c>
      <c r="M728" s="34">
        <f>IF(OR(L728="-",L728="",L728=0),IF(K728="-","-",K728),K728-L728)</f>
        <v>2</v>
      </c>
      <c r="N728" s="4">
        <f>IFERROR(IF(K728&gt;0, L728/K728, 0),"-")</f>
        <v>0.33333333333333331</v>
      </c>
      <c r="O728" s="34">
        <v>7</v>
      </c>
      <c r="P728" s="35">
        <v>2</v>
      </c>
      <c r="Q728" s="34">
        <f>IF(OR(P728="-",P728="",P728=0),IF(O728="-","-",O728),O728-P728)</f>
        <v>5</v>
      </c>
      <c r="R728" s="4">
        <f>IFERROR(IF(O728&gt;0, P728/O728, 0),"-")</f>
        <v>0.2857142857142857</v>
      </c>
      <c r="S728" s="34">
        <v>223</v>
      </c>
      <c r="T728" s="34">
        <v>3</v>
      </c>
      <c r="U728" s="34">
        <v>8640</v>
      </c>
      <c r="V728" s="35">
        <v>7</v>
      </c>
      <c r="W728" s="35">
        <v>143891</v>
      </c>
    </row>
    <row r="729" spans="1:23" x14ac:dyDescent="0.2">
      <c r="A729" s="29"/>
      <c r="B729" s="29" t="s">
        <v>119</v>
      </c>
      <c r="C729" s="32">
        <v>1361</v>
      </c>
      <c r="D729" s="32">
        <v>1340</v>
      </c>
      <c r="E729" s="32">
        <f>IF(OR(D729="-",D729="",D729=0),IF(C729="-","-",C729),C729-D729)</f>
        <v>21</v>
      </c>
      <c r="F729" s="36">
        <f>IFERROR(IF(C729&gt;0, D729/C729, 0),"-")</f>
        <v>0.98457016899338723</v>
      </c>
      <c r="G729" s="32">
        <v>21</v>
      </c>
      <c r="H729" s="32">
        <v>10</v>
      </c>
      <c r="I729" s="32">
        <f>IF(OR(H729="-",H729="",H729=0),IF(G729="-","-",G729),G729-H729)</f>
        <v>11</v>
      </c>
      <c r="J729" s="36">
        <f>IFERROR(IF(G729&gt;0, H729/G729, 0),"-")</f>
        <v>0.47619047619047616</v>
      </c>
      <c r="K729" s="32">
        <v>29</v>
      </c>
      <c r="L729" s="32">
        <v>11</v>
      </c>
      <c r="M729" s="32">
        <f>IF(OR(L729="-",L729="",L729=0),IF(K729="-","-",K729),K729-L729)</f>
        <v>18</v>
      </c>
      <c r="N729" s="36">
        <f>IFERROR(IF(K729&gt;0, L729/K729, 0),"-")</f>
        <v>0.37931034482758619</v>
      </c>
      <c r="O729" s="32">
        <v>30</v>
      </c>
      <c r="P729" s="32">
        <v>4</v>
      </c>
      <c r="Q729" s="32">
        <f>IF(OR(P729="-",P729="",P729=0),IF(O729="-","-",O729),O729-P729)</f>
        <v>26</v>
      </c>
      <c r="R729" s="36">
        <f>IFERROR(IF(O729&gt;0, P729/O729, 0),"-")</f>
        <v>0.13333333333333333</v>
      </c>
      <c r="S729" s="32">
        <v>1797</v>
      </c>
      <c r="T729" s="32">
        <v>12</v>
      </c>
      <c r="U729" s="32">
        <v>58400</v>
      </c>
      <c r="V729" s="32">
        <v>3</v>
      </c>
      <c r="W729" s="32">
        <v>47680</v>
      </c>
    </row>
    <row r="730" spans="1:23" x14ac:dyDescent="0.2">
      <c r="A730" s="30" t="s">
        <v>849</v>
      </c>
      <c r="B730" s="30" t="s">
        <v>1401</v>
      </c>
      <c r="C730" s="34">
        <v>179</v>
      </c>
      <c r="D730" s="35">
        <v>179</v>
      </c>
      <c r="E730" s="34">
        <f>IF(OR(D730="-",D730="",D730=0),IF(C730="-","-",C730),C730-D730)</f>
        <v>0</v>
      </c>
      <c r="F730" s="4">
        <f>IFERROR(IF(C730&gt;0, D730/C730, 0),"-")</f>
        <v>1</v>
      </c>
      <c r="G730" s="34">
        <v>5</v>
      </c>
      <c r="H730" s="35">
        <v>4</v>
      </c>
      <c r="I730" s="34">
        <f>IF(OR(H730="-",H730="",H730=0),IF(G730="-","-",G730),G730-H730)</f>
        <v>1</v>
      </c>
      <c r="J730" s="4">
        <f>IFERROR(IF(G730&gt;0, H730/G730, 0),"-")</f>
        <v>0.8</v>
      </c>
      <c r="K730" s="34">
        <v>5</v>
      </c>
      <c r="L730" s="35">
        <v>3</v>
      </c>
      <c r="M730" s="34">
        <f>IF(OR(L730="-",L730="",L730=0),IF(K730="-","-",K730),K730-L730)</f>
        <v>2</v>
      </c>
      <c r="N730" s="4">
        <f>IFERROR(IF(K730&gt;0, L730/K730, 0),"-")</f>
        <v>0.6</v>
      </c>
      <c r="O730" s="34" t="s">
        <v>959</v>
      </c>
      <c r="P730" s="35" t="s">
        <v>959</v>
      </c>
      <c r="Q730" s="34" t="str">
        <f>IF(OR(P730="-",P730="",P730=0),IF(O730="-","-",O730),O730-P730)</f>
        <v>-</v>
      </c>
      <c r="R730" s="4" t="str">
        <f>IFERROR(IF(O730&gt;0, P730/O730, 0),"-")</f>
        <v>-</v>
      </c>
      <c r="S730" s="34">
        <v>223</v>
      </c>
      <c r="T730" s="34">
        <v>2</v>
      </c>
      <c r="U730" s="34">
        <v>6470</v>
      </c>
      <c r="V730" s="35">
        <v>1</v>
      </c>
      <c r="W730" s="35">
        <v>29290</v>
      </c>
    </row>
    <row r="731" spans="1:23" x14ac:dyDescent="0.2">
      <c r="A731" s="30" t="s">
        <v>848</v>
      </c>
      <c r="B731" s="30" t="s">
        <v>1402</v>
      </c>
      <c r="C731" s="34">
        <v>233</v>
      </c>
      <c r="D731" s="35">
        <v>229</v>
      </c>
      <c r="E731" s="34">
        <f>IF(OR(D731="-",D731="",D731=0),IF(C731="-","-",C731),C731-D731)</f>
        <v>4</v>
      </c>
      <c r="F731" s="4">
        <f>IFERROR(IF(C731&gt;0, D731/C731, 0),"-")</f>
        <v>0.98283261802575106</v>
      </c>
      <c r="G731" s="34" t="s">
        <v>959</v>
      </c>
      <c r="H731" s="35" t="s">
        <v>959</v>
      </c>
      <c r="I731" s="34" t="str">
        <f>IF(OR(H731="-",H731="",H731=0),IF(G731="-","-",G731),G731-H731)</f>
        <v>-</v>
      </c>
      <c r="J731" s="4" t="str">
        <f>IFERROR(IF(G731&gt;0, H731/G731, 0),"-")</f>
        <v>-</v>
      </c>
      <c r="K731" s="34">
        <v>6</v>
      </c>
      <c r="L731" s="35">
        <v>1</v>
      </c>
      <c r="M731" s="34">
        <f>IF(OR(L731="-",L731="",L731=0),IF(K731="-","-",K731),K731-L731)</f>
        <v>5</v>
      </c>
      <c r="N731" s="4">
        <f>IFERROR(IF(K731&gt;0, L731/K731, 0),"-")</f>
        <v>0.16666666666666666</v>
      </c>
      <c r="O731" s="34">
        <v>5</v>
      </c>
      <c r="P731" s="35" t="s">
        <v>959</v>
      </c>
      <c r="Q731" s="34">
        <f>IF(OR(P731="-",P731="",P731=0),IF(O731="-","-",O731),O731-P731)</f>
        <v>5</v>
      </c>
      <c r="R731" s="4" t="str">
        <f>IFERROR(IF(O731&gt;0, P731/O731, 0),"-")</f>
        <v>-</v>
      </c>
      <c r="S731" s="34">
        <v>177</v>
      </c>
      <c r="T731" s="34">
        <v>3</v>
      </c>
      <c r="U731" s="34">
        <v>8430</v>
      </c>
      <c r="V731" s="35" t="s">
        <v>959</v>
      </c>
      <c r="W731" s="35" t="s">
        <v>959</v>
      </c>
    </row>
    <row r="732" spans="1:23" x14ac:dyDescent="0.2">
      <c r="A732" s="30" t="s">
        <v>847</v>
      </c>
      <c r="B732" s="30" t="s">
        <v>1403</v>
      </c>
      <c r="C732" s="34">
        <v>156</v>
      </c>
      <c r="D732" s="35">
        <v>147</v>
      </c>
      <c r="E732" s="34">
        <f>IF(OR(D732="-",D732="",D732=0),IF(C732="-","-",C732),C732-D732)</f>
        <v>9</v>
      </c>
      <c r="F732" s="4">
        <f>IFERROR(IF(C732&gt;0, D732/C732, 0),"-")</f>
        <v>0.94230769230769229</v>
      </c>
      <c r="G732" s="34">
        <v>3</v>
      </c>
      <c r="H732" s="35">
        <v>2</v>
      </c>
      <c r="I732" s="34">
        <f>IF(OR(H732="-",H732="",H732=0),IF(G732="-","-",G732),G732-H732)</f>
        <v>1</v>
      </c>
      <c r="J732" s="4">
        <f>IFERROR(IF(G732&gt;0, H732/G732, 0),"-")</f>
        <v>0.66666666666666663</v>
      </c>
      <c r="K732" s="34">
        <v>4</v>
      </c>
      <c r="L732" s="35">
        <v>1</v>
      </c>
      <c r="M732" s="34">
        <f>IF(OR(L732="-",L732="",L732=0),IF(K732="-","-",K732),K732-L732)</f>
        <v>3</v>
      </c>
      <c r="N732" s="4">
        <f>IFERROR(IF(K732&gt;0, L732/K732, 0),"-")</f>
        <v>0.25</v>
      </c>
      <c r="O732" s="34">
        <v>7</v>
      </c>
      <c r="P732" s="35">
        <v>2</v>
      </c>
      <c r="Q732" s="34">
        <f>IF(OR(P732="-",P732="",P732=0),IF(O732="-","-",O732),O732-P732)</f>
        <v>5</v>
      </c>
      <c r="R732" s="4">
        <f>IFERROR(IF(O732&gt;0, P732/O732, 0),"-")</f>
        <v>0.2857142857142857</v>
      </c>
      <c r="S732" s="34">
        <v>400</v>
      </c>
      <c r="T732" s="34" t="s">
        <v>959</v>
      </c>
      <c r="U732" s="34" t="s">
        <v>959</v>
      </c>
      <c r="V732" s="35">
        <v>2</v>
      </c>
      <c r="W732" s="35">
        <v>18390</v>
      </c>
    </row>
    <row r="733" spans="1:23" x14ac:dyDescent="0.2">
      <c r="A733" s="30" t="s">
        <v>857</v>
      </c>
      <c r="B733" s="30" t="s">
        <v>1404</v>
      </c>
      <c r="C733" s="34">
        <v>213</v>
      </c>
      <c r="D733" s="35">
        <v>210</v>
      </c>
      <c r="E733" s="34">
        <f>IF(OR(D733="-",D733="",D733=0),IF(C733="-","-",C733),C733-D733)</f>
        <v>3</v>
      </c>
      <c r="F733" s="4">
        <f>IFERROR(IF(C733&gt;0, D733/C733, 0),"-")</f>
        <v>0.9859154929577465</v>
      </c>
      <c r="G733" s="34">
        <v>7</v>
      </c>
      <c r="H733" s="35">
        <v>2</v>
      </c>
      <c r="I733" s="34">
        <f>IF(OR(H733="-",H733="",H733=0),IF(G733="-","-",G733),G733-H733)</f>
        <v>5</v>
      </c>
      <c r="J733" s="4">
        <f>IFERROR(IF(G733&gt;0, H733/G733, 0),"-")</f>
        <v>0.2857142857142857</v>
      </c>
      <c r="K733" s="34">
        <v>3</v>
      </c>
      <c r="L733" s="35">
        <v>2</v>
      </c>
      <c r="M733" s="34">
        <f>IF(OR(L733="-",L733="",L733=0),IF(K733="-","-",K733),K733-L733)</f>
        <v>1</v>
      </c>
      <c r="N733" s="4">
        <f>IFERROR(IF(K733&gt;0, L733/K733, 0),"-")</f>
        <v>0.66666666666666663</v>
      </c>
      <c r="O733" s="34">
        <v>9</v>
      </c>
      <c r="P733" s="35">
        <v>2</v>
      </c>
      <c r="Q733" s="34">
        <f>IF(OR(P733="-",P733="",P733=0),IF(O733="-","-",O733),O733-P733)</f>
        <v>7</v>
      </c>
      <c r="R733" s="4">
        <f>IFERROR(IF(O733&gt;0, P733/O733, 0),"-")</f>
        <v>0.22222222222222221</v>
      </c>
      <c r="S733" s="34">
        <v>90</v>
      </c>
      <c r="T733" s="34">
        <v>1</v>
      </c>
      <c r="U733" s="34">
        <v>5300</v>
      </c>
      <c r="V733" s="35" t="s">
        <v>959</v>
      </c>
      <c r="W733" s="35" t="s">
        <v>959</v>
      </c>
    </row>
    <row r="734" spans="1:23" x14ac:dyDescent="0.2">
      <c r="A734" s="30" t="s">
        <v>846</v>
      </c>
      <c r="B734" s="30" t="s">
        <v>1405</v>
      </c>
      <c r="C734" s="34">
        <v>163</v>
      </c>
      <c r="D734" s="35">
        <v>162</v>
      </c>
      <c r="E734" s="34">
        <f>IF(OR(D734="-",D734="",D734=0),IF(C734="-","-",C734),C734-D734)</f>
        <v>1</v>
      </c>
      <c r="F734" s="4">
        <f>IFERROR(IF(C734&gt;0, D734/C734, 0),"-")</f>
        <v>0.99386503067484666</v>
      </c>
      <c r="G734" s="34">
        <v>3</v>
      </c>
      <c r="H734" s="35" t="s">
        <v>959</v>
      </c>
      <c r="I734" s="34">
        <f>IF(OR(H734="-",H734="",H734=0),IF(G734="-","-",G734),G734-H734)</f>
        <v>3</v>
      </c>
      <c r="J734" s="4" t="str">
        <f>IFERROR(IF(G734&gt;0, H734/G734, 0),"-")</f>
        <v>-</v>
      </c>
      <c r="K734" s="34">
        <v>7</v>
      </c>
      <c r="L734" s="35">
        <v>3</v>
      </c>
      <c r="M734" s="34">
        <f>IF(OR(L734="-",L734="",L734=0),IF(K734="-","-",K734),K734-L734)</f>
        <v>4</v>
      </c>
      <c r="N734" s="4">
        <f>IFERROR(IF(K734&gt;0, L734/K734, 0),"-")</f>
        <v>0.42857142857142855</v>
      </c>
      <c r="O734" s="34">
        <v>7</v>
      </c>
      <c r="P734" s="35" t="s">
        <v>959</v>
      </c>
      <c r="Q734" s="34">
        <f>IF(OR(P734="-",P734="",P734=0),IF(O734="-","-",O734),O734-P734)</f>
        <v>7</v>
      </c>
      <c r="R734" s="4" t="str">
        <f>IFERROR(IF(O734&gt;0, P734/O734, 0),"-")</f>
        <v>-</v>
      </c>
      <c r="S734" s="34">
        <v>247</v>
      </c>
      <c r="T734" s="34">
        <v>3</v>
      </c>
      <c r="U734" s="34">
        <v>18330</v>
      </c>
      <c r="V734" s="35" t="s">
        <v>959</v>
      </c>
      <c r="W734" s="35" t="s">
        <v>959</v>
      </c>
    </row>
    <row r="735" spans="1:23" x14ac:dyDescent="0.2">
      <c r="A735" s="30" t="s">
        <v>850</v>
      </c>
      <c r="B735" s="30" t="s">
        <v>1406</v>
      </c>
      <c r="C735" s="34">
        <v>417</v>
      </c>
      <c r="D735" s="35">
        <v>413</v>
      </c>
      <c r="E735" s="34">
        <f>IF(OR(D735="-",D735="",D735=0),IF(C735="-","-",C735),C735-D735)</f>
        <v>4</v>
      </c>
      <c r="F735" s="4">
        <f>IFERROR(IF(C735&gt;0, D735/C735, 0),"-")</f>
        <v>0.99040767386091122</v>
      </c>
      <c r="G735" s="34">
        <v>3</v>
      </c>
      <c r="H735" s="35">
        <v>2</v>
      </c>
      <c r="I735" s="34">
        <f>IF(OR(H735="-",H735="",H735=0),IF(G735="-","-",G735),G735-H735)</f>
        <v>1</v>
      </c>
      <c r="J735" s="4">
        <f>IFERROR(IF(G735&gt;0, H735/G735, 0),"-")</f>
        <v>0.66666666666666663</v>
      </c>
      <c r="K735" s="34">
        <v>4</v>
      </c>
      <c r="L735" s="35">
        <v>1</v>
      </c>
      <c r="M735" s="34">
        <f>IF(OR(L735="-",L735="",L735=0),IF(K735="-","-",K735),K735-L735)</f>
        <v>3</v>
      </c>
      <c r="N735" s="4">
        <f>IFERROR(IF(K735&gt;0, L735/K735, 0),"-")</f>
        <v>0.25</v>
      </c>
      <c r="O735" s="34">
        <v>2</v>
      </c>
      <c r="P735" s="35" t="s">
        <v>959</v>
      </c>
      <c r="Q735" s="34">
        <f>IF(OR(P735="-",P735="",P735=0),IF(O735="-","-",O735),O735-P735)</f>
        <v>2</v>
      </c>
      <c r="R735" s="4" t="str">
        <f>IFERROR(IF(O735&gt;0, P735/O735, 0),"-")</f>
        <v>-</v>
      </c>
      <c r="S735" s="34">
        <v>660</v>
      </c>
      <c r="T735" s="34">
        <v>3</v>
      </c>
      <c r="U735" s="34">
        <v>19870</v>
      </c>
      <c r="V735" s="35" t="s">
        <v>959</v>
      </c>
      <c r="W735" s="35" t="s">
        <v>959</v>
      </c>
    </row>
    <row r="736" spans="1:23" x14ac:dyDescent="0.2">
      <c r="A736" s="29"/>
      <c r="B736" s="29" t="s">
        <v>39</v>
      </c>
      <c r="C736" s="32">
        <v>1259</v>
      </c>
      <c r="D736" s="32">
        <v>1234</v>
      </c>
      <c r="E736" s="32">
        <f>IF(OR(D736="-",D736="",D736=0),IF(C736="-","-",C736),C736-D736)</f>
        <v>25</v>
      </c>
      <c r="F736" s="36">
        <f>IFERROR(IF(C736&gt;0, D736/C736, 0),"-")</f>
        <v>0.9801429706115965</v>
      </c>
      <c r="G736" s="32">
        <v>12</v>
      </c>
      <c r="H736" s="32">
        <v>6</v>
      </c>
      <c r="I736" s="32">
        <f>IF(OR(H736="-",H736="",H736=0),IF(G736="-","-",G736),G736-H736)</f>
        <v>6</v>
      </c>
      <c r="J736" s="36">
        <f>IFERROR(IF(G736&gt;0, H736/G736, 0),"-")</f>
        <v>0.5</v>
      </c>
      <c r="K736" s="32">
        <v>25</v>
      </c>
      <c r="L736" s="32">
        <v>8</v>
      </c>
      <c r="M736" s="32">
        <f>IF(OR(L736="-",L736="",L736=0),IF(K736="-","-",K736),K736-L736)</f>
        <v>17</v>
      </c>
      <c r="N736" s="36">
        <f>IFERROR(IF(K736&gt;0, L736/K736, 0),"-")</f>
        <v>0.32</v>
      </c>
      <c r="O736" s="32">
        <v>25</v>
      </c>
      <c r="P736" s="32">
        <v>7</v>
      </c>
      <c r="Q736" s="32">
        <f>IF(OR(P736="-",P736="",P736=0),IF(O736="-","-",O736),O736-P736)</f>
        <v>18</v>
      </c>
      <c r="R736" s="36">
        <f>IFERROR(IF(O736&gt;0, P736/O736, 0),"-")</f>
        <v>0.28000000000000003</v>
      </c>
      <c r="S736" s="32">
        <v>557</v>
      </c>
      <c r="T736" s="32">
        <v>9</v>
      </c>
      <c r="U736" s="32">
        <v>45330</v>
      </c>
      <c r="V736" s="32">
        <v>2</v>
      </c>
      <c r="W736" s="32">
        <v>15292</v>
      </c>
    </row>
    <row r="737" spans="1:23" x14ac:dyDescent="0.2">
      <c r="A737" s="30" t="s">
        <v>199</v>
      </c>
      <c r="B737" s="30" t="s">
        <v>1407</v>
      </c>
      <c r="C737" s="34">
        <v>211</v>
      </c>
      <c r="D737" s="35">
        <v>210</v>
      </c>
      <c r="E737" s="34">
        <f>IF(OR(D737="-",D737="",D737=0),IF(C737="-","-",C737),C737-D737)</f>
        <v>1</v>
      </c>
      <c r="F737" s="4">
        <f>IFERROR(IF(C737&gt;0, D737/C737, 0),"-")</f>
        <v>0.99526066350710896</v>
      </c>
      <c r="G737" s="34" t="s">
        <v>959</v>
      </c>
      <c r="H737" s="35" t="s">
        <v>959</v>
      </c>
      <c r="I737" s="34" t="str">
        <f>IF(OR(H737="-",H737="",H737=0),IF(G737="-","-",G737),G737-H737)</f>
        <v>-</v>
      </c>
      <c r="J737" s="4" t="str">
        <f>IFERROR(IF(G737&gt;0, H737/G737, 0),"-")</f>
        <v>-</v>
      </c>
      <c r="K737" s="34" t="s">
        <v>959</v>
      </c>
      <c r="L737" s="35" t="s">
        <v>959</v>
      </c>
      <c r="M737" s="34" t="str">
        <f>IF(OR(L737="-",L737="",L737=0),IF(K737="-","-",K737),K737-L737)</f>
        <v>-</v>
      </c>
      <c r="N737" s="4" t="str">
        <f>IFERROR(IF(K737&gt;0, L737/K737, 0),"-")</f>
        <v>-</v>
      </c>
      <c r="O737" s="34">
        <v>1</v>
      </c>
      <c r="P737" s="35">
        <v>1</v>
      </c>
      <c r="Q737" s="34">
        <f>IF(OR(P737="-",P737="",P737=0),IF(O737="-","-",O737),O737-P737)</f>
        <v>0</v>
      </c>
      <c r="R737" s="4">
        <f>IFERROR(IF(O737&gt;0, P737/O737, 0),"-")</f>
        <v>1</v>
      </c>
      <c r="S737" s="34">
        <v>75</v>
      </c>
      <c r="T737" s="34">
        <v>1</v>
      </c>
      <c r="U737" s="34">
        <v>3425</v>
      </c>
      <c r="V737" s="35" t="s">
        <v>959</v>
      </c>
      <c r="W737" s="35" t="s">
        <v>959</v>
      </c>
    </row>
    <row r="738" spans="1:23" x14ac:dyDescent="0.2">
      <c r="A738" s="30" t="s">
        <v>202</v>
      </c>
      <c r="B738" s="30" t="s">
        <v>1408</v>
      </c>
      <c r="C738" s="34">
        <v>219</v>
      </c>
      <c r="D738" s="35">
        <v>214</v>
      </c>
      <c r="E738" s="34">
        <f>IF(OR(D738="-",D738="",D738=0),IF(C738="-","-",C738),C738-D738)</f>
        <v>5</v>
      </c>
      <c r="F738" s="4">
        <f>IFERROR(IF(C738&gt;0, D738/C738, 0),"-")</f>
        <v>0.97716894977168944</v>
      </c>
      <c r="G738" s="34">
        <v>4</v>
      </c>
      <c r="H738" s="35">
        <v>1</v>
      </c>
      <c r="I738" s="34">
        <f>IF(OR(H738="-",H738="",H738=0),IF(G738="-","-",G738),G738-H738)</f>
        <v>3</v>
      </c>
      <c r="J738" s="4">
        <f>IFERROR(IF(G738&gt;0, H738/G738, 0),"-")</f>
        <v>0.25</v>
      </c>
      <c r="K738" s="34">
        <v>2</v>
      </c>
      <c r="L738" s="35">
        <v>1</v>
      </c>
      <c r="M738" s="34">
        <f>IF(OR(L738="-",L738="",L738=0),IF(K738="-","-",K738),K738-L738)</f>
        <v>1</v>
      </c>
      <c r="N738" s="4">
        <f>IFERROR(IF(K738&gt;0, L738/K738, 0),"-")</f>
        <v>0.5</v>
      </c>
      <c r="O738" s="34">
        <v>5</v>
      </c>
      <c r="P738" s="35">
        <v>1</v>
      </c>
      <c r="Q738" s="34">
        <f>IF(OR(P738="-",P738="",P738=0),IF(O738="-","-",O738),O738-P738)</f>
        <v>4</v>
      </c>
      <c r="R738" s="4">
        <f>IFERROR(IF(O738&gt;0, P738/O738, 0),"-")</f>
        <v>0.2</v>
      </c>
      <c r="S738" s="34">
        <v>95</v>
      </c>
      <c r="T738" s="34">
        <v>2</v>
      </c>
      <c r="U738" s="34">
        <v>5390</v>
      </c>
      <c r="V738" s="35" t="s">
        <v>959</v>
      </c>
      <c r="W738" s="35" t="s">
        <v>959</v>
      </c>
    </row>
    <row r="739" spans="1:23" x14ac:dyDescent="0.2">
      <c r="A739" s="30" t="s">
        <v>201</v>
      </c>
      <c r="B739" s="30" t="s">
        <v>1409</v>
      </c>
      <c r="C739" s="34">
        <v>283</v>
      </c>
      <c r="D739" s="35">
        <v>279</v>
      </c>
      <c r="E739" s="34">
        <f>IF(OR(D739="-",D739="",D739=0),IF(C739="-","-",C739),C739-D739)</f>
        <v>4</v>
      </c>
      <c r="F739" s="4">
        <f>IFERROR(IF(C739&gt;0, D739/C739, 0),"-")</f>
        <v>0.98586572438162545</v>
      </c>
      <c r="G739" s="34">
        <v>3</v>
      </c>
      <c r="H739" s="35">
        <v>3</v>
      </c>
      <c r="I739" s="34">
        <f>IF(OR(H739="-",H739="",H739=0),IF(G739="-","-",G739),G739-H739)</f>
        <v>0</v>
      </c>
      <c r="J739" s="4">
        <f>IFERROR(IF(G739&gt;0, H739/G739, 0),"-")</f>
        <v>1</v>
      </c>
      <c r="K739" s="34">
        <v>7</v>
      </c>
      <c r="L739" s="35">
        <v>3</v>
      </c>
      <c r="M739" s="34">
        <f>IF(OR(L739="-",L739="",L739=0),IF(K739="-","-",K739),K739-L739)</f>
        <v>4</v>
      </c>
      <c r="N739" s="4">
        <f>IFERROR(IF(K739&gt;0, L739/K739, 0),"-")</f>
        <v>0.42857142857142855</v>
      </c>
      <c r="O739" s="34">
        <v>3</v>
      </c>
      <c r="P739" s="35">
        <v>2</v>
      </c>
      <c r="Q739" s="34">
        <f>IF(OR(P739="-",P739="",P739=0),IF(O739="-","-",O739),O739-P739)</f>
        <v>1</v>
      </c>
      <c r="R739" s="4">
        <f>IFERROR(IF(O739&gt;0, P739/O739, 0),"-")</f>
        <v>0.66666666666666663</v>
      </c>
      <c r="S739" s="34">
        <v>70</v>
      </c>
      <c r="T739" s="34">
        <v>4</v>
      </c>
      <c r="U739" s="34">
        <v>19000</v>
      </c>
      <c r="V739" s="35" t="s">
        <v>959</v>
      </c>
      <c r="W739" s="35" t="s">
        <v>959</v>
      </c>
    </row>
    <row r="740" spans="1:23" x14ac:dyDescent="0.2">
      <c r="A740" s="30" t="s">
        <v>207</v>
      </c>
      <c r="B740" s="30" t="s">
        <v>1410</v>
      </c>
      <c r="C740" s="34">
        <v>31</v>
      </c>
      <c r="D740" s="35">
        <v>28</v>
      </c>
      <c r="E740" s="34">
        <f>IF(OR(D740="-",D740="",D740=0),IF(C740="-","-",C740),C740-D740)</f>
        <v>3</v>
      </c>
      <c r="F740" s="4">
        <f>IFERROR(IF(C740&gt;0, D740/C740, 0),"-")</f>
        <v>0.90322580645161288</v>
      </c>
      <c r="G740" s="34" t="s">
        <v>959</v>
      </c>
      <c r="H740" s="35" t="s">
        <v>959</v>
      </c>
      <c r="I740" s="34" t="str">
        <f>IF(OR(H740="-",H740="",H740=0),IF(G740="-","-",G740),G740-H740)</f>
        <v>-</v>
      </c>
      <c r="J740" s="4" t="str">
        <f>IFERROR(IF(G740&gt;0, H740/G740, 0),"-")</f>
        <v>-</v>
      </c>
      <c r="K740" s="34">
        <v>3</v>
      </c>
      <c r="L740" s="35">
        <v>1</v>
      </c>
      <c r="M740" s="34">
        <f>IF(OR(L740="-",L740="",L740=0),IF(K740="-","-",K740),K740-L740)</f>
        <v>2</v>
      </c>
      <c r="N740" s="4">
        <f>IFERROR(IF(K740&gt;0, L740/K740, 0),"-")</f>
        <v>0.33333333333333331</v>
      </c>
      <c r="O740" s="34">
        <v>2</v>
      </c>
      <c r="P740" s="35" t="s">
        <v>959</v>
      </c>
      <c r="Q740" s="34">
        <f>IF(OR(P740="-",P740="",P740=0),IF(O740="-","-",O740),O740-P740)</f>
        <v>2</v>
      </c>
      <c r="R740" s="4" t="str">
        <f>IFERROR(IF(O740&gt;0, P740/O740, 0),"-")</f>
        <v>-</v>
      </c>
      <c r="S740" s="34">
        <v>4</v>
      </c>
      <c r="T740" s="34" t="s">
        <v>959</v>
      </c>
      <c r="U740" s="34" t="s">
        <v>959</v>
      </c>
      <c r="V740" s="35" t="s">
        <v>959</v>
      </c>
      <c r="W740" s="35" t="s">
        <v>959</v>
      </c>
    </row>
    <row r="741" spans="1:23" x14ac:dyDescent="0.2">
      <c r="A741" s="30" t="s">
        <v>206</v>
      </c>
      <c r="B741" s="30" t="s">
        <v>1411</v>
      </c>
      <c r="C741" s="34">
        <v>71</v>
      </c>
      <c r="D741" s="35">
        <v>68</v>
      </c>
      <c r="E741" s="34">
        <f>IF(OR(D741="-",D741="",D741=0),IF(C741="-","-",C741),C741-D741)</f>
        <v>3</v>
      </c>
      <c r="F741" s="4">
        <f>IFERROR(IF(C741&gt;0, D741/C741, 0),"-")</f>
        <v>0.95774647887323938</v>
      </c>
      <c r="G741" s="34">
        <v>1</v>
      </c>
      <c r="H741" s="35" t="s">
        <v>959</v>
      </c>
      <c r="I741" s="34">
        <f>IF(OR(H741="-",H741="",H741=0),IF(G741="-","-",G741),G741-H741)</f>
        <v>1</v>
      </c>
      <c r="J741" s="4" t="str">
        <f>IFERROR(IF(G741&gt;0, H741/G741, 0),"-")</f>
        <v>-</v>
      </c>
      <c r="K741" s="34">
        <v>2</v>
      </c>
      <c r="L741" s="35" t="s">
        <v>959</v>
      </c>
      <c r="M741" s="34">
        <f>IF(OR(L741="-",L741="",L741=0),IF(K741="-","-",K741),K741-L741)</f>
        <v>2</v>
      </c>
      <c r="N741" s="4" t="str">
        <f>IFERROR(IF(K741&gt;0, L741/K741, 0),"-")</f>
        <v>-</v>
      </c>
      <c r="O741" s="34" t="s">
        <v>959</v>
      </c>
      <c r="P741" s="35" t="s">
        <v>959</v>
      </c>
      <c r="Q741" s="34" t="str">
        <f>IF(OR(P741="-",P741="",P741=0),IF(O741="-","-",O741),O741-P741)</f>
        <v>-</v>
      </c>
      <c r="R741" s="4" t="str">
        <f>IFERROR(IF(O741&gt;0, P741/O741, 0),"-")</f>
        <v>-</v>
      </c>
      <c r="S741" s="34">
        <v>1</v>
      </c>
      <c r="T741" s="34" t="s">
        <v>959</v>
      </c>
      <c r="U741" s="34" t="s">
        <v>959</v>
      </c>
      <c r="V741" s="35" t="s">
        <v>959</v>
      </c>
      <c r="W741" s="35" t="s">
        <v>959</v>
      </c>
    </row>
    <row r="742" spans="1:23" x14ac:dyDescent="0.2">
      <c r="A742" s="30" t="s">
        <v>200</v>
      </c>
      <c r="B742" s="30" t="s">
        <v>1412</v>
      </c>
      <c r="C742" s="34">
        <v>174</v>
      </c>
      <c r="D742" s="35">
        <v>169</v>
      </c>
      <c r="E742" s="34">
        <f>IF(OR(D742="-",D742="",D742=0),IF(C742="-","-",C742),C742-D742)</f>
        <v>5</v>
      </c>
      <c r="F742" s="4">
        <f>IFERROR(IF(C742&gt;0, D742/C742, 0),"-")</f>
        <v>0.97126436781609193</v>
      </c>
      <c r="G742" s="34">
        <v>3</v>
      </c>
      <c r="H742" s="35">
        <v>1</v>
      </c>
      <c r="I742" s="34">
        <f>IF(OR(H742="-",H742="",H742=0),IF(G742="-","-",G742),G742-H742)</f>
        <v>2</v>
      </c>
      <c r="J742" s="4">
        <f>IFERROR(IF(G742&gt;0, H742/G742, 0),"-")</f>
        <v>0.33333333333333331</v>
      </c>
      <c r="K742" s="34">
        <v>4</v>
      </c>
      <c r="L742" s="35" t="s">
        <v>959</v>
      </c>
      <c r="M742" s="34">
        <f>IF(OR(L742="-",L742="",L742=0),IF(K742="-","-",K742),K742-L742)</f>
        <v>4</v>
      </c>
      <c r="N742" s="4" t="str">
        <f>IFERROR(IF(K742&gt;0, L742/K742, 0),"-")</f>
        <v>-</v>
      </c>
      <c r="O742" s="34">
        <v>2</v>
      </c>
      <c r="P742" s="35">
        <v>1</v>
      </c>
      <c r="Q742" s="34">
        <f>IF(OR(P742="-",P742="",P742=0),IF(O742="-","-",O742),O742-P742)</f>
        <v>1</v>
      </c>
      <c r="R742" s="4">
        <f>IFERROR(IF(O742&gt;0, P742/O742, 0),"-")</f>
        <v>0.5</v>
      </c>
      <c r="S742" s="34">
        <v>103</v>
      </c>
      <c r="T742" s="34">
        <v>1</v>
      </c>
      <c r="U742" s="34">
        <v>4040</v>
      </c>
      <c r="V742" s="35">
        <v>1</v>
      </c>
      <c r="W742" s="35">
        <v>11890</v>
      </c>
    </row>
    <row r="743" spans="1:23" x14ac:dyDescent="0.2">
      <c r="A743" s="30" t="s">
        <v>203</v>
      </c>
      <c r="B743" s="30" t="s">
        <v>1413</v>
      </c>
      <c r="C743" s="34">
        <v>66</v>
      </c>
      <c r="D743" s="35">
        <v>64</v>
      </c>
      <c r="E743" s="34">
        <f>IF(OR(D743="-",D743="",D743=0),IF(C743="-","-",C743),C743-D743)</f>
        <v>2</v>
      </c>
      <c r="F743" s="4">
        <f>IFERROR(IF(C743&gt;0, D743/C743, 0),"-")</f>
        <v>0.96969696969696972</v>
      </c>
      <c r="G743" s="34" t="s">
        <v>959</v>
      </c>
      <c r="H743" s="35" t="s">
        <v>959</v>
      </c>
      <c r="I743" s="34" t="str">
        <f>IF(OR(H743="-",H743="",H743=0),IF(G743="-","-",G743),G743-H743)</f>
        <v>-</v>
      </c>
      <c r="J743" s="4" t="str">
        <f>IFERROR(IF(G743&gt;0, H743/G743, 0),"-")</f>
        <v>-</v>
      </c>
      <c r="K743" s="34">
        <v>1</v>
      </c>
      <c r="L743" s="35">
        <v>1</v>
      </c>
      <c r="M743" s="34">
        <f>IF(OR(L743="-",L743="",L743=0),IF(K743="-","-",K743),K743-L743)</f>
        <v>0</v>
      </c>
      <c r="N743" s="4">
        <f>IFERROR(IF(K743&gt;0, L743/K743, 0),"-")</f>
        <v>1</v>
      </c>
      <c r="O743" s="34">
        <v>1</v>
      </c>
      <c r="P743" s="35" t="s">
        <v>959</v>
      </c>
      <c r="Q743" s="34">
        <f>IF(OR(P743="-",P743="",P743=0),IF(O743="-","-",O743),O743-P743)</f>
        <v>1</v>
      </c>
      <c r="R743" s="4" t="str">
        <f>IFERROR(IF(O743&gt;0, P743/O743, 0),"-")</f>
        <v>-</v>
      </c>
      <c r="S743" s="34">
        <v>40</v>
      </c>
      <c r="T743" s="34" t="s">
        <v>959</v>
      </c>
      <c r="U743" s="34" t="s">
        <v>959</v>
      </c>
      <c r="V743" s="35">
        <v>1</v>
      </c>
      <c r="W743" s="35">
        <v>3402</v>
      </c>
    </row>
    <row r="744" spans="1:23" x14ac:dyDescent="0.2">
      <c r="A744" s="30" t="s">
        <v>204</v>
      </c>
      <c r="B744" s="30" t="s">
        <v>1414</v>
      </c>
      <c r="C744" s="34">
        <v>204</v>
      </c>
      <c r="D744" s="35">
        <v>202</v>
      </c>
      <c r="E744" s="34">
        <f>IF(OR(D744="-",D744="",D744=0),IF(C744="-","-",C744),C744-D744)</f>
        <v>2</v>
      </c>
      <c r="F744" s="4">
        <f>IFERROR(IF(C744&gt;0, D744/C744, 0),"-")</f>
        <v>0.99019607843137258</v>
      </c>
      <c r="G744" s="34">
        <v>1</v>
      </c>
      <c r="H744" s="35">
        <v>1</v>
      </c>
      <c r="I744" s="34">
        <f>IF(OR(H744="-",H744="",H744=0),IF(G744="-","-",G744),G744-H744)</f>
        <v>0</v>
      </c>
      <c r="J744" s="4">
        <f>IFERROR(IF(G744&gt;0, H744/G744, 0),"-")</f>
        <v>1</v>
      </c>
      <c r="K744" s="34">
        <v>6</v>
      </c>
      <c r="L744" s="35">
        <v>2</v>
      </c>
      <c r="M744" s="34">
        <f>IF(OR(L744="-",L744="",L744=0),IF(K744="-","-",K744),K744-L744)</f>
        <v>4</v>
      </c>
      <c r="N744" s="4">
        <f>IFERROR(IF(K744&gt;0, L744/K744, 0),"-")</f>
        <v>0.33333333333333331</v>
      </c>
      <c r="O744" s="34">
        <v>11</v>
      </c>
      <c r="P744" s="35">
        <v>2</v>
      </c>
      <c r="Q744" s="34">
        <f>IF(OR(P744="-",P744="",P744=0),IF(O744="-","-",O744),O744-P744)</f>
        <v>9</v>
      </c>
      <c r="R744" s="4">
        <f>IFERROR(IF(O744&gt;0, P744/O744, 0),"-")</f>
        <v>0.18181818181818182</v>
      </c>
      <c r="S744" s="34">
        <v>169</v>
      </c>
      <c r="T744" s="34">
        <v>1</v>
      </c>
      <c r="U744" s="34">
        <v>13475</v>
      </c>
      <c r="V744" s="35" t="s">
        <v>959</v>
      </c>
      <c r="W744" s="35" t="s">
        <v>959</v>
      </c>
    </row>
    <row r="745" spans="1:23" x14ac:dyDescent="0.2">
      <c r="A745" s="29"/>
      <c r="B745" s="29" t="s">
        <v>25</v>
      </c>
      <c r="C745" s="32">
        <v>709</v>
      </c>
      <c r="D745" s="32">
        <v>695</v>
      </c>
      <c r="E745" s="32">
        <f>IF(OR(D745="-",D745="",D745=0),IF(C745="-","-",C745),C745-D745)</f>
        <v>14</v>
      </c>
      <c r="F745" s="36">
        <f>IFERROR(IF(C745&gt;0, D745/C745, 0),"-")</f>
        <v>0.98025387870239777</v>
      </c>
      <c r="G745" s="32">
        <v>2</v>
      </c>
      <c r="H745" s="32" t="s">
        <v>959</v>
      </c>
      <c r="I745" s="32">
        <f>IF(OR(H745="-",H745="",H745=0),IF(G745="-","-",G745),G745-H745)</f>
        <v>2</v>
      </c>
      <c r="J745" s="36" t="str">
        <f>IFERROR(IF(G745&gt;0, H745/G745, 0),"-")</f>
        <v>-</v>
      </c>
      <c r="K745" s="32">
        <v>5</v>
      </c>
      <c r="L745" s="32">
        <v>2</v>
      </c>
      <c r="M745" s="32">
        <f>IF(OR(L745="-",L745="",L745=0),IF(K745="-","-",K745),K745-L745)</f>
        <v>3</v>
      </c>
      <c r="N745" s="36">
        <f>IFERROR(IF(K745&gt;0, L745/K745, 0),"-")</f>
        <v>0.4</v>
      </c>
      <c r="O745" s="32">
        <v>1</v>
      </c>
      <c r="P745" s="32" t="s">
        <v>959</v>
      </c>
      <c r="Q745" s="32">
        <f>IF(OR(P745="-",P745="",P745=0),IF(O745="-","-",O745),O745-P745)</f>
        <v>1</v>
      </c>
      <c r="R745" s="36" t="str">
        <f>IFERROR(IF(O745&gt;0, P745/O745, 0),"-")</f>
        <v>-</v>
      </c>
      <c r="S745" s="32">
        <v>2</v>
      </c>
      <c r="T745" s="32" t="s">
        <v>959</v>
      </c>
      <c r="U745" s="32" t="s">
        <v>959</v>
      </c>
      <c r="V745" s="32" t="s">
        <v>959</v>
      </c>
      <c r="W745" s="32" t="s">
        <v>959</v>
      </c>
    </row>
    <row r="746" spans="1:23" x14ac:dyDescent="0.2">
      <c r="A746" s="30" t="s">
        <v>769</v>
      </c>
      <c r="B746" s="30" t="s">
        <v>1415</v>
      </c>
      <c r="C746" s="34">
        <v>412</v>
      </c>
      <c r="D746" s="35">
        <v>404</v>
      </c>
      <c r="E746" s="34">
        <f>IF(OR(D746="-",D746="",D746=0),IF(C746="-","-",C746),C746-D746)</f>
        <v>8</v>
      </c>
      <c r="F746" s="4">
        <f>IFERROR(IF(C746&gt;0, D746/C746, 0),"-")</f>
        <v>0.98058252427184467</v>
      </c>
      <c r="G746" s="34">
        <v>2</v>
      </c>
      <c r="H746" s="35" t="s">
        <v>959</v>
      </c>
      <c r="I746" s="34">
        <f>IF(OR(H746="-",H746="",H746=0),IF(G746="-","-",G746),G746-H746)</f>
        <v>2</v>
      </c>
      <c r="J746" s="4" t="str">
        <f>IFERROR(IF(G746&gt;0, H746/G746, 0),"-")</f>
        <v>-</v>
      </c>
      <c r="K746" s="34">
        <v>1</v>
      </c>
      <c r="L746" s="35">
        <v>1</v>
      </c>
      <c r="M746" s="34">
        <f>IF(OR(L746="-",L746="",L746=0),IF(K746="-","-",K746),K746-L746)</f>
        <v>0</v>
      </c>
      <c r="N746" s="4">
        <f>IFERROR(IF(K746&gt;0, L746/K746, 0),"-")</f>
        <v>1</v>
      </c>
      <c r="O746" s="34">
        <v>1</v>
      </c>
      <c r="P746" s="35" t="s">
        <v>959</v>
      </c>
      <c r="Q746" s="34">
        <f>IF(OR(P746="-",P746="",P746=0),IF(O746="-","-",O746),O746-P746)</f>
        <v>1</v>
      </c>
      <c r="R746" s="4" t="str">
        <f>IFERROR(IF(O746&gt;0, P746/O746, 0),"-")</f>
        <v>-</v>
      </c>
      <c r="S746" s="34">
        <v>1</v>
      </c>
      <c r="T746" s="34" t="s">
        <v>959</v>
      </c>
      <c r="U746" s="34" t="s">
        <v>959</v>
      </c>
      <c r="V746" s="35" t="s">
        <v>959</v>
      </c>
      <c r="W746" s="35" t="s">
        <v>959</v>
      </c>
    </row>
    <row r="747" spans="1:23" x14ac:dyDescent="0.2">
      <c r="A747" s="30" t="s">
        <v>770</v>
      </c>
      <c r="B747" s="30" t="s">
        <v>1416</v>
      </c>
      <c r="C747" s="34">
        <v>233</v>
      </c>
      <c r="D747" s="35">
        <v>227</v>
      </c>
      <c r="E747" s="34">
        <f>IF(OR(D747="-",D747="",D747=0),IF(C747="-","-",C747),C747-D747)</f>
        <v>6</v>
      </c>
      <c r="F747" s="4">
        <f>IFERROR(IF(C747&gt;0, D747/C747, 0),"-")</f>
        <v>0.97424892703862664</v>
      </c>
      <c r="G747" s="34" t="s">
        <v>959</v>
      </c>
      <c r="H747" s="35" t="s">
        <v>959</v>
      </c>
      <c r="I747" s="34" t="str">
        <f>IF(OR(H747="-",H747="",H747=0),IF(G747="-","-",G747),G747-H747)</f>
        <v>-</v>
      </c>
      <c r="J747" s="4" t="str">
        <f>IFERROR(IF(G747&gt;0, H747/G747, 0),"-")</f>
        <v>-</v>
      </c>
      <c r="K747" s="34">
        <v>4</v>
      </c>
      <c r="L747" s="35">
        <v>1</v>
      </c>
      <c r="M747" s="34">
        <f>IF(OR(L747="-",L747="",L747=0),IF(K747="-","-",K747),K747-L747)</f>
        <v>3</v>
      </c>
      <c r="N747" s="4">
        <f>IFERROR(IF(K747&gt;0, L747/K747, 0),"-")</f>
        <v>0.25</v>
      </c>
      <c r="O747" s="34" t="s">
        <v>959</v>
      </c>
      <c r="P747" s="35" t="s">
        <v>959</v>
      </c>
      <c r="Q747" s="34" t="str">
        <f>IF(OR(P747="-",P747="",P747=0),IF(O747="-","-",O747),O747-P747)</f>
        <v>-</v>
      </c>
      <c r="R747" s="4" t="str">
        <f>IFERROR(IF(O747&gt;0, P747/O747, 0),"-")</f>
        <v>-</v>
      </c>
      <c r="S747" s="34">
        <v>1</v>
      </c>
      <c r="T747" s="34" t="s">
        <v>959</v>
      </c>
      <c r="U747" s="34" t="s">
        <v>959</v>
      </c>
      <c r="V747" s="35" t="s">
        <v>959</v>
      </c>
      <c r="W747" s="35" t="s">
        <v>959</v>
      </c>
    </row>
    <row r="748" spans="1:23" x14ac:dyDescent="0.2">
      <c r="A748" s="30" t="s">
        <v>794</v>
      </c>
      <c r="B748" s="30" t="s">
        <v>1417</v>
      </c>
      <c r="C748" s="34">
        <v>36</v>
      </c>
      <c r="D748" s="35">
        <v>36</v>
      </c>
      <c r="E748" s="34">
        <f>IF(OR(D748="-",D748="",D748=0),IF(C748="-","-",C748),C748-D748)</f>
        <v>0</v>
      </c>
      <c r="F748" s="4">
        <f>IFERROR(IF(C748&gt;0, D748/C748, 0),"-")</f>
        <v>1</v>
      </c>
      <c r="G748" s="34" t="s">
        <v>959</v>
      </c>
      <c r="H748" s="35" t="s">
        <v>959</v>
      </c>
      <c r="I748" s="34" t="str">
        <f>IF(OR(H748="-",H748="",H748=0),IF(G748="-","-",G748),G748-H748)</f>
        <v>-</v>
      </c>
      <c r="J748" s="4" t="str">
        <f>IFERROR(IF(G748&gt;0, H748/G748, 0),"-")</f>
        <v>-</v>
      </c>
      <c r="K748" s="34" t="s">
        <v>959</v>
      </c>
      <c r="L748" s="35" t="s">
        <v>959</v>
      </c>
      <c r="M748" s="34" t="str">
        <f>IF(OR(L748="-",L748="",L748=0),IF(K748="-","-",K748),K748-L748)</f>
        <v>-</v>
      </c>
      <c r="N748" s="4" t="str">
        <f>IFERROR(IF(K748&gt;0, L748/K748, 0),"-")</f>
        <v>-</v>
      </c>
      <c r="O748" s="34" t="s">
        <v>959</v>
      </c>
      <c r="P748" s="35" t="s">
        <v>959</v>
      </c>
      <c r="Q748" s="34" t="str">
        <f>IF(OR(P748="-",P748="",P748=0),IF(O748="-","-",O748),O748-P748)</f>
        <v>-</v>
      </c>
      <c r="R748" s="4" t="str">
        <f>IFERROR(IF(O748&gt;0, P748/O748, 0),"-")</f>
        <v>-</v>
      </c>
      <c r="S748" s="34" t="s">
        <v>959</v>
      </c>
      <c r="T748" s="34" t="s">
        <v>959</v>
      </c>
      <c r="U748" s="34" t="s">
        <v>959</v>
      </c>
      <c r="V748" s="35" t="s">
        <v>959</v>
      </c>
      <c r="W748" s="35" t="s">
        <v>959</v>
      </c>
    </row>
    <row r="749" spans="1:23" x14ac:dyDescent="0.2">
      <c r="A749" s="30" t="s">
        <v>795</v>
      </c>
      <c r="B749" s="30" t="s">
        <v>1418</v>
      </c>
      <c r="C749" s="34">
        <v>28</v>
      </c>
      <c r="D749" s="35">
        <v>28</v>
      </c>
      <c r="E749" s="34">
        <f>IF(OR(D749="-",D749="",D749=0),IF(C749="-","-",C749),C749-D749)</f>
        <v>0</v>
      </c>
      <c r="F749" s="4">
        <f>IFERROR(IF(C749&gt;0, D749/C749, 0),"-")</f>
        <v>1</v>
      </c>
      <c r="G749" s="34" t="s">
        <v>959</v>
      </c>
      <c r="H749" s="35" t="s">
        <v>959</v>
      </c>
      <c r="I749" s="34" t="str">
        <f>IF(OR(H749="-",H749="",H749=0),IF(G749="-","-",G749),G749-H749)</f>
        <v>-</v>
      </c>
      <c r="J749" s="4" t="str">
        <f>IFERROR(IF(G749&gt;0, H749/G749, 0),"-")</f>
        <v>-</v>
      </c>
      <c r="K749" s="34" t="s">
        <v>959</v>
      </c>
      <c r="L749" s="35" t="s">
        <v>959</v>
      </c>
      <c r="M749" s="34" t="str">
        <f>IF(OR(L749="-",L749="",L749=0),IF(K749="-","-",K749),K749-L749)</f>
        <v>-</v>
      </c>
      <c r="N749" s="4" t="str">
        <f>IFERROR(IF(K749&gt;0, L749/K749, 0),"-")</f>
        <v>-</v>
      </c>
      <c r="O749" s="34" t="s">
        <v>959</v>
      </c>
      <c r="P749" s="35" t="s">
        <v>959</v>
      </c>
      <c r="Q749" s="34" t="str">
        <f>IF(OR(P749="-",P749="",P749=0),IF(O749="-","-",O749),O749-P749)</f>
        <v>-</v>
      </c>
      <c r="R749" s="4" t="str">
        <f>IFERROR(IF(O749&gt;0, P749/O749, 0),"-")</f>
        <v>-</v>
      </c>
      <c r="S749" s="34" t="s">
        <v>959</v>
      </c>
      <c r="T749" s="34" t="s">
        <v>959</v>
      </c>
      <c r="U749" s="34" t="s">
        <v>959</v>
      </c>
      <c r="V749" s="35" t="s">
        <v>959</v>
      </c>
      <c r="W749" s="35" t="s">
        <v>959</v>
      </c>
    </row>
    <row r="750" spans="1:23" x14ac:dyDescent="0.2">
      <c r="A750" s="29"/>
      <c r="B750" s="29" t="s">
        <v>115</v>
      </c>
      <c r="C750" s="32">
        <v>816</v>
      </c>
      <c r="D750" s="32">
        <v>802</v>
      </c>
      <c r="E750" s="32">
        <f>IF(OR(D750="-",D750="",D750=0),IF(C750="-","-",C750),C750-D750)</f>
        <v>14</v>
      </c>
      <c r="F750" s="36">
        <f>IFERROR(IF(C750&gt;0, D750/C750, 0),"-")</f>
        <v>0.98284313725490191</v>
      </c>
      <c r="G750" s="32">
        <v>19</v>
      </c>
      <c r="H750" s="32">
        <v>10</v>
      </c>
      <c r="I750" s="32">
        <f>IF(OR(H750="-",H750="",H750=0),IF(G750="-","-",G750),G750-H750)</f>
        <v>9</v>
      </c>
      <c r="J750" s="36">
        <f>IFERROR(IF(G750&gt;0, H750/G750, 0),"-")</f>
        <v>0.52631578947368418</v>
      </c>
      <c r="K750" s="32" t="s">
        <v>959</v>
      </c>
      <c r="L750" s="32" t="s">
        <v>959</v>
      </c>
      <c r="M750" s="32" t="str">
        <f>IF(OR(L750="-",L750="",L750=0),IF(K750="-","-",K750),K750-L750)</f>
        <v>-</v>
      </c>
      <c r="N750" s="36" t="str">
        <f>IFERROR(IF(K750&gt;0, L750/K750, 0),"-")</f>
        <v>-</v>
      </c>
      <c r="O750" s="32">
        <v>19</v>
      </c>
      <c r="P750" s="32">
        <v>8</v>
      </c>
      <c r="Q750" s="32">
        <f>IF(OR(P750="-",P750="",P750=0),IF(O750="-","-",O750),O750-P750)</f>
        <v>11</v>
      </c>
      <c r="R750" s="36">
        <f>IFERROR(IF(O750&gt;0, P750/O750, 0),"-")</f>
        <v>0.42105263157894735</v>
      </c>
      <c r="S750" s="32">
        <v>76</v>
      </c>
      <c r="T750" s="32">
        <v>3</v>
      </c>
      <c r="U750" s="32">
        <v>7395</v>
      </c>
      <c r="V750" s="32" t="s">
        <v>959</v>
      </c>
      <c r="W750" s="32" t="s">
        <v>959</v>
      </c>
    </row>
    <row r="751" spans="1:23" x14ac:dyDescent="0.2">
      <c r="A751" s="30" t="s">
        <v>828</v>
      </c>
      <c r="B751" s="30" t="s">
        <v>1419</v>
      </c>
      <c r="C751" s="34">
        <v>157</v>
      </c>
      <c r="D751" s="35">
        <v>152</v>
      </c>
      <c r="E751" s="34">
        <f>IF(OR(D751="-",D751="",D751=0),IF(C751="-","-",C751),C751-D751)</f>
        <v>5</v>
      </c>
      <c r="F751" s="4">
        <f>IFERROR(IF(C751&gt;0, D751/C751, 0),"-")</f>
        <v>0.96815286624203822</v>
      </c>
      <c r="G751" s="34">
        <v>3</v>
      </c>
      <c r="H751" s="35">
        <v>1</v>
      </c>
      <c r="I751" s="34">
        <f>IF(OR(H751="-",H751="",H751=0),IF(G751="-","-",G751),G751-H751)</f>
        <v>2</v>
      </c>
      <c r="J751" s="4">
        <f>IFERROR(IF(G751&gt;0, H751/G751, 0),"-")</f>
        <v>0.33333333333333331</v>
      </c>
      <c r="K751" s="34" t="s">
        <v>959</v>
      </c>
      <c r="L751" s="35" t="s">
        <v>959</v>
      </c>
      <c r="M751" s="34" t="str">
        <f>IF(OR(L751="-",L751="",L751=0),IF(K751="-","-",K751),K751-L751)</f>
        <v>-</v>
      </c>
      <c r="N751" s="4" t="str">
        <f>IFERROR(IF(K751&gt;0, L751/K751, 0),"-")</f>
        <v>-</v>
      </c>
      <c r="O751" s="34">
        <v>3</v>
      </c>
      <c r="P751" s="35">
        <v>3</v>
      </c>
      <c r="Q751" s="34">
        <f>IF(OR(P751="-",P751="",P751=0),IF(O751="-","-",O751),O751-P751)</f>
        <v>0</v>
      </c>
      <c r="R751" s="4">
        <f>IFERROR(IF(O751&gt;0, P751/O751, 0),"-")</f>
        <v>1</v>
      </c>
      <c r="S751" s="34">
        <v>10</v>
      </c>
      <c r="T751" s="34">
        <v>1</v>
      </c>
      <c r="U751" s="34">
        <v>2700</v>
      </c>
      <c r="V751" s="35" t="s">
        <v>959</v>
      </c>
      <c r="W751" s="35" t="s">
        <v>959</v>
      </c>
    </row>
    <row r="752" spans="1:23" x14ac:dyDescent="0.2">
      <c r="A752" s="30" t="s">
        <v>827</v>
      </c>
      <c r="B752" s="30" t="s">
        <v>1420</v>
      </c>
      <c r="C752" s="34">
        <v>211</v>
      </c>
      <c r="D752" s="35">
        <v>208</v>
      </c>
      <c r="E752" s="34">
        <f>IF(OR(D752="-",D752="",D752=0),IF(C752="-","-",C752),C752-D752)</f>
        <v>3</v>
      </c>
      <c r="F752" s="4">
        <f>IFERROR(IF(C752&gt;0, D752/C752, 0),"-")</f>
        <v>0.98578199052132698</v>
      </c>
      <c r="G752" s="34">
        <v>3</v>
      </c>
      <c r="H752" s="35">
        <v>2</v>
      </c>
      <c r="I752" s="34">
        <f>IF(OR(H752="-",H752="",H752=0),IF(G752="-","-",G752),G752-H752)</f>
        <v>1</v>
      </c>
      <c r="J752" s="4">
        <f>IFERROR(IF(G752&gt;0, H752/G752, 0),"-")</f>
        <v>0.66666666666666663</v>
      </c>
      <c r="K752" s="34" t="s">
        <v>959</v>
      </c>
      <c r="L752" s="35" t="s">
        <v>959</v>
      </c>
      <c r="M752" s="34" t="str">
        <f>IF(OR(L752="-",L752="",L752=0),IF(K752="-","-",K752),K752-L752)</f>
        <v>-</v>
      </c>
      <c r="N752" s="4" t="str">
        <f>IFERROR(IF(K752&gt;0, L752/K752, 0),"-")</f>
        <v>-</v>
      </c>
      <c r="O752" s="34">
        <v>1</v>
      </c>
      <c r="P752" s="35">
        <v>1</v>
      </c>
      <c r="Q752" s="34">
        <f>IF(OR(P752="-",P752="",P752=0),IF(O752="-","-",O752),O752-P752)</f>
        <v>0</v>
      </c>
      <c r="R752" s="4">
        <f>IFERROR(IF(O752&gt;0, P752/O752, 0),"-")</f>
        <v>1</v>
      </c>
      <c r="S752" s="34">
        <v>2</v>
      </c>
      <c r="T752" s="34" t="s">
        <v>959</v>
      </c>
      <c r="U752" s="34" t="s">
        <v>959</v>
      </c>
      <c r="V752" s="35" t="s">
        <v>959</v>
      </c>
      <c r="W752" s="35" t="s">
        <v>959</v>
      </c>
    </row>
    <row r="753" spans="1:23" x14ac:dyDescent="0.2">
      <c r="A753" s="30" t="s">
        <v>825</v>
      </c>
      <c r="B753" s="30" t="s">
        <v>1421</v>
      </c>
      <c r="C753" s="34">
        <v>124</v>
      </c>
      <c r="D753" s="35">
        <v>123</v>
      </c>
      <c r="E753" s="34">
        <f>IF(OR(D753="-",D753="",D753=0),IF(C753="-","-",C753),C753-D753)</f>
        <v>1</v>
      </c>
      <c r="F753" s="4">
        <f>IFERROR(IF(C753&gt;0, D753/C753, 0),"-")</f>
        <v>0.99193548387096775</v>
      </c>
      <c r="G753" s="34">
        <v>2</v>
      </c>
      <c r="H753" s="35">
        <v>1</v>
      </c>
      <c r="I753" s="34">
        <f>IF(OR(H753="-",H753="",H753=0),IF(G753="-","-",G753),G753-H753)</f>
        <v>1</v>
      </c>
      <c r="J753" s="4">
        <f>IFERROR(IF(G753&gt;0, H753/G753, 0),"-")</f>
        <v>0.5</v>
      </c>
      <c r="K753" s="34" t="s">
        <v>959</v>
      </c>
      <c r="L753" s="35" t="s">
        <v>959</v>
      </c>
      <c r="M753" s="34" t="str">
        <f>IF(OR(L753="-",L753="",L753=0),IF(K753="-","-",K753),K753-L753)</f>
        <v>-</v>
      </c>
      <c r="N753" s="4" t="str">
        <f>IFERROR(IF(K753&gt;0, L753/K753, 0),"-")</f>
        <v>-</v>
      </c>
      <c r="O753" s="34">
        <v>5</v>
      </c>
      <c r="P753" s="35">
        <v>2</v>
      </c>
      <c r="Q753" s="34">
        <f>IF(OR(P753="-",P753="",P753=0),IF(O753="-","-",O753),O753-P753)</f>
        <v>3</v>
      </c>
      <c r="R753" s="4">
        <f>IFERROR(IF(O753&gt;0, P753/O753, 0),"-")</f>
        <v>0.4</v>
      </c>
      <c r="S753" s="34">
        <v>37</v>
      </c>
      <c r="T753" s="34">
        <v>1</v>
      </c>
      <c r="U753" s="34">
        <v>2000</v>
      </c>
      <c r="V753" s="35" t="s">
        <v>959</v>
      </c>
      <c r="W753" s="35" t="s">
        <v>959</v>
      </c>
    </row>
    <row r="754" spans="1:23" x14ac:dyDescent="0.2">
      <c r="A754" s="30" t="s">
        <v>824</v>
      </c>
      <c r="B754" s="30" t="s">
        <v>1422</v>
      </c>
      <c r="C754" s="34">
        <v>207</v>
      </c>
      <c r="D754" s="35">
        <v>207</v>
      </c>
      <c r="E754" s="34">
        <f>IF(OR(D754="-",D754="",D754=0),IF(C754="-","-",C754),C754-D754)</f>
        <v>0</v>
      </c>
      <c r="F754" s="4">
        <f>IFERROR(IF(C754&gt;0, D754/C754, 0),"-")</f>
        <v>1</v>
      </c>
      <c r="G754" s="34">
        <v>2</v>
      </c>
      <c r="H754" s="35">
        <v>1</v>
      </c>
      <c r="I754" s="34">
        <f>IF(OR(H754="-",H754="",H754=0),IF(G754="-","-",G754),G754-H754)</f>
        <v>1</v>
      </c>
      <c r="J754" s="4">
        <f>IFERROR(IF(G754&gt;0, H754/G754, 0),"-")</f>
        <v>0.5</v>
      </c>
      <c r="K754" s="34" t="s">
        <v>959</v>
      </c>
      <c r="L754" s="35" t="s">
        <v>959</v>
      </c>
      <c r="M754" s="34" t="str">
        <f>IF(OR(L754="-",L754="",L754=0),IF(K754="-","-",K754),K754-L754)</f>
        <v>-</v>
      </c>
      <c r="N754" s="4" t="str">
        <f>IFERROR(IF(K754&gt;0, L754/K754, 0),"-")</f>
        <v>-</v>
      </c>
      <c r="O754" s="34">
        <v>3</v>
      </c>
      <c r="P754" s="35" t="s">
        <v>959</v>
      </c>
      <c r="Q754" s="34">
        <f>IF(OR(P754="-",P754="",P754=0),IF(O754="-","-",O754),O754-P754)</f>
        <v>3</v>
      </c>
      <c r="R754" s="4" t="str">
        <f>IFERROR(IF(O754&gt;0, P754/O754, 0),"-")</f>
        <v>-</v>
      </c>
      <c r="S754" s="34">
        <v>5</v>
      </c>
      <c r="T754" s="34" t="s">
        <v>959</v>
      </c>
      <c r="U754" s="34" t="s">
        <v>959</v>
      </c>
      <c r="V754" s="35" t="s">
        <v>959</v>
      </c>
      <c r="W754" s="35" t="s">
        <v>959</v>
      </c>
    </row>
    <row r="755" spans="1:23" x14ac:dyDescent="0.2">
      <c r="A755" s="30" t="s">
        <v>826</v>
      </c>
      <c r="B755" s="30" t="s">
        <v>1423</v>
      </c>
      <c r="C755" s="34">
        <v>117</v>
      </c>
      <c r="D755" s="35">
        <v>112</v>
      </c>
      <c r="E755" s="34">
        <f>IF(OR(D755="-",D755="",D755=0),IF(C755="-","-",C755),C755-D755)</f>
        <v>5</v>
      </c>
      <c r="F755" s="4">
        <f>IFERROR(IF(C755&gt;0, D755/C755, 0),"-")</f>
        <v>0.95726495726495731</v>
      </c>
      <c r="G755" s="34">
        <v>9</v>
      </c>
      <c r="H755" s="35">
        <v>5</v>
      </c>
      <c r="I755" s="34">
        <f>IF(OR(H755="-",H755="",H755=0),IF(G755="-","-",G755),G755-H755)</f>
        <v>4</v>
      </c>
      <c r="J755" s="4">
        <f>IFERROR(IF(G755&gt;0, H755/G755, 0),"-")</f>
        <v>0.55555555555555558</v>
      </c>
      <c r="K755" s="34" t="s">
        <v>959</v>
      </c>
      <c r="L755" s="35" t="s">
        <v>959</v>
      </c>
      <c r="M755" s="34" t="str">
        <f>IF(OR(L755="-",L755="",L755=0),IF(K755="-","-",K755),K755-L755)</f>
        <v>-</v>
      </c>
      <c r="N755" s="4" t="str">
        <f>IFERROR(IF(K755&gt;0, L755/K755, 0),"-")</f>
        <v>-</v>
      </c>
      <c r="O755" s="34">
        <v>7</v>
      </c>
      <c r="P755" s="35">
        <v>2</v>
      </c>
      <c r="Q755" s="34">
        <f>IF(OR(P755="-",P755="",P755=0),IF(O755="-","-",O755),O755-P755)</f>
        <v>5</v>
      </c>
      <c r="R755" s="4">
        <f>IFERROR(IF(O755&gt;0, P755/O755, 0),"-")</f>
        <v>0.2857142857142857</v>
      </c>
      <c r="S755" s="34">
        <v>22</v>
      </c>
      <c r="T755" s="34">
        <v>1</v>
      </c>
      <c r="U755" s="34">
        <v>2695</v>
      </c>
      <c r="V755" s="35" t="s">
        <v>959</v>
      </c>
      <c r="W755" s="35" t="s">
        <v>959</v>
      </c>
    </row>
    <row r="756" spans="1:23" x14ac:dyDescent="0.2">
      <c r="A756" s="29"/>
      <c r="B756" s="29" t="s">
        <v>6</v>
      </c>
      <c r="C756" s="32">
        <v>1518</v>
      </c>
      <c r="D756" s="32">
        <v>1446</v>
      </c>
      <c r="E756" s="32">
        <f>IF(OR(D756="-",D756="",D756=0),IF(C756="-","-",C756),C756-D756)</f>
        <v>72</v>
      </c>
      <c r="F756" s="36">
        <f>IFERROR(IF(C756&gt;0, D756/C756, 0),"-")</f>
        <v>0.95256916996047436</v>
      </c>
      <c r="G756" s="32">
        <v>39</v>
      </c>
      <c r="H756" s="32">
        <v>15</v>
      </c>
      <c r="I756" s="32">
        <f>IF(OR(H756="-",H756="",H756=0),IF(G756="-","-",G756),G756-H756)</f>
        <v>24</v>
      </c>
      <c r="J756" s="36">
        <f>IFERROR(IF(G756&gt;0, H756/G756, 0),"-")</f>
        <v>0.38461538461538464</v>
      </c>
      <c r="K756" s="32">
        <v>35</v>
      </c>
      <c r="L756" s="32">
        <v>9</v>
      </c>
      <c r="M756" s="32">
        <f>IF(OR(L756="-",L756="",L756=0),IF(K756="-","-",K756),K756-L756)</f>
        <v>26</v>
      </c>
      <c r="N756" s="36">
        <f>IFERROR(IF(K756&gt;0, L756/K756, 0),"-")</f>
        <v>0.25714285714285712</v>
      </c>
      <c r="O756" s="32">
        <v>33</v>
      </c>
      <c r="P756" s="32">
        <v>8</v>
      </c>
      <c r="Q756" s="32">
        <f>IF(OR(P756="-",P756="",P756=0),IF(O756="-","-",O756),O756-P756)</f>
        <v>25</v>
      </c>
      <c r="R756" s="36">
        <f>IFERROR(IF(O756&gt;0, P756/O756, 0),"-")</f>
        <v>0.24242424242424243</v>
      </c>
      <c r="S756" s="32">
        <v>1598</v>
      </c>
      <c r="T756" s="32">
        <v>23</v>
      </c>
      <c r="U756" s="32">
        <v>69210</v>
      </c>
      <c r="V756" s="32">
        <v>37</v>
      </c>
      <c r="W756" s="32">
        <v>902206</v>
      </c>
    </row>
    <row r="757" spans="1:23" x14ac:dyDescent="0.2">
      <c r="A757" s="30" t="s">
        <v>180</v>
      </c>
      <c r="B757" s="30" t="s">
        <v>1424</v>
      </c>
      <c r="C757" s="34">
        <v>326</v>
      </c>
      <c r="D757" s="35">
        <v>318</v>
      </c>
      <c r="E757" s="34">
        <f>IF(OR(D757="-",D757="",D757=0),IF(C757="-","-",C757),C757-D757)</f>
        <v>8</v>
      </c>
      <c r="F757" s="4">
        <f>IFERROR(IF(C757&gt;0, D757/C757, 0),"-")</f>
        <v>0.97546012269938653</v>
      </c>
      <c r="G757" s="34">
        <v>6</v>
      </c>
      <c r="H757" s="35">
        <v>5</v>
      </c>
      <c r="I757" s="34">
        <f>IF(OR(H757="-",H757="",H757=0),IF(G757="-","-",G757),G757-H757)</f>
        <v>1</v>
      </c>
      <c r="J757" s="4">
        <f>IFERROR(IF(G757&gt;0, H757/G757, 0),"-")</f>
        <v>0.83333333333333337</v>
      </c>
      <c r="K757" s="34">
        <v>6</v>
      </c>
      <c r="L757" s="35">
        <v>2</v>
      </c>
      <c r="M757" s="34">
        <f>IF(OR(L757="-",L757="",L757=0),IF(K757="-","-",K757),K757-L757)</f>
        <v>4</v>
      </c>
      <c r="N757" s="4">
        <f>IFERROR(IF(K757&gt;0, L757/K757, 0),"-")</f>
        <v>0.33333333333333331</v>
      </c>
      <c r="O757" s="34">
        <v>7</v>
      </c>
      <c r="P757" s="35">
        <v>2</v>
      </c>
      <c r="Q757" s="34">
        <f>IF(OR(P757="-",P757="",P757=0),IF(O757="-","-",O757),O757-P757)</f>
        <v>5</v>
      </c>
      <c r="R757" s="4">
        <f>IFERROR(IF(O757&gt;0, P757/O757, 0),"-")</f>
        <v>0.2857142857142857</v>
      </c>
      <c r="S757" s="34">
        <v>42</v>
      </c>
      <c r="T757" s="34" t="s">
        <v>959</v>
      </c>
      <c r="U757" s="34" t="s">
        <v>959</v>
      </c>
      <c r="V757" s="35" t="s">
        <v>959</v>
      </c>
      <c r="W757" s="35" t="s">
        <v>959</v>
      </c>
    </row>
    <row r="758" spans="1:23" x14ac:dyDescent="0.2">
      <c r="A758" s="30" t="s">
        <v>216</v>
      </c>
      <c r="B758" s="30" t="s">
        <v>1425</v>
      </c>
      <c r="C758" s="34" t="s">
        <v>959</v>
      </c>
      <c r="D758" s="35" t="s">
        <v>959</v>
      </c>
      <c r="E758" s="34" t="str">
        <f>IF(OR(D758="-",D758="",D758=0),IF(C758="-","-",C758),C758-D758)</f>
        <v>-</v>
      </c>
      <c r="F758" s="4" t="str">
        <f>IFERROR(IF(C758&gt;0, D758/C758, 0),"-")</f>
        <v>-</v>
      </c>
      <c r="G758" s="34" t="s">
        <v>959</v>
      </c>
      <c r="H758" s="35" t="s">
        <v>959</v>
      </c>
      <c r="I758" s="34" t="str">
        <f>IF(OR(H758="-",H758="",H758=0),IF(G758="-","-",G758),G758-H758)</f>
        <v>-</v>
      </c>
      <c r="J758" s="4" t="str">
        <f>IFERROR(IF(G758&gt;0, H758/G758, 0),"-")</f>
        <v>-</v>
      </c>
      <c r="K758" s="34" t="s">
        <v>959</v>
      </c>
      <c r="L758" s="35" t="s">
        <v>959</v>
      </c>
      <c r="M758" s="34" t="str">
        <f>IF(OR(L758="-",L758="",L758=0),IF(K758="-","-",K758),K758-L758)</f>
        <v>-</v>
      </c>
      <c r="N758" s="4" t="str">
        <f>IFERROR(IF(K758&gt;0, L758/K758, 0),"-")</f>
        <v>-</v>
      </c>
      <c r="O758" s="34" t="s">
        <v>959</v>
      </c>
      <c r="P758" s="35" t="s">
        <v>959</v>
      </c>
      <c r="Q758" s="34" t="str">
        <f>IF(OR(P758="-",P758="",P758=0),IF(O758="-","-",O758),O758-P758)</f>
        <v>-</v>
      </c>
      <c r="R758" s="4" t="str">
        <f>IFERROR(IF(O758&gt;0, P758/O758, 0),"-")</f>
        <v>-</v>
      </c>
      <c r="S758" s="34">
        <v>1</v>
      </c>
      <c r="T758" s="34" t="s">
        <v>959</v>
      </c>
      <c r="U758" s="34" t="s">
        <v>959</v>
      </c>
      <c r="V758" s="35" t="s">
        <v>959</v>
      </c>
      <c r="W758" s="35" t="s">
        <v>959</v>
      </c>
    </row>
    <row r="759" spans="1:23" x14ac:dyDescent="0.2">
      <c r="A759" s="30" t="s">
        <v>162</v>
      </c>
      <c r="B759" s="30" t="s">
        <v>1426</v>
      </c>
      <c r="C759" s="34">
        <v>166</v>
      </c>
      <c r="D759" s="35">
        <v>154</v>
      </c>
      <c r="E759" s="34">
        <f>IF(OR(D759="-",D759="",D759=0),IF(C759="-","-",C759),C759-D759)</f>
        <v>12</v>
      </c>
      <c r="F759" s="4">
        <f>IFERROR(IF(C759&gt;0, D759/C759, 0),"-")</f>
        <v>0.92771084337349397</v>
      </c>
      <c r="G759" s="34">
        <v>6</v>
      </c>
      <c r="H759" s="35">
        <v>2</v>
      </c>
      <c r="I759" s="34">
        <f>IF(OR(H759="-",H759="",H759=0),IF(G759="-","-",G759),G759-H759)</f>
        <v>4</v>
      </c>
      <c r="J759" s="4">
        <f>IFERROR(IF(G759&gt;0, H759/G759, 0),"-")</f>
        <v>0.33333333333333331</v>
      </c>
      <c r="K759" s="34">
        <v>7</v>
      </c>
      <c r="L759" s="35">
        <v>1</v>
      </c>
      <c r="M759" s="34">
        <f>IF(OR(L759="-",L759="",L759=0),IF(K759="-","-",K759),K759-L759)</f>
        <v>6</v>
      </c>
      <c r="N759" s="4">
        <f>IFERROR(IF(K759&gt;0, L759/K759, 0),"-")</f>
        <v>0.14285714285714285</v>
      </c>
      <c r="O759" s="34">
        <v>2</v>
      </c>
      <c r="P759" s="35" t="s">
        <v>959</v>
      </c>
      <c r="Q759" s="34">
        <f>IF(OR(P759="-",P759="",P759=0),IF(O759="-","-",O759),O759-P759)</f>
        <v>2</v>
      </c>
      <c r="R759" s="4" t="str">
        <f>IFERROR(IF(O759&gt;0, P759/O759, 0),"-")</f>
        <v>-</v>
      </c>
      <c r="S759" s="34">
        <v>320</v>
      </c>
      <c r="T759" s="34">
        <v>7</v>
      </c>
      <c r="U759" s="34">
        <v>20940</v>
      </c>
      <c r="V759" s="35">
        <v>11</v>
      </c>
      <c r="W759" s="35">
        <v>314468</v>
      </c>
    </row>
    <row r="760" spans="1:23" x14ac:dyDescent="0.2">
      <c r="A760" s="30" t="s">
        <v>161</v>
      </c>
      <c r="B760" s="30" t="s">
        <v>1427</v>
      </c>
      <c r="C760" s="34">
        <v>196</v>
      </c>
      <c r="D760" s="35">
        <v>188</v>
      </c>
      <c r="E760" s="34">
        <f>IF(OR(D760="-",D760="",D760=0),IF(C760="-","-",C760),C760-D760)</f>
        <v>8</v>
      </c>
      <c r="F760" s="4">
        <f>IFERROR(IF(C760&gt;0, D760/C760, 0),"-")</f>
        <v>0.95918367346938771</v>
      </c>
      <c r="G760" s="34">
        <v>3</v>
      </c>
      <c r="H760" s="35">
        <v>1</v>
      </c>
      <c r="I760" s="34">
        <f>IF(OR(H760="-",H760="",H760=0),IF(G760="-","-",G760),G760-H760)</f>
        <v>2</v>
      </c>
      <c r="J760" s="4">
        <f>IFERROR(IF(G760&gt;0, H760/G760, 0),"-")</f>
        <v>0.33333333333333331</v>
      </c>
      <c r="K760" s="34">
        <v>1</v>
      </c>
      <c r="L760" s="35" t="s">
        <v>959</v>
      </c>
      <c r="M760" s="34">
        <f>IF(OR(L760="-",L760="",L760=0),IF(K760="-","-",K760),K760-L760)</f>
        <v>1</v>
      </c>
      <c r="N760" s="4" t="str">
        <f>IFERROR(IF(K760&gt;0, L760/K760, 0),"-")</f>
        <v>-</v>
      </c>
      <c r="O760" s="34">
        <v>6</v>
      </c>
      <c r="P760" s="35">
        <v>2</v>
      </c>
      <c r="Q760" s="34">
        <f>IF(OR(P760="-",P760="",P760=0),IF(O760="-","-",O760),O760-P760)</f>
        <v>4</v>
      </c>
      <c r="R760" s="4">
        <f>IFERROR(IF(O760&gt;0, P760/O760, 0),"-")</f>
        <v>0.33333333333333331</v>
      </c>
      <c r="S760" s="34">
        <v>315</v>
      </c>
      <c r="T760" s="34">
        <v>2</v>
      </c>
      <c r="U760" s="34">
        <v>8080</v>
      </c>
      <c r="V760" s="35">
        <v>6</v>
      </c>
      <c r="W760" s="35">
        <v>111753</v>
      </c>
    </row>
    <row r="761" spans="1:23" x14ac:dyDescent="0.2">
      <c r="A761" s="30" t="s">
        <v>182</v>
      </c>
      <c r="B761" s="30" t="s">
        <v>1428</v>
      </c>
      <c r="C761" s="34">
        <v>3</v>
      </c>
      <c r="D761" s="35">
        <v>2</v>
      </c>
      <c r="E761" s="34">
        <f>IF(OR(D761="-",D761="",D761=0),IF(C761="-","-",C761),C761-D761)</f>
        <v>1</v>
      </c>
      <c r="F761" s="4">
        <f>IFERROR(IF(C761&gt;0, D761/C761, 0),"-")</f>
        <v>0.66666666666666663</v>
      </c>
      <c r="G761" s="34">
        <v>1</v>
      </c>
      <c r="H761" s="35">
        <v>1</v>
      </c>
      <c r="I761" s="34">
        <f>IF(OR(H761="-",H761="",H761=0),IF(G761="-","-",G761),G761-H761)</f>
        <v>0</v>
      </c>
      <c r="J761" s="4">
        <f>IFERROR(IF(G761&gt;0, H761/G761, 0),"-")</f>
        <v>1</v>
      </c>
      <c r="K761" s="34" t="s">
        <v>959</v>
      </c>
      <c r="L761" s="35" t="s">
        <v>959</v>
      </c>
      <c r="M761" s="34" t="str">
        <f>IF(OR(L761="-",L761="",L761=0),IF(K761="-","-",K761),K761-L761)</f>
        <v>-</v>
      </c>
      <c r="N761" s="4" t="str">
        <f>IFERROR(IF(K761&gt;0, L761/K761, 0),"-")</f>
        <v>-</v>
      </c>
      <c r="O761" s="34" t="s">
        <v>959</v>
      </c>
      <c r="P761" s="35" t="s">
        <v>959</v>
      </c>
      <c r="Q761" s="34" t="str">
        <f>IF(OR(P761="-",P761="",P761=0),IF(O761="-","-",O761),O761-P761)</f>
        <v>-</v>
      </c>
      <c r="R761" s="4" t="str">
        <f>IFERROR(IF(O761&gt;0, P761/O761, 0),"-")</f>
        <v>-</v>
      </c>
      <c r="S761" s="34" t="s">
        <v>959</v>
      </c>
      <c r="T761" s="34" t="s">
        <v>959</v>
      </c>
      <c r="U761" s="34" t="s">
        <v>959</v>
      </c>
      <c r="V761" s="35" t="s">
        <v>959</v>
      </c>
      <c r="W761" s="35" t="s">
        <v>959</v>
      </c>
    </row>
    <row r="762" spans="1:23" x14ac:dyDescent="0.2">
      <c r="A762" s="30" t="s">
        <v>164</v>
      </c>
      <c r="B762" s="30" t="s">
        <v>1429</v>
      </c>
      <c r="C762" s="34">
        <v>240</v>
      </c>
      <c r="D762" s="35">
        <v>229</v>
      </c>
      <c r="E762" s="34">
        <f>IF(OR(D762="-",D762="",D762=0),IF(C762="-","-",C762),C762-D762)</f>
        <v>11</v>
      </c>
      <c r="F762" s="4">
        <f>IFERROR(IF(C762&gt;0, D762/C762, 0),"-")</f>
        <v>0.95416666666666672</v>
      </c>
      <c r="G762" s="34">
        <v>4</v>
      </c>
      <c r="H762" s="35">
        <v>3</v>
      </c>
      <c r="I762" s="34">
        <f>IF(OR(H762="-",H762="",H762=0),IF(G762="-","-",G762),G762-H762)</f>
        <v>1</v>
      </c>
      <c r="J762" s="4">
        <f>IFERROR(IF(G762&gt;0, H762/G762, 0),"-")</f>
        <v>0.75</v>
      </c>
      <c r="K762" s="34">
        <v>10</v>
      </c>
      <c r="L762" s="35">
        <v>3</v>
      </c>
      <c r="M762" s="34">
        <f>IF(OR(L762="-",L762="",L762=0),IF(K762="-","-",K762),K762-L762)</f>
        <v>7</v>
      </c>
      <c r="N762" s="4">
        <f>IFERROR(IF(K762&gt;0, L762/K762, 0),"-")</f>
        <v>0.3</v>
      </c>
      <c r="O762" s="34">
        <v>7</v>
      </c>
      <c r="P762" s="35">
        <v>1</v>
      </c>
      <c r="Q762" s="34">
        <f>IF(OR(P762="-",P762="",P762=0),IF(O762="-","-",O762),O762-P762)</f>
        <v>6</v>
      </c>
      <c r="R762" s="4">
        <f>IFERROR(IF(O762&gt;0, P762/O762, 0),"-")</f>
        <v>0.14285714285714285</v>
      </c>
      <c r="S762" s="34">
        <v>230</v>
      </c>
      <c r="T762" s="34" t="s">
        <v>959</v>
      </c>
      <c r="U762" s="34" t="s">
        <v>959</v>
      </c>
      <c r="V762" s="35">
        <v>5</v>
      </c>
      <c r="W762" s="35">
        <v>126037</v>
      </c>
    </row>
    <row r="763" spans="1:23" x14ac:dyDescent="0.2">
      <c r="A763" s="30" t="s">
        <v>163</v>
      </c>
      <c r="B763" s="30" t="s">
        <v>1430</v>
      </c>
      <c r="C763" s="34">
        <v>252</v>
      </c>
      <c r="D763" s="35">
        <v>242</v>
      </c>
      <c r="E763" s="34">
        <f>IF(OR(D763="-",D763="",D763=0),IF(C763="-","-",C763),C763-D763)</f>
        <v>10</v>
      </c>
      <c r="F763" s="4">
        <f>IFERROR(IF(C763&gt;0, D763/C763, 0),"-")</f>
        <v>0.96031746031746035</v>
      </c>
      <c r="G763" s="34">
        <v>6</v>
      </c>
      <c r="H763" s="35" t="s">
        <v>959</v>
      </c>
      <c r="I763" s="34">
        <f>IF(OR(H763="-",H763="",H763=0),IF(G763="-","-",G763),G763-H763)</f>
        <v>6</v>
      </c>
      <c r="J763" s="4" t="str">
        <f>IFERROR(IF(G763&gt;0, H763/G763, 0),"-")</f>
        <v>-</v>
      </c>
      <c r="K763" s="34">
        <v>4</v>
      </c>
      <c r="L763" s="35">
        <v>1</v>
      </c>
      <c r="M763" s="34">
        <f>IF(OR(L763="-",L763="",L763=0),IF(K763="-","-",K763),K763-L763)</f>
        <v>3</v>
      </c>
      <c r="N763" s="4">
        <f>IFERROR(IF(K763&gt;0, L763/K763, 0),"-")</f>
        <v>0.25</v>
      </c>
      <c r="O763" s="34">
        <v>5</v>
      </c>
      <c r="P763" s="35" t="s">
        <v>959</v>
      </c>
      <c r="Q763" s="34">
        <f>IF(OR(P763="-",P763="",P763=0),IF(O763="-","-",O763),O763-P763)</f>
        <v>5</v>
      </c>
      <c r="R763" s="4" t="str">
        <f>IFERROR(IF(O763&gt;0, P763/O763, 0),"-")</f>
        <v>-</v>
      </c>
      <c r="S763" s="34">
        <v>228</v>
      </c>
      <c r="T763" s="34">
        <v>2</v>
      </c>
      <c r="U763" s="34">
        <v>5390</v>
      </c>
      <c r="V763" s="35">
        <v>7</v>
      </c>
      <c r="W763" s="35">
        <v>168042</v>
      </c>
    </row>
    <row r="764" spans="1:23" x14ac:dyDescent="0.2">
      <c r="A764" s="30" t="s">
        <v>160</v>
      </c>
      <c r="B764" s="30" t="s">
        <v>1431</v>
      </c>
      <c r="C764" s="34">
        <v>72</v>
      </c>
      <c r="D764" s="35">
        <v>70</v>
      </c>
      <c r="E764" s="34">
        <f>IF(OR(D764="-",D764="",D764=0),IF(C764="-","-",C764),C764-D764)</f>
        <v>2</v>
      </c>
      <c r="F764" s="4">
        <f>IFERROR(IF(C764&gt;0, D764/C764, 0),"-")</f>
        <v>0.97222222222222221</v>
      </c>
      <c r="G764" s="34" t="s">
        <v>959</v>
      </c>
      <c r="H764" s="35" t="s">
        <v>959</v>
      </c>
      <c r="I764" s="34" t="str">
        <f>IF(OR(H764="-",H764="",H764=0),IF(G764="-","-",G764),G764-H764)</f>
        <v>-</v>
      </c>
      <c r="J764" s="4" t="str">
        <f>IFERROR(IF(G764&gt;0, H764/G764, 0),"-")</f>
        <v>-</v>
      </c>
      <c r="K764" s="34">
        <v>1</v>
      </c>
      <c r="L764" s="35" t="s">
        <v>959</v>
      </c>
      <c r="M764" s="34">
        <f>IF(OR(L764="-",L764="",L764=0),IF(K764="-","-",K764),K764-L764)</f>
        <v>1</v>
      </c>
      <c r="N764" s="4" t="str">
        <f>IFERROR(IF(K764&gt;0, L764/K764, 0),"-")</f>
        <v>-</v>
      </c>
      <c r="O764" s="34">
        <v>2</v>
      </c>
      <c r="P764" s="35">
        <v>1</v>
      </c>
      <c r="Q764" s="34">
        <f>IF(OR(P764="-",P764="",P764=0),IF(O764="-","-",O764),O764-P764)</f>
        <v>1</v>
      </c>
      <c r="R764" s="4">
        <f>IFERROR(IF(O764&gt;0, P764/O764, 0),"-")</f>
        <v>0.5</v>
      </c>
      <c r="S764" s="34">
        <v>176</v>
      </c>
      <c r="T764" s="34">
        <v>2</v>
      </c>
      <c r="U764" s="34">
        <v>4695</v>
      </c>
      <c r="V764" s="35">
        <v>3</v>
      </c>
      <c r="W764" s="35">
        <v>56777</v>
      </c>
    </row>
    <row r="765" spans="1:23" x14ac:dyDescent="0.2">
      <c r="A765" s="30" t="s">
        <v>179</v>
      </c>
      <c r="B765" s="30" t="s">
        <v>1432</v>
      </c>
      <c r="C765" s="34">
        <v>6</v>
      </c>
      <c r="D765" s="35">
        <v>3</v>
      </c>
      <c r="E765" s="34">
        <f>IF(OR(D765="-",D765="",D765=0),IF(C765="-","-",C765),C765-D765)</f>
        <v>3</v>
      </c>
      <c r="F765" s="4">
        <f>IFERROR(IF(C765&gt;0, D765/C765, 0),"-")</f>
        <v>0.5</v>
      </c>
      <c r="G765" s="34" t="s">
        <v>959</v>
      </c>
      <c r="H765" s="35" t="s">
        <v>959</v>
      </c>
      <c r="I765" s="34" t="str">
        <f>IF(OR(H765="-",H765="",H765=0),IF(G765="-","-",G765),G765-H765)</f>
        <v>-</v>
      </c>
      <c r="J765" s="4" t="str">
        <f>IFERROR(IF(G765&gt;0, H765/G765, 0),"-")</f>
        <v>-</v>
      </c>
      <c r="K765" s="34">
        <v>2</v>
      </c>
      <c r="L765" s="35" t="s">
        <v>959</v>
      </c>
      <c r="M765" s="34">
        <f>IF(OR(L765="-",L765="",L765=0),IF(K765="-","-",K765),K765-L765)</f>
        <v>2</v>
      </c>
      <c r="N765" s="4" t="str">
        <f>IFERROR(IF(K765&gt;0, L765/K765, 0),"-")</f>
        <v>-</v>
      </c>
      <c r="O765" s="34" t="s">
        <v>959</v>
      </c>
      <c r="P765" s="35" t="s">
        <v>959</v>
      </c>
      <c r="Q765" s="34" t="str">
        <f>IF(OR(P765="-",P765="",P765=0),IF(O765="-","-",O765),O765-P765)</f>
        <v>-</v>
      </c>
      <c r="R765" s="4" t="str">
        <f>IFERROR(IF(O765&gt;0, P765/O765, 0),"-")</f>
        <v>-</v>
      </c>
      <c r="S765" s="34">
        <v>11</v>
      </c>
      <c r="T765" s="34" t="s">
        <v>959</v>
      </c>
      <c r="U765" s="34" t="s">
        <v>959</v>
      </c>
      <c r="V765" s="35" t="s">
        <v>959</v>
      </c>
      <c r="W765" s="35" t="s">
        <v>959</v>
      </c>
    </row>
    <row r="766" spans="1:23" x14ac:dyDescent="0.2">
      <c r="A766" s="30" t="s">
        <v>159</v>
      </c>
      <c r="B766" s="30" t="s">
        <v>1433</v>
      </c>
      <c r="C766" s="34">
        <v>257</v>
      </c>
      <c r="D766" s="35">
        <v>240</v>
      </c>
      <c r="E766" s="34">
        <f>IF(OR(D766="-",D766="",D766=0),IF(C766="-","-",C766),C766-D766)</f>
        <v>17</v>
      </c>
      <c r="F766" s="4">
        <f>IFERROR(IF(C766&gt;0, D766/C766, 0),"-")</f>
        <v>0.93385214007782102</v>
      </c>
      <c r="G766" s="34">
        <v>13</v>
      </c>
      <c r="H766" s="35">
        <v>3</v>
      </c>
      <c r="I766" s="34">
        <f>IF(OR(H766="-",H766="",H766=0),IF(G766="-","-",G766),G766-H766)</f>
        <v>10</v>
      </c>
      <c r="J766" s="4">
        <f>IFERROR(IF(G766&gt;0, H766/G766, 0),"-")</f>
        <v>0.23076923076923078</v>
      </c>
      <c r="K766" s="34">
        <v>4</v>
      </c>
      <c r="L766" s="35">
        <v>2</v>
      </c>
      <c r="M766" s="34">
        <f>IF(OR(L766="-",L766="",L766=0),IF(K766="-","-",K766),K766-L766)</f>
        <v>2</v>
      </c>
      <c r="N766" s="4">
        <f>IFERROR(IF(K766&gt;0, L766/K766, 0),"-")</f>
        <v>0.5</v>
      </c>
      <c r="O766" s="34">
        <v>4</v>
      </c>
      <c r="P766" s="35">
        <v>2</v>
      </c>
      <c r="Q766" s="34">
        <f>IF(OR(P766="-",P766="",P766=0),IF(O766="-","-",O766),O766-P766)</f>
        <v>2</v>
      </c>
      <c r="R766" s="4">
        <f>IFERROR(IF(O766&gt;0, P766/O766, 0),"-")</f>
        <v>0.5</v>
      </c>
      <c r="S766" s="34">
        <v>275</v>
      </c>
      <c r="T766" s="34">
        <v>10</v>
      </c>
      <c r="U766" s="34">
        <v>30105</v>
      </c>
      <c r="V766" s="35">
        <v>5</v>
      </c>
      <c r="W766" s="35">
        <v>125129</v>
      </c>
    </row>
    <row r="767" spans="1:23" x14ac:dyDescent="0.2">
      <c r="A767" s="29"/>
      <c r="B767" s="29" t="s">
        <v>40</v>
      </c>
      <c r="C767" s="32">
        <v>1469</v>
      </c>
      <c r="D767" s="32">
        <v>1450</v>
      </c>
      <c r="E767" s="32">
        <f>IF(OR(D767="-",D767="",D767=0),IF(C767="-","-",C767),C767-D767)</f>
        <v>19</v>
      </c>
      <c r="F767" s="36">
        <f>IFERROR(IF(C767&gt;0, D767/C767, 0),"-")</f>
        <v>0.98706603131381887</v>
      </c>
      <c r="G767" s="32">
        <v>16</v>
      </c>
      <c r="H767" s="32">
        <v>8</v>
      </c>
      <c r="I767" s="32">
        <f>IF(OR(H767="-",H767="",H767=0),IF(G767="-","-",G767),G767-H767)</f>
        <v>8</v>
      </c>
      <c r="J767" s="36">
        <f>IFERROR(IF(G767&gt;0, H767/G767, 0),"-")</f>
        <v>0.5</v>
      </c>
      <c r="K767" s="32">
        <v>10</v>
      </c>
      <c r="L767" s="32">
        <v>5</v>
      </c>
      <c r="M767" s="32">
        <f>IF(OR(L767="-",L767="",L767=0),IF(K767="-","-",K767),K767-L767)</f>
        <v>5</v>
      </c>
      <c r="N767" s="36">
        <f>IFERROR(IF(K767&gt;0, L767/K767, 0),"-")</f>
        <v>0.5</v>
      </c>
      <c r="O767" s="32">
        <v>15</v>
      </c>
      <c r="P767" s="32">
        <v>7</v>
      </c>
      <c r="Q767" s="32">
        <f>IF(OR(P767="-",P767="",P767=0),IF(O767="-","-",O767),O767-P767)</f>
        <v>8</v>
      </c>
      <c r="R767" s="36">
        <f>IFERROR(IF(O767&gt;0, P767/O767, 0),"-")</f>
        <v>0.46666666666666667</v>
      </c>
      <c r="S767" s="32">
        <v>2149</v>
      </c>
      <c r="T767" s="32">
        <v>20</v>
      </c>
      <c r="U767" s="32">
        <v>64633</v>
      </c>
      <c r="V767" s="32">
        <v>25</v>
      </c>
      <c r="W767" s="32">
        <v>406248</v>
      </c>
    </row>
    <row r="768" spans="1:23" x14ac:dyDescent="0.2">
      <c r="A768" s="30" t="s">
        <v>213</v>
      </c>
      <c r="B768" s="30" t="s">
        <v>1434</v>
      </c>
      <c r="C768" s="34">
        <v>59</v>
      </c>
      <c r="D768" s="35">
        <v>59</v>
      </c>
      <c r="E768" s="34">
        <f>IF(OR(D768="-",D768="",D768=0),IF(C768="-","-",C768),C768-D768)</f>
        <v>0</v>
      </c>
      <c r="F768" s="4">
        <f>IFERROR(IF(C768&gt;0, D768/C768, 0),"-")</f>
        <v>1</v>
      </c>
      <c r="G768" s="34" t="s">
        <v>959</v>
      </c>
      <c r="H768" s="35" t="s">
        <v>959</v>
      </c>
      <c r="I768" s="34" t="str">
        <f>IF(OR(H768="-",H768="",H768=0),IF(G768="-","-",G768),G768-H768)</f>
        <v>-</v>
      </c>
      <c r="J768" s="4" t="str">
        <f>IFERROR(IF(G768&gt;0, H768/G768, 0),"-")</f>
        <v>-</v>
      </c>
      <c r="K768" s="34" t="s">
        <v>959</v>
      </c>
      <c r="L768" s="35" t="s">
        <v>959</v>
      </c>
      <c r="M768" s="34" t="str">
        <f>IF(OR(L768="-",L768="",L768=0),IF(K768="-","-",K768),K768-L768)</f>
        <v>-</v>
      </c>
      <c r="N768" s="4" t="str">
        <f>IFERROR(IF(K768&gt;0, L768/K768, 0),"-")</f>
        <v>-</v>
      </c>
      <c r="O768" s="34">
        <v>1</v>
      </c>
      <c r="P768" s="35" t="s">
        <v>959</v>
      </c>
      <c r="Q768" s="34">
        <f>IF(OR(P768="-",P768="",P768=0),IF(O768="-","-",O768),O768-P768)</f>
        <v>1</v>
      </c>
      <c r="R768" s="4" t="str">
        <f>IFERROR(IF(O768&gt;0, P768/O768, 0),"-")</f>
        <v>-</v>
      </c>
      <c r="S768" s="34">
        <v>42</v>
      </c>
      <c r="T768" s="34" t="s">
        <v>959</v>
      </c>
      <c r="U768" s="34" t="s">
        <v>959</v>
      </c>
      <c r="V768" s="35">
        <v>1</v>
      </c>
      <c r="W768" s="35">
        <v>26600</v>
      </c>
    </row>
    <row r="769" spans="1:23" x14ac:dyDescent="0.2">
      <c r="A769" s="30" t="s">
        <v>227</v>
      </c>
      <c r="B769" s="30" t="s">
        <v>1435</v>
      </c>
      <c r="C769" s="34">
        <v>50</v>
      </c>
      <c r="D769" s="35">
        <v>49</v>
      </c>
      <c r="E769" s="34">
        <f>IF(OR(D769="-",D769="",D769=0),IF(C769="-","-",C769),C769-D769)</f>
        <v>1</v>
      </c>
      <c r="F769" s="4">
        <f>IFERROR(IF(C769&gt;0, D769/C769, 0),"-")</f>
        <v>0.98</v>
      </c>
      <c r="G769" s="34" t="s">
        <v>959</v>
      </c>
      <c r="H769" s="35" t="s">
        <v>959</v>
      </c>
      <c r="I769" s="34" t="str">
        <f>IF(OR(H769="-",H769="",H769=0),IF(G769="-","-",G769),G769-H769)</f>
        <v>-</v>
      </c>
      <c r="J769" s="4" t="str">
        <f>IFERROR(IF(G769&gt;0, H769/G769, 0),"-")</f>
        <v>-</v>
      </c>
      <c r="K769" s="34">
        <v>2</v>
      </c>
      <c r="L769" s="35">
        <v>1</v>
      </c>
      <c r="M769" s="34">
        <f>IF(OR(L769="-",L769="",L769=0),IF(K769="-","-",K769),K769-L769)</f>
        <v>1</v>
      </c>
      <c r="N769" s="4">
        <f>IFERROR(IF(K769&gt;0, L769/K769, 0),"-")</f>
        <v>0.5</v>
      </c>
      <c r="O769" s="34" t="s">
        <v>959</v>
      </c>
      <c r="P769" s="35" t="s">
        <v>959</v>
      </c>
      <c r="Q769" s="34" t="str">
        <f>IF(OR(P769="-",P769="",P769=0),IF(O769="-","-",O769),O769-P769)</f>
        <v>-</v>
      </c>
      <c r="R769" s="4" t="str">
        <f>IFERROR(IF(O769&gt;0, P769/O769, 0),"-")</f>
        <v>-</v>
      </c>
      <c r="S769" s="34" t="s">
        <v>959</v>
      </c>
      <c r="T769" s="34" t="s">
        <v>959</v>
      </c>
      <c r="U769" s="34" t="s">
        <v>959</v>
      </c>
      <c r="V769" s="35" t="s">
        <v>959</v>
      </c>
      <c r="W769" s="35" t="s">
        <v>959</v>
      </c>
    </row>
    <row r="770" spans="1:23" x14ac:dyDescent="0.2">
      <c r="A770" s="30" t="s">
        <v>228</v>
      </c>
      <c r="B770" s="30" t="s">
        <v>1436</v>
      </c>
      <c r="C770" s="34">
        <v>47</v>
      </c>
      <c r="D770" s="35">
        <v>47</v>
      </c>
      <c r="E770" s="34">
        <f>IF(OR(D770="-",D770="",D770=0),IF(C770="-","-",C770),C770-D770)</f>
        <v>0</v>
      </c>
      <c r="F770" s="4">
        <f>IFERROR(IF(C770&gt;0, D770/C770, 0),"-")</f>
        <v>1</v>
      </c>
      <c r="G770" s="34" t="s">
        <v>959</v>
      </c>
      <c r="H770" s="35" t="s">
        <v>959</v>
      </c>
      <c r="I770" s="34" t="str">
        <f>IF(OR(H770="-",H770="",H770=0),IF(G770="-","-",G770),G770-H770)</f>
        <v>-</v>
      </c>
      <c r="J770" s="4" t="str">
        <f>IFERROR(IF(G770&gt;0, H770/G770, 0),"-")</f>
        <v>-</v>
      </c>
      <c r="K770" s="34" t="s">
        <v>959</v>
      </c>
      <c r="L770" s="35" t="s">
        <v>959</v>
      </c>
      <c r="M770" s="34" t="str">
        <f>IF(OR(L770="-",L770="",L770=0),IF(K770="-","-",K770),K770-L770)</f>
        <v>-</v>
      </c>
      <c r="N770" s="4" t="str">
        <f>IFERROR(IF(K770&gt;0, L770/K770, 0),"-")</f>
        <v>-</v>
      </c>
      <c r="O770" s="34" t="s">
        <v>959</v>
      </c>
      <c r="P770" s="35" t="s">
        <v>959</v>
      </c>
      <c r="Q770" s="34" t="str">
        <f>IF(OR(P770="-",P770="",P770=0),IF(O770="-","-",O770),O770-P770)</f>
        <v>-</v>
      </c>
      <c r="R770" s="4" t="str">
        <f>IFERROR(IF(O770&gt;0, P770/O770, 0),"-")</f>
        <v>-</v>
      </c>
      <c r="S770" s="34">
        <v>1</v>
      </c>
      <c r="T770" s="34" t="s">
        <v>959</v>
      </c>
      <c r="U770" s="34" t="s">
        <v>959</v>
      </c>
      <c r="V770" s="35" t="s">
        <v>959</v>
      </c>
      <c r="W770" s="35" t="s">
        <v>959</v>
      </c>
    </row>
    <row r="771" spans="1:23" x14ac:dyDescent="0.2">
      <c r="A771" s="30" t="s">
        <v>226</v>
      </c>
      <c r="B771" s="30" t="s">
        <v>1437</v>
      </c>
      <c r="C771" s="34">
        <v>7</v>
      </c>
      <c r="D771" s="35">
        <v>7</v>
      </c>
      <c r="E771" s="34">
        <f>IF(OR(D771="-",D771="",D771=0),IF(C771="-","-",C771),C771-D771)</f>
        <v>0</v>
      </c>
      <c r="F771" s="4">
        <f>IFERROR(IF(C771&gt;0, D771/C771, 0),"-")</f>
        <v>1</v>
      </c>
      <c r="G771" s="34" t="s">
        <v>959</v>
      </c>
      <c r="H771" s="35" t="s">
        <v>959</v>
      </c>
      <c r="I771" s="34" t="str">
        <f>IF(OR(H771="-",H771="",H771=0),IF(G771="-","-",G771),G771-H771)</f>
        <v>-</v>
      </c>
      <c r="J771" s="4" t="str">
        <f>IFERROR(IF(G771&gt;0, H771/G771, 0),"-")</f>
        <v>-</v>
      </c>
      <c r="K771" s="34" t="s">
        <v>959</v>
      </c>
      <c r="L771" s="35" t="s">
        <v>959</v>
      </c>
      <c r="M771" s="34" t="str">
        <f>IF(OR(L771="-",L771="",L771=0),IF(K771="-","-",K771),K771-L771)</f>
        <v>-</v>
      </c>
      <c r="N771" s="4" t="str">
        <f>IFERROR(IF(K771&gt;0, L771/K771, 0),"-")</f>
        <v>-</v>
      </c>
      <c r="O771" s="34" t="s">
        <v>959</v>
      </c>
      <c r="P771" s="35" t="s">
        <v>959</v>
      </c>
      <c r="Q771" s="34" t="str">
        <f>IF(OR(P771="-",P771="",P771=0),IF(O771="-","-",O771),O771-P771)</f>
        <v>-</v>
      </c>
      <c r="R771" s="4" t="str">
        <f>IFERROR(IF(O771&gt;0, P771/O771, 0),"-")</f>
        <v>-</v>
      </c>
      <c r="S771" s="34" t="s">
        <v>959</v>
      </c>
      <c r="T771" s="34" t="s">
        <v>959</v>
      </c>
      <c r="U771" s="34" t="s">
        <v>959</v>
      </c>
      <c r="V771" s="35" t="s">
        <v>959</v>
      </c>
      <c r="W771" s="35" t="s">
        <v>959</v>
      </c>
    </row>
    <row r="772" spans="1:23" x14ac:dyDescent="0.2">
      <c r="A772" s="30" t="s">
        <v>209</v>
      </c>
      <c r="B772" s="30" t="s">
        <v>1438</v>
      </c>
      <c r="C772" s="34">
        <v>208</v>
      </c>
      <c r="D772" s="35">
        <v>204</v>
      </c>
      <c r="E772" s="34">
        <f>IF(OR(D772="-",D772="",D772=0),IF(C772="-","-",C772),C772-D772)</f>
        <v>4</v>
      </c>
      <c r="F772" s="4">
        <f>IFERROR(IF(C772&gt;0, D772/C772, 0),"-")</f>
        <v>0.98076923076923073</v>
      </c>
      <c r="G772" s="34">
        <v>5</v>
      </c>
      <c r="H772" s="35">
        <v>1</v>
      </c>
      <c r="I772" s="34">
        <f>IF(OR(H772="-",H772="",H772=0),IF(G772="-","-",G772),G772-H772)</f>
        <v>4</v>
      </c>
      <c r="J772" s="4">
        <f>IFERROR(IF(G772&gt;0, H772/G772, 0),"-")</f>
        <v>0.2</v>
      </c>
      <c r="K772" s="34">
        <v>3</v>
      </c>
      <c r="L772" s="35">
        <v>1</v>
      </c>
      <c r="M772" s="34">
        <f>IF(OR(L772="-",L772="",L772=0),IF(K772="-","-",K772),K772-L772)</f>
        <v>2</v>
      </c>
      <c r="N772" s="4">
        <f>IFERROR(IF(K772&gt;0, L772/K772, 0),"-")</f>
        <v>0.33333333333333331</v>
      </c>
      <c r="O772" s="34">
        <v>3</v>
      </c>
      <c r="P772" s="35">
        <v>2</v>
      </c>
      <c r="Q772" s="34">
        <f>IF(OR(P772="-",P772="",P772=0),IF(O772="-","-",O772),O772-P772)</f>
        <v>1</v>
      </c>
      <c r="R772" s="4">
        <f>IFERROR(IF(O772&gt;0, P772/O772, 0),"-")</f>
        <v>0.66666666666666663</v>
      </c>
      <c r="S772" s="34">
        <v>177</v>
      </c>
      <c r="T772" s="34">
        <v>5</v>
      </c>
      <c r="U772" s="34">
        <v>15810</v>
      </c>
      <c r="V772" s="35">
        <v>4</v>
      </c>
      <c r="W772" s="35">
        <v>55765</v>
      </c>
    </row>
    <row r="773" spans="1:23" x14ac:dyDescent="0.2">
      <c r="A773" s="30" t="s">
        <v>212</v>
      </c>
      <c r="B773" s="30" t="s">
        <v>1439</v>
      </c>
      <c r="C773" s="34">
        <v>235</v>
      </c>
      <c r="D773" s="35">
        <v>233</v>
      </c>
      <c r="E773" s="34">
        <f>IF(OR(D773="-",D773="",D773=0),IF(C773="-","-",C773),C773-D773)</f>
        <v>2</v>
      </c>
      <c r="F773" s="4">
        <f>IFERROR(IF(C773&gt;0, D773/C773, 0),"-")</f>
        <v>0.99148936170212765</v>
      </c>
      <c r="G773" s="34">
        <v>2</v>
      </c>
      <c r="H773" s="35">
        <v>2</v>
      </c>
      <c r="I773" s="34">
        <f>IF(OR(H773="-",H773="",H773=0),IF(G773="-","-",G773),G773-H773)</f>
        <v>0</v>
      </c>
      <c r="J773" s="4">
        <f>IFERROR(IF(G773&gt;0, H773/G773, 0),"-")</f>
        <v>1</v>
      </c>
      <c r="K773" s="34" t="s">
        <v>959</v>
      </c>
      <c r="L773" s="35" t="s">
        <v>959</v>
      </c>
      <c r="M773" s="34" t="str">
        <f>IF(OR(L773="-",L773="",L773=0),IF(K773="-","-",K773),K773-L773)</f>
        <v>-</v>
      </c>
      <c r="N773" s="4" t="str">
        <f>IFERROR(IF(K773&gt;0, L773/K773, 0),"-")</f>
        <v>-</v>
      </c>
      <c r="O773" s="34">
        <v>5</v>
      </c>
      <c r="P773" s="35">
        <v>2</v>
      </c>
      <c r="Q773" s="34">
        <f>IF(OR(P773="-",P773="",P773=0),IF(O773="-","-",O773),O773-P773)</f>
        <v>3</v>
      </c>
      <c r="R773" s="4">
        <f>IFERROR(IF(O773&gt;0, P773/O773, 0),"-")</f>
        <v>0.4</v>
      </c>
      <c r="S773" s="34">
        <v>416</v>
      </c>
      <c r="T773" s="34">
        <v>3</v>
      </c>
      <c r="U773" s="34">
        <v>12125</v>
      </c>
      <c r="V773" s="35">
        <v>9</v>
      </c>
      <c r="W773" s="35">
        <v>121297</v>
      </c>
    </row>
    <row r="774" spans="1:23" x14ac:dyDescent="0.2">
      <c r="A774" s="30" t="s">
        <v>211</v>
      </c>
      <c r="B774" s="30" t="s">
        <v>1437</v>
      </c>
      <c r="C774" s="34">
        <v>209</v>
      </c>
      <c r="D774" s="35">
        <v>207</v>
      </c>
      <c r="E774" s="34">
        <f>IF(OR(D774="-",D774="",D774=0),IF(C774="-","-",C774),C774-D774)</f>
        <v>2</v>
      </c>
      <c r="F774" s="4">
        <f>IFERROR(IF(C774&gt;0, D774/C774, 0),"-")</f>
        <v>0.99043062200956933</v>
      </c>
      <c r="G774" s="34">
        <v>1</v>
      </c>
      <c r="H774" s="35" t="s">
        <v>959</v>
      </c>
      <c r="I774" s="34">
        <f>IF(OR(H774="-",H774="",H774=0),IF(G774="-","-",G774),G774-H774)</f>
        <v>1</v>
      </c>
      <c r="J774" s="4" t="str">
        <f>IFERROR(IF(G774&gt;0, H774/G774, 0),"-")</f>
        <v>-</v>
      </c>
      <c r="K774" s="34">
        <v>1</v>
      </c>
      <c r="L774" s="35">
        <v>1</v>
      </c>
      <c r="M774" s="34">
        <f>IF(OR(L774="-",L774="",L774=0),IF(K774="-","-",K774),K774-L774)</f>
        <v>0</v>
      </c>
      <c r="N774" s="4">
        <f>IFERROR(IF(K774&gt;0, L774/K774, 0),"-")</f>
        <v>1</v>
      </c>
      <c r="O774" s="34" t="s">
        <v>959</v>
      </c>
      <c r="P774" s="35" t="s">
        <v>959</v>
      </c>
      <c r="Q774" s="34" t="str">
        <f>IF(OR(P774="-",P774="",P774=0),IF(O774="-","-",O774),O774-P774)</f>
        <v>-</v>
      </c>
      <c r="R774" s="4" t="str">
        <f>IFERROR(IF(O774&gt;0, P774/O774, 0),"-")</f>
        <v>-</v>
      </c>
      <c r="S774" s="34">
        <v>355</v>
      </c>
      <c r="T774" s="34" t="s">
        <v>959</v>
      </c>
      <c r="U774" s="34" t="s">
        <v>959</v>
      </c>
      <c r="V774" s="35">
        <v>2</v>
      </c>
      <c r="W774" s="35">
        <v>27930</v>
      </c>
    </row>
    <row r="775" spans="1:23" x14ac:dyDescent="0.2">
      <c r="A775" s="30" t="s">
        <v>210</v>
      </c>
      <c r="B775" s="30" t="s">
        <v>1440</v>
      </c>
      <c r="C775" s="34">
        <v>230</v>
      </c>
      <c r="D775" s="35">
        <v>224</v>
      </c>
      <c r="E775" s="34">
        <f>IF(OR(D775="-",D775="",D775=0),IF(C775="-","-",C775),C775-D775)</f>
        <v>6</v>
      </c>
      <c r="F775" s="4">
        <f>IFERROR(IF(C775&gt;0, D775/C775, 0),"-")</f>
        <v>0.97391304347826091</v>
      </c>
      <c r="G775" s="34">
        <v>1</v>
      </c>
      <c r="H775" s="35" t="s">
        <v>959</v>
      </c>
      <c r="I775" s="34">
        <f>IF(OR(H775="-",H775="",H775=0),IF(G775="-","-",G775),G775-H775)</f>
        <v>1</v>
      </c>
      <c r="J775" s="4" t="str">
        <f>IFERROR(IF(G775&gt;0, H775/G775, 0),"-")</f>
        <v>-</v>
      </c>
      <c r="K775" s="34">
        <v>1</v>
      </c>
      <c r="L775" s="35" t="s">
        <v>959</v>
      </c>
      <c r="M775" s="34">
        <f>IF(OR(L775="-",L775="",L775=0),IF(K775="-","-",K775),K775-L775)</f>
        <v>1</v>
      </c>
      <c r="N775" s="4" t="str">
        <f>IFERROR(IF(K775&gt;0, L775/K775, 0),"-")</f>
        <v>-</v>
      </c>
      <c r="O775" s="34">
        <v>2</v>
      </c>
      <c r="P775" s="35">
        <v>1</v>
      </c>
      <c r="Q775" s="34">
        <f>IF(OR(P775="-",P775="",P775=0),IF(O775="-","-",O775),O775-P775)</f>
        <v>1</v>
      </c>
      <c r="R775" s="4">
        <f>IFERROR(IF(O775&gt;0, P775/O775, 0),"-")</f>
        <v>0.5</v>
      </c>
      <c r="S775" s="34">
        <v>148</v>
      </c>
      <c r="T775" s="34" t="s">
        <v>959</v>
      </c>
      <c r="U775" s="34" t="s">
        <v>959</v>
      </c>
      <c r="V775" s="35" t="s">
        <v>959</v>
      </c>
      <c r="W775" s="35" t="s">
        <v>959</v>
      </c>
    </row>
    <row r="776" spans="1:23" x14ac:dyDescent="0.2">
      <c r="A776" s="30" t="s">
        <v>215</v>
      </c>
      <c r="B776" s="30" t="s">
        <v>1441</v>
      </c>
      <c r="C776" s="34">
        <v>65</v>
      </c>
      <c r="D776" s="35">
        <v>65</v>
      </c>
      <c r="E776" s="34">
        <f>IF(OR(D776="-",D776="",D776=0),IF(C776="-","-",C776),C776-D776)</f>
        <v>0</v>
      </c>
      <c r="F776" s="4">
        <f>IFERROR(IF(C776&gt;0, D776/C776, 0),"-")</f>
        <v>1</v>
      </c>
      <c r="G776" s="34">
        <v>1</v>
      </c>
      <c r="H776" s="35">
        <v>1</v>
      </c>
      <c r="I776" s="34">
        <f>IF(OR(H776="-",H776="",H776=0),IF(G776="-","-",G776),G776-H776)</f>
        <v>0</v>
      </c>
      <c r="J776" s="4">
        <f>IFERROR(IF(G776&gt;0, H776/G776, 0),"-")</f>
        <v>1</v>
      </c>
      <c r="K776" s="34" t="s">
        <v>959</v>
      </c>
      <c r="L776" s="35" t="s">
        <v>959</v>
      </c>
      <c r="M776" s="34" t="str">
        <f>IF(OR(L776="-",L776="",L776=0),IF(K776="-","-",K776),K776-L776)</f>
        <v>-</v>
      </c>
      <c r="N776" s="4" t="str">
        <f>IFERROR(IF(K776&gt;0, L776/K776, 0),"-")</f>
        <v>-</v>
      </c>
      <c r="O776" s="34">
        <v>1</v>
      </c>
      <c r="P776" s="35" t="s">
        <v>959</v>
      </c>
      <c r="Q776" s="34">
        <f>IF(OR(P776="-",P776="",P776=0),IF(O776="-","-",O776),O776-P776)</f>
        <v>1</v>
      </c>
      <c r="R776" s="4" t="str">
        <f>IFERROR(IF(O776&gt;0, P776/O776, 0),"-")</f>
        <v>-</v>
      </c>
      <c r="S776" s="34">
        <v>587</v>
      </c>
      <c r="T776" s="34">
        <v>5</v>
      </c>
      <c r="U776" s="34">
        <v>16175</v>
      </c>
      <c r="V776" s="35">
        <v>2</v>
      </c>
      <c r="W776" s="35">
        <v>60574</v>
      </c>
    </row>
    <row r="777" spans="1:23" x14ac:dyDescent="0.2">
      <c r="A777" s="30" t="s">
        <v>214</v>
      </c>
      <c r="B777" s="30" t="s">
        <v>1442</v>
      </c>
      <c r="C777" s="34">
        <v>154</v>
      </c>
      <c r="D777" s="35">
        <v>153</v>
      </c>
      <c r="E777" s="34">
        <f>IF(OR(D777="-",D777="",D777=0),IF(C777="-","-",C777),C777-D777)</f>
        <v>1</v>
      </c>
      <c r="F777" s="4">
        <f>IFERROR(IF(C777&gt;0, D777/C777, 0),"-")</f>
        <v>0.99350649350649356</v>
      </c>
      <c r="G777" s="34">
        <v>3</v>
      </c>
      <c r="H777" s="35">
        <v>2</v>
      </c>
      <c r="I777" s="34">
        <f>IF(OR(H777="-",H777="",H777=0),IF(G777="-","-",G777),G777-H777)</f>
        <v>1</v>
      </c>
      <c r="J777" s="4">
        <f>IFERROR(IF(G777&gt;0, H777/G777, 0),"-")</f>
        <v>0.66666666666666663</v>
      </c>
      <c r="K777" s="34">
        <v>1</v>
      </c>
      <c r="L777" s="35">
        <v>1</v>
      </c>
      <c r="M777" s="34">
        <f>IF(OR(L777="-",L777="",L777=0),IF(K777="-","-",K777),K777-L777)</f>
        <v>0</v>
      </c>
      <c r="N777" s="4">
        <f>IFERROR(IF(K777&gt;0, L777/K777, 0),"-")</f>
        <v>1</v>
      </c>
      <c r="O777" s="34">
        <v>1</v>
      </c>
      <c r="P777" s="35">
        <v>1</v>
      </c>
      <c r="Q777" s="34">
        <f>IF(OR(P777="-",P777="",P777=0),IF(O777="-","-",O777),O777-P777)</f>
        <v>0</v>
      </c>
      <c r="R777" s="4">
        <f>IFERROR(IF(O777&gt;0, P777/O777, 0),"-")</f>
        <v>1</v>
      </c>
      <c r="S777" s="34">
        <v>171</v>
      </c>
      <c r="T777" s="34">
        <v>5</v>
      </c>
      <c r="U777" s="34">
        <v>9740</v>
      </c>
      <c r="V777" s="35">
        <v>2</v>
      </c>
      <c r="W777" s="35">
        <v>27461</v>
      </c>
    </row>
    <row r="778" spans="1:23" x14ac:dyDescent="0.2">
      <c r="A778" s="30" t="s">
        <v>208</v>
      </c>
      <c r="B778" s="30" t="s">
        <v>1443</v>
      </c>
      <c r="C778" s="34">
        <v>205</v>
      </c>
      <c r="D778" s="35">
        <v>202</v>
      </c>
      <c r="E778" s="34">
        <f>IF(OR(D778="-",D778="",D778=0),IF(C778="-","-",C778),C778-D778)</f>
        <v>3</v>
      </c>
      <c r="F778" s="4">
        <f>IFERROR(IF(C778&gt;0, D778/C778, 0),"-")</f>
        <v>0.98536585365853657</v>
      </c>
      <c r="G778" s="34">
        <v>3</v>
      </c>
      <c r="H778" s="35">
        <v>2</v>
      </c>
      <c r="I778" s="34">
        <f>IF(OR(H778="-",H778="",H778=0),IF(G778="-","-",G778),G778-H778)</f>
        <v>1</v>
      </c>
      <c r="J778" s="4">
        <f>IFERROR(IF(G778&gt;0, H778/G778, 0),"-")</f>
        <v>0.66666666666666663</v>
      </c>
      <c r="K778" s="34">
        <v>2</v>
      </c>
      <c r="L778" s="35">
        <v>1</v>
      </c>
      <c r="M778" s="34">
        <f>IF(OR(L778="-",L778="",L778=0),IF(K778="-","-",K778),K778-L778)</f>
        <v>1</v>
      </c>
      <c r="N778" s="4">
        <f>IFERROR(IF(K778&gt;0, L778/K778, 0),"-")</f>
        <v>0.5</v>
      </c>
      <c r="O778" s="34">
        <v>2</v>
      </c>
      <c r="P778" s="35">
        <v>1</v>
      </c>
      <c r="Q778" s="34">
        <f>IF(OR(P778="-",P778="",P778=0),IF(O778="-","-",O778),O778-P778)</f>
        <v>1</v>
      </c>
      <c r="R778" s="4">
        <f>IFERROR(IF(O778&gt;0, P778/O778, 0),"-")</f>
        <v>0.5</v>
      </c>
      <c r="S778" s="34">
        <v>252</v>
      </c>
      <c r="T778" s="34">
        <v>2</v>
      </c>
      <c r="U778" s="34">
        <v>10783</v>
      </c>
      <c r="V778" s="35">
        <v>5</v>
      </c>
      <c r="W778" s="35">
        <v>86621</v>
      </c>
    </row>
    <row r="779" spans="1:23" x14ac:dyDescent="0.2">
      <c r="A779" s="29"/>
      <c r="B779" s="29" t="s">
        <v>58</v>
      </c>
      <c r="C779" s="32">
        <v>763</v>
      </c>
      <c r="D779" s="32">
        <v>751</v>
      </c>
      <c r="E779" s="32">
        <f>IF(OR(D779="-",D779="",D779=0),IF(C779="-","-",C779),C779-D779)</f>
        <v>12</v>
      </c>
      <c r="F779" s="36">
        <f>IFERROR(IF(C779&gt;0, D779/C779, 0),"-")</f>
        <v>0.98427260812581918</v>
      </c>
      <c r="G779" s="32">
        <v>7</v>
      </c>
      <c r="H779" s="32">
        <v>3</v>
      </c>
      <c r="I779" s="32">
        <f>IF(OR(H779="-",H779="",H779=0),IF(G779="-","-",G779),G779-H779)</f>
        <v>4</v>
      </c>
      <c r="J779" s="36">
        <f>IFERROR(IF(G779&gt;0, H779/G779, 0),"-")</f>
        <v>0.42857142857142855</v>
      </c>
      <c r="K779" s="32">
        <v>6</v>
      </c>
      <c r="L779" s="32" t="s">
        <v>959</v>
      </c>
      <c r="M779" s="32">
        <f>IF(OR(L779="-",L779="",L779=0),IF(K779="-","-",K779),K779-L779)</f>
        <v>6</v>
      </c>
      <c r="N779" s="36" t="str">
        <f>IFERROR(IF(K779&gt;0, L779/K779, 0),"-")</f>
        <v>-</v>
      </c>
      <c r="O779" s="32">
        <v>4</v>
      </c>
      <c r="P779" s="32">
        <v>1</v>
      </c>
      <c r="Q779" s="32">
        <f>IF(OR(P779="-",P779="",P779=0),IF(O779="-","-",O779),O779-P779)</f>
        <v>3</v>
      </c>
      <c r="R779" s="36">
        <f>IFERROR(IF(O779&gt;0, P779/O779, 0),"-")</f>
        <v>0.25</v>
      </c>
      <c r="S779" s="32">
        <v>490</v>
      </c>
      <c r="T779" s="32">
        <v>7</v>
      </c>
      <c r="U779" s="32">
        <v>28770</v>
      </c>
      <c r="V779" s="32">
        <v>3</v>
      </c>
      <c r="W779" s="32">
        <v>46782</v>
      </c>
    </row>
    <row r="780" spans="1:23" x14ac:dyDescent="0.2">
      <c r="A780" s="30" t="s">
        <v>361</v>
      </c>
      <c r="B780" s="30" t="s">
        <v>989</v>
      </c>
      <c r="C780" s="34">
        <v>179</v>
      </c>
      <c r="D780" s="35">
        <v>177</v>
      </c>
      <c r="E780" s="34">
        <f>IF(OR(D780="-",D780="",D780=0),IF(C780="-","-",C780),C780-D780)</f>
        <v>2</v>
      </c>
      <c r="F780" s="4">
        <f>IFERROR(IF(C780&gt;0, D780/C780, 0),"-")</f>
        <v>0.98882681564245811</v>
      </c>
      <c r="G780" s="34" t="s">
        <v>959</v>
      </c>
      <c r="H780" s="35" t="s">
        <v>959</v>
      </c>
      <c r="I780" s="34" t="str">
        <f>IF(OR(H780="-",H780="",H780=0),IF(G780="-","-",G780),G780-H780)</f>
        <v>-</v>
      </c>
      <c r="J780" s="4" t="str">
        <f>IFERROR(IF(G780&gt;0, H780/G780, 0),"-")</f>
        <v>-</v>
      </c>
      <c r="K780" s="34">
        <v>1</v>
      </c>
      <c r="L780" s="35" t="s">
        <v>959</v>
      </c>
      <c r="M780" s="34">
        <f>IF(OR(L780="-",L780="",L780=0),IF(K780="-","-",K780),K780-L780)</f>
        <v>1</v>
      </c>
      <c r="N780" s="4" t="str">
        <f>IFERROR(IF(K780&gt;0, L780/K780, 0),"-")</f>
        <v>-</v>
      </c>
      <c r="O780" s="34">
        <v>1</v>
      </c>
      <c r="P780" s="35">
        <v>1</v>
      </c>
      <c r="Q780" s="34">
        <f>IF(OR(P780="-",P780="",P780=0),IF(O780="-","-",O780),O780-P780)</f>
        <v>0</v>
      </c>
      <c r="R780" s="4">
        <f>IFERROR(IF(O780&gt;0, P780/O780, 0),"-")</f>
        <v>1</v>
      </c>
      <c r="S780" s="34">
        <v>89</v>
      </c>
      <c r="T780" s="34">
        <v>1</v>
      </c>
      <c r="U780" s="34">
        <v>2695</v>
      </c>
      <c r="V780" s="35">
        <v>1</v>
      </c>
      <c r="W780" s="35">
        <v>16805</v>
      </c>
    </row>
    <row r="781" spans="1:23" x14ac:dyDescent="0.2">
      <c r="A781" s="30" t="s">
        <v>358</v>
      </c>
      <c r="B781" s="30" t="s">
        <v>1444</v>
      </c>
      <c r="C781" s="34">
        <v>234</v>
      </c>
      <c r="D781" s="35">
        <v>228</v>
      </c>
      <c r="E781" s="34">
        <f>IF(OR(D781="-",D781="",D781=0),IF(C781="-","-",C781),C781-D781)</f>
        <v>6</v>
      </c>
      <c r="F781" s="4">
        <f>IFERROR(IF(C781&gt;0, D781/C781, 0),"-")</f>
        <v>0.97435897435897434</v>
      </c>
      <c r="G781" s="34">
        <v>1</v>
      </c>
      <c r="H781" s="35" t="s">
        <v>959</v>
      </c>
      <c r="I781" s="34">
        <f>IF(OR(H781="-",H781="",H781=0),IF(G781="-","-",G781),G781-H781)</f>
        <v>1</v>
      </c>
      <c r="J781" s="4" t="str">
        <f>IFERROR(IF(G781&gt;0, H781/G781, 0),"-")</f>
        <v>-</v>
      </c>
      <c r="K781" s="34">
        <v>1</v>
      </c>
      <c r="L781" s="35" t="s">
        <v>959</v>
      </c>
      <c r="M781" s="34">
        <f>IF(OR(L781="-",L781="",L781=0),IF(K781="-","-",K781),K781-L781)</f>
        <v>1</v>
      </c>
      <c r="N781" s="4" t="str">
        <f>IFERROR(IF(K781&gt;0, L781/K781, 0),"-")</f>
        <v>-</v>
      </c>
      <c r="O781" s="34" t="s">
        <v>959</v>
      </c>
      <c r="P781" s="35" t="s">
        <v>959</v>
      </c>
      <c r="Q781" s="34" t="str">
        <f>IF(OR(P781="-",P781="",P781=0),IF(O781="-","-",O781),O781-P781)</f>
        <v>-</v>
      </c>
      <c r="R781" s="4" t="str">
        <f>IFERROR(IF(O781&gt;0, P781/O781, 0),"-")</f>
        <v>-</v>
      </c>
      <c r="S781" s="34">
        <v>124</v>
      </c>
      <c r="T781" s="34">
        <v>1</v>
      </c>
      <c r="U781" s="34">
        <v>4050</v>
      </c>
      <c r="V781" s="35">
        <v>1</v>
      </c>
      <c r="W781" s="35">
        <v>5121</v>
      </c>
    </row>
    <row r="782" spans="1:23" x14ac:dyDescent="0.2">
      <c r="A782" s="30" t="s">
        <v>357</v>
      </c>
      <c r="B782" s="30" t="s">
        <v>1445</v>
      </c>
      <c r="C782" s="34">
        <v>128</v>
      </c>
      <c r="D782" s="35">
        <v>126</v>
      </c>
      <c r="E782" s="34">
        <f>IF(OR(D782="-",D782="",D782=0),IF(C782="-","-",C782),C782-D782)</f>
        <v>2</v>
      </c>
      <c r="F782" s="4">
        <f>IFERROR(IF(C782&gt;0, D782/C782, 0),"-")</f>
        <v>0.984375</v>
      </c>
      <c r="G782" s="34" t="s">
        <v>959</v>
      </c>
      <c r="H782" s="35" t="s">
        <v>959</v>
      </c>
      <c r="I782" s="34" t="str">
        <f>IF(OR(H782="-",H782="",H782=0),IF(G782="-","-",G782),G782-H782)</f>
        <v>-</v>
      </c>
      <c r="J782" s="4" t="str">
        <f>IFERROR(IF(G782&gt;0, H782/G782, 0),"-")</f>
        <v>-</v>
      </c>
      <c r="K782" s="34">
        <v>1</v>
      </c>
      <c r="L782" s="35" t="s">
        <v>959</v>
      </c>
      <c r="M782" s="34">
        <f>IF(OR(L782="-",L782="",L782=0),IF(K782="-","-",K782),K782-L782)</f>
        <v>1</v>
      </c>
      <c r="N782" s="4" t="str">
        <f>IFERROR(IF(K782&gt;0, L782/K782, 0),"-")</f>
        <v>-</v>
      </c>
      <c r="O782" s="34">
        <v>2</v>
      </c>
      <c r="P782" s="35" t="s">
        <v>959</v>
      </c>
      <c r="Q782" s="34">
        <f>IF(OR(P782="-",P782="",P782=0),IF(O782="-","-",O782),O782-P782)</f>
        <v>2</v>
      </c>
      <c r="R782" s="4" t="str">
        <f>IFERROR(IF(O782&gt;0, P782/O782, 0),"-")</f>
        <v>-</v>
      </c>
      <c r="S782" s="34">
        <v>48</v>
      </c>
      <c r="T782" s="34" t="s">
        <v>959</v>
      </c>
      <c r="U782" s="34" t="s">
        <v>959</v>
      </c>
      <c r="V782" s="35" t="s">
        <v>959</v>
      </c>
      <c r="W782" s="35" t="s">
        <v>959</v>
      </c>
    </row>
    <row r="783" spans="1:23" x14ac:dyDescent="0.2">
      <c r="A783" s="30" t="s">
        <v>360</v>
      </c>
      <c r="B783" s="30" t="s">
        <v>1446</v>
      </c>
      <c r="C783" s="34">
        <v>127</v>
      </c>
      <c r="D783" s="35">
        <v>127</v>
      </c>
      <c r="E783" s="34">
        <f>IF(OR(D783="-",D783="",D783=0),IF(C783="-","-",C783),C783-D783)</f>
        <v>0</v>
      </c>
      <c r="F783" s="4">
        <f>IFERROR(IF(C783&gt;0, D783/C783, 0),"-")</f>
        <v>1</v>
      </c>
      <c r="G783" s="34">
        <v>3</v>
      </c>
      <c r="H783" s="35">
        <v>1</v>
      </c>
      <c r="I783" s="34">
        <f>IF(OR(H783="-",H783="",H783=0),IF(G783="-","-",G783),G783-H783)</f>
        <v>2</v>
      </c>
      <c r="J783" s="4">
        <f>IFERROR(IF(G783&gt;0, H783/G783, 0),"-")</f>
        <v>0.33333333333333331</v>
      </c>
      <c r="K783" s="34">
        <v>1</v>
      </c>
      <c r="L783" s="35" t="s">
        <v>959</v>
      </c>
      <c r="M783" s="34">
        <f>IF(OR(L783="-",L783="",L783=0),IF(K783="-","-",K783),K783-L783)</f>
        <v>1</v>
      </c>
      <c r="N783" s="4" t="str">
        <f>IFERROR(IF(K783&gt;0, L783/K783, 0),"-")</f>
        <v>-</v>
      </c>
      <c r="O783" s="34" t="s">
        <v>959</v>
      </c>
      <c r="P783" s="35" t="s">
        <v>959</v>
      </c>
      <c r="Q783" s="34" t="str">
        <f>IF(OR(P783="-",P783="",P783=0),IF(O783="-","-",O783),O783-P783)</f>
        <v>-</v>
      </c>
      <c r="R783" s="4" t="str">
        <f>IFERROR(IF(O783&gt;0, P783/O783, 0),"-")</f>
        <v>-</v>
      </c>
      <c r="S783" s="34">
        <v>141</v>
      </c>
      <c r="T783" s="34">
        <v>5</v>
      </c>
      <c r="U783" s="34">
        <v>22025</v>
      </c>
      <c r="V783" s="35" t="s">
        <v>959</v>
      </c>
      <c r="W783" s="35" t="s">
        <v>959</v>
      </c>
    </row>
    <row r="784" spans="1:23" x14ac:dyDescent="0.2">
      <c r="A784" s="30" t="s">
        <v>367</v>
      </c>
      <c r="B784" s="30" t="s">
        <v>1447</v>
      </c>
      <c r="C784" s="34" t="s">
        <v>959</v>
      </c>
      <c r="D784" s="35" t="s">
        <v>959</v>
      </c>
      <c r="E784" s="34" t="str">
        <f>IF(OR(D784="-",D784="",D784=0),IF(C784="-","-",C784),C784-D784)</f>
        <v>-</v>
      </c>
      <c r="F784" s="4" t="str">
        <f>IFERROR(IF(C784&gt;0, D784/C784, 0),"-")</f>
        <v>-</v>
      </c>
      <c r="G784" s="34" t="s">
        <v>959</v>
      </c>
      <c r="H784" s="35" t="s">
        <v>959</v>
      </c>
      <c r="I784" s="34" t="str">
        <f>IF(OR(H784="-",H784="",H784=0),IF(G784="-","-",G784),G784-H784)</f>
        <v>-</v>
      </c>
      <c r="J784" s="4" t="str">
        <f>IFERROR(IF(G784&gt;0, H784/G784, 0),"-")</f>
        <v>-</v>
      </c>
      <c r="K784" s="34" t="s">
        <v>959</v>
      </c>
      <c r="L784" s="35" t="s">
        <v>959</v>
      </c>
      <c r="M784" s="34" t="str">
        <f>IF(OR(L784="-",L784="",L784=0),IF(K784="-","-",K784),K784-L784)</f>
        <v>-</v>
      </c>
      <c r="N784" s="4" t="str">
        <f>IFERROR(IF(K784&gt;0, L784/K784, 0),"-")</f>
        <v>-</v>
      </c>
      <c r="O784" s="34" t="s">
        <v>959</v>
      </c>
      <c r="P784" s="35" t="s">
        <v>959</v>
      </c>
      <c r="Q784" s="34" t="str">
        <f>IF(OR(P784="-",P784="",P784=0),IF(O784="-","-",O784),O784-P784)</f>
        <v>-</v>
      </c>
      <c r="R784" s="4" t="str">
        <f>IFERROR(IF(O784&gt;0, P784/O784, 0),"-")</f>
        <v>-</v>
      </c>
      <c r="S784" s="34">
        <v>1</v>
      </c>
      <c r="T784" s="34" t="s">
        <v>959</v>
      </c>
      <c r="U784" s="34" t="s">
        <v>959</v>
      </c>
      <c r="V784" s="35" t="s">
        <v>959</v>
      </c>
      <c r="W784" s="35" t="s">
        <v>959</v>
      </c>
    </row>
    <row r="785" spans="1:23" x14ac:dyDescent="0.2">
      <c r="A785" s="30" t="s">
        <v>359</v>
      </c>
      <c r="B785" s="30" t="s">
        <v>1448</v>
      </c>
      <c r="C785" s="34">
        <v>95</v>
      </c>
      <c r="D785" s="35">
        <v>93</v>
      </c>
      <c r="E785" s="34">
        <f>IF(OR(D785="-",D785="",D785=0),IF(C785="-","-",C785),C785-D785)</f>
        <v>2</v>
      </c>
      <c r="F785" s="4">
        <f>IFERROR(IF(C785&gt;0, D785/C785, 0),"-")</f>
        <v>0.97894736842105268</v>
      </c>
      <c r="G785" s="34">
        <v>3</v>
      </c>
      <c r="H785" s="35">
        <v>2</v>
      </c>
      <c r="I785" s="34">
        <f>IF(OR(H785="-",H785="",H785=0),IF(G785="-","-",G785),G785-H785)</f>
        <v>1</v>
      </c>
      <c r="J785" s="4">
        <f>IFERROR(IF(G785&gt;0, H785/G785, 0),"-")</f>
        <v>0.66666666666666663</v>
      </c>
      <c r="K785" s="34">
        <v>2</v>
      </c>
      <c r="L785" s="35" t="s">
        <v>959</v>
      </c>
      <c r="M785" s="34">
        <f>IF(OR(L785="-",L785="",L785=0),IF(K785="-","-",K785),K785-L785)</f>
        <v>2</v>
      </c>
      <c r="N785" s="4" t="str">
        <f>IFERROR(IF(K785&gt;0, L785/K785, 0),"-")</f>
        <v>-</v>
      </c>
      <c r="O785" s="34">
        <v>1</v>
      </c>
      <c r="P785" s="35" t="s">
        <v>959</v>
      </c>
      <c r="Q785" s="34">
        <f>IF(OR(P785="-",P785="",P785=0),IF(O785="-","-",O785),O785-P785)</f>
        <v>1</v>
      </c>
      <c r="R785" s="4" t="str">
        <f>IFERROR(IF(O785&gt;0, P785/O785, 0),"-")</f>
        <v>-</v>
      </c>
      <c r="S785" s="34">
        <v>87</v>
      </c>
      <c r="T785" s="34" t="s">
        <v>959</v>
      </c>
      <c r="U785" s="34" t="s">
        <v>959</v>
      </c>
      <c r="V785" s="35">
        <v>1</v>
      </c>
      <c r="W785" s="35">
        <v>24856</v>
      </c>
    </row>
    <row r="786" spans="1:23" x14ac:dyDescent="0.2">
      <c r="A786" s="29"/>
      <c r="B786" s="29" t="s">
        <v>43</v>
      </c>
      <c r="C786" s="32">
        <v>1182</v>
      </c>
      <c r="D786" s="32">
        <v>1167</v>
      </c>
      <c r="E786" s="32">
        <f>IF(OR(D786="-",D786="",D786=0),IF(C786="-","-",C786),C786-D786)</f>
        <v>15</v>
      </c>
      <c r="F786" s="36">
        <f>IFERROR(IF(C786&gt;0, D786/C786, 0),"-")</f>
        <v>0.98730964467005078</v>
      </c>
      <c r="G786" s="32">
        <v>13</v>
      </c>
      <c r="H786" s="32">
        <v>5</v>
      </c>
      <c r="I786" s="32">
        <f>IF(OR(H786="-",H786="",H786=0),IF(G786="-","-",G786),G786-H786)</f>
        <v>8</v>
      </c>
      <c r="J786" s="36">
        <f>IFERROR(IF(G786&gt;0, H786/G786, 0),"-")</f>
        <v>0.38461538461538464</v>
      </c>
      <c r="K786" s="32">
        <v>7</v>
      </c>
      <c r="L786" s="32">
        <v>5</v>
      </c>
      <c r="M786" s="32">
        <f>IF(OR(L786="-",L786="",L786=0),IF(K786="-","-",K786),K786-L786)</f>
        <v>2</v>
      </c>
      <c r="N786" s="36">
        <f>IFERROR(IF(K786&gt;0, L786/K786, 0),"-")</f>
        <v>0.7142857142857143</v>
      </c>
      <c r="O786" s="32">
        <v>15</v>
      </c>
      <c r="P786" s="32">
        <v>5</v>
      </c>
      <c r="Q786" s="32">
        <f>IF(OR(P786="-",P786="",P786=0),IF(O786="-","-",O786),O786-P786)</f>
        <v>10</v>
      </c>
      <c r="R786" s="36">
        <f>IFERROR(IF(O786&gt;0, P786/O786, 0),"-")</f>
        <v>0.33333333333333331</v>
      </c>
      <c r="S786" s="32">
        <v>1089</v>
      </c>
      <c r="T786" s="32">
        <v>8</v>
      </c>
      <c r="U786" s="32">
        <v>42015</v>
      </c>
      <c r="V786" s="32">
        <v>13</v>
      </c>
      <c r="W786" s="32">
        <v>376739</v>
      </c>
    </row>
    <row r="787" spans="1:23" x14ac:dyDescent="0.2">
      <c r="A787" s="30" t="s">
        <v>229</v>
      </c>
      <c r="B787" s="30" t="s">
        <v>1449</v>
      </c>
      <c r="C787" s="34">
        <v>211</v>
      </c>
      <c r="D787" s="35">
        <v>207</v>
      </c>
      <c r="E787" s="34">
        <f>IF(OR(D787="-",D787="",D787=0),IF(C787="-","-",C787),C787-D787)</f>
        <v>4</v>
      </c>
      <c r="F787" s="4">
        <f>IFERROR(IF(C787&gt;0, D787/C787, 0),"-")</f>
        <v>0.98104265402843605</v>
      </c>
      <c r="G787" s="34">
        <v>2</v>
      </c>
      <c r="H787" s="35">
        <v>1</v>
      </c>
      <c r="I787" s="34">
        <f>IF(OR(H787="-",H787="",H787=0),IF(G787="-","-",G787),G787-H787)</f>
        <v>1</v>
      </c>
      <c r="J787" s="4">
        <f>IFERROR(IF(G787&gt;0, H787/G787, 0),"-")</f>
        <v>0.5</v>
      </c>
      <c r="K787" s="34" t="s">
        <v>959</v>
      </c>
      <c r="L787" s="35" t="s">
        <v>959</v>
      </c>
      <c r="M787" s="34" t="str">
        <f>IF(OR(L787="-",L787="",L787=0),IF(K787="-","-",K787),K787-L787)</f>
        <v>-</v>
      </c>
      <c r="N787" s="4" t="str">
        <f>IFERROR(IF(K787&gt;0, L787/K787, 0),"-")</f>
        <v>-</v>
      </c>
      <c r="O787" s="34">
        <v>4</v>
      </c>
      <c r="P787" s="35">
        <v>1</v>
      </c>
      <c r="Q787" s="34">
        <f>IF(OR(P787="-",P787="",P787=0),IF(O787="-","-",O787),O787-P787)</f>
        <v>3</v>
      </c>
      <c r="R787" s="4">
        <f>IFERROR(IF(O787&gt;0, P787/O787, 0),"-")</f>
        <v>0.25</v>
      </c>
      <c r="S787" s="34">
        <v>186</v>
      </c>
      <c r="T787" s="34">
        <v>1</v>
      </c>
      <c r="U787" s="34">
        <v>2700</v>
      </c>
      <c r="V787" s="35">
        <v>2</v>
      </c>
      <c r="W787" s="35">
        <v>51864</v>
      </c>
    </row>
    <row r="788" spans="1:23" x14ac:dyDescent="0.2">
      <c r="A788" s="30" t="s">
        <v>232</v>
      </c>
      <c r="B788" s="30" t="s">
        <v>1450</v>
      </c>
      <c r="C788" s="34">
        <v>173</v>
      </c>
      <c r="D788" s="35">
        <v>172</v>
      </c>
      <c r="E788" s="34">
        <f>IF(OR(D788="-",D788="",D788=0),IF(C788="-","-",C788),C788-D788)</f>
        <v>1</v>
      </c>
      <c r="F788" s="4">
        <f>IFERROR(IF(C788&gt;0, D788/C788, 0),"-")</f>
        <v>0.9942196531791907</v>
      </c>
      <c r="G788" s="34">
        <v>2</v>
      </c>
      <c r="H788" s="35" t="s">
        <v>959</v>
      </c>
      <c r="I788" s="34">
        <f>IF(OR(H788="-",H788="",H788=0),IF(G788="-","-",G788),G788-H788)</f>
        <v>2</v>
      </c>
      <c r="J788" s="4" t="str">
        <f>IFERROR(IF(G788&gt;0, H788/G788, 0),"-")</f>
        <v>-</v>
      </c>
      <c r="K788" s="34" t="s">
        <v>959</v>
      </c>
      <c r="L788" s="35" t="s">
        <v>959</v>
      </c>
      <c r="M788" s="34" t="str">
        <f>IF(OR(L788="-",L788="",L788=0),IF(K788="-","-",K788),K788-L788)</f>
        <v>-</v>
      </c>
      <c r="N788" s="4" t="str">
        <f>IFERROR(IF(K788&gt;0, L788/K788, 0),"-")</f>
        <v>-</v>
      </c>
      <c r="O788" s="34">
        <v>4</v>
      </c>
      <c r="P788" s="35">
        <v>1</v>
      </c>
      <c r="Q788" s="34">
        <f>IF(OR(P788="-",P788="",P788=0),IF(O788="-","-",O788),O788-P788)</f>
        <v>3</v>
      </c>
      <c r="R788" s="4">
        <f>IFERROR(IF(O788&gt;0, P788/O788, 0),"-")</f>
        <v>0.25</v>
      </c>
      <c r="S788" s="34">
        <v>71</v>
      </c>
      <c r="T788" s="34" t="s">
        <v>959</v>
      </c>
      <c r="U788" s="34" t="s">
        <v>959</v>
      </c>
      <c r="V788" s="35" t="s">
        <v>959</v>
      </c>
      <c r="W788" s="35" t="s">
        <v>959</v>
      </c>
    </row>
    <row r="789" spans="1:23" x14ac:dyDescent="0.2">
      <c r="A789" s="30" t="s">
        <v>236</v>
      </c>
      <c r="B789" s="30" t="s">
        <v>1451</v>
      </c>
      <c r="C789" s="34">
        <v>175</v>
      </c>
      <c r="D789" s="35">
        <v>174</v>
      </c>
      <c r="E789" s="34">
        <f>IF(OR(D789="-",D789="",D789=0),IF(C789="-","-",C789),C789-D789)</f>
        <v>1</v>
      </c>
      <c r="F789" s="4">
        <f>IFERROR(IF(C789&gt;0, D789/C789, 0),"-")</f>
        <v>0.99428571428571433</v>
      </c>
      <c r="G789" s="34">
        <v>2</v>
      </c>
      <c r="H789" s="35">
        <v>2</v>
      </c>
      <c r="I789" s="34">
        <f>IF(OR(H789="-",H789="",H789=0),IF(G789="-","-",G789),G789-H789)</f>
        <v>0</v>
      </c>
      <c r="J789" s="4">
        <f>IFERROR(IF(G789&gt;0, H789/G789, 0),"-")</f>
        <v>1</v>
      </c>
      <c r="K789" s="34">
        <v>2</v>
      </c>
      <c r="L789" s="35">
        <v>2</v>
      </c>
      <c r="M789" s="34">
        <f>IF(OR(L789="-",L789="",L789=0),IF(K789="-","-",K789),K789-L789)</f>
        <v>0</v>
      </c>
      <c r="N789" s="4">
        <f>IFERROR(IF(K789&gt;0, L789/K789, 0),"-")</f>
        <v>1</v>
      </c>
      <c r="O789" s="34">
        <v>1</v>
      </c>
      <c r="P789" s="35">
        <v>1</v>
      </c>
      <c r="Q789" s="34">
        <f>IF(OR(P789="-",P789="",P789=0),IF(O789="-","-",O789),O789-P789)</f>
        <v>0</v>
      </c>
      <c r="R789" s="4">
        <f>IFERROR(IF(O789&gt;0, P789/O789, 0),"-")</f>
        <v>1</v>
      </c>
      <c r="S789" s="34">
        <v>112</v>
      </c>
      <c r="T789" s="34">
        <v>2</v>
      </c>
      <c r="U789" s="34">
        <v>4155</v>
      </c>
      <c r="V789" s="35">
        <v>1</v>
      </c>
      <c r="W789" s="35">
        <v>48870</v>
      </c>
    </row>
    <row r="790" spans="1:23" x14ac:dyDescent="0.2">
      <c r="A790" s="30" t="s">
        <v>235</v>
      </c>
      <c r="B790" s="30" t="s">
        <v>1452</v>
      </c>
      <c r="C790" s="34">
        <v>138</v>
      </c>
      <c r="D790" s="35">
        <v>136</v>
      </c>
      <c r="E790" s="34">
        <f>IF(OR(D790="-",D790="",D790=0),IF(C790="-","-",C790),C790-D790)</f>
        <v>2</v>
      </c>
      <c r="F790" s="4">
        <f>IFERROR(IF(C790&gt;0, D790/C790, 0),"-")</f>
        <v>0.98550724637681164</v>
      </c>
      <c r="G790" s="34">
        <v>1</v>
      </c>
      <c r="H790" s="35" t="s">
        <v>959</v>
      </c>
      <c r="I790" s="34">
        <f>IF(OR(H790="-",H790="",H790=0),IF(G790="-","-",G790),G790-H790)</f>
        <v>1</v>
      </c>
      <c r="J790" s="4" t="str">
        <f>IFERROR(IF(G790&gt;0, H790/G790, 0),"-")</f>
        <v>-</v>
      </c>
      <c r="K790" s="34">
        <v>1</v>
      </c>
      <c r="L790" s="35" t="s">
        <v>959</v>
      </c>
      <c r="M790" s="34">
        <f>IF(OR(L790="-",L790="",L790=0),IF(K790="-","-",K790),K790-L790)</f>
        <v>1</v>
      </c>
      <c r="N790" s="4" t="str">
        <f>IFERROR(IF(K790&gt;0, L790/K790, 0),"-")</f>
        <v>-</v>
      </c>
      <c r="O790" s="34">
        <v>1</v>
      </c>
      <c r="P790" s="35" t="s">
        <v>959</v>
      </c>
      <c r="Q790" s="34">
        <f>IF(OR(P790="-",P790="",P790=0),IF(O790="-","-",O790),O790-P790)</f>
        <v>1</v>
      </c>
      <c r="R790" s="4" t="str">
        <f>IFERROR(IF(O790&gt;0, P790/O790, 0),"-")</f>
        <v>-</v>
      </c>
      <c r="S790" s="34">
        <v>105</v>
      </c>
      <c r="T790" s="34">
        <v>2</v>
      </c>
      <c r="U790" s="34">
        <v>16265</v>
      </c>
      <c r="V790" s="35" t="s">
        <v>959</v>
      </c>
      <c r="W790" s="35" t="s">
        <v>959</v>
      </c>
    </row>
    <row r="791" spans="1:23" x14ac:dyDescent="0.2">
      <c r="A791" s="30" t="s">
        <v>234</v>
      </c>
      <c r="B791" s="30" t="s">
        <v>1453</v>
      </c>
      <c r="C791" s="34">
        <v>26</v>
      </c>
      <c r="D791" s="35">
        <v>25</v>
      </c>
      <c r="E791" s="34">
        <f>IF(OR(D791="-",D791="",D791=0),IF(C791="-","-",C791),C791-D791)</f>
        <v>1</v>
      </c>
      <c r="F791" s="4">
        <f>IFERROR(IF(C791&gt;0, D791/C791, 0),"-")</f>
        <v>0.96153846153846156</v>
      </c>
      <c r="G791" s="34" t="s">
        <v>959</v>
      </c>
      <c r="H791" s="35" t="s">
        <v>959</v>
      </c>
      <c r="I791" s="34" t="str">
        <f>IF(OR(H791="-",H791="",H791=0),IF(G791="-","-",G791),G791-H791)</f>
        <v>-</v>
      </c>
      <c r="J791" s="4" t="str">
        <f>IFERROR(IF(G791&gt;0, H791/G791, 0),"-")</f>
        <v>-</v>
      </c>
      <c r="K791" s="34" t="s">
        <v>959</v>
      </c>
      <c r="L791" s="35" t="s">
        <v>959</v>
      </c>
      <c r="M791" s="34" t="str">
        <f>IF(OR(L791="-",L791="",L791=0),IF(K791="-","-",K791),K791-L791)</f>
        <v>-</v>
      </c>
      <c r="N791" s="4" t="str">
        <f>IFERROR(IF(K791&gt;0, L791/K791, 0),"-")</f>
        <v>-</v>
      </c>
      <c r="O791" s="34" t="s">
        <v>959</v>
      </c>
      <c r="P791" s="35" t="s">
        <v>959</v>
      </c>
      <c r="Q791" s="34" t="str">
        <f>IF(OR(P791="-",P791="",P791=0),IF(O791="-","-",O791),O791-P791)</f>
        <v>-</v>
      </c>
      <c r="R791" s="4" t="str">
        <f>IFERROR(IF(O791&gt;0, P791/O791, 0),"-")</f>
        <v>-</v>
      </c>
      <c r="S791" s="34">
        <v>91</v>
      </c>
      <c r="T791" s="34" t="s">
        <v>959</v>
      </c>
      <c r="U791" s="34" t="s">
        <v>959</v>
      </c>
      <c r="V791" s="35" t="s">
        <v>959</v>
      </c>
      <c r="W791" s="35" t="s">
        <v>959</v>
      </c>
    </row>
    <row r="792" spans="1:23" x14ac:dyDescent="0.2">
      <c r="A792" s="30" t="s">
        <v>231</v>
      </c>
      <c r="B792" s="30" t="s">
        <v>1446</v>
      </c>
      <c r="C792" s="34">
        <v>120</v>
      </c>
      <c r="D792" s="35">
        <v>119</v>
      </c>
      <c r="E792" s="34">
        <f>IF(OR(D792="-",D792="",D792=0),IF(C792="-","-",C792),C792-D792)</f>
        <v>1</v>
      </c>
      <c r="F792" s="4">
        <f>IFERROR(IF(C792&gt;0, D792/C792, 0),"-")</f>
        <v>0.9916666666666667</v>
      </c>
      <c r="G792" s="34">
        <v>2</v>
      </c>
      <c r="H792" s="35">
        <v>1</v>
      </c>
      <c r="I792" s="34">
        <f>IF(OR(H792="-",H792="",H792=0),IF(G792="-","-",G792),G792-H792)</f>
        <v>1</v>
      </c>
      <c r="J792" s="4">
        <f>IFERROR(IF(G792&gt;0, H792/G792, 0),"-")</f>
        <v>0.5</v>
      </c>
      <c r="K792" s="34">
        <v>1</v>
      </c>
      <c r="L792" s="35">
        <v>1</v>
      </c>
      <c r="M792" s="34">
        <f>IF(OR(L792="-",L792="",L792=0),IF(K792="-","-",K792),K792-L792)</f>
        <v>0</v>
      </c>
      <c r="N792" s="4">
        <f>IFERROR(IF(K792&gt;0, L792/K792, 0),"-")</f>
        <v>1</v>
      </c>
      <c r="O792" s="34">
        <v>3</v>
      </c>
      <c r="P792" s="35">
        <v>1</v>
      </c>
      <c r="Q792" s="34">
        <f>IF(OR(P792="-",P792="",P792=0),IF(O792="-","-",O792),O792-P792)</f>
        <v>2</v>
      </c>
      <c r="R792" s="4">
        <f>IFERROR(IF(O792&gt;0, P792/O792, 0),"-")</f>
        <v>0.33333333333333331</v>
      </c>
      <c r="S792" s="34">
        <v>158</v>
      </c>
      <c r="T792" s="34">
        <v>2</v>
      </c>
      <c r="U792" s="34">
        <v>3895</v>
      </c>
      <c r="V792" s="35">
        <v>1</v>
      </c>
      <c r="W792" s="35">
        <v>45224</v>
      </c>
    </row>
    <row r="793" spans="1:23" x14ac:dyDescent="0.2">
      <c r="A793" s="30" t="s">
        <v>237</v>
      </c>
      <c r="B793" s="30" t="s">
        <v>1454</v>
      </c>
      <c r="C793" s="34">
        <v>106</v>
      </c>
      <c r="D793" s="35">
        <v>105</v>
      </c>
      <c r="E793" s="34">
        <f>IF(OR(D793="-",D793="",D793=0),IF(C793="-","-",C793),C793-D793)</f>
        <v>1</v>
      </c>
      <c r="F793" s="4">
        <f>IFERROR(IF(C793&gt;0, D793/C793, 0),"-")</f>
        <v>0.99056603773584906</v>
      </c>
      <c r="G793" s="34">
        <v>2</v>
      </c>
      <c r="H793" s="35">
        <v>1</v>
      </c>
      <c r="I793" s="34">
        <f>IF(OR(H793="-",H793="",H793=0),IF(G793="-","-",G793),G793-H793)</f>
        <v>1</v>
      </c>
      <c r="J793" s="4">
        <f>IFERROR(IF(G793&gt;0, H793/G793, 0),"-")</f>
        <v>0.5</v>
      </c>
      <c r="K793" s="34" t="s">
        <v>959</v>
      </c>
      <c r="L793" s="35" t="s">
        <v>959</v>
      </c>
      <c r="M793" s="34" t="str">
        <f>IF(OR(L793="-",L793="",L793=0),IF(K793="-","-",K793),K793-L793)</f>
        <v>-</v>
      </c>
      <c r="N793" s="4" t="str">
        <f>IFERROR(IF(K793&gt;0, L793/K793, 0),"-")</f>
        <v>-</v>
      </c>
      <c r="O793" s="34" t="s">
        <v>959</v>
      </c>
      <c r="P793" s="35" t="s">
        <v>959</v>
      </c>
      <c r="Q793" s="34" t="str">
        <f>IF(OR(P793="-",P793="",P793=0),IF(O793="-","-",O793),O793-P793)</f>
        <v>-</v>
      </c>
      <c r="R793" s="4" t="str">
        <f>IFERROR(IF(O793&gt;0, P793/O793, 0),"-")</f>
        <v>-</v>
      </c>
      <c r="S793" s="34">
        <v>153</v>
      </c>
      <c r="T793" s="34" t="s">
        <v>959</v>
      </c>
      <c r="U793" s="34" t="s">
        <v>959</v>
      </c>
      <c r="V793" s="35">
        <v>3</v>
      </c>
      <c r="W793" s="35">
        <v>94169</v>
      </c>
    </row>
    <row r="794" spans="1:23" x14ac:dyDescent="0.2">
      <c r="A794" s="30" t="s">
        <v>230</v>
      </c>
      <c r="B794" s="30" t="s">
        <v>1455</v>
      </c>
      <c r="C794" s="34">
        <v>38</v>
      </c>
      <c r="D794" s="35">
        <v>37</v>
      </c>
      <c r="E794" s="34">
        <f>IF(OR(D794="-",D794="",D794=0),IF(C794="-","-",C794),C794-D794)</f>
        <v>1</v>
      </c>
      <c r="F794" s="4">
        <f>IFERROR(IF(C794&gt;0, D794/C794, 0),"-")</f>
        <v>0.97368421052631582</v>
      </c>
      <c r="G794" s="34" t="s">
        <v>959</v>
      </c>
      <c r="H794" s="35" t="s">
        <v>959</v>
      </c>
      <c r="I794" s="34" t="str">
        <f>IF(OR(H794="-",H794="",H794=0),IF(G794="-","-",G794),G794-H794)</f>
        <v>-</v>
      </c>
      <c r="J794" s="4" t="str">
        <f>IFERROR(IF(G794&gt;0, H794/G794, 0),"-")</f>
        <v>-</v>
      </c>
      <c r="K794" s="34" t="s">
        <v>959</v>
      </c>
      <c r="L794" s="35" t="s">
        <v>959</v>
      </c>
      <c r="M794" s="34" t="str">
        <f>IF(OR(L794="-",L794="",L794=0),IF(K794="-","-",K794),K794-L794)</f>
        <v>-</v>
      </c>
      <c r="N794" s="4" t="str">
        <f>IFERROR(IF(K794&gt;0, L794/K794, 0),"-")</f>
        <v>-</v>
      </c>
      <c r="O794" s="34">
        <v>1</v>
      </c>
      <c r="P794" s="35" t="s">
        <v>959</v>
      </c>
      <c r="Q794" s="34">
        <f>IF(OR(P794="-",P794="",P794=0),IF(O794="-","-",O794),O794-P794)</f>
        <v>1</v>
      </c>
      <c r="R794" s="4" t="str">
        <f>IFERROR(IF(O794&gt;0, P794/O794, 0),"-")</f>
        <v>-</v>
      </c>
      <c r="S794" s="34">
        <v>102</v>
      </c>
      <c r="T794" s="34" t="s">
        <v>959</v>
      </c>
      <c r="U794" s="34" t="s">
        <v>959</v>
      </c>
      <c r="V794" s="35" t="s">
        <v>959</v>
      </c>
      <c r="W794" s="35" t="s">
        <v>959</v>
      </c>
    </row>
    <row r="795" spans="1:23" x14ac:dyDescent="0.2">
      <c r="A795" s="30" t="s">
        <v>233</v>
      </c>
      <c r="B795" s="30" t="s">
        <v>1106</v>
      </c>
      <c r="C795" s="34">
        <v>195</v>
      </c>
      <c r="D795" s="35">
        <v>192</v>
      </c>
      <c r="E795" s="34">
        <f>IF(OR(D795="-",D795="",D795=0),IF(C795="-","-",C795),C795-D795)</f>
        <v>3</v>
      </c>
      <c r="F795" s="4">
        <f>IFERROR(IF(C795&gt;0, D795/C795, 0),"-")</f>
        <v>0.98461538461538467</v>
      </c>
      <c r="G795" s="34">
        <v>2</v>
      </c>
      <c r="H795" s="35" t="s">
        <v>959</v>
      </c>
      <c r="I795" s="34">
        <f>IF(OR(H795="-",H795="",H795=0),IF(G795="-","-",G795),G795-H795)</f>
        <v>2</v>
      </c>
      <c r="J795" s="4" t="str">
        <f>IFERROR(IF(G795&gt;0, H795/G795, 0),"-")</f>
        <v>-</v>
      </c>
      <c r="K795" s="34">
        <v>3</v>
      </c>
      <c r="L795" s="35">
        <v>2</v>
      </c>
      <c r="M795" s="34">
        <f>IF(OR(L795="-",L795="",L795=0),IF(K795="-","-",K795),K795-L795)</f>
        <v>1</v>
      </c>
      <c r="N795" s="4">
        <f>IFERROR(IF(K795&gt;0, L795/K795, 0),"-")</f>
        <v>0.66666666666666663</v>
      </c>
      <c r="O795" s="34">
        <v>1</v>
      </c>
      <c r="P795" s="35">
        <v>1</v>
      </c>
      <c r="Q795" s="34">
        <f>IF(OR(P795="-",P795="",P795=0),IF(O795="-","-",O795),O795-P795)</f>
        <v>0</v>
      </c>
      <c r="R795" s="4">
        <f>IFERROR(IF(O795&gt;0, P795/O795, 0),"-")</f>
        <v>1</v>
      </c>
      <c r="S795" s="34">
        <v>111</v>
      </c>
      <c r="T795" s="34">
        <v>1</v>
      </c>
      <c r="U795" s="34">
        <v>15000</v>
      </c>
      <c r="V795" s="35">
        <v>6</v>
      </c>
      <c r="W795" s="35">
        <v>136612</v>
      </c>
    </row>
    <row r="796" spans="1:23" x14ac:dyDescent="0.2">
      <c r="A796" s="29"/>
      <c r="B796" s="29" t="s">
        <v>101</v>
      </c>
      <c r="C796" s="32">
        <v>1878</v>
      </c>
      <c r="D796" s="32">
        <v>1826</v>
      </c>
      <c r="E796" s="32">
        <f>IF(OR(D796="-",D796="",D796=0),IF(C796="-","-",C796),C796-D796)</f>
        <v>52</v>
      </c>
      <c r="F796" s="36">
        <f>IFERROR(IF(C796&gt;0, D796/C796, 0),"-")</f>
        <v>0.97231096911608095</v>
      </c>
      <c r="G796" s="32">
        <v>19</v>
      </c>
      <c r="H796" s="32">
        <v>6</v>
      </c>
      <c r="I796" s="32">
        <f>IF(OR(H796="-",H796="",H796=0),IF(G796="-","-",G796),G796-H796)</f>
        <v>13</v>
      </c>
      <c r="J796" s="36">
        <f>IFERROR(IF(G796&gt;0, H796/G796, 0),"-")</f>
        <v>0.31578947368421051</v>
      </c>
      <c r="K796" s="32">
        <v>27</v>
      </c>
      <c r="L796" s="32">
        <v>8</v>
      </c>
      <c r="M796" s="32">
        <f>IF(OR(L796="-",L796="",L796=0),IF(K796="-","-",K796),K796-L796)</f>
        <v>19</v>
      </c>
      <c r="N796" s="36">
        <f>IFERROR(IF(K796&gt;0, L796/K796, 0),"-")</f>
        <v>0.29629629629629628</v>
      </c>
      <c r="O796" s="32">
        <v>32</v>
      </c>
      <c r="P796" s="32">
        <v>8</v>
      </c>
      <c r="Q796" s="32">
        <f>IF(OR(P796="-",P796="",P796=0),IF(O796="-","-",O796),O796-P796)</f>
        <v>24</v>
      </c>
      <c r="R796" s="36">
        <f>IFERROR(IF(O796&gt;0, P796/O796, 0),"-")</f>
        <v>0.25</v>
      </c>
      <c r="S796" s="32">
        <v>1047</v>
      </c>
      <c r="T796" s="32">
        <v>32</v>
      </c>
      <c r="U796" s="32">
        <v>70300</v>
      </c>
      <c r="V796" s="32">
        <v>30</v>
      </c>
      <c r="W796" s="32">
        <v>882378</v>
      </c>
    </row>
    <row r="797" spans="1:23" x14ac:dyDescent="0.2">
      <c r="A797" s="30" t="s">
        <v>712</v>
      </c>
      <c r="B797" s="30" t="s">
        <v>1456</v>
      </c>
      <c r="C797" s="34">
        <v>288</v>
      </c>
      <c r="D797" s="35">
        <v>277</v>
      </c>
      <c r="E797" s="34">
        <f>IF(OR(D797="-",D797="",D797=0),IF(C797="-","-",C797),C797-D797)</f>
        <v>11</v>
      </c>
      <c r="F797" s="4">
        <f>IFERROR(IF(C797&gt;0, D797/C797, 0),"-")</f>
        <v>0.96180555555555558</v>
      </c>
      <c r="G797" s="34">
        <v>2</v>
      </c>
      <c r="H797" s="35">
        <v>1</v>
      </c>
      <c r="I797" s="34">
        <f>IF(OR(H797="-",H797="",H797=0),IF(G797="-","-",G797),G797-H797)</f>
        <v>1</v>
      </c>
      <c r="J797" s="4">
        <f>IFERROR(IF(G797&gt;0, H797/G797, 0),"-")</f>
        <v>0.5</v>
      </c>
      <c r="K797" s="34">
        <v>3</v>
      </c>
      <c r="L797" s="35">
        <v>1</v>
      </c>
      <c r="M797" s="34">
        <f>IF(OR(L797="-",L797="",L797=0),IF(K797="-","-",K797),K797-L797)</f>
        <v>2</v>
      </c>
      <c r="N797" s="4">
        <f>IFERROR(IF(K797&gt;0, L797/K797, 0),"-")</f>
        <v>0.33333333333333331</v>
      </c>
      <c r="O797" s="34">
        <v>6</v>
      </c>
      <c r="P797" s="35">
        <v>1</v>
      </c>
      <c r="Q797" s="34">
        <f>IF(OR(P797="-",P797="",P797=0),IF(O797="-","-",O797),O797-P797)</f>
        <v>5</v>
      </c>
      <c r="R797" s="4">
        <f>IFERROR(IF(O797&gt;0, P797/O797, 0),"-")</f>
        <v>0.16666666666666666</v>
      </c>
      <c r="S797" s="34">
        <v>156</v>
      </c>
      <c r="T797" s="34">
        <v>4</v>
      </c>
      <c r="U797" s="34">
        <v>4470</v>
      </c>
      <c r="V797" s="35">
        <v>1</v>
      </c>
      <c r="W797" s="35">
        <v>29540</v>
      </c>
    </row>
    <row r="798" spans="1:23" x14ac:dyDescent="0.2">
      <c r="A798" s="30" t="s">
        <v>716</v>
      </c>
      <c r="B798" s="30" t="s">
        <v>1457</v>
      </c>
      <c r="C798" s="34">
        <v>224</v>
      </c>
      <c r="D798" s="35">
        <v>223</v>
      </c>
      <c r="E798" s="34">
        <f>IF(OR(D798="-",D798="",D798=0),IF(C798="-","-",C798),C798-D798)</f>
        <v>1</v>
      </c>
      <c r="F798" s="4">
        <f>IFERROR(IF(C798&gt;0, D798/C798, 0),"-")</f>
        <v>0.9955357142857143</v>
      </c>
      <c r="G798" s="34">
        <v>1</v>
      </c>
      <c r="H798" s="35" t="s">
        <v>959</v>
      </c>
      <c r="I798" s="34">
        <f>IF(OR(H798="-",H798="",H798=0),IF(G798="-","-",G798),G798-H798)</f>
        <v>1</v>
      </c>
      <c r="J798" s="4" t="str">
        <f>IFERROR(IF(G798&gt;0, H798/G798, 0),"-")</f>
        <v>-</v>
      </c>
      <c r="K798" s="34" t="s">
        <v>959</v>
      </c>
      <c r="L798" s="35" t="s">
        <v>959</v>
      </c>
      <c r="M798" s="34" t="str">
        <f>IF(OR(L798="-",L798="",L798=0),IF(K798="-","-",K798),K798-L798)</f>
        <v>-</v>
      </c>
      <c r="N798" s="4" t="str">
        <f>IFERROR(IF(K798&gt;0, L798/K798, 0),"-")</f>
        <v>-</v>
      </c>
      <c r="O798" s="34">
        <v>1</v>
      </c>
      <c r="P798" s="35" t="s">
        <v>959</v>
      </c>
      <c r="Q798" s="34">
        <f>IF(OR(P798="-",P798="",P798=0),IF(O798="-","-",O798),O798-P798)</f>
        <v>1</v>
      </c>
      <c r="R798" s="4" t="str">
        <f>IFERROR(IF(O798&gt;0, P798/O798, 0),"-")</f>
        <v>-</v>
      </c>
      <c r="S798" s="34">
        <v>118</v>
      </c>
      <c r="T798" s="34">
        <v>7</v>
      </c>
      <c r="U798" s="34">
        <v>14905</v>
      </c>
      <c r="V798" s="35">
        <v>7</v>
      </c>
      <c r="W798" s="35">
        <v>197506</v>
      </c>
    </row>
    <row r="799" spans="1:23" x14ac:dyDescent="0.2">
      <c r="A799" s="30" t="s">
        <v>718</v>
      </c>
      <c r="B799" s="30" t="s">
        <v>1458</v>
      </c>
      <c r="C799" s="34">
        <v>252</v>
      </c>
      <c r="D799" s="35">
        <v>247</v>
      </c>
      <c r="E799" s="34">
        <f>IF(OR(D799="-",D799="",D799=0),IF(C799="-","-",C799),C799-D799)</f>
        <v>5</v>
      </c>
      <c r="F799" s="4">
        <f>IFERROR(IF(C799&gt;0, D799/C799, 0),"-")</f>
        <v>0.98015873015873012</v>
      </c>
      <c r="G799" s="34">
        <v>1</v>
      </c>
      <c r="H799" s="35">
        <v>1</v>
      </c>
      <c r="I799" s="34">
        <f>IF(OR(H799="-",H799="",H799=0),IF(G799="-","-",G799),G799-H799)</f>
        <v>0</v>
      </c>
      <c r="J799" s="4">
        <f>IFERROR(IF(G799&gt;0, H799/G799, 0),"-")</f>
        <v>1</v>
      </c>
      <c r="K799" s="34">
        <v>3</v>
      </c>
      <c r="L799" s="35" t="s">
        <v>959</v>
      </c>
      <c r="M799" s="34">
        <f>IF(OR(L799="-",L799="",L799=0),IF(K799="-","-",K799),K799-L799)</f>
        <v>3</v>
      </c>
      <c r="N799" s="4" t="str">
        <f>IFERROR(IF(K799&gt;0, L799/K799, 0),"-")</f>
        <v>-</v>
      </c>
      <c r="O799" s="34">
        <v>3</v>
      </c>
      <c r="P799" s="35">
        <v>3</v>
      </c>
      <c r="Q799" s="34">
        <f>IF(OR(P799="-",P799="",P799=0),IF(O799="-","-",O799),O799-P799)</f>
        <v>0</v>
      </c>
      <c r="R799" s="4">
        <f>IFERROR(IF(O799&gt;0, P799/O799, 0),"-")</f>
        <v>1</v>
      </c>
      <c r="S799" s="34">
        <v>96</v>
      </c>
      <c r="T799" s="34">
        <v>4</v>
      </c>
      <c r="U799" s="34">
        <v>9500</v>
      </c>
      <c r="V799" s="35">
        <v>1</v>
      </c>
      <c r="W799" s="35">
        <v>52415</v>
      </c>
    </row>
    <row r="800" spans="1:23" x14ac:dyDescent="0.2">
      <c r="A800" s="30" t="s">
        <v>715</v>
      </c>
      <c r="B800" s="30" t="s">
        <v>1459</v>
      </c>
      <c r="C800" s="34">
        <v>303</v>
      </c>
      <c r="D800" s="35">
        <v>292</v>
      </c>
      <c r="E800" s="34">
        <f>IF(OR(D800="-",D800="",D800=0),IF(C800="-","-",C800),C800-D800)</f>
        <v>11</v>
      </c>
      <c r="F800" s="4">
        <f>IFERROR(IF(C800&gt;0, D800/C800, 0),"-")</f>
        <v>0.9636963696369637</v>
      </c>
      <c r="G800" s="34">
        <v>5</v>
      </c>
      <c r="H800" s="35">
        <v>1</v>
      </c>
      <c r="I800" s="34">
        <f>IF(OR(H800="-",H800="",H800=0),IF(G800="-","-",G800),G800-H800)</f>
        <v>4</v>
      </c>
      <c r="J800" s="4">
        <f>IFERROR(IF(G800&gt;0, H800/G800, 0),"-")</f>
        <v>0.2</v>
      </c>
      <c r="K800" s="34">
        <v>6</v>
      </c>
      <c r="L800" s="35">
        <v>3</v>
      </c>
      <c r="M800" s="34">
        <f>IF(OR(L800="-",L800="",L800=0),IF(K800="-","-",K800),K800-L800)</f>
        <v>3</v>
      </c>
      <c r="N800" s="4">
        <f>IFERROR(IF(K800&gt;0, L800/K800, 0),"-")</f>
        <v>0.5</v>
      </c>
      <c r="O800" s="34">
        <v>6</v>
      </c>
      <c r="P800" s="35">
        <v>1</v>
      </c>
      <c r="Q800" s="34">
        <f>IF(OR(P800="-",P800="",P800=0),IF(O800="-","-",O800),O800-P800)</f>
        <v>5</v>
      </c>
      <c r="R800" s="4">
        <f>IFERROR(IF(O800&gt;0, P800/O800, 0),"-")</f>
        <v>0.16666666666666666</v>
      </c>
      <c r="S800" s="34">
        <v>106</v>
      </c>
      <c r="T800" s="34">
        <v>2</v>
      </c>
      <c r="U800" s="34">
        <v>6445</v>
      </c>
      <c r="V800" s="35">
        <v>3</v>
      </c>
      <c r="W800" s="35">
        <v>96940</v>
      </c>
    </row>
    <row r="801" spans="1:23" x14ac:dyDescent="0.2">
      <c r="A801" s="30" t="s">
        <v>714</v>
      </c>
      <c r="B801" s="30" t="s">
        <v>1460</v>
      </c>
      <c r="C801" s="34">
        <v>245</v>
      </c>
      <c r="D801" s="35">
        <v>242</v>
      </c>
      <c r="E801" s="34">
        <f>IF(OR(D801="-",D801="",D801=0),IF(C801="-","-",C801),C801-D801)</f>
        <v>3</v>
      </c>
      <c r="F801" s="4">
        <f>IFERROR(IF(C801&gt;0, D801/C801, 0),"-")</f>
        <v>0.98775510204081629</v>
      </c>
      <c r="G801" s="34">
        <v>2</v>
      </c>
      <c r="H801" s="35" t="s">
        <v>959</v>
      </c>
      <c r="I801" s="34">
        <f>IF(OR(H801="-",H801="",H801=0),IF(G801="-","-",G801),G801-H801)</f>
        <v>2</v>
      </c>
      <c r="J801" s="4" t="str">
        <f>IFERROR(IF(G801&gt;0, H801/G801, 0),"-")</f>
        <v>-</v>
      </c>
      <c r="K801" s="34">
        <v>4</v>
      </c>
      <c r="L801" s="35">
        <v>2</v>
      </c>
      <c r="M801" s="34">
        <f>IF(OR(L801="-",L801="",L801=0),IF(K801="-","-",K801),K801-L801)</f>
        <v>2</v>
      </c>
      <c r="N801" s="4">
        <f>IFERROR(IF(K801&gt;0, L801/K801, 0),"-")</f>
        <v>0.5</v>
      </c>
      <c r="O801" s="34">
        <v>2</v>
      </c>
      <c r="P801" s="35">
        <v>2</v>
      </c>
      <c r="Q801" s="34">
        <f>IF(OR(P801="-",P801="",P801=0),IF(O801="-","-",O801),O801-P801)</f>
        <v>0</v>
      </c>
      <c r="R801" s="4">
        <f>IFERROR(IF(O801&gt;0, P801/O801, 0),"-")</f>
        <v>1</v>
      </c>
      <c r="S801" s="34">
        <v>194</v>
      </c>
      <c r="T801" s="34">
        <v>3</v>
      </c>
      <c r="U801" s="34">
        <v>8885</v>
      </c>
      <c r="V801" s="35">
        <v>3</v>
      </c>
      <c r="W801" s="35">
        <v>85697</v>
      </c>
    </row>
    <row r="802" spans="1:23" x14ac:dyDescent="0.2">
      <c r="A802" s="30" t="s">
        <v>717</v>
      </c>
      <c r="B802" s="30" t="s">
        <v>1461</v>
      </c>
      <c r="C802" s="34">
        <v>272</v>
      </c>
      <c r="D802" s="35">
        <v>263</v>
      </c>
      <c r="E802" s="34">
        <f>IF(OR(D802="-",D802="",D802=0),IF(C802="-","-",C802),C802-D802)</f>
        <v>9</v>
      </c>
      <c r="F802" s="4">
        <f>IFERROR(IF(C802&gt;0, D802/C802, 0),"-")</f>
        <v>0.96691176470588236</v>
      </c>
      <c r="G802" s="34">
        <v>4</v>
      </c>
      <c r="H802" s="35">
        <v>3</v>
      </c>
      <c r="I802" s="34">
        <f>IF(OR(H802="-",H802="",H802=0),IF(G802="-","-",G802),G802-H802)</f>
        <v>1</v>
      </c>
      <c r="J802" s="4">
        <f>IFERROR(IF(G802&gt;0, H802/G802, 0),"-")</f>
        <v>0.75</v>
      </c>
      <c r="K802" s="34">
        <v>2</v>
      </c>
      <c r="L802" s="35">
        <v>1</v>
      </c>
      <c r="M802" s="34">
        <f>IF(OR(L802="-",L802="",L802=0),IF(K802="-","-",K802),K802-L802)</f>
        <v>1</v>
      </c>
      <c r="N802" s="4">
        <f>IFERROR(IF(K802&gt;0, L802/K802, 0),"-")</f>
        <v>0.5</v>
      </c>
      <c r="O802" s="34">
        <v>2</v>
      </c>
      <c r="P802" s="35" t="s">
        <v>959</v>
      </c>
      <c r="Q802" s="34">
        <f>IF(OR(P802="-",P802="",P802=0),IF(O802="-","-",O802),O802-P802)</f>
        <v>2</v>
      </c>
      <c r="R802" s="4" t="str">
        <f>IFERROR(IF(O802&gt;0, P802/O802, 0),"-")</f>
        <v>-</v>
      </c>
      <c r="S802" s="34">
        <v>166</v>
      </c>
      <c r="T802" s="34">
        <v>5</v>
      </c>
      <c r="U802" s="34">
        <v>6090</v>
      </c>
      <c r="V802" s="35">
        <v>3</v>
      </c>
      <c r="W802" s="35">
        <v>96790</v>
      </c>
    </row>
    <row r="803" spans="1:23" x14ac:dyDescent="0.2">
      <c r="A803" s="30" t="s">
        <v>732</v>
      </c>
      <c r="B803" s="30" t="s">
        <v>1462</v>
      </c>
      <c r="C803" s="34">
        <v>45</v>
      </c>
      <c r="D803" s="35">
        <v>41</v>
      </c>
      <c r="E803" s="34">
        <f>IF(OR(D803="-",D803="",D803=0),IF(C803="-","-",C803),C803-D803)</f>
        <v>4</v>
      </c>
      <c r="F803" s="4">
        <f>IFERROR(IF(C803&gt;0, D803/C803, 0),"-")</f>
        <v>0.91111111111111109</v>
      </c>
      <c r="G803" s="34" t="s">
        <v>959</v>
      </c>
      <c r="H803" s="35" t="s">
        <v>959</v>
      </c>
      <c r="I803" s="34" t="str">
        <f>IF(OR(H803="-",H803="",H803=0),IF(G803="-","-",G803),G803-H803)</f>
        <v>-</v>
      </c>
      <c r="J803" s="4" t="str">
        <f>IFERROR(IF(G803&gt;0, H803/G803, 0),"-")</f>
        <v>-</v>
      </c>
      <c r="K803" s="34">
        <v>1</v>
      </c>
      <c r="L803" s="35" t="s">
        <v>959</v>
      </c>
      <c r="M803" s="34">
        <f>IF(OR(L803="-",L803="",L803=0),IF(K803="-","-",K803),K803-L803)</f>
        <v>1</v>
      </c>
      <c r="N803" s="4" t="str">
        <f>IFERROR(IF(K803&gt;0, L803/K803, 0),"-")</f>
        <v>-</v>
      </c>
      <c r="O803" s="34">
        <v>3</v>
      </c>
      <c r="P803" s="35" t="s">
        <v>959</v>
      </c>
      <c r="Q803" s="34">
        <f>IF(OR(P803="-",P803="",P803=0),IF(O803="-","-",O803),O803-P803)</f>
        <v>3</v>
      </c>
      <c r="R803" s="4" t="str">
        <f>IFERROR(IF(O803&gt;0, P803/O803, 0),"-")</f>
        <v>-</v>
      </c>
      <c r="S803" s="34">
        <v>12</v>
      </c>
      <c r="T803" s="34" t="s">
        <v>959</v>
      </c>
      <c r="U803" s="34" t="s">
        <v>959</v>
      </c>
      <c r="V803" s="35">
        <v>1</v>
      </c>
      <c r="W803" s="35">
        <v>14979</v>
      </c>
    </row>
    <row r="804" spans="1:23" x14ac:dyDescent="0.2">
      <c r="A804" s="30" t="s">
        <v>713</v>
      </c>
      <c r="B804" s="30" t="s">
        <v>1463</v>
      </c>
      <c r="C804" s="34">
        <v>249</v>
      </c>
      <c r="D804" s="35">
        <v>241</v>
      </c>
      <c r="E804" s="34">
        <f>IF(OR(D804="-",D804="",D804=0),IF(C804="-","-",C804),C804-D804)</f>
        <v>8</v>
      </c>
      <c r="F804" s="4">
        <f>IFERROR(IF(C804&gt;0, D804/C804, 0),"-")</f>
        <v>0.96787148594377514</v>
      </c>
      <c r="G804" s="34">
        <v>4</v>
      </c>
      <c r="H804" s="35" t="s">
        <v>959</v>
      </c>
      <c r="I804" s="34">
        <f>IF(OR(H804="-",H804="",H804=0),IF(G804="-","-",G804),G804-H804)</f>
        <v>4</v>
      </c>
      <c r="J804" s="4" t="str">
        <f>IFERROR(IF(G804&gt;0, H804/G804, 0),"-")</f>
        <v>-</v>
      </c>
      <c r="K804" s="34">
        <v>8</v>
      </c>
      <c r="L804" s="35">
        <v>1</v>
      </c>
      <c r="M804" s="34">
        <f>IF(OR(L804="-",L804="",L804=0),IF(K804="-","-",K804),K804-L804)</f>
        <v>7</v>
      </c>
      <c r="N804" s="4">
        <f>IFERROR(IF(K804&gt;0, L804/K804, 0),"-")</f>
        <v>0.125</v>
      </c>
      <c r="O804" s="34">
        <v>9</v>
      </c>
      <c r="P804" s="35">
        <v>1</v>
      </c>
      <c r="Q804" s="34">
        <f>IF(OR(P804="-",P804="",P804=0),IF(O804="-","-",O804),O804-P804)</f>
        <v>8</v>
      </c>
      <c r="R804" s="4">
        <f>IFERROR(IF(O804&gt;0, P804/O804, 0),"-")</f>
        <v>0.1111111111111111</v>
      </c>
      <c r="S804" s="34">
        <v>199</v>
      </c>
      <c r="T804" s="34">
        <v>7</v>
      </c>
      <c r="U804" s="34">
        <v>20005</v>
      </c>
      <c r="V804" s="35">
        <v>11</v>
      </c>
      <c r="W804" s="35">
        <v>308511</v>
      </c>
    </row>
    <row r="805" spans="1:23" x14ac:dyDescent="0.2">
      <c r="A805" s="29"/>
      <c r="B805" s="29" t="s">
        <v>57</v>
      </c>
      <c r="C805" s="32">
        <v>740</v>
      </c>
      <c r="D805" s="32">
        <v>720</v>
      </c>
      <c r="E805" s="32">
        <f>IF(OR(D805="-",D805="",D805=0),IF(C805="-","-",C805),C805-D805)</f>
        <v>20</v>
      </c>
      <c r="F805" s="36">
        <f>IFERROR(IF(C805&gt;0, D805/C805, 0),"-")</f>
        <v>0.97297297297297303</v>
      </c>
      <c r="G805" s="32">
        <v>5</v>
      </c>
      <c r="H805" s="32" t="s">
        <v>959</v>
      </c>
      <c r="I805" s="32">
        <f>IF(OR(H805="-",H805="",H805=0),IF(G805="-","-",G805),G805-H805)</f>
        <v>5</v>
      </c>
      <c r="J805" s="36" t="str">
        <f>IFERROR(IF(G805&gt;0, H805/G805, 0),"-")</f>
        <v>-</v>
      </c>
      <c r="K805" s="32">
        <v>8</v>
      </c>
      <c r="L805" s="32">
        <v>1</v>
      </c>
      <c r="M805" s="32">
        <f>IF(OR(L805="-",L805="",L805=0),IF(K805="-","-",K805),K805-L805)</f>
        <v>7</v>
      </c>
      <c r="N805" s="36">
        <f>IFERROR(IF(K805&gt;0, L805/K805, 0),"-")</f>
        <v>0.125</v>
      </c>
      <c r="O805" s="32">
        <v>8</v>
      </c>
      <c r="P805" s="32" t="s">
        <v>959</v>
      </c>
      <c r="Q805" s="32">
        <f>IF(OR(P805="-",P805="",P805=0),IF(O805="-","-",O805),O805-P805)</f>
        <v>8</v>
      </c>
      <c r="R805" s="36" t="str">
        <f>IFERROR(IF(O805&gt;0, P805/O805, 0),"-")</f>
        <v>-</v>
      </c>
      <c r="S805" s="32">
        <v>218</v>
      </c>
      <c r="T805" s="32">
        <v>3</v>
      </c>
      <c r="U805" s="32">
        <v>3695</v>
      </c>
      <c r="V805" s="32">
        <v>2</v>
      </c>
      <c r="W805" s="32">
        <v>47799</v>
      </c>
    </row>
    <row r="806" spans="1:23" x14ac:dyDescent="0.2">
      <c r="A806" s="30" t="s">
        <v>356</v>
      </c>
      <c r="B806" s="30" t="s">
        <v>1464</v>
      </c>
      <c r="C806" s="34">
        <v>192</v>
      </c>
      <c r="D806" s="35">
        <v>190</v>
      </c>
      <c r="E806" s="34">
        <f>IF(OR(D806="-",D806="",D806=0),IF(C806="-","-",C806),C806-D806)</f>
        <v>2</v>
      </c>
      <c r="F806" s="4">
        <f>IFERROR(IF(C806&gt;0, D806/C806, 0),"-")</f>
        <v>0.98958333333333337</v>
      </c>
      <c r="G806" s="34" t="s">
        <v>959</v>
      </c>
      <c r="H806" s="35" t="s">
        <v>959</v>
      </c>
      <c r="I806" s="34" t="str">
        <f>IF(OR(H806="-",H806="",H806=0),IF(G806="-","-",G806),G806-H806)</f>
        <v>-</v>
      </c>
      <c r="J806" s="4" t="str">
        <f>IFERROR(IF(G806&gt;0, H806/G806, 0),"-")</f>
        <v>-</v>
      </c>
      <c r="K806" s="34">
        <v>3</v>
      </c>
      <c r="L806" s="35" t="s">
        <v>959</v>
      </c>
      <c r="M806" s="34">
        <f>IF(OR(L806="-",L806="",L806=0),IF(K806="-","-",K806),K806-L806)</f>
        <v>3</v>
      </c>
      <c r="N806" s="4" t="str">
        <f>IFERROR(IF(K806&gt;0, L806/K806, 0),"-")</f>
        <v>-</v>
      </c>
      <c r="O806" s="34">
        <v>3</v>
      </c>
      <c r="P806" s="35" t="s">
        <v>959</v>
      </c>
      <c r="Q806" s="34">
        <f>IF(OR(P806="-",P806="",P806=0),IF(O806="-","-",O806),O806-P806)</f>
        <v>3</v>
      </c>
      <c r="R806" s="4" t="str">
        <f>IFERROR(IF(O806&gt;0, P806/O806, 0),"-")</f>
        <v>-</v>
      </c>
      <c r="S806" s="34">
        <v>50</v>
      </c>
      <c r="T806" s="34" t="s">
        <v>959</v>
      </c>
      <c r="U806" s="34" t="s">
        <v>959</v>
      </c>
      <c r="V806" s="35" t="s">
        <v>959</v>
      </c>
      <c r="W806" s="35" t="s">
        <v>959</v>
      </c>
    </row>
    <row r="807" spans="1:23" x14ac:dyDescent="0.2">
      <c r="A807" s="30" t="s">
        <v>353</v>
      </c>
      <c r="B807" s="30" t="s">
        <v>1465</v>
      </c>
      <c r="C807" s="34">
        <v>253</v>
      </c>
      <c r="D807" s="35">
        <v>243</v>
      </c>
      <c r="E807" s="34">
        <f>IF(OR(D807="-",D807="",D807=0),IF(C807="-","-",C807),C807-D807)</f>
        <v>10</v>
      </c>
      <c r="F807" s="4">
        <f>IFERROR(IF(C807&gt;0, D807/C807, 0),"-")</f>
        <v>0.96047430830039526</v>
      </c>
      <c r="G807" s="34">
        <v>2</v>
      </c>
      <c r="H807" s="35" t="s">
        <v>959</v>
      </c>
      <c r="I807" s="34">
        <f>IF(OR(H807="-",H807="",H807=0),IF(G807="-","-",G807),G807-H807)</f>
        <v>2</v>
      </c>
      <c r="J807" s="4" t="str">
        <f>IFERROR(IF(G807&gt;0, H807/G807, 0),"-")</f>
        <v>-</v>
      </c>
      <c r="K807" s="34">
        <v>4</v>
      </c>
      <c r="L807" s="35">
        <v>1</v>
      </c>
      <c r="M807" s="34">
        <f>IF(OR(L807="-",L807="",L807=0),IF(K807="-","-",K807),K807-L807)</f>
        <v>3</v>
      </c>
      <c r="N807" s="4">
        <f>IFERROR(IF(K807&gt;0, L807/K807, 0),"-")</f>
        <v>0.25</v>
      </c>
      <c r="O807" s="34">
        <v>2</v>
      </c>
      <c r="P807" s="35" t="s">
        <v>959</v>
      </c>
      <c r="Q807" s="34">
        <f>IF(OR(P807="-",P807="",P807=0),IF(O807="-","-",O807),O807-P807)</f>
        <v>2</v>
      </c>
      <c r="R807" s="4" t="str">
        <f>IFERROR(IF(O807&gt;0, P807/O807, 0),"-")</f>
        <v>-</v>
      </c>
      <c r="S807" s="34">
        <v>95</v>
      </c>
      <c r="T807" s="34">
        <v>2</v>
      </c>
      <c r="U807" s="34">
        <v>1000</v>
      </c>
      <c r="V807" s="35">
        <v>2</v>
      </c>
      <c r="W807" s="35">
        <v>47799</v>
      </c>
    </row>
    <row r="808" spans="1:23" x14ac:dyDescent="0.2">
      <c r="A808" s="30" t="s">
        <v>354</v>
      </c>
      <c r="B808" s="30" t="s">
        <v>1466</v>
      </c>
      <c r="C808" s="34">
        <v>179</v>
      </c>
      <c r="D808" s="35">
        <v>173</v>
      </c>
      <c r="E808" s="34">
        <f>IF(OR(D808="-",D808="",D808=0),IF(C808="-","-",C808),C808-D808)</f>
        <v>6</v>
      </c>
      <c r="F808" s="4">
        <f>IFERROR(IF(C808&gt;0, D808/C808, 0),"-")</f>
        <v>0.96648044692737434</v>
      </c>
      <c r="G808" s="34">
        <v>2</v>
      </c>
      <c r="H808" s="35" t="s">
        <v>959</v>
      </c>
      <c r="I808" s="34">
        <f>IF(OR(H808="-",H808="",H808=0),IF(G808="-","-",G808),G808-H808)</f>
        <v>2</v>
      </c>
      <c r="J808" s="4" t="str">
        <f>IFERROR(IF(G808&gt;0, H808/G808, 0),"-")</f>
        <v>-</v>
      </c>
      <c r="K808" s="34" t="s">
        <v>959</v>
      </c>
      <c r="L808" s="35" t="s">
        <v>959</v>
      </c>
      <c r="M808" s="34" t="str">
        <f>IF(OR(L808="-",L808="",L808=0),IF(K808="-","-",K808),K808-L808)</f>
        <v>-</v>
      </c>
      <c r="N808" s="4" t="str">
        <f>IFERROR(IF(K808&gt;0, L808/K808, 0),"-")</f>
        <v>-</v>
      </c>
      <c r="O808" s="34" t="s">
        <v>959</v>
      </c>
      <c r="P808" s="35" t="s">
        <v>959</v>
      </c>
      <c r="Q808" s="34" t="str">
        <f>IF(OR(P808="-",P808="",P808=0),IF(O808="-","-",O808),O808-P808)</f>
        <v>-</v>
      </c>
      <c r="R808" s="4" t="str">
        <f>IFERROR(IF(O808&gt;0, P808/O808, 0),"-")</f>
        <v>-</v>
      </c>
      <c r="S808" s="34">
        <v>54</v>
      </c>
      <c r="T808" s="34">
        <v>1</v>
      </c>
      <c r="U808" s="34">
        <v>2695</v>
      </c>
      <c r="V808" s="35" t="s">
        <v>959</v>
      </c>
      <c r="W808" s="35" t="s">
        <v>959</v>
      </c>
    </row>
    <row r="809" spans="1:23" x14ac:dyDescent="0.2">
      <c r="A809" s="30" t="s">
        <v>355</v>
      </c>
      <c r="B809" s="30" t="s">
        <v>1467</v>
      </c>
      <c r="C809" s="34">
        <v>116</v>
      </c>
      <c r="D809" s="35">
        <v>114</v>
      </c>
      <c r="E809" s="34">
        <f>IF(OR(D809="-",D809="",D809=0),IF(C809="-","-",C809),C809-D809)</f>
        <v>2</v>
      </c>
      <c r="F809" s="4">
        <f>IFERROR(IF(C809&gt;0, D809/C809, 0),"-")</f>
        <v>0.98275862068965514</v>
      </c>
      <c r="G809" s="34">
        <v>1</v>
      </c>
      <c r="H809" s="35" t="s">
        <v>959</v>
      </c>
      <c r="I809" s="34">
        <f>IF(OR(H809="-",H809="",H809=0),IF(G809="-","-",G809),G809-H809)</f>
        <v>1</v>
      </c>
      <c r="J809" s="4" t="str">
        <f>IFERROR(IF(G809&gt;0, H809/G809, 0),"-")</f>
        <v>-</v>
      </c>
      <c r="K809" s="34">
        <v>1</v>
      </c>
      <c r="L809" s="35" t="s">
        <v>959</v>
      </c>
      <c r="M809" s="34">
        <f>IF(OR(L809="-",L809="",L809=0),IF(K809="-","-",K809),K809-L809)</f>
        <v>1</v>
      </c>
      <c r="N809" s="4" t="str">
        <f>IFERROR(IF(K809&gt;0, L809/K809, 0),"-")</f>
        <v>-</v>
      </c>
      <c r="O809" s="34">
        <v>3</v>
      </c>
      <c r="P809" s="35" t="s">
        <v>959</v>
      </c>
      <c r="Q809" s="34">
        <f>IF(OR(P809="-",P809="",P809=0),IF(O809="-","-",O809),O809-P809)</f>
        <v>3</v>
      </c>
      <c r="R809" s="4" t="str">
        <f>IFERROR(IF(O809&gt;0, P809/O809, 0),"-")</f>
        <v>-</v>
      </c>
      <c r="S809" s="34">
        <v>19</v>
      </c>
      <c r="T809" s="34" t="s">
        <v>959</v>
      </c>
      <c r="U809" s="34" t="s">
        <v>959</v>
      </c>
      <c r="V809" s="35" t="s">
        <v>959</v>
      </c>
      <c r="W809" s="35" t="s">
        <v>959</v>
      </c>
    </row>
    <row r="810" spans="1:23" x14ac:dyDescent="0.2">
      <c r="A810" s="29"/>
      <c r="B810" s="29" t="s">
        <v>80</v>
      </c>
      <c r="C810" s="32">
        <v>316</v>
      </c>
      <c r="D810" s="32">
        <v>308</v>
      </c>
      <c r="E810" s="32">
        <f>IF(OR(D810="-",D810="",D810=0),IF(C810="-","-",C810),C810-D810)</f>
        <v>8</v>
      </c>
      <c r="F810" s="36">
        <f>IFERROR(IF(C810&gt;0, D810/C810, 0),"-")</f>
        <v>0.97468354430379744</v>
      </c>
      <c r="G810" s="32">
        <v>8</v>
      </c>
      <c r="H810" s="32">
        <v>5</v>
      </c>
      <c r="I810" s="32">
        <f>IF(OR(H810="-",H810="",H810=0),IF(G810="-","-",G810),G810-H810)</f>
        <v>3</v>
      </c>
      <c r="J810" s="36">
        <f>IFERROR(IF(G810&gt;0, H810/G810, 0),"-")</f>
        <v>0.625</v>
      </c>
      <c r="K810" s="32">
        <v>10</v>
      </c>
      <c r="L810" s="32">
        <v>4</v>
      </c>
      <c r="M810" s="32">
        <f>IF(OR(L810="-",L810="",L810=0),IF(K810="-","-",K810),K810-L810)</f>
        <v>6</v>
      </c>
      <c r="N810" s="36">
        <f>IFERROR(IF(K810&gt;0, L810/K810, 0),"-")</f>
        <v>0.4</v>
      </c>
      <c r="O810" s="32">
        <v>5</v>
      </c>
      <c r="P810" s="32">
        <v>1</v>
      </c>
      <c r="Q810" s="32">
        <f>IF(OR(P810="-",P810="",P810=0),IF(O810="-","-",O810),O810-P810)</f>
        <v>4</v>
      </c>
      <c r="R810" s="36">
        <f>IFERROR(IF(O810&gt;0, P810/O810, 0),"-")</f>
        <v>0.2</v>
      </c>
      <c r="S810" s="32">
        <v>12</v>
      </c>
      <c r="T810" s="32" t="s">
        <v>959</v>
      </c>
      <c r="U810" s="32" t="s">
        <v>959</v>
      </c>
      <c r="V810" s="32" t="s">
        <v>959</v>
      </c>
      <c r="W810" s="32" t="s">
        <v>959</v>
      </c>
    </row>
    <row r="811" spans="1:23" x14ac:dyDescent="0.2">
      <c r="A811" s="30" t="s">
        <v>535</v>
      </c>
      <c r="B811" s="30" t="s">
        <v>1468</v>
      </c>
      <c r="C811" s="34">
        <v>187</v>
      </c>
      <c r="D811" s="35">
        <v>186</v>
      </c>
      <c r="E811" s="34">
        <f>IF(OR(D811="-",D811="",D811=0),IF(C811="-","-",C811),C811-D811)</f>
        <v>1</v>
      </c>
      <c r="F811" s="4">
        <f>IFERROR(IF(C811&gt;0, D811/C811, 0),"-")</f>
        <v>0.99465240641711228</v>
      </c>
      <c r="G811" s="34" t="s">
        <v>959</v>
      </c>
      <c r="H811" s="35" t="s">
        <v>959</v>
      </c>
      <c r="I811" s="34" t="str">
        <f>IF(OR(H811="-",H811="",H811=0),IF(G811="-","-",G811),G811-H811)</f>
        <v>-</v>
      </c>
      <c r="J811" s="4" t="str">
        <f>IFERROR(IF(G811&gt;0, H811/G811, 0),"-")</f>
        <v>-</v>
      </c>
      <c r="K811" s="34" t="s">
        <v>959</v>
      </c>
      <c r="L811" s="35" t="s">
        <v>959</v>
      </c>
      <c r="M811" s="34" t="str">
        <f>IF(OR(L811="-",L811="",L811=0),IF(K811="-","-",K811),K811-L811)</f>
        <v>-</v>
      </c>
      <c r="N811" s="4" t="str">
        <f>IFERROR(IF(K811&gt;0, L811/K811, 0),"-")</f>
        <v>-</v>
      </c>
      <c r="O811" s="34" t="s">
        <v>959</v>
      </c>
      <c r="P811" s="35" t="s">
        <v>959</v>
      </c>
      <c r="Q811" s="34" t="str">
        <f>IF(OR(P811="-",P811="",P811=0),IF(O811="-","-",O811),O811-P811)</f>
        <v>-</v>
      </c>
      <c r="R811" s="4" t="str">
        <f>IFERROR(IF(O811&gt;0, P811/O811, 0),"-")</f>
        <v>-</v>
      </c>
      <c r="S811" s="34">
        <v>2</v>
      </c>
      <c r="T811" s="34" t="s">
        <v>959</v>
      </c>
      <c r="U811" s="34" t="s">
        <v>959</v>
      </c>
      <c r="V811" s="35" t="s">
        <v>959</v>
      </c>
      <c r="W811" s="35" t="s">
        <v>959</v>
      </c>
    </row>
    <row r="812" spans="1:23" x14ac:dyDescent="0.2">
      <c r="A812" s="30" t="s">
        <v>536</v>
      </c>
      <c r="B812" s="30" t="s">
        <v>1469</v>
      </c>
      <c r="C812" s="34">
        <v>78</v>
      </c>
      <c r="D812" s="35">
        <v>76</v>
      </c>
      <c r="E812" s="34">
        <f>IF(OR(D812="-",D812="",D812=0),IF(C812="-","-",C812),C812-D812)</f>
        <v>2</v>
      </c>
      <c r="F812" s="4">
        <f>IFERROR(IF(C812&gt;0, D812/C812, 0),"-")</f>
        <v>0.97435897435897434</v>
      </c>
      <c r="G812" s="34">
        <v>2</v>
      </c>
      <c r="H812" s="35">
        <v>2</v>
      </c>
      <c r="I812" s="34">
        <f>IF(OR(H812="-",H812="",H812=0),IF(G812="-","-",G812),G812-H812)</f>
        <v>0</v>
      </c>
      <c r="J812" s="4">
        <f>IFERROR(IF(G812&gt;0, H812/G812, 0),"-")</f>
        <v>1</v>
      </c>
      <c r="K812" s="34">
        <v>3</v>
      </c>
      <c r="L812" s="35" t="s">
        <v>959</v>
      </c>
      <c r="M812" s="34">
        <f>IF(OR(L812="-",L812="",L812=0),IF(K812="-","-",K812),K812-L812)</f>
        <v>3</v>
      </c>
      <c r="N812" s="4" t="str">
        <f>IFERROR(IF(K812&gt;0, L812/K812, 0),"-")</f>
        <v>-</v>
      </c>
      <c r="O812" s="34">
        <v>3</v>
      </c>
      <c r="P812" s="35">
        <v>1</v>
      </c>
      <c r="Q812" s="34">
        <f>IF(OR(P812="-",P812="",P812=0),IF(O812="-","-",O812),O812-P812)</f>
        <v>2</v>
      </c>
      <c r="R812" s="4">
        <f>IFERROR(IF(O812&gt;0, P812/O812, 0),"-")</f>
        <v>0.33333333333333331</v>
      </c>
      <c r="S812" s="34">
        <v>5</v>
      </c>
      <c r="T812" s="34" t="s">
        <v>959</v>
      </c>
      <c r="U812" s="34" t="s">
        <v>959</v>
      </c>
      <c r="V812" s="35" t="s">
        <v>959</v>
      </c>
      <c r="W812" s="35" t="s">
        <v>959</v>
      </c>
    </row>
    <row r="813" spans="1:23" x14ac:dyDescent="0.2">
      <c r="A813" s="30" t="s">
        <v>538</v>
      </c>
      <c r="B813" s="30" t="s">
        <v>1470</v>
      </c>
      <c r="C813" s="34">
        <v>12</v>
      </c>
      <c r="D813" s="35">
        <v>12</v>
      </c>
      <c r="E813" s="34">
        <f>IF(OR(D813="-",D813="",D813=0),IF(C813="-","-",C813),C813-D813)</f>
        <v>0</v>
      </c>
      <c r="F813" s="4">
        <f>IFERROR(IF(C813&gt;0, D813/C813, 0),"-")</f>
        <v>1</v>
      </c>
      <c r="G813" s="34">
        <v>2</v>
      </c>
      <c r="H813" s="35">
        <v>2</v>
      </c>
      <c r="I813" s="34">
        <f>IF(OR(H813="-",H813="",H813=0),IF(G813="-","-",G813),G813-H813)</f>
        <v>0</v>
      </c>
      <c r="J813" s="4">
        <f>IFERROR(IF(G813&gt;0, H813/G813, 0),"-")</f>
        <v>1</v>
      </c>
      <c r="K813" s="34" t="s">
        <v>959</v>
      </c>
      <c r="L813" s="35" t="s">
        <v>959</v>
      </c>
      <c r="M813" s="34" t="str">
        <f>IF(OR(L813="-",L813="",L813=0),IF(K813="-","-",K813),K813-L813)</f>
        <v>-</v>
      </c>
      <c r="N813" s="4" t="str">
        <f>IFERROR(IF(K813&gt;0, L813/K813, 0),"-")</f>
        <v>-</v>
      </c>
      <c r="O813" s="34">
        <v>2</v>
      </c>
      <c r="P813" s="35" t="s">
        <v>959</v>
      </c>
      <c r="Q813" s="34">
        <f>IF(OR(P813="-",P813="",P813=0),IF(O813="-","-",O813),O813-P813)</f>
        <v>2</v>
      </c>
      <c r="R813" s="4" t="str">
        <f>IFERROR(IF(O813&gt;0, P813/O813, 0),"-")</f>
        <v>-</v>
      </c>
      <c r="S813" s="34">
        <v>4</v>
      </c>
      <c r="T813" s="34" t="s">
        <v>959</v>
      </c>
      <c r="U813" s="34" t="s">
        <v>959</v>
      </c>
      <c r="V813" s="35" t="s">
        <v>959</v>
      </c>
      <c r="W813" s="35" t="s">
        <v>959</v>
      </c>
    </row>
    <row r="814" spans="1:23" x14ac:dyDescent="0.2">
      <c r="A814" s="30" t="s">
        <v>537</v>
      </c>
      <c r="B814" s="30" t="s">
        <v>1471</v>
      </c>
      <c r="C814" s="34">
        <v>39</v>
      </c>
      <c r="D814" s="35">
        <v>34</v>
      </c>
      <c r="E814" s="34">
        <f>IF(OR(D814="-",D814="",D814=0),IF(C814="-","-",C814),C814-D814)</f>
        <v>5</v>
      </c>
      <c r="F814" s="4">
        <f>IFERROR(IF(C814&gt;0, D814/C814, 0),"-")</f>
        <v>0.87179487179487181</v>
      </c>
      <c r="G814" s="34">
        <v>4</v>
      </c>
      <c r="H814" s="35">
        <v>1</v>
      </c>
      <c r="I814" s="34">
        <f>IF(OR(H814="-",H814="",H814=0),IF(G814="-","-",G814),G814-H814)</f>
        <v>3</v>
      </c>
      <c r="J814" s="4">
        <f>IFERROR(IF(G814&gt;0, H814/G814, 0),"-")</f>
        <v>0.25</v>
      </c>
      <c r="K814" s="34">
        <v>7</v>
      </c>
      <c r="L814" s="35">
        <v>4</v>
      </c>
      <c r="M814" s="34">
        <f>IF(OR(L814="-",L814="",L814=0),IF(K814="-","-",K814),K814-L814)</f>
        <v>3</v>
      </c>
      <c r="N814" s="4">
        <f>IFERROR(IF(K814&gt;0, L814/K814, 0),"-")</f>
        <v>0.5714285714285714</v>
      </c>
      <c r="O814" s="34" t="s">
        <v>959</v>
      </c>
      <c r="P814" s="35" t="s">
        <v>959</v>
      </c>
      <c r="Q814" s="34" t="str">
        <f>IF(OR(P814="-",P814="",P814=0),IF(O814="-","-",O814),O814-P814)</f>
        <v>-</v>
      </c>
      <c r="R814" s="4" t="str">
        <f>IFERROR(IF(O814&gt;0, P814/O814, 0),"-")</f>
        <v>-</v>
      </c>
      <c r="S814" s="34">
        <v>1</v>
      </c>
      <c r="T814" s="34" t="s">
        <v>959</v>
      </c>
      <c r="U814" s="34" t="s">
        <v>959</v>
      </c>
      <c r="V814" s="35" t="s">
        <v>959</v>
      </c>
      <c r="W814" s="35" t="s">
        <v>959</v>
      </c>
    </row>
    <row r="815" spans="1:23" x14ac:dyDescent="0.2">
      <c r="A815" s="29"/>
      <c r="B815" s="29" t="s">
        <v>45</v>
      </c>
      <c r="C815" s="32">
        <v>1420</v>
      </c>
      <c r="D815" s="32">
        <v>1397</v>
      </c>
      <c r="E815" s="32">
        <f>IF(OR(D815="-",D815="",D815=0),IF(C815="-","-",C815),C815-D815)</f>
        <v>23</v>
      </c>
      <c r="F815" s="36">
        <f>IFERROR(IF(C815&gt;0, D815/C815, 0),"-")</f>
        <v>0.98380281690140847</v>
      </c>
      <c r="G815" s="32">
        <v>24</v>
      </c>
      <c r="H815" s="32">
        <v>14</v>
      </c>
      <c r="I815" s="32">
        <f>IF(OR(H815="-",H815="",H815=0),IF(G815="-","-",G815),G815-H815)</f>
        <v>10</v>
      </c>
      <c r="J815" s="36">
        <f>IFERROR(IF(G815&gt;0, H815/G815, 0),"-")</f>
        <v>0.58333333333333337</v>
      </c>
      <c r="K815" s="32">
        <v>27</v>
      </c>
      <c r="L815" s="32">
        <v>11</v>
      </c>
      <c r="M815" s="32">
        <f>IF(OR(L815="-",L815="",L815=0),IF(K815="-","-",K815),K815-L815)</f>
        <v>16</v>
      </c>
      <c r="N815" s="36">
        <f>IFERROR(IF(K815&gt;0, L815/K815, 0),"-")</f>
        <v>0.40740740740740738</v>
      </c>
      <c r="O815" s="32">
        <v>32</v>
      </c>
      <c r="P815" s="32">
        <v>9</v>
      </c>
      <c r="Q815" s="32">
        <f>IF(OR(P815="-",P815="",P815=0),IF(O815="-","-",O815),O815-P815)</f>
        <v>23</v>
      </c>
      <c r="R815" s="36">
        <f>IFERROR(IF(O815&gt;0, P815/O815, 0),"-")</f>
        <v>0.28125</v>
      </c>
      <c r="S815" s="32">
        <v>1574</v>
      </c>
      <c r="T815" s="32">
        <v>55</v>
      </c>
      <c r="U815" s="32">
        <v>140694</v>
      </c>
      <c r="V815" s="32">
        <v>19</v>
      </c>
      <c r="W815" s="32">
        <v>464645</v>
      </c>
    </row>
    <row r="816" spans="1:23" x14ac:dyDescent="0.2">
      <c r="A816" s="30" t="s">
        <v>244</v>
      </c>
      <c r="B816" s="30" t="s">
        <v>1472</v>
      </c>
      <c r="C816" s="34">
        <v>251</v>
      </c>
      <c r="D816" s="35">
        <v>250</v>
      </c>
      <c r="E816" s="34">
        <f>IF(OR(D816="-",D816="",D816=0),IF(C816="-","-",C816),C816-D816)</f>
        <v>1</v>
      </c>
      <c r="F816" s="4">
        <f>IFERROR(IF(C816&gt;0, D816/C816, 0),"-")</f>
        <v>0.99601593625498008</v>
      </c>
      <c r="G816" s="34">
        <v>4</v>
      </c>
      <c r="H816" s="35">
        <v>2</v>
      </c>
      <c r="I816" s="34">
        <f>IF(OR(H816="-",H816="",H816=0),IF(G816="-","-",G816),G816-H816)</f>
        <v>2</v>
      </c>
      <c r="J816" s="4">
        <f>IFERROR(IF(G816&gt;0, H816/G816, 0),"-")</f>
        <v>0.5</v>
      </c>
      <c r="K816" s="34">
        <v>3</v>
      </c>
      <c r="L816" s="35" t="s">
        <v>959</v>
      </c>
      <c r="M816" s="34">
        <f>IF(OR(L816="-",L816="",L816=0),IF(K816="-","-",K816),K816-L816)</f>
        <v>3</v>
      </c>
      <c r="N816" s="4" t="str">
        <f>IFERROR(IF(K816&gt;0, L816/K816, 0),"-")</f>
        <v>-</v>
      </c>
      <c r="O816" s="34">
        <v>5</v>
      </c>
      <c r="P816" s="35">
        <v>2</v>
      </c>
      <c r="Q816" s="34">
        <f>IF(OR(P816="-",P816="",P816=0),IF(O816="-","-",O816),O816-P816)</f>
        <v>3</v>
      </c>
      <c r="R816" s="4">
        <f>IFERROR(IF(O816&gt;0, P816/O816, 0),"-")</f>
        <v>0.4</v>
      </c>
      <c r="S816" s="34">
        <v>299</v>
      </c>
      <c r="T816" s="34">
        <v>13</v>
      </c>
      <c r="U816" s="34">
        <v>18959</v>
      </c>
      <c r="V816" s="35">
        <v>4</v>
      </c>
      <c r="W816" s="35">
        <v>123518</v>
      </c>
    </row>
    <row r="817" spans="1:23" x14ac:dyDescent="0.2">
      <c r="A817" s="30" t="s">
        <v>247</v>
      </c>
      <c r="B817" s="30" t="s">
        <v>1473</v>
      </c>
      <c r="C817" s="34">
        <v>227</v>
      </c>
      <c r="D817" s="35">
        <v>218</v>
      </c>
      <c r="E817" s="34">
        <f>IF(OR(D817="-",D817="",D817=0),IF(C817="-","-",C817),C817-D817)</f>
        <v>9</v>
      </c>
      <c r="F817" s="4">
        <f>IFERROR(IF(C817&gt;0, D817/C817, 0),"-")</f>
        <v>0.96035242290748901</v>
      </c>
      <c r="G817" s="34">
        <v>2</v>
      </c>
      <c r="H817" s="35">
        <v>2</v>
      </c>
      <c r="I817" s="34">
        <f>IF(OR(H817="-",H817="",H817=0),IF(G817="-","-",G817),G817-H817)</f>
        <v>0</v>
      </c>
      <c r="J817" s="4">
        <f>IFERROR(IF(G817&gt;0, H817/G817, 0),"-")</f>
        <v>1</v>
      </c>
      <c r="K817" s="34">
        <v>3</v>
      </c>
      <c r="L817" s="35">
        <v>3</v>
      </c>
      <c r="M817" s="34">
        <f>IF(OR(L817="-",L817="",L817=0),IF(K817="-","-",K817),K817-L817)</f>
        <v>0</v>
      </c>
      <c r="N817" s="4">
        <f>IFERROR(IF(K817&gt;0, L817/K817, 0),"-")</f>
        <v>1</v>
      </c>
      <c r="O817" s="34">
        <v>4</v>
      </c>
      <c r="P817" s="35">
        <v>2</v>
      </c>
      <c r="Q817" s="34">
        <f>IF(OR(P817="-",P817="",P817=0),IF(O817="-","-",O817),O817-P817)</f>
        <v>2</v>
      </c>
      <c r="R817" s="4">
        <f>IFERROR(IF(O817&gt;0, P817/O817, 0),"-")</f>
        <v>0.5</v>
      </c>
      <c r="S817" s="34">
        <v>227</v>
      </c>
      <c r="T817" s="34">
        <v>5</v>
      </c>
      <c r="U817" s="34">
        <v>36520</v>
      </c>
      <c r="V817" s="35">
        <v>1</v>
      </c>
      <c r="W817" s="35">
        <v>16736</v>
      </c>
    </row>
    <row r="818" spans="1:23" x14ac:dyDescent="0.2">
      <c r="A818" s="30" t="s">
        <v>267</v>
      </c>
      <c r="B818" s="30" t="s">
        <v>1474</v>
      </c>
      <c r="C818" s="34">
        <v>28</v>
      </c>
      <c r="D818" s="35">
        <v>28</v>
      </c>
      <c r="E818" s="34">
        <f>IF(OR(D818="-",D818="",D818=0),IF(C818="-","-",C818),C818-D818)</f>
        <v>0</v>
      </c>
      <c r="F818" s="4">
        <f>IFERROR(IF(C818&gt;0, D818/C818, 0),"-")</f>
        <v>1</v>
      </c>
      <c r="G818" s="34">
        <v>1</v>
      </c>
      <c r="H818" s="35" t="s">
        <v>959</v>
      </c>
      <c r="I818" s="34">
        <f>IF(OR(H818="-",H818="",H818=0),IF(G818="-","-",G818),G818-H818)</f>
        <v>1</v>
      </c>
      <c r="J818" s="4" t="str">
        <f>IFERROR(IF(G818&gt;0, H818/G818, 0),"-")</f>
        <v>-</v>
      </c>
      <c r="K818" s="34" t="s">
        <v>959</v>
      </c>
      <c r="L818" s="35" t="s">
        <v>959</v>
      </c>
      <c r="M818" s="34" t="str">
        <f>IF(OR(L818="-",L818="",L818=0),IF(K818="-","-",K818),K818-L818)</f>
        <v>-</v>
      </c>
      <c r="N818" s="4" t="str">
        <f>IFERROR(IF(K818&gt;0, L818/K818, 0),"-")</f>
        <v>-</v>
      </c>
      <c r="O818" s="34" t="s">
        <v>959</v>
      </c>
      <c r="P818" s="35" t="s">
        <v>959</v>
      </c>
      <c r="Q818" s="34" t="str">
        <f>IF(OR(P818="-",P818="",P818=0),IF(O818="-","-",O818),O818-P818)</f>
        <v>-</v>
      </c>
      <c r="R818" s="4" t="str">
        <f>IFERROR(IF(O818&gt;0, P818/O818, 0),"-")</f>
        <v>-</v>
      </c>
      <c r="S818" s="34" t="s">
        <v>959</v>
      </c>
      <c r="T818" s="34" t="s">
        <v>959</v>
      </c>
      <c r="U818" s="34" t="s">
        <v>959</v>
      </c>
      <c r="V818" s="35" t="s">
        <v>959</v>
      </c>
      <c r="W818" s="35" t="s">
        <v>959</v>
      </c>
    </row>
    <row r="819" spans="1:23" x14ac:dyDescent="0.2">
      <c r="A819" s="30" t="s">
        <v>246</v>
      </c>
      <c r="B819" s="30" t="s">
        <v>1475</v>
      </c>
      <c r="C819" s="34">
        <v>198</v>
      </c>
      <c r="D819" s="35">
        <v>195</v>
      </c>
      <c r="E819" s="34">
        <f>IF(OR(D819="-",D819="",D819=0),IF(C819="-","-",C819),C819-D819)</f>
        <v>3</v>
      </c>
      <c r="F819" s="4">
        <f>IFERROR(IF(C819&gt;0, D819/C819, 0),"-")</f>
        <v>0.98484848484848486</v>
      </c>
      <c r="G819" s="34">
        <v>6</v>
      </c>
      <c r="H819" s="35">
        <v>4</v>
      </c>
      <c r="I819" s="34">
        <f>IF(OR(H819="-",H819="",H819=0),IF(G819="-","-",G819),G819-H819)</f>
        <v>2</v>
      </c>
      <c r="J819" s="4">
        <f>IFERROR(IF(G819&gt;0, H819/G819, 0),"-")</f>
        <v>0.66666666666666663</v>
      </c>
      <c r="K819" s="34">
        <v>2</v>
      </c>
      <c r="L819" s="35" t="s">
        <v>959</v>
      </c>
      <c r="M819" s="34">
        <f>IF(OR(L819="-",L819="",L819=0),IF(K819="-","-",K819),K819-L819)</f>
        <v>2</v>
      </c>
      <c r="N819" s="4" t="str">
        <f>IFERROR(IF(K819&gt;0, L819/K819, 0),"-")</f>
        <v>-</v>
      </c>
      <c r="O819" s="34">
        <v>7</v>
      </c>
      <c r="P819" s="35">
        <v>1</v>
      </c>
      <c r="Q819" s="34">
        <f>IF(OR(P819="-",P819="",P819=0),IF(O819="-","-",O819),O819-P819)</f>
        <v>6</v>
      </c>
      <c r="R819" s="4">
        <f>IFERROR(IF(O819&gt;0, P819/O819, 0),"-")</f>
        <v>0.14285714285714285</v>
      </c>
      <c r="S819" s="34">
        <v>259</v>
      </c>
      <c r="T819" s="34">
        <v>2</v>
      </c>
      <c r="U819" s="34">
        <v>5390</v>
      </c>
      <c r="V819" s="35">
        <v>2</v>
      </c>
      <c r="W819" s="35">
        <v>65918</v>
      </c>
    </row>
    <row r="820" spans="1:23" x14ac:dyDescent="0.2">
      <c r="A820" s="30" t="s">
        <v>245</v>
      </c>
      <c r="B820" s="30" t="s">
        <v>1476</v>
      </c>
      <c r="C820" s="34">
        <v>208</v>
      </c>
      <c r="D820" s="35">
        <v>207</v>
      </c>
      <c r="E820" s="34">
        <f>IF(OR(D820="-",D820="",D820=0),IF(C820="-","-",C820),C820-D820)</f>
        <v>1</v>
      </c>
      <c r="F820" s="4">
        <f>IFERROR(IF(C820&gt;0, D820/C820, 0),"-")</f>
        <v>0.99519230769230771</v>
      </c>
      <c r="G820" s="34">
        <v>2</v>
      </c>
      <c r="H820" s="35">
        <v>1</v>
      </c>
      <c r="I820" s="34">
        <f>IF(OR(H820="-",H820="",H820=0),IF(G820="-","-",G820),G820-H820)</f>
        <v>1</v>
      </c>
      <c r="J820" s="4">
        <f>IFERROR(IF(G820&gt;0, H820/G820, 0),"-")</f>
        <v>0.5</v>
      </c>
      <c r="K820" s="34">
        <v>7</v>
      </c>
      <c r="L820" s="35">
        <v>4</v>
      </c>
      <c r="M820" s="34">
        <f>IF(OR(L820="-",L820="",L820=0),IF(K820="-","-",K820),K820-L820)</f>
        <v>3</v>
      </c>
      <c r="N820" s="4">
        <f>IFERROR(IF(K820&gt;0, L820/K820, 0),"-")</f>
        <v>0.5714285714285714</v>
      </c>
      <c r="O820" s="34">
        <v>3</v>
      </c>
      <c r="P820" s="35">
        <v>2</v>
      </c>
      <c r="Q820" s="34">
        <f>IF(OR(P820="-",P820="",P820=0),IF(O820="-","-",O820),O820-P820)</f>
        <v>1</v>
      </c>
      <c r="R820" s="4">
        <f>IFERROR(IF(O820&gt;0, P820/O820, 0),"-")</f>
        <v>0.66666666666666663</v>
      </c>
      <c r="S820" s="34">
        <v>208</v>
      </c>
      <c r="T820" s="34">
        <v>18</v>
      </c>
      <c r="U820" s="34">
        <v>22065</v>
      </c>
      <c r="V820" s="35">
        <v>4</v>
      </c>
      <c r="W820" s="35">
        <v>77796</v>
      </c>
    </row>
    <row r="821" spans="1:23" x14ac:dyDescent="0.2">
      <c r="A821" s="30" t="s">
        <v>242</v>
      </c>
      <c r="B821" s="30" t="s">
        <v>1477</v>
      </c>
      <c r="C821" s="34">
        <v>252</v>
      </c>
      <c r="D821" s="35">
        <v>245</v>
      </c>
      <c r="E821" s="34">
        <f>IF(OR(D821="-",D821="",D821=0),IF(C821="-","-",C821),C821-D821)</f>
        <v>7</v>
      </c>
      <c r="F821" s="4">
        <f>IFERROR(IF(C821&gt;0, D821/C821, 0),"-")</f>
        <v>0.97222222222222221</v>
      </c>
      <c r="G821" s="34">
        <v>4</v>
      </c>
      <c r="H821" s="35">
        <v>2</v>
      </c>
      <c r="I821" s="34">
        <f>IF(OR(H821="-",H821="",H821=0),IF(G821="-","-",G821),G821-H821)</f>
        <v>2</v>
      </c>
      <c r="J821" s="4">
        <f>IFERROR(IF(G821&gt;0, H821/G821, 0),"-")</f>
        <v>0.5</v>
      </c>
      <c r="K821" s="34">
        <v>7</v>
      </c>
      <c r="L821" s="35">
        <v>2</v>
      </c>
      <c r="M821" s="34">
        <f>IF(OR(L821="-",L821="",L821=0),IF(K821="-","-",K821),K821-L821)</f>
        <v>5</v>
      </c>
      <c r="N821" s="4">
        <f>IFERROR(IF(K821&gt;0, L821/K821, 0),"-")</f>
        <v>0.2857142857142857</v>
      </c>
      <c r="O821" s="34">
        <v>6</v>
      </c>
      <c r="P821" s="35">
        <v>2</v>
      </c>
      <c r="Q821" s="34">
        <f>IF(OR(P821="-",P821="",P821=0),IF(O821="-","-",O821),O821-P821)</f>
        <v>4</v>
      </c>
      <c r="R821" s="4">
        <f>IFERROR(IF(O821&gt;0, P821/O821, 0),"-")</f>
        <v>0.33333333333333331</v>
      </c>
      <c r="S821" s="34">
        <v>183</v>
      </c>
      <c r="T821" s="34">
        <v>7</v>
      </c>
      <c r="U821" s="34">
        <v>28980</v>
      </c>
      <c r="V821" s="35">
        <v>2</v>
      </c>
      <c r="W821" s="35">
        <v>25993</v>
      </c>
    </row>
    <row r="822" spans="1:23" x14ac:dyDescent="0.2">
      <c r="A822" s="30" t="s">
        <v>243</v>
      </c>
      <c r="B822" s="30" t="s">
        <v>1478</v>
      </c>
      <c r="C822" s="34">
        <v>143</v>
      </c>
      <c r="D822" s="35">
        <v>143</v>
      </c>
      <c r="E822" s="34">
        <f>IF(OR(D822="-",D822="",D822=0),IF(C822="-","-",C822),C822-D822)</f>
        <v>0</v>
      </c>
      <c r="F822" s="4">
        <f>IFERROR(IF(C822&gt;0, D822/C822, 0),"-")</f>
        <v>1</v>
      </c>
      <c r="G822" s="34">
        <v>4</v>
      </c>
      <c r="H822" s="35">
        <v>2</v>
      </c>
      <c r="I822" s="34">
        <f>IF(OR(H822="-",H822="",H822=0),IF(G822="-","-",G822),G822-H822)</f>
        <v>2</v>
      </c>
      <c r="J822" s="4">
        <f>IFERROR(IF(G822&gt;0, H822/G822, 0),"-")</f>
        <v>0.5</v>
      </c>
      <c r="K822" s="34">
        <v>4</v>
      </c>
      <c r="L822" s="35">
        <v>1</v>
      </c>
      <c r="M822" s="34">
        <f>IF(OR(L822="-",L822="",L822=0),IF(K822="-","-",K822),K822-L822)</f>
        <v>3</v>
      </c>
      <c r="N822" s="4">
        <f>IFERROR(IF(K822&gt;0, L822/K822, 0),"-")</f>
        <v>0.25</v>
      </c>
      <c r="O822" s="34">
        <v>5</v>
      </c>
      <c r="P822" s="35" t="s">
        <v>959</v>
      </c>
      <c r="Q822" s="34">
        <f>IF(OR(P822="-",P822="",P822=0),IF(O822="-","-",O822),O822-P822)</f>
        <v>5</v>
      </c>
      <c r="R822" s="4" t="str">
        <f>IFERROR(IF(O822&gt;0, P822/O822, 0),"-")</f>
        <v>-</v>
      </c>
      <c r="S822" s="34">
        <v>226</v>
      </c>
      <c r="T822" s="34">
        <v>6</v>
      </c>
      <c r="U822" s="34">
        <v>9735</v>
      </c>
      <c r="V822" s="35">
        <v>3</v>
      </c>
      <c r="W822" s="35">
        <v>110170</v>
      </c>
    </row>
    <row r="823" spans="1:23" x14ac:dyDescent="0.2">
      <c r="A823" s="30" t="s">
        <v>248</v>
      </c>
      <c r="B823" s="30" t="s">
        <v>1479</v>
      </c>
      <c r="C823" s="34">
        <v>113</v>
      </c>
      <c r="D823" s="35">
        <v>111</v>
      </c>
      <c r="E823" s="34">
        <f>IF(OR(D823="-",D823="",D823=0),IF(C823="-","-",C823),C823-D823)</f>
        <v>2</v>
      </c>
      <c r="F823" s="4">
        <f>IFERROR(IF(C823&gt;0, D823/C823, 0),"-")</f>
        <v>0.98230088495575218</v>
      </c>
      <c r="G823" s="34">
        <v>1</v>
      </c>
      <c r="H823" s="35">
        <v>1</v>
      </c>
      <c r="I823" s="34">
        <f>IF(OR(H823="-",H823="",H823=0),IF(G823="-","-",G823),G823-H823)</f>
        <v>0</v>
      </c>
      <c r="J823" s="4">
        <f>IFERROR(IF(G823&gt;0, H823/G823, 0),"-")</f>
        <v>1</v>
      </c>
      <c r="K823" s="34">
        <v>1</v>
      </c>
      <c r="L823" s="35">
        <v>1</v>
      </c>
      <c r="M823" s="34">
        <f>IF(OR(L823="-",L823="",L823=0),IF(K823="-","-",K823),K823-L823)</f>
        <v>0</v>
      </c>
      <c r="N823" s="4">
        <f>IFERROR(IF(K823&gt;0, L823/K823, 0),"-")</f>
        <v>1</v>
      </c>
      <c r="O823" s="34">
        <v>2</v>
      </c>
      <c r="P823" s="35" t="s">
        <v>959</v>
      </c>
      <c r="Q823" s="34">
        <f>IF(OR(P823="-",P823="",P823=0),IF(O823="-","-",O823),O823-P823)</f>
        <v>2</v>
      </c>
      <c r="R823" s="4" t="str">
        <f>IFERROR(IF(O823&gt;0, P823/O823, 0),"-")</f>
        <v>-</v>
      </c>
      <c r="S823" s="34">
        <v>172</v>
      </c>
      <c r="T823" s="34">
        <v>4</v>
      </c>
      <c r="U823" s="34">
        <v>19045</v>
      </c>
      <c r="V823" s="35">
        <v>3</v>
      </c>
      <c r="W823" s="35">
        <v>44514</v>
      </c>
    </row>
    <row r="824" spans="1:23" x14ac:dyDescent="0.2">
      <c r="A824" s="29"/>
      <c r="B824" s="29" t="s">
        <v>90</v>
      </c>
      <c r="C824" s="32">
        <v>1283</v>
      </c>
      <c r="D824" s="32">
        <v>1239</v>
      </c>
      <c r="E824" s="32">
        <f>IF(OR(D824="-",D824="",D824=0),IF(C824="-","-",C824),C824-D824)</f>
        <v>44</v>
      </c>
      <c r="F824" s="36">
        <f>IFERROR(IF(C824&gt;0, D824/C824, 0),"-")</f>
        <v>0.96570537802026502</v>
      </c>
      <c r="G824" s="32">
        <v>11</v>
      </c>
      <c r="H824" s="32">
        <v>2</v>
      </c>
      <c r="I824" s="32">
        <f>IF(OR(H824="-",H824="",H824=0),IF(G824="-","-",G824),G824-H824)</f>
        <v>9</v>
      </c>
      <c r="J824" s="36">
        <f>IFERROR(IF(G824&gt;0, H824/G824, 0),"-")</f>
        <v>0.18181818181818182</v>
      </c>
      <c r="K824" s="32">
        <v>33</v>
      </c>
      <c r="L824" s="32">
        <v>13</v>
      </c>
      <c r="M824" s="32">
        <f>IF(OR(L824="-",L824="",L824=0),IF(K824="-","-",K824),K824-L824)</f>
        <v>20</v>
      </c>
      <c r="N824" s="36">
        <f>IFERROR(IF(K824&gt;0, L824/K824, 0),"-")</f>
        <v>0.39393939393939392</v>
      </c>
      <c r="O824" s="32">
        <v>43</v>
      </c>
      <c r="P824" s="32">
        <v>8</v>
      </c>
      <c r="Q824" s="32">
        <f>IF(OR(P824="-",P824="",P824=0),IF(O824="-","-",O824),O824-P824)</f>
        <v>35</v>
      </c>
      <c r="R824" s="36">
        <f>IFERROR(IF(O824&gt;0, P824/O824, 0),"-")</f>
        <v>0.18604651162790697</v>
      </c>
      <c r="S824" s="32">
        <v>1667</v>
      </c>
      <c r="T824" s="32">
        <v>45</v>
      </c>
      <c r="U824" s="32">
        <v>174715</v>
      </c>
      <c r="V824" s="32">
        <v>4</v>
      </c>
      <c r="W824" s="32">
        <v>17861</v>
      </c>
    </row>
    <row r="825" spans="1:23" x14ac:dyDescent="0.2">
      <c r="A825" s="30" t="s">
        <v>612</v>
      </c>
      <c r="B825" s="30" t="s">
        <v>1480</v>
      </c>
      <c r="C825" s="34">
        <v>223</v>
      </c>
      <c r="D825" s="35">
        <v>219</v>
      </c>
      <c r="E825" s="34">
        <f>IF(OR(D825="-",D825="",D825=0),IF(C825="-","-",C825),C825-D825)</f>
        <v>4</v>
      </c>
      <c r="F825" s="4">
        <f>IFERROR(IF(C825&gt;0, D825/C825, 0),"-")</f>
        <v>0.98206278026905824</v>
      </c>
      <c r="G825" s="34">
        <v>2</v>
      </c>
      <c r="H825" s="35">
        <v>1</v>
      </c>
      <c r="I825" s="34">
        <f>IF(OR(H825="-",H825="",H825=0),IF(G825="-","-",G825),G825-H825)</f>
        <v>1</v>
      </c>
      <c r="J825" s="4">
        <f>IFERROR(IF(G825&gt;0, H825/G825, 0),"-")</f>
        <v>0.5</v>
      </c>
      <c r="K825" s="34">
        <v>4</v>
      </c>
      <c r="L825" s="35">
        <v>2</v>
      </c>
      <c r="M825" s="34">
        <f>IF(OR(L825="-",L825="",L825=0),IF(K825="-","-",K825),K825-L825)</f>
        <v>2</v>
      </c>
      <c r="N825" s="4">
        <f>IFERROR(IF(K825&gt;0, L825/K825, 0),"-")</f>
        <v>0.5</v>
      </c>
      <c r="O825" s="34">
        <v>4</v>
      </c>
      <c r="P825" s="35">
        <v>1</v>
      </c>
      <c r="Q825" s="34">
        <f>IF(OR(P825="-",P825="",P825=0),IF(O825="-","-",O825),O825-P825)</f>
        <v>3</v>
      </c>
      <c r="R825" s="4">
        <f>IFERROR(IF(O825&gt;0, P825/O825, 0),"-")</f>
        <v>0.25</v>
      </c>
      <c r="S825" s="34">
        <v>236</v>
      </c>
      <c r="T825" s="34">
        <v>7</v>
      </c>
      <c r="U825" s="34">
        <v>15694</v>
      </c>
      <c r="V825" s="35" t="s">
        <v>959</v>
      </c>
      <c r="W825" s="35" t="s">
        <v>959</v>
      </c>
    </row>
    <row r="826" spans="1:23" x14ac:dyDescent="0.2">
      <c r="A826" s="30" t="s">
        <v>610</v>
      </c>
      <c r="B826" s="30" t="s">
        <v>1481</v>
      </c>
      <c r="C826" s="34">
        <v>165</v>
      </c>
      <c r="D826" s="35">
        <v>159</v>
      </c>
      <c r="E826" s="34">
        <f>IF(OR(D826="-",D826="",D826=0),IF(C826="-","-",C826),C826-D826)</f>
        <v>6</v>
      </c>
      <c r="F826" s="4">
        <f>IFERROR(IF(C826&gt;0, D826/C826, 0),"-")</f>
        <v>0.96363636363636362</v>
      </c>
      <c r="G826" s="34">
        <v>3</v>
      </c>
      <c r="H826" s="35" t="s">
        <v>959</v>
      </c>
      <c r="I826" s="34">
        <f>IF(OR(H826="-",H826="",H826=0),IF(G826="-","-",G826),G826-H826)</f>
        <v>3</v>
      </c>
      <c r="J826" s="4" t="str">
        <f>IFERROR(IF(G826&gt;0, H826/G826, 0),"-")</f>
        <v>-</v>
      </c>
      <c r="K826" s="34">
        <v>6</v>
      </c>
      <c r="L826" s="35">
        <v>3</v>
      </c>
      <c r="M826" s="34">
        <f>IF(OR(L826="-",L826="",L826=0),IF(K826="-","-",K826),K826-L826)</f>
        <v>3</v>
      </c>
      <c r="N826" s="4">
        <f>IFERROR(IF(K826&gt;0, L826/K826, 0),"-")</f>
        <v>0.5</v>
      </c>
      <c r="O826" s="34">
        <v>5</v>
      </c>
      <c r="P826" s="35" t="s">
        <v>959</v>
      </c>
      <c r="Q826" s="34">
        <f>IF(OR(P826="-",P826="",P826=0),IF(O826="-","-",O826),O826-P826)</f>
        <v>5</v>
      </c>
      <c r="R826" s="4" t="str">
        <f>IFERROR(IF(O826&gt;0, P826/O826, 0),"-")</f>
        <v>-</v>
      </c>
      <c r="S826" s="34">
        <v>269</v>
      </c>
      <c r="T826" s="34">
        <v>8</v>
      </c>
      <c r="U826" s="34">
        <v>25315</v>
      </c>
      <c r="V826" s="35" t="s">
        <v>959</v>
      </c>
      <c r="W826" s="35" t="s">
        <v>959</v>
      </c>
    </row>
    <row r="827" spans="1:23" x14ac:dyDescent="0.2">
      <c r="A827" s="30" t="s">
        <v>613</v>
      </c>
      <c r="B827" s="30" t="s">
        <v>1482</v>
      </c>
      <c r="C827" s="34">
        <v>137</v>
      </c>
      <c r="D827" s="35">
        <v>132</v>
      </c>
      <c r="E827" s="34">
        <f>IF(OR(D827="-",D827="",D827=0),IF(C827="-","-",C827),C827-D827)</f>
        <v>5</v>
      </c>
      <c r="F827" s="4">
        <f>IFERROR(IF(C827&gt;0, D827/C827, 0),"-")</f>
        <v>0.96350364963503654</v>
      </c>
      <c r="G827" s="34">
        <v>1</v>
      </c>
      <c r="H827" s="35" t="s">
        <v>959</v>
      </c>
      <c r="I827" s="34">
        <f>IF(OR(H827="-",H827="",H827=0),IF(G827="-","-",G827),G827-H827)</f>
        <v>1</v>
      </c>
      <c r="J827" s="4" t="str">
        <f>IFERROR(IF(G827&gt;0, H827/G827, 0),"-")</f>
        <v>-</v>
      </c>
      <c r="K827" s="34">
        <v>4</v>
      </c>
      <c r="L827" s="35">
        <v>2</v>
      </c>
      <c r="M827" s="34">
        <f>IF(OR(L827="-",L827="",L827=0),IF(K827="-","-",K827),K827-L827)</f>
        <v>2</v>
      </c>
      <c r="N827" s="4">
        <f>IFERROR(IF(K827&gt;0, L827/K827, 0),"-")</f>
        <v>0.5</v>
      </c>
      <c r="O827" s="34">
        <v>7</v>
      </c>
      <c r="P827" s="35">
        <v>1</v>
      </c>
      <c r="Q827" s="34">
        <f>IF(OR(P827="-",P827="",P827=0),IF(O827="-","-",O827),O827-P827)</f>
        <v>6</v>
      </c>
      <c r="R827" s="4">
        <f>IFERROR(IF(O827&gt;0, P827/O827, 0),"-")</f>
        <v>0.14285714285714285</v>
      </c>
      <c r="S827" s="34">
        <v>299</v>
      </c>
      <c r="T827" s="34">
        <v>11</v>
      </c>
      <c r="U827" s="34">
        <v>32861</v>
      </c>
      <c r="V827" s="35">
        <v>1</v>
      </c>
      <c r="W827" s="35">
        <v>6198</v>
      </c>
    </row>
    <row r="828" spans="1:23" x14ac:dyDescent="0.2">
      <c r="A828" s="30" t="s">
        <v>608</v>
      </c>
      <c r="B828" s="30" t="s">
        <v>1483</v>
      </c>
      <c r="C828" s="34">
        <v>126</v>
      </c>
      <c r="D828" s="35">
        <v>121</v>
      </c>
      <c r="E828" s="34">
        <f>IF(OR(D828="-",D828="",D828=0),IF(C828="-","-",C828),C828-D828)</f>
        <v>5</v>
      </c>
      <c r="F828" s="4">
        <f>IFERROR(IF(C828&gt;0, D828/C828, 0),"-")</f>
        <v>0.96031746031746035</v>
      </c>
      <c r="G828" s="34">
        <v>1</v>
      </c>
      <c r="H828" s="35" t="s">
        <v>959</v>
      </c>
      <c r="I828" s="34">
        <f>IF(OR(H828="-",H828="",H828=0),IF(G828="-","-",G828),G828-H828)</f>
        <v>1</v>
      </c>
      <c r="J828" s="4" t="str">
        <f>IFERROR(IF(G828&gt;0, H828/G828, 0),"-")</f>
        <v>-</v>
      </c>
      <c r="K828" s="34">
        <v>1</v>
      </c>
      <c r="L828" s="35" t="s">
        <v>959</v>
      </c>
      <c r="M828" s="34">
        <f>IF(OR(L828="-",L828="",L828=0),IF(K828="-","-",K828),K828-L828)</f>
        <v>1</v>
      </c>
      <c r="N828" s="4" t="str">
        <f>IFERROR(IF(K828&gt;0, L828/K828, 0),"-")</f>
        <v>-</v>
      </c>
      <c r="O828" s="34">
        <v>1</v>
      </c>
      <c r="P828" s="35" t="s">
        <v>959</v>
      </c>
      <c r="Q828" s="34">
        <f>IF(OR(P828="-",P828="",P828=0),IF(O828="-","-",O828),O828-P828)</f>
        <v>1</v>
      </c>
      <c r="R828" s="4" t="str">
        <f>IFERROR(IF(O828&gt;0, P828/O828, 0),"-")</f>
        <v>-</v>
      </c>
      <c r="S828" s="34">
        <v>110</v>
      </c>
      <c r="T828" s="34">
        <v>5</v>
      </c>
      <c r="U828" s="34">
        <v>11960</v>
      </c>
      <c r="V828" s="35" t="s">
        <v>959</v>
      </c>
      <c r="W828" s="35" t="s">
        <v>959</v>
      </c>
    </row>
    <row r="829" spans="1:23" x14ac:dyDescent="0.2">
      <c r="A829" s="30" t="s">
        <v>622</v>
      </c>
      <c r="B829" s="30" t="s">
        <v>1484</v>
      </c>
      <c r="C829" s="34">
        <v>88</v>
      </c>
      <c r="D829" s="35">
        <v>80</v>
      </c>
      <c r="E829" s="34">
        <f>IF(OR(D829="-",D829="",D829=0),IF(C829="-","-",C829),C829-D829)</f>
        <v>8</v>
      </c>
      <c r="F829" s="4">
        <f>IFERROR(IF(C829&gt;0, D829/C829, 0),"-")</f>
        <v>0.90909090909090906</v>
      </c>
      <c r="G829" s="34" t="s">
        <v>959</v>
      </c>
      <c r="H829" s="35" t="s">
        <v>959</v>
      </c>
      <c r="I829" s="34" t="str">
        <f>IF(OR(H829="-",H829="",H829=0),IF(G829="-","-",G829),G829-H829)</f>
        <v>-</v>
      </c>
      <c r="J829" s="4" t="str">
        <f>IFERROR(IF(G829&gt;0, H829/G829, 0),"-")</f>
        <v>-</v>
      </c>
      <c r="K829" s="34" t="s">
        <v>959</v>
      </c>
      <c r="L829" s="35" t="s">
        <v>959</v>
      </c>
      <c r="M829" s="34" t="str">
        <f>IF(OR(L829="-",L829="",L829=0),IF(K829="-","-",K829),K829-L829)</f>
        <v>-</v>
      </c>
      <c r="N829" s="4" t="str">
        <f>IFERROR(IF(K829&gt;0, L829/K829, 0),"-")</f>
        <v>-</v>
      </c>
      <c r="O829" s="34">
        <v>3</v>
      </c>
      <c r="P829" s="35" t="s">
        <v>959</v>
      </c>
      <c r="Q829" s="34">
        <f>IF(OR(P829="-",P829="",P829=0),IF(O829="-","-",O829),O829-P829)</f>
        <v>3</v>
      </c>
      <c r="R829" s="4" t="str">
        <f>IFERROR(IF(O829&gt;0, P829/O829, 0),"-")</f>
        <v>-</v>
      </c>
      <c r="S829" s="34">
        <v>16</v>
      </c>
      <c r="T829" s="34" t="s">
        <v>959</v>
      </c>
      <c r="U829" s="34" t="s">
        <v>959</v>
      </c>
      <c r="V829" s="35" t="s">
        <v>959</v>
      </c>
      <c r="W829" s="35" t="s">
        <v>959</v>
      </c>
    </row>
    <row r="830" spans="1:23" x14ac:dyDescent="0.2">
      <c r="A830" s="30" t="s">
        <v>609</v>
      </c>
      <c r="B830" s="30" t="s">
        <v>1485</v>
      </c>
      <c r="C830" s="34">
        <v>123</v>
      </c>
      <c r="D830" s="35">
        <v>117</v>
      </c>
      <c r="E830" s="34">
        <f>IF(OR(D830="-",D830="",D830=0),IF(C830="-","-",C830),C830-D830)</f>
        <v>6</v>
      </c>
      <c r="F830" s="4">
        <f>IFERROR(IF(C830&gt;0, D830/C830, 0),"-")</f>
        <v>0.95121951219512191</v>
      </c>
      <c r="G830" s="34">
        <v>1</v>
      </c>
      <c r="H830" s="35" t="s">
        <v>959</v>
      </c>
      <c r="I830" s="34">
        <f>IF(OR(H830="-",H830="",H830=0),IF(G830="-","-",G830),G830-H830)</f>
        <v>1</v>
      </c>
      <c r="J830" s="4" t="str">
        <f>IFERROR(IF(G830&gt;0, H830/G830, 0),"-")</f>
        <v>-</v>
      </c>
      <c r="K830" s="34">
        <v>11</v>
      </c>
      <c r="L830" s="35">
        <v>3</v>
      </c>
      <c r="M830" s="34">
        <f>IF(OR(L830="-",L830="",L830=0),IF(K830="-","-",K830),K830-L830)</f>
        <v>8</v>
      </c>
      <c r="N830" s="4">
        <f>IFERROR(IF(K830&gt;0, L830/K830, 0),"-")</f>
        <v>0.27272727272727271</v>
      </c>
      <c r="O830" s="34">
        <v>12</v>
      </c>
      <c r="P830" s="35">
        <v>2</v>
      </c>
      <c r="Q830" s="34">
        <f>IF(OR(P830="-",P830="",P830=0),IF(O830="-","-",O830),O830-P830)</f>
        <v>10</v>
      </c>
      <c r="R830" s="4">
        <f>IFERROR(IF(O830&gt;0, P830/O830, 0),"-")</f>
        <v>0.16666666666666666</v>
      </c>
      <c r="S830" s="34">
        <v>185</v>
      </c>
      <c r="T830" s="34">
        <v>4</v>
      </c>
      <c r="U830" s="34">
        <v>11900</v>
      </c>
      <c r="V830" s="35" t="s">
        <v>959</v>
      </c>
      <c r="W830" s="35" t="s">
        <v>959</v>
      </c>
    </row>
    <row r="831" spans="1:23" x14ac:dyDescent="0.2">
      <c r="A831" s="30" t="s">
        <v>607</v>
      </c>
      <c r="B831" s="30" t="s">
        <v>1486</v>
      </c>
      <c r="C831" s="34">
        <v>223</v>
      </c>
      <c r="D831" s="35">
        <v>217</v>
      </c>
      <c r="E831" s="34">
        <f>IF(OR(D831="-",D831="",D831=0),IF(C831="-","-",C831),C831-D831)</f>
        <v>6</v>
      </c>
      <c r="F831" s="4">
        <f>IFERROR(IF(C831&gt;0, D831/C831, 0),"-")</f>
        <v>0.97309417040358748</v>
      </c>
      <c r="G831" s="34">
        <v>2</v>
      </c>
      <c r="H831" s="35">
        <v>1</v>
      </c>
      <c r="I831" s="34">
        <f>IF(OR(H831="-",H831="",H831=0),IF(G831="-","-",G831),G831-H831)</f>
        <v>1</v>
      </c>
      <c r="J831" s="4">
        <f>IFERROR(IF(G831&gt;0, H831/G831, 0),"-")</f>
        <v>0.5</v>
      </c>
      <c r="K831" s="34">
        <v>5</v>
      </c>
      <c r="L831" s="35">
        <v>2</v>
      </c>
      <c r="M831" s="34">
        <f>IF(OR(L831="-",L831="",L831=0),IF(K831="-","-",K831),K831-L831)</f>
        <v>3</v>
      </c>
      <c r="N831" s="4">
        <f>IFERROR(IF(K831&gt;0, L831/K831, 0),"-")</f>
        <v>0.4</v>
      </c>
      <c r="O831" s="34">
        <v>7</v>
      </c>
      <c r="P831" s="35">
        <v>3</v>
      </c>
      <c r="Q831" s="34">
        <f>IF(OR(P831="-",P831="",P831=0),IF(O831="-","-",O831),O831-P831)</f>
        <v>4</v>
      </c>
      <c r="R831" s="4">
        <f>IFERROR(IF(O831&gt;0, P831/O831, 0),"-")</f>
        <v>0.42857142857142855</v>
      </c>
      <c r="S831" s="34">
        <v>333</v>
      </c>
      <c r="T831" s="34">
        <v>5</v>
      </c>
      <c r="U831" s="34">
        <v>63550</v>
      </c>
      <c r="V831" s="35">
        <v>1</v>
      </c>
      <c r="W831" s="35">
        <v>4847</v>
      </c>
    </row>
    <row r="832" spans="1:23" x14ac:dyDescent="0.2">
      <c r="A832" s="30" t="s">
        <v>611</v>
      </c>
      <c r="B832" s="30" t="s">
        <v>1487</v>
      </c>
      <c r="C832" s="34">
        <v>198</v>
      </c>
      <c r="D832" s="35">
        <v>194</v>
      </c>
      <c r="E832" s="34">
        <f>IF(OR(D832="-",D832="",D832=0),IF(C832="-","-",C832),C832-D832)</f>
        <v>4</v>
      </c>
      <c r="F832" s="4">
        <f>IFERROR(IF(C832&gt;0, D832/C832, 0),"-")</f>
        <v>0.97979797979797978</v>
      </c>
      <c r="G832" s="34">
        <v>1</v>
      </c>
      <c r="H832" s="35" t="s">
        <v>959</v>
      </c>
      <c r="I832" s="34">
        <f>IF(OR(H832="-",H832="",H832=0),IF(G832="-","-",G832),G832-H832)</f>
        <v>1</v>
      </c>
      <c r="J832" s="4" t="str">
        <f>IFERROR(IF(G832&gt;0, H832/G832, 0),"-")</f>
        <v>-</v>
      </c>
      <c r="K832" s="34">
        <v>2</v>
      </c>
      <c r="L832" s="35">
        <v>1</v>
      </c>
      <c r="M832" s="34">
        <f>IF(OR(L832="-",L832="",L832=0),IF(K832="-","-",K832),K832-L832)</f>
        <v>1</v>
      </c>
      <c r="N832" s="4">
        <f>IFERROR(IF(K832&gt;0, L832/K832, 0),"-")</f>
        <v>0.5</v>
      </c>
      <c r="O832" s="34">
        <v>4</v>
      </c>
      <c r="P832" s="35">
        <v>1</v>
      </c>
      <c r="Q832" s="34">
        <f>IF(OR(P832="-",P832="",P832=0),IF(O832="-","-",O832),O832-P832)</f>
        <v>3</v>
      </c>
      <c r="R832" s="4">
        <f>IFERROR(IF(O832&gt;0, P832/O832, 0),"-")</f>
        <v>0.25</v>
      </c>
      <c r="S832" s="34">
        <v>219</v>
      </c>
      <c r="T832" s="34">
        <v>5</v>
      </c>
      <c r="U832" s="34">
        <v>13435</v>
      </c>
      <c r="V832" s="35">
        <v>2</v>
      </c>
      <c r="W832" s="35">
        <v>6816</v>
      </c>
    </row>
    <row r="833" spans="1:23" x14ac:dyDescent="0.2">
      <c r="A833" s="29"/>
      <c r="B833" s="29" t="s">
        <v>114</v>
      </c>
      <c r="C833" s="32">
        <v>599</v>
      </c>
      <c r="D833" s="32">
        <v>552</v>
      </c>
      <c r="E833" s="32">
        <f>IF(OR(D833="-",D833="",D833=0),IF(C833="-","-",C833),C833-D833)</f>
        <v>47</v>
      </c>
      <c r="F833" s="36">
        <f>IFERROR(IF(C833&gt;0, D833/C833, 0),"-")</f>
        <v>0.92153589315525875</v>
      </c>
      <c r="G833" s="32">
        <v>31</v>
      </c>
      <c r="H833" s="32">
        <v>14</v>
      </c>
      <c r="I833" s="32">
        <f>IF(OR(H833="-",H833="",H833=0),IF(G833="-","-",G833),G833-H833)</f>
        <v>17</v>
      </c>
      <c r="J833" s="36">
        <f>IFERROR(IF(G833&gt;0, H833/G833, 0),"-")</f>
        <v>0.45161290322580644</v>
      </c>
      <c r="K833" s="32">
        <v>9</v>
      </c>
      <c r="L833" s="32">
        <v>2</v>
      </c>
      <c r="M833" s="32">
        <f>IF(OR(L833="-",L833="",L833=0),IF(K833="-","-",K833),K833-L833)</f>
        <v>7</v>
      </c>
      <c r="N833" s="36">
        <f>IFERROR(IF(K833&gt;0, L833/K833, 0),"-")</f>
        <v>0.22222222222222221</v>
      </c>
      <c r="O833" s="32">
        <v>14</v>
      </c>
      <c r="P833" s="32">
        <v>1</v>
      </c>
      <c r="Q833" s="32">
        <f>IF(OR(P833="-",P833="",P833=0),IF(O833="-","-",O833),O833-P833)</f>
        <v>13</v>
      </c>
      <c r="R833" s="36">
        <f>IFERROR(IF(O833&gt;0, P833/O833, 0),"-")</f>
        <v>7.1428571428571425E-2</v>
      </c>
      <c r="S833" s="32">
        <v>8</v>
      </c>
      <c r="T833" s="32">
        <v>1</v>
      </c>
      <c r="U833" s="32">
        <v>2695</v>
      </c>
      <c r="V833" s="32" t="s">
        <v>959</v>
      </c>
      <c r="W833" s="32" t="s">
        <v>959</v>
      </c>
    </row>
    <row r="834" spans="1:23" x14ac:dyDescent="0.2">
      <c r="A834" s="30" t="s">
        <v>821</v>
      </c>
      <c r="B834" s="30" t="s">
        <v>1488</v>
      </c>
      <c r="C834" s="34">
        <v>224</v>
      </c>
      <c r="D834" s="35">
        <v>212</v>
      </c>
      <c r="E834" s="34">
        <f>IF(OR(D834="-",D834="",D834=0),IF(C834="-","-",C834),C834-D834)</f>
        <v>12</v>
      </c>
      <c r="F834" s="4">
        <f>IFERROR(IF(C834&gt;0, D834/C834, 0),"-")</f>
        <v>0.9464285714285714</v>
      </c>
      <c r="G834" s="34">
        <v>10</v>
      </c>
      <c r="H834" s="35">
        <v>5</v>
      </c>
      <c r="I834" s="34">
        <f>IF(OR(H834="-",H834="",H834=0),IF(G834="-","-",G834),G834-H834)</f>
        <v>5</v>
      </c>
      <c r="J834" s="4">
        <f>IFERROR(IF(G834&gt;0, H834/G834, 0),"-")</f>
        <v>0.5</v>
      </c>
      <c r="K834" s="34">
        <v>3</v>
      </c>
      <c r="L834" s="35">
        <v>2</v>
      </c>
      <c r="M834" s="34">
        <f>IF(OR(L834="-",L834="",L834=0),IF(K834="-","-",K834),K834-L834)</f>
        <v>1</v>
      </c>
      <c r="N834" s="4">
        <f>IFERROR(IF(K834&gt;0, L834/K834, 0),"-")</f>
        <v>0.66666666666666663</v>
      </c>
      <c r="O834" s="34">
        <v>5</v>
      </c>
      <c r="P834" s="35" t="s">
        <v>959</v>
      </c>
      <c r="Q834" s="34">
        <f>IF(OR(P834="-",P834="",P834=0),IF(O834="-","-",O834),O834-P834)</f>
        <v>5</v>
      </c>
      <c r="R834" s="4" t="str">
        <f>IFERROR(IF(O834&gt;0, P834/O834, 0),"-")</f>
        <v>-</v>
      </c>
      <c r="S834" s="34">
        <v>1</v>
      </c>
      <c r="T834" s="34" t="s">
        <v>959</v>
      </c>
      <c r="U834" s="34" t="s">
        <v>959</v>
      </c>
      <c r="V834" s="35" t="s">
        <v>959</v>
      </c>
      <c r="W834" s="35" t="s">
        <v>959</v>
      </c>
    </row>
    <row r="835" spans="1:23" x14ac:dyDescent="0.2">
      <c r="A835" s="30" t="s">
        <v>823</v>
      </c>
      <c r="B835" s="30" t="s">
        <v>1489</v>
      </c>
      <c r="C835" s="34">
        <v>150</v>
      </c>
      <c r="D835" s="35">
        <v>131</v>
      </c>
      <c r="E835" s="34">
        <f>IF(OR(D835="-",D835="",D835=0),IF(C835="-","-",C835),C835-D835)</f>
        <v>19</v>
      </c>
      <c r="F835" s="4">
        <f>IFERROR(IF(C835&gt;0, D835/C835, 0),"-")</f>
        <v>0.87333333333333329</v>
      </c>
      <c r="G835" s="34">
        <v>6</v>
      </c>
      <c r="H835" s="35">
        <v>2</v>
      </c>
      <c r="I835" s="34">
        <f>IF(OR(H835="-",H835="",H835=0),IF(G835="-","-",G835),G835-H835)</f>
        <v>4</v>
      </c>
      <c r="J835" s="4">
        <f>IFERROR(IF(G835&gt;0, H835/G835, 0),"-")</f>
        <v>0.33333333333333331</v>
      </c>
      <c r="K835" s="34">
        <v>1</v>
      </c>
      <c r="L835" s="35" t="s">
        <v>959</v>
      </c>
      <c r="M835" s="34">
        <f>IF(OR(L835="-",L835="",L835=0),IF(K835="-","-",K835),K835-L835)</f>
        <v>1</v>
      </c>
      <c r="N835" s="4" t="str">
        <f>IFERROR(IF(K835&gt;0, L835/K835, 0),"-")</f>
        <v>-</v>
      </c>
      <c r="O835" s="34">
        <v>2</v>
      </c>
      <c r="P835" s="35">
        <v>1</v>
      </c>
      <c r="Q835" s="34">
        <f>IF(OR(P835="-",P835="",P835=0),IF(O835="-","-",O835),O835-P835)</f>
        <v>1</v>
      </c>
      <c r="R835" s="4">
        <f>IFERROR(IF(O835&gt;0, P835/O835, 0),"-")</f>
        <v>0.5</v>
      </c>
      <c r="S835" s="34">
        <v>3</v>
      </c>
      <c r="T835" s="34">
        <v>1</v>
      </c>
      <c r="U835" s="34">
        <v>2695</v>
      </c>
      <c r="V835" s="35" t="s">
        <v>959</v>
      </c>
      <c r="W835" s="35" t="s">
        <v>959</v>
      </c>
    </row>
    <row r="836" spans="1:23" x14ac:dyDescent="0.2">
      <c r="A836" s="30" t="s">
        <v>840</v>
      </c>
      <c r="B836" s="30" t="s">
        <v>1490</v>
      </c>
      <c r="C836" s="34">
        <v>133</v>
      </c>
      <c r="D836" s="35">
        <v>122</v>
      </c>
      <c r="E836" s="34">
        <f>IF(OR(D836="-",D836="",D836=0),IF(C836="-","-",C836),C836-D836)</f>
        <v>11</v>
      </c>
      <c r="F836" s="4">
        <f>IFERROR(IF(C836&gt;0, D836/C836, 0),"-")</f>
        <v>0.91729323308270672</v>
      </c>
      <c r="G836" s="34">
        <v>10</v>
      </c>
      <c r="H836" s="35">
        <v>4</v>
      </c>
      <c r="I836" s="34">
        <f>IF(OR(H836="-",H836="",H836=0),IF(G836="-","-",G836),G836-H836)</f>
        <v>6</v>
      </c>
      <c r="J836" s="4">
        <f>IFERROR(IF(G836&gt;0, H836/G836, 0),"-")</f>
        <v>0.4</v>
      </c>
      <c r="K836" s="34">
        <v>4</v>
      </c>
      <c r="L836" s="35" t="s">
        <v>959</v>
      </c>
      <c r="M836" s="34">
        <f>IF(OR(L836="-",L836="",L836=0),IF(K836="-","-",K836),K836-L836)</f>
        <v>4</v>
      </c>
      <c r="N836" s="4" t="str">
        <f>IFERROR(IF(K836&gt;0, L836/K836, 0),"-")</f>
        <v>-</v>
      </c>
      <c r="O836" s="34">
        <v>3</v>
      </c>
      <c r="P836" s="35" t="s">
        <v>959</v>
      </c>
      <c r="Q836" s="34">
        <f>IF(OR(P836="-",P836="",P836=0),IF(O836="-","-",O836),O836-P836)</f>
        <v>3</v>
      </c>
      <c r="R836" s="4" t="str">
        <f>IFERROR(IF(O836&gt;0, P836/O836, 0),"-")</f>
        <v>-</v>
      </c>
      <c r="S836" s="34">
        <v>1</v>
      </c>
      <c r="T836" s="34" t="s">
        <v>959</v>
      </c>
      <c r="U836" s="34" t="s">
        <v>959</v>
      </c>
      <c r="V836" s="35" t="s">
        <v>959</v>
      </c>
      <c r="W836" s="35" t="s">
        <v>959</v>
      </c>
    </row>
    <row r="837" spans="1:23" x14ac:dyDescent="0.2">
      <c r="A837" s="30" t="s">
        <v>822</v>
      </c>
      <c r="B837" s="30" t="s">
        <v>1491</v>
      </c>
      <c r="C837" s="34">
        <v>92</v>
      </c>
      <c r="D837" s="35">
        <v>87</v>
      </c>
      <c r="E837" s="34">
        <f>IF(OR(D837="-",D837="",D837=0),IF(C837="-","-",C837),C837-D837)</f>
        <v>5</v>
      </c>
      <c r="F837" s="4">
        <f>IFERROR(IF(C837&gt;0, D837/C837, 0),"-")</f>
        <v>0.94565217391304346</v>
      </c>
      <c r="G837" s="34">
        <v>5</v>
      </c>
      <c r="H837" s="35">
        <v>3</v>
      </c>
      <c r="I837" s="34">
        <f>IF(OR(H837="-",H837="",H837=0),IF(G837="-","-",G837),G837-H837)</f>
        <v>2</v>
      </c>
      <c r="J837" s="4">
        <f>IFERROR(IF(G837&gt;0, H837/G837, 0),"-")</f>
        <v>0.6</v>
      </c>
      <c r="K837" s="34">
        <v>1</v>
      </c>
      <c r="L837" s="35" t="s">
        <v>959</v>
      </c>
      <c r="M837" s="34">
        <f>IF(OR(L837="-",L837="",L837=0),IF(K837="-","-",K837),K837-L837)</f>
        <v>1</v>
      </c>
      <c r="N837" s="4" t="str">
        <f>IFERROR(IF(K837&gt;0, L837/K837, 0),"-")</f>
        <v>-</v>
      </c>
      <c r="O837" s="34">
        <v>4</v>
      </c>
      <c r="P837" s="35" t="s">
        <v>959</v>
      </c>
      <c r="Q837" s="34">
        <f>IF(OR(P837="-",P837="",P837=0),IF(O837="-","-",O837),O837-P837)</f>
        <v>4</v>
      </c>
      <c r="R837" s="4" t="str">
        <f>IFERROR(IF(O837&gt;0, P837/O837, 0),"-")</f>
        <v>-</v>
      </c>
      <c r="S837" s="34">
        <v>3</v>
      </c>
      <c r="T837" s="34" t="s">
        <v>959</v>
      </c>
      <c r="U837" s="34" t="s">
        <v>959</v>
      </c>
      <c r="V837" s="35" t="s">
        <v>959</v>
      </c>
      <c r="W837" s="35" t="s">
        <v>959</v>
      </c>
    </row>
    <row r="838" spans="1:23" x14ac:dyDescent="0.2">
      <c r="A838" s="29"/>
      <c r="B838" s="29" t="s">
        <v>10</v>
      </c>
      <c r="C838" s="32">
        <v>1538</v>
      </c>
      <c r="D838" s="32">
        <v>1479</v>
      </c>
      <c r="E838" s="32">
        <f>IF(OR(D838="-",D838="",D838=0),IF(C838="-","-",C838),C838-D838)</f>
        <v>59</v>
      </c>
      <c r="F838" s="36">
        <f>IFERROR(IF(C838&gt;0, D838/C838, 0),"-")</f>
        <v>0.96163849154746428</v>
      </c>
      <c r="G838" s="32">
        <v>14</v>
      </c>
      <c r="H838" s="32">
        <v>1</v>
      </c>
      <c r="I838" s="32">
        <f>IF(OR(H838="-",H838="",H838=0),IF(G838="-","-",G838),G838-H838)</f>
        <v>13</v>
      </c>
      <c r="J838" s="36">
        <f>IFERROR(IF(G838&gt;0, H838/G838, 0),"-")</f>
        <v>7.1428571428571425E-2</v>
      </c>
      <c r="K838" s="32">
        <v>18</v>
      </c>
      <c r="L838" s="32">
        <v>4</v>
      </c>
      <c r="M838" s="32">
        <f>IF(OR(L838="-",L838="",L838=0),IF(K838="-","-",K838),K838-L838)</f>
        <v>14</v>
      </c>
      <c r="N838" s="36">
        <f>IFERROR(IF(K838&gt;0, L838/K838, 0),"-")</f>
        <v>0.22222222222222221</v>
      </c>
      <c r="O838" s="32">
        <v>20</v>
      </c>
      <c r="P838" s="32">
        <v>1</v>
      </c>
      <c r="Q838" s="32">
        <f>IF(OR(P838="-",P838="",P838=0),IF(O838="-","-",O838),O838-P838)</f>
        <v>19</v>
      </c>
      <c r="R838" s="36">
        <f>IFERROR(IF(O838&gt;0, P838/O838, 0),"-")</f>
        <v>0.05</v>
      </c>
      <c r="S838" s="32">
        <v>1158</v>
      </c>
      <c r="T838" s="32">
        <v>3</v>
      </c>
      <c r="U838" s="32">
        <v>47390</v>
      </c>
      <c r="V838" s="32">
        <v>6</v>
      </c>
      <c r="W838" s="32">
        <v>107251</v>
      </c>
    </row>
    <row r="839" spans="1:23" x14ac:dyDescent="0.2">
      <c r="A839" s="30" t="s">
        <v>337</v>
      </c>
      <c r="B839" s="30" t="s">
        <v>1492</v>
      </c>
      <c r="C839" s="34">
        <v>344</v>
      </c>
      <c r="D839" s="35">
        <v>326</v>
      </c>
      <c r="E839" s="34">
        <f>IF(OR(D839="-",D839="",D839=0),IF(C839="-","-",C839),C839-D839)</f>
        <v>18</v>
      </c>
      <c r="F839" s="4">
        <f>IFERROR(IF(C839&gt;0, D839/C839, 0),"-")</f>
        <v>0.94767441860465118</v>
      </c>
      <c r="G839" s="34">
        <v>4</v>
      </c>
      <c r="H839" s="35" t="s">
        <v>959</v>
      </c>
      <c r="I839" s="34">
        <f>IF(OR(H839="-",H839="",H839=0),IF(G839="-","-",G839),G839-H839)</f>
        <v>4</v>
      </c>
      <c r="J839" s="4" t="str">
        <f>IFERROR(IF(G839&gt;0, H839/G839, 0),"-")</f>
        <v>-</v>
      </c>
      <c r="K839" s="34">
        <v>8</v>
      </c>
      <c r="L839" s="35">
        <v>1</v>
      </c>
      <c r="M839" s="34">
        <f>IF(OR(L839="-",L839="",L839=0),IF(K839="-","-",K839),K839-L839)</f>
        <v>7</v>
      </c>
      <c r="N839" s="4">
        <f>IFERROR(IF(K839&gt;0, L839/K839, 0),"-")</f>
        <v>0.125</v>
      </c>
      <c r="O839" s="34">
        <v>7</v>
      </c>
      <c r="P839" s="35" t="s">
        <v>959</v>
      </c>
      <c r="Q839" s="34">
        <f>IF(OR(P839="-",P839="",P839=0),IF(O839="-","-",O839),O839-P839)</f>
        <v>7</v>
      </c>
      <c r="R839" s="4" t="str">
        <f>IFERROR(IF(O839&gt;0, P839/O839, 0),"-")</f>
        <v>-</v>
      </c>
      <c r="S839" s="34">
        <v>155</v>
      </c>
      <c r="T839" s="34" t="s">
        <v>959</v>
      </c>
      <c r="U839" s="34" t="s">
        <v>959</v>
      </c>
      <c r="V839" s="35">
        <v>1</v>
      </c>
      <c r="W839" s="35">
        <v>16053</v>
      </c>
    </row>
    <row r="840" spans="1:23" x14ac:dyDescent="0.2">
      <c r="A840" s="30" t="s">
        <v>329</v>
      </c>
      <c r="B840" s="30" t="s">
        <v>1493</v>
      </c>
      <c r="C840" s="34">
        <v>289</v>
      </c>
      <c r="D840" s="35">
        <v>280</v>
      </c>
      <c r="E840" s="34">
        <f>IF(OR(D840="-",D840="",D840=0),IF(C840="-","-",C840),C840-D840)</f>
        <v>9</v>
      </c>
      <c r="F840" s="4">
        <f>IFERROR(IF(C840&gt;0, D840/C840, 0),"-")</f>
        <v>0.96885813148788924</v>
      </c>
      <c r="G840" s="34">
        <v>3</v>
      </c>
      <c r="H840" s="35" t="s">
        <v>959</v>
      </c>
      <c r="I840" s="34">
        <f>IF(OR(H840="-",H840="",H840=0),IF(G840="-","-",G840),G840-H840)</f>
        <v>3</v>
      </c>
      <c r="J840" s="4" t="str">
        <f>IFERROR(IF(G840&gt;0, H840/G840, 0),"-")</f>
        <v>-</v>
      </c>
      <c r="K840" s="34">
        <v>3</v>
      </c>
      <c r="L840" s="35">
        <v>1</v>
      </c>
      <c r="M840" s="34">
        <f>IF(OR(L840="-",L840="",L840=0),IF(K840="-","-",K840),K840-L840)</f>
        <v>2</v>
      </c>
      <c r="N840" s="4">
        <f>IFERROR(IF(K840&gt;0, L840/K840, 0),"-")</f>
        <v>0.33333333333333331</v>
      </c>
      <c r="O840" s="34">
        <v>4</v>
      </c>
      <c r="P840" s="35" t="s">
        <v>959</v>
      </c>
      <c r="Q840" s="34">
        <f>IF(OR(P840="-",P840="",P840=0),IF(O840="-","-",O840),O840-P840)</f>
        <v>4</v>
      </c>
      <c r="R840" s="4" t="str">
        <f>IFERROR(IF(O840&gt;0, P840/O840, 0),"-")</f>
        <v>-</v>
      </c>
      <c r="S840" s="34">
        <v>229</v>
      </c>
      <c r="T840" s="34">
        <v>1</v>
      </c>
      <c r="U840" s="34">
        <v>42000</v>
      </c>
      <c r="V840" s="35">
        <v>3</v>
      </c>
      <c r="W840" s="35">
        <v>53654</v>
      </c>
    </row>
    <row r="841" spans="1:23" x14ac:dyDescent="0.2">
      <c r="A841" s="30" t="s">
        <v>328</v>
      </c>
      <c r="B841" s="30" t="s">
        <v>1494</v>
      </c>
      <c r="C841" s="34">
        <v>330</v>
      </c>
      <c r="D841" s="35">
        <v>321</v>
      </c>
      <c r="E841" s="34">
        <f>IF(OR(D841="-",D841="",D841=0),IF(C841="-","-",C841),C841-D841)</f>
        <v>9</v>
      </c>
      <c r="F841" s="4">
        <f>IFERROR(IF(C841&gt;0, D841/C841, 0),"-")</f>
        <v>0.97272727272727277</v>
      </c>
      <c r="G841" s="34">
        <v>3</v>
      </c>
      <c r="H841" s="35">
        <v>1</v>
      </c>
      <c r="I841" s="34">
        <f>IF(OR(H841="-",H841="",H841=0),IF(G841="-","-",G841),G841-H841)</f>
        <v>2</v>
      </c>
      <c r="J841" s="4">
        <f>IFERROR(IF(G841&gt;0, H841/G841, 0),"-")</f>
        <v>0.33333333333333331</v>
      </c>
      <c r="K841" s="34">
        <v>3</v>
      </c>
      <c r="L841" s="35">
        <v>2</v>
      </c>
      <c r="M841" s="34">
        <f>IF(OR(L841="-",L841="",L841=0),IF(K841="-","-",K841),K841-L841)</f>
        <v>1</v>
      </c>
      <c r="N841" s="4">
        <f>IFERROR(IF(K841&gt;0, L841/K841, 0),"-")</f>
        <v>0.66666666666666663</v>
      </c>
      <c r="O841" s="34">
        <v>5</v>
      </c>
      <c r="P841" s="35">
        <v>1</v>
      </c>
      <c r="Q841" s="34">
        <f>IF(OR(P841="-",P841="",P841=0),IF(O841="-","-",O841),O841-P841)</f>
        <v>4</v>
      </c>
      <c r="R841" s="4">
        <f>IFERROR(IF(O841&gt;0, P841/O841, 0),"-")</f>
        <v>0.2</v>
      </c>
      <c r="S841" s="34">
        <v>111</v>
      </c>
      <c r="T841" s="34" t="s">
        <v>959</v>
      </c>
      <c r="U841" s="34" t="s">
        <v>959</v>
      </c>
      <c r="V841" s="35" t="s">
        <v>959</v>
      </c>
      <c r="W841" s="35" t="s">
        <v>959</v>
      </c>
    </row>
    <row r="842" spans="1:23" x14ac:dyDescent="0.2">
      <c r="A842" s="30" t="s">
        <v>330</v>
      </c>
      <c r="B842" s="30" t="s">
        <v>1495</v>
      </c>
      <c r="C842" s="34">
        <v>262</v>
      </c>
      <c r="D842" s="35">
        <v>253</v>
      </c>
      <c r="E842" s="34">
        <f>IF(OR(D842="-",D842="",D842=0),IF(C842="-","-",C842),C842-D842)</f>
        <v>9</v>
      </c>
      <c r="F842" s="4">
        <f>IFERROR(IF(C842&gt;0, D842/C842, 0),"-")</f>
        <v>0.96564885496183206</v>
      </c>
      <c r="G842" s="34">
        <v>3</v>
      </c>
      <c r="H842" s="35" t="s">
        <v>959</v>
      </c>
      <c r="I842" s="34">
        <f>IF(OR(H842="-",H842="",H842=0),IF(G842="-","-",G842),G842-H842)</f>
        <v>3</v>
      </c>
      <c r="J842" s="4" t="str">
        <f>IFERROR(IF(G842&gt;0, H842/G842, 0),"-")</f>
        <v>-</v>
      </c>
      <c r="K842" s="34" t="s">
        <v>959</v>
      </c>
      <c r="L842" s="35" t="s">
        <v>959</v>
      </c>
      <c r="M842" s="34" t="str">
        <f>IF(OR(L842="-",L842="",L842=0),IF(K842="-","-",K842),K842-L842)</f>
        <v>-</v>
      </c>
      <c r="N842" s="4" t="str">
        <f>IFERROR(IF(K842&gt;0, L842/K842, 0),"-")</f>
        <v>-</v>
      </c>
      <c r="O842" s="34">
        <v>2</v>
      </c>
      <c r="P842" s="35" t="s">
        <v>959</v>
      </c>
      <c r="Q842" s="34">
        <f>IF(OR(P842="-",P842="",P842=0),IF(O842="-","-",O842),O842-P842)</f>
        <v>2</v>
      </c>
      <c r="R842" s="4" t="str">
        <f>IFERROR(IF(O842&gt;0, P842/O842, 0),"-")</f>
        <v>-</v>
      </c>
      <c r="S842" s="34">
        <v>287</v>
      </c>
      <c r="T842" s="34">
        <v>1</v>
      </c>
      <c r="U842" s="34">
        <v>2695</v>
      </c>
      <c r="V842" s="35" t="s">
        <v>959</v>
      </c>
      <c r="W842" s="35" t="s">
        <v>959</v>
      </c>
    </row>
    <row r="843" spans="1:23" x14ac:dyDescent="0.2">
      <c r="A843" s="30" t="s">
        <v>327</v>
      </c>
      <c r="B843" s="30" t="s">
        <v>1496</v>
      </c>
      <c r="C843" s="34">
        <v>313</v>
      </c>
      <c r="D843" s="35">
        <v>299</v>
      </c>
      <c r="E843" s="34">
        <f>IF(OR(D843="-",D843="",D843=0),IF(C843="-","-",C843),C843-D843)</f>
        <v>14</v>
      </c>
      <c r="F843" s="4">
        <f>IFERROR(IF(C843&gt;0, D843/C843, 0),"-")</f>
        <v>0.95527156549520764</v>
      </c>
      <c r="G843" s="34">
        <v>1</v>
      </c>
      <c r="H843" s="35" t="s">
        <v>959</v>
      </c>
      <c r="I843" s="34">
        <f>IF(OR(H843="-",H843="",H843=0),IF(G843="-","-",G843),G843-H843)</f>
        <v>1</v>
      </c>
      <c r="J843" s="4" t="str">
        <f>IFERROR(IF(G843&gt;0, H843/G843, 0),"-")</f>
        <v>-</v>
      </c>
      <c r="K843" s="34">
        <v>4</v>
      </c>
      <c r="L843" s="35" t="s">
        <v>959</v>
      </c>
      <c r="M843" s="34">
        <f>IF(OR(L843="-",L843="",L843=0),IF(K843="-","-",K843),K843-L843)</f>
        <v>4</v>
      </c>
      <c r="N843" s="4" t="str">
        <f>IFERROR(IF(K843&gt;0, L843/K843, 0),"-")</f>
        <v>-</v>
      </c>
      <c r="O843" s="34">
        <v>2</v>
      </c>
      <c r="P843" s="35" t="s">
        <v>959</v>
      </c>
      <c r="Q843" s="34">
        <f>IF(OR(P843="-",P843="",P843=0),IF(O843="-","-",O843),O843-P843)</f>
        <v>2</v>
      </c>
      <c r="R843" s="4" t="str">
        <f>IFERROR(IF(O843&gt;0, P843/O843, 0),"-")</f>
        <v>-</v>
      </c>
      <c r="S843" s="34">
        <v>376</v>
      </c>
      <c r="T843" s="34">
        <v>1</v>
      </c>
      <c r="U843" s="34">
        <v>2695</v>
      </c>
      <c r="V843" s="35">
        <v>2</v>
      </c>
      <c r="W843" s="35">
        <v>37544</v>
      </c>
    </row>
    <row r="844" spans="1:23" x14ac:dyDescent="0.2">
      <c r="A844" s="29"/>
      <c r="B844" s="29" t="s">
        <v>107</v>
      </c>
      <c r="C844" s="32">
        <v>720</v>
      </c>
      <c r="D844" s="32">
        <v>712</v>
      </c>
      <c r="E844" s="32">
        <f>IF(OR(D844="-",D844="",D844=0),IF(C844="-","-",C844),C844-D844)</f>
        <v>8</v>
      </c>
      <c r="F844" s="36">
        <f>IFERROR(IF(C844&gt;0, D844/C844, 0),"-")</f>
        <v>0.98888888888888893</v>
      </c>
      <c r="G844" s="32">
        <v>7</v>
      </c>
      <c r="H844" s="32">
        <v>1</v>
      </c>
      <c r="I844" s="32">
        <f>IF(OR(H844="-",H844="",H844=0),IF(G844="-","-",G844),G844-H844)</f>
        <v>6</v>
      </c>
      <c r="J844" s="36">
        <f>IFERROR(IF(G844&gt;0, H844/G844, 0),"-")</f>
        <v>0.14285714285714285</v>
      </c>
      <c r="K844" s="32">
        <v>1</v>
      </c>
      <c r="L844" s="32" t="s">
        <v>959</v>
      </c>
      <c r="M844" s="32">
        <f>IF(OR(L844="-",L844="",L844=0),IF(K844="-","-",K844),K844-L844)</f>
        <v>1</v>
      </c>
      <c r="N844" s="36" t="str">
        <f>IFERROR(IF(K844&gt;0, L844/K844, 0),"-")</f>
        <v>-</v>
      </c>
      <c r="O844" s="32">
        <v>18</v>
      </c>
      <c r="P844" s="32">
        <v>1</v>
      </c>
      <c r="Q844" s="32">
        <f>IF(OR(P844="-",P844="",P844=0),IF(O844="-","-",O844),O844-P844)</f>
        <v>17</v>
      </c>
      <c r="R844" s="36">
        <f>IFERROR(IF(O844&gt;0, P844/O844, 0),"-")</f>
        <v>5.5555555555555552E-2</v>
      </c>
      <c r="S844" s="32">
        <v>1027</v>
      </c>
      <c r="T844" s="32">
        <v>4</v>
      </c>
      <c r="U844" s="32">
        <v>11585</v>
      </c>
      <c r="V844" s="32">
        <v>9</v>
      </c>
      <c r="W844" s="32">
        <v>250612</v>
      </c>
    </row>
    <row r="845" spans="1:23" x14ac:dyDescent="0.2">
      <c r="A845" s="30" t="s">
        <v>774</v>
      </c>
      <c r="B845" s="30" t="s">
        <v>1497</v>
      </c>
      <c r="C845" s="34">
        <v>140</v>
      </c>
      <c r="D845" s="35">
        <v>138</v>
      </c>
      <c r="E845" s="34">
        <f>IF(OR(D845="-",D845="",D845=0),IF(C845="-","-",C845),C845-D845)</f>
        <v>2</v>
      </c>
      <c r="F845" s="4">
        <f>IFERROR(IF(C845&gt;0, D845/C845, 0),"-")</f>
        <v>0.98571428571428577</v>
      </c>
      <c r="G845" s="34">
        <v>1</v>
      </c>
      <c r="H845" s="35" t="s">
        <v>959</v>
      </c>
      <c r="I845" s="34">
        <f>IF(OR(H845="-",H845="",H845=0),IF(G845="-","-",G845),G845-H845)</f>
        <v>1</v>
      </c>
      <c r="J845" s="4" t="str">
        <f>IFERROR(IF(G845&gt;0, H845/G845, 0),"-")</f>
        <v>-</v>
      </c>
      <c r="K845" s="34" t="s">
        <v>959</v>
      </c>
      <c r="L845" s="35" t="s">
        <v>959</v>
      </c>
      <c r="M845" s="34" t="str">
        <f>IF(OR(L845="-",L845="",L845=0),IF(K845="-","-",K845),K845-L845)</f>
        <v>-</v>
      </c>
      <c r="N845" s="4" t="str">
        <f>IFERROR(IF(K845&gt;0, L845/K845, 0),"-")</f>
        <v>-</v>
      </c>
      <c r="O845" s="34">
        <v>5</v>
      </c>
      <c r="P845" s="35" t="s">
        <v>959</v>
      </c>
      <c r="Q845" s="34">
        <f>IF(OR(P845="-",P845="",P845=0),IF(O845="-","-",O845),O845-P845)</f>
        <v>5</v>
      </c>
      <c r="R845" s="4" t="str">
        <f>IFERROR(IF(O845&gt;0, P845/O845, 0),"-")</f>
        <v>-</v>
      </c>
      <c r="S845" s="34">
        <v>187</v>
      </c>
      <c r="T845" s="34" t="s">
        <v>959</v>
      </c>
      <c r="U845" s="34" t="s">
        <v>959</v>
      </c>
      <c r="V845" s="35" t="s">
        <v>959</v>
      </c>
      <c r="W845" s="35" t="s">
        <v>959</v>
      </c>
    </row>
    <row r="846" spans="1:23" x14ac:dyDescent="0.2">
      <c r="A846" s="30" t="s">
        <v>772</v>
      </c>
      <c r="B846" s="30" t="s">
        <v>1498</v>
      </c>
      <c r="C846" s="34">
        <v>185</v>
      </c>
      <c r="D846" s="35">
        <v>182</v>
      </c>
      <c r="E846" s="34">
        <f>IF(OR(D846="-",D846="",D846=0),IF(C846="-","-",C846),C846-D846)</f>
        <v>3</v>
      </c>
      <c r="F846" s="4">
        <f>IFERROR(IF(C846&gt;0, D846/C846, 0),"-")</f>
        <v>0.98378378378378384</v>
      </c>
      <c r="G846" s="34">
        <v>2</v>
      </c>
      <c r="H846" s="35" t="s">
        <v>959</v>
      </c>
      <c r="I846" s="34">
        <f>IF(OR(H846="-",H846="",H846=0),IF(G846="-","-",G846),G846-H846)</f>
        <v>2</v>
      </c>
      <c r="J846" s="4" t="str">
        <f>IFERROR(IF(G846&gt;0, H846/G846, 0),"-")</f>
        <v>-</v>
      </c>
      <c r="K846" s="34" t="s">
        <v>959</v>
      </c>
      <c r="L846" s="35" t="s">
        <v>959</v>
      </c>
      <c r="M846" s="34" t="str">
        <f>IF(OR(L846="-",L846="",L846=0),IF(K846="-","-",K846),K846-L846)</f>
        <v>-</v>
      </c>
      <c r="N846" s="4" t="str">
        <f>IFERROR(IF(K846&gt;0, L846/K846, 0),"-")</f>
        <v>-</v>
      </c>
      <c r="O846" s="34">
        <v>6</v>
      </c>
      <c r="P846" s="35" t="s">
        <v>959</v>
      </c>
      <c r="Q846" s="34">
        <f>IF(OR(P846="-",P846="",P846=0),IF(O846="-","-",O846),O846-P846)</f>
        <v>6</v>
      </c>
      <c r="R846" s="4" t="str">
        <f>IFERROR(IF(O846&gt;0, P846/O846, 0),"-")</f>
        <v>-</v>
      </c>
      <c r="S846" s="34">
        <v>368</v>
      </c>
      <c r="T846" s="34">
        <v>1</v>
      </c>
      <c r="U846" s="34">
        <v>5390</v>
      </c>
      <c r="V846" s="35">
        <v>2</v>
      </c>
      <c r="W846" s="35">
        <v>49372</v>
      </c>
    </row>
    <row r="847" spans="1:23" x14ac:dyDescent="0.2">
      <c r="A847" s="30" t="s">
        <v>771</v>
      </c>
      <c r="B847" s="30" t="s">
        <v>1499</v>
      </c>
      <c r="C847" s="34">
        <v>158</v>
      </c>
      <c r="D847" s="35">
        <v>158</v>
      </c>
      <c r="E847" s="34">
        <f>IF(OR(D847="-",D847="",D847=0),IF(C847="-","-",C847),C847-D847)</f>
        <v>0</v>
      </c>
      <c r="F847" s="4">
        <f>IFERROR(IF(C847&gt;0, D847/C847, 0),"-")</f>
        <v>1</v>
      </c>
      <c r="G847" s="34">
        <v>1</v>
      </c>
      <c r="H847" s="35" t="s">
        <v>959</v>
      </c>
      <c r="I847" s="34">
        <f>IF(OR(H847="-",H847="",H847=0),IF(G847="-","-",G847),G847-H847)</f>
        <v>1</v>
      </c>
      <c r="J847" s="4" t="str">
        <f>IFERROR(IF(G847&gt;0, H847/G847, 0),"-")</f>
        <v>-</v>
      </c>
      <c r="K847" s="34">
        <v>1</v>
      </c>
      <c r="L847" s="35" t="s">
        <v>959</v>
      </c>
      <c r="M847" s="34">
        <f>IF(OR(L847="-",L847="",L847=0),IF(K847="-","-",K847),K847-L847)</f>
        <v>1</v>
      </c>
      <c r="N847" s="4" t="str">
        <f>IFERROR(IF(K847&gt;0, L847/K847, 0),"-")</f>
        <v>-</v>
      </c>
      <c r="O847" s="34">
        <v>4</v>
      </c>
      <c r="P847" s="35">
        <v>1</v>
      </c>
      <c r="Q847" s="34">
        <f>IF(OR(P847="-",P847="",P847=0),IF(O847="-","-",O847),O847-P847)</f>
        <v>3</v>
      </c>
      <c r="R847" s="4">
        <f>IFERROR(IF(O847&gt;0, P847/O847, 0),"-")</f>
        <v>0.25</v>
      </c>
      <c r="S847" s="34">
        <v>211</v>
      </c>
      <c r="T847" s="34">
        <v>2</v>
      </c>
      <c r="U847" s="34">
        <v>3500</v>
      </c>
      <c r="V847" s="35">
        <v>5</v>
      </c>
      <c r="W847" s="35">
        <v>144058</v>
      </c>
    </row>
    <row r="848" spans="1:23" x14ac:dyDescent="0.2">
      <c r="A848" s="30" t="s">
        <v>773</v>
      </c>
      <c r="B848" s="30" t="s">
        <v>1500</v>
      </c>
      <c r="C848" s="34">
        <v>237</v>
      </c>
      <c r="D848" s="35">
        <v>234</v>
      </c>
      <c r="E848" s="34">
        <f>IF(OR(D848="-",D848="",D848=0),IF(C848="-","-",C848),C848-D848)</f>
        <v>3</v>
      </c>
      <c r="F848" s="4">
        <f>IFERROR(IF(C848&gt;0, D848/C848, 0),"-")</f>
        <v>0.98734177215189878</v>
      </c>
      <c r="G848" s="34">
        <v>3</v>
      </c>
      <c r="H848" s="35">
        <v>1</v>
      </c>
      <c r="I848" s="34">
        <f>IF(OR(H848="-",H848="",H848=0),IF(G848="-","-",G848),G848-H848)</f>
        <v>2</v>
      </c>
      <c r="J848" s="4">
        <f>IFERROR(IF(G848&gt;0, H848/G848, 0),"-")</f>
        <v>0.33333333333333331</v>
      </c>
      <c r="K848" s="34" t="s">
        <v>959</v>
      </c>
      <c r="L848" s="35" t="s">
        <v>959</v>
      </c>
      <c r="M848" s="34" t="str">
        <f>IF(OR(L848="-",L848="",L848=0),IF(K848="-","-",K848),K848-L848)</f>
        <v>-</v>
      </c>
      <c r="N848" s="4" t="str">
        <f>IFERROR(IF(K848&gt;0, L848/K848, 0),"-")</f>
        <v>-</v>
      </c>
      <c r="O848" s="34">
        <v>3</v>
      </c>
      <c r="P848" s="35" t="s">
        <v>959</v>
      </c>
      <c r="Q848" s="34">
        <f>IF(OR(P848="-",P848="",P848=0),IF(O848="-","-",O848),O848-P848)</f>
        <v>3</v>
      </c>
      <c r="R848" s="4" t="str">
        <f>IFERROR(IF(O848&gt;0, P848/O848, 0),"-")</f>
        <v>-</v>
      </c>
      <c r="S848" s="34">
        <v>261</v>
      </c>
      <c r="T848" s="34">
        <v>1</v>
      </c>
      <c r="U848" s="34">
        <v>2695</v>
      </c>
      <c r="V848" s="35">
        <v>2</v>
      </c>
      <c r="W848" s="35">
        <v>57182</v>
      </c>
    </row>
    <row r="849" spans="1:23" x14ac:dyDescent="0.2">
      <c r="A849" s="29"/>
      <c r="B849" s="29" t="s">
        <v>36</v>
      </c>
      <c r="C849" s="32">
        <v>1738</v>
      </c>
      <c r="D849" s="32">
        <v>1689</v>
      </c>
      <c r="E849" s="32">
        <f>IF(OR(D849="-",D849="",D849=0),IF(C849="-","-",C849),C849-D849)</f>
        <v>49</v>
      </c>
      <c r="F849" s="36">
        <f>IFERROR(IF(C849&gt;0, D849/C849, 0),"-")</f>
        <v>0.97180667433831991</v>
      </c>
      <c r="G849" s="32">
        <v>20</v>
      </c>
      <c r="H849" s="32">
        <v>7</v>
      </c>
      <c r="I849" s="32">
        <f>IF(OR(H849="-",H849="",H849=0),IF(G849="-","-",G849),G849-H849)</f>
        <v>13</v>
      </c>
      <c r="J849" s="36">
        <f>IFERROR(IF(G849&gt;0, H849/G849, 0),"-")</f>
        <v>0.35</v>
      </c>
      <c r="K849" s="32">
        <v>9</v>
      </c>
      <c r="L849" s="32">
        <v>4</v>
      </c>
      <c r="M849" s="32">
        <f>IF(OR(L849="-",L849="",L849=0),IF(K849="-","-",K849),K849-L849)</f>
        <v>5</v>
      </c>
      <c r="N849" s="36">
        <f>IFERROR(IF(K849&gt;0, L849/K849, 0),"-")</f>
        <v>0.44444444444444442</v>
      </c>
      <c r="O849" s="32">
        <v>24</v>
      </c>
      <c r="P849" s="32">
        <v>6</v>
      </c>
      <c r="Q849" s="32">
        <f>IF(OR(P849="-",P849="",P849=0),IF(O849="-","-",O849),O849-P849)</f>
        <v>18</v>
      </c>
      <c r="R849" s="36">
        <f>IFERROR(IF(O849&gt;0, P849/O849, 0),"-")</f>
        <v>0.25</v>
      </c>
      <c r="S849" s="32">
        <v>938</v>
      </c>
      <c r="T849" s="32">
        <v>12</v>
      </c>
      <c r="U849" s="32">
        <v>65815</v>
      </c>
      <c r="V849" s="32">
        <v>13</v>
      </c>
      <c r="W849" s="32">
        <v>274881</v>
      </c>
    </row>
    <row r="850" spans="1:23" x14ac:dyDescent="0.2">
      <c r="A850" s="30" t="s">
        <v>188</v>
      </c>
      <c r="B850" s="30" t="s">
        <v>1501</v>
      </c>
      <c r="C850" s="34">
        <v>339</v>
      </c>
      <c r="D850" s="35">
        <v>333</v>
      </c>
      <c r="E850" s="34">
        <f>IF(OR(D850="-",D850="",D850=0),IF(C850="-","-",C850),C850-D850)</f>
        <v>6</v>
      </c>
      <c r="F850" s="4">
        <f>IFERROR(IF(C850&gt;0, D850/C850, 0),"-")</f>
        <v>0.98230088495575218</v>
      </c>
      <c r="G850" s="34" t="s">
        <v>959</v>
      </c>
      <c r="H850" s="35" t="s">
        <v>959</v>
      </c>
      <c r="I850" s="34" t="str">
        <f>IF(OR(H850="-",H850="",H850=0),IF(G850="-","-",G850),G850-H850)</f>
        <v>-</v>
      </c>
      <c r="J850" s="4" t="str">
        <f>IFERROR(IF(G850&gt;0, H850/G850, 0),"-")</f>
        <v>-</v>
      </c>
      <c r="K850" s="34">
        <v>1</v>
      </c>
      <c r="L850" s="35">
        <v>1</v>
      </c>
      <c r="M850" s="34">
        <f>IF(OR(L850="-",L850="",L850=0),IF(K850="-","-",K850),K850-L850)</f>
        <v>0</v>
      </c>
      <c r="N850" s="4">
        <f>IFERROR(IF(K850&gt;0, L850/K850, 0),"-")</f>
        <v>1</v>
      </c>
      <c r="O850" s="34">
        <v>3</v>
      </c>
      <c r="P850" s="35" t="s">
        <v>959</v>
      </c>
      <c r="Q850" s="34">
        <f>IF(OR(P850="-",P850="",P850=0),IF(O850="-","-",O850),O850-P850)</f>
        <v>3</v>
      </c>
      <c r="R850" s="4" t="str">
        <f>IFERROR(IF(O850&gt;0, P850/O850, 0),"-")</f>
        <v>-</v>
      </c>
      <c r="S850" s="34">
        <v>124</v>
      </c>
      <c r="T850" s="34">
        <v>1</v>
      </c>
      <c r="U850" s="34">
        <v>1800</v>
      </c>
      <c r="V850" s="35">
        <v>1</v>
      </c>
      <c r="W850" s="35">
        <v>49408</v>
      </c>
    </row>
    <row r="851" spans="1:23" x14ac:dyDescent="0.2">
      <c r="A851" s="30" t="s">
        <v>205</v>
      </c>
      <c r="B851" s="30" t="s">
        <v>1502</v>
      </c>
      <c r="C851" s="34">
        <v>278</v>
      </c>
      <c r="D851" s="35">
        <v>263</v>
      </c>
      <c r="E851" s="34">
        <f>IF(OR(D851="-",D851="",D851=0),IF(C851="-","-",C851),C851-D851)</f>
        <v>15</v>
      </c>
      <c r="F851" s="4">
        <f>IFERROR(IF(C851&gt;0, D851/C851, 0),"-")</f>
        <v>0.9460431654676259</v>
      </c>
      <c r="G851" s="34">
        <v>9</v>
      </c>
      <c r="H851" s="35">
        <v>3</v>
      </c>
      <c r="I851" s="34">
        <f>IF(OR(H851="-",H851="",H851=0),IF(G851="-","-",G851),G851-H851)</f>
        <v>6</v>
      </c>
      <c r="J851" s="4">
        <f>IFERROR(IF(G851&gt;0, H851/G851, 0),"-")</f>
        <v>0.33333333333333331</v>
      </c>
      <c r="K851" s="34">
        <v>3</v>
      </c>
      <c r="L851" s="35">
        <v>2</v>
      </c>
      <c r="M851" s="34">
        <f>IF(OR(L851="-",L851="",L851=0),IF(K851="-","-",K851),K851-L851)</f>
        <v>1</v>
      </c>
      <c r="N851" s="4">
        <f>IFERROR(IF(K851&gt;0, L851/K851, 0),"-")</f>
        <v>0.66666666666666663</v>
      </c>
      <c r="O851" s="34">
        <v>5</v>
      </c>
      <c r="P851" s="35">
        <v>1</v>
      </c>
      <c r="Q851" s="34">
        <f>IF(OR(P851="-",P851="",P851=0),IF(O851="-","-",O851),O851-P851)</f>
        <v>4</v>
      </c>
      <c r="R851" s="4">
        <f>IFERROR(IF(O851&gt;0, P851/O851, 0),"-")</f>
        <v>0.2</v>
      </c>
      <c r="S851" s="34">
        <v>36</v>
      </c>
      <c r="T851" s="34">
        <v>1</v>
      </c>
      <c r="U851" s="34">
        <v>3190</v>
      </c>
      <c r="V851" s="35" t="s">
        <v>959</v>
      </c>
      <c r="W851" s="35" t="s">
        <v>959</v>
      </c>
    </row>
    <row r="852" spans="1:23" x14ac:dyDescent="0.2">
      <c r="A852" s="30" t="s">
        <v>191</v>
      </c>
      <c r="B852" s="30" t="s">
        <v>1503</v>
      </c>
      <c r="C852" s="34">
        <v>165</v>
      </c>
      <c r="D852" s="35">
        <v>164</v>
      </c>
      <c r="E852" s="34">
        <f>IF(OR(D852="-",D852="",D852=0),IF(C852="-","-",C852),C852-D852)</f>
        <v>1</v>
      </c>
      <c r="F852" s="4">
        <f>IFERROR(IF(C852&gt;0, D852/C852, 0),"-")</f>
        <v>0.9939393939393939</v>
      </c>
      <c r="G852" s="34">
        <v>2</v>
      </c>
      <c r="H852" s="35">
        <v>1</v>
      </c>
      <c r="I852" s="34">
        <f>IF(OR(H852="-",H852="",H852=0),IF(G852="-","-",G852),G852-H852)</f>
        <v>1</v>
      </c>
      <c r="J852" s="4">
        <f>IFERROR(IF(G852&gt;0, H852/G852, 0),"-")</f>
        <v>0.5</v>
      </c>
      <c r="K852" s="34" t="s">
        <v>959</v>
      </c>
      <c r="L852" s="35" t="s">
        <v>959</v>
      </c>
      <c r="M852" s="34" t="str">
        <f>IF(OR(L852="-",L852="",L852=0),IF(K852="-","-",K852),K852-L852)</f>
        <v>-</v>
      </c>
      <c r="N852" s="4" t="str">
        <f>IFERROR(IF(K852&gt;0, L852/K852, 0),"-")</f>
        <v>-</v>
      </c>
      <c r="O852" s="34">
        <v>2</v>
      </c>
      <c r="P852" s="35" t="s">
        <v>959</v>
      </c>
      <c r="Q852" s="34">
        <f>IF(OR(P852="-",P852="",P852=0),IF(O852="-","-",O852),O852-P852)</f>
        <v>2</v>
      </c>
      <c r="R852" s="4" t="str">
        <f>IFERROR(IF(O852&gt;0, P852/O852, 0),"-")</f>
        <v>-</v>
      </c>
      <c r="S852" s="34">
        <v>114</v>
      </c>
      <c r="T852" s="34">
        <v>2</v>
      </c>
      <c r="U852" s="34">
        <v>3000</v>
      </c>
      <c r="V852" s="35">
        <v>1</v>
      </c>
      <c r="W852" s="35">
        <v>14844</v>
      </c>
    </row>
    <row r="853" spans="1:23" x14ac:dyDescent="0.2">
      <c r="A853" s="30" t="s">
        <v>190</v>
      </c>
      <c r="B853" s="30" t="s">
        <v>1504</v>
      </c>
      <c r="C853" s="34">
        <v>315</v>
      </c>
      <c r="D853" s="35">
        <v>308</v>
      </c>
      <c r="E853" s="34">
        <f>IF(OR(D853="-",D853="",D853=0),IF(C853="-","-",C853),C853-D853)</f>
        <v>7</v>
      </c>
      <c r="F853" s="4">
        <f>IFERROR(IF(C853&gt;0, D853/C853, 0),"-")</f>
        <v>0.97777777777777775</v>
      </c>
      <c r="G853" s="34">
        <v>1</v>
      </c>
      <c r="H853" s="35" t="s">
        <v>959</v>
      </c>
      <c r="I853" s="34">
        <f>IF(OR(H853="-",H853="",H853=0),IF(G853="-","-",G853),G853-H853)</f>
        <v>1</v>
      </c>
      <c r="J853" s="4" t="str">
        <f>IFERROR(IF(G853&gt;0, H853/G853, 0),"-")</f>
        <v>-</v>
      </c>
      <c r="K853" s="34">
        <v>2</v>
      </c>
      <c r="L853" s="35" t="s">
        <v>959</v>
      </c>
      <c r="M853" s="34">
        <f>IF(OR(L853="-",L853="",L853=0),IF(K853="-","-",K853),K853-L853)</f>
        <v>2</v>
      </c>
      <c r="N853" s="4" t="str">
        <f>IFERROR(IF(K853&gt;0, L853/K853, 0),"-")</f>
        <v>-</v>
      </c>
      <c r="O853" s="34">
        <v>3</v>
      </c>
      <c r="P853" s="35">
        <v>1</v>
      </c>
      <c r="Q853" s="34">
        <f>IF(OR(P853="-",P853="",P853=0),IF(O853="-","-",O853),O853-P853)</f>
        <v>2</v>
      </c>
      <c r="R853" s="4">
        <f>IFERROR(IF(O853&gt;0, P853/O853, 0),"-")</f>
        <v>0.33333333333333331</v>
      </c>
      <c r="S853" s="34">
        <v>148</v>
      </c>
      <c r="T853" s="34">
        <v>3</v>
      </c>
      <c r="U853" s="34">
        <v>41230</v>
      </c>
      <c r="V853" s="35">
        <v>2</v>
      </c>
      <c r="W853" s="35">
        <v>51842</v>
      </c>
    </row>
    <row r="854" spans="1:23" x14ac:dyDescent="0.2">
      <c r="A854" s="30" t="s">
        <v>181</v>
      </c>
      <c r="B854" s="30" t="s">
        <v>1505</v>
      </c>
      <c r="C854" s="34">
        <v>209</v>
      </c>
      <c r="D854" s="35">
        <v>202</v>
      </c>
      <c r="E854" s="34">
        <f>IF(OR(D854="-",D854="",D854=0),IF(C854="-","-",C854),C854-D854)</f>
        <v>7</v>
      </c>
      <c r="F854" s="4">
        <f>IFERROR(IF(C854&gt;0, D854/C854, 0),"-")</f>
        <v>0.96650717703349287</v>
      </c>
      <c r="G854" s="34">
        <v>4</v>
      </c>
      <c r="H854" s="35">
        <v>3</v>
      </c>
      <c r="I854" s="34">
        <f>IF(OR(H854="-",H854="",H854=0),IF(G854="-","-",G854),G854-H854)</f>
        <v>1</v>
      </c>
      <c r="J854" s="4">
        <f>IFERROR(IF(G854&gt;0, H854/G854, 0),"-")</f>
        <v>0.75</v>
      </c>
      <c r="K854" s="34" t="s">
        <v>959</v>
      </c>
      <c r="L854" s="35" t="s">
        <v>959</v>
      </c>
      <c r="M854" s="34" t="str">
        <f>IF(OR(L854="-",L854="",L854=0),IF(K854="-","-",K854),K854-L854)</f>
        <v>-</v>
      </c>
      <c r="N854" s="4" t="str">
        <f>IFERROR(IF(K854&gt;0, L854/K854, 0),"-")</f>
        <v>-</v>
      </c>
      <c r="O854" s="34">
        <v>3</v>
      </c>
      <c r="P854" s="35">
        <v>1</v>
      </c>
      <c r="Q854" s="34">
        <f>IF(OR(P854="-",P854="",P854=0),IF(O854="-","-",O854),O854-P854)</f>
        <v>2</v>
      </c>
      <c r="R854" s="4">
        <f>IFERROR(IF(O854&gt;0, P854/O854, 0),"-")</f>
        <v>0.33333333333333331</v>
      </c>
      <c r="S854" s="34">
        <v>203</v>
      </c>
      <c r="T854" s="34" t="s">
        <v>959</v>
      </c>
      <c r="U854" s="34" t="s">
        <v>959</v>
      </c>
      <c r="V854" s="35">
        <v>3</v>
      </c>
      <c r="W854" s="35">
        <v>50169</v>
      </c>
    </row>
    <row r="855" spans="1:23" x14ac:dyDescent="0.2">
      <c r="A855" s="30" t="s">
        <v>189</v>
      </c>
      <c r="B855" s="30" t="s">
        <v>1506</v>
      </c>
      <c r="C855" s="34">
        <v>184</v>
      </c>
      <c r="D855" s="35">
        <v>181</v>
      </c>
      <c r="E855" s="34">
        <f>IF(OR(D855="-",D855="",D855=0),IF(C855="-","-",C855),C855-D855)</f>
        <v>3</v>
      </c>
      <c r="F855" s="4">
        <f>IFERROR(IF(C855&gt;0, D855/C855, 0),"-")</f>
        <v>0.98369565217391308</v>
      </c>
      <c r="G855" s="34">
        <v>1</v>
      </c>
      <c r="H855" s="35" t="s">
        <v>959</v>
      </c>
      <c r="I855" s="34">
        <f>IF(OR(H855="-",H855="",H855=0),IF(G855="-","-",G855),G855-H855)</f>
        <v>1</v>
      </c>
      <c r="J855" s="4" t="str">
        <f>IFERROR(IF(G855&gt;0, H855/G855, 0),"-")</f>
        <v>-</v>
      </c>
      <c r="K855" s="34">
        <v>1</v>
      </c>
      <c r="L855" s="35">
        <v>1</v>
      </c>
      <c r="M855" s="34">
        <f>IF(OR(L855="-",L855="",L855=0),IF(K855="-","-",K855),K855-L855)</f>
        <v>0</v>
      </c>
      <c r="N855" s="4">
        <f>IFERROR(IF(K855&gt;0, L855/K855, 0),"-")</f>
        <v>1</v>
      </c>
      <c r="O855" s="34">
        <v>3</v>
      </c>
      <c r="P855" s="35">
        <v>3</v>
      </c>
      <c r="Q855" s="34">
        <f>IF(OR(P855="-",P855="",P855=0),IF(O855="-","-",O855),O855-P855)</f>
        <v>0</v>
      </c>
      <c r="R855" s="4">
        <f>IFERROR(IF(O855&gt;0, P855/O855, 0),"-")</f>
        <v>1</v>
      </c>
      <c r="S855" s="34">
        <v>154</v>
      </c>
      <c r="T855" s="34">
        <v>3</v>
      </c>
      <c r="U855" s="34">
        <v>6400</v>
      </c>
      <c r="V855" s="35">
        <v>2</v>
      </c>
      <c r="W855" s="35">
        <v>51968</v>
      </c>
    </row>
    <row r="856" spans="1:23" x14ac:dyDescent="0.2">
      <c r="A856" s="30" t="s">
        <v>192</v>
      </c>
      <c r="B856" s="30" t="s">
        <v>1507</v>
      </c>
      <c r="C856" s="34">
        <v>248</v>
      </c>
      <c r="D856" s="35">
        <v>238</v>
      </c>
      <c r="E856" s="34">
        <f>IF(OR(D856="-",D856="",D856=0),IF(C856="-","-",C856),C856-D856)</f>
        <v>10</v>
      </c>
      <c r="F856" s="4">
        <f>IFERROR(IF(C856&gt;0, D856/C856, 0),"-")</f>
        <v>0.95967741935483875</v>
      </c>
      <c r="G856" s="34">
        <v>3</v>
      </c>
      <c r="H856" s="35" t="s">
        <v>959</v>
      </c>
      <c r="I856" s="34">
        <f>IF(OR(H856="-",H856="",H856=0),IF(G856="-","-",G856),G856-H856)</f>
        <v>3</v>
      </c>
      <c r="J856" s="4" t="str">
        <f>IFERROR(IF(G856&gt;0, H856/G856, 0),"-")</f>
        <v>-</v>
      </c>
      <c r="K856" s="34">
        <v>2</v>
      </c>
      <c r="L856" s="35" t="s">
        <v>959</v>
      </c>
      <c r="M856" s="34">
        <f>IF(OR(L856="-",L856="",L856=0),IF(K856="-","-",K856),K856-L856)</f>
        <v>2</v>
      </c>
      <c r="N856" s="4" t="str">
        <f>IFERROR(IF(K856&gt;0, L856/K856, 0),"-")</f>
        <v>-</v>
      </c>
      <c r="O856" s="34">
        <v>5</v>
      </c>
      <c r="P856" s="35" t="s">
        <v>959</v>
      </c>
      <c r="Q856" s="34">
        <f>IF(OR(P856="-",P856="",P856=0),IF(O856="-","-",O856),O856-P856)</f>
        <v>5</v>
      </c>
      <c r="R856" s="4" t="str">
        <f>IFERROR(IF(O856&gt;0, P856/O856, 0),"-")</f>
        <v>-</v>
      </c>
      <c r="S856" s="34">
        <v>159</v>
      </c>
      <c r="T856" s="34">
        <v>2</v>
      </c>
      <c r="U856" s="34">
        <v>10195</v>
      </c>
      <c r="V856" s="35">
        <v>4</v>
      </c>
      <c r="W856" s="35">
        <v>56650</v>
      </c>
    </row>
    <row r="857" spans="1:23" x14ac:dyDescent="0.2">
      <c r="A857" s="29"/>
      <c r="B857" s="29" t="s">
        <v>51</v>
      </c>
      <c r="C857" s="32">
        <v>1070</v>
      </c>
      <c r="D857" s="32">
        <v>1058</v>
      </c>
      <c r="E857" s="32">
        <f>IF(OR(D857="-",D857="",D857=0),IF(C857="-","-",C857),C857-D857)</f>
        <v>12</v>
      </c>
      <c r="F857" s="36">
        <f>IFERROR(IF(C857&gt;0, D857/C857, 0),"-")</f>
        <v>0.98878504672897194</v>
      </c>
      <c r="G857" s="32">
        <v>14</v>
      </c>
      <c r="H857" s="32">
        <v>6</v>
      </c>
      <c r="I857" s="32">
        <f>IF(OR(H857="-",H857="",H857=0),IF(G857="-","-",G857),G857-H857)</f>
        <v>8</v>
      </c>
      <c r="J857" s="36">
        <f>IFERROR(IF(G857&gt;0, H857/G857, 0),"-")</f>
        <v>0.42857142857142855</v>
      </c>
      <c r="K857" s="32">
        <v>13</v>
      </c>
      <c r="L857" s="32">
        <v>3</v>
      </c>
      <c r="M857" s="32">
        <f>IF(OR(L857="-",L857="",L857=0),IF(K857="-","-",K857),K857-L857)</f>
        <v>10</v>
      </c>
      <c r="N857" s="36">
        <f>IFERROR(IF(K857&gt;0, L857/K857, 0),"-")</f>
        <v>0.23076923076923078</v>
      </c>
      <c r="O857" s="32">
        <v>13</v>
      </c>
      <c r="P857" s="32">
        <v>4</v>
      </c>
      <c r="Q857" s="32">
        <f>IF(OR(P857="-",P857="",P857=0),IF(O857="-","-",O857),O857-P857)</f>
        <v>9</v>
      </c>
      <c r="R857" s="36">
        <f>IFERROR(IF(O857&gt;0, P857/O857, 0),"-")</f>
        <v>0.30769230769230771</v>
      </c>
      <c r="S857" s="32">
        <v>709</v>
      </c>
      <c r="T857" s="32">
        <v>31</v>
      </c>
      <c r="U857" s="32">
        <v>22295</v>
      </c>
      <c r="V857" s="32">
        <v>7</v>
      </c>
      <c r="W857" s="32">
        <v>185036</v>
      </c>
    </row>
    <row r="858" spans="1:23" x14ac:dyDescent="0.2">
      <c r="A858" s="30" t="s">
        <v>297</v>
      </c>
      <c r="B858" s="30" t="s">
        <v>1508</v>
      </c>
      <c r="C858" s="34">
        <v>182</v>
      </c>
      <c r="D858" s="35">
        <v>178</v>
      </c>
      <c r="E858" s="34">
        <f>IF(OR(D858="-",D858="",D858=0),IF(C858="-","-",C858),C858-D858)</f>
        <v>4</v>
      </c>
      <c r="F858" s="4">
        <f>IFERROR(IF(C858&gt;0, D858/C858, 0),"-")</f>
        <v>0.97802197802197799</v>
      </c>
      <c r="G858" s="34">
        <v>2</v>
      </c>
      <c r="H858" s="35" t="s">
        <v>959</v>
      </c>
      <c r="I858" s="34">
        <f>IF(OR(H858="-",H858="",H858=0),IF(G858="-","-",G858),G858-H858)</f>
        <v>2</v>
      </c>
      <c r="J858" s="4" t="str">
        <f>IFERROR(IF(G858&gt;0, H858/G858, 0),"-")</f>
        <v>-</v>
      </c>
      <c r="K858" s="34">
        <v>2</v>
      </c>
      <c r="L858" s="35">
        <v>1</v>
      </c>
      <c r="M858" s="34">
        <f>IF(OR(L858="-",L858="",L858=0),IF(K858="-","-",K858),K858-L858)</f>
        <v>1</v>
      </c>
      <c r="N858" s="4">
        <f>IFERROR(IF(K858&gt;0, L858/K858, 0),"-")</f>
        <v>0.5</v>
      </c>
      <c r="O858" s="34">
        <v>2</v>
      </c>
      <c r="P858" s="35" t="s">
        <v>959</v>
      </c>
      <c r="Q858" s="34">
        <f>IF(OR(P858="-",P858="",P858=0),IF(O858="-","-",O858),O858-P858)</f>
        <v>2</v>
      </c>
      <c r="R858" s="4" t="str">
        <f>IFERROR(IF(O858&gt;0, P858/O858, 0),"-")</f>
        <v>-</v>
      </c>
      <c r="S858" s="34">
        <v>15</v>
      </c>
      <c r="T858" s="34">
        <v>1</v>
      </c>
      <c r="U858" s="34">
        <v>2695</v>
      </c>
      <c r="V858" s="35">
        <v>1</v>
      </c>
      <c r="W858" s="35">
        <v>3104</v>
      </c>
    </row>
    <row r="859" spans="1:23" x14ac:dyDescent="0.2">
      <c r="A859" s="30" t="s">
        <v>301</v>
      </c>
      <c r="B859" s="30" t="s">
        <v>1509</v>
      </c>
      <c r="C859" s="34">
        <v>6</v>
      </c>
      <c r="D859" s="35">
        <v>6</v>
      </c>
      <c r="E859" s="34">
        <f>IF(OR(D859="-",D859="",D859=0),IF(C859="-","-",C859),C859-D859)</f>
        <v>0</v>
      </c>
      <c r="F859" s="4">
        <f>IFERROR(IF(C859&gt;0, D859/C859, 0),"-")</f>
        <v>1</v>
      </c>
      <c r="G859" s="34" t="s">
        <v>959</v>
      </c>
      <c r="H859" s="35" t="s">
        <v>959</v>
      </c>
      <c r="I859" s="34" t="str">
        <f>IF(OR(H859="-",H859="",H859=0),IF(G859="-","-",G859),G859-H859)</f>
        <v>-</v>
      </c>
      <c r="J859" s="4" t="str">
        <f>IFERROR(IF(G859&gt;0, H859/G859, 0),"-")</f>
        <v>-</v>
      </c>
      <c r="K859" s="34" t="s">
        <v>959</v>
      </c>
      <c r="L859" s="35" t="s">
        <v>959</v>
      </c>
      <c r="M859" s="34" t="str">
        <f>IF(OR(L859="-",L859="",L859=0),IF(K859="-","-",K859),K859-L859)</f>
        <v>-</v>
      </c>
      <c r="N859" s="4" t="str">
        <f>IFERROR(IF(K859&gt;0, L859/K859, 0),"-")</f>
        <v>-</v>
      </c>
      <c r="O859" s="34" t="s">
        <v>959</v>
      </c>
      <c r="P859" s="35" t="s">
        <v>959</v>
      </c>
      <c r="Q859" s="34" t="str">
        <f>IF(OR(P859="-",P859="",P859=0),IF(O859="-","-",O859),O859-P859)</f>
        <v>-</v>
      </c>
      <c r="R859" s="4" t="str">
        <f>IFERROR(IF(O859&gt;0, P859/O859, 0),"-")</f>
        <v>-</v>
      </c>
      <c r="S859" s="34">
        <v>134</v>
      </c>
      <c r="T859" s="34" t="s">
        <v>959</v>
      </c>
      <c r="U859" s="34" t="s">
        <v>959</v>
      </c>
      <c r="V859" s="35" t="s">
        <v>959</v>
      </c>
      <c r="W859" s="35" t="s">
        <v>959</v>
      </c>
    </row>
    <row r="860" spans="1:23" x14ac:dyDescent="0.2">
      <c r="A860" s="30" t="s">
        <v>293</v>
      </c>
      <c r="B860" s="30" t="s">
        <v>1510</v>
      </c>
      <c r="C860" s="34">
        <v>236</v>
      </c>
      <c r="D860" s="35">
        <v>234</v>
      </c>
      <c r="E860" s="34">
        <f>IF(OR(D860="-",D860="",D860=0),IF(C860="-","-",C860),C860-D860)</f>
        <v>2</v>
      </c>
      <c r="F860" s="4">
        <f>IFERROR(IF(C860&gt;0, D860/C860, 0),"-")</f>
        <v>0.99152542372881358</v>
      </c>
      <c r="G860" s="34" t="s">
        <v>959</v>
      </c>
      <c r="H860" s="35" t="s">
        <v>959</v>
      </c>
      <c r="I860" s="34" t="str">
        <f>IF(OR(H860="-",H860="",H860=0),IF(G860="-","-",G860),G860-H860)</f>
        <v>-</v>
      </c>
      <c r="J860" s="4" t="str">
        <f>IFERROR(IF(G860&gt;0, H860/G860, 0),"-")</f>
        <v>-</v>
      </c>
      <c r="K860" s="34">
        <v>1</v>
      </c>
      <c r="L860" s="35" t="s">
        <v>959</v>
      </c>
      <c r="M860" s="34">
        <f>IF(OR(L860="-",L860="",L860=0),IF(K860="-","-",K860),K860-L860)</f>
        <v>1</v>
      </c>
      <c r="N860" s="4" t="str">
        <f>IFERROR(IF(K860&gt;0, L860/K860, 0),"-")</f>
        <v>-</v>
      </c>
      <c r="O860" s="34">
        <v>1</v>
      </c>
      <c r="P860" s="35" t="s">
        <v>959</v>
      </c>
      <c r="Q860" s="34">
        <f>IF(OR(P860="-",P860="",P860=0),IF(O860="-","-",O860),O860-P860)</f>
        <v>1</v>
      </c>
      <c r="R860" s="4" t="str">
        <f>IFERROR(IF(O860&gt;0, P860/O860, 0),"-")</f>
        <v>-</v>
      </c>
      <c r="S860" s="34">
        <v>135</v>
      </c>
      <c r="T860" s="34">
        <v>10</v>
      </c>
      <c r="U860" s="34">
        <v>7100</v>
      </c>
      <c r="V860" s="35">
        <v>1</v>
      </c>
      <c r="W860" s="35">
        <v>41462</v>
      </c>
    </row>
    <row r="861" spans="1:23" x14ac:dyDescent="0.2">
      <c r="A861" s="30" t="s">
        <v>295</v>
      </c>
      <c r="B861" s="30" t="s">
        <v>1511</v>
      </c>
      <c r="C861" s="34">
        <v>254</v>
      </c>
      <c r="D861" s="35">
        <v>250</v>
      </c>
      <c r="E861" s="34">
        <f>IF(OR(D861="-",D861="",D861=0),IF(C861="-","-",C861),C861-D861)</f>
        <v>4</v>
      </c>
      <c r="F861" s="4">
        <f>IFERROR(IF(C861&gt;0, D861/C861, 0),"-")</f>
        <v>0.98425196850393704</v>
      </c>
      <c r="G861" s="34">
        <v>7</v>
      </c>
      <c r="H861" s="35">
        <v>4</v>
      </c>
      <c r="I861" s="34">
        <f>IF(OR(H861="-",H861="",H861=0),IF(G861="-","-",G861),G861-H861)</f>
        <v>3</v>
      </c>
      <c r="J861" s="4">
        <f>IFERROR(IF(G861&gt;0, H861/G861, 0),"-")</f>
        <v>0.5714285714285714</v>
      </c>
      <c r="K861" s="34">
        <v>2</v>
      </c>
      <c r="L861" s="35">
        <v>1</v>
      </c>
      <c r="M861" s="34">
        <f>IF(OR(L861="-",L861="",L861=0),IF(K861="-","-",K861),K861-L861)</f>
        <v>1</v>
      </c>
      <c r="N861" s="4">
        <f>IFERROR(IF(K861&gt;0, L861/K861, 0),"-")</f>
        <v>0.5</v>
      </c>
      <c r="O861" s="34">
        <v>3</v>
      </c>
      <c r="P861" s="35" t="s">
        <v>959</v>
      </c>
      <c r="Q861" s="34">
        <f>IF(OR(P861="-",P861="",P861=0),IF(O861="-","-",O861),O861-P861)</f>
        <v>3</v>
      </c>
      <c r="R861" s="4" t="str">
        <f>IFERROR(IF(O861&gt;0, P861/O861, 0),"-")</f>
        <v>-</v>
      </c>
      <c r="S861" s="34">
        <v>122</v>
      </c>
      <c r="T861" s="34">
        <v>4</v>
      </c>
      <c r="U861" s="34">
        <v>5600</v>
      </c>
      <c r="V861" s="35">
        <v>2</v>
      </c>
      <c r="W861" s="35">
        <v>31369</v>
      </c>
    </row>
    <row r="862" spans="1:23" x14ac:dyDescent="0.2">
      <c r="A862" s="30" t="s">
        <v>294</v>
      </c>
      <c r="B862" s="30" t="s">
        <v>1512</v>
      </c>
      <c r="C862" s="34">
        <v>195</v>
      </c>
      <c r="D862" s="35">
        <v>193</v>
      </c>
      <c r="E862" s="34">
        <f>IF(OR(D862="-",D862="",D862=0),IF(C862="-","-",C862),C862-D862)</f>
        <v>2</v>
      </c>
      <c r="F862" s="4">
        <f>IFERROR(IF(C862&gt;0, D862/C862, 0),"-")</f>
        <v>0.98974358974358978</v>
      </c>
      <c r="G862" s="34">
        <v>5</v>
      </c>
      <c r="H862" s="35">
        <v>2</v>
      </c>
      <c r="I862" s="34">
        <f>IF(OR(H862="-",H862="",H862=0),IF(G862="-","-",G862),G862-H862)</f>
        <v>3</v>
      </c>
      <c r="J862" s="4">
        <f>IFERROR(IF(G862&gt;0, H862/G862, 0),"-")</f>
        <v>0.4</v>
      </c>
      <c r="K862" s="34">
        <v>5</v>
      </c>
      <c r="L862" s="35">
        <v>1</v>
      </c>
      <c r="M862" s="34">
        <f>IF(OR(L862="-",L862="",L862=0),IF(K862="-","-",K862),K862-L862)</f>
        <v>4</v>
      </c>
      <c r="N862" s="4">
        <f>IFERROR(IF(K862&gt;0, L862/K862, 0),"-")</f>
        <v>0.2</v>
      </c>
      <c r="O862" s="34">
        <v>1</v>
      </c>
      <c r="P862" s="35">
        <v>1</v>
      </c>
      <c r="Q862" s="34">
        <f>IF(OR(P862="-",P862="",P862=0),IF(O862="-","-",O862),O862-P862)</f>
        <v>0</v>
      </c>
      <c r="R862" s="4">
        <f>IFERROR(IF(O862&gt;0, P862/O862, 0),"-")</f>
        <v>1</v>
      </c>
      <c r="S862" s="34">
        <v>154</v>
      </c>
      <c r="T862" s="34">
        <v>7</v>
      </c>
      <c r="U862" s="34">
        <v>4500</v>
      </c>
      <c r="V862" s="35">
        <v>1</v>
      </c>
      <c r="W862" s="35">
        <v>43465</v>
      </c>
    </row>
    <row r="863" spans="1:23" x14ac:dyDescent="0.2">
      <c r="A863" s="30" t="s">
        <v>296</v>
      </c>
      <c r="B863" s="30" t="s">
        <v>1513</v>
      </c>
      <c r="C863" s="34">
        <v>197</v>
      </c>
      <c r="D863" s="35">
        <v>197</v>
      </c>
      <c r="E863" s="34">
        <f>IF(OR(D863="-",D863="",D863=0),IF(C863="-","-",C863),C863-D863)</f>
        <v>0</v>
      </c>
      <c r="F863" s="4">
        <f>IFERROR(IF(C863&gt;0, D863/C863, 0),"-")</f>
        <v>1</v>
      </c>
      <c r="G863" s="34" t="s">
        <v>959</v>
      </c>
      <c r="H863" s="35" t="s">
        <v>959</v>
      </c>
      <c r="I863" s="34" t="str">
        <f>IF(OR(H863="-",H863="",H863=0),IF(G863="-","-",G863),G863-H863)</f>
        <v>-</v>
      </c>
      <c r="J863" s="4" t="str">
        <f>IFERROR(IF(G863&gt;0, H863/G863, 0),"-")</f>
        <v>-</v>
      </c>
      <c r="K863" s="34">
        <v>3</v>
      </c>
      <c r="L863" s="35" t="s">
        <v>959</v>
      </c>
      <c r="M863" s="34">
        <f>IF(OR(L863="-",L863="",L863=0),IF(K863="-","-",K863),K863-L863)</f>
        <v>3</v>
      </c>
      <c r="N863" s="4" t="str">
        <f>IFERROR(IF(K863&gt;0, L863/K863, 0),"-")</f>
        <v>-</v>
      </c>
      <c r="O863" s="34">
        <v>6</v>
      </c>
      <c r="P863" s="35">
        <v>3</v>
      </c>
      <c r="Q863" s="34">
        <f>IF(OR(P863="-",P863="",P863=0),IF(O863="-","-",O863),O863-P863)</f>
        <v>3</v>
      </c>
      <c r="R863" s="4">
        <f>IFERROR(IF(O863&gt;0, P863/O863, 0),"-")</f>
        <v>0.5</v>
      </c>
      <c r="S863" s="34">
        <v>149</v>
      </c>
      <c r="T863" s="34">
        <v>9</v>
      </c>
      <c r="U863" s="34">
        <v>2400</v>
      </c>
      <c r="V863" s="35">
        <v>2</v>
      </c>
      <c r="W863" s="35">
        <v>65636</v>
      </c>
    </row>
    <row r="864" spans="1:23" x14ac:dyDescent="0.2">
      <c r="A864" s="29"/>
      <c r="B864" s="29" t="s">
        <v>75</v>
      </c>
      <c r="C864" s="32">
        <v>853</v>
      </c>
      <c r="D864" s="32">
        <v>840</v>
      </c>
      <c r="E864" s="32">
        <f>IF(OR(D864="-",D864="",D864=0),IF(C864="-","-",C864),C864-D864)</f>
        <v>13</v>
      </c>
      <c r="F864" s="36">
        <f>IFERROR(IF(C864&gt;0, D864/C864, 0),"-")</f>
        <v>0.98475967174677603</v>
      </c>
      <c r="G864" s="32">
        <v>5</v>
      </c>
      <c r="H864" s="32">
        <v>1</v>
      </c>
      <c r="I864" s="32">
        <f>IF(OR(H864="-",H864="",H864=0),IF(G864="-","-",G864),G864-H864)</f>
        <v>4</v>
      </c>
      <c r="J864" s="36">
        <f>IFERROR(IF(G864&gt;0, H864/G864, 0),"-")</f>
        <v>0.2</v>
      </c>
      <c r="K864" s="32">
        <v>3</v>
      </c>
      <c r="L864" s="32">
        <v>1</v>
      </c>
      <c r="M864" s="32">
        <f>IF(OR(L864="-",L864="",L864=0),IF(K864="-","-",K864),K864-L864)</f>
        <v>2</v>
      </c>
      <c r="N864" s="36">
        <f>IFERROR(IF(K864&gt;0, L864/K864, 0),"-")</f>
        <v>0.33333333333333331</v>
      </c>
      <c r="O864" s="32">
        <v>4</v>
      </c>
      <c r="P864" s="32" t="s">
        <v>959</v>
      </c>
      <c r="Q864" s="32">
        <f>IF(OR(P864="-",P864="",P864=0),IF(O864="-","-",O864),O864-P864)</f>
        <v>4</v>
      </c>
      <c r="R864" s="36" t="str">
        <f>IFERROR(IF(O864&gt;0, P864/O864, 0),"-")</f>
        <v>-</v>
      </c>
      <c r="S864" s="32">
        <v>299</v>
      </c>
      <c r="T864" s="32">
        <v>8</v>
      </c>
      <c r="U864" s="32">
        <v>14575</v>
      </c>
      <c r="V864" s="32">
        <v>9</v>
      </c>
      <c r="W864" s="32">
        <v>278548</v>
      </c>
    </row>
    <row r="865" spans="1:23" x14ac:dyDescent="0.2">
      <c r="A865" s="30" t="s">
        <v>498</v>
      </c>
      <c r="B865" s="30" t="s">
        <v>1514</v>
      </c>
      <c r="C865" s="34">
        <v>212</v>
      </c>
      <c r="D865" s="35">
        <v>211</v>
      </c>
      <c r="E865" s="34">
        <f>IF(OR(D865="-",D865="",D865=0),IF(C865="-","-",C865),C865-D865)</f>
        <v>1</v>
      </c>
      <c r="F865" s="4">
        <f>IFERROR(IF(C865&gt;0, D865/C865, 0),"-")</f>
        <v>0.99528301886792447</v>
      </c>
      <c r="G865" s="34">
        <v>1</v>
      </c>
      <c r="H865" s="35" t="s">
        <v>959</v>
      </c>
      <c r="I865" s="34">
        <f>IF(OR(H865="-",H865="",H865=0),IF(G865="-","-",G865),G865-H865)</f>
        <v>1</v>
      </c>
      <c r="J865" s="4" t="str">
        <f>IFERROR(IF(G865&gt;0, H865/G865, 0),"-")</f>
        <v>-</v>
      </c>
      <c r="K865" s="34">
        <v>1</v>
      </c>
      <c r="L865" s="35">
        <v>1</v>
      </c>
      <c r="M865" s="34">
        <f>IF(OR(L865="-",L865="",L865=0),IF(K865="-","-",K865),K865-L865)</f>
        <v>0</v>
      </c>
      <c r="N865" s="4">
        <f>IFERROR(IF(K865&gt;0, L865/K865, 0),"-")</f>
        <v>1</v>
      </c>
      <c r="O865" s="34">
        <v>1</v>
      </c>
      <c r="P865" s="35" t="s">
        <v>959</v>
      </c>
      <c r="Q865" s="34">
        <f>IF(OR(P865="-",P865="",P865=0),IF(O865="-","-",O865),O865-P865)</f>
        <v>1</v>
      </c>
      <c r="R865" s="4" t="str">
        <f>IFERROR(IF(O865&gt;0, P865/O865, 0),"-")</f>
        <v>-</v>
      </c>
      <c r="S865" s="34">
        <v>116</v>
      </c>
      <c r="T865" s="34">
        <v>4</v>
      </c>
      <c r="U865" s="34">
        <v>7240</v>
      </c>
      <c r="V865" s="35">
        <v>2</v>
      </c>
      <c r="W865" s="35">
        <v>18684</v>
      </c>
    </row>
    <row r="866" spans="1:23" x14ac:dyDescent="0.2">
      <c r="A866" s="30" t="s">
        <v>499</v>
      </c>
      <c r="B866" s="30" t="s">
        <v>1515</v>
      </c>
      <c r="C866" s="34">
        <v>262</v>
      </c>
      <c r="D866" s="35">
        <v>260</v>
      </c>
      <c r="E866" s="34">
        <f>IF(OR(D866="-",D866="",D866=0),IF(C866="-","-",C866),C866-D866)</f>
        <v>2</v>
      </c>
      <c r="F866" s="4">
        <f>IFERROR(IF(C866&gt;0, D866/C866, 0),"-")</f>
        <v>0.99236641221374045</v>
      </c>
      <c r="G866" s="34">
        <v>2</v>
      </c>
      <c r="H866" s="35">
        <v>1</v>
      </c>
      <c r="I866" s="34">
        <f>IF(OR(H866="-",H866="",H866=0),IF(G866="-","-",G866),G866-H866)</f>
        <v>1</v>
      </c>
      <c r="J866" s="4">
        <f>IFERROR(IF(G866&gt;0, H866/G866, 0),"-")</f>
        <v>0.5</v>
      </c>
      <c r="K866" s="34">
        <v>1</v>
      </c>
      <c r="L866" s="35" t="s">
        <v>959</v>
      </c>
      <c r="M866" s="34">
        <f>IF(OR(L866="-",L866="",L866=0),IF(K866="-","-",K866),K866-L866)</f>
        <v>1</v>
      </c>
      <c r="N866" s="4" t="str">
        <f>IFERROR(IF(K866&gt;0, L866/K866, 0),"-")</f>
        <v>-</v>
      </c>
      <c r="O866" s="34">
        <v>1</v>
      </c>
      <c r="P866" s="35" t="s">
        <v>959</v>
      </c>
      <c r="Q866" s="34">
        <f>IF(OR(P866="-",P866="",P866=0),IF(O866="-","-",O866),O866-P866)</f>
        <v>1</v>
      </c>
      <c r="R866" s="4" t="str">
        <f>IFERROR(IF(O866&gt;0, P866/O866, 0),"-")</f>
        <v>-</v>
      </c>
      <c r="S866" s="34">
        <v>70</v>
      </c>
      <c r="T866" s="34">
        <v>2</v>
      </c>
      <c r="U866" s="34">
        <v>4540</v>
      </c>
      <c r="V866" s="35">
        <v>5</v>
      </c>
      <c r="W866" s="35">
        <v>161481</v>
      </c>
    </row>
    <row r="867" spans="1:23" x14ac:dyDescent="0.2">
      <c r="A867" s="30" t="s">
        <v>497</v>
      </c>
      <c r="B867" s="30" t="s">
        <v>1516</v>
      </c>
      <c r="C867" s="34">
        <v>239</v>
      </c>
      <c r="D867" s="35">
        <v>234</v>
      </c>
      <c r="E867" s="34">
        <f>IF(OR(D867="-",D867="",D867=0),IF(C867="-","-",C867),C867-D867)</f>
        <v>5</v>
      </c>
      <c r="F867" s="4">
        <f>IFERROR(IF(C867&gt;0, D867/C867, 0),"-")</f>
        <v>0.97907949790794979</v>
      </c>
      <c r="G867" s="34">
        <v>1</v>
      </c>
      <c r="H867" s="35" t="s">
        <v>959</v>
      </c>
      <c r="I867" s="34">
        <f>IF(OR(H867="-",H867="",H867=0),IF(G867="-","-",G867),G867-H867)</f>
        <v>1</v>
      </c>
      <c r="J867" s="4" t="str">
        <f>IFERROR(IF(G867&gt;0, H867/G867, 0),"-")</f>
        <v>-</v>
      </c>
      <c r="K867" s="34">
        <v>1</v>
      </c>
      <c r="L867" s="35" t="s">
        <v>959</v>
      </c>
      <c r="M867" s="34">
        <f>IF(OR(L867="-",L867="",L867=0),IF(K867="-","-",K867),K867-L867)</f>
        <v>1</v>
      </c>
      <c r="N867" s="4" t="str">
        <f>IFERROR(IF(K867&gt;0, L867/K867, 0),"-")</f>
        <v>-</v>
      </c>
      <c r="O867" s="34" t="s">
        <v>959</v>
      </c>
      <c r="P867" s="35" t="s">
        <v>959</v>
      </c>
      <c r="Q867" s="34" t="str">
        <f>IF(OR(P867="-",P867="",P867=0),IF(O867="-","-",O867),O867-P867)</f>
        <v>-</v>
      </c>
      <c r="R867" s="4" t="str">
        <f>IFERROR(IF(O867&gt;0, P867/O867, 0),"-")</f>
        <v>-</v>
      </c>
      <c r="S867" s="34">
        <v>64</v>
      </c>
      <c r="T867" s="34">
        <v>2</v>
      </c>
      <c r="U867" s="34">
        <v>2795</v>
      </c>
      <c r="V867" s="35">
        <v>1</v>
      </c>
      <c r="W867" s="35">
        <v>53740</v>
      </c>
    </row>
    <row r="868" spans="1:23" x14ac:dyDescent="0.2">
      <c r="A868" s="30" t="s">
        <v>500</v>
      </c>
      <c r="B868" s="30" t="s">
        <v>1517</v>
      </c>
      <c r="C868" s="34">
        <v>140</v>
      </c>
      <c r="D868" s="35">
        <v>135</v>
      </c>
      <c r="E868" s="34">
        <f>IF(OR(D868="-",D868="",D868=0),IF(C868="-","-",C868),C868-D868)</f>
        <v>5</v>
      </c>
      <c r="F868" s="4">
        <f>IFERROR(IF(C868&gt;0, D868/C868, 0),"-")</f>
        <v>0.9642857142857143</v>
      </c>
      <c r="G868" s="34">
        <v>1</v>
      </c>
      <c r="H868" s="35" t="s">
        <v>959</v>
      </c>
      <c r="I868" s="34">
        <f>IF(OR(H868="-",H868="",H868=0),IF(G868="-","-",G868),G868-H868)</f>
        <v>1</v>
      </c>
      <c r="J868" s="4" t="str">
        <f>IFERROR(IF(G868&gt;0, H868/G868, 0),"-")</f>
        <v>-</v>
      </c>
      <c r="K868" s="34" t="s">
        <v>959</v>
      </c>
      <c r="L868" s="35" t="s">
        <v>959</v>
      </c>
      <c r="M868" s="34" t="str">
        <f>IF(OR(L868="-",L868="",L868=0),IF(K868="-","-",K868),K868-L868)</f>
        <v>-</v>
      </c>
      <c r="N868" s="4" t="str">
        <f>IFERROR(IF(K868&gt;0, L868/K868, 0),"-")</f>
        <v>-</v>
      </c>
      <c r="O868" s="34">
        <v>2</v>
      </c>
      <c r="P868" s="35" t="s">
        <v>959</v>
      </c>
      <c r="Q868" s="34">
        <f>IF(OR(P868="-",P868="",P868=0),IF(O868="-","-",O868),O868-P868)</f>
        <v>2</v>
      </c>
      <c r="R868" s="4" t="str">
        <f>IFERROR(IF(O868&gt;0, P868/O868, 0),"-")</f>
        <v>-</v>
      </c>
      <c r="S868" s="34">
        <v>49</v>
      </c>
      <c r="T868" s="34" t="s">
        <v>959</v>
      </c>
      <c r="U868" s="34" t="s">
        <v>959</v>
      </c>
      <c r="V868" s="35">
        <v>1</v>
      </c>
      <c r="W868" s="35">
        <v>44643</v>
      </c>
    </row>
    <row r="869" spans="1:23" x14ac:dyDescent="0.2">
      <c r="A869" s="29"/>
      <c r="B869" s="29" t="s">
        <v>8</v>
      </c>
      <c r="C869" s="32">
        <v>973</v>
      </c>
      <c r="D869" s="32">
        <v>961</v>
      </c>
      <c r="E869" s="32">
        <f>IF(OR(D869="-",D869="",D869=0),IF(C869="-","-",C869),C869-D869)</f>
        <v>12</v>
      </c>
      <c r="F869" s="36">
        <f>IFERROR(IF(C869&gt;0, D869/C869, 0),"-")</f>
        <v>0.98766700924974304</v>
      </c>
      <c r="G869" s="32">
        <v>22</v>
      </c>
      <c r="H869" s="32">
        <v>8</v>
      </c>
      <c r="I869" s="32">
        <f>IF(OR(H869="-",H869="",H869=0),IF(G869="-","-",G869),G869-H869)</f>
        <v>14</v>
      </c>
      <c r="J869" s="36">
        <f>IFERROR(IF(G869&gt;0, H869/G869, 0),"-")</f>
        <v>0.36363636363636365</v>
      </c>
      <c r="K869" s="32">
        <v>13</v>
      </c>
      <c r="L869" s="32">
        <v>6</v>
      </c>
      <c r="M869" s="32">
        <f>IF(OR(L869="-",L869="",L869=0),IF(K869="-","-",K869),K869-L869)</f>
        <v>7</v>
      </c>
      <c r="N869" s="36">
        <f>IFERROR(IF(K869&gt;0, L869/K869, 0),"-")</f>
        <v>0.46153846153846156</v>
      </c>
      <c r="O869" s="32">
        <v>21</v>
      </c>
      <c r="P869" s="32">
        <v>5</v>
      </c>
      <c r="Q869" s="32">
        <f>IF(OR(P869="-",P869="",P869=0),IF(O869="-","-",O869),O869-P869)</f>
        <v>16</v>
      </c>
      <c r="R869" s="36">
        <f>IFERROR(IF(O869&gt;0, P869/O869, 0),"-")</f>
        <v>0.23809523809523808</v>
      </c>
      <c r="S869" s="32">
        <v>1210</v>
      </c>
      <c r="T869" s="32">
        <v>51</v>
      </c>
      <c r="U869" s="32">
        <v>97765</v>
      </c>
      <c r="V869" s="32">
        <v>11</v>
      </c>
      <c r="W869" s="32">
        <v>285312</v>
      </c>
    </row>
    <row r="870" spans="1:23" x14ac:dyDescent="0.2">
      <c r="A870" s="30" t="s">
        <v>290</v>
      </c>
      <c r="B870" s="30" t="s">
        <v>1518</v>
      </c>
      <c r="C870" s="34">
        <v>263</v>
      </c>
      <c r="D870" s="35">
        <v>260</v>
      </c>
      <c r="E870" s="34">
        <f>IF(OR(D870="-",D870="",D870=0),IF(C870="-","-",C870),C870-D870)</f>
        <v>3</v>
      </c>
      <c r="F870" s="4">
        <f>IFERROR(IF(C870&gt;0, D870/C870, 0),"-")</f>
        <v>0.98859315589353614</v>
      </c>
      <c r="G870" s="34">
        <v>1</v>
      </c>
      <c r="H870" s="35">
        <v>1</v>
      </c>
      <c r="I870" s="34">
        <f>IF(OR(H870="-",H870="",H870=0),IF(G870="-","-",G870),G870-H870)</f>
        <v>0</v>
      </c>
      <c r="J870" s="4">
        <f>IFERROR(IF(G870&gt;0, H870/G870, 0),"-")</f>
        <v>1</v>
      </c>
      <c r="K870" s="34">
        <v>2</v>
      </c>
      <c r="L870" s="35">
        <v>1</v>
      </c>
      <c r="M870" s="34">
        <f>IF(OR(L870="-",L870="",L870=0),IF(K870="-","-",K870),K870-L870)</f>
        <v>1</v>
      </c>
      <c r="N870" s="4">
        <f>IFERROR(IF(K870&gt;0, L870/K870, 0),"-")</f>
        <v>0.5</v>
      </c>
      <c r="O870" s="34">
        <v>2</v>
      </c>
      <c r="P870" s="35" t="s">
        <v>959</v>
      </c>
      <c r="Q870" s="34">
        <f>IF(OR(P870="-",P870="",P870=0),IF(O870="-","-",O870),O870-P870)</f>
        <v>2</v>
      </c>
      <c r="R870" s="4" t="str">
        <f>IFERROR(IF(O870&gt;0, P870/O870, 0),"-")</f>
        <v>-</v>
      </c>
      <c r="S870" s="34">
        <v>204</v>
      </c>
      <c r="T870" s="34">
        <v>5</v>
      </c>
      <c r="U870" s="34">
        <v>13870</v>
      </c>
      <c r="V870" s="35">
        <v>1</v>
      </c>
      <c r="W870" s="35">
        <v>29333</v>
      </c>
    </row>
    <row r="871" spans="1:23" x14ac:dyDescent="0.2">
      <c r="A871" s="30" t="s">
        <v>292</v>
      </c>
      <c r="B871" s="30" t="s">
        <v>1519</v>
      </c>
      <c r="C871" s="34">
        <v>195</v>
      </c>
      <c r="D871" s="35">
        <v>190</v>
      </c>
      <c r="E871" s="34">
        <f>IF(OR(D871="-",D871="",D871=0),IF(C871="-","-",C871),C871-D871)</f>
        <v>5</v>
      </c>
      <c r="F871" s="4">
        <f>IFERROR(IF(C871&gt;0, D871/C871, 0),"-")</f>
        <v>0.97435897435897434</v>
      </c>
      <c r="G871" s="34">
        <v>4</v>
      </c>
      <c r="H871" s="35">
        <v>2</v>
      </c>
      <c r="I871" s="34">
        <f>IF(OR(H871="-",H871="",H871=0),IF(G871="-","-",G871),G871-H871)</f>
        <v>2</v>
      </c>
      <c r="J871" s="4">
        <f>IFERROR(IF(G871&gt;0, H871/G871, 0),"-")</f>
        <v>0.5</v>
      </c>
      <c r="K871" s="34">
        <v>3</v>
      </c>
      <c r="L871" s="35">
        <v>1</v>
      </c>
      <c r="M871" s="34">
        <f>IF(OR(L871="-",L871="",L871=0),IF(K871="-","-",K871),K871-L871)</f>
        <v>2</v>
      </c>
      <c r="N871" s="4">
        <f>IFERROR(IF(K871&gt;0, L871/K871, 0),"-")</f>
        <v>0.33333333333333331</v>
      </c>
      <c r="O871" s="34">
        <v>6</v>
      </c>
      <c r="P871" s="35">
        <v>2</v>
      </c>
      <c r="Q871" s="34">
        <f>IF(OR(P871="-",P871="",P871=0),IF(O871="-","-",O871),O871-P871)</f>
        <v>4</v>
      </c>
      <c r="R871" s="4">
        <f>IFERROR(IF(O871&gt;0, P871/O871, 0),"-")</f>
        <v>0.33333333333333331</v>
      </c>
      <c r="S871" s="34">
        <v>86</v>
      </c>
      <c r="T871" s="34">
        <v>1</v>
      </c>
      <c r="U871" s="34">
        <v>200</v>
      </c>
      <c r="V871" s="35">
        <v>2</v>
      </c>
      <c r="W871" s="35">
        <v>43353</v>
      </c>
    </row>
    <row r="872" spans="1:23" x14ac:dyDescent="0.2">
      <c r="A872" s="30" t="s">
        <v>289</v>
      </c>
      <c r="B872" s="30" t="s">
        <v>1520</v>
      </c>
      <c r="C872" s="34">
        <v>198</v>
      </c>
      <c r="D872" s="35">
        <v>197</v>
      </c>
      <c r="E872" s="34">
        <f>IF(OR(D872="-",D872="",D872=0),IF(C872="-","-",C872),C872-D872)</f>
        <v>1</v>
      </c>
      <c r="F872" s="4">
        <f>IFERROR(IF(C872&gt;0, D872/C872, 0),"-")</f>
        <v>0.99494949494949492</v>
      </c>
      <c r="G872" s="34">
        <v>4</v>
      </c>
      <c r="H872" s="35" t="s">
        <v>959</v>
      </c>
      <c r="I872" s="34">
        <f>IF(OR(H872="-",H872="",H872=0),IF(G872="-","-",G872),G872-H872)</f>
        <v>4</v>
      </c>
      <c r="J872" s="4" t="str">
        <f>IFERROR(IF(G872&gt;0, H872/G872, 0),"-")</f>
        <v>-</v>
      </c>
      <c r="K872" s="34">
        <v>3</v>
      </c>
      <c r="L872" s="35">
        <v>3</v>
      </c>
      <c r="M872" s="34">
        <f>IF(OR(L872="-",L872="",L872=0),IF(K872="-","-",K872),K872-L872)</f>
        <v>0</v>
      </c>
      <c r="N872" s="4">
        <f>IFERROR(IF(K872&gt;0, L872/K872, 0),"-")</f>
        <v>1</v>
      </c>
      <c r="O872" s="34">
        <v>4</v>
      </c>
      <c r="P872" s="35">
        <v>2</v>
      </c>
      <c r="Q872" s="34">
        <f>IF(OR(P872="-",P872="",P872=0),IF(O872="-","-",O872),O872-P872)</f>
        <v>2</v>
      </c>
      <c r="R872" s="4">
        <f>IFERROR(IF(O872&gt;0, P872/O872, 0),"-")</f>
        <v>0.5</v>
      </c>
      <c r="S872" s="34">
        <v>329</v>
      </c>
      <c r="T872" s="34">
        <v>19</v>
      </c>
      <c r="U872" s="34">
        <v>25632</v>
      </c>
      <c r="V872" s="35">
        <v>2</v>
      </c>
      <c r="W872" s="35">
        <v>63637</v>
      </c>
    </row>
    <row r="873" spans="1:23" x14ac:dyDescent="0.2">
      <c r="A873" s="30" t="s">
        <v>288</v>
      </c>
      <c r="B873" s="30" t="s">
        <v>1521</v>
      </c>
      <c r="C873" s="34">
        <v>166</v>
      </c>
      <c r="D873" s="35">
        <v>164</v>
      </c>
      <c r="E873" s="34">
        <f>IF(OR(D873="-",D873="",D873=0),IF(C873="-","-",C873),C873-D873)</f>
        <v>2</v>
      </c>
      <c r="F873" s="4">
        <f>IFERROR(IF(C873&gt;0, D873/C873, 0),"-")</f>
        <v>0.98795180722891562</v>
      </c>
      <c r="G873" s="34">
        <v>5</v>
      </c>
      <c r="H873" s="35">
        <v>2</v>
      </c>
      <c r="I873" s="34">
        <f>IF(OR(H873="-",H873="",H873=0),IF(G873="-","-",G873),G873-H873)</f>
        <v>3</v>
      </c>
      <c r="J873" s="4">
        <f>IFERROR(IF(G873&gt;0, H873/G873, 0),"-")</f>
        <v>0.4</v>
      </c>
      <c r="K873" s="34">
        <v>2</v>
      </c>
      <c r="L873" s="35" t="s">
        <v>959</v>
      </c>
      <c r="M873" s="34">
        <f>IF(OR(L873="-",L873="",L873=0),IF(K873="-","-",K873),K873-L873)</f>
        <v>2</v>
      </c>
      <c r="N873" s="4" t="str">
        <f>IFERROR(IF(K873&gt;0, L873/K873, 0),"-")</f>
        <v>-</v>
      </c>
      <c r="O873" s="34">
        <v>4</v>
      </c>
      <c r="P873" s="35">
        <v>1</v>
      </c>
      <c r="Q873" s="34">
        <f>IF(OR(P873="-",P873="",P873=0),IF(O873="-","-",O873),O873-P873)</f>
        <v>3</v>
      </c>
      <c r="R873" s="4">
        <f>IFERROR(IF(O873&gt;0, P873/O873, 0),"-")</f>
        <v>0.25</v>
      </c>
      <c r="S873" s="34">
        <v>250</v>
      </c>
      <c r="T873" s="34">
        <v>18</v>
      </c>
      <c r="U873" s="34">
        <v>29020</v>
      </c>
      <c r="V873" s="35">
        <v>3</v>
      </c>
      <c r="W873" s="35">
        <v>42898</v>
      </c>
    </row>
    <row r="874" spans="1:23" x14ac:dyDescent="0.2">
      <c r="A874" s="30" t="s">
        <v>291</v>
      </c>
      <c r="B874" s="30" t="s">
        <v>1522</v>
      </c>
      <c r="C874" s="34">
        <v>151</v>
      </c>
      <c r="D874" s="35">
        <v>150</v>
      </c>
      <c r="E874" s="34">
        <f>IF(OR(D874="-",D874="",D874=0),IF(C874="-","-",C874),C874-D874)</f>
        <v>1</v>
      </c>
      <c r="F874" s="4">
        <f>IFERROR(IF(C874&gt;0, D874/C874, 0),"-")</f>
        <v>0.99337748344370858</v>
      </c>
      <c r="G874" s="34">
        <v>8</v>
      </c>
      <c r="H874" s="35">
        <v>3</v>
      </c>
      <c r="I874" s="34">
        <f>IF(OR(H874="-",H874="",H874=0),IF(G874="-","-",G874),G874-H874)</f>
        <v>5</v>
      </c>
      <c r="J874" s="4">
        <f>IFERROR(IF(G874&gt;0, H874/G874, 0),"-")</f>
        <v>0.375</v>
      </c>
      <c r="K874" s="34">
        <v>3</v>
      </c>
      <c r="L874" s="35">
        <v>1</v>
      </c>
      <c r="M874" s="34">
        <f>IF(OR(L874="-",L874="",L874=0),IF(K874="-","-",K874),K874-L874)</f>
        <v>2</v>
      </c>
      <c r="N874" s="4">
        <f>IFERROR(IF(K874&gt;0, L874/K874, 0),"-")</f>
        <v>0.33333333333333331</v>
      </c>
      <c r="O874" s="34">
        <v>5</v>
      </c>
      <c r="P874" s="35" t="s">
        <v>959</v>
      </c>
      <c r="Q874" s="34">
        <f>IF(OR(P874="-",P874="",P874=0),IF(O874="-","-",O874),O874-P874)</f>
        <v>5</v>
      </c>
      <c r="R874" s="4" t="str">
        <f>IFERROR(IF(O874&gt;0, P874/O874, 0),"-")</f>
        <v>-</v>
      </c>
      <c r="S874" s="34">
        <v>341</v>
      </c>
      <c r="T874" s="34">
        <v>8</v>
      </c>
      <c r="U874" s="34">
        <v>29043</v>
      </c>
      <c r="V874" s="35">
        <v>3</v>
      </c>
      <c r="W874" s="35">
        <v>106091</v>
      </c>
    </row>
    <row r="875" spans="1:23" x14ac:dyDescent="0.2">
      <c r="A875" s="29"/>
      <c r="B875" s="29" t="s">
        <v>41</v>
      </c>
      <c r="C875" s="32">
        <v>796</v>
      </c>
      <c r="D875" s="32">
        <v>781</v>
      </c>
      <c r="E875" s="32">
        <f>IF(OR(D875="-",D875="",D875=0),IF(C875="-","-",C875),C875-D875)</f>
        <v>15</v>
      </c>
      <c r="F875" s="36">
        <f>IFERROR(IF(C875&gt;0, D875/C875, 0),"-")</f>
        <v>0.98115577889447236</v>
      </c>
      <c r="G875" s="32">
        <v>5</v>
      </c>
      <c r="H875" s="32">
        <v>1</v>
      </c>
      <c r="I875" s="32">
        <f>IF(OR(H875="-",H875="",H875=0),IF(G875="-","-",G875),G875-H875)</f>
        <v>4</v>
      </c>
      <c r="J875" s="36">
        <f>IFERROR(IF(G875&gt;0, H875/G875, 0),"-")</f>
        <v>0.2</v>
      </c>
      <c r="K875" s="32">
        <v>5</v>
      </c>
      <c r="L875" s="32" t="s">
        <v>959</v>
      </c>
      <c r="M875" s="32">
        <f>IF(OR(L875="-",L875="",L875=0),IF(K875="-","-",K875),K875-L875)</f>
        <v>5</v>
      </c>
      <c r="N875" s="36" t="str">
        <f>IFERROR(IF(K875&gt;0, L875/K875, 0),"-")</f>
        <v>-</v>
      </c>
      <c r="O875" s="32">
        <v>7</v>
      </c>
      <c r="P875" s="32">
        <v>1</v>
      </c>
      <c r="Q875" s="32">
        <f>IF(OR(P875="-",P875="",P875=0),IF(O875="-","-",O875),O875-P875)</f>
        <v>6</v>
      </c>
      <c r="R875" s="36">
        <f>IFERROR(IF(O875&gt;0, P875/O875, 0),"-")</f>
        <v>0.14285714285714285</v>
      </c>
      <c r="S875" s="32">
        <v>904</v>
      </c>
      <c r="T875" s="32">
        <v>7</v>
      </c>
      <c r="U875" s="32">
        <v>53841</v>
      </c>
      <c r="V875" s="32">
        <v>32</v>
      </c>
      <c r="W875" s="32">
        <v>611598</v>
      </c>
    </row>
    <row r="876" spans="1:23" x14ac:dyDescent="0.2">
      <c r="A876" s="30" t="s">
        <v>217</v>
      </c>
      <c r="B876" s="30" t="s">
        <v>1523</v>
      </c>
      <c r="C876" s="34">
        <v>367</v>
      </c>
      <c r="D876" s="35">
        <v>361</v>
      </c>
      <c r="E876" s="34">
        <f>IF(OR(D876="-",D876="",D876=0),IF(C876="-","-",C876),C876-D876)</f>
        <v>6</v>
      </c>
      <c r="F876" s="4">
        <f>IFERROR(IF(C876&gt;0, D876/C876, 0),"-")</f>
        <v>0.98365122615803813</v>
      </c>
      <c r="G876" s="34">
        <v>3</v>
      </c>
      <c r="H876" s="35">
        <v>1</v>
      </c>
      <c r="I876" s="34">
        <f>IF(OR(H876="-",H876="",H876=0),IF(G876="-","-",G876),G876-H876)</f>
        <v>2</v>
      </c>
      <c r="J876" s="4">
        <f>IFERROR(IF(G876&gt;0, H876/G876, 0),"-")</f>
        <v>0.33333333333333331</v>
      </c>
      <c r="K876" s="34" t="s">
        <v>959</v>
      </c>
      <c r="L876" s="35" t="s">
        <v>959</v>
      </c>
      <c r="M876" s="34" t="str">
        <f>IF(OR(L876="-",L876="",L876=0),IF(K876="-","-",K876),K876-L876)</f>
        <v>-</v>
      </c>
      <c r="N876" s="4" t="str">
        <f>IFERROR(IF(K876&gt;0, L876/K876, 0),"-")</f>
        <v>-</v>
      </c>
      <c r="O876" s="34">
        <v>1</v>
      </c>
      <c r="P876" s="35" t="s">
        <v>959</v>
      </c>
      <c r="Q876" s="34">
        <f>IF(OR(P876="-",P876="",P876=0),IF(O876="-","-",O876),O876-P876)</f>
        <v>1</v>
      </c>
      <c r="R876" s="4" t="str">
        <f>IFERROR(IF(O876&gt;0, P876/O876, 0),"-")</f>
        <v>-</v>
      </c>
      <c r="S876" s="34">
        <v>369</v>
      </c>
      <c r="T876" s="34">
        <v>2</v>
      </c>
      <c r="U876" s="34">
        <v>34860</v>
      </c>
      <c r="V876" s="35">
        <v>8</v>
      </c>
      <c r="W876" s="35">
        <v>139190</v>
      </c>
    </row>
    <row r="877" spans="1:23" x14ac:dyDescent="0.2">
      <c r="A877" s="30" t="s">
        <v>218</v>
      </c>
      <c r="B877" s="30" t="s">
        <v>1524</v>
      </c>
      <c r="C877" s="34">
        <v>230</v>
      </c>
      <c r="D877" s="35">
        <v>226</v>
      </c>
      <c r="E877" s="34">
        <f>IF(OR(D877="-",D877="",D877=0),IF(C877="-","-",C877),C877-D877)</f>
        <v>4</v>
      </c>
      <c r="F877" s="4">
        <f>IFERROR(IF(C877&gt;0, D877/C877, 0),"-")</f>
        <v>0.9826086956521739</v>
      </c>
      <c r="G877" s="34">
        <v>1</v>
      </c>
      <c r="H877" s="35" t="s">
        <v>959</v>
      </c>
      <c r="I877" s="34">
        <f>IF(OR(H877="-",H877="",H877=0),IF(G877="-","-",G877),G877-H877)</f>
        <v>1</v>
      </c>
      <c r="J877" s="4" t="str">
        <f>IFERROR(IF(G877&gt;0, H877/G877, 0),"-")</f>
        <v>-</v>
      </c>
      <c r="K877" s="34" t="s">
        <v>959</v>
      </c>
      <c r="L877" s="35" t="s">
        <v>959</v>
      </c>
      <c r="M877" s="34" t="str">
        <f>IF(OR(L877="-",L877="",L877=0),IF(K877="-","-",K877),K877-L877)</f>
        <v>-</v>
      </c>
      <c r="N877" s="4" t="str">
        <f>IFERROR(IF(K877&gt;0, L877/K877, 0),"-")</f>
        <v>-</v>
      </c>
      <c r="O877" s="34">
        <v>1</v>
      </c>
      <c r="P877" s="35" t="s">
        <v>959</v>
      </c>
      <c r="Q877" s="34">
        <f>IF(OR(P877="-",P877="",P877=0),IF(O877="-","-",O877),O877-P877)</f>
        <v>1</v>
      </c>
      <c r="R877" s="4" t="str">
        <f>IFERROR(IF(O877&gt;0, P877/O877, 0),"-")</f>
        <v>-</v>
      </c>
      <c r="S877" s="34">
        <v>310</v>
      </c>
      <c r="T877" s="34">
        <v>3</v>
      </c>
      <c r="U877" s="34">
        <v>12511</v>
      </c>
      <c r="V877" s="35">
        <v>15</v>
      </c>
      <c r="W877" s="35">
        <v>294880</v>
      </c>
    </row>
    <row r="878" spans="1:23" x14ac:dyDescent="0.2">
      <c r="A878" s="30" t="s">
        <v>219</v>
      </c>
      <c r="B878" s="30" t="s">
        <v>1525</v>
      </c>
      <c r="C878" s="34">
        <v>199</v>
      </c>
      <c r="D878" s="35">
        <v>194</v>
      </c>
      <c r="E878" s="34">
        <f>IF(OR(D878="-",D878="",D878=0),IF(C878="-","-",C878),C878-D878)</f>
        <v>5</v>
      </c>
      <c r="F878" s="4">
        <f>IFERROR(IF(C878&gt;0, D878/C878, 0),"-")</f>
        <v>0.97487437185929648</v>
      </c>
      <c r="G878" s="34">
        <v>1</v>
      </c>
      <c r="H878" s="35" t="s">
        <v>959</v>
      </c>
      <c r="I878" s="34">
        <f>IF(OR(H878="-",H878="",H878=0),IF(G878="-","-",G878),G878-H878)</f>
        <v>1</v>
      </c>
      <c r="J878" s="4" t="str">
        <f>IFERROR(IF(G878&gt;0, H878/G878, 0),"-")</f>
        <v>-</v>
      </c>
      <c r="K878" s="34">
        <v>5</v>
      </c>
      <c r="L878" s="35" t="s">
        <v>959</v>
      </c>
      <c r="M878" s="34">
        <f>IF(OR(L878="-",L878="",L878=0),IF(K878="-","-",K878),K878-L878)</f>
        <v>5</v>
      </c>
      <c r="N878" s="4" t="str">
        <f>IFERROR(IF(K878&gt;0, L878/K878, 0),"-")</f>
        <v>-</v>
      </c>
      <c r="O878" s="34">
        <v>5</v>
      </c>
      <c r="P878" s="35">
        <v>1</v>
      </c>
      <c r="Q878" s="34">
        <f>IF(OR(P878="-",P878="",P878=0),IF(O878="-","-",O878),O878-P878)</f>
        <v>4</v>
      </c>
      <c r="R878" s="4">
        <f>IFERROR(IF(O878&gt;0, P878/O878, 0),"-")</f>
        <v>0.2</v>
      </c>
      <c r="S878" s="34">
        <v>225</v>
      </c>
      <c r="T878" s="34">
        <v>2</v>
      </c>
      <c r="U878" s="34">
        <v>6470</v>
      </c>
      <c r="V878" s="35">
        <v>9</v>
      </c>
      <c r="W878" s="35">
        <v>177528</v>
      </c>
    </row>
    <row r="879" spans="1:23" x14ac:dyDescent="0.2">
      <c r="A879" s="29"/>
      <c r="B879" s="29" t="s">
        <v>26</v>
      </c>
      <c r="C879" s="32">
        <v>1267</v>
      </c>
      <c r="D879" s="32">
        <v>1232</v>
      </c>
      <c r="E879" s="32">
        <f>IF(OR(D879="-",D879="",D879=0),IF(C879="-","-",C879),C879-D879)</f>
        <v>35</v>
      </c>
      <c r="F879" s="36">
        <f>IFERROR(IF(C879&gt;0, D879/C879, 0),"-")</f>
        <v>0.97237569060773477</v>
      </c>
      <c r="G879" s="32">
        <v>25</v>
      </c>
      <c r="H879" s="32">
        <v>7</v>
      </c>
      <c r="I879" s="32">
        <f>IF(OR(H879="-",H879="",H879=0),IF(G879="-","-",G879),G879-H879)</f>
        <v>18</v>
      </c>
      <c r="J879" s="36">
        <f>IFERROR(IF(G879&gt;0, H879/G879, 0),"-")</f>
        <v>0.28000000000000003</v>
      </c>
      <c r="K879" s="32">
        <v>11</v>
      </c>
      <c r="L879" s="32">
        <v>8</v>
      </c>
      <c r="M879" s="32">
        <f>IF(OR(L879="-",L879="",L879=0),IF(K879="-","-",K879),K879-L879)</f>
        <v>3</v>
      </c>
      <c r="N879" s="36">
        <f>IFERROR(IF(K879&gt;0, L879/K879, 0),"-")</f>
        <v>0.72727272727272729</v>
      </c>
      <c r="O879" s="32">
        <v>26</v>
      </c>
      <c r="P879" s="32">
        <v>6</v>
      </c>
      <c r="Q879" s="32">
        <f>IF(OR(P879="-",P879="",P879=0),IF(O879="-","-",O879),O879-P879)</f>
        <v>20</v>
      </c>
      <c r="R879" s="36">
        <f>IFERROR(IF(O879&gt;0, P879/O879, 0),"-")</f>
        <v>0.23076923076923078</v>
      </c>
      <c r="S879" s="32">
        <v>1023</v>
      </c>
      <c r="T879" s="32">
        <v>15</v>
      </c>
      <c r="U879" s="32">
        <v>130085</v>
      </c>
      <c r="V879" s="32">
        <v>4</v>
      </c>
      <c r="W879" s="32">
        <v>60158</v>
      </c>
    </row>
    <row r="880" spans="1:23" x14ac:dyDescent="0.2">
      <c r="A880" s="30" t="s">
        <v>787</v>
      </c>
      <c r="B880" s="30" t="s">
        <v>1526</v>
      </c>
      <c r="C880" s="34">
        <v>197</v>
      </c>
      <c r="D880" s="35">
        <v>197</v>
      </c>
      <c r="E880" s="34">
        <f>IF(OR(D880="-",D880="",D880=0),IF(C880="-","-",C880),C880-D880)</f>
        <v>0</v>
      </c>
      <c r="F880" s="4">
        <f>IFERROR(IF(C880&gt;0, D880/C880, 0),"-")</f>
        <v>1</v>
      </c>
      <c r="G880" s="34" t="s">
        <v>959</v>
      </c>
      <c r="H880" s="35" t="s">
        <v>959</v>
      </c>
      <c r="I880" s="34" t="str">
        <f>IF(OR(H880="-",H880="",H880=0),IF(G880="-","-",G880),G880-H880)</f>
        <v>-</v>
      </c>
      <c r="J880" s="4" t="str">
        <f>IFERROR(IF(G880&gt;0, H880/G880, 0),"-")</f>
        <v>-</v>
      </c>
      <c r="K880" s="34">
        <v>3</v>
      </c>
      <c r="L880" s="35">
        <v>1</v>
      </c>
      <c r="M880" s="34">
        <f>IF(OR(L880="-",L880="",L880=0),IF(K880="-","-",K880),K880-L880)</f>
        <v>2</v>
      </c>
      <c r="N880" s="4">
        <f>IFERROR(IF(K880&gt;0, L880/K880, 0),"-")</f>
        <v>0.33333333333333331</v>
      </c>
      <c r="O880" s="34">
        <v>1</v>
      </c>
      <c r="P880" s="35" t="s">
        <v>959</v>
      </c>
      <c r="Q880" s="34">
        <f>IF(OR(P880="-",P880="",P880=0),IF(O880="-","-",O880),O880-P880)</f>
        <v>1</v>
      </c>
      <c r="R880" s="4" t="str">
        <f>IFERROR(IF(O880&gt;0, P880/O880, 0),"-")</f>
        <v>-</v>
      </c>
      <c r="S880" s="34">
        <v>152</v>
      </c>
      <c r="T880" s="34">
        <v>6</v>
      </c>
      <c r="U880" s="34">
        <v>46650</v>
      </c>
      <c r="V880" s="35">
        <v>2</v>
      </c>
      <c r="W880" s="35">
        <v>48608</v>
      </c>
    </row>
    <row r="881" spans="1:23" x14ac:dyDescent="0.2">
      <c r="A881" s="30" t="s">
        <v>802</v>
      </c>
      <c r="B881" s="30" t="s">
        <v>1527</v>
      </c>
      <c r="C881" s="34">
        <v>219</v>
      </c>
      <c r="D881" s="35">
        <v>211</v>
      </c>
      <c r="E881" s="34">
        <f>IF(OR(D881="-",D881="",D881=0),IF(C881="-","-",C881),C881-D881)</f>
        <v>8</v>
      </c>
      <c r="F881" s="4">
        <f>IFERROR(IF(C881&gt;0, D881/C881, 0),"-")</f>
        <v>0.9634703196347032</v>
      </c>
      <c r="G881" s="34">
        <v>2</v>
      </c>
      <c r="H881" s="35" t="s">
        <v>959</v>
      </c>
      <c r="I881" s="34">
        <f>IF(OR(H881="-",H881="",H881=0),IF(G881="-","-",G881),G881-H881)</f>
        <v>2</v>
      </c>
      <c r="J881" s="4" t="str">
        <f>IFERROR(IF(G881&gt;0, H881/G881, 0),"-")</f>
        <v>-</v>
      </c>
      <c r="K881" s="34">
        <v>4</v>
      </c>
      <c r="L881" s="35">
        <v>4</v>
      </c>
      <c r="M881" s="34">
        <f>IF(OR(L881="-",L881="",L881=0),IF(K881="-","-",K881),K881-L881)</f>
        <v>0</v>
      </c>
      <c r="N881" s="4">
        <f>IFERROR(IF(K881&gt;0, L881/K881, 0),"-")</f>
        <v>1</v>
      </c>
      <c r="O881" s="34">
        <v>7</v>
      </c>
      <c r="P881" s="35">
        <v>4</v>
      </c>
      <c r="Q881" s="34">
        <f>IF(OR(P881="-",P881="",P881=0),IF(O881="-","-",O881),O881-P881)</f>
        <v>3</v>
      </c>
      <c r="R881" s="4">
        <f>IFERROR(IF(O881&gt;0, P881/O881, 0),"-")</f>
        <v>0.5714285714285714</v>
      </c>
      <c r="S881" s="34">
        <v>112</v>
      </c>
      <c r="T881" s="34">
        <v>1</v>
      </c>
      <c r="U881" s="34">
        <v>19760</v>
      </c>
      <c r="V881" s="35" t="s">
        <v>959</v>
      </c>
      <c r="W881" s="35" t="s">
        <v>959</v>
      </c>
    </row>
    <row r="882" spans="1:23" x14ac:dyDescent="0.2">
      <c r="A882" s="30" t="s">
        <v>791</v>
      </c>
      <c r="B882" s="30" t="s">
        <v>1528</v>
      </c>
      <c r="C882" s="34">
        <v>135</v>
      </c>
      <c r="D882" s="35">
        <v>132</v>
      </c>
      <c r="E882" s="34">
        <f>IF(OR(D882="-",D882="",D882=0),IF(C882="-","-",C882),C882-D882)</f>
        <v>3</v>
      </c>
      <c r="F882" s="4">
        <f>IFERROR(IF(C882&gt;0, D882/C882, 0),"-")</f>
        <v>0.97777777777777775</v>
      </c>
      <c r="G882" s="34">
        <v>6</v>
      </c>
      <c r="H882" s="35">
        <v>2</v>
      </c>
      <c r="I882" s="34">
        <f>IF(OR(H882="-",H882="",H882=0),IF(G882="-","-",G882),G882-H882)</f>
        <v>4</v>
      </c>
      <c r="J882" s="4">
        <f>IFERROR(IF(G882&gt;0, H882/G882, 0),"-")</f>
        <v>0.33333333333333331</v>
      </c>
      <c r="K882" s="34">
        <v>1</v>
      </c>
      <c r="L882" s="35">
        <v>1</v>
      </c>
      <c r="M882" s="34">
        <f>IF(OR(L882="-",L882="",L882=0),IF(K882="-","-",K882),K882-L882)</f>
        <v>0</v>
      </c>
      <c r="N882" s="4">
        <f>IFERROR(IF(K882&gt;0, L882/K882, 0),"-")</f>
        <v>1</v>
      </c>
      <c r="O882" s="34">
        <v>2</v>
      </c>
      <c r="P882" s="35" t="s">
        <v>959</v>
      </c>
      <c r="Q882" s="34">
        <f>IF(OR(P882="-",P882="",P882=0),IF(O882="-","-",O882),O882-P882)</f>
        <v>2</v>
      </c>
      <c r="R882" s="4" t="str">
        <f>IFERROR(IF(O882&gt;0, P882/O882, 0),"-")</f>
        <v>-</v>
      </c>
      <c r="S882" s="34">
        <v>88</v>
      </c>
      <c r="T882" s="34">
        <v>2</v>
      </c>
      <c r="U882" s="34">
        <v>5390</v>
      </c>
      <c r="V882" s="35">
        <v>1</v>
      </c>
      <c r="W882" s="35">
        <v>9465</v>
      </c>
    </row>
    <row r="883" spans="1:23" x14ac:dyDescent="0.2">
      <c r="A883" s="30" t="s">
        <v>790</v>
      </c>
      <c r="B883" s="30" t="s">
        <v>1529</v>
      </c>
      <c r="C883" s="34">
        <v>162</v>
      </c>
      <c r="D883" s="35">
        <v>156</v>
      </c>
      <c r="E883" s="34">
        <f>IF(OR(D883="-",D883="",D883=0),IF(C883="-","-",C883),C883-D883)</f>
        <v>6</v>
      </c>
      <c r="F883" s="4">
        <f>IFERROR(IF(C883&gt;0, D883/C883, 0),"-")</f>
        <v>0.96296296296296291</v>
      </c>
      <c r="G883" s="34">
        <v>1</v>
      </c>
      <c r="H883" s="35" t="s">
        <v>959</v>
      </c>
      <c r="I883" s="34">
        <f>IF(OR(H883="-",H883="",H883=0),IF(G883="-","-",G883),G883-H883)</f>
        <v>1</v>
      </c>
      <c r="J883" s="4" t="str">
        <f>IFERROR(IF(G883&gt;0, H883/G883, 0),"-")</f>
        <v>-</v>
      </c>
      <c r="K883" s="34" t="s">
        <v>959</v>
      </c>
      <c r="L883" s="35" t="s">
        <v>959</v>
      </c>
      <c r="M883" s="34" t="str">
        <f>IF(OR(L883="-",L883="",L883=0),IF(K883="-","-",K883),K883-L883)</f>
        <v>-</v>
      </c>
      <c r="N883" s="4" t="str">
        <f>IFERROR(IF(K883&gt;0, L883/K883, 0),"-")</f>
        <v>-</v>
      </c>
      <c r="O883" s="34">
        <v>4</v>
      </c>
      <c r="P883" s="35" t="s">
        <v>959</v>
      </c>
      <c r="Q883" s="34">
        <f>IF(OR(P883="-",P883="",P883=0),IF(O883="-","-",O883),O883-P883)</f>
        <v>4</v>
      </c>
      <c r="R883" s="4" t="str">
        <f>IFERROR(IF(O883&gt;0, P883/O883, 0),"-")</f>
        <v>-</v>
      </c>
      <c r="S883" s="34">
        <v>53</v>
      </c>
      <c r="T883" s="34" t="s">
        <v>959</v>
      </c>
      <c r="U883" s="34" t="s">
        <v>959</v>
      </c>
      <c r="V883" s="35" t="s">
        <v>959</v>
      </c>
      <c r="W883" s="35" t="s">
        <v>959</v>
      </c>
    </row>
    <row r="884" spans="1:23" x14ac:dyDescent="0.2">
      <c r="A884" s="30" t="s">
        <v>789</v>
      </c>
      <c r="B884" s="30" t="s">
        <v>1259</v>
      </c>
      <c r="C884" s="34">
        <v>11</v>
      </c>
      <c r="D884" s="35">
        <v>11</v>
      </c>
      <c r="E884" s="34">
        <f>IF(OR(D884="-",D884="",D884=0),IF(C884="-","-",C884),C884-D884)</f>
        <v>0</v>
      </c>
      <c r="F884" s="4">
        <f>IFERROR(IF(C884&gt;0, D884/C884, 0),"-")</f>
        <v>1</v>
      </c>
      <c r="G884" s="34" t="s">
        <v>959</v>
      </c>
      <c r="H884" s="35" t="s">
        <v>959</v>
      </c>
      <c r="I884" s="34" t="str">
        <f>IF(OR(H884="-",H884="",H884=0),IF(G884="-","-",G884),G884-H884)</f>
        <v>-</v>
      </c>
      <c r="J884" s="4" t="str">
        <f>IFERROR(IF(G884&gt;0, H884/G884, 0),"-")</f>
        <v>-</v>
      </c>
      <c r="K884" s="34" t="s">
        <v>959</v>
      </c>
      <c r="L884" s="35" t="s">
        <v>959</v>
      </c>
      <c r="M884" s="34" t="str">
        <f>IF(OR(L884="-",L884="",L884=0),IF(K884="-","-",K884),K884-L884)</f>
        <v>-</v>
      </c>
      <c r="N884" s="4" t="str">
        <f>IFERROR(IF(K884&gt;0, L884/K884, 0),"-")</f>
        <v>-</v>
      </c>
      <c r="O884" s="34" t="s">
        <v>959</v>
      </c>
      <c r="P884" s="35" t="s">
        <v>959</v>
      </c>
      <c r="Q884" s="34" t="str">
        <f>IF(OR(P884="-",P884="",P884=0),IF(O884="-","-",O884),O884-P884)</f>
        <v>-</v>
      </c>
      <c r="R884" s="4" t="str">
        <f>IFERROR(IF(O884&gt;0, P884/O884, 0),"-")</f>
        <v>-</v>
      </c>
      <c r="S884" s="34">
        <v>150</v>
      </c>
      <c r="T884" s="34">
        <v>1</v>
      </c>
      <c r="U884" s="34">
        <v>500</v>
      </c>
      <c r="V884" s="35" t="s">
        <v>959</v>
      </c>
      <c r="W884" s="35" t="s">
        <v>959</v>
      </c>
    </row>
    <row r="885" spans="1:23" x14ac:dyDescent="0.2">
      <c r="A885" s="30" t="s">
        <v>793</v>
      </c>
      <c r="B885" s="30" t="s">
        <v>1530</v>
      </c>
      <c r="C885" s="34">
        <v>145</v>
      </c>
      <c r="D885" s="35">
        <v>137</v>
      </c>
      <c r="E885" s="34">
        <f>IF(OR(D885="-",D885="",D885=0),IF(C885="-","-",C885),C885-D885)</f>
        <v>8</v>
      </c>
      <c r="F885" s="4">
        <f>IFERROR(IF(C885&gt;0, D885/C885, 0),"-")</f>
        <v>0.94482758620689655</v>
      </c>
      <c r="G885" s="34">
        <v>5</v>
      </c>
      <c r="H885" s="35">
        <v>1</v>
      </c>
      <c r="I885" s="34">
        <f>IF(OR(H885="-",H885="",H885=0),IF(G885="-","-",G885),G885-H885)</f>
        <v>4</v>
      </c>
      <c r="J885" s="4">
        <f>IFERROR(IF(G885&gt;0, H885/G885, 0),"-")</f>
        <v>0.2</v>
      </c>
      <c r="K885" s="34">
        <v>2</v>
      </c>
      <c r="L885" s="35">
        <v>2</v>
      </c>
      <c r="M885" s="34">
        <f>IF(OR(L885="-",L885="",L885=0),IF(K885="-","-",K885),K885-L885)</f>
        <v>0</v>
      </c>
      <c r="N885" s="4">
        <f>IFERROR(IF(K885&gt;0, L885/K885, 0),"-")</f>
        <v>1</v>
      </c>
      <c r="O885" s="34">
        <v>3</v>
      </c>
      <c r="P885" s="35">
        <v>1</v>
      </c>
      <c r="Q885" s="34">
        <f>IF(OR(P885="-",P885="",P885=0),IF(O885="-","-",O885),O885-P885)</f>
        <v>2</v>
      </c>
      <c r="R885" s="4">
        <f>IFERROR(IF(O885&gt;0, P885/O885, 0),"-")</f>
        <v>0.33333333333333331</v>
      </c>
      <c r="S885" s="34">
        <v>91</v>
      </c>
      <c r="T885" s="34">
        <v>1</v>
      </c>
      <c r="U885" s="34">
        <v>12120</v>
      </c>
      <c r="V885" s="35">
        <v>1</v>
      </c>
      <c r="W885" s="35">
        <v>2085</v>
      </c>
    </row>
    <row r="886" spans="1:23" x14ac:dyDescent="0.2">
      <c r="A886" s="30" t="s">
        <v>792</v>
      </c>
      <c r="B886" s="30" t="s">
        <v>1531</v>
      </c>
      <c r="C886" s="34">
        <v>169</v>
      </c>
      <c r="D886" s="35">
        <v>162</v>
      </c>
      <c r="E886" s="34">
        <f>IF(OR(D886="-",D886="",D886=0),IF(C886="-","-",C886),C886-D886)</f>
        <v>7</v>
      </c>
      <c r="F886" s="4">
        <f>IFERROR(IF(C886&gt;0, D886/C886, 0),"-")</f>
        <v>0.95857988165680474</v>
      </c>
      <c r="G886" s="34">
        <v>4</v>
      </c>
      <c r="H886" s="35">
        <v>1</v>
      </c>
      <c r="I886" s="34">
        <f>IF(OR(H886="-",H886="",H886=0),IF(G886="-","-",G886),G886-H886)</f>
        <v>3</v>
      </c>
      <c r="J886" s="4">
        <f>IFERROR(IF(G886&gt;0, H886/G886, 0),"-")</f>
        <v>0.25</v>
      </c>
      <c r="K886" s="34" t="s">
        <v>959</v>
      </c>
      <c r="L886" s="35" t="s">
        <v>959</v>
      </c>
      <c r="M886" s="34" t="str">
        <f>IF(OR(L886="-",L886="",L886=0),IF(K886="-","-",K886),K886-L886)</f>
        <v>-</v>
      </c>
      <c r="N886" s="4" t="str">
        <f>IFERROR(IF(K886&gt;0, L886/K886, 0),"-")</f>
        <v>-</v>
      </c>
      <c r="O886" s="34">
        <v>3</v>
      </c>
      <c r="P886" s="35" t="s">
        <v>959</v>
      </c>
      <c r="Q886" s="34">
        <f>IF(OR(P886="-",P886="",P886=0),IF(O886="-","-",O886),O886-P886)</f>
        <v>3</v>
      </c>
      <c r="R886" s="4" t="str">
        <f>IFERROR(IF(O886&gt;0, P886/O886, 0),"-")</f>
        <v>-</v>
      </c>
      <c r="S886" s="34">
        <v>220</v>
      </c>
      <c r="T886" s="34">
        <v>3</v>
      </c>
      <c r="U886" s="34">
        <v>7550</v>
      </c>
      <c r="V886" s="35" t="s">
        <v>959</v>
      </c>
      <c r="W886" s="35" t="s">
        <v>959</v>
      </c>
    </row>
    <row r="887" spans="1:23" x14ac:dyDescent="0.2">
      <c r="A887" s="30" t="s">
        <v>803</v>
      </c>
      <c r="B887" s="30" t="s">
        <v>989</v>
      </c>
      <c r="C887" s="34">
        <v>23</v>
      </c>
      <c r="D887" s="35">
        <v>23</v>
      </c>
      <c r="E887" s="34">
        <f>IF(OR(D887="-",D887="",D887=0),IF(C887="-","-",C887),C887-D887)</f>
        <v>0</v>
      </c>
      <c r="F887" s="4">
        <f>IFERROR(IF(C887&gt;0, D887/C887, 0),"-")</f>
        <v>1</v>
      </c>
      <c r="G887" s="34" t="s">
        <v>959</v>
      </c>
      <c r="H887" s="35" t="s">
        <v>959</v>
      </c>
      <c r="I887" s="34" t="str">
        <f>IF(OR(H887="-",H887="",H887=0),IF(G887="-","-",G887),G887-H887)</f>
        <v>-</v>
      </c>
      <c r="J887" s="4" t="str">
        <f>IFERROR(IF(G887&gt;0, H887/G887, 0),"-")</f>
        <v>-</v>
      </c>
      <c r="K887" s="34" t="s">
        <v>959</v>
      </c>
      <c r="L887" s="35" t="s">
        <v>959</v>
      </c>
      <c r="M887" s="34" t="str">
        <f>IF(OR(L887="-",L887="",L887=0),IF(K887="-","-",K887),K887-L887)</f>
        <v>-</v>
      </c>
      <c r="N887" s="4" t="str">
        <f>IFERROR(IF(K887&gt;0, L887/K887, 0),"-")</f>
        <v>-</v>
      </c>
      <c r="O887" s="34">
        <v>2</v>
      </c>
      <c r="P887" s="35">
        <v>1</v>
      </c>
      <c r="Q887" s="34">
        <f>IF(OR(P887="-",P887="",P887=0),IF(O887="-","-",O887),O887-P887)</f>
        <v>1</v>
      </c>
      <c r="R887" s="4">
        <f>IFERROR(IF(O887&gt;0, P887/O887, 0),"-")</f>
        <v>0.5</v>
      </c>
      <c r="S887" s="34">
        <v>8</v>
      </c>
      <c r="T887" s="34" t="s">
        <v>959</v>
      </c>
      <c r="U887" s="34" t="s">
        <v>959</v>
      </c>
      <c r="V887" s="35" t="s">
        <v>959</v>
      </c>
      <c r="W887" s="35" t="s">
        <v>959</v>
      </c>
    </row>
    <row r="888" spans="1:23" x14ac:dyDescent="0.2">
      <c r="A888" s="30" t="s">
        <v>788</v>
      </c>
      <c r="B888" s="30" t="s">
        <v>1532</v>
      </c>
      <c r="C888" s="34">
        <v>206</v>
      </c>
      <c r="D888" s="35">
        <v>203</v>
      </c>
      <c r="E888" s="34">
        <f>IF(OR(D888="-",D888="",D888=0),IF(C888="-","-",C888),C888-D888)</f>
        <v>3</v>
      </c>
      <c r="F888" s="4">
        <f>IFERROR(IF(C888&gt;0, D888/C888, 0),"-")</f>
        <v>0.9854368932038835</v>
      </c>
      <c r="G888" s="34">
        <v>7</v>
      </c>
      <c r="H888" s="35">
        <v>3</v>
      </c>
      <c r="I888" s="34">
        <f>IF(OR(H888="-",H888="",H888=0),IF(G888="-","-",G888),G888-H888)</f>
        <v>4</v>
      </c>
      <c r="J888" s="4">
        <f>IFERROR(IF(G888&gt;0, H888/G888, 0),"-")</f>
        <v>0.42857142857142855</v>
      </c>
      <c r="K888" s="34">
        <v>1</v>
      </c>
      <c r="L888" s="35" t="s">
        <v>959</v>
      </c>
      <c r="M888" s="34">
        <f>IF(OR(L888="-",L888="",L888=0),IF(K888="-","-",K888),K888-L888)</f>
        <v>1</v>
      </c>
      <c r="N888" s="4" t="str">
        <f>IFERROR(IF(K888&gt;0, L888/K888, 0),"-")</f>
        <v>-</v>
      </c>
      <c r="O888" s="34">
        <v>4</v>
      </c>
      <c r="P888" s="35" t="s">
        <v>959</v>
      </c>
      <c r="Q888" s="34">
        <f>IF(OR(P888="-",P888="",P888=0),IF(O888="-","-",O888),O888-P888)</f>
        <v>4</v>
      </c>
      <c r="R888" s="4" t="str">
        <f>IFERROR(IF(O888&gt;0, P888/O888, 0),"-")</f>
        <v>-</v>
      </c>
      <c r="S888" s="34">
        <v>149</v>
      </c>
      <c r="T888" s="34">
        <v>1</v>
      </c>
      <c r="U888" s="34">
        <v>38115</v>
      </c>
      <c r="V888" s="35" t="s">
        <v>959</v>
      </c>
      <c r="W888" s="35" t="s">
        <v>959</v>
      </c>
    </row>
    <row r="889" spans="1:23" x14ac:dyDescent="0.2">
      <c r="A889" s="29"/>
      <c r="B889" s="29" t="s">
        <v>103</v>
      </c>
      <c r="C889" s="32">
        <v>792</v>
      </c>
      <c r="D889" s="32">
        <v>773</v>
      </c>
      <c r="E889" s="32">
        <f>IF(OR(D889="-",D889="",D889=0),IF(C889="-","-",C889),C889-D889)</f>
        <v>19</v>
      </c>
      <c r="F889" s="36">
        <f>IFERROR(IF(C889&gt;0, D889/C889, 0),"-")</f>
        <v>0.97601010101010099</v>
      </c>
      <c r="G889" s="32">
        <v>8</v>
      </c>
      <c r="H889" s="32">
        <v>3</v>
      </c>
      <c r="I889" s="32">
        <f>IF(OR(H889="-",H889="",H889=0),IF(G889="-","-",G889),G889-H889)</f>
        <v>5</v>
      </c>
      <c r="J889" s="36">
        <f>IFERROR(IF(G889&gt;0, H889/G889, 0),"-")</f>
        <v>0.375</v>
      </c>
      <c r="K889" s="32">
        <v>10</v>
      </c>
      <c r="L889" s="32">
        <v>3</v>
      </c>
      <c r="M889" s="32">
        <f>IF(OR(L889="-",L889="",L889=0),IF(K889="-","-",K889),K889-L889)</f>
        <v>7</v>
      </c>
      <c r="N889" s="36">
        <f>IFERROR(IF(K889&gt;0, L889/K889, 0),"-")</f>
        <v>0.3</v>
      </c>
      <c r="O889" s="32">
        <v>17</v>
      </c>
      <c r="P889" s="32">
        <v>4</v>
      </c>
      <c r="Q889" s="32">
        <f>IF(OR(P889="-",P889="",P889=0),IF(O889="-","-",O889),O889-P889)</f>
        <v>13</v>
      </c>
      <c r="R889" s="36">
        <f>IFERROR(IF(O889&gt;0, P889/O889, 0),"-")</f>
        <v>0.23529411764705882</v>
      </c>
      <c r="S889" s="32">
        <v>767</v>
      </c>
      <c r="T889" s="32">
        <v>33</v>
      </c>
      <c r="U889" s="32">
        <v>68910</v>
      </c>
      <c r="V889" s="32">
        <v>9</v>
      </c>
      <c r="W889" s="32">
        <v>267806</v>
      </c>
    </row>
    <row r="890" spans="1:23" x14ac:dyDescent="0.2">
      <c r="A890" s="30" t="s">
        <v>742</v>
      </c>
      <c r="B890" s="30" t="s">
        <v>1533</v>
      </c>
      <c r="C890" s="34">
        <v>210</v>
      </c>
      <c r="D890" s="35">
        <v>205</v>
      </c>
      <c r="E890" s="34">
        <f>IF(OR(D890="-",D890="",D890=0),IF(C890="-","-",C890),C890-D890)</f>
        <v>5</v>
      </c>
      <c r="F890" s="4">
        <f>IFERROR(IF(C890&gt;0, D890/C890, 0),"-")</f>
        <v>0.97619047619047616</v>
      </c>
      <c r="G890" s="34" t="s">
        <v>959</v>
      </c>
      <c r="H890" s="35" t="s">
        <v>959</v>
      </c>
      <c r="I890" s="34" t="str">
        <f>IF(OR(H890="-",H890="",H890=0),IF(G890="-","-",G890),G890-H890)</f>
        <v>-</v>
      </c>
      <c r="J890" s="4" t="str">
        <f>IFERROR(IF(G890&gt;0, H890/G890, 0),"-")</f>
        <v>-</v>
      </c>
      <c r="K890" s="34">
        <v>2</v>
      </c>
      <c r="L890" s="35">
        <v>1</v>
      </c>
      <c r="M890" s="34">
        <f>IF(OR(L890="-",L890="",L890=0),IF(K890="-","-",K890),K890-L890)</f>
        <v>1</v>
      </c>
      <c r="N890" s="4">
        <f>IFERROR(IF(K890&gt;0, L890/K890, 0),"-")</f>
        <v>0.5</v>
      </c>
      <c r="O890" s="34">
        <v>4</v>
      </c>
      <c r="P890" s="35" t="s">
        <v>959</v>
      </c>
      <c r="Q890" s="34">
        <f>IF(OR(P890="-",P890="",P890=0),IF(O890="-","-",O890),O890-P890)</f>
        <v>4</v>
      </c>
      <c r="R890" s="4" t="str">
        <f>IFERROR(IF(O890&gt;0, P890/O890, 0),"-")</f>
        <v>-</v>
      </c>
      <c r="S890" s="34">
        <v>150</v>
      </c>
      <c r="T890" s="34">
        <v>4</v>
      </c>
      <c r="U890" s="34">
        <v>24200</v>
      </c>
      <c r="V890" s="35" t="s">
        <v>959</v>
      </c>
      <c r="W890" s="35" t="s">
        <v>959</v>
      </c>
    </row>
    <row r="891" spans="1:23" x14ac:dyDescent="0.2">
      <c r="A891" s="30" t="s">
        <v>743</v>
      </c>
      <c r="B891" s="30" t="s">
        <v>1534</v>
      </c>
      <c r="C891" s="34">
        <v>209</v>
      </c>
      <c r="D891" s="35">
        <v>204</v>
      </c>
      <c r="E891" s="34">
        <f>IF(OR(D891="-",D891="",D891=0),IF(C891="-","-",C891),C891-D891)</f>
        <v>5</v>
      </c>
      <c r="F891" s="4">
        <f>IFERROR(IF(C891&gt;0, D891/C891, 0),"-")</f>
        <v>0.97607655502392343</v>
      </c>
      <c r="G891" s="34">
        <v>2</v>
      </c>
      <c r="H891" s="35" t="s">
        <v>959</v>
      </c>
      <c r="I891" s="34">
        <f>IF(OR(H891="-",H891="",H891=0),IF(G891="-","-",G891),G891-H891)</f>
        <v>2</v>
      </c>
      <c r="J891" s="4" t="str">
        <f>IFERROR(IF(G891&gt;0, H891/G891, 0),"-")</f>
        <v>-</v>
      </c>
      <c r="K891" s="34">
        <v>5</v>
      </c>
      <c r="L891" s="35">
        <v>2</v>
      </c>
      <c r="M891" s="34">
        <f>IF(OR(L891="-",L891="",L891=0),IF(K891="-","-",K891),K891-L891)</f>
        <v>3</v>
      </c>
      <c r="N891" s="4">
        <f>IFERROR(IF(K891&gt;0, L891/K891, 0),"-")</f>
        <v>0.4</v>
      </c>
      <c r="O891" s="34">
        <v>6</v>
      </c>
      <c r="P891" s="35">
        <v>2</v>
      </c>
      <c r="Q891" s="34">
        <f>IF(OR(P891="-",P891="",P891=0),IF(O891="-","-",O891),O891-P891)</f>
        <v>4</v>
      </c>
      <c r="R891" s="4">
        <f>IFERROR(IF(O891&gt;0, P891/O891, 0),"-")</f>
        <v>0.33333333333333331</v>
      </c>
      <c r="S891" s="34">
        <v>275</v>
      </c>
      <c r="T891" s="34">
        <v>14</v>
      </c>
      <c r="U891" s="34">
        <v>18845</v>
      </c>
      <c r="V891" s="35">
        <v>4</v>
      </c>
      <c r="W891" s="35">
        <v>134929</v>
      </c>
    </row>
    <row r="892" spans="1:23" x14ac:dyDescent="0.2">
      <c r="A892" s="30" t="s">
        <v>741</v>
      </c>
      <c r="B892" s="30" t="s">
        <v>1535</v>
      </c>
      <c r="C892" s="34">
        <v>204</v>
      </c>
      <c r="D892" s="35">
        <v>201</v>
      </c>
      <c r="E892" s="34">
        <f>IF(OR(D892="-",D892="",D892=0),IF(C892="-","-",C892),C892-D892)</f>
        <v>3</v>
      </c>
      <c r="F892" s="4">
        <f>IFERROR(IF(C892&gt;0, D892/C892, 0),"-")</f>
        <v>0.98529411764705888</v>
      </c>
      <c r="G892" s="34">
        <v>4</v>
      </c>
      <c r="H892" s="35">
        <v>2</v>
      </c>
      <c r="I892" s="34">
        <f>IF(OR(H892="-",H892="",H892=0),IF(G892="-","-",G892),G892-H892)</f>
        <v>2</v>
      </c>
      <c r="J892" s="4">
        <f>IFERROR(IF(G892&gt;0, H892/G892, 0),"-")</f>
        <v>0.5</v>
      </c>
      <c r="K892" s="34" t="s">
        <v>959</v>
      </c>
      <c r="L892" s="35" t="s">
        <v>959</v>
      </c>
      <c r="M892" s="34" t="str">
        <f>IF(OR(L892="-",L892="",L892=0),IF(K892="-","-",K892),K892-L892)</f>
        <v>-</v>
      </c>
      <c r="N892" s="4" t="str">
        <f>IFERROR(IF(K892&gt;0, L892/K892, 0),"-")</f>
        <v>-</v>
      </c>
      <c r="O892" s="34">
        <v>5</v>
      </c>
      <c r="P892" s="35">
        <v>1</v>
      </c>
      <c r="Q892" s="34">
        <f>IF(OR(P892="-",P892="",P892=0),IF(O892="-","-",O892),O892-P892)</f>
        <v>4</v>
      </c>
      <c r="R892" s="4">
        <f>IFERROR(IF(O892&gt;0, P892/O892, 0),"-")</f>
        <v>0.2</v>
      </c>
      <c r="S892" s="34">
        <v>153</v>
      </c>
      <c r="T892" s="34">
        <v>10</v>
      </c>
      <c r="U892" s="34">
        <v>16895</v>
      </c>
      <c r="V892" s="35">
        <v>3</v>
      </c>
      <c r="W892" s="35">
        <v>104896</v>
      </c>
    </row>
    <row r="893" spans="1:23" x14ac:dyDescent="0.2">
      <c r="A893" s="30" t="s">
        <v>744</v>
      </c>
      <c r="B893" s="30" t="s">
        <v>1536</v>
      </c>
      <c r="C893" s="34">
        <v>95</v>
      </c>
      <c r="D893" s="35">
        <v>92</v>
      </c>
      <c r="E893" s="34">
        <f>IF(OR(D893="-",D893="",D893=0),IF(C893="-","-",C893),C893-D893)</f>
        <v>3</v>
      </c>
      <c r="F893" s="4">
        <f>IFERROR(IF(C893&gt;0, D893/C893, 0),"-")</f>
        <v>0.96842105263157896</v>
      </c>
      <c r="G893" s="34">
        <v>2</v>
      </c>
      <c r="H893" s="35">
        <v>1</v>
      </c>
      <c r="I893" s="34">
        <f>IF(OR(H893="-",H893="",H893=0),IF(G893="-","-",G893),G893-H893)</f>
        <v>1</v>
      </c>
      <c r="J893" s="4">
        <f>IFERROR(IF(G893&gt;0, H893/G893, 0),"-")</f>
        <v>0.5</v>
      </c>
      <c r="K893" s="34">
        <v>3</v>
      </c>
      <c r="L893" s="35" t="s">
        <v>959</v>
      </c>
      <c r="M893" s="34">
        <f>IF(OR(L893="-",L893="",L893=0),IF(K893="-","-",K893),K893-L893)</f>
        <v>3</v>
      </c>
      <c r="N893" s="4" t="str">
        <f>IFERROR(IF(K893&gt;0, L893/K893, 0),"-")</f>
        <v>-</v>
      </c>
      <c r="O893" s="34">
        <v>1</v>
      </c>
      <c r="P893" s="35" t="s">
        <v>959</v>
      </c>
      <c r="Q893" s="34">
        <f>IF(OR(P893="-",P893="",P893=0),IF(O893="-","-",O893),O893-P893)</f>
        <v>1</v>
      </c>
      <c r="R893" s="4" t="str">
        <f>IFERROR(IF(O893&gt;0, P893/O893, 0),"-")</f>
        <v>-</v>
      </c>
      <c r="S893" s="34">
        <v>98</v>
      </c>
      <c r="T893" s="34">
        <v>3</v>
      </c>
      <c r="U893" s="34">
        <v>6470</v>
      </c>
      <c r="V893" s="35">
        <v>1</v>
      </c>
      <c r="W893" s="35">
        <v>23322</v>
      </c>
    </row>
    <row r="894" spans="1:23" x14ac:dyDescent="0.2">
      <c r="A894" s="30" t="s">
        <v>740</v>
      </c>
      <c r="B894" s="30" t="s">
        <v>1537</v>
      </c>
      <c r="C894" s="34">
        <v>74</v>
      </c>
      <c r="D894" s="35">
        <v>71</v>
      </c>
      <c r="E894" s="34">
        <f>IF(OR(D894="-",D894="",D894=0),IF(C894="-","-",C894),C894-D894)</f>
        <v>3</v>
      </c>
      <c r="F894" s="4">
        <f>IFERROR(IF(C894&gt;0, D894/C894, 0),"-")</f>
        <v>0.95945945945945943</v>
      </c>
      <c r="G894" s="34" t="s">
        <v>959</v>
      </c>
      <c r="H894" s="35" t="s">
        <v>959</v>
      </c>
      <c r="I894" s="34" t="str">
        <f>IF(OR(H894="-",H894="",H894=0),IF(G894="-","-",G894),G894-H894)</f>
        <v>-</v>
      </c>
      <c r="J894" s="4" t="str">
        <f>IFERROR(IF(G894&gt;0, H894/G894, 0),"-")</f>
        <v>-</v>
      </c>
      <c r="K894" s="34" t="s">
        <v>959</v>
      </c>
      <c r="L894" s="35" t="s">
        <v>959</v>
      </c>
      <c r="M894" s="34" t="str">
        <f>IF(OR(L894="-",L894="",L894=0),IF(K894="-","-",K894),K894-L894)</f>
        <v>-</v>
      </c>
      <c r="N894" s="4" t="str">
        <f>IFERROR(IF(K894&gt;0, L894/K894, 0),"-")</f>
        <v>-</v>
      </c>
      <c r="O894" s="34">
        <v>1</v>
      </c>
      <c r="P894" s="35">
        <v>1</v>
      </c>
      <c r="Q894" s="34">
        <f>IF(OR(P894="-",P894="",P894=0),IF(O894="-","-",O894),O894-P894)</f>
        <v>0</v>
      </c>
      <c r="R894" s="4">
        <f>IFERROR(IF(O894&gt;0, P894/O894, 0),"-")</f>
        <v>1</v>
      </c>
      <c r="S894" s="34">
        <v>91</v>
      </c>
      <c r="T894" s="34">
        <v>2</v>
      </c>
      <c r="U894" s="34">
        <v>2500</v>
      </c>
      <c r="V894" s="35">
        <v>1</v>
      </c>
      <c r="W894" s="35">
        <v>4659</v>
      </c>
    </row>
    <row r="895" spans="1:23" x14ac:dyDescent="0.2">
      <c r="A895" s="29"/>
      <c r="B895" s="29" t="s">
        <v>13</v>
      </c>
      <c r="C895" s="32">
        <v>993</v>
      </c>
      <c r="D895" s="32">
        <v>975</v>
      </c>
      <c r="E895" s="32">
        <f>IF(OR(D895="-",D895="",D895=0),IF(C895="-","-",C895),C895-D895)</f>
        <v>18</v>
      </c>
      <c r="F895" s="36">
        <f>IFERROR(IF(C895&gt;0, D895/C895, 0),"-")</f>
        <v>0.98187311178247738</v>
      </c>
      <c r="G895" s="32">
        <v>10</v>
      </c>
      <c r="H895" s="32">
        <v>1</v>
      </c>
      <c r="I895" s="32">
        <f>IF(OR(H895="-",H895="",H895=0),IF(G895="-","-",G895),G895-H895)</f>
        <v>9</v>
      </c>
      <c r="J895" s="36">
        <f>IFERROR(IF(G895&gt;0, H895/G895, 0),"-")</f>
        <v>0.1</v>
      </c>
      <c r="K895" s="32">
        <v>3</v>
      </c>
      <c r="L895" s="32">
        <v>3</v>
      </c>
      <c r="M895" s="32">
        <f>IF(OR(L895="-",L895="",L895=0),IF(K895="-","-",K895),K895-L895)</f>
        <v>0</v>
      </c>
      <c r="N895" s="36">
        <f>IFERROR(IF(K895&gt;0, L895/K895, 0),"-")</f>
        <v>1</v>
      </c>
      <c r="O895" s="32">
        <v>11</v>
      </c>
      <c r="P895" s="32">
        <v>1</v>
      </c>
      <c r="Q895" s="32">
        <f>IF(OR(P895="-",P895="",P895=0),IF(O895="-","-",O895),O895-P895)</f>
        <v>10</v>
      </c>
      <c r="R895" s="36">
        <f>IFERROR(IF(O895&gt;0, P895/O895, 0),"-")</f>
        <v>9.0909090909090912E-2</v>
      </c>
      <c r="S895" s="32">
        <v>812</v>
      </c>
      <c r="T895" s="32">
        <v>10</v>
      </c>
      <c r="U895" s="32">
        <v>26695</v>
      </c>
      <c r="V895" s="32">
        <v>5</v>
      </c>
      <c r="W895" s="32">
        <v>68467</v>
      </c>
    </row>
    <row r="896" spans="1:23" x14ac:dyDescent="0.2">
      <c r="A896" s="30" t="s">
        <v>376</v>
      </c>
      <c r="B896" s="30" t="s">
        <v>1538</v>
      </c>
      <c r="C896" s="34">
        <v>149</v>
      </c>
      <c r="D896" s="35">
        <v>146</v>
      </c>
      <c r="E896" s="34">
        <f>IF(OR(D896="-",D896="",D896=0),IF(C896="-","-",C896),C896-D896)</f>
        <v>3</v>
      </c>
      <c r="F896" s="4">
        <f>IFERROR(IF(C896&gt;0, D896/C896, 0),"-")</f>
        <v>0.97986577181208057</v>
      </c>
      <c r="G896" s="34">
        <v>3</v>
      </c>
      <c r="H896" s="35" t="s">
        <v>959</v>
      </c>
      <c r="I896" s="34">
        <f>IF(OR(H896="-",H896="",H896=0),IF(G896="-","-",G896),G896-H896)</f>
        <v>3</v>
      </c>
      <c r="J896" s="4" t="str">
        <f>IFERROR(IF(G896&gt;0, H896/G896, 0),"-")</f>
        <v>-</v>
      </c>
      <c r="K896" s="34" t="s">
        <v>959</v>
      </c>
      <c r="L896" s="35" t="s">
        <v>959</v>
      </c>
      <c r="M896" s="34" t="str">
        <f>IF(OR(L896="-",L896="",L896=0),IF(K896="-","-",K896),K896-L896)</f>
        <v>-</v>
      </c>
      <c r="N896" s="4" t="str">
        <f>IFERROR(IF(K896&gt;0, L896/K896, 0),"-")</f>
        <v>-</v>
      </c>
      <c r="O896" s="34">
        <v>2</v>
      </c>
      <c r="P896" s="35" t="s">
        <v>959</v>
      </c>
      <c r="Q896" s="34">
        <f>IF(OR(P896="-",P896="",P896=0),IF(O896="-","-",O896),O896-P896)</f>
        <v>2</v>
      </c>
      <c r="R896" s="4" t="str">
        <f>IFERROR(IF(O896&gt;0, P896/O896, 0),"-")</f>
        <v>-</v>
      </c>
      <c r="S896" s="34">
        <v>194</v>
      </c>
      <c r="T896" s="34">
        <v>2</v>
      </c>
      <c r="U896" s="34">
        <v>3000</v>
      </c>
      <c r="V896" s="35" t="s">
        <v>959</v>
      </c>
      <c r="W896" s="35" t="s">
        <v>959</v>
      </c>
    </row>
    <row r="897" spans="1:23" x14ac:dyDescent="0.2">
      <c r="A897" s="30" t="s">
        <v>375</v>
      </c>
      <c r="B897" s="30" t="s">
        <v>1539</v>
      </c>
      <c r="C897" s="34">
        <v>133</v>
      </c>
      <c r="D897" s="35">
        <v>130</v>
      </c>
      <c r="E897" s="34">
        <f>IF(OR(D897="-",D897="",D897=0),IF(C897="-","-",C897),C897-D897)</f>
        <v>3</v>
      </c>
      <c r="F897" s="4">
        <f>IFERROR(IF(C897&gt;0, D897/C897, 0),"-")</f>
        <v>0.97744360902255634</v>
      </c>
      <c r="G897" s="34" t="s">
        <v>959</v>
      </c>
      <c r="H897" s="35" t="s">
        <v>959</v>
      </c>
      <c r="I897" s="34" t="str">
        <f>IF(OR(H897="-",H897="",H897=0),IF(G897="-","-",G897),G897-H897)</f>
        <v>-</v>
      </c>
      <c r="J897" s="4" t="str">
        <f>IFERROR(IF(G897&gt;0, H897/G897, 0),"-")</f>
        <v>-</v>
      </c>
      <c r="K897" s="34">
        <v>1</v>
      </c>
      <c r="L897" s="35">
        <v>1</v>
      </c>
      <c r="M897" s="34">
        <f>IF(OR(L897="-",L897="",L897=0),IF(K897="-","-",K897),K897-L897)</f>
        <v>0</v>
      </c>
      <c r="N897" s="4">
        <f>IFERROR(IF(K897&gt;0, L897/K897, 0),"-")</f>
        <v>1</v>
      </c>
      <c r="O897" s="34">
        <v>2</v>
      </c>
      <c r="P897" s="35">
        <v>1</v>
      </c>
      <c r="Q897" s="34">
        <f>IF(OR(P897="-",P897="",P897=0),IF(O897="-","-",O897),O897-P897)</f>
        <v>1</v>
      </c>
      <c r="R897" s="4">
        <f>IFERROR(IF(O897&gt;0, P897/O897, 0),"-")</f>
        <v>0.5</v>
      </c>
      <c r="S897" s="34">
        <v>140</v>
      </c>
      <c r="T897" s="34">
        <v>4</v>
      </c>
      <c r="U897" s="34">
        <v>14600</v>
      </c>
      <c r="V897" s="35">
        <v>3</v>
      </c>
      <c r="W897" s="35">
        <v>38731</v>
      </c>
    </row>
    <row r="898" spans="1:23" x14ac:dyDescent="0.2">
      <c r="A898" s="30" t="s">
        <v>370</v>
      </c>
      <c r="B898" s="30" t="s">
        <v>1540</v>
      </c>
      <c r="C898" s="34">
        <v>196</v>
      </c>
      <c r="D898" s="35">
        <v>194</v>
      </c>
      <c r="E898" s="34">
        <f>IF(OR(D898="-",D898="",D898=0),IF(C898="-","-",C898),C898-D898)</f>
        <v>2</v>
      </c>
      <c r="F898" s="4">
        <f>IFERROR(IF(C898&gt;0, D898/C898, 0),"-")</f>
        <v>0.98979591836734693</v>
      </c>
      <c r="G898" s="34">
        <v>1</v>
      </c>
      <c r="H898" s="35" t="s">
        <v>959</v>
      </c>
      <c r="I898" s="34">
        <f>IF(OR(H898="-",H898="",H898=0),IF(G898="-","-",G898),G898-H898)</f>
        <v>1</v>
      </c>
      <c r="J898" s="4" t="str">
        <f>IFERROR(IF(G898&gt;0, H898/G898, 0),"-")</f>
        <v>-</v>
      </c>
      <c r="K898" s="34">
        <v>1</v>
      </c>
      <c r="L898" s="35">
        <v>1</v>
      </c>
      <c r="M898" s="34">
        <f>IF(OR(L898="-",L898="",L898=0),IF(K898="-","-",K898),K898-L898)</f>
        <v>0</v>
      </c>
      <c r="N898" s="4">
        <f>IFERROR(IF(K898&gt;0, L898/K898, 0),"-")</f>
        <v>1</v>
      </c>
      <c r="O898" s="34">
        <v>4</v>
      </c>
      <c r="P898" s="35" t="s">
        <v>959</v>
      </c>
      <c r="Q898" s="34">
        <f>IF(OR(P898="-",P898="",P898=0),IF(O898="-","-",O898),O898-P898)</f>
        <v>4</v>
      </c>
      <c r="R898" s="4" t="str">
        <f>IFERROR(IF(O898&gt;0, P898/O898, 0),"-")</f>
        <v>-</v>
      </c>
      <c r="S898" s="34">
        <v>105</v>
      </c>
      <c r="T898" s="34" t="s">
        <v>959</v>
      </c>
      <c r="U898" s="34" t="s">
        <v>959</v>
      </c>
      <c r="V898" s="35">
        <v>1</v>
      </c>
      <c r="W898" s="35">
        <v>8671</v>
      </c>
    </row>
    <row r="899" spans="1:23" x14ac:dyDescent="0.2">
      <c r="A899" s="30" t="s">
        <v>374</v>
      </c>
      <c r="B899" s="30" t="s">
        <v>1541</v>
      </c>
      <c r="C899" s="34">
        <v>148</v>
      </c>
      <c r="D899" s="35">
        <v>142</v>
      </c>
      <c r="E899" s="34">
        <f>IF(OR(D899="-",D899="",D899=0),IF(C899="-","-",C899),C899-D899)</f>
        <v>6</v>
      </c>
      <c r="F899" s="4">
        <f>IFERROR(IF(C899&gt;0, D899/C899, 0),"-")</f>
        <v>0.95945945945945943</v>
      </c>
      <c r="G899" s="34">
        <v>2</v>
      </c>
      <c r="H899" s="35" t="s">
        <v>959</v>
      </c>
      <c r="I899" s="34">
        <f>IF(OR(H899="-",H899="",H899=0),IF(G899="-","-",G899),G899-H899)</f>
        <v>2</v>
      </c>
      <c r="J899" s="4" t="str">
        <f>IFERROR(IF(G899&gt;0, H899/G899, 0),"-")</f>
        <v>-</v>
      </c>
      <c r="K899" s="34" t="s">
        <v>959</v>
      </c>
      <c r="L899" s="35" t="s">
        <v>959</v>
      </c>
      <c r="M899" s="34" t="str">
        <f>IF(OR(L899="-",L899="",L899=0),IF(K899="-","-",K899),K899-L899)</f>
        <v>-</v>
      </c>
      <c r="N899" s="4" t="str">
        <f>IFERROR(IF(K899&gt;0, L899/K899, 0),"-")</f>
        <v>-</v>
      </c>
      <c r="O899" s="34">
        <v>1</v>
      </c>
      <c r="P899" s="35" t="s">
        <v>959</v>
      </c>
      <c r="Q899" s="34">
        <f>IF(OR(P899="-",P899="",P899=0),IF(O899="-","-",O899),O899-P899)</f>
        <v>1</v>
      </c>
      <c r="R899" s="4" t="str">
        <f>IFERROR(IF(O899&gt;0, P899/O899, 0),"-")</f>
        <v>-</v>
      </c>
      <c r="S899" s="34">
        <v>106</v>
      </c>
      <c r="T899" s="34" t="s">
        <v>959</v>
      </c>
      <c r="U899" s="34" t="s">
        <v>959</v>
      </c>
      <c r="V899" s="35" t="s">
        <v>959</v>
      </c>
      <c r="W899" s="35" t="s">
        <v>959</v>
      </c>
    </row>
    <row r="900" spans="1:23" x14ac:dyDescent="0.2">
      <c r="A900" s="30" t="s">
        <v>372</v>
      </c>
      <c r="B900" s="30" t="s">
        <v>1542</v>
      </c>
      <c r="C900" s="34">
        <v>6</v>
      </c>
      <c r="D900" s="35">
        <v>6</v>
      </c>
      <c r="E900" s="34">
        <f>IF(OR(D900="-",D900="",D900=0),IF(C900="-","-",C900),C900-D900)</f>
        <v>0</v>
      </c>
      <c r="F900" s="4">
        <f>IFERROR(IF(C900&gt;0, D900/C900, 0),"-")</f>
        <v>1</v>
      </c>
      <c r="G900" s="34" t="s">
        <v>959</v>
      </c>
      <c r="H900" s="35" t="s">
        <v>959</v>
      </c>
      <c r="I900" s="34" t="str">
        <f>IF(OR(H900="-",H900="",H900=0),IF(G900="-","-",G900),G900-H900)</f>
        <v>-</v>
      </c>
      <c r="J900" s="4" t="str">
        <f>IFERROR(IF(G900&gt;0, H900/G900, 0),"-")</f>
        <v>-</v>
      </c>
      <c r="K900" s="34" t="s">
        <v>959</v>
      </c>
      <c r="L900" s="35" t="s">
        <v>959</v>
      </c>
      <c r="M900" s="34" t="str">
        <f>IF(OR(L900="-",L900="",L900=0),IF(K900="-","-",K900),K900-L900)</f>
        <v>-</v>
      </c>
      <c r="N900" s="4" t="str">
        <f>IFERROR(IF(K900&gt;0, L900/K900, 0),"-")</f>
        <v>-</v>
      </c>
      <c r="O900" s="34" t="s">
        <v>959</v>
      </c>
      <c r="P900" s="35" t="s">
        <v>959</v>
      </c>
      <c r="Q900" s="34" t="str">
        <f>IF(OR(P900="-",P900="",P900=0),IF(O900="-","-",O900),O900-P900)</f>
        <v>-</v>
      </c>
      <c r="R900" s="4" t="str">
        <f>IFERROR(IF(O900&gt;0, P900/O900, 0),"-")</f>
        <v>-</v>
      </c>
      <c r="S900" s="34">
        <v>2</v>
      </c>
      <c r="T900" s="34" t="s">
        <v>959</v>
      </c>
      <c r="U900" s="34" t="s">
        <v>959</v>
      </c>
      <c r="V900" s="35" t="s">
        <v>959</v>
      </c>
      <c r="W900" s="35" t="s">
        <v>959</v>
      </c>
    </row>
    <row r="901" spans="1:23" x14ac:dyDescent="0.2">
      <c r="A901" s="30" t="s">
        <v>373</v>
      </c>
      <c r="B901" s="30" t="s">
        <v>1543</v>
      </c>
      <c r="C901" s="34">
        <v>185</v>
      </c>
      <c r="D901" s="35">
        <v>181</v>
      </c>
      <c r="E901" s="34">
        <f>IF(OR(D901="-",D901="",D901=0),IF(C901="-","-",C901),C901-D901)</f>
        <v>4</v>
      </c>
      <c r="F901" s="4">
        <f>IFERROR(IF(C901&gt;0, D901/C901, 0),"-")</f>
        <v>0.97837837837837838</v>
      </c>
      <c r="G901" s="34">
        <v>2</v>
      </c>
      <c r="H901" s="35">
        <v>1</v>
      </c>
      <c r="I901" s="34">
        <f>IF(OR(H901="-",H901="",H901=0),IF(G901="-","-",G901),G901-H901)</f>
        <v>1</v>
      </c>
      <c r="J901" s="4">
        <f>IFERROR(IF(G901&gt;0, H901/G901, 0),"-")</f>
        <v>0.5</v>
      </c>
      <c r="K901" s="34" t="s">
        <v>959</v>
      </c>
      <c r="L901" s="35" t="s">
        <v>959</v>
      </c>
      <c r="M901" s="34" t="str">
        <f>IF(OR(L901="-",L901="",L901=0),IF(K901="-","-",K901),K901-L901)</f>
        <v>-</v>
      </c>
      <c r="N901" s="4" t="str">
        <f>IFERROR(IF(K901&gt;0, L901/K901, 0),"-")</f>
        <v>-</v>
      </c>
      <c r="O901" s="34" t="s">
        <v>959</v>
      </c>
      <c r="P901" s="35" t="s">
        <v>959</v>
      </c>
      <c r="Q901" s="34" t="str">
        <f>IF(OR(P901="-",P901="",P901=0),IF(O901="-","-",O901),O901-P901)</f>
        <v>-</v>
      </c>
      <c r="R901" s="4" t="str">
        <f>IFERROR(IF(O901&gt;0, P901/O901, 0),"-")</f>
        <v>-</v>
      </c>
      <c r="S901" s="34">
        <v>149</v>
      </c>
      <c r="T901" s="34">
        <v>1</v>
      </c>
      <c r="U901" s="34">
        <v>2700</v>
      </c>
      <c r="V901" s="35" t="s">
        <v>959</v>
      </c>
      <c r="W901" s="35" t="s">
        <v>959</v>
      </c>
    </row>
    <row r="902" spans="1:23" x14ac:dyDescent="0.2">
      <c r="A902" s="30" t="s">
        <v>371</v>
      </c>
      <c r="B902" s="30" t="s">
        <v>1544</v>
      </c>
      <c r="C902" s="34">
        <v>176</v>
      </c>
      <c r="D902" s="35">
        <v>176</v>
      </c>
      <c r="E902" s="34">
        <f>IF(OR(D902="-",D902="",D902=0),IF(C902="-","-",C902),C902-D902)</f>
        <v>0</v>
      </c>
      <c r="F902" s="4">
        <f>IFERROR(IF(C902&gt;0, D902/C902, 0),"-")</f>
        <v>1</v>
      </c>
      <c r="G902" s="34">
        <v>2</v>
      </c>
      <c r="H902" s="35" t="s">
        <v>959</v>
      </c>
      <c r="I902" s="34">
        <f>IF(OR(H902="-",H902="",H902=0),IF(G902="-","-",G902),G902-H902)</f>
        <v>2</v>
      </c>
      <c r="J902" s="4" t="str">
        <f>IFERROR(IF(G902&gt;0, H902/G902, 0),"-")</f>
        <v>-</v>
      </c>
      <c r="K902" s="34">
        <v>1</v>
      </c>
      <c r="L902" s="35">
        <v>1</v>
      </c>
      <c r="M902" s="34">
        <f>IF(OR(L902="-",L902="",L902=0),IF(K902="-","-",K902),K902-L902)</f>
        <v>0</v>
      </c>
      <c r="N902" s="4">
        <f>IFERROR(IF(K902&gt;0, L902/K902, 0),"-")</f>
        <v>1</v>
      </c>
      <c r="O902" s="34">
        <v>2</v>
      </c>
      <c r="P902" s="35" t="s">
        <v>959</v>
      </c>
      <c r="Q902" s="34">
        <f>IF(OR(P902="-",P902="",P902=0),IF(O902="-","-",O902),O902-P902)</f>
        <v>2</v>
      </c>
      <c r="R902" s="4" t="str">
        <f>IFERROR(IF(O902&gt;0, P902/O902, 0),"-")</f>
        <v>-</v>
      </c>
      <c r="S902" s="34">
        <v>116</v>
      </c>
      <c r="T902" s="34">
        <v>3</v>
      </c>
      <c r="U902" s="34">
        <v>6395</v>
      </c>
      <c r="V902" s="35">
        <v>1</v>
      </c>
      <c r="W902" s="35">
        <v>21065</v>
      </c>
    </row>
    <row r="903" spans="1:23" x14ac:dyDescent="0.2">
      <c r="A903" s="29"/>
      <c r="B903" s="29" t="s">
        <v>128</v>
      </c>
      <c r="C903" s="32">
        <v>678</v>
      </c>
      <c r="D903" s="32">
        <v>659</v>
      </c>
      <c r="E903" s="32">
        <f>IF(OR(D903="-",D903="",D903=0),IF(C903="-","-",C903),C903-D903)</f>
        <v>19</v>
      </c>
      <c r="F903" s="36">
        <f>IFERROR(IF(C903&gt;0, D903/C903, 0),"-")</f>
        <v>0.971976401179941</v>
      </c>
      <c r="G903" s="32">
        <v>10</v>
      </c>
      <c r="H903" s="32">
        <v>5</v>
      </c>
      <c r="I903" s="32">
        <f>IF(OR(H903="-",H903="",H903=0),IF(G903="-","-",G903),G903-H903)</f>
        <v>5</v>
      </c>
      <c r="J903" s="36">
        <f>IFERROR(IF(G903&gt;0, H903/G903, 0),"-")</f>
        <v>0.5</v>
      </c>
      <c r="K903" s="32">
        <v>29</v>
      </c>
      <c r="L903" s="32">
        <v>8</v>
      </c>
      <c r="M903" s="32">
        <f>IF(OR(L903="-",L903="",L903=0),IF(K903="-","-",K903),K903-L903)</f>
        <v>21</v>
      </c>
      <c r="N903" s="36">
        <f>IFERROR(IF(K903&gt;0, L903/K903, 0),"-")</f>
        <v>0.27586206896551724</v>
      </c>
      <c r="O903" s="32">
        <v>39</v>
      </c>
      <c r="P903" s="32">
        <v>3</v>
      </c>
      <c r="Q903" s="32">
        <f>IF(OR(P903="-",P903="",P903=0),IF(O903="-","-",O903),O903-P903)</f>
        <v>36</v>
      </c>
      <c r="R903" s="36">
        <f>IFERROR(IF(O903&gt;0, P903/O903, 0),"-")</f>
        <v>7.6923076923076927E-2</v>
      </c>
      <c r="S903" s="32">
        <v>955</v>
      </c>
      <c r="T903" s="32">
        <v>15</v>
      </c>
      <c r="U903" s="32">
        <v>37070</v>
      </c>
      <c r="V903" s="32">
        <v>8</v>
      </c>
      <c r="W903" s="32">
        <v>94589</v>
      </c>
    </row>
    <row r="904" spans="1:23" x14ac:dyDescent="0.2">
      <c r="A904" s="30" t="s">
        <v>889</v>
      </c>
      <c r="B904" s="30" t="s">
        <v>1545</v>
      </c>
      <c r="C904" s="34">
        <v>158</v>
      </c>
      <c r="D904" s="35">
        <v>155</v>
      </c>
      <c r="E904" s="34">
        <f>IF(OR(D904="-",D904="",D904=0),IF(C904="-","-",C904),C904-D904)</f>
        <v>3</v>
      </c>
      <c r="F904" s="4">
        <f>IFERROR(IF(C904&gt;0, D904/C904, 0),"-")</f>
        <v>0.98101265822784811</v>
      </c>
      <c r="G904" s="34" t="s">
        <v>959</v>
      </c>
      <c r="H904" s="35" t="s">
        <v>959</v>
      </c>
      <c r="I904" s="34" t="str">
        <f>IF(OR(H904="-",H904="",H904=0),IF(G904="-","-",G904),G904-H904)</f>
        <v>-</v>
      </c>
      <c r="J904" s="4" t="str">
        <f>IFERROR(IF(G904&gt;0, H904/G904, 0),"-")</f>
        <v>-</v>
      </c>
      <c r="K904" s="34">
        <v>3</v>
      </c>
      <c r="L904" s="35">
        <v>1</v>
      </c>
      <c r="M904" s="34">
        <f>IF(OR(L904="-",L904="",L904=0),IF(K904="-","-",K904),K904-L904)</f>
        <v>2</v>
      </c>
      <c r="N904" s="4">
        <f>IFERROR(IF(K904&gt;0, L904/K904, 0),"-")</f>
        <v>0.33333333333333331</v>
      </c>
      <c r="O904" s="34">
        <v>5</v>
      </c>
      <c r="P904" s="35" t="s">
        <v>959</v>
      </c>
      <c r="Q904" s="34">
        <f>IF(OR(P904="-",P904="",P904=0),IF(O904="-","-",O904),O904-P904)</f>
        <v>5</v>
      </c>
      <c r="R904" s="4" t="str">
        <f>IFERROR(IF(O904&gt;0, P904/O904, 0),"-")</f>
        <v>-</v>
      </c>
      <c r="S904" s="34">
        <v>103</v>
      </c>
      <c r="T904" s="34">
        <v>7</v>
      </c>
      <c r="U904" s="34">
        <v>21400</v>
      </c>
      <c r="V904" s="35">
        <v>2</v>
      </c>
      <c r="W904" s="35">
        <v>50202</v>
      </c>
    </row>
    <row r="905" spans="1:23" x14ac:dyDescent="0.2">
      <c r="A905" s="30" t="s">
        <v>892</v>
      </c>
      <c r="B905" s="30" t="s">
        <v>1546</v>
      </c>
      <c r="C905" s="34">
        <v>96</v>
      </c>
      <c r="D905" s="35">
        <v>93</v>
      </c>
      <c r="E905" s="34">
        <f>IF(OR(D905="-",D905="",D905=0),IF(C905="-","-",C905),C905-D905)</f>
        <v>3</v>
      </c>
      <c r="F905" s="4">
        <f>IFERROR(IF(C905&gt;0, D905/C905, 0),"-")</f>
        <v>0.96875</v>
      </c>
      <c r="G905" s="34" t="s">
        <v>959</v>
      </c>
      <c r="H905" s="35" t="s">
        <v>959</v>
      </c>
      <c r="I905" s="34" t="str">
        <f>IF(OR(H905="-",H905="",H905=0),IF(G905="-","-",G905),G905-H905)</f>
        <v>-</v>
      </c>
      <c r="J905" s="4" t="str">
        <f>IFERROR(IF(G905&gt;0, H905/G905, 0),"-")</f>
        <v>-</v>
      </c>
      <c r="K905" s="34">
        <v>6</v>
      </c>
      <c r="L905" s="35">
        <v>4</v>
      </c>
      <c r="M905" s="34">
        <f>IF(OR(L905="-",L905="",L905=0),IF(K905="-","-",K905),K905-L905)</f>
        <v>2</v>
      </c>
      <c r="N905" s="4">
        <f>IFERROR(IF(K905&gt;0, L905/K905, 0),"-")</f>
        <v>0.66666666666666663</v>
      </c>
      <c r="O905" s="34">
        <v>4</v>
      </c>
      <c r="P905" s="35" t="s">
        <v>959</v>
      </c>
      <c r="Q905" s="34">
        <f>IF(OR(P905="-",P905="",P905=0),IF(O905="-","-",O905),O905-P905)</f>
        <v>4</v>
      </c>
      <c r="R905" s="4" t="str">
        <f>IFERROR(IF(O905&gt;0, P905/O905, 0),"-")</f>
        <v>-</v>
      </c>
      <c r="S905" s="34">
        <v>169</v>
      </c>
      <c r="T905" s="34">
        <v>2</v>
      </c>
      <c r="U905" s="34">
        <v>5395</v>
      </c>
      <c r="V905" s="35">
        <v>3</v>
      </c>
      <c r="W905" s="35">
        <v>29500</v>
      </c>
    </row>
    <row r="906" spans="1:23" x14ac:dyDescent="0.2">
      <c r="A906" s="30" t="s">
        <v>891</v>
      </c>
      <c r="B906" s="30" t="s">
        <v>1547</v>
      </c>
      <c r="C906" s="34">
        <v>86</v>
      </c>
      <c r="D906" s="35">
        <v>85</v>
      </c>
      <c r="E906" s="34">
        <f>IF(OR(D906="-",D906="",D906=0),IF(C906="-","-",C906),C906-D906)</f>
        <v>1</v>
      </c>
      <c r="F906" s="4">
        <f>IFERROR(IF(C906&gt;0, D906/C906, 0),"-")</f>
        <v>0.98837209302325579</v>
      </c>
      <c r="G906" s="34">
        <v>1</v>
      </c>
      <c r="H906" s="35">
        <v>1</v>
      </c>
      <c r="I906" s="34">
        <f>IF(OR(H906="-",H906="",H906=0),IF(G906="-","-",G906),G906-H906)</f>
        <v>0</v>
      </c>
      <c r="J906" s="4">
        <f>IFERROR(IF(G906&gt;0, H906/G906, 0),"-")</f>
        <v>1</v>
      </c>
      <c r="K906" s="34">
        <v>5</v>
      </c>
      <c r="L906" s="35">
        <v>3</v>
      </c>
      <c r="M906" s="34">
        <f>IF(OR(L906="-",L906="",L906=0),IF(K906="-","-",K906),K906-L906)</f>
        <v>2</v>
      </c>
      <c r="N906" s="4">
        <f>IFERROR(IF(K906&gt;0, L906/K906, 0),"-")</f>
        <v>0.6</v>
      </c>
      <c r="O906" s="34">
        <v>4</v>
      </c>
      <c r="P906" s="35">
        <v>1</v>
      </c>
      <c r="Q906" s="34">
        <f>IF(OR(P906="-",P906="",P906=0),IF(O906="-","-",O906),O906-P906)</f>
        <v>3</v>
      </c>
      <c r="R906" s="4">
        <f>IFERROR(IF(O906&gt;0, P906/O906, 0),"-")</f>
        <v>0.25</v>
      </c>
      <c r="S906" s="34">
        <v>127</v>
      </c>
      <c r="T906" s="34" t="s">
        <v>959</v>
      </c>
      <c r="U906" s="34" t="s">
        <v>959</v>
      </c>
      <c r="V906" s="35">
        <v>1</v>
      </c>
      <c r="W906" s="35">
        <v>428</v>
      </c>
    </row>
    <row r="907" spans="1:23" x14ac:dyDescent="0.2">
      <c r="A907" s="30" t="s">
        <v>890</v>
      </c>
      <c r="B907" s="30" t="s">
        <v>1548</v>
      </c>
      <c r="C907" s="34">
        <v>157</v>
      </c>
      <c r="D907" s="35">
        <v>152</v>
      </c>
      <c r="E907" s="34">
        <f>IF(OR(D907="-",D907="",D907=0),IF(C907="-","-",C907),C907-D907)</f>
        <v>5</v>
      </c>
      <c r="F907" s="4">
        <f>IFERROR(IF(C907&gt;0, D907/C907, 0),"-")</f>
        <v>0.96815286624203822</v>
      </c>
      <c r="G907" s="34">
        <v>2</v>
      </c>
      <c r="H907" s="35">
        <v>1</v>
      </c>
      <c r="I907" s="34">
        <f>IF(OR(H907="-",H907="",H907=0),IF(G907="-","-",G907),G907-H907)</f>
        <v>1</v>
      </c>
      <c r="J907" s="4">
        <f>IFERROR(IF(G907&gt;0, H907/G907, 0),"-")</f>
        <v>0.5</v>
      </c>
      <c r="K907" s="34">
        <v>6</v>
      </c>
      <c r="L907" s="35" t="s">
        <v>959</v>
      </c>
      <c r="M907" s="34">
        <f>IF(OR(L907="-",L907="",L907=0),IF(K907="-","-",K907),K907-L907)</f>
        <v>6</v>
      </c>
      <c r="N907" s="4" t="str">
        <f>IFERROR(IF(K907&gt;0, L907/K907, 0),"-")</f>
        <v>-</v>
      </c>
      <c r="O907" s="34">
        <v>14</v>
      </c>
      <c r="P907" s="35" t="s">
        <v>959</v>
      </c>
      <c r="Q907" s="34">
        <f>IF(OR(P907="-",P907="",P907=0),IF(O907="-","-",O907),O907-P907)</f>
        <v>14</v>
      </c>
      <c r="R907" s="4" t="str">
        <f>IFERROR(IF(O907&gt;0, P907/O907, 0),"-")</f>
        <v>-</v>
      </c>
      <c r="S907" s="34">
        <v>534</v>
      </c>
      <c r="T907" s="34">
        <v>4</v>
      </c>
      <c r="U907" s="34">
        <v>4975</v>
      </c>
      <c r="V907" s="35">
        <v>2</v>
      </c>
      <c r="W907" s="35">
        <v>14459</v>
      </c>
    </row>
    <row r="908" spans="1:23" x14ac:dyDescent="0.2">
      <c r="A908" s="30" t="s">
        <v>893</v>
      </c>
      <c r="B908" s="30" t="s">
        <v>1549</v>
      </c>
      <c r="C908" s="34">
        <v>181</v>
      </c>
      <c r="D908" s="35">
        <v>174</v>
      </c>
      <c r="E908" s="34">
        <f>IF(OR(D908="-",D908="",D908=0),IF(C908="-","-",C908),C908-D908)</f>
        <v>7</v>
      </c>
      <c r="F908" s="4">
        <f>IFERROR(IF(C908&gt;0, D908/C908, 0),"-")</f>
        <v>0.96132596685082872</v>
      </c>
      <c r="G908" s="34">
        <v>7</v>
      </c>
      <c r="H908" s="35">
        <v>3</v>
      </c>
      <c r="I908" s="34">
        <f>IF(OR(H908="-",H908="",H908=0),IF(G908="-","-",G908),G908-H908)</f>
        <v>4</v>
      </c>
      <c r="J908" s="4">
        <f>IFERROR(IF(G908&gt;0, H908/G908, 0),"-")</f>
        <v>0.42857142857142855</v>
      </c>
      <c r="K908" s="34">
        <v>9</v>
      </c>
      <c r="L908" s="35" t="s">
        <v>959</v>
      </c>
      <c r="M908" s="34">
        <f>IF(OR(L908="-",L908="",L908=0),IF(K908="-","-",K908),K908-L908)</f>
        <v>9</v>
      </c>
      <c r="N908" s="4" t="str">
        <f>IFERROR(IF(K908&gt;0, L908/K908, 0),"-")</f>
        <v>-</v>
      </c>
      <c r="O908" s="34">
        <v>12</v>
      </c>
      <c r="P908" s="35">
        <v>2</v>
      </c>
      <c r="Q908" s="34">
        <f>IF(OR(P908="-",P908="",P908=0),IF(O908="-","-",O908),O908-P908)</f>
        <v>10</v>
      </c>
      <c r="R908" s="4">
        <f>IFERROR(IF(O908&gt;0, P908/O908, 0),"-")</f>
        <v>0.16666666666666666</v>
      </c>
      <c r="S908" s="34">
        <v>22</v>
      </c>
      <c r="T908" s="34">
        <v>2</v>
      </c>
      <c r="U908" s="34">
        <v>5300</v>
      </c>
      <c r="V908" s="35" t="s">
        <v>959</v>
      </c>
      <c r="W908" s="35" t="s">
        <v>959</v>
      </c>
    </row>
    <row r="909" spans="1:23" x14ac:dyDescent="0.2">
      <c r="A909" s="29"/>
      <c r="B909" s="29" t="s">
        <v>46</v>
      </c>
      <c r="C909" s="32">
        <v>1360</v>
      </c>
      <c r="D909" s="32">
        <v>1325</v>
      </c>
      <c r="E909" s="32">
        <f>IF(OR(D909="-",D909="",D909=0),IF(C909="-","-",C909),C909-D909)</f>
        <v>35</v>
      </c>
      <c r="F909" s="36">
        <f>IFERROR(IF(C909&gt;0, D909/C909, 0),"-")</f>
        <v>0.97426470588235292</v>
      </c>
      <c r="G909" s="32">
        <v>37</v>
      </c>
      <c r="H909" s="32">
        <v>14</v>
      </c>
      <c r="I909" s="32">
        <f>IF(OR(H909="-",H909="",H909=0),IF(G909="-","-",G909),G909-H909)</f>
        <v>23</v>
      </c>
      <c r="J909" s="36">
        <f>IFERROR(IF(G909&gt;0, H909/G909, 0),"-")</f>
        <v>0.3783783783783784</v>
      </c>
      <c r="K909" s="32">
        <v>36</v>
      </c>
      <c r="L909" s="32">
        <v>9</v>
      </c>
      <c r="M909" s="32">
        <f>IF(OR(L909="-",L909="",L909=0),IF(K909="-","-",K909),K909-L909)</f>
        <v>27</v>
      </c>
      <c r="N909" s="36">
        <f>IFERROR(IF(K909&gt;0, L909/K909, 0),"-")</f>
        <v>0.25</v>
      </c>
      <c r="O909" s="32">
        <v>34</v>
      </c>
      <c r="P909" s="32">
        <v>4</v>
      </c>
      <c r="Q909" s="32">
        <f>IF(OR(P909="-",P909="",P909=0),IF(O909="-","-",O909),O909-P909)</f>
        <v>30</v>
      </c>
      <c r="R909" s="36">
        <f>IFERROR(IF(O909&gt;0, P909/O909, 0),"-")</f>
        <v>0.11764705882352941</v>
      </c>
      <c r="S909" s="32">
        <v>1552</v>
      </c>
      <c r="T909" s="32">
        <v>15</v>
      </c>
      <c r="U909" s="32">
        <v>72980</v>
      </c>
      <c r="V909" s="32">
        <v>6</v>
      </c>
      <c r="W909" s="32">
        <v>90868</v>
      </c>
    </row>
    <row r="910" spans="1:23" x14ac:dyDescent="0.2">
      <c r="A910" s="30" t="s">
        <v>255</v>
      </c>
      <c r="B910" s="30" t="s">
        <v>1550</v>
      </c>
      <c r="C910" s="34">
        <v>280</v>
      </c>
      <c r="D910" s="35">
        <v>274</v>
      </c>
      <c r="E910" s="34">
        <f>IF(OR(D910="-",D910="",D910=0),IF(C910="-","-",C910),C910-D910)</f>
        <v>6</v>
      </c>
      <c r="F910" s="4">
        <f>IFERROR(IF(C910&gt;0, D910/C910, 0),"-")</f>
        <v>0.97857142857142854</v>
      </c>
      <c r="G910" s="34">
        <v>9</v>
      </c>
      <c r="H910" s="35">
        <v>5</v>
      </c>
      <c r="I910" s="34">
        <f>IF(OR(H910="-",H910="",H910=0),IF(G910="-","-",G910),G910-H910)</f>
        <v>4</v>
      </c>
      <c r="J910" s="4">
        <f>IFERROR(IF(G910&gt;0, H910/G910, 0),"-")</f>
        <v>0.55555555555555558</v>
      </c>
      <c r="K910" s="34">
        <v>7</v>
      </c>
      <c r="L910" s="35">
        <v>3</v>
      </c>
      <c r="M910" s="34">
        <f>IF(OR(L910="-",L910="",L910=0),IF(K910="-","-",K910),K910-L910)</f>
        <v>4</v>
      </c>
      <c r="N910" s="4">
        <f>IFERROR(IF(K910&gt;0, L910/K910, 0),"-")</f>
        <v>0.42857142857142855</v>
      </c>
      <c r="O910" s="34">
        <v>10</v>
      </c>
      <c r="P910" s="35">
        <v>2</v>
      </c>
      <c r="Q910" s="34">
        <f>IF(OR(P910="-",P910="",P910=0),IF(O910="-","-",O910),O910-P910)</f>
        <v>8</v>
      </c>
      <c r="R910" s="4">
        <f>IFERROR(IF(O910&gt;0, P910/O910, 0),"-")</f>
        <v>0.2</v>
      </c>
      <c r="S910" s="34">
        <v>60</v>
      </c>
      <c r="T910" s="34" t="s">
        <v>959</v>
      </c>
      <c r="U910" s="34" t="s">
        <v>959</v>
      </c>
      <c r="V910" s="35" t="s">
        <v>959</v>
      </c>
      <c r="W910" s="35" t="s">
        <v>959</v>
      </c>
    </row>
    <row r="911" spans="1:23" x14ac:dyDescent="0.2">
      <c r="A911" s="30" t="s">
        <v>251</v>
      </c>
      <c r="B911" s="30" t="s">
        <v>1551</v>
      </c>
      <c r="C911" s="34">
        <v>142</v>
      </c>
      <c r="D911" s="35">
        <v>140</v>
      </c>
      <c r="E911" s="34">
        <f>IF(OR(D911="-",D911="",D911=0),IF(C911="-","-",C911),C911-D911)</f>
        <v>2</v>
      </c>
      <c r="F911" s="4">
        <f>IFERROR(IF(C911&gt;0, D911/C911, 0),"-")</f>
        <v>0.9859154929577465</v>
      </c>
      <c r="G911" s="34">
        <v>3</v>
      </c>
      <c r="H911" s="35" t="s">
        <v>959</v>
      </c>
      <c r="I911" s="34">
        <f>IF(OR(H911="-",H911="",H911=0),IF(G911="-","-",G911),G911-H911)</f>
        <v>3</v>
      </c>
      <c r="J911" s="4" t="str">
        <f>IFERROR(IF(G911&gt;0, H911/G911, 0),"-")</f>
        <v>-</v>
      </c>
      <c r="K911" s="34">
        <v>3</v>
      </c>
      <c r="L911" s="35" t="s">
        <v>959</v>
      </c>
      <c r="M911" s="34">
        <f>IF(OR(L911="-",L911="",L911=0),IF(K911="-","-",K911),K911-L911)</f>
        <v>3</v>
      </c>
      <c r="N911" s="4" t="str">
        <f>IFERROR(IF(K911&gt;0, L911/K911, 0),"-")</f>
        <v>-</v>
      </c>
      <c r="O911" s="34">
        <v>4</v>
      </c>
      <c r="P911" s="35" t="s">
        <v>959</v>
      </c>
      <c r="Q911" s="34">
        <f>IF(OR(P911="-",P911="",P911=0),IF(O911="-","-",O911),O911-P911)</f>
        <v>4</v>
      </c>
      <c r="R911" s="4" t="str">
        <f>IFERROR(IF(O911&gt;0, P911/O911, 0),"-")</f>
        <v>-</v>
      </c>
      <c r="S911" s="34">
        <v>156</v>
      </c>
      <c r="T911" s="34">
        <v>1</v>
      </c>
      <c r="U911" s="34">
        <v>3235</v>
      </c>
      <c r="V911" s="35">
        <v>1</v>
      </c>
      <c r="W911" s="35">
        <v>17429</v>
      </c>
    </row>
    <row r="912" spans="1:23" x14ac:dyDescent="0.2">
      <c r="A912" s="30" t="s">
        <v>250</v>
      </c>
      <c r="B912" s="30" t="s">
        <v>1552</v>
      </c>
      <c r="C912" s="34">
        <v>145</v>
      </c>
      <c r="D912" s="35">
        <v>136</v>
      </c>
      <c r="E912" s="34">
        <f>IF(OR(D912="-",D912="",D912=0),IF(C912="-","-",C912),C912-D912)</f>
        <v>9</v>
      </c>
      <c r="F912" s="4">
        <f>IFERROR(IF(C912&gt;0, D912/C912, 0),"-")</f>
        <v>0.93793103448275861</v>
      </c>
      <c r="G912" s="34">
        <v>3</v>
      </c>
      <c r="H912" s="35">
        <v>1</v>
      </c>
      <c r="I912" s="34">
        <f>IF(OR(H912="-",H912="",H912=0),IF(G912="-","-",G912),G912-H912)</f>
        <v>2</v>
      </c>
      <c r="J912" s="4">
        <f>IFERROR(IF(G912&gt;0, H912/G912, 0),"-")</f>
        <v>0.33333333333333331</v>
      </c>
      <c r="K912" s="34">
        <v>2</v>
      </c>
      <c r="L912" s="35" t="s">
        <v>959</v>
      </c>
      <c r="M912" s="34">
        <f>IF(OR(L912="-",L912="",L912=0),IF(K912="-","-",K912),K912-L912)</f>
        <v>2</v>
      </c>
      <c r="N912" s="4" t="str">
        <f>IFERROR(IF(K912&gt;0, L912/K912, 0),"-")</f>
        <v>-</v>
      </c>
      <c r="O912" s="34">
        <v>5</v>
      </c>
      <c r="P912" s="35">
        <v>1</v>
      </c>
      <c r="Q912" s="34">
        <f>IF(OR(P912="-",P912="",P912=0),IF(O912="-","-",O912),O912-P912)</f>
        <v>4</v>
      </c>
      <c r="R912" s="4">
        <f>IFERROR(IF(O912&gt;0, P912/O912, 0),"-")</f>
        <v>0.2</v>
      </c>
      <c r="S912" s="34">
        <v>166</v>
      </c>
      <c r="T912" s="34">
        <v>2</v>
      </c>
      <c r="U912" s="34">
        <v>5400</v>
      </c>
      <c r="V912" s="35">
        <v>1</v>
      </c>
      <c r="W912" s="35">
        <v>27435</v>
      </c>
    </row>
    <row r="913" spans="1:23" x14ac:dyDescent="0.2">
      <c r="A913" s="30" t="s">
        <v>249</v>
      </c>
      <c r="B913" s="30" t="s">
        <v>1553</v>
      </c>
      <c r="C913" s="34">
        <v>251</v>
      </c>
      <c r="D913" s="35">
        <v>242</v>
      </c>
      <c r="E913" s="34">
        <f>IF(OR(D913="-",D913="",D913=0),IF(C913="-","-",C913),C913-D913)</f>
        <v>9</v>
      </c>
      <c r="F913" s="4">
        <f>IFERROR(IF(C913&gt;0, D913/C913, 0),"-")</f>
        <v>0.96414342629482075</v>
      </c>
      <c r="G913" s="34">
        <v>7</v>
      </c>
      <c r="H913" s="35">
        <v>2</v>
      </c>
      <c r="I913" s="34">
        <f>IF(OR(H913="-",H913="",H913=0),IF(G913="-","-",G913),G913-H913)</f>
        <v>5</v>
      </c>
      <c r="J913" s="4">
        <f>IFERROR(IF(G913&gt;0, H913/G913, 0),"-")</f>
        <v>0.2857142857142857</v>
      </c>
      <c r="K913" s="34">
        <v>6</v>
      </c>
      <c r="L913" s="35">
        <v>3</v>
      </c>
      <c r="M913" s="34">
        <f>IF(OR(L913="-",L913="",L913=0),IF(K913="-","-",K913),K913-L913)</f>
        <v>3</v>
      </c>
      <c r="N913" s="4">
        <f>IFERROR(IF(K913&gt;0, L913/K913, 0),"-")</f>
        <v>0.5</v>
      </c>
      <c r="O913" s="34">
        <v>9</v>
      </c>
      <c r="P913" s="35">
        <v>1</v>
      </c>
      <c r="Q913" s="34">
        <f>IF(OR(P913="-",P913="",P913=0),IF(O913="-","-",O913),O913-P913)</f>
        <v>8</v>
      </c>
      <c r="R913" s="4">
        <f>IFERROR(IF(O913&gt;0, P913/O913, 0),"-")</f>
        <v>0.1111111111111111</v>
      </c>
      <c r="S913" s="34">
        <v>552</v>
      </c>
      <c r="T913" s="34">
        <v>4</v>
      </c>
      <c r="U913" s="34">
        <v>37555</v>
      </c>
      <c r="V913" s="35" t="s">
        <v>959</v>
      </c>
      <c r="W913" s="35" t="s">
        <v>959</v>
      </c>
    </row>
    <row r="914" spans="1:23" x14ac:dyDescent="0.2">
      <c r="A914" s="30" t="s">
        <v>254</v>
      </c>
      <c r="B914" s="30" t="s">
        <v>1554</v>
      </c>
      <c r="C914" s="34">
        <v>208</v>
      </c>
      <c r="D914" s="35">
        <v>205</v>
      </c>
      <c r="E914" s="34">
        <f>IF(OR(D914="-",D914="",D914=0),IF(C914="-","-",C914),C914-D914)</f>
        <v>3</v>
      </c>
      <c r="F914" s="4">
        <f>IFERROR(IF(C914&gt;0, D914/C914, 0),"-")</f>
        <v>0.98557692307692313</v>
      </c>
      <c r="G914" s="34">
        <v>6</v>
      </c>
      <c r="H914" s="35">
        <v>4</v>
      </c>
      <c r="I914" s="34">
        <f>IF(OR(H914="-",H914="",H914=0),IF(G914="-","-",G914),G914-H914)</f>
        <v>2</v>
      </c>
      <c r="J914" s="4">
        <f>IFERROR(IF(G914&gt;0, H914/G914, 0),"-")</f>
        <v>0.66666666666666663</v>
      </c>
      <c r="K914" s="34">
        <v>5</v>
      </c>
      <c r="L914" s="35">
        <v>2</v>
      </c>
      <c r="M914" s="34">
        <f>IF(OR(L914="-",L914="",L914=0),IF(K914="-","-",K914),K914-L914)</f>
        <v>3</v>
      </c>
      <c r="N914" s="4">
        <f>IFERROR(IF(K914&gt;0, L914/K914, 0),"-")</f>
        <v>0.4</v>
      </c>
      <c r="O914" s="34">
        <v>3</v>
      </c>
      <c r="P914" s="35" t="s">
        <v>959</v>
      </c>
      <c r="Q914" s="34">
        <f>IF(OR(P914="-",P914="",P914=0),IF(O914="-","-",O914),O914-P914)</f>
        <v>3</v>
      </c>
      <c r="R914" s="4" t="str">
        <f>IFERROR(IF(O914&gt;0, P914/O914, 0),"-")</f>
        <v>-</v>
      </c>
      <c r="S914" s="34">
        <v>255</v>
      </c>
      <c r="T914" s="34">
        <v>3</v>
      </c>
      <c r="U914" s="34">
        <v>11850</v>
      </c>
      <c r="V914" s="35">
        <v>3</v>
      </c>
      <c r="W914" s="35">
        <v>26385</v>
      </c>
    </row>
    <row r="915" spans="1:23" x14ac:dyDescent="0.2">
      <c r="A915" s="30" t="s">
        <v>252</v>
      </c>
      <c r="B915" s="30" t="s">
        <v>1555</v>
      </c>
      <c r="C915" s="34">
        <v>141</v>
      </c>
      <c r="D915" s="35">
        <v>139</v>
      </c>
      <c r="E915" s="34">
        <f>IF(OR(D915="-",D915="",D915=0),IF(C915="-","-",C915),C915-D915)</f>
        <v>2</v>
      </c>
      <c r="F915" s="4">
        <f>IFERROR(IF(C915&gt;0, D915/C915, 0),"-")</f>
        <v>0.98581560283687941</v>
      </c>
      <c r="G915" s="34">
        <v>5</v>
      </c>
      <c r="H915" s="35">
        <v>2</v>
      </c>
      <c r="I915" s="34">
        <f>IF(OR(H915="-",H915="",H915=0),IF(G915="-","-",G915),G915-H915)</f>
        <v>3</v>
      </c>
      <c r="J915" s="4">
        <f>IFERROR(IF(G915&gt;0, H915/G915, 0),"-")</f>
        <v>0.4</v>
      </c>
      <c r="K915" s="34">
        <v>8</v>
      </c>
      <c r="L915" s="35">
        <v>1</v>
      </c>
      <c r="M915" s="34">
        <f>IF(OR(L915="-",L915="",L915=0),IF(K915="-","-",K915),K915-L915)</f>
        <v>7</v>
      </c>
      <c r="N915" s="4">
        <f>IFERROR(IF(K915&gt;0, L915/K915, 0),"-")</f>
        <v>0.125</v>
      </c>
      <c r="O915" s="34">
        <v>2</v>
      </c>
      <c r="P915" s="35" t="s">
        <v>959</v>
      </c>
      <c r="Q915" s="34">
        <f>IF(OR(P915="-",P915="",P915=0),IF(O915="-","-",O915),O915-P915)</f>
        <v>2</v>
      </c>
      <c r="R915" s="4" t="str">
        <f>IFERROR(IF(O915&gt;0, P915/O915, 0),"-")</f>
        <v>-</v>
      </c>
      <c r="S915" s="34">
        <v>197</v>
      </c>
      <c r="T915" s="34">
        <v>4</v>
      </c>
      <c r="U915" s="34">
        <v>12940</v>
      </c>
      <c r="V915" s="35">
        <v>1</v>
      </c>
      <c r="W915" s="35">
        <v>19619</v>
      </c>
    </row>
    <row r="916" spans="1:23" x14ac:dyDescent="0.2">
      <c r="A916" s="30" t="s">
        <v>253</v>
      </c>
      <c r="B916" s="30" t="s">
        <v>1556</v>
      </c>
      <c r="C916" s="34">
        <v>193</v>
      </c>
      <c r="D916" s="35">
        <v>189</v>
      </c>
      <c r="E916" s="34">
        <f>IF(OR(D916="-",D916="",D916=0),IF(C916="-","-",C916),C916-D916)</f>
        <v>4</v>
      </c>
      <c r="F916" s="4">
        <f>IFERROR(IF(C916&gt;0, D916/C916, 0),"-")</f>
        <v>0.97927461139896377</v>
      </c>
      <c r="G916" s="34">
        <v>4</v>
      </c>
      <c r="H916" s="35" t="s">
        <v>959</v>
      </c>
      <c r="I916" s="34">
        <f>IF(OR(H916="-",H916="",H916=0),IF(G916="-","-",G916),G916-H916)</f>
        <v>4</v>
      </c>
      <c r="J916" s="4" t="str">
        <f>IFERROR(IF(G916&gt;0, H916/G916, 0),"-")</f>
        <v>-</v>
      </c>
      <c r="K916" s="34">
        <v>5</v>
      </c>
      <c r="L916" s="35" t="s">
        <v>959</v>
      </c>
      <c r="M916" s="34">
        <f>IF(OR(L916="-",L916="",L916=0),IF(K916="-","-",K916),K916-L916)</f>
        <v>5</v>
      </c>
      <c r="N916" s="4" t="str">
        <f>IFERROR(IF(K916&gt;0, L916/K916, 0),"-")</f>
        <v>-</v>
      </c>
      <c r="O916" s="34">
        <v>1</v>
      </c>
      <c r="P916" s="35" t="s">
        <v>959</v>
      </c>
      <c r="Q916" s="34">
        <f>IF(OR(P916="-",P916="",P916=0),IF(O916="-","-",O916),O916-P916)</f>
        <v>1</v>
      </c>
      <c r="R916" s="4" t="str">
        <f>IFERROR(IF(O916&gt;0, P916/O916, 0),"-")</f>
        <v>-</v>
      </c>
      <c r="S916" s="34">
        <v>166</v>
      </c>
      <c r="T916" s="34">
        <v>1</v>
      </c>
      <c r="U916" s="34">
        <v>2000</v>
      </c>
      <c r="V916" s="35" t="s">
        <v>959</v>
      </c>
      <c r="W916" s="35" t="s">
        <v>959</v>
      </c>
    </row>
    <row r="917" spans="1:23" x14ac:dyDescent="0.2">
      <c r="A917" s="29"/>
      <c r="B917" s="29" t="s">
        <v>124</v>
      </c>
      <c r="C917" s="32">
        <v>726</v>
      </c>
      <c r="D917" s="32">
        <v>700</v>
      </c>
      <c r="E917" s="32">
        <f>IF(OR(D917="-",D917="",D917=0),IF(C917="-","-",C917),C917-D917)</f>
        <v>26</v>
      </c>
      <c r="F917" s="36">
        <f>IFERROR(IF(C917&gt;0, D917/C917, 0),"-")</f>
        <v>0.96418732782369143</v>
      </c>
      <c r="G917" s="32">
        <v>23</v>
      </c>
      <c r="H917" s="32">
        <v>8</v>
      </c>
      <c r="I917" s="32">
        <f>IF(OR(H917="-",H917="",H917=0),IF(G917="-","-",G917),G917-H917)</f>
        <v>15</v>
      </c>
      <c r="J917" s="36">
        <f>IFERROR(IF(G917&gt;0, H917/G917, 0),"-")</f>
        <v>0.34782608695652173</v>
      </c>
      <c r="K917" s="32">
        <v>7</v>
      </c>
      <c r="L917" s="32" t="s">
        <v>959</v>
      </c>
      <c r="M917" s="32">
        <f>IF(OR(L917="-",L917="",L917=0),IF(K917="-","-",K917),K917-L917)</f>
        <v>7</v>
      </c>
      <c r="N917" s="36" t="str">
        <f>IFERROR(IF(K917&gt;0, L917/K917, 0),"-")</f>
        <v>-</v>
      </c>
      <c r="O917" s="32">
        <v>11</v>
      </c>
      <c r="P917" s="32">
        <v>1</v>
      </c>
      <c r="Q917" s="32">
        <f>IF(OR(P917="-",P917="",P917=0),IF(O917="-","-",O917),O917-P917)</f>
        <v>10</v>
      </c>
      <c r="R917" s="36">
        <f>IFERROR(IF(O917&gt;0, P917/O917, 0),"-")</f>
        <v>9.0909090909090912E-2</v>
      </c>
      <c r="S917" s="32">
        <v>24</v>
      </c>
      <c r="T917" s="32" t="s">
        <v>959</v>
      </c>
      <c r="U917" s="32" t="s">
        <v>959</v>
      </c>
      <c r="V917" s="32" t="s">
        <v>959</v>
      </c>
      <c r="W917" s="32" t="s">
        <v>959</v>
      </c>
    </row>
    <row r="918" spans="1:23" x14ac:dyDescent="0.2">
      <c r="A918" s="30" t="s">
        <v>872</v>
      </c>
      <c r="B918" s="30" t="s">
        <v>1557</v>
      </c>
      <c r="C918" s="34">
        <v>134</v>
      </c>
      <c r="D918" s="35">
        <v>130</v>
      </c>
      <c r="E918" s="34">
        <f>IF(OR(D918="-",D918="",D918=0),IF(C918="-","-",C918),C918-D918)</f>
        <v>4</v>
      </c>
      <c r="F918" s="4">
        <f>IFERROR(IF(C918&gt;0, D918/C918, 0),"-")</f>
        <v>0.97014925373134331</v>
      </c>
      <c r="G918" s="34">
        <v>9</v>
      </c>
      <c r="H918" s="35">
        <v>2</v>
      </c>
      <c r="I918" s="34">
        <f>IF(OR(H918="-",H918="",H918=0),IF(G918="-","-",G918),G918-H918)</f>
        <v>7</v>
      </c>
      <c r="J918" s="4">
        <f>IFERROR(IF(G918&gt;0, H918/G918, 0),"-")</f>
        <v>0.22222222222222221</v>
      </c>
      <c r="K918" s="34">
        <v>3</v>
      </c>
      <c r="L918" s="35" t="s">
        <v>959</v>
      </c>
      <c r="M918" s="34">
        <f>IF(OR(L918="-",L918="",L918=0),IF(K918="-","-",K918),K918-L918)</f>
        <v>3</v>
      </c>
      <c r="N918" s="4" t="str">
        <f>IFERROR(IF(K918&gt;0, L918/K918, 0),"-")</f>
        <v>-</v>
      </c>
      <c r="O918" s="34">
        <v>3</v>
      </c>
      <c r="P918" s="35" t="s">
        <v>959</v>
      </c>
      <c r="Q918" s="34">
        <f>IF(OR(P918="-",P918="",P918=0),IF(O918="-","-",O918),O918-P918)</f>
        <v>3</v>
      </c>
      <c r="R918" s="4" t="str">
        <f>IFERROR(IF(O918&gt;0, P918/O918, 0),"-")</f>
        <v>-</v>
      </c>
      <c r="S918" s="34">
        <v>4</v>
      </c>
      <c r="T918" s="34" t="s">
        <v>959</v>
      </c>
      <c r="U918" s="34" t="s">
        <v>959</v>
      </c>
      <c r="V918" s="35" t="s">
        <v>959</v>
      </c>
      <c r="W918" s="35" t="s">
        <v>959</v>
      </c>
    </row>
    <row r="919" spans="1:23" x14ac:dyDescent="0.2">
      <c r="A919" s="30" t="s">
        <v>874</v>
      </c>
      <c r="B919" s="30" t="s">
        <v>1558</v>
      </c>
      <c r="C919" s="34">
        <v>132</v>
      </c>
      <c r="D919" s="35">
        <v>126</v>
      </c>
      <c r="E919" s="34">
        <f>IF(OR(D919="-",D919="",D919=0),IF(C919="-","-",C919),C919-D919)</f>
        <v>6</v>
      </c>
      <c r="F919" s="4">
        <f>IFERROR(IF(C919&gt;0, D919/C919, 0),"-")</f>
        <v>0.95454545454545459</v>
      </c>
      <c r="G919" s="34">
        <v>1</v>
      </c>
      <c r="H919" s="35" t="s">
        <v>959</v>
      </c>
      <c r="I919" s="34">
        <f>IF(OR(H919="-",H919="",H919=0),IF(G919="-","-",G919),G919-H919)</f>
        <v>1</v>
      </c>
      <c r="J919" s="4" t="str">
        <f>IFERROR(IF(G919&gt;0, H919/G919, 0),"-")</f>
        <v>-</v>
      </c>
      <c r="K919" s="34">
        <v>1</v>
      </c>
      <c r="L919" s="35" t="s">
        <v>959</v>
      </c>
      <c r="M919" s="34">
        <f>IF(OR(L919="-",L919="",L919=0),IF(K919="-","-",K919),K919-L919)</f>
        <v>1</v>
      </c>
      <c r="N919" s="4" t="str">
        <f>IFERROR(IF(K919&gt;0, L919/K919, 0),"-")</f>
        <v>-</v>
      </c>
      <c r="O919" s="34">
        <v>2</v>
      </c>
      <c r="P919" s="35">
        <v>1</v>
      </c>
      <c r="Q919" s="34">
        <f>IF(OR(P919="-",P919="",P919=0),IF(O919="-","-",O919),O919-P919)</f>
        <v>1</v>
      </c>
      <c r="R919" s="4">
        <f>IFERROR(IF(O919&gt;0, P919/O919, 0),"-")</f>
        <v>0.5</v>
      </c>
      <c r="S919" s="34">
        <v>8</v>
      </c>
      <c r="T919" s="34" t="s">
        <v>959</v>
      </c>
      <c r="U919" s="34" t="s">
        <v>959</v>
      </c>
      <c r="V919" s="35" t="s">
        <v>959</v>
      </c>
      <c r="W919" s="35" t="s">
        <v>959</v>
      </c>
    </row>
    <row r="920" spans="1:23" x14ac:dyDescent="0.2">
      <c r="A920" s="30" t="s">
        <v>875</v>
      </c>
      <c r="B920" s="30" t="s">
        <v>1559</v>
      </c>
      <c r="C920" s="34">
        <v>202</v>
      </c>
      <c r="D920" s="35">
        <v>197</v>
      </c>
      <c r="E920" s="34">
        <f>IF(OR(D920="-",D920="",D920=0),IF(C920="-","-",C920),C920-D920)</f>
        <v>5</v>
      </c>
      <c r="F920" s="4">
        <f>IFERROR(IF(C920&gt;0, D920/C920, 0),"-")</f>
        <v>0.97524752475247523</v>
      </c>
      <c r="G920" s="34">
        <v>5</v>
      </c>
      <c r="H920" s="35">
        <v>3</v>
      </c>
      <c r="I920" s="34">
        <f>IF(OR(H920="-",H920="",H920=0),IF(G920="-","-",G920),G920-H920)</f>
        <v>2</v>
      </c>
      <c r="J920" s="4">
        <f>IFERROR(IF(G920&gt;0, H920/G920, 0),"-")</f>
        <v>0.6</v>
      </c>
      <c r="K920" s="34">
        <v>2</v>
      </c>
      <c r="L920" s="35" t="s">
        <v>959</v>
      </c>
      <c r="M920" s="34">
        <f>IF(OR(L920="-",L920="",L920=0),IF(K920="-","-",K920),K920-L920)</f>
        <v>2</v>
      </c>
      <c r="N920" s="4" t="str">
        <f>IFERROR(IF(K920&gt;0, L920/K920, 0),"-")</f>
        <v>-</v>
      </c>
      <c r="O920" s="34">
        <v>3</v>
      </c>
      <c r="P920" s="35" t="s">
        <v>959</v>
      </c>
      <c r="Q920" s="34">
        <f>IF(OR(P920="-",P920="",P920=0),IF(O920="-","-",O920),O920-P920)</f>
        <v>3</v>
      </c>
      <c r="R920" s="4" t="str">
        <f>IFERROR(IF(O920&gt;0, P920/O920, 0),"-")</f>
        <v>-</v>
      </c>
      <c r="S920" s="34">
        <v>1</v>
      </c>
      <c r="T920" s="34" t="s">
        <v>959</v>
      </c>
      <c r="U920" s="34" t="s">
        <v>959</v>
      </c>
      <c r="V920" s="35" t="s">
        <v>959</v>
      </c>
      <c r="W920" s="35" t="s">
        <v>959</v>
      </c>
    </row>
    <row r="921" spans="1:23" x14ac:dyDescent="0.2">
      <c r="A921" s="30" t="s">
        <v>876</v>
      </c>
      <c r="B921" s="30" t="s">
        <v>1560</v>
      </c>
      <c r="C921" s="34">
        <v>163</v>
      </c>
      <c r="D921" s="35">
        <v>155</v>
      </c>
      <c r="E921" s="34">
        <f>IF(OR(D921="-",D921="",D921=0),IF(C921="-","-",C921),C921-D921)</f>
        <v>8</v>
      </c>
      <c r="F921" s="4">
        <f>IFERROR(IF(C921&gt;0, D921/C921, 0),"-")</f>
        <v>0.95092024539877296</v>
      </c>
      <c r="G921" s="34">
        <v>3</v>
      </c>
      <c r="H921" s="35">
        <v>1</v>
      </c>
      <c r="I921" s="34">
        <f>IF(OR(H921="-",H921="",H921=0),IF(G921="-","-",G921),G921-H921)</f>
        <v>2</v>
      </c>
      <c r="J921" s="4">
        <f>IFERROR(IF(G921&gt;0, H921/G921, 0),"-")</f>
        <v>0.33333333333333331</v>
      </c>
      <c r="K921" s="34">
        <v>1</v>
      </c>
      <c r="L921" s="35" t="s">
        <v>959</v>
      </c>
      <c r="M921" s="34">
        <f>IF(OR(L921="-",L921="",L921=0),IF(K921="-","-",K921),K921-L921)</f>
        <v>1</v>
      </c>
      <c r="N921" s="4" t="str">
        <f>IFERROR(IF(K921&gt;0, L921/K921, 0),"-")</f>
        <v>-</v>
      </c>
      <c r="O921" s="34" t="s">
        <v>959</v>
      </c>
      <c r="P921" s="35" t="s">
        <v>959</v>
      </c>
      <c r="Q921" s="34" t="str">
        <f>IF(OR(P921="-",P921="",P921=0),IF(O921="-","-",O921),O921-P921)</f>
        <v>-</v>
      </c>
      <c r="R921" s="4" t="str">
        <f>IFERROR(IF(O921&gt;0, P921/O921, 0),"-")</f>
        <v>-</v>
      </c>
      <c r="S921" s="34">
        <v>4</v>
      </c>
      <c r="T921" s="34" t="s">
        <v>959</v>
      </c>
      <c r="U921" s="34" t="s">
        <v>959</v>
      </c>
      <c r="V921" s="35" t="s">
        <v>959</v>
      </c>
      <c r="W921" s="35" t="s">
        <v>959</v>
      </c>
    </row>
    <row r="922" spans="1:23" x14ac:dyDescent="0.2">
      <c r="A922" s="30" t="s">
        <v>873</v>
      </c>
      <c r="B922" s="30" t="s">
        <v>1561</v>
      </c>
      <c r="C922" s="34">
        <v>95</v>
      </c>
      <c r="D922" s="35">
        <v>92</v>
      </c>
      <c r="E922" s="34">
        <f>IF(OR(D922="-",D922="",D922=0),IF(C922="-","-",C922),C922-D922)</f>
        <v>3</v>
      </c>
      <c r="F922" s="4">
        <f>IFERROR(IF(C922&gt;0, D922/C922, 0),"-")</f>
        <v>0.96842105263157896</v>
      </c>
      <c r="G922" s="34">
        <v>5</v>
      </c>
      <c r="H922" s="35">
        <v>2</v>
      </c>
      <c r="I922" s="34">
        <f>IF(OR(H922="-",H922="",H922=0),IF(G922="-","-",G922),G922-H922)</f>
        <v>3</v>
      </c>
      <c r="J922" s="4">
        <f>IFERROR(IF(G922&gt;0, H922/G922, 0),"-")</f>
        <v>0.4</v>
      </c>
      <c r="K922" s="34" t="s">
        <v>959</v>
      </c>
      <c r="L922" s="35" t="s">
        <v>959</v>
      </c>
      <c r="M922" s="34" t="str">
        <f>IF(OR(L922="-",L922="",L922=0),IF(K922="-","-",K922),K922-L922)</f>
        <v>-</v>
      </c>
      <c r="N922" s="4" t="str">
        <f>IFERROR(IF(K922&gt;0, L922/K922, 0),"-")</f>
        <v>-</v>
      </c>
      <c r="O922" s="34">
        <v>3</v>
      </c>
      <c r="P922" s="35" t="s">
        <v>959</v>
      </c>
      <c r="Q922" s="34">
        <f>IF(OR(P922="-",P922="",P922=0),IF(O922="-","-",O922),O922-P922)</f>
        <v>3</v>
      </c>
      <c r="R922" s="4" t="str">
        <f>IFERROR(IF(O922&gt;0, P922/O922, 0),"-")</f>
        <v>-</v>
      </c>
      <c r="S922" s="34">
        <v>7</v>
      </c>
      <c r="T922" s="34" t="s">
        <v>959</v>
      </c>
      <c r="U922" s="34" t="s">
        <v>959</v>
      </c>
      <c r="V922" s="35" t="s">
        <v>959</v>
      </c>
      <c r="W922" s="35" t="s">
        <v>959</v>
      </c>
    </row>
    <row r="923" spans="1:23" x14ac:dyDescent="0.2">
      <c r="A923" s="29"/>
      <c r="B923" s="29" t="s">
        <v>52</v>
      </c>
      <c r="C923" s="32">
        <v>1595</v>
      </c>
      <c r="D923" s="32">
        <v>1551</v>
      </c>
      <c r="E923" s="32">
        <f>IF(OR(D923="-",D923="",D923=0),IF(C923="-","-",C923),C923-D923)</f>
        <v>44</v>
      </c>
      <c r="F923" s="36">
        <f>IFERROR(IF(C923&gt;0, D923/C923, 0),"-")</f>
        <v>0.97241379310344822</v>
      </c>
      <c r="G923" s="32">
        <v>16</v>
      </c>
      <c r="H923" s="32">
        <v>2</v>
      </c>
      <c r="I923" s="32">
        <f>IF(OR(H923="-",H923="",H923=0),IF(G923="-","-",G923),G923-H923)</f>
        <v>14</v>
      </c>
      <c r="J923" s="36">
        <f>IFERROR(IF(G923&gt;0, H923/G923, 0),"-")</f>
        <v>0.125</v>
      </c>
      <c r="K923" s="32">
        <v>15</v>
      </c>
      <c r="L923" s="32">
        <v>3</v>
      </c>
      <c r="M923" s="32">
        <f>IF(OR(L923="-",L923="",L923=0),IF(K923="-","-",K923),K923-L923)</f>
        <v>12</v>
      </c>
      <c r="N923" s="36">
        <f>IFERROR(IF(K923&gt;0, L923/K923, 0),"-")</f>
        <v>0.2</v>
      </c>
      <c r="O923" s="32">
        <v>16</v>
      </c>
      <c r="P923" s="32">
        <v>1</v>
      </c>
      <c r="Q923" s="32">
        <f>IF(OR(P923="-",P923="",P923=0),IF(O923="-","-",O923),O923-P923)</f>
        <v>15</v>
      </c>
      <c r="R923" s="36">
        <f>IFERROR(IF(O923&gt;0, P923/O923, 0),"-")</f>
        <v>6.25E-2</v>
      </c>
      <c r="S923" s="32">
        <v>1086</v>
      </c>
      <c r="T923" s="32">
        <v>15</v>
      </c>
      <c r="U923" s="32">
        <v>69970</v>
      </c>
      <c r="V923" s="32">
        <v>11</v>
      </c>
      <c r="W923" s="32">
        <v>252833</v>
      </c>
    </row>
    <row r="924" spans="1:23" x14ac:dyDescent="0.2">
      <c r="A924" s="30" t="s">
        <v>305</v>
      </c>
      <c r="B924" s="30" t="s">
        <v>1562</v>
      </c>
      <c r="C924" s="34">
        <v>194</v>
      </c>
      <c r="D924" s="35">
        <v>188</v>
      </c>
      <c r="E924" s="34">
        <f>IF(OR(D924="-",D924="",D924=0),IF(C924="-","-",C924),C924-D924)</f>
        <v>6</v>
      </c>
      <c r="F924" s="4">
        <f>IFERROR(IF(C924&gt;0, D924/C924, 0),"-")</f>
        <v>0.96907216494845361</v>
      </c>
      <c r="G924" s="34">
        <v>2</v>
      </c>
      <c r="H924" s="35" t="s">
        <v>959</v>
      </c>
      <c r="I924" s="34">
        <f>IF(OR(H924="-",H924="",H924=0),IF(G924="-","-",G924),G924-H924)</f>
        <v>2</v>
      </c>
      <c r="J924" s="4" t="str">
        <f>IFERROR(IF(G924&gt;0, H924/G924, 0),"-")</f>
        <v>-</v>
      </c>
      <c r="K924" s="34">
        <v>3</v>
      </c>
      <c r="L924" s="35">
        <v>1</v>
      </c>
      <c r="M924" s="34">
        <f>IF(OR(L924="-",L924="",L924=0),IF(K924="-","-",K924),K924-L924)</f>
        <v>2</v>
      </c>
      <c r="N924" s="4">
        <f>IFERROR(IF(K924&gt;0, L924/K924, 0),"-")</f>
        <v>0.33333333333333331</v>
      </c>
      <c r="O924" s="34" t="s">
        <v>959</v>
      </c>
      <c r="P924" s="35" t="s">
        <v>959</v>
      </c>
      <c r="Q924" s="34" t="str">
        <f>IF(OR(P924="-",P924="",P924=0),IF(O924="-","-",O924),O924-P924)</f>
        <v>-</v>
      </c>
      <c r="R924" s="4" t="str">
        <f>IFERROR(IF(O924&gt;0, P924/O924, 0),"-")</f>
        <v>-</v>
      </c>
      <c r="S924" s="34">
        <v>147</v>
      </c>
      <c r="T924" s="34">
        <v>1</v>
      </c>
      <c r="U924" s="34">
        <v>2700</v>
      </c>
      <c r="V924" s="35">
        <v>1</v>
      </c>
      <c r="W924" s="35">
        <v>11165</v>
      </c>
    </row>
    <row r="925" spans="1:23" x14ac:dyDescent="0.2">
      <c r="A925" s="30" t="s">
        <v>303</v>
      </c>
      <c r="B925" s="30" t="s">
        <v>1563</v>
      </c>
      <c r="C925" s="34">
        <v>233</v>
      </c>
      <c r="D925" s="35">
        <v>228</v>
      </c>
      <c r="E925" s="34">
        <f>IF(OR(D925="-",D925="",D925=0),IF(C925="-","-",C925),C925-D925)</f>
        <v>5</v>
      </c>
      <c r="F925" s="4">
        <f>IFERROR(IF(C925&gt;0, D925/C925, 0),"-")</f>
        <v>0.97854077253218885</v>
      </c>
      <c r="G925" s="34">
        <v>5</v>
      </c>
      <c r="H925" s="35">
        <v>1</v>
      </c>
      <c r="I925" s="34">
        <f>IF(OR(H925="-",H925="",H925=0),IF(G925="-","-",G925),G925-H925)</f>
        <v>4</v>
      </c>
      <c r="J925" s="4">
        <f>IFERROR(IF(G925&gt;0, H925/G925, 0),"-")</f>
        <v>0.2</v>
      </c>
      <c r="K925" s="34">
        <v>4</v>
      </c>
      <c r="L925" s="35">
        <v>1</v>
      </c>
      <c r="M925" s="34">
        <f>IF(OR(L925="-",L925="",L925=0),IF(K925="-","-",K925),K925-L925)</f>
        <v>3</v>
      </c>
      <c r="N925" s="4">
        <f>IFERROR(IF(K925&gt;0, L925/K925, 0),"-")</f>
        <v>0.25</v>
      </c>
      <c r="O925" s="34">
        <v>2</v>
      </c>
      <c r="P925" s="35">
        <v>1</v>
      </c>
      <c r="Q925" s="34">
        <f>IF(OR(P925="-",P925="",P925=0),IF(O925="-","-",O925),O925-P925)</f>
        <v>1</v>
      </c>
      <c r="R925" s="4">
        <f>IFERROR(IF(O925&gt;0, P925/O925, 0),"-")</f>
        <v>0.5</v>
      </c>
      <c r="S925" s="34">
        <v>94</v>
      </c>
      <c r="T925" s="34">
        <v>5</v>
      </c>
      <c r="U925" s="34">
        <v>9390</v>
      </c>
      <c r="V925" s="35">
        <v>1</v>
      </c>
      <c r="W925" s="35">
        <v>27406</v>
      </c>
    </row>
    <row r="926" spans="1:23" x14ac:dyDescent="0.2">
      <c r="A926" s="30" t="s">
        <v>308</v>
      </c>
      <c r="B926" s="30" t="s">
        <v>1564</v>
      </c>
      <c r="C926" s="34">
        <v>317</v>
      </c>
      <c r="D926" s="35">
        <v>309</v>
      </c>
      <c r="E926" s="34">
        <f>IF(OR(D926="-",D926="",D926=0),IF(C926="-","-",C926),C926-D926)</f>
        <v>8</v>
      </c>
      <c r="F926" s="4">
        <f>IFERROR(IF(C926&gt;0, D926/C926, 0),"-")</f>
        <v>0.97476340694006314</v>
      </c>
      <c r="G926" s="34" t="s">
        <v>959</v>
      </c>
      <c r="H926" s="35" t="s">
        <v>959</v>
      </c>
      <c r="I926" s="34" t="str">
        <f>IF(OR(H926="-",H926="",H926=0),IF(G926="-","-",G926),G926-H926)</f>
        <v>-</v>
      </c>
      <c r="J926" s="4" t="str">
        <f>IFERROR(IF(G926&gt;0, H926/G926, 0),"-")</f>
        <v>-</v>
      </c>
      <c r="K926" s="34" t="s">
        <v>959</v>
      </c>
      <c r="L926" s="35" t="s">
        <v>959</v>
      </c>
      <c r="M926" s="34" t="str">
        <f>IF(OR(L926="-",L926="",L926=0),IF(K926="-","-",K926),K926-L926)</f>
        <v>-</v>
      </c>
      <c r="N926" s="4" t="str">
        <f>IFERROR(IF(K926&gt;0, L926/K926, 0),"-")</f>
        <v>-</v>
      </c>
      <c r="O926" s="34">
        <v>1</v>
      </c>
      <c r="P926" s="35" t="s">
        <v>959</v>
      </c>
      <c r="Q926" s="34">
        <f>IF(OR(P926="-",P926="",P926=0),IF(O926="-","-",O926),O926-P926)</f>
        <v>1</v>
      </c>
      <c r="R926" s="4" t="str">
        <f>IFERROR(IF(O926&gt;0, P926/O926, 0),"-")</f>
        <v>-</v>
      </c>
      <c r="S926" s="34">
        <v>199</v>
      </c>
      <c r="T926" s="34">
        <v>1</v>
      </c>
      <c r="U926" s="34">
        <v>11280</v>
      </c>
      <c r="V926" s="35" t="s">
        <v>959</v>
      </c>
      <c r="W926" s="35" t="s">
        <v>959</v>
      </c>
    </row>
    <row r="927" spans="1:23" x14ac:dyDescent="0.2">
      <c r="A927" s="30" t="s">
        <v>306</v>
      </c>
      <c r="B927" s="30" t="s">
        <v>1565</v>
      </c>
      <c r="C927" s="34">
        <v>202</v>
      </c>
      <c r="D927" s="35">
        <v>195</v>
      </c>
      <c r="E927" s="34">
        <f>IF(OR(D927="-",D927="",D927=0),IF(C927="-","-",C927),C927-D927)</f>
        <v>7</v>
      </c>
      <c r="F927" s="4">
        <f>IFERROR(IF(C927&gt;0, D927/C927, 0),"-")</f>
        <v>0.96534653465346532</v>
      </c>
      <c r="G927" s="34">
        <v>3</v>
      </c>
      <c r="H927" s="35">
        <v>1</v>
      </c>
      <c r="I927" s="34">
        <f>IF(OR(H927="-",H927="",H927=0),IF(G927="-","-",G927),G927-H927)</f>
        <v>2</v>
      </c>
      <c r="J927" s="4">
        <f>IFERROR(IF(G927&gt;0, H927/G927, 0),"-")</f>
        <v>0.33333333333333331</v>
      </c>
      <c r="K927" s="34">
        <v>4</v>
      </c>
      <c r="L927" s="35" t="s">
        <v>959</v>
      </c>
      <c r="M927" s="34">
        <f>IF(OR(L927="-",L927="",L927=0),IF(K927="-","-",K927),K927-L927)</f>
        <v>4</v>
      </c>
      <c r="N927" s="4" t="str">
        <f>IFERROR(IF(K927&gt;0, L927/K927, 0),"-")</f>
        <v>-</v>
      </c>
      <c r="O927" s="34">
        <v>3</v>
      </c>
      <c r="P927" s="35" t="s">
        <v>959</v>
      </c>
      <c r="Q927" s="34">
        <f>IF(OR(P927="-",P927="",P927=0),IF(O927="-","-",O927),O927-P927)</f>
        <v>3</v>
      </c>
      <c r="R927" s="4" t="str">
        <f>IFERROR(IF(O927&gt;0, P927/O927, 0),"-")</f>
        <v>-</v>
      </c>
      <c r="S927" s="34">
        <v>212</v>
      </c>
      <c r="T927" s="34">
        <v>2</v>
      </c>
      <c r="U927" s="34">
        <v>11850</v>
      </c>
      <c r="V927" s="35">
        <v>1</v>
      </c>
      <c r="W927" s="35">
        <v>61266</v>
      </c>
    </row>
    <row r="928" spans="1:23" x14ac:dyDescent="0.2">
      <c r="A928" s="30" t="s">
        <v>309</v>
      </c>
      <c r="B928" s="30" t="s">
        <v>1566</v>
      </c>
      <c r="C928" s="34">
        <v>176</v>
      </c>
      <c r="D928" s="35">
        <v>174</v>
      </c>
      <c r="E928" s="34">
        <f>IF(OR(D928="-",D928="",D928=0),IF(C928="-","-",C928),C928-D928)</f>
        <v>2</v>
      </c>
      <c r="F928" s="4">
        <f>IFERROR(IF(C928&gt;0, D928/C928, 0),"-")</f>
        <v>0.98863636363636365</v>
      </c>
      <c r="G928" s="34">
        <v>2</v>
      </c>
      <c r="H928" s="35" t="s">
        <v>959</v>
      </c>
      <c r="I928" s="34">
        <f>IF(OR(H928="-",H928="",H928=0),IF(G928="-","-",G928),G928-H928)</f>
        <v>2</v>
      </c>
      <c r="J928" s="4" t="str">
        <f>IFERROR(IF(G928&gt;0, H928/G928, 0),"-")</f>
        <v>-</v>
      </c>
      <c r="K928" s="34">
        <v>2</v>
      </c>
      <c r="L928" s="35">
        <v>1</v>
      </c>
      <c r="M928" s="34">
        <f>IF(OR(L928="-",L928="",L928=0),IF(K928="-","-",K928),K928-L928)</f>
        <v>1</v>
      </c>
      <c r="N928" s="4">
        <f>IFERROR(IF(K928&gt;0, L928/K928, 0),"-")</f>
        <v>0.5</v>
      </c>
      <c r="O928" s="34">
        <v>5</v>
      </c>
      <c r="P928" s="35" t="s">
        <v>959</v>
      </c>
      <c r="Q928" s="34">
        <f>IF(OR(P928="-",P928="",P928=0),IF(O928="-","-",O928),O928-P928)</f>
        <v>5</v>
      </c>
      <c r="R928" s="4" t="str">
        <f>IFERROR(IF(O928&gt;0, P928/O928, 0),"-")</f>
        <v>-</v>
      </c>
      <c r="S928" s="34">
        <v>167</v>
      </c>
      <c r="T928" s="34">
        <v>3</v>
      </c>
      <c r="U928" s="34">
        <v>28450</v>
      </c>
      <c r="V928" s="35">
        <v>3</v>
      </c>
      <c r="W928" s="35">
        <v>39980</v>
      </c>
    </row>
    <row r="929" spans="1:23" x14ac:dyDescent="0.2">
      <c r="A929" s="30" t="s">
        <v>307</v>
      </c>
      <c r="B929" s="30" t="s">
        <v>1567</v>
      </c>
      <c r="C929" s="34">
        <v>258</v>
      </c>
      <c r="D929" s="35">
        <v>246</v>
      </c>
      <c r="E929" s="34">
        <f>IF(OR(D929="-",D929="",D929=0),IF(C929="-","-",C929),C929-D929)</f>
        <v>12</v>
      </c>
      <c r="F929" s="4">
        <f>IFERROR(IF(C929&gt;0, D929/C929, 0),"-")</f>
        <v>0.95348837209302328</v>
      </c>
      <c r="G929" s="34">
        <v>2</v>
      </c>
      <c r="H929" s="35" t="s">
        <v>959</v>
      </c>
      <c r="I929" s="34">
        <f>IF(OR(H929="-",H929="",H929=0),IF(G929="-","-",G929),G929-H929)</f>
        <v>2</v>
      </c>
      <c r="J929" s="4" t="str">
        <f>IFERROR(IF(G929&gt;0, H929/G929, 0),"-")</f>
        <v>-</v>
      </c>
      <c r="K929" s="34">
        <v>1</v>
      </c>
      <c r="L929" s="35" t="s">
        <v>959</v>
      </c>
      <c r="M929" s="34">
        <f>IF(OR(L929="-",L929="",L929=0),IF(K929="-","-",K929),K929-L929)</f>
        <v>1</v>
      </c>
      <c r="N929" s="4" t="str">
        <f>IFERROR(IF(K929&gt;0, L929/K929, 0),"-")</f>
        <v>-</v>
      </c>
      <c r="O929" s="34">
        <v>4</v>
      </c>
      <c r="P929" s="35" t="s">
        <v>959</v>
      </c>
      <c r="Q929" s="34">
        <f>IF(OR(P929="-",P929="",P929=0),IF(O929="-","-",O929),O929-P929)</f>
        <v>4</v>
      </c>
      <c r="R929" s="4" t="str">
        <f>IFERROR(IF(O929&gt;0, P929/O929, 0),"-")</f>
        <v>-</v>
      </c>
      <c r="S929" s="34">
        <v>196</v>
      </c>
      <c r="T929" s="34">
        <v>1</v>
      </c>
      <c r="U929" s="34">
        <v>2700</v>
      </c>
      <c r="V929" s="35">
        <v>5</v>
      </c>
      <c r="W929" s="35">
        <v>113016</v>
      </c>
    </row>
    <row r="930" spans="1:23" x14ac:dyDescent="0.2">
      <c r="A930" s="30" t="s">
        <v>304</v>
      </c>
      <c r="B930" s="30" t="s">
        <v>1568</v>
      </c>
      <c r="C930" s="34">
        <v>215</v>
      </c>
      <c r="D930" s="35">
        <v>211</v>
      </c>
      <c r="E930" s="34">
        <f>IF(OR(D930="-",D930="",D930=0),IF(C930="-","-",C930),C930-D930)</f>
        <v>4</v>
      </c>
      <c r="F930" s="4">
        <f>IFERROR(IF(C930&gt;0, D930/C930, 0),"-")</f>
        <v>0.98139534883720925</v>
      </c>
      <c r="G930" s="34">
        <v>2</v>
      </c>
      <c r="H930" s="35" t="s">
        <v>959</v>
      </c>
      <c r="I930" s="34">
        <f>IF(OR(H930="-",H930="",H930=0),IF(G930="-","-",G930),G930-H930)</f>
        <v>2</v>
      </c>
      <c r="J930" s="4" t="str">
        <f>IFERROR(IF(G930&gt;0, H930/G930, 0),"-")</f>
        <v>-</v>
      </c>
      <c r="K930" s="34">
        <v>1</v>
      </c>
      <c r="L930" s="35" t="s">
        <v>959</v>
      </c>
      <c r="M930" s="34">
        <f>IF(OR(L930="-",L930="",L930=0),IF(K930="-","-",K930),K930-L930)</f>
        <v>1</v>
      </c>
      <c r="N930" s="4" t="str">
        <f>IFERROR(IF(K930&gt;0, L930/K930, 0),"-")</f>
        <v>-</v>
      </c>
      <c r="O930" s="34">
        <v>1</v>
      </c>
      <c r="P930" s="35" t="s">
        <v>959</v>
      </c>
      <c r="Q930" s="34">
        <f>IF(OR(P930="-",P930="",P930=0),IF(O930="-","-",O930),O930-P930)</f>
        <v>1</v>
      </c>
      <c r="R930" s="4" t="str">
        <f>IFERROR(IF(O930&gt;0, P930/O930, 0),"-")</f>
        <v>-</v>
      </c>
      <c r="S930" s="34">
        <v>71</v>
      </c>
      <c r="T930" s="34">
        <v>2</v>
      </c>
      <c r="U930" s="34">
        <v>3600</v>
      </c>
      <c r="V930" s="35" t="s">
        <v>959</v>
      </c>
      <c r="W930" s="35" t="s">
        <v>959</v>
      </c>
    </row>
    <row r="931" spans="1:23" x14ac:dyDescent="0.2">
      <c r="A931" s="29"/>
      <c r="B931" s="29" t="s">
        <v>60</v>
      </c>
      <c r="C931" s="32">
        <v>570</v>
      </c>
      <c r="D931" s="32">
        <v>558</v>
      </c>
      <c r="E931" s="32">
        <f>IF(OR(D931="-",D931="",D931=0),IF(C931="-","-",C931),C931-D931)</f>
        <v>12</v>
      </c>
      <c r="F931" s="36">
        <f>IFERROR(IF(C931&gt;0, D931/C931, 0),"-")</f>
        <v>0.97894736842105268</v>
      </c>
      <c r="G931" s="32">
        <v>3</v>
      </c>
      <c r="H931" s="32">
        <v>1</v>
      </c>
      <c r="I931" s="32">
        <f>IF(OR(H931="-",H931="",H931=0),IF(G931="-","-",G931),G931-H931)</f>
        <v>2</v>
      </c>
      <c r="J931" s="36">
        <f>IFERROR(IF(G931&gt;0, H931/G931, 0),"-")</f>
        <v>0.33333333333333331</v>
      </c>
      <c r="K931" s="32">
        <v>2</v>
      </c>
      <c r="L931" s="32">
        <v>2</v>
      </c>
      <c r="M931" s="32">
        <f>IF(OR(L931="-",L931="",L931=0),IF(K931="-","-",K931),K931-L931)</f>
        <v>0</v>
      </c>
      <c r="N931" s="36">
        <f>IFERROR(IF(K931&gt;0, L931/K931, 0),"-")</f>
        <v>1</v>
      </c>
      <c r="O931" s="32">
        <v>10</v>
      </c>
      <c r="P931" s="32">
        <v>6</v>
      </c>
      <c r="Q931" s="32">
        <f>IF(OR(P931="-",P931="",P931=0),IF(O931="-","-",O931),O931-P931)</f>
        <v>4</v>
      </c>
      <c r="R931" s="36">
        <f>IFERROR(IF(O931&gt;0, P931/O931, 0),"-")</f>
        <v>0.6</v>
      </c>
      <c r="S931" s="32">
        <v>1437</v>
      </c>
      <c r="T931" s="32">
        <v>19</v>
      </c>
      <c r="U931" s="32">
        <v>35555</v>
      </c>
      <c r="V931" s="32">
        <v>10</v>
      </c>
      <c r="W931" s="32">
        <v>217887</v>
      </c>
    </row>
    <row r="932" spans="1:23" x14ac:dyDescent="0.2">
      <c r="A932" s="30" t="s">
        <v>383</v>
      </c>
      <c r="B932" s="30" t="s">
        <v>1569</v>
      </c>
      <c r="C932" s="34">
        <v>113</v>
      </c>
      <c r="D932" s="35">
        <v>113</v>
      </c>
      <c r="E932" s="34">
        <f>IF(OR(D932="-",D932="",D932=0),IF(C932="-","-",C932),C932-D932)</f>
        <v>0</v>
      </c>
      <c r="F932" s="4">
        <f>IFERROR(IF(C932&gt;0, D932/C932, 0),"-")</f>
        <v>1</v>
      </c>
      <c r="G932" s="34">
        <v>1</v>
      </c>
      <c r="H932" s="35">
        <v>1</v>
      </c>
      <c r="I932" s="34">
        <f>IF(OR(H932="-",H932="",H932=0),IF(G932="-","-",G932),G932-H932)</f>
        <v>0</v>
      </c>
      <c r="J932" s="4">
        <f>IFERROR(IF(G932&gt;0, H932/G932, 0),"-")</f>
        <v>1</v>
      </c>
      <c r="K932" s="34" t="s">
        <v>959</v>
      </c>
      <c r="L932" s="35" t="s">
        <v>959</v>
      </c>
      <c r="M932" s="34" t="str">
        <f>IF(OR(L932="-",L932="",L932=0),IF(K932="-","-",K932),K932-L932)</f>
        <v>-</v>
      </c>
      <c r="N932" s="4" t="str">
        <f>IFERROR(IF(K932&gt;0, L932/K932, 0),"-")</f>
        <v>-</v>
      </c>
      <c r="O932" s="34" t="s">
        <v>959</v>
      </c>
      <c r="P932" s="35" t="s">
        <v>959</v>
      </c>
      <c r="Q932" s="34" t="str">
        <f>IF(OR(P932="-",P932="",P932=0),IF(O932="-","-",O932),O932-P932)</f>
        <v>-</v>
      </c>
      <c r="R932" s="4" t="str">
        <f>IFERROR(IF(O932&gt;0, P932/O932, 0),"-")</f>
        <v>-</v>
      </c>
      <c r="S932" s="34">
        <v>121</v>
      </c>
      <c r="T932" s="34">
        <v>4</v>
      </c>
      <c r="U932" s="34">
        <v>7420</v>
      </c>
      <c r="V932" s="35">
        <v>3</v>
      </c>
      <c r="W932" s="35">
        <v>83216</v>
      </c>
    </row>
    <row r="933" spans="1:23" x14ac:dyDescent="0.2">
      <c r="A933" s="30" t="s">
        <v>382</v>
      </c>
      <c r="B933" s="30" t="s">
        <v>1570</v>
      </c>
      <c r="C933" s="34">
        <v>116</v>
      </c>
      <c r="D933" s="35">
        <v>114</v>
      </c>
      <c r="E933" s="34">
        <f>IF(OR(D933="-",D933="",D933=0),IF(C933="-","-",C933),C933-D933)</f>
        <v>2</v>
      </c>
      <c r="F933" s="4">
        <f>IFERROR(IF(C933&gt;0, D933/C933, 0),"-")</f>
        <v>0.98275862068965514</v>
      </c>
      <c r="G933" s="34" t="s">
        <v>959</v>
      </c>
      <c r="H933" s="35" t="s">
        <v>959</v>
      </c>
      <c r="I933" s="34" t="str">
        <f>IF(OR(H933="-",H933="",H933=0),IF(G933="-","-",G933),G933-H933)</f>
        <v>-</v>
      </c>
      <c r="J933" s="4" t="str">
        <f>IFERROR(IF(G933&gt;0, H933/G933, 0),"-")</f>
        <v>-</v>
      </c>
      <c r="K933" s="34" t="s">
        <v>959</v>
      </c>
      <c r="L933" s="35" t="s">
        <v>959</v>
      </c>
      <c r="M933" s="34" t="str">
        <f>IF(OR(L933="-",L933="",L933=0),IF(K933="-","-",K933),K933-L933)</f>
        <v>-</v>
      </c>
      <c r="N933" s="4" t="str">
        <f>IFERROR(IF(K933&gt;0, L933/K933, 0),"-")</f>
        <v>-</v>
      </c>
      <c r="O933" s="34">
        <v>2</v>
      </c>
      <c r="P933" s="35">
        <v>2</v>
      </c>
      <c r="Q933" s="34">
        <f>IF(OR(P933="-",P933="",P933=0),IF(O933="-","-",O933),O933-P933)</f>
        <v>0</v>
      </c>
      <c r="R933" s="4">
        <f>IFERROR(IF(O933&gt;0, P933/O933, 0),"-")</f>
        <v>1</v>
      </c>
      <c r="S933" s="34">
        <v>69</v>
      </c>
      <c r="T933" s="34">
        <v>5</v>
      </c>
      <c r="U933" s="34">
        <v>11565</v>
      </c>
      <c r="V933" s="35" t="s">
        <v>959</v>
      </c>
      <c r="W933" s="35" t="s">
        <v>959</v>
      </c>
    </row>
    <row r="934" spans="1:23" x14ac:dyDescent="0.2">
      <c r="A934" s="30" t="s">
        <v>386</v>
      </c>
      <c r="B934" s="30" t="s">
        <v>1571</v>
      </c>
      <c r="C934" s="34">
        <v>78</v>
      </c>
      <c r="D934" s="35">
        <v>76</v>
      </c>
      <c r="E934" s="34">
        <f>IF(OR(D934="-",D934="",D934=0),IF(C934="-","-",C934),C934-D934)</f>
        <v>2</v>
      </c>
      <c r="F934" s="4">
        <f>IFERROR(IF(C934&gt;0, D934/C934, 0),"-")</f>
        <v>0.97435897435897434</v>
      </c>
      <c r="G934" s="34">
        <v>1</v>
      </c>
      <c r="H934" s="35" t="s">
        <v>959</v>
      </c>
      <c r="I934" s="34">
        <f>IF(OR(H934="-",H934="",H934=0),IF(G934="-","-",G934),G934-H934)</f>
        <v>1</v>
      </c>
      <c r="J934" s="4" t="str">
        <f>IFERROR(IF(G934&gt;0, H934/G934, 0),"-")</f>
        <v>-</v>
      </c>
      <c r="K934" s="34" t="s">
        <v>959</v>
      </c>
      <c r="L934" s="35" t="s">
        <v>959</v>
      </c>
      <c r="M934" s="34" t="str">
        <f>IF(OR(L934="-",L934="",L934=0),IF(K934="-","-",K934),K934-L934)</f>
        <v>-</v>
      </c>
      <c r="N934" s="4" t="str">
        <f>IFERROR(IF(K934&gt;0, L934/K934, 0),"-")</f>
        <v>-</v>
      </c>
      <c r="O934" s="34" t="s">
        <v>959</v>
      </c>
      <c r="P934" s="35" t="s">
        <v>959</v>
      </c>
      <c r="Q934" s="34" t="str">
        <f>IF(OR(P934="-",P934="",P934=0),IF(O934="-","-",O934),O934-P934)</f>
        <v>-</v>
      </c>
      <c r="R934" s="4" t="str">
        <f>IFERROR(IF(O934&gt;0, P934/O934, 0),"-")</f>
        <v>-</v>
      </c>
      <c r="S934" s="34">
        <v>866</v>
      </c>
      <c r="T934" s="34">
        <v>8</v>
      </c>
      <c r="U934" s="34">
        <v>12870</v>
      </c>
      <c r="V934" s="35">
        <v>7</v>
      </c>
      <c r="W934" s="35">
        <v>134671</v>
      </c>
    </row>
    <row r="935" spans="1:23" x14ac:dyDescent="0.2">
      <c r="A935" s="30" t="s">
        <v>384</v>
      </c>
      <c r="B935" s="30" t="s">
        <v>1572</v>
      </c>
      <c r="C935" s="34">
        <v>150</v>
      </c>
      <c r="D935" s="35">
        <v>146</v>
      </c>
      <c r="E935" s="34">
        <f>IF(OR(D935="-",D935="",D935=0),IF(C935="-","-",C935),C935-D935)</f>
        <v>4</v>
      </c>
      <c r="F935" s="4">
        <f>IFERROR(IF(C935&gt;0, D935/C935, 0),"-")</f>
        <v>0.97333333333333338</v>
      </c>
      <c r="G935" s="34" t="s">
        <v>959</v>
      </c>
      <c r="H935" s="35" t="s">
        <v>959</v>
      </c>
      <c r="I935" s="34" t="str">
        <f>IF(OR(H935="-",H935="",H935=0),IF(G935="-","-",G935),G935-H935)</f>
        <v>-</v>
      </c>
      <c r="J935" s="4" t="str">
        <f>IFERROR(IF(G935&gt;0, H935/G935, 0),"-")</f>
        <v>-</v>
      </c>
      <c r="K935" s="34">
        <v>1</v>
      </c>
      <c r="L935" s="35">
        <v>1</v>
      </c>
      <c r="M935" s="34">
        <f>IF(OR(L935="-",L935="",L935=0),IF(K935="-","-",K935),K935-L935)</f>
        <v>0</v>
      </c>
      <c r="N935" s="4">
        <f>IFERROR(IF(K935&gt;0, L935/K935, 0),"-")</f>
        <v>1</v>
      </c>
      <c r="O935" s="34">
        <v>7</v>
      </c>
      <c r="P935" s="35">
        <v>4</v>
      </c>
      <c r="Q935" s="34">
        <f>IF(OR(P935="-",P935="",P935=0),IF(O935="-","-",O935),O935-P935)</f>
        <v>3</v>
      </c>
      <c r="R935" s="4">
        <f>IFERROR(IF(O935&gt;0, P935/O935, 0),"-")</f>
        <v>0.5714285714285714</v>
      </c>
      <c r="S935" s="34">
        <v>211</v>
      </c>
      <c r="T935" s="34">
        <v>1</v>
      </c>
      <c r="U935" s="34">
        <v>2700</v>
      </c>
      <c r="V935" s="35" t="s">
        <v>959</v>
      </c>
      <c r="W935" s="35" t="s">
        <v>959</v>
      </c>
    </row>
    <row r="936" spans="1:23" x14ac:dyDescent="0.2">
      <c r="A936" s="30" t="s">
        <v>385</v>
      </c>
      <c r="B936" s="30" t="s">
        <v>1444</v>
      </c>
      <c r="C936" s="34">
        <v>113</v>
      </c>
      <c r="D936" s="35">
        <v>109</v>
      </c>
      <c r="E936" s="34">
        <f>IF(OR(D936="-",D936="",D936=0),IF(C936="-","-",C936),C936-D936)</f>
        <v>4</v>
      </c>
      <c r="F936" s="4">
        <f>IFERROR(IF(C936&gt;0, D936/C936, 0),"-")</f>
        <v>0.96460176991150437</v>
      </c>
      <c r="G936" s="34">
        <v>1</v>
      </c>
      <c r="H936" s="35" t="s">
        <v>959</v>
      </c>
      <c r="I936" s="34">
        <f>IF(OR(H936="-",H936="",H936=0),IF(G936="-","-",G936),G936-H936)</f>
        <v>1</v>
      </c>
      <c r="J936" s="4" t="str">
        <f>IFERROR(IF(G936&gt;0, H936/G936, 0),"-")</f>
        <v>-</v>
      </c>
      <c r="K936" s="34">
        <v>1</v>
      </c>
      <c r="L936" s="35">
        <v>1</v>
      </c>
      <c r="M936" s="34">
        <f>IF(OR(L936="-",L936="",L936=0),IF(K936="-","-",K936),K936-L936)</f>
        <v>0</v>
      </c>
      <c r="N936" s="4">
        <f>IFERROR(IF(K936&gt;0, L936/K936, 0),"-")</f>
        <v>1</v>
      </c>
      <c r="O936" s="34">
        <v>1</v>
      </c>
      <c r="P936" s="35" t="s">
        <v>959</v>
      </c>
      <c r="Q936" s="34">
        <f>IF(OR(P936="-",P936="",P936=0),IF(O936="-","-",O936),O936-P936)</f>
        <v>1</v>
      </c>
      <c r="R936" s="4" t="str">
        <f>IFERROR(IF(O936&gt;0, P936/O936, 0),"-")</f>
        <v>-</v>
      </c>
      <c r="S936" s="34">
        <v>170</v>
      </c>
      <c r="T936" s="34">
        <v>1</v>
      </c>
      <c r="U936" s="34">
        <v>1000</v>
      </c>
      <c r="V936" s="35" t="s">
        <v>959</v>
      </c>
      <c r="W936" s="35" t="s">
        <v>959</v>
      </c>
    </row>
    <row r="937" spans="1:23" x14ac:dyDescent="0.2">
      <c r="A937" s="29"/>
      <c r="B937" s="29" t="s">
        <v>126</v>
      </c>
      <c r="C937" s="32">
        <v>348</v>
      </c>
      <c r="D937" s="32">
        <v>345</v>
      </c>
      <c r="E937" s="32">
        <f>IF(OR(D937="-",D937="",D937=0),IF(C937="-","-",C937),C937-D937)</f>
        <v>3</v>
      </c>
      <c r="F937" s="36">
        <f>IFERROR(IF(C937&gt;0, D937/C937, 0),"-")</f>
        <v>0.99137931034482762</v>
      </c>
      <c r="G937" s="32">
        <v>4</v>
      </c>
      <c r="H937" s="32">
        <v>2</v>
      </c>
      <c r="I937" s="32">
        <f>IF(OR(H937="-",H937="",H937=0),IF(G937="-","-",G937),G937-H937)</f>
        <v>2</v>
      </c>
      <c r="J937" s="36">
        <f>IFERROR(IF(G937&gt;0, H937/G937, 0),"-")</f>
        <v>0.5</v>
      </c>
      <c r="K937" s="32">
        <v>1</v>
      </c>
      <c r="L937" s="32">
        <v>1</v>
      </c>
      <c r="M937" s="32">
        <f>IF(OR(L937="-",L937="",L937=0),IF(K937="-","-",K937),K937-L937)</f>
        <v>0</v>
      </c>
      <c r="N937" s="36">
        <f>IFERROR(IF(K937&gt;0, L937/K937, 0),"-")</f>
        <v>1</v>
      </c>
      <c r="O937" s="32">
        <v>2</v>
      </c>
      <c r="P937" s="32" t="s">
        <v>959</v>
      </c>
      <c r="Q937" s="32">
        <f>IF(OR(P937="-",P937="",P937=0),IF(O937="-","-",O937),O937-P937)</f>
        <v>2</v>
      </c>
      <c r="R937" s="36" t="str">
        <f>IFERROR(IF(O937&gt;0, P937/O937, 0),"-")</f>
        <v>-</v>
      </c>
      <c r="S937" s="32" t="s">
        <v>959</v>
      </c>
      <c r="T937" s="32" t="s">
        <v>959</v>
      </c>
      <c r="U937" s="32" t="s">
        <v>959</v>
      </c>
      <c r="V937" s="32" t="s">
        <v>959</v>
      </c>
      <c r="W937" s="32" t="s">
        <v>959</v>
      </c>
    </row>
    <row r="938" spans="1:23" x14ac:dyDescent="0.2">
      <c r="A938" s="30" t="s">
        <v>883</v>
      </c>
      <c r="B938" s="30" t="s">
        <v>1573</v>
      </c>
      <c r="C938" s="34">
        <v>248</v>
      </c>
      <c r="D938" s="35">
        <v>246</v>
      </c>
      <c r="E938" s="34">
        <f>IF(OR(D938="-",D938="",D938=0),IF(C938="-","-",C938),C938-D938)</f>
        <v>2</v>
      </c>
      <c r="F938" s="4">
        <f>IFERROR(IF(C938&gt;0, D938/C938, 0),"-")</f>
        <v>0.99193548387096775</v>
      </c>
      <c r="G938" s="34">
        <v>1</v>
      </c>
      <c r="H938" s="35" t="s">
        <v>959</v>
      </c>
      <c r="I938" s="34">
        <f>IF(OR(H938="-",H938="",H938=0),IF(G938="-","-",G938),G938-H938)</f>
        <v>1</v>
      </c>
      <c r="J938" s="4" t="str">
        <f>IFERROR(IF(G938&gt;0, H938/G938, 0),"-")</f>
        <v>-</v>
      </c>
      <c r="K938" s="34" t="s">
        <v>959</v>
      </c>
      <c r="L938" s="35" t="s">
        <v>959</v>
      </c>
      <c r="M938" s="34" t="str">
        <f>IF(OR(L938="-",L938="",L938=0),IF(K938="-","-",K938),K938-L938)</f>
        <v>-</v>
      </c>
      <c r="N938" s="4" t="str">
        <f>IFERROR(IF(K938&gt;0, L938/K938, 0),"-")</f>
        <v>-</v>
      </c>
      <c r="O938" s="34">
        <v>1</v>
      </c>
      <c r="P938" s="35" t="s">
        <v>959</v>
      </c>
      <c r="Q938" s="34">
        <f>IF(OR(P938="-",P938="",P938=0),IF(O938="-","-",O938),O938-P938)</f>
        <v>1</v>
      </c>
      <c r="R938" s="4" t="str">
        <f>IFERROR(IF(O938&gt;0, P938/O938, 0),"-")</f>
        <v>-</v>
      </c>
      <c r="S938" s="34" t="s">
        <v>959</v>
      </c>
      <c r="T938" s="34" t="s">
        <v>959</v>
      </c>
      <c r="U938" s="34" t="s">
        <v>959</v>
      </c>
      <c r="V938" s="35" t="s">
        <v>959</v>
      </c>
      <c r="W938" s="35" t="s">
        <v>959</v>
      </c>
    </row>
    <row r="939" spans="1:23" x14ac:dyDescent="0.2">
      <c r="A939" s="30" t="s">
        <v>884</v>
      </c>
      <c r="B939" s="30" t="s">
        <v>1574</v>
      </c>
      <c r="C939" s="34">
        <v>100</v>
      </c>
      <c r="D939" s="35">
        <v>99</v>
      </c>
      <c r="E939" s="34">
        <f>IF(OR(D939="-",D939="",D939=0),IF(C939="-","-",C939),C939-D939)</f>
        <v>1</v>
      </c>
      <c r="F939" s="4">
        <f>IFERROR(IF(C939&gt;0, D939/C939, 0),"-")</f>
        <v>0.99</v>
      </c>
      <c r="G939" s="34">
        <v>3</v>
      </c>
      <c r="H939" s="35">
        <v>2</v>
      </c>
      <c r="I939" s="34">
        <f>IF(OR(H939="-",H939="",H939=0),IF(G939="-","-",G939),G939-H939)</f>
        <v>1</v>
      </c>
      <c r="J939" s="4">
        <f>IFERROR(IF(G939&gt;0, H939/G939, 0),"-")</f>
        <v>0.66666666666666663</v>
      </c>
      <c r="K939" s="34">
        <v>1</v>
      </c>
      <c r="L939" s="35">
        <v>1</v>
      </c>
      <c r="M939" s="34">
        <f>IF(OR(L939="-",L939="",L939=0),IF(K939="-","-",K939),K939-L939)</f>
        <v>0</v>
      </c>
      <c r="N939" s="4">
        <f>IFERROR(IF(K939&gt;0, L939/K939, 0),"-")</f>
        <v>1</v>
      </c>
      <c r="O939" s="34">
        <v>1</v>
      </c>
      <c r="P939" s="35" t="s">
        <v>959</v>
      </c>
      <c r="Q939" s="34">
        <f>IF(OR(P939="-",P939="",P939=0),IF(O939="-","-",O939),O939-P939)</f>
        <v>1</v>
      </c>
      <c r="R939" s="4" t="str">
        <f>IFERROR(IF(O939&gt;0, P939/O939, 0),"-")</f>
        <v>-</v>
      </c>
      <c r="S939" s="34" t="s">
        <v>959</v>
      </c>
      <c r="T939" s="34" t="s">
        <v>959</v>
      </c>
      <c r="U939" s="34" t="s">
        <v>959</v>
      </c>
      <c r="V939" s="35" t="s">
        <v>959</v>
      </c>
      <c r="W939" s="35" t="s">
        <v>959</v>
      </c>
    </row>
    <row r="940" spans="1:23" x14ac:dyDescent="0.2">
      <c r="A940" s="29"/>
      <c r="B940" s="29" t="s">
        <v>93</v>
      </c>
      <c r="C940" s="32">
        <v>1130</v>
      </c>
      <c r="D940" s="32">
        <v>1112</v>
      </c>
      <c r="E940" s="32">
        <f>IF(OR(D940="-",D940="",D940=0),IF(C940="-","-",C940),C940-D940)</f>
        <v>18</v>
      </c>
      <c r="F940" s="36">
        <f>IFERROR(IF(C940&gt;0, D940/C940, 0),"-")</f>
        <v>0.98407079646017703</v>
      </c>
      <c r="G940" s="32">
        <v>8</v>
      </c>
      <c r="H940" s="32">
        <v>1</v>
      </c>
      <c r="I940" s="32">
        <f>IF(OR(H940="-",H940="",H940=0),IF(G940="-","-",G940),G940-H940)</f>
        <v>7</v>
      </c>
      <c r="J940" s="36">
        <f>IFERROR(IF(G940&gt;0, H940/G940, 0),"-")</f>
        <v>0.125</v>
      </c>
      <c r="K940" s="32">
        <v>6</v>
      </c>
      <c r="L940" s="32" t="s">
        <v>959</v>
      </c>
      <c r="M940" s="32">
        <f>IF(OR(L940="-",L940="",L940=0),IF(K940="-","-",K940),K940-L940)</f>
        <v>6</v>
      </c>
      <c r="N940" s="36" t="str">
        <f>IFERROR(IF(K940&gt;0, L940/K940, 0),"-")</f>
        <v>-</v>
      </c>
      <c r="O940" s="32">
        <v>14</v>
      </c>
      <c r="P940" s="32">
        <v>2</v>
      </c>
      <c r="Q940" s="32">
        <f>IF(OR(P940="-",P940="",P940=0),IF(O940="-","-",O940),O940-P940)</f>
        <v>12</v>
      </c>
      <c r="R940" s="36">
        <f>IFERROR(IF(O940&gt;0, P940/O940, 0),"-")</f>
        <v>0.14285714285714285</v>
      </c>
      <c r="S940" s="32">
        <v>1214</v>
      </c>
      <c r="T940" s="32">
        <v>35</v>
      </c>
      <c r="U940" s="32">
        <v>61320</v>
      </c>
      <c r="V940" s="32">
        <v>1</v>
      </c>
      <c r="W940" s="32">
        <v>56879</v>
      </c>
    </row>
    <row r="941" spans="1:23" x14ac:dyDescent="0.2">
      <c r="A941" s="30" t="s">
        <v>646</v>
      </c>
      <c r="B941" s="30" t="s">
        <v>1575</v>
      </c>
      <c r="C941" s="34">
        <v>73</v>
      </c>
      <c r="D941" s="35">
        <v>66</v>
      </c>
      <c r="E941" s="34">
        <f>IF(OR(D941="-",D941="",D941=0),IF(C941="-","-",C941),C941-D941)</f>
        <v>7</v>
      </c>
      <c r="F941" s="4">
        <f>IFERROR(IF(C941&gt;0, D941/C941, 0),"-")</f>
        <v>0.90410958904109584</v>
      </c>
      <c r="G941" s="34">
        <v>1</v>
      </c>
      <c r="H941" s="35" t="s">
        <v>959</v>
      </c>
      <c r="I941" s="34">
        <f>IF(OR(H941="-",H941="",H941=0),IF(G941="-","-",G941),G941-H941)</f>
        <v>1</v>
      </c>
      <c r="J941" s="4" t="str">
        <f>IFERROR(IF(G941&gt;0, H941/G941, 0),"-")</f>
        <v>-</v>
      </c>
      <c r="K941" s="34" t="s">
        <v>959</v>
      </c>
      <c r="L941" s="35" t="s">
        <v>959</v>
      </c>
      <c r="M941" s="34" t="str">
        <f>IF(OR(L941="-",L941="",L941=0),IF(K941="-","-",K941),K941-L941)</f>
        <v>-</v>
      </c>
      <c r="N941" s="4" t="str">
        <f>IFERROR(IF(K941&gt;0, L941/K941, 0),"-")</f>
        <v>-</v>
      </c>
      <c r="O941" s="34">
        <v>1</v>
      </c>
      <c r="P941" s="35" t="s">
        <v>959</v>
      </c>
      <c r="Q941" s="34">
        <f>IF(OR(P941="-",P941="",P941=0),IF(O941="-","-",O941),O941-P941)</f>
        <v>1</v>
      </c>
      <c r="R941" s="4" t="str">
        <f>IFERROR(IF(O941&gt;0, P941/O941, 0),"-")</f>
        <v>-</v>
      </c>
      <c r="S941" s="34">
        <v>10</v>
      </c>
      <c r="T941" s="34" t="s">
        <v>959</v>
      </c>
      <c r="U941" s="34" t="s">
        <v>959</v>
      </c>
      <c r="V941" s="35" t="s">
        <v>959</v>
      </c>
      <c r="W941" s="35" t="s">
        <v>959</v>
      </c>
    </row>
    <row r="942" spans="1:23" x14ac:dyDescent="0.2">
      <c r="A942" s="30" t="s">
        <v>634</v>
      </c>
      <c r="B942" s="30" t="s">
        <v>1576</v>
      </c>
      <c r="C942" s="34">
        <v>152</v>
      </c>
      <c r="D942" s="35">
        <v>150</v>
      </c>
      <c r="E942" s="34">
        <f>IF(OR(D942="-",D942="",D942=0),IF(C942="-","-",C942),C942-D942)</f>
        <v>2</v>
      </c>
      <c r="F942" s="4">
        <f>IFERROR(IF(C942&gt;0, D942/C942, 0),"-")</f>
        <v>0.98684210526315785</v>
      </c>
      <c r="G942" s="34">
        <v>1</v>
      </c>
      <c r="H942" s="35" t="s">
        <v>959</v>
      </c>
      <c r="I942" s="34">
        <f>IF(OR(H942="-",H942="",H942=0),IF(G942="-","-",G942),G942-H942)</f>
        <v>1</v>
      </c>
      <c r="J942" s="4" t="str">
        <f>IFERROR(IF(G942&gt;0, H942/G942, 0),"-")</f>
        <v>-</v>
      </c>
      <c r="K942" s="34">
        <v>1</v>
      </c>
      <c r="L942" s="35" t="s">
        <v>959</v>
      </c>
      <c r="M942" s="34">
        <f>IF(OR(L942="-",L942="",L942=0),IF(K942="-","-",K942),K942-L942)</f>
        <v>1</v>
      </c>
      <c r="N942" s="4" t="str">
        <f>IFERROR(IF(K942&gt;0, L942/K942, 0),"-")</f>
        <v>-</v>
      </c>
      <c r="O942" s="34">
        <v>2</v>
      </c>
      <c r="P942" s="35" t="s">
        <v>959</v>
      </c>
      <c r="Q942" s="34">
        <f>IF(OR(P942="-",P942="",P942=0),IF(O942="-","-",O942),O942-P942)</f>
        <v>2</v>
      </c>
      <c r="R942" s="4" t="str">
        <f>IFERROR(IF(O942&gt;0, P942/O942, 0),"-")</f>
        <v>-</v>
      </c>
      <c r="S942" s="34">
        <v>194</v>
      </c>
      <c r="T942" s="34">
        <v>3</v>
      </c>
      <c r="U942" s="34">
        <v>1500</v>
      </c>
      <c r="V942" s="35" t="s">
        <v>959</v>
      </c>
      <c r="W942" s="35" t="s">
        <v>959</v>
      </c>
    </row>
    <row r="943" spans="1:23" x14ac:dyDescent="0.2">
      <c r="A943" s="30" t="s">
        <v>633</v>
      </c>
      <c r="B943" s="30" t="s">
        <v>1577</v>
      </c>
      <c r="C943" s="34">
        <v>141</v>
      </c>
      <c r="D943" s="35">
        <v>141</v>
      </c>
      <c r="E943" s="34">
        <f>IF(OR(D943="-",D943="",D943=0),IF(C943="-","-",C943),C943-D943)</f>
        <v>0</v>
      </c>
      <c r="F943" s="4">
        <f>IFERROR(IF(C943&gt;0, D943/C943, 0),"-")</f>
        <v>1</v>
      </c>
      <c r="G943" s="34" t="s">
        <v>959</v>
      </c>
      <c r="H943" s="35" t="s">
        <v>959</v>
      </c>
      <c r="I943" s="34" t="str">
        <f>IF(OR(H943="-",H943="",H943=0),IF(G943="-","-",G943),G943-H943)</f>
        <v>-</v>
      </c>
      <c r="J943" s="4" t="str">
        <f>IFERROR(IF(G943&gt;0, H943/G943, 0),"-")</f>
        <v>-</v>
      </c>
      <c r="K943" s="34" t="s">
        <v>959</v>
      </c>
      <c r="L943" s="35" t="s">
        <v>959</v>
      </c>
      <c r="M943" s="34" t="str">
        <f>IF(OR(L943="-",L943="",L943=0),IF(K943="-","-",K943),K943-L943)</f>
        <v>-</v>
      </c>
      <c r="N943" s="4" t="str">
        <f>IFERROR(IF(K943&gt;0, L943/K943, 0),"-")</f>
        <v>-</v>
      </c>
      <c r="O943" s="34" t="s">
        <v>959</v>
      </c>
      <c r="P943" s="35" t="s">
        <v>959</v>
      </c>
      <c r="Q943" s="34" t="str">
        <f>IF(OR(P943="-",P943="",P943=0),IF(O943="-","-",O943),O943-P943)</f>
        <v>-</v>
      </c>
      <c r="R943" s="4" t="str">
        <f>IFERROR(IF(O943&gt;0, P943/O943, 0),"-")</f>
        <v>-</v>
      </c>
      <c r="S943" s="34">
        <v>154</v>
      </c>
      <c r="T943" s="34">
        <v>3</v>
      </c>
      <c r="U943" s="34">
        <v>4695</v>
      </c>
      <c r="V943" s="35">
        <v>1</v>
      </c>
      <c r="W943" s="35">
        <v>56879</v>
      </c>
    </row>
    <row r="944" spans="1:23" x14ac:dyDescent="0.2">
      <c r="A944" s="30" t="s">
        <v>632</v>
      </c>
      <c r="B944" s="30" t="s">
        <v>1578</v>
      </c>
      <c r="C944" s="34">
        <v>186</v>
      </c>
      <c r="D944" s="35">
        <v>186</v>
      </c>
      <c r="E944" s="34">
        <f>IF(OR(D944="-",D944="",D944=0),IF(C944="-","-",C944),C944-D944)</f>
        <v>0</v>
      </c>
      <c r="F944" s="4">
        <f>IFERROR(IF(C944&gt;0, D944/C944, 0),"-")</f>
        <v>1</v>
      </c>
      <c r="G944" s="34">
        <v>1</v>
      </c>
      <c r="H944" s="35" t="s">
        <v>959</v>
      </c>
      <c r="I944" s="34">
        <f>IF(OR(H944="-",H944="",H944=0),IF(G944="-","-",G944),G944-H944)</f>
        <v>1</v>
      </c>
      <c r="J944" s="4" t="str">
        <f>IFERROR(IF(G944&gt;0, H944/G944, 0),"-")</f>
        <v>-</v>
      </c>
      <c r="K944" s="34">
        <v>1</v>
      </c>
      <c r="L944" s="35" t="s">
        <v>959</v>
      </c>
      <c r="M944" s="34">
        <f>IF(OR(L944="-",L944="",L944=0),IF(K944="-","-",K944),K944-L944)</f>
        <v>1</v>
      </c>
      <c r="N944" s="4" t="str">
        <f>IFERROR(IF(K944&gt;0, L944/K944, 0),"-")</f>
        <v>-</v>
      </c>
      <c r="O944" s="34">
        <v>1</v>
      </c>
      <c r="P944" s="35" t="s">
        <v>959</v>
      </c>
      <c r="Q944" s="34">
        <f>IF(OR(P944="-",P944="",P944=0),IF(O944="-","-",O944),O944-P944)</f>
        <v>1</v>
      </c>
      <c r="R944" s="4" t="str">
        <f>IFERROR(IF(O944&gt;0, P944/O944, 0),"-")</f>
        <v>-</v>
      </c>
      <c r="S944" s="34">
        <v>274</v>
      </c>
      <c r="T944" s="34">
        <v>7</v>
      </c>
      <c r="U944" s="34">
        <v>24500</v>
      </c>
      <c r="V944" s="35" t="s">
        <v>959</v>
      </c>
      <c r="W944" s="35" t="s">
        <v>959</v>
      </c>
    </row>
    <row r="945" spans="1:23" x14ac:dyDescent="0.2">
      <c r="A945" s="30" t="s">
        <v>635</v>
      </c>
      <c r="B945" s="30" t="s">
        <v>1579</v>
      </c>
      <c r="C945" s="34">
        <v>148</v>
      </c>
      <c r="D945" s="35">
        <v>146</v>
      </c>
      <c r="E945" s="34">
        <f>IF(OR(D945="-",D945="",D945=0),IF(C945="-","-",C945),C945-D945)</f>
        <v>2</v>
      </c>
      <c r="F945" s="4">
        <f>IFERROR(IF(C945&gt;0, D945/C945, 0),"-")</f>
        <v>0.98648648648648651</v>
      </c>
      <c r="G945" s="34" t="s">
        <v>959</v>
      </c>
      <c r="H945" s="35" t="s">
        <v>959</v>
      </c>
      <c r="I945" s="34" t="str">
        <f>IF(OR(H945="-",H945="",H945=0),IF(G945="-","-",G945),G945-H945)</f>
        <v>-</v>
      </c>
      <c r="J945" s="4" t="str">
        <f>IFERROR(IF(G945&gt;0, H945/G945, 0),"-")</f>
        <v>-</v>
      </c>
      <c r="K945" s="34">
        <v>2</v>
      </c>
      <c r="L945" s="35" t="s">
        <v>959</v>
      </c>
      <c r="M945" s="34">
        <f>IF(OR(L945="-",L945="",L945=0),IF(K945="-","-",K945),K945-L945)</f>
        <v>2</v>
      </c>
      <c r="N945" s="4" t="str">
        <f>IFERROR(IF(K945&gt;0, L945/K945, 0),"-")</f>
        <v>-</v>
      </c>
      <c r="O945" s="34" t="s">
        <v>959</v>
      </c>
      <c r="P945" s="35" t="s">
        <v>959</v>
      </c>
      <c r="Q945" s="34" t="str">
        <f>IF(OR(P945="-",P945="",P945=0),IF(O945="-","-",O945),O945-P945)</f>
        <v>-</v>
      </c>
      <c r="R945" s="4" t="str">
        <f>IFERROR(IF(O945&gt;0, P945/O945, 0),"-")</f>
        <v>-</v>
      </c>
      <c r="S945" s="34">
        <v>146</v>
      </c>
      <c r="T945" s="34">
        <v>2</v>
      </c>
      <c r="U945" s="34">
        <v>5320</v>
      </c>
      <c r="V945" s="35" t="s">
        <v>959</v>
      </c>
      <c r="W945" s="35" t="s">
        <v>959</v>
      </c>
    </row>
    <row r="946" spans="1:23" x14ac:dyDescent="0.2">
      <c r="A946" s="30" t="s">
        <v>631</v>
      </c>
      <c r="B946" s="30" t="s">
        <v>1580</v>
      </c>
      <c r="C946" s="34">
        <v>177</v>
      </c>
      <c r="D946" s="35">
        <v>175</v>
      </c>
      <c r="E946" s="34">
        <f>IF(OR(D946="-",D946="",D946=0),IF(C946="-","-",C946),C946-D946)</f>
        <v>2</v>
      </c>
      <c r="F946" s="4">
        <f>IFERROR(IF(C946&gt;0, D946/C946, 0),"-")</f>
        <v>0.98870056497175141</v>
      </c>
      <c r="G946" s="34">
        <v>2</v>
      </c>
      <c r="H946" s="35" t="s">
        <v>959</v>
      </c>
      <c r="I946" s="34">
        <f>IF(OR(H946="-",H946="",H946=0),IF(G946="-","-",G946),G946-H946)</f>
        <v>2</v>
      </c>
      <c r="J946" s="4" t="str">
        <f>IFERROR(IF(G946&gt;0, H946/G946, 0),"-")</f>
        <v>-</v>
      </c>
      <c r="K946" s="34">
        <v>1</v>
      </c>
      <c r="L946" s="35" t="s">
        <v>959</v>
      </c>
      <c r="M946" s="34">
        <f>IF(OR(L946="-",L946="",L946=0),IF(K946="-","-",K946),K946-L946)</f>
        <v>1</v>
      </c>
      <c r="N946" s="4" t="str">
        <f>IFERROR(IF(K946&gt;0, L946/K946, 0),"-")</f>
        <v>-</v>
      </c>
      <c r="O946" s="34">
        <v>3</v>
      </c>
      <c r="P946" s="35" t="s">
        <v>959</v>
      </c>
      <c r="Q946" s="34">
        <f>IF(OR(P946="-",P946="",P946=0),IF(O946="-","-",O946),O946-P946)</f>
        <v>3</v>
      </c>
      <c r="R946" s="4" t="str">
        <f>IFERROR(IF(O946&gt;0, P946/O946, 0),"-")</f>
        <v>-</v>
      </c>
      <c r="S946" s="34">
        <v>115</v>
      </c>
      <c r="T946" s="34">
        <v>4</v>
      </c>
      <c r="U946" s="34">
        <v>6340</v>
      </c>
      <c r="V946" s="35" t="s">
        <v>959</v>
      </c>
      <c r="W946" s="35" t="s">
        <v>959</v>
      </c>
    </row>
    <row r="947" spans="1:23" x14ac:dyDescent="0.2">
      <c r="A947" s="30" t="s">
        <v>637</v>
      </c>
      <c r="B947" s="30" t="s">
        <v>1581</v>
      </c>
      <c r="C947" s="34">
        <v>98</v>
      </c>
      <c r="D947" s="35">
        <v>97</v>
      </c>
      <c r="E947" s="34">
        <f>IF(OR(D947="-",D947="",D947=0),IF(C947="-","-",C947),C947-D947)</f>
        <v>1</v>
      </c>
      <c r="F947" s="4">
        <f>IFERROR(IF(C947&gt;0, D947/C947, 0),"-")</f>
        <v>0.98979591836734693</v>
      </c>
      <c r="G947" s="34">
        <v>2</v>
      </c>
      <c r="H947" s="35">
        <v>1</v>
      </c>
      <c r="I947" s="34">
        <f>IF(OR(H947="-",H947="",H947=0),IF(G947="-","-",G947),G947-H947)</f>
        <v>1</v>
      </c>
      <c r="J947" s="4">
        <f>IFERROR(IF(G947&gt;0, H947/G947, 0),"-")</f>
        <v>0.5</v>
      </c>
      <c r="K947" s="34" t="s">
        <v>959</v>
      </c>
      <c r="L947" s="35" t="s">
        <v>959</v>
      </c>
      <c r="M947" s="34" t="str">
        <f>IF(OR(L947="-",L947="",L947=0),IF(K947="-","-",K947),K947-L947)</f>
        <v>-</v>
      </c>
      <c r="N947" s="4" t="str">
        <f>IFERROR(IF(K947&gt;0, L947/K947, 0),"-")</f>
        <v>-</v>
      </c>
      <c r="O947" s="34">
        <v>4</v>
      </c>
      <c r="P947" s="35">
        <v>1</v>
      </c>
      <c r="Q947" s="34">
        <f>IF(OR(P947="-",P947="",P947=0),IF(O947="-","-",O947),O947-P947)</f>
        <v>3</v>
      </c>
      <c r="R947" s="4">
        <f>IFERROR(IF(O947&gt;0, P947/O947, 0),"-")</f>
        <v>0.25</v>
      </c>
      <c r="S947" s="34">
        <v>157</v>
      </c>
      <c r="T947" s="34">
        <v>10</v>
      </c>
      <c r="U947" s="34">
        <v>12270</v>
      </c>
      <c r="V947" s="35" t="s">
        <v>959</v>
      </c>
      <c r="W947" s="35" t="s">
        <v>959</v>
      </c>
    </row>
    <row r="948" spans="1:23" x14ac:dyDescent="0.2">
      <c r="A948" s="30" t="s">
        <v>636</v>
      </c>
      <c r="B948" s="30" t="s">
        <v>1582</v>
      </c>
      <c r="C948" s="34">
        <v>155</v>
      </c>
      <c r="D948" s="35">
        <v>151</v>
      </c>
      <c r="E948" s="34">
        <f>IF(OR(D948="-",D948="",D948=0),IF(C948="-","-",C948),C948-D948)</f>
        <v>4</v>
      </c>
      <c r="F948" s="4">
        <f>IFERROR(IF(C948&gt;0, D948/C948, 0),"-")</f>
        <v>0.97419354838709682</v>
      </c>
      <c r="G948" s="34">
        <v>1</v>
      </c>
      <c r="H948" s="35" t="s">
        <v>959</v>
      </c>
      <c r="I948" s="34">
        <f>IF(OR(H948="-",H948="",H948=0),IF(G948="-","-",G948),G948-H948)</f>
        <v>1</v>
      </c>
      <c r="J948" s="4" t="str">
        <f>IFERROR(IF(G948&gt;0, H948/G948, 0),"-")</f>
        <v>-</v>
      </c>
      <c r="K948" s="34">
        <v>1</v>
      </c>
      <c r="L948" s="35" t="s">
        <v>959</v>
      </c>
      <c r="M948" s="34">
        <f>IF(OR(L948="-",L948="",L948=0),IF(K948="-","-",K948),K948-L948)</f>
        <v>1</v>
      </c>
      <c r="N948" s="4" t="str">
        <f>IFERROR(IF(K948&gt;0, L948/K948, 0),"-")</f>
        <v>-</v>
      </c>
      <c r="O948" s="34">
        <v>3</v>
      </c>
      <c r="P948" s="35">
        <v>1</v>
      </c>
      <c r="Q948" s="34">
        <f>IF(OR(P948="-",P948="",P948=0),IF(O948="-","-",O948),O948-P948)</f>
        <v>2</v>
      </c>
      <c r="R948" s="4">
        <f>IFERROR(IF(O948&gt;0, P948/O948, 0),"-")</f>
        <v>0.33333333333333331</v>
      </c>
      <c r="S948" s="34">
        <v>164</v>
      </c>
      <c r="T948" s="34">
        <v>6</v>
      </c>
      <c r="U948" s="34">
        <v>6695</v>
      </c>
      <c r="V948" s="35" t="s">
        <v>959</v>
      </c>
      <c r="W948" s="35" t="s">
        <v>959</v>
      </c>
    </row>
    <row r="949" spans="1:23" x14ac:dyDescent="0.2">
      <c r="A949" s="29"/>
      <c r="B949" s="29" t="s">
        <v>54</v>
      </c>
      <c r="C949" s="32">
        <v>1062</v>
      </c>
      <c r="D949" s="32">
        <v>1026</v>
      </c>
      <c r="E949" s="32">
        <f>IF(OR(D949="-",D949="",D949=0),IF(C949="-","-",C949),C949-D949)</f>
        <v>36</v>
      </c>
      <c r="F949" s="36">
        <f>IFERROR(IF(C949&gt;0, D949/C949, 0),"-")</f>
        <v>0.96610169491525422</v>
      </c>
      <c r="G949" s="32">
        <v>25</v>
      </c>
      <c r="H949" s="32">
        <v>6</v>
      </c>
      <c r="I949" s="32">
        <f>IF(OR(H949="-",H949="",H949=0),IF(G949="-","-",G949),G949-H949)</f>
        <v>19</v>
      </c>
      <c r="J949" s="36">
        <f>IFERROR(IF(G949&gt;0, H949/G949, 0),"-")</f>
        <v>0.24</v>
      </c>
      <c r="K949" s="32">
        <v>17</v>
      </c>
      <c r="L949" s="32">
        <v>3</v>
      </c>
      <c r="M949" s="32">
        <f>IF(OR(L949="-",L949="",L949=0),IF(K949="-","-",K949),K949-L949)</f>
        <v>14</v>
      </c>
      <c r="N949" s="36">
        <f>IFERROR(IF(K949&gt;0, L949/K949, 0),"-")</f>
        <v>0.17647058823529413</v>
      </c>
      <c r="O949" s="32">
        <v>27</v>
      </c>
      <c r="P949" s="32">
        <v>3</v>
      </c>
      <c r="Q949" s="32">
        <f>IF(OR(P949="-",P949="",P949=0),IF(O949="-","-",O949),O949-P949)</f>
        <v>24</v>
      </c>
      <c r="R949" s="36">
        <f>IFERROR(IF(O949&gt;0, P949/O949, 0),"-")</f>
        <v>0.1111111111111111</v>
      </c>
      <c r="S949" s="32">
        <v>788</v>
      </c>
      <c r="T949" s="32">
        <v>11</v>
      </c>
      <c r="U949" s="32">
        <v>21226</v>
      </c>
      <c r="V949" s="32">
        <v>3</v>
      </c>
      <c r="W949" s="32">
        <v>41355</v>
      </c>
    </row>
    <row r="950" spans="1:23" x14ac:dyDescent="0.2">
      <c r="A950" s="30" t="s">
        <v>331</v>
      </c>
      <c r="B950" s="30" t="s">
        <v>1583</v>
      </c>
      <c r="C950" s="34">
        <v>164</v>
      </c>
      <c r="D950" s="35">
        <v>162</v>
      </c>
      <c r="E950" s="34">
        <f>IF(OR(D950="-",D950="",D950=0),IF(C950="-","-",C950),C950-D950)</f>
        <v>2</v>
      </c>
      <c r="F950" s="4">
        <f>IFERROR(IF(C950&gt;0, D950/C950, 0),"-")</f>
        <v>0.98780487804878048</v>
      </c>
      <c r="G950" s="34">
        <v>4</v>
      </c>
      <c r="H950" s="35">
        <v>2</v>
      </c>
      <c r="I950" s="34">
        <f>IF(OR(H950="-",H950="",H950=0),IF(G950="-","-",G950),G950-H950)</f>
        <v>2</v>
      </c>
      <c r="J950" s="4">
        <f>IFERROR(IF(G950&gt;0, H950/G950, 0),"-")</f>
        <v>0.5</v>
      </c>
      <c r="K950" s="34">
        <v>2</v>
      </c>
      <c r="L950" s="35">
        <v>1</v>
      </c>
      <c r="M950" s="34">
        <f>IF(OR(L950="-",L950="",L950=0),IF(K950="-","-",K950),K950-L950)</f>
        <v>1</v>
      </c>
      <c r="N950" s="4">
        <f>IFERROR(IF(K950&gt;0, L950/K950, 0),"-")</f>
        <v>0.5</v>
      </c>
      <c r="O950" s="34">
        <v>8</v>
      </c>
      <c r="P950" s="35" t="s">
        <v>959</v>
      </c>
      <c r="Q950" s="34">
        <f>IF(OR(P950="-",P950="",P950=0),IF(O950="-","-",O950),O950-P950)</f>
        <v>8</v>
      </c>
      <c r="R950" s="4" t="str">
        <f>IFERROR(IF(O950&gt;0, P950/O950, 0),"-")</f>
        <v>-</v>
      </c>
      <c r="S950" s="34">
        <v>132</v>
      </c>
      <c r="T950" s="34">
        <v>2</v>
      </c>
      <c r="U950" s="34">
        <v>5040</v>
      </c>
      <c r="V950" s="35" t="s">
        <v>959</v>
      </c>
      <c r="W950" s="35" t="s">
        <v>959</v>
      </c>
    </row>
    <row r="951" spans="1:23" x14ac:dyDescent="0.2">
      <c r="A951" s="30" t="s">
        <v>335</v>
      </c>
      <c r="B951" s="30" t="s">
        <v>1584</v>
      </c>
      <c r="C951" s="34">
        <v>105</v>
      </c>
      <c r="D951" s="35">
        <v>102</v>
      </c>
      <c r="E951" s="34">
        <f>IF(OR(D951="-",D951="",D951=0),IF(C951="-","-",C951),C951-D951)</f>
        <v>3</v>
      </c>
      <c r="F951" s="4">
        <f>IFERROR(IF(C951&gt;0, D951/C951, 0),"-")</f>
        <v>0.97142857142857142</v>
      </c>
      <c r="G951" s="34" t="s">
        <v>959</v>
      </c>
      <c r="H951" s="35" t="s">
        <v>959</v>
      </c>
      <c r="I951" s="34" t="str">
        <f>IF(OR(H951="-",H951="",H951=0),IF(G951="-","-",G951),G951-H951)</f>
        <v>-</v>
      </c>
      <c r="J951" s="4" t="str">
        <f>IFERROR(IF(G951&gt;0, H951/G951, 0),"-")</f>
        <v>-</v>
      </c>
      <c r="K951" s="34">
        <v>2</v>
      </c>
      <c r="L951" s="35" t="s">
        <v>959</v>
      </c>
      <c r="M951" s="34">
        <f>IF(OR(L951="-",L951="",L951=0),IF(K951="-","-",K951),K951-L951)</f>
        <v>2</v>
      </c>
      <c r="N951" s="4" t="str">
        <f>IFERROR(IF(K951&gt;0, L951/K951, 0),"-")</f>
        <v>-</v>
      </c>
      <c r="O951" s="34">
        <v>2</v>
      </c>
      <c r="P951" s="35" t="s">
        <v>959</v>
      </c>
      <c r="Q951" s="34">
        <f>IF(OR(P951="-",P951="",P951=0),IF(O951="-","-",O951),O951-P951)</f>
        <v>2</v>
      </c>
      <c r="R951" s="4" t="str">
        <f>IFERROR(IF(O951&gt;0, P951/O951, 0),"-")</f>
        <v>-</v>
      </c>
      <c r="S951" s="34">
        <v>99</v>
      </c>
      <c r="T951" s="34">
        <v>1</v>
      </c>
      <c r="U951" s="34">
        <v>500</v>
      </c>
      <c r="V951" s="35" t="s">
        <v>959</v>
      </c>
      <c r="W951" s="35" t="s">
        <v>959</v>
      </c>
    </row>
    <row r="952" spans="1:23" x14ac:dyDescent="0.2">
      <c r="A952" s="30" t="s">
        <v>333</v>
      </c>
      <c r="B952" s="30" t="s">
        <v>1585</v>
      </c>
      <c r="C952" s="34">
        <v>206</v>
      </c>
      <c r="D952" s="35">
        <v>198</v>
      </c>
      <c r="E952" s="34">
        <f>IF(OR(D952="-",D952="",D952=0),IF(C952="-","-",C952),C952-D952)</f>
        <v>8</v>
      </c>
      <c r="F952" s="4">
        <f>IFERROR(IF(C952&gt;0, D952/C952, 0),"-")</f>
        <v>0.96116504854368934</v>
      </c>
      <c r="G952" s="34">
        <v>5</v>
      </c>
      <c r="H952" s="35">
        <v>1</v>
      </c>
      <c r="I952" s="34">
        <f>IF(OR(H952="-",H952="",H952=0),IF(G952="-","-",G952),G952-H952)</f>
        <v>4</v>
      </c>
      <c r="J952" s="4">
        <f>IFERROR(IF(G952&gt;0, H952/G952, 0),"-")</f>
        <v>0.2</v>
      </c>
      <c r="K952" s="34">
        <v>2</v>
      </c>
      <c r="L952" s="35">
        <v>1</v>
      </c>
      <c r="M952" s="34">
        <f>IF(OR(L952="-",L952="",L952=0),IF(K952="-","-",K952),K952-L952)</f>
        <v>1</v>
      </c>
      <c r="N952" s="4">
        <f>IFERROR(IF(K952&gt;0, L952/K952, 0),"-")</f>
        <v>0.5</v>
      </c>
      <c r="O952" s="34">
        <v>4</v>
      </c>
      <c r="P952" s="35" t="s">
        <v>959</v>
      </c>
      <c r="Q952" s="34">
        <f>IF(OR(P952="-",P952="",P952=0),IF(O952="-","-",O952),O952-P952)</f>
        <v>4</v>
      </c>
      <c r="R952" s="4" t="str">
        <f>IFERROR(IF(O952&gt;0, P952/O952, 0),"-")</f>
        <v>-</v>
      </c>
      <c r="S952" s="34">
        <v>122</v>
      </c>
      <c r="T952" s="34">
        <v>1</v>
      </c>
      <c r="U952" s="34">
        <v>3286</v>
      </c>
      <c r="V952" s="35" t="s">
        <v>959</v>
      </c>
      <c r="W952" s="35" t="s">
        <v>959</v>
      </c>
    </row>
    <row r="953" spans="1:23" x14ac:dyDescent="0.2">
      <c r="A953" s="30" t="s">
        <v>334</v>
      </c>
      <c r="B953" s="30" t="s">
        <v>1586</v>
      </c>
      <c r="C953" s="34">
        <v>168</v>
      </c>
      <c r="D953" s="35">
        <v>165</v>
      </c>
      <c r="E953" s="34">
        <f>IF(OR(D953="-",D953="",D953=0),IF(C953="-","-",C953),C953-D953)</f>
        <v>3</v>
      </c>
      <c r="F953" s="4">
        <f>IFERROR(IF(C953&gt;0, D953/C953, 0),"-")</f>
        <v>0.9821428571428571</v>
      </c>
      <c r="G953" s="34">
        <v>4</v>
      </c>
      <c r="H953" s="35">
        <v>1</v>
      </c>
      <c r="I953" s="34">
        <f>IF(OR(H953="-",H953="",H953=0),IF(G953="-","-",G953),G953-H953)</f>
        <v>3</v>
      </c>
      <c r="J953" s="4">
        <f>IFERROR(IF(G953&gt;0, H953/G953, 0),"-")</f>
        <v>0.25</v>
      </c>
      <c r="K953" s="34">
        <v>2</v>
      </c>
      <c r="L953" s="35">
        <v>1</v>
      </c>
      <c r="M953" s="34">
        <f>IF(OR(L953="-",L953="",L953=0),IF(K953="-","-",K953),K953-L953)</f>
        <v>1</v>
      </c>
      <c r="N953" s="4">
        <f>IFERROR(IF(K953&gt;0, L953/K953, 0),"-")</f>
        <v>0.5</v>
      </c>
      <c r="O953" s="34" t="s">
        <v>959</v>
      </c>
      <c r="P953" s="35" t="s">
        <v>959</v>
      </c>
      <c r="Q953" s="34" t="str">
        <f>IF(OR(P953="-",P953="",P953=0),IF(O953="-","-",O953),O953-P953)</f>
        <v>-</v>
      </c>
      <c r="R953" s="4" t="str">
        <f>IFERROR(IF(O953&gt;0, P953/O953, 0),"-")</f>
        <v>-</v>
      </c>
      <c r="S953" s="34">
        <v>141</v>
      </c>
      <c r="T953" s="34">
        <v>5</v>
      </c>
      <c r="U953" s="34">
        <v>7000</v>
      </c>
      <c r="V953" s="35">
        <v>1</v>
      </c>
      <c r="W953" s="35">
        <v>3860</v>
      </c>
    </row>
    <row r="954" spans="1:23" x14ac:dyDescent="0.2">
      <c r="A954" s="30" t="s">
        <v>336</v>
      </c>
      <c r="B954" s="30" t="s">
        <v>1587</v>
      </c>
      <c r="C954" s="34">
        <v>185</v>
      </c>
      <c r="D954" s="35">
        <v>174</v>
      </c>
      <c r="E954" s="34">
        <f>IF(OR(D954="-",D954="",D954=0),IF(C954="-","-",C954),C954-D954)</f>
        <v>11</v>
      </c>
      <c r="F954" s="4">
        <f>IFERROR(IF(C954&gt;0, D954/C954, 0),"-")</f>
        <v>0.94054054054054059</v>
      </c>
      <c r="G954" s="34">
        <v>4</v>
      </c>
      <c r="H954" s="35" t="s">
        <v>959</v>
      </c>
      <c r="I954" s="34">
        <f>IF(OR(H954="-",H954="",H954=0),IF(G954="-","-",G954),G954-H954)</f>
        <v>4</v>
      </c>
      <c r="J954" s="4" t="str">
        <f>IFERROR(IF(G954&gt;0, H954/G954, 0),"-")</f>
        <v>-</v>
      </c>
      <c r="K954" s="34">
        <v>7</v>
      </c>
      <c r="L954" s="35" t="s">
        <v>959</v>
      </c>
      <c r="M954" s="34">
        <f>IF(OR(L954="-",L954="",L954=0),IF(K954="-","-",K954),K954-L954)</f>
        <v>7</v>
      </c>
      <c r="N954" s="4" t="str">
        <f>IFERROR(IF(K954&gt;0, L954/K954, 0),"-")</f>
        <v>-</v>
      </c>
      <c r="O954" s="34">
        <v>4</v>
      </c>
      <c r="P954" s="35" t="s">
        <v>959</v>
      </c>
      <c r="Q954" s="34">
        <f>IF(OR(P954="-",P954="",P954=0),IF(O954="-","-",O954),O954-P954)</f>
        <v>4</v>
      </c>
      <c r="R954" s="4" t="str">
        <f>IFERROR(IF(O954&gt;0, P954/O954, 0),"-")</f>
        <v>-</v>
      </c>
      <c r="S954" s="34">
        <v>132</v>
      </c>
      <c r="T954" s="34" t="s">
        <v>959</v>
      </c>
      <c r="U954" s="34" t="s">
        <v>959</v>
      </c>
      <c r="V954" s="35">
        <v>2</v>
      </c>
      <c r="W954" s="35">
        <v>37495</v>
      </c>
    </row>
    <row r="955" spans="1:23" x14ac:dyDescent="0.2">
      <c r="A955" s="30" t="s">
        <v>332</v>
      </c>
      <c r="B955" s="30" t="s">
        <v>1588</v>
      </c>
      <c r="C955" s="34">
        <v>234</v>
      </c>
      <c r="D955" s="35">
        <v>225</v>
      </c>
      <c r="E955" s="34">
        <f>IF(OR(D955="-",D955="",D955=0),IF(C955="-","-",C955),C955-D955)</f>
        <v>9</v>
      </c>
      <c r="F955" s="4">
        <f>IFERROR(IF(C955&gt;0, D955/C955, 0),"-")</f>
        <v>0.96153846153846156</v>
      </c>
      <c r="G955" s="34">
        <v>8</v>
      </c>
      <c r="H955" s="35">
        <v>2</v>
      </c>
      <c r="I955" s="34">
        <f>IF(OR(H955="-",H955="",H955=0),IF(G955="-","-",G955),G955-H955)</f>
        <v>6</v>
      </c>
      <c r="J955" s="4">
        <f>IFERROR(IF(G955&gt;0, H955/G955, 0),"-")</f>
        <v>0.25</v>
      </c>
      <c r="K955" s="34">
        <v>2</v>
      </c>
      <c r="L955" s="35" t="s">
        <v>959</v>
      </c>
      <c r="M955" s="34">
        <f>IF(OR(L955="-",L955="",L955=0),IF(K955="-","-",K955),K955-L955)</f>
        <v>2</v>
      </c>
      <c r="N955" s="4" t="str">
        <f>IFERROR(IF(K955&gt;0, L955/K955, 0),"-")</f>
        <v>-</v>
      </c>
      <c r="O955" s="34">
        <v>9</v>
      </c>
      <c r="P955" s="35">
        <v>3</v>
      </c>
      <c r="Q955" s="34">
        <f>IF(OR(P955="-",P955="",P955=0),IF(O955="-","-",O955),O955-P955)</f>
        <v>6</v>
      </c>
      <c r="R955" s="4">
        <f>IFERROR(IF(O955&gt;0, P955/O955, 0),"-")</f>
        <v>0.33333333333333331</v>
      </c>
      <c r="S955" s="34">
        <v>162</v>
      </c>
      <c r="T955" s="34">
        <v>2</v>
      </c>
      <c r="U955" s="34">
        <v>5400</v>
      </c>
      <c r="V955" s="35" t="s">
        <v>959</v>
      </c>
      <c r="W955" s="35" t="s">
        <v>959</v>
      </c>
    </row>
    <row r="956" spans="1:23" x14ac:dyDescent="0.2">
      <c r="A956" s="29"/>
      <c r="B956" s="29" t="s">
        <v>62</v>
      </c>
      <c r="C956" s="32">
        <v>1756</v>
      </c>
      <c r="D956" s="32">
        <v>1738</v>
      </c>
      <c r="E956" s="32">
        <f>IF(OR(D956="-",D956="",D956=0),IF(C956="-","-",C956),C956-D956)</f>
        <v>18</v>
      </c>
      <c r="F956" s="36">
        <f>IFERROR(IF(C956&gt;0, D956/C956, 0),"-")</f>
        <v>0.98974943052391795</v>
      </c>
      <c r="G956" s="32">
        <v>33</v>
      </c>
      <c r="H956" s="32">
        <v>11</v>
      </c>
      <c r="I956" s="32">
        <f>IF(OR(H956="-",H956="",H956=0),IF(G956="-","-",G956),G956-H956)</f>
        <v>22</v>
      </c>
      <c r="J956" s="36">
        <f>IFERROR(IF(G956&gt;0, H956/G956, 0),"-")</f>
        <v>0.33333333333333331</v>
      </c>
      <c r="K956" s="32">
        <v>25</v>
      </c>
      <c r="L956" s="32">
        <v>4</v>
      </c>
      <c r="M956" s="32">
        <f>IF(OR(L956="-",L956="",L956=0),IF(K956="-","-",K956),K956-L956)</f>
        <v>21</v>
      </c>
      <c r="N956" s="36">
        <f>IFERROR(IF(K956&gt;0, L956/K956, 0),"-")</f>
        <v>0.16</v>
      </c>
      <c r="O956" s="32">
        <v>26</v>
      </c>
      <c r="P956" s="32">
        <v>2</v>
      </c>
      <c r="Q956" s="32">
        <f>IF(OR(P956="-",P956="",P956=0),IF(O956="-","-",O956),O956-P956)</f>
        <v>24</v>
      </c>
      <c r="R956" s="36">
        <f>IFERROR(IF(O956&gt;0, P956/O956, 0),"-")</f>
        <v>7.6923076923076927E-2</v>
      </c>
      <c r="S956" s="32">
        <v>936</v>
      </c>
      <c r="T956" s="32">
        <v>26</v>
      </c>
      <c r="U956" s="32">
        <v>53690</v>
      </c>
      <c r="V956" s="32">
        <v>17</v>
      </c>
      <c r="W956" s="32">
        <v>332108</v>
      </c>
    </row>
    <row r="957" spans="1:23" x14ac:dyDescent="0.2">
      <c r="A957" s="30" t="s">
        <v>396</v>
      </c>
      <c r="B957" s="30" t="s">
        <v>1589</v>
      </c>
      <c r="C957" s="34">
        <v>419</v>
      </c>
      <c r="D957" s="35">
        <v>416</v>
      </c>
      <c r="E957" s="34">
        <f>IF(OR(D957="-",D957="",D957=0),IF(C957="-","-",C957),C957-D957)</f>
        <v>3</v>
      </c>
      <c r="F957" s="4">
        <f>IFERROR(IF(C957&gt;0, D957/C957, 0),"-")</f>
        <v>0.99284009546539376</v>
      </c>
      <c r="G957" s="34">
        <v>6</v>
      </c>
      <c r="H957" s="35">
        <v>3</v>
      </c>
      <c r="I957" s="34">
        <f>IF(OR(H957="-",H957="",H957=0),IF(G957="-","-",G957),G957-H957)</f>
        <v>3</v>
      </c>
      <c r="J957" s="4">
        <f>IFERROR(IF(G957&gt;0, H957/G957, 0),"-")</f>
        <v>0.5</v>
      </c>
      <c r="K957" s="34">
        <v>3</v>
      </c>
      <c r="L957" s="35" t="s">
        <v>959</v>
      </c>
      <c r="M957" s="34">
        <f>IF(OR(L957="-",L957="",L957=0),IF(K957="-","-",K957),K957-L957)</f>
        <v>3</v>
      </c>
      <c r="N957" s="4" t="str">
        <f>IFERROR(IF(K957&gt;0, L957/K957, 0),"-")</f>
        <v>-</v>
      </c>
      <c r="O957" s="34">
        <v>2</v>
      </c>
      <c r="P957" s="35" t="s">
        <v>959</v>
      </c>
      <c r="Q957" s="34">
        <f>IF(OR(P957="-",P957="",P957=0),IF(O957="-","-",O957),O957-P957)</f>
        <v>2</v>
      </c>
      <c r="R957" s="4" t="str">
        <f>IFERROR(IF(O957&gt;0, P957/O957, 0),"-")</f>
        <v>-</v>
      </c>
      <c r="S957" s="34">
        <v>222</v>
      </c>
      <c r="T957" s="34">
        <v>6</v>
      </c>
      <c r="U957" s="34">
        <v>31060</v>
      </c>
      <c r="V957" s="35">
        <v>3</v>
      </c>
      <c r="W957" s="35">
        <v>54564</v>
      </c>
    </row>
    <row r="958" spans="1:23" x14ac:dyDescent="0.2">
      <c r="A958" s="30" t="s">
        <v>398</v>
      </c>
      <c r="B958" s="30" t="s">
        <v>1590</v>
      </c>
      <c r="C958" s="34">
        <v>173</v>
      </c>
      <c r="D958" s="35">
        <v>168</v>
      </c>
      <c r="E958" s="34">
        <f>IF(OR(D958="-",D958="",D958=0),IF(C958="-","-",C958),C958-D958)</f>
        <v>5</v>
      </c>
      <c r="F958" s="4">
        <f>IFERROR(IF(C958&gt;0, D958/C958, 0),"-")</f>
        <v>0.97109826589595372</v>
      </c>
      <c r="G958" s="34">
        <v>1</v>
      </c>
      <c r="H958" s="35" t="s">
        <v>959</v>
      </c>
      <c r="I958" s="34">
        <f>IF(OR(H958="-",H958="",H958=0),IF(G958="-","-",G958),G958-H958)</f>
        <v>1</v>
      </c>
      <c r="J958" s="4" t="str">
        <f>IFERROR(IF(G958&gt;0, H958/G958, 0),"-")</f>
        <v>-</v>
      </c>
      <c r="K958" s="34">
        <v>2</v>
      </c>
      <c r="L958" s="35" t="s">
        <v>959</v>
      </c>
      <c r="M958" s="34">
        <f>IF(OR(L958="-",L958="",L958=0),IF(K958="-","-",K958),K958-L958)</f>
        <v>2</v>
      </c>
      <c r="N958" s="4" t="str">
        <f>IFERROR(IF(K958&gt;0, L958/K958, 0),"-")</f>
        <v>-</v>
      </c>
      <c r="O958" s="34">
        <v>4</v>
      </c>
      <c r="P958" s="35" t="s">
        <v>959</v>
      </c>
      <c r="Q958" s="34">
        <f>IF(OR(P958="-",P958="",P958=0),IF(O958="-","-",O958),O958-P958)</f>
        <v>4</v>
      </c>
      <c r="R958" s="4" t="str">
        <f>IFERROR(IF(O958&gt;0, P958/O958, 0),"-")</f>
        <v>-</v>
      </c>
      <c r="S958" s="34">
        <v>56</v>
      </c>
      <c r="T958" s="34" t="s">
        <v>959</v>
      </c>
      <c r="U958" s="34" t="s">
        <v>959</v>
      </c>
      <c r="V958" s="35">
        <v>2</v>
      </c>
      <c r="W958" s="35">
        <v>47473</v>
      </c>
    </row>
    <row r="959" spans="1:23" x14ac:dyDescent="0.2">
      <c r="A959" s="30" t="s">
        <v>397</v>
      </c>
      <c r="B959" s="30" t="s">
        <v>1591</v>
      </c>
      <c r="C959" s="34">
        <v>437</v>
      </c>
      <c r="D959" s="35">
        <v>435</v>
      </c>
      <c r="E959" s="34">
        <f>IF(OR(D959="-",D959="",D959=0),IF(C959="-","-",C959),C959-D959)</f>
        <v>2</v>
      </c>
      <c r="F959" s="4">
        <f>IFERROR(IF(C959&gt;0, D959/C959, 0),"-")</f>
        <v>0.99542334096109841</v>
      </c>
      <c r="G959" s="34">
        <v>13</v>
      </c>
      <c r="H959" s="35">
        <v>3</v>
      </c>
      <c r="I959" s="34">
        <f>IF(OR(H959="-",H959="",H959=0),IF(G959="-","-",G959),G959-H959)</f>
        <v>10</v>
      </c>
      <c r="J959" s="4">
        <f>IFERROR(IF(G959&gt;0, H959/G959, 0),"-")</f>
        <v>0.23076923076923078</v>
      </c>
      <c r="K959" s="34">
        <v>9</v>
      </c>
      <c r="L959" s="35">
        <v>2</v>
      </c>
      <c r="M959" s="34">
        <f>IF(OR(L959="-",L959="",L959=0),IF(K959="-","-",K959),K959-L959)</f>
        <v>7</v>
      </c>
      <c r="N959" s="4">
        <f>IFERROR(IF(K959&gt;0, L959/K959, 0),"-")</f>
        <v>0.22222222222222221</v>
      </c>
      <c r="O959" s="34">
        <v>2</v>
      </c>
      <c r="P959" s="35" t="s">
        <v>959</v>
      </c>
      <c r="Q959" s="34">
        <f>IF(OR(P959="-",P959="",P959=0),IF(O959="-","-",O959),O959-P959)</f>
        <v>2</v>
      </c>
      <c r="R959" s="4" t="str">
        <f>IFERROR(IF(O959&gt;0, P959/O959, 0),"-")</f>
        <v>-</v>
      </c>
      <c r="S959" s="34">
        <v>145</v>
      </c>
      <c r="T959" s="34">
        <v>2</v>
      </c>
      <c r="U959" s="34">
        <v>5390</v>
      </c>
      <c r="V959" s="35">
        <v>3</v>
      </c>
      <c r="W959" s="35">
        <v>47483</v>
      </c>
    </row>
    <row r="960" spans="1:23" x14ac:dyDescent="0.2">
      <c r="A960" s="30" t="s">
        <v>394</v>
      </c>
      <c r="B960" s="30" t="s">
        <v>1592</v>
      </c>
      <c r="C960" s="34">
        <v>355</v>
      </c>
      <c r="D960" s="35">
        <v>350</v>
      </c>
      <c r="E960" s="34">
        <f>IF(OR(D960="-",D960="",D960=0),IF(C960="-","-",C960),C960-D960)</f>
        <v>5</v>
      </c>
      <c r="F960" s="4">
        <f>IFERROR(IF(C960&gt;0, D960/C960, 0),"-")</f>
        <v>0.9859154929577465</v>
      </c>
      <c r="G960" s="34">
        <v>10</v>
      </c>
      <c r="H960" s="35">
        <v>4</v>
      </c>
      <c r="I960" s="34">
        <f>IF(OR(H960="-",H960="",H960=0),IF(G960="-","-",G960),G960-H960)</f>
        <v>6</v>
      </c>
      <c r="J960" s="4">
        <f>IFERROR(IF(G960&gt;0, H960/G960, 0),"-")</f>
        <v>0.4</v>
      </c>
      <c r="K960" s="34">
        <v>6</v>
      </c>
      <c r="L960" s="35">
        <v>2</v>
      </c>
      <c r="M960" s="34">
        <f>IF(OR(L960="-",L960="",L960=0),IF(K960="-","-",K960),K960-L960)</f>
        <v>4</v>
      </c>
      <c r="N960" s="4">
        <f>IFERROR(IF(K960&gt;0, L960/K960, 0),"-")</f>
        <v>0.33333333333333331</v>
      </c>
      <c r="O960" s="34">
        <v>8</v>
      </c>
      <c r="P960" s="35">
        <v>1</v>
      </c>
      <c r="Q960" s="34">
        <f>IF(OR(P960="-",P960="",P960=0),IF(O960="-","-",O960),O960-P960)</f>
        <v>7</v>
      </c>
      <c r="R960" s="4">
        <f>IFERROR(IF(O960&gt;0, P960/O960, 0),"-")</f>
        <v>0.125</v>
      </c>
      <c r="S960" s="34">
        <v>262</v>
      </c>
      <c r="T960" s="34">
        <v>17</v>
      </c>
      <c r="U960" s="34">
        <v>15240</v>
      </c>
      <c r="V960" s="35">
        <v>9</v>
      </c>
      <c r="W960" s="35">
        <v>182588</v>
      </c>
    </row>
    <row r="961" spans="1:23" x14ac:dyDescent="0.2">
      <c r="A961" s="30" t="s">
        <v>395</v>
      </c>
      <c r="B961" s="30" t="s">
        <v>1593</v>
      </c>
      <c r="C961" s="34">
        <v>372</v>
      </c>
      <c r="D961" s="35">
        <v>369</v>
      </c>
      <c r="E961" s="34">
        <f>IF(OR(D961="-",D961="",D961=0),IF(C961="-","-",C961),C961-D961)</f>
        <v>3</v>
      </c>
      <c r="F961" s="4">
        <f>IFERROR(IF(C961&gt;0, D961/C961, 0),"-")</f>
        <v>0.99193548387096775</v>
      </c>
      <c r="G961" s="34">
        <v>3</v>
      </c>
      <c r="H961" s="35">
        <v>1</v>
      </c>
      <c r="I961" s="34">
        <f>IF(OR(H961="-",H961="",H961=0),IF(G961="-","-",G961),G961-H961)</f>
        <v>2</v>
      </c>
      <c r="J961" s="4">
        <f>IFERROR(IF(G961&gt;0, H961/G961, 0),"-")</f>
        <v>0.33333333333333331</v>
      </c>
      <c r="K961" s="34">
        <v>5</v>
      </c>
      <c r="L961" s="35" t="s">
        <v>959</v>
      </c>
      <c r="M961" s="34">
        <f>IF(OR(L961="-",L961="",L961=0),IF(K961="-","-",K961),K961-L961)</f>
        <v>5</v>
      </c>
      <c r="N961" s="4" t="str">
        <f>IFERROR(IF(K961&gt;0, L961/K961, 0),"-")</f>
        <v>-</v>
      </c>
      <c r="O961" s="34">
        <v>10</v>
      </c>
      <c r="P961" s="35">
        <v>1</v>
      </c>
      <c r="Q961" s="34">
        <f>IF(OR(P961="-",P961="",P961=0),IF(O961="-","-",O961),O961-P961)</f>
        <v>9</v>
      </c>
      <c r="R961" s="4">
        <f>IFERROR(IF(O961&gt;0, P961/O961, 0),"-")</f>
        <v>0.1</v>
      </c>
      <c r="S961" s="34">
        <v>251</v>
      </c>
      <c r="T961" s="34">
        <v>1</v>
      </c>
      <c r="U961" s="34">
        <v>2000</v>
      </c>
      <c r="V961" s="35" t="s">
        <v>959</v>
      </c>
      <c r="W961" s="35" t="s">
        <v>959</v>
      </c>
    </row>
    <row r="962" spans="1:23" x14ac:dyDescent="0.2">
      <c r="A962" s="29"/>
      <c r="B962" s="29" t="s">
        <v>106</v>
      </c>
      <c r="C962" s="32">
        <v>1126</v>
      </c>
      <c r="D962" s="32">
        <v>1113</v>
      </c>
      <c r="E962" s="32">
        <f>IF(OR(D962="-",D962="",D962=0),IF(C962="-","-",C962),C962-D962)</f>
        <v>13</v>
      </c>
      <c r="F962" s="36">
        <f>IFERROR(IF(C962&gt;0, D962/C962, 0),"-")</f>
        <v>0.98845470692717585</v>
      </c>
      <c r="G962" s="32">
        <v>14</v>
      </c>
      <c r="H962" s="32">
        <v>3</v>
      </c>
      <c r="I962" s="32">
        <f>IF(OR(H962="-",H962="",H962=0),IF(G962="-","-",G962),G962-H962)</f>
        <v>11</v>
      </c>
      <c r="J962" s="36">
        <f>IFERROR(IF(G962&gt;0, H962/G962, 0),"-")</f>
        <v>0.21428571428571427</v>
      </c>
      <c r="K962" s="32">
        <v>13</v>
      </c>
      <c r="L962" s="32">
        <v>1</v>
      </c>
      <c r="M962" s="32">
        <f>IF(OR(L962="-",L962="",L962=0),IF(K962="-","-",K962),K962-L962)</f>
        <v>12</v>
      </c>
      <c r="N962" s="36">
        <f>IFERROR(IF(K962&gt;0, L962/K962, 0),"-")</f>
        <v>7.6923076923076927E-2</v>
      </c>
      <c r="O962" s="32">
        <v>34</v>
      </c>
      <c r="P962" s="32">
        <v>3</v>
      </c>
      <c r="Q962" s="32">
        <f>IF(OR(P962="-",P962="",P962=0),IF(O962="-","-",O962),O962-P962)</f>
        <v>31</v>
      </c>
      <c r="R962" s="36">
        <f>IFERROR(IF(O962&gt;0, P962/O962, 0),"-")</f>
        <v>8.8235294117647065E-2</v>
      </c>
      <c r="S962" s="32">
        <v>866</v>
      </c>
      <c r="T962" s="32">
        <v>34</v>
      </c>
      <c r="U962" s="32">
        <v>69205</v>
      </c>
      <c r="V962" s="32">
        <v>6</v>
      </c>
      <c r="W962" s="32">
        <v>197275</v>
      </c>
    </row>
    <row r="963" spans="1:23" x14ac:dyDescent="0.2">
      <c r="A963" s="30" t="s">
        <v>766</v>
      </c>
      <c r="B963" s="30" t="s">
        <v>1594</v>
      </c>
      <c r="C963" s="34">
        <v>116</v>
      </c>
      <c r="D963" s="35">
        <v>115</v>
      </c>
      <c r="E963" s="34">
        <f>IF(OR(D963="-",D963="",D963=0),IF(C963="-","-",C963),C963-D963)</f>
        <v>1</v>
      </c>
      <c r="F963" s="4">
        <f>IFERROR(IF(C963&gt;0, D963/C963, 0),"-")</f>
        <v>0.99137931034482762</v>
      </c>
      <c r="G963" s="34">
        <v>1</v>
      </c>
      <c r="H963" s="35" t="s">
        <v>959</v>
      </c>
      <c r="I963" s="34">
        <f>IF(OR(H963="-",H963="",H963=0),IF(G963="-","-",G963),G963-H963)</f>
        <v>1</v>
      </c>
      <c r="J963" s="4" t="str">
        <f>IFERROR(IF(G963&gt;0, H963/G963, 0),"-")</f>
        <v>-</v>
      </c>
      <c r="K963" s="34" t="s">
        <v>959</v>
      </c>
      <c r="L963" s="35" t="s">
        <v>959</v>
      </c>
      <c r="M963" s="34" t="str">
        <f>IF(OR(L963="-",L963="",L963=0),IF(K963="-","-",K963),K963-L963)</f>
        <v>-</v>
      </c>
      <c r="N963" s="4" t="str">
        <f>IFERROR(IF(K963&gt;0, L963/K963, 0),"-")</f>
        <v>-</v>
      </c>
      <c r="O963" s="34">
        <v>2</v>
      </c>
      <c r="P963" s="35" t="s">
        <v>959</v>
      </c>
      <c r="Q963" s="34">
        <f>IF(OR(P963="-",P963="",P963=0),IF(O963="-","-",O963),O963-P963)</f>
        <v>2</v>
      </c>
      <c r="R963" s="4" t="str">
        <f>IFERROR(IF(O963&gt;0, P963/O963, 0),"-")</f>
        <v>-</v>
      </c>
      <c r="S963" s="34">
        <v>133</v>
      </c>
      <c r="T963" s="34">
        <v>3</v>
      </c>
      <c r="U963" s="34">
        <v>1600</v>
      </c>
      <c r="V963" s="35">
        <v>1</v>
      </c>
      <c r="W963" s="35">
        <v>33329</v>
      </c>
    </row>
    <row r="964" spans="1:23" x14ac:dyDescent="0.2">
      <c r="A964" s="30" t="s">
        <v>762</v>
      </c>
      <c r="B964" s="30" t="s">
        <v>1595</v>
      </c>
      <c r="C964" s="34">
        <v>210</v>
      </c>
      <c r="D964" s="35">
        <v>207</v>
      </c>
      <c r="E964" s="34">
        <f>IF(OR(D964="-",D964="",D964=0),IF(C964="-","-",C964),C964-D964)</f>
        <v>3</v>
      </c>
      <c r="F964" s="4">
        <f>IFERROR(IF(C964&gt;0, D964/C964, 0),"-")</f>
        <v>0.98571428571428577</v>
      </c>
      <c r="G964" s="34">
        <v>5</v>
      </c>
      <c r="H964" s="35">
        <v>1</v>
      </c>
      <c r="I964" s="34">
        <f>IF(OR(H964="-",H964="",H964=0),IF(G964="-","-",G964),G964-H964)</f>
        <v>4</v>
      </c>
      <c r="J964" s="4">
        <f>IFERROR(IF(G964&gt;0, H964/G964, 0),"-")</f>
        <v>0.2</v>
      </c>
      <c r="K964" s="34">
        <v>2</v>
      </c>
      <c r="L964" s="35" t="s">
        <v>959</v>
      </c>
      <c r="M964" s="34">
        <f>IF(OR(L964="-",L964="",L964=0),IF(K964="-","-",K964),K964-L964)</f>
        <v>2</v>
      </c>
      <c r="N964" s="4" t="str">
        <f>IFERROR(IF(K964&gt;0, L964/K964, 0),"-")</f>
        <v>-</v>
      </c>
      <c r="O964" s="34">
        <v>2</v>
      </c>
      <c r="P964" s="35" t="s">
        <v>959</v>
      </c>
      <c r="Q964" s="34">
        <f>IF(OR(P964="-",P964="",P964=0),IF(O964="-","-",O964),O964-P964)</f>
        <v>2</v>
      </c>
      <c r="R964" s="4" t="str">
        <f>IFERROR(IF(O964&gt;0, P964/O964, 0),"-")</f>
        <v>-</v>
      </c>
      <c r="S964" s="34">
        <v>207</v>
      </c>
      <c r="T964" s="34">
        <v>10</v>
      </c>
      <c r="U964" s="34">
        <v>13005</v>
      </c>
      <c r="V964" s="35">
        <v>1</v>
      </c>
      <c r="W964" s="35">
        <v>22019</v>
      </c>
    </row>
    <row r="965" spans="1:23" x14ac:dyDescent="0.2">
      <c r="A965" s="30" t="s">
        <v>765</v>
      </c>
      <c r="B965" s="30" t="s">
        <v>1596</v>
      </c>
      <c r="C965" s="34">
        <v>57</v>
      </c>
      <c r="D965" s="35">
        <v>54</v>
      </c>
      <c r="E965" s="34">
        <f>IF(OR(D965="-",D965="",D965=0),IF(C965="-","-",C965),C965-D965)</f>
        <v>3</v>
      </c>
      <c r="F965" s="4">
        <f>IFERROR(IF(C965&gt;0, D965/C965, 0),"-")</f>
        <v>0.94736842105263153</v>
      </c>
      <c r="G965" s="34">
        <v>1</v>
      </c>
      <c r="H965" s="35" t="s">
        <v>959</v>
      </c>
      <c r="I965" s="34">
        <f>IF(OR(H965="-",H965="",H965=0),IF(G965="-","-",G965),G965-H965)</f>
        <v>1</v>
      </c>
      <c r="J965" s="4" t="str">
        <f>IFERROR(IF(G965&gt;0, H965/G965, 0),"-")</f>
        <v>-</v>
      </c>
      <c r="K965" s="34">
        <v>1</v>
      </c>
      <c r="L965" s="35" t="s">
        <v>959</v>
      </c>
      <c r="M965" s="34">
        <f>IF(OR(L965="-",L965="",L965=0),IF(K965="-","-",K965),K965-L965)</f>
        <v>1</v>
      </c>
      <c r="N965" s="4" t="str">
        <f>IFERROR(IF(K965&gt;0, L965/K965, 0),"-")</f>
        <v>-</v>
      </c>
      <c r="O965" s="34">
        <v>3</v>
      </c>
      <c r="P965" s="35">
        <v>1</v>
      </c>
      <c r="Q965" s="34">
        <f>IF(OR(P965="-",P965="",P965=0),IF(O965="-","-",O965),O965-P965)</f>
        <v>2</v>
      </c>
      <c r="R965" s="4">
        <f>IFERROR(IF(O965&gt;0, P965/O965, 0),"-")</f>
        <v>0.33333333333333331</v>
      </c>
      <c r="S965" s="34">
        <v>40</v>
      </c>
      <c r="T965" s="34">
        <v>8</v>
      </c>
      <c r="U965" s="34">
        <v>4700</v>
      </c>
      <c r="V965" s="35">
        <v>1</v>
      </c>
      <c r="W965" s="35">
        <v>35588</v>
      </c>
    </row>
    <row r="966" spans="1:23" x14ac:dyDescent="0.2">
      <c r="A966" s="30" t="s">
        <v>764</v>
      </c>
      <c r="B966" s="30" t="s">
        <v>1597</v>
      </c>
      <c r="C966" s="34">
        <v>211</v>
      </c>
      <c r="D966" s="35">
        <v>208</v>
      </c>
      <c r="E966" s="34">
        <f>IF(OR(D966="-",D966="",D966=0),IF(C966="-","-",C966),C966-D966)</f>
        <v>3</v>
      </c>
      <c r="F966" s="4">
        <f>IFERROR(IF(C966&gt;0, D966/C966, 0),"-")</f>
        <v>0.98578199052132698</v>
      </c>
      <c r="G966" s="34">
        <v>3</v>
      </c>
      <c r="H966" s="35">
        <v>1</v>
      </c>
      <c r="I966" s="34">
        <f>IF(OR(H966="-",H966="",H966=0),IF(G966="-","-",G966),G966-H966)</f>
        <v>2</v>
      </c>
      <c r="J966" s="4">
        <f>IFERROR(IF(G966&gt;0, H966/G966, 0),"-")</f>
        <v>0.33333333333333331</v>
      </c>
      <c r="K966" s="34">
        <v>3</v>
      </c>
      <c r="L966" s="35" t="s">
        <v>959</v>
      </c>
      <c r="M966" s="34">
        <f>IF(OR(L966="-",L966="",L966=0),IF(K966="-","-",K966),K966-L966)</f>
        <v>3</v>
      </c>
      <c r="N966" s="4" t="str">
        <f>IFERROR(IF(K966&gt;0, L966/K966, 0),"-")</f>
        <v>-</v>
      </c>
      <c r="O966" s="34">
        <v>2</v>
      </c>
      <c r="P966" s="35" t="s">
        <v>959</v>
      </c>
      <c r="Q966" s="34">
        <f>IF(OR(P966="-",P966="",P966=0),IF(O966="-","-",O966),O966-P966)</f>
        <v>2</v>
      </c>
      <c r="R966" s="4" t="str">
        <f>IFERROR(IF(O966&gt;0, P966/O966, 0),"-")</f>
        <v>-</v>
      </c>
      <c r="S966" s="34">
        <v>201</v>
      </c>
      <c r="T966" s="34">
        <v>3</v>
      </c>
      <c r="U966" s="34">
        <v>40910</v>
      </c>
      <c r="V966" s="35">
        <v>1</v>
      </c>
      <c r="W966" s="35">
        <v>35862</v>
      </c>
    </row>
    <row r="967" spans="1:23" x14ac:dyDescent="0.2">
      <c r="A967" s="30" t="s">
        <v>760</v>
      </c>
      <c r="B967" s="30" t="s">
        <v>1598</v>
      </c>
      <c r="C967" s="34">
        <v>181</v>
      </c>
      <c r="D967" s="35">
        <v>181</v>
      </c>
      <c r="E967" s="34">
        <f>IF(OR(D967="-",D967="",D967=0),IF(C967="-","-",C967),C967-D967)</f>
        <v>0</v>
      </c>
      <c r="F967" s="4">
        <f>IFERROR(IF(C967&gt;0, D967/C967, 0),"-")</f>
        <v>1</v>
      </c>
      <c r="G967" s="34">
        <v>1</v>
      </c>
      <c r="H967" s="35" t="s">
        <v>959</v>
      </c>
      <c r="I967" s="34">
        <f>IF(OR(H967="-",H967="",H967=0),IF(G967="-","-",G967),G967-H967)</f>
        <v>1</v>
      </c>
      <c r="J967" s="4" t="str">
        <f>IFERROR(IF(G967&gt;0, H967/G967, 0),"-")</f>
        <v>-</v>
      </c>
      <c r="K967" s="34" t="s">
        <v>959</v>
      </c>
      <c r="L967" s="35" t="s">
        <v>959</v>
      </c>
      <c r="M967" s="34" t="str">
        <f>IF(OR(L967="-",L967="",L967=0),IF(K967="-","-",K967),K967-L967)</f>
        <v>-</v>
      </c>
      <c r="N967" s="4" t="str">
        <f>IFERROR(IF(K967&gt;0, L967/K967, 0),"-")</f>
        <v>-</v>
      </c>
      <c r="O967" s="34">
        <v>2</v>
      </c>
      <c r="P967" s="35" t="s">
        <v>959</v>
      </c>
      <c r="Q967" s="34">
        <f>IF(OR(P967="-",P967="",P967=0),IF(O967="-","-",O967),O967-P967)</f>
        <v>2</v>
      </c>
      <c r="R967" s="4" t="str">
        <f>IFERROR(IF(O967&gt;0, P967/O967, 0),"-")</f>
        <v>-</v>
      </c>
      <c r="S967" s="34">
        <v>40</v>
      </c>
      <c r="T967" s="34">
        <v>3</v>
      </c>
      <c r="U967" s="34">
        <v>5370</v>
      </c>
      <c r="V967" s="35" t="s">
        <v>959</v>
      </c>
      <c r="W967" s="35" t="s">
        <v>959</v>
      </c>
    </row>
    <row r="968" spans="1:23" x14ac:dyDescent="0.2">
      <c r="A968" s="30" t="s">
        <v>763</v>
      </c>
      <c r="B968" s="30" t="s">
        <v>1599</v>
      </c>
      <c r="C968" s="34">
        <v>196</v>
      </c>
      <c r="D968" s="35">
        <v>196</v>
      </c>
      <c r="E968" s="34">
        <f>IF(OR(D968="-",D968="",D968=0),IF(C968="-","-",C968),C968-D968)</f>
        <v>0</v>
      </c>
      <c r="F968" s="4">
        <f>IFERROR(IF(C968&gt;0, D968/C968, 0),"-")</f>
        <v>1</v>
      </c>
      <c r="G968" s="34">
        <v>2</v>
      </c>
      <c r="H968" s="35">
        <v>1</v>
      </c>
      <c r="I968" s="34">
        <f>IF(OR(H968="-",H968="",H968=0),IF(G968="-","-",G968),G968-H968)</f>
        <v>1</v>
      </c>
      <c r="J968" s="4">
        <f>IFERROR(IF(G968&gt;0, H968/G968, 0),"-")</f>
        <v>0.5</v>
      </c>
      <c r="K968" s="34">
        <v>4</v>
      </c>
      <c r="L968" s="35">
        <v>1</v>
      </c>
      <c r="M968" s="34">
        <f>IF(OR(L968="-",L968="",L968=0),IF(K968="-","-",K968),K968-L968)</f>
        <v>3</v>
      </c>
      <c r="N968" s="4">
        <f>IFERROR(IF(K968&gt;0, L968/K968, 0),"-")</f>
        <v>0.25</v>
      </c>
      <c r="O968" s="34">
        <v>11</v>
      </c>
      <c r="P968" s="35" t="s">
        <v>959</v>
      </c>
      <c r="Q968" s="34">
        <f>IF(OR(P968="-",P968="",P968=0),IF(O968="-","-",O968),O968-P968)</f>
        <v>11</v>
      </c>
      <c r="R968" s="4" t="str">
        <f>IFERROR(IF(O968&gt;0, P968/O968, 0),"-")</f>
        <v>-</v>
      </c>
      <c r="S968" s="34">
        <v>125</v>
      </c>
      <c r="T968" s="34">
        <v>3</v>
      </c>
      <c r="U968" s="34">
        <v>1300</v>
      </c>
      <c r="V968" s="35">
        <v>2</v>
      </c>
      <c r="W968" s="35">
        <v>70477</v>
      </c>
    </row>
    <row r="969" spans="1:23" x14ac:dyDescent="0.2">
      <c r="A969" s="30" t="s">
        <v>761</v>
      </c>
      <c r="B969" s="30" t="s">
        <v>1600</v>
      </c>
      <c r="C969" s="34">
        <v>152</v>
      </c>
      <c r="D969" s="35">
        <v>149</v>
      </c>
      <c r="E969" s="34">
        <f>IF(OR(D969="-",D969="",D969=0),IF(C969="-","-",C969),C969-D969)</f>
        <v>3</v>
      </c>
      <c r="F969" s="4">
        <f>IFERROR(IF(C969&gt;0, D969/C969, 0),"-")</f>
        <v>0.98026315789473684</v>
      </c>
      <c r="G969" s="34">
        <v>1</v>
      </c>
      <c r="H969" s="35" t="s">
        <v>959</v>
      </c>
      <c r="I969" s="34">
        <f>IF(OR(H969="-",H969="",H969=0),IF(G969="-","-",G969),G969-H969)</f>
        <v>1</v>
      </c>
      <c r="J969" s="4" t="str">
        <f>IFERROR(IF(G969&gt;0, H969/G969, 0),"-")</f>
        <v>-</v>
      </c>
      <c r="K969" s="34">
        <v>3</v>
      </c>
      <c r="L969" s="35" t="s">
        <v>959</v>
      </c>
      <c r="M969" s="34">
        <f>IF(OR(L969="-",L969="",L969=0),IF(K969="-","-",K969),K969-L969)</f>
        <v>3</v>
      </c>
      <c r="N969" s="4" t="str">
        <f>IFERROR(IF(K969&gt;0, L969/K969, 0),"-")</f>
        <v>-</v>
      </c>
      <c r="O969" s="34">
        <v>12</v>
      </c>
      <c r="P969" s="35">
        <v>2</v>
      </c>
      <c r="Q969" s="34">
        <f>IF(OR(P969="-",P969="",P969=0),IF(O969="-","-",O969),O969-P969)</f>
        <v>10</v>
      </c>
      <c r="R969" s="4">
        <f>IFERROR(IF(O969&gt;0, P969/O969, 0),"-")</f>
        <v>0.16666666666666666</v>
      </c>
      <c r="S969" s="34">
        <v>114</v>
      </c>
      <c r="T969" s="34">
        <v>3</v>
      </c>
      <c r="U969" s="34">
        <v>2220</v>
      </c>
      <c r="V969" s="35" t="s">
        <v>959</v>
      </c>
      <c r="W969" s="35" t="s">
        <v>959</v>
      </c>
    </row>
    <row r="970" spans="1:23" x14ac:dyDescent="0.2">
      <c r="A970" s="30" t="s">
        <v>767</v>
      </c>
      <c r="B970" s="30" t="s">
        <v>1601</v>
      </c>
      <c r="C970" s="34">
        <v>3</v>
      </c>
      <c r="D970" s="35">
        <v>3</v>
      </c>
      <c r="E970" s="34">
        <f>IF(OR(D970="-",D970="",D970=0),IF(C970="-","-",C970),C970-D970)</f>
        <v>0</v>
      </c>
      <c r="F970" s="4">
        <f>IFERROR(IF(C970&gt;0, D970/C970, 0),"-")</f>
        <v>1</v>
      </c>
      <c r="G970" s="34" t="s">
        <v>959</v>
      </c>
      <c r="H970" s="35" t="s">
        <v>959</v>
      </c>
      <c r="I970" s="34" t="str">
        <f>IF(OR(H970="-",H970="",H970=0),IF(G970="-","-",G970),G970-H970)</f>
        <v>-</v>
      </c>
      <c r="J970" s="4" t="str">
        <f>IFERROR(IF(G970&gt;0, H970/G970, 0),"-")</f>
        <v>-</v>
      </c>
      <c r="K970" s="34" t="s">
        <v>959</v>
      </c>
      <c r="L970" s="35" t="s">
        <v>959</v>
      </c>
      <c r="M970" s="34" t="str">
        <f>IF(OR(L970="-",L970="",L970=0),IF(K970="-","-",K970),K970-L970)</f>
        <v>-</v>
      </c>
      <c r="N970" s="4" t="str">
        <f>IFERROR(IF(K970&gt;0, L970/K970, 0),"-")</f>
        <v>-</v>
      </c>
      <c r="O970" s="34" t="s">
        <v>959</v>
      </c>
      <c r="P970" s="35" t="s">
        <v>959</v>
      </c>
      <c r="Q970" s="34" t="str">
        <f>IF(OR(P970="-",P970="",P970=0),IF(O970="-","-",O970),O970-P970)</f>
        <v>-</v>
      </c>
      <c r="R970" s="4" t="str">
        <f>IFERROR(IF(O970&gt;0, P970/O970, 0),"-")</f>
        <v>-</v>
      </c>
      <c r="S970" s="34">
        <v>6</v>
      </c>
      <c r="T970" s="34">
        <v>1</v>
      </c>
      <c r="U970" s="34">
        <v>100</v>
      </c>
      <c r="V970" s="35" t="s">
        <v>959</v>
      </c>
      <c r="W970" s="35" t="s">
        <v>959</v>
      </c>
    </row>
    <row r="971" spans="1:23" x14ac:dyDescent="0.2">
      <c r="A971" s="29"/>
      <c r="B971" s="29" t="s">
        <v>134</v>
      </c>
      <c r="C971" s="32">
        <v>1088</v>
      </c>
      <c r="D971" s="32">
        <v>1071</v>
      </c>
      <c r="E971" s="32">
        <f>IF(OR(D971="-",D971="",D971=0),IF(C971="-","-",C971),C971-D971)</f>
        <v>17</v>
      </c>
      <c r="F971" s="36">
        <f>IFERROR(IF(C971&gt;0, D971/C971, 0),"-")</f>
        <v>0.984375</v>
      </c>
      <c r="G971" s="32">
        <v>6</v>
      </c>
      <c r="H971" s="32">
        <v>2</v>
      </c>
      <c r="I971" s="32">
        <f>IF(OR(H971="-",H971="",H971=0),IF(G971="-","-",G971),G971-H971)</f>
        <v>4</v>
      </c>
      <c r="J971" s="36">
        <f>IFERROR(IF(G971&gt;0, H971/G971, 0),"-")</f>
        <v>0.33333333333333331</v>
      </c>
      <c r="K971" s="32">
        <v>13</v>
      </c>
      <c r="L971" s="32">
        <v>5</v>
      </c>
      <c r="M971" s="32">
        <f>IF(OR(L971="-",L971="",L971=0),IF(K971="-","-",K971),K971-L971)</f>
        <v>8</v>
      </c>
      <c r="N971" s="36">
        <f>IFERROR(IF(K971&gt;0, L971/K971, 0),"-")</f>
        <v>0.38461538461538464</v>
      </c>
      <c r="O971" s="32">
        <v>22</v>
      </c>
      <c r="P971" s="32">
        <v>2</v>
      </c>
      <c r="Q971" s="32">
        <f>IF(OR(P971="-",P971="",P971=0),IF(O971="-","-",O971),O971-P971)</f>
        <v>20</v>
      </c>
      <c r="R971" s="36">
        <f>IFERROR(IF(O971&gt;0, P971/O971, 0),"-")</f>
        <v>9.0909090909090912E-2</v>
      </c>
      <c r="S971" s="32">
        <v>774</v>
      </c>
      <c r="T971" s="32">
        <v>20</v>
      </c>
      <c r="U971" s="32">
        <v>68955</v>
      </c>
      <c r="V971" s="32">
        <v>2</v>
      </c>
      <c r="W971" s="32">
        <v>53436</v>
      </c>
    </row>
    <row r="972" spans="1:23" x14ac:dyDescent="0.2">
      <c r="A972" s="30" t="s">
        <v>938</v>
      </c>
      <c r="B972" s="30" t="s">
        <v>1602</v>
      </c>
      <c r="C972" s="34">
        <v>238</v>
      </c>
      <c r="D972" s="35">
        <v>234</v>
      </c>
      <c r="E972" s="34">
        <f>IF(OR(D972="-",D972="",D972=0),IF(C972="-","-",C972),C972-D972)</f>
        <v>4</v>
      </c>
      <c r="F972" s="4">
        <f>IFERROR(IF(C972&gt;0, D972/C972, 0),"-")</f>
        <v>0.98319327731092432</v>
      </c>
      <c r="G972" s="34">
        <v>1</v>
      </c>
      <c r="H972" s="35">
        <v>1</v>
      </c>
      <c r="I972" s="34">
        <f>IF(OR(H972="-",H972="",H972=0),IF(G972="-","-",G972),G972-H972)</f>
        <v>0</v>
      </c>
      <c r="J972" s="4">
        <f>IFERROR(IF(G972&gt;0, H972/G972, 0),"-")</f>
        <v>1</v>
      </c>
      <c r="K972" s="34">
        <v>4</v>
      </c>
      <c r="L972" s="35">
        <v>1</v>
      </c>
      <c r="M972" s="34">
        <f>IF(OR(L972="-",L972="",L972=0),IF(K972="-","-",K972),K972-L972)</f>
        <v>3</v>
      </c>
      <c r="N972" s="4">
        <f>IFERROR(IF(K972&gt;0, L972/K972, 0),"-")</f>
        <v>0.25</v>
      </c>
      <c r="O972" s="34">
        <v>8</v>
      </c>
      <c r="P972" s="35" t="s">
        <v>959</v>
      </c>
      <c r="Q972" s="34">
        <f>IF(OR(P972="-",P972="",P972=0),IF(O972="-","-",O972),O972-P972)</f>
        <v>8</v>
      </c>
      <c r="R972" s="4" t="str">
        <f>IFERROR(IF(O972&gt;0, P972/O972, 0),"-")</f>
        <v>-</v>
      </c>
      <c r="S972" s="34">
        <v>106</v>
      </c>
      <c r="T972" s="34">
        <v>1</v>
      </c>
      <c r="U972" s="34">
        <v>2000</v>
      </c>
      <c r="V972" s="35">
        <v>1</v>
      </c>
      <c r="W972" s="35">
        <v>26787</v>
      </c>
    </row>
    <row r="973" spans="1:23" x14ac:dyDescent="0.2">
      <c r="A973" s="30" t="s">
        <v>940</v>
      </c>
      <c r="B973" s="30" t="s">
        <v>1603</v>
      </c>
      <c r="C973" s="34">
        <v>169</v>
      </c>
      <c r="D973" s="35">
        <v>166</v>
      </c>
      <c r="E973" s="34">
        <f>IF(OR(D973="-",D973="",D973=0),IF(C973="-","-",C973),C973-D973)</f>
        <v>3</v>
      </c>
      <c r="F973" s="4">
        <f>IFERROR(IF(C973&gt;0, D973/C973, 0),"-")</f>
        <v>0.98224852071005919</v>
      </c>
      <c r="G973" s="34">
        <v>1</v>
      </c>
      <c r="H973" s="35" t="s">
        <v>959</v>
      </c>
      <c r="I973" s="34">
        <f>IF(OR(H973="-",H973="",H973=0),IF(G973="-","-",G973),G973-H973)</f>
        <v>1</v>
      </c>
      <c r="J973" s="4" t="str">
        <f>IFERROR(IF(G973&gt;0, H973/G973, 0),"-")</f>
        <v>-</v>
      </c>
      <c r="K973" s="34">
        <v>2</v>
      </c>
      <c r="L973" s="35" t="s">
        <v>959</v>
      </c>
      <c r="M973" s="34">
        <f>IF(OR(L973="-",L973="",L973=0),IF(K973="-","-",K973),K973-L973)</f>
        <v>2</v>
      </c>
      <c r="N973" s="4" t="str">
        <f>IFERROR(IF(K973&gt;0, L973/K973, 0),"-")</f>
        <v>-</v>
      </c>
      <c r="O973" s="34">
        <v>3</v>
      </c>
      <c r="P973" s="35" t="s">
        <v>959</v>
      </c>
      <c r="Q973" s="34">
        <f>IF(OR(P973="-",P973="",P973=0),IF(O973="-","-",O973),O973-P973)</f>
        <v>3</v>
      </c>
      <c r="R973" s="4" t="str">
        <f>IFERROR(IF(O973&gt;0, P973/O973, 0),"-")</f>
        <v>-</v>
      </c>
      <c r="S973" s="34">
        <v>79</v>
      </c>
      <c r="T973" s="34">
        <v>1</v>
      </c>
      <c r="U973" s="34">
        <v>3775</v>
      </c>
      <c r="V973" s="35" t="s">
        <v>959</v>
      </c>
      <c r="W973" s="35" t="s">
        <v>959</v>
      </c>
    </row>
    <row r="974" spans="1:23" x14ac:dyDescent="0.2">
      <c r="A974" s="30" t="s">
        <v>941</v>
      </c>
      <c r="B974" s="30" t="s">
        <v>1604</v>
      </c>
      <c r="C974" s="34">
        <v>195</v>
      </c>
      <c r="D974" s="35">
        <v>192</v>
      </c>
      <c r="E974" s="34">
        <f>IF(OR(D974="-",D974="",D974=0),IF(C974="-","-",C974),C974-D974)</f>
        <v>3</v>
      </c>
      <c r="F974" s="4">
        <f>IFERROR(IF(C974&gt;0, D974/C974, 0),"-")</f>
        <v>0.98461538461538467</v>
      </c>
      <c r="G974" s="34" t="s">
        <v>959</v>
      </c>
      <c r="H974" s="35" t="s">
        <v>959</v>
      </c>
      <c r="I974" s="34" t="str">
        <f>IF(OR(H974="-",H974="",H974=0),IF(G974="-","-",G974),G974-H974)</f>
        <v>-</v>
      </c>
      <c r="J974" s="4" t="str">
        <f>IFERROR(IF(G974&gt;0, H974/G974, 0),"-")</f>
        <v>-</v>
      </c>
      <c r="K974" s="34">
        <v>1</v>
      </c>
      <c r="L974" s="35">
        <v>1</v>
      </c>
      <c r="M974" s="34">
        <f>IF(OR(L974="-",L974="",L974=0),IF(K974="-","-",K974),K974-L974)</f>
        <v>0</v>
      </c>
      <c r="N974" s="4">
        <f>IFERROR(IF(K974&gt;0, L974/K974, 0),"-")</f>
        <v>1</v>
      </c>
      <c r="O974" s="34">
        <v>1</v>
      </c>
      <c r="P974" s="35">
        <v>1</v>
      </c>
      <c r="Q974" s="34">
        <f>IF(OR(P974="-",P974="",P974=0),IF(O974="-","-",O974),O974-P974)</f>
        <v>0</v>
      </c>
      <c r="R974" s="4">
        <f>IFERROR(IF(O974&gt;0, P974/O974, 0),"-")</f>
        <v>1</v>
      </c>
      <c r="S974" s="34">
        <v>103</v>
      </c>
      <c r="T974" s="34">
        <v>3</v>
      </c>
      <c r="U974" s="34">
        <v>10780</v>
      </c>
      <c r="V974" s="35" t="s">
        <v>959</v>
      </c>
      <c r="W974" s="35" t="s">
        <v>959</v>
      </c>
    </row>
    <row r="975" spans="1:23" x14ac:dyDescent="0.2">
      <c r="A975" s="30" t="s">
        <v>950</v>
      </c>
      <c r="B975" s="30" t="s">
        <v>1605</v>
      </c>
      <c r="C975" s="34" t="s">
        <v>959</v>
      </c>
      <c r="D975" s="35" t="s">
        <v>959</v>
      </c>
      <c r="E975" s="34" t="str">
        <f>IF(OR(D975="-",D975="",D975=0),IF(C975="-","-",C975),C975-D975)</f>
        <v>-</v>
      </c>
      <c r="F975" s="4" t="str">
        <f>IFERROR(IF(C975&gt;0, D975/C975, 0),"-")</f>
        <v>-</v>
      </c>
      <c r="G975" s="34" t="s">
        <v>959</v>
      </c>
      <c r="H975" s="35" t="s">
        <v>959</v>
      </c>
      <c r="I975" s="34" t="str">
        <f>IF(OR(H975="-",H975="",H975=0),IF(G975="-","-",G975),G975-H975)</f>
        <v>-</v>
      </c>
      <c r="J975" s="4" t="str">
        <f>IFERROR(IF(G975&gt;0, H975/G975, 0),"-")</f>
        <v>-</v>
      </c>
      <c r="K975" s="34" t="s">
        <v>959</v>
      </c>
      <c r="L975" s="35" t="s">
        <v>959</v>
      </c>
      <c r="M975" s="34" t="str">
        <f>IF(OR(L975="-",L975="",L975=0),IF(K975="-","-",K975),K975-L975)</f>
        <v>-</v>
      </c>
      <c r="N975" s="4" t="str">
        <f>IFERROR(IF(K975&gt;0, L975/K975, 0),"-")</f>
        <v>-</v>
      </c>
      <c r="O975" s="34" t="s">
        <v>959</v>
      </c>
      <c r="P975" s="35" t="s">
        <v>959</v>
      </c>
      <c r="Q975" s="34" t="str">
        <f>IF(OR(P975="-",P975="",P975=0),IF(O975="-","-",O975),O975-P975)</f>
        <v>-</v>
      </c>
      <c r="R975" s="4" t="str">
        <f>IFERROR(IF(O975&gt;0, P975/O975, 0),"-")</f>
        <v>-</v>
      </c>
      <c r="S975" s="34">
        <v>2</v>
      </c>
      <c r="T975" s="34" t="s">
        <v>959</v>
      </c>
      <c r="U975" s="34" t="s">
        <v>959</v>
      </c>
      <c r="V975" s="35" t="s">
        <v>959</v>
      </c>
      <c r="W975" s="35" t="s">
        <v>959</v>
      </c>
    </row>
    <row r="976" spans="1:23" x14ac:dyDescent="0.2">
      <c r="A976" s="30" t="s">
        <v>939</v>
      </c>
      <c r="B976" s="30" t="s">
        <v>1606</v>
      </c>
      <c r="C976" s="34">
        <v>233</v>
      </c>
      <c r="D976" s="35">
        <v>229</v>
      </c>
      <c r="E976" s="34">
        <f>IF(OR(D976="-",D976="",D976=0),IF(C976="-","-",C976),C976-D976)</f>
        <v>4</v>
      </c>
      <c r="F976" s="4">
        <f>IFERROR(IF(C976&gt;0, D976/C976, 0),"-")</f>
        <v>0.98283261802575106</v>
      </c>
      <c r="G976" s="34">
        <v>3</v>
      </c>
      <c r="H976" s="35">
        <v>1</v>
      </c>
      <c r="I976" s="34">
        <f>IF(OR(H976="-",H976="",H976=0),IF(G976="-","-",G976),G976-H976)</f>
        <v>2</v>
      </c>
      <c r="J976" s="4">
        <f>IFERROR(IF(G976&gt;0, H976/G976, 0),"-")</f>
        <v>0.33333333333333331</v>
      </c>
      <c r="K976" s="34">
        <v>6</v>
      </c>
      <c r="L976" s="35">
        <v>3</v>
      </c>
      <c r="M976" s="34">
        <f>IF(OR(L976="-",L976="",L976=0),IF(K976="-","-",K976),K976-L976)</f>
        <v>3</v>
      </c>
      <c r="N976" s="4">
        <f>IFERROR(IF(K976&gt;0, L976/K976, 0),"-")</f>
        <v>0.5</v>
      </c>
      <c r="O976" s="34">
        <v>4</v>
      </c>
      <c r="P976" s="35" t="s">
        <v>959</v>
      </c>
      <c r="Q976" s="34">
        <f>IF(OR(P976="-",P976="",P976=0),IF(O976="-","-",O976),O976-P976)</f>
        <v>4</v>
      </c>
      <c r="R976" s="4" t="str">
        <f>IFERROR(IF(O976&gt;0, P976/O976, 0),"-")</f>
        <v>-</v>
      </c>
      <c r="S976" s="34">
        <v>307</v>
      </c>
      <c r="T976" s="34">
        <v>7</v>
      </c>
      <c r="U976" s="34">
        <v>32925</v>
      </c>
      <c r="V976" s="35" t="s">
        <v>959</v>
      </c>
      <c r="W976" s="35" t="s">
        <v>959</v>
      </c>
    </row>
    <row r="977" spans="1:23" x14ac:dyDescent="0.2">
      <c r="A977" s="30" t="s">
        <v>937</v>
      </c>
      <c r="B977" s="30" t="s">
        <v>1607</v>
      </c>
      <c r="C977" s="34">
        <v>253</v>
      </c>
      <c r="D977" s="35">
        <v>250</v>
      </c>
      <c r="E977" s="34">
        <f>IF(OR(D977="-",D977="",D977=0),IF(C977="-","-",C977),C977-D977)</f>
        <v>3</v>
      </c>
      <c r="F977" s="4">
        <f>IFERROR(IF(C977&gt;0, D977/C977, 0),"-")</f>
        <v>0.98814229249011853</v>
      </c>
      <c r="G977" s="34">
        <v>1</v>
      </c>
      <c r="H977" s="35" t="s">
        <v>959</v>
      </c>
      <c r="I977" s="34">
        <f>IF(OR(H977="-",H977="",H977=0),IF(G977="-","-",G977),G977-H977)</f>
        <v>1</v>
      </c>
      <c r="J977" s="4" t="str">
        <f>IFERROR(IF(G977&gt;0, H977/G977, 0),"-")</f>
        <v>-</v>
      </c>
      <c r="K977" s="34" t="s">
        <v>959</v>
      </c>
      <c r="L977" s="35" t="s">
        <v>959</v>
      </c>
      <c r="M977" s="34" t="str">
        <f>IF(OR(L977="-",L977="",L977=0),IF(K977="-","-",K977),K977-L977)</f>
        <v>-</v>
      </c>
      <c r="N977" s="4" t="str">
        <f>IFERROR(IF(K977&gt;0, L977/K977, 0),"-")</f>
        <v>-</v>
      </c>
      <c r="O977" s="34">
        <v>6</v>
      </c>
      <c r="P977" s="35">
        <v>1</v>
      </c>
      <c r="Q977" s="34">
        <f>IF(OR(P977="-",P977="",P977=0),IF(O977="-","-",O977),O977-P977)</f>
        <v>5</v>
      </c>
      <c r="R977" s="4">
        <f>IFERROR(IF(O977&gt;0, P977/O977, 0),"-")</f>
        <v>0.16666666666666666</v>
      </c>
      <c r="S977" s="34">
        <v>177</v>
      </c>
      <c r="T977" s="34">
        <v>8</v>
      </c>
      <c r="U977" s="34">
        <v>19475</v>
      </c>
      <c r="V977" s="35">
        <v>1</v>
      </c>
      <c r="W977" s="35">
        <v>26649</v>
      </c>
    </row>
    <row r="978" spans="1:23" x14ac:dyDescent="0.2">
      <c r="A978" s="29"/>
      <c r="B978" s="29" t="s">
        <v>113</v>
      </c>
      <c r="C978" s="32">
        <v>710</v>
      </c>
      <c r="D978" s="32">
        <v>708</v>
      </c>
      <c r="E978" s="32">
        <f>IF(OR(D978="-",D978="",D978=0),IF(C978="-","-",C978),C978-D978)</f>
        <v>2</v>
      </c>
      <c r="F978" s="36">
        <f>IFERROR(IF(C978&gt;0, D978/C978, 0),"-")</f>
        <v>0.9971830985915493</v>
      </c>
      <c r="G978" s="32">
        <v>4</v>
      </c>
      <c r="H978" s="32" t="s">
        <v>959</v>
      </c>
      <c r="I978" s="32">
        <f>IF(OR(H978="-",H978="",H978=0),IF(G978="-","-",G978),G978-H978)</f>
        <v>4</v>
      </c>
      <c r="J978" s="36" t="str">
        <f>IFERROR(IF(G978&gt;0, H978/G978, 0),"-")</f>
        <v>-</v>
      </c>
      <c r="K978" s="32" t="s">
        <v>959</v>
      </c>
      <c r="L978" s="32" t="s">
        <v>959</v>
      </c>
      <c r="M978" s="32" t="str">
        <f>IF(OR(L978="-",L978="",L978=0),IF(K978="-","-",K978),K978-L978)</f>
        <v>-</v>
      </c>
      <c r="N978" s="36" t="str">
        <f>IFERROR(IF(K978&gt;0, L978/K978, 0),"-")</f>
        <v>-</v>
      </c>
      <c r="O978" s="32">
        <v>2</v>
      </c>
      <c r="P978" s="32">
        <v>1</v>
      </c>
      <c r="Q978" s="32">
        <f>IF(OR(P978="-",P978="",P978=0),IF(O978="-","-",O978),O978-P978)</f>
        <v>1</v>
      </c>
      <c r="R978" s="36">
        <f>IFERROR(IF(O978&gt;0, P978/O978, 0),"-")</f>
        <v>0.5</v>
      </c>
      <c r="S978" s="32" t="s">
        <v>959</v>
      </c>
      <c r="T978" s="32" t="s">
        <v>959</v>
      </c>
      <c r="U978" s="32" t="s">
        <v>959</v>
      </c>
      <c r="V978" s="32" t="s">
        <v>959</v>
      </c>
      <c r="W978" s="32" t="s">
        <v>959</v>
      </c>
    </row>
    <row r="979" spans="1:23" x14ac:dyDescent="0.2">
      <c r="A979" s="30" t="s">
        <v>816</v>
      </c>
      <c r="B979" s="30" t="s">
        <v>1608</v>
      </c>
      <c r="C979" s="34">
        <v>130</v>
      </c>
      <c r="D979" s="35">
        <v>130</v>
      </c>
      <c r="E979" s="34">
        <f>IF(OR(D979="-",D979="",D979=0),IF(C979="-","-",C979),C979-D979)</f>
        <v>0</v>
      </c>
      <c r="F979" s="4">
        <f>IFERROR(IF(C979&gt;0, D979/C979, 0),"-")</f>
        <v>1</v>
      </c>
      <c r="G979" s="34">
        <v>1</v>
      </c>
      <c r="H979" s="35" t="s">
        <v>959</v>
      </c>
      <c r="I979" s="34">
        <f>IF(OR(H979="-",H979="",H979=0),IF(G979="-","-",G979),G979-H979)</f>
        <v>1</v>
      </c>
      <c r="J979" s="4" t="str">
        <f>IFERROR(IF(G979&gt;0, H979/G979, 0),"-")</f>
        <v>-</v>
      </c>
      <c r="K979" s="34" t="s">
        <v>959</v>
      </c>
      <c r="L979" s="35" t="s">
        <v>959</v>
      </c>
      <c r="M979" s="34" t="str">
        <f>IF(OR(L979="-",L979="",L979=0),IF(K979="-","-",K979),K979-L979)</f>
        <v>-</v>
      </c>
      <c r="N979" s="4" t="str">
        <f>IFERROR(IF(K979&gt;0, L979/K979, 0),"-")</f>
        <v>-</v>
      </c>
      <c r="O979" s="34" t="s">
        <v>959</v>
      </c>
      <c r="P979" s="35" t="s">
        <v>959</v>
      </c>
      <c r="Q979" s="34" t="str">
        <f>IF(OR(P979="-",P979="",P979=0),IF(O979="-","-",O979),O979-P979)</f>
        <v>-</v>
      </c>
      <c r="R979" s="4" t="str">
        <f>IFERROR(IF(O979&gt;0, P979/O979, 0),"-")</f>
        <v>-</v>
      </c>
      <c r="S979" s="34" t="s">
        <v>959</v>
      </c>
      <c r="T979" s="34" t="s">
        <v>959</v>
      </c>
      <c r="U979" s="34" t="s">
        <v>959</v>
      </c>
      <c r="V979" s="35" t="s">
        <v>959</v>
      </c>
      <c r="W979" s="35" t="s">
        <v>959</v>
      </c>
    </row>
    <row r="980" spans="1:23" x14ac:dyDescent="0.2">
      <c r="A980" s="30" t="s">
        <v>819</v>
      </c>
      <c r="B980" s="30" t="s">
        <v>1609</v>
      </c>
      <c r="C980" s="34">
        <v>180</v>
      </c>
      <c r="D980" s="35">
        <v>180</v>
      </c>
      <c r="E980" s="34">
        <f>IF(OR(D980="-",D980="",D980=0),IF(C980="-","-",C980),C980-D980)</f>
        <v>0</v>
      </c>
      <c r="F980" s="4">
        <f>IFERROR(IF(C980&gt;0, D980/C980, 0),"-")</f>
        <v>1</v>
      </c>
      <c r="G980" s="34">
        <v>1</v>
      </c>
      <c r="H980" s="35" t="s">
        <v>959</v>
      </c>
      <c r="I980" s="34">
        <f>IF(OR(H980="-",H980="",H980=0),IF(G980="-","-",G980),G980-H980)</f>
        <v>1</v>
      </c>
      <c r="J980" s="4" t="str">
        <f>IFERROR(IF(G980&gt;0, H980/G980, 0),"-")</f>
        <v>-</v>
      </c>
      <c r="K980" s="34" t="s">
        <v>959</v>
      </c>
      <c r="L980" s="35" t="s">
        <v>959</v>
      </c>
      <c r="M980" s="34" t="str">
        <f>IF(OR(L980="-",L980="",L980=0),IF(K980="-","-",K980),K980-L980)</f>
        <v>-</v>
      </c>
      <c r="N980" s="4" t="str">
        <f>IFERROR(IF(K980&gt;0, L980/K980, 0),"-")</f>
        <v>-</v>
      </c>
      <c r="O980" s="34" t="s">
        <v>959</v>
      </c>
      <c r="P980" s="35" t="s">
        <v>959</v>
      </c>
      <c r="Q980" s="34" t="str">
        <f>IF(OR(P980="-",P980="",P980=0),IF(O980="-","-",O980),O980-P980)</f>
        <v>-</v>
      </c>
      <c r="R980" s="4" t="str">
        <f>IFERROR(IF(O980&gt;0, P980/O980, 0),"-")</f>
        <v>-</v>
      </c>
      <c r="S980" s="34" t="s">
        <v>959</v>
      </c>
      <c r="T980" s="34" t="s">
        <v>959</v>
      </c>
      <c r="U980" s="34" t="s">
        <v>959</v>
      </c>
      <c r="V980" s="35" t="s">
        <v>959</v>
      </c>
      <c r="W980" s="35" t="s">
        <v>959</v>
      </c>
    </row>
    <row r="981" spans="1:23" x14ac:dyDescent="0.2">
      <c r="A981" s="30" t="s">
        <v>820</v>
      </c>
      <c r="B981" s="30" t="s">
        <v>1610</v>
      </c>
      <c r="C981" s="34">
        <v>151</v>
      </c>
      <c r="D981" s="35">
        <v>150</v>
      </c>
      <c r="E981" s="34">
        <f>IF(OR(D981="-",D981="",D981=0),IF(C981="-","-",C981),C981-D981)</f>
        <v>1</v>
      </c>
      <c r="F981" s="4">
        <f>IFERROR(IF(C981&gt;0, D981/C981, 0),"-")</f>
        <v>0.99337748344370858</v>
      </c>
      <c r="G981" s="34">
        <v>2</v>
      </c>
      <c r="H981" s="35" t="s">
        <v>959</v>
      </c>
      <c r="I981" s="34">
        <f>IF(OR(H981="-",H981="",H981=0),IF(G981="-","-",G981),G981-H981)</f>
        <v>2</v>
      </c>
      <c r="J981" s="4" t="str">
        <f>IFERROR(IF(G981&gt;0, H981/G981, 0),"-")</f>
        <v>-</v>
      </c>
      <c r="K981" s="34" t="s">
        <v>959</v>
      </c>
      <c r="L981" s="35" t="s">
        <v>959</v>
      </c>
      <c r="M981" s="34" t="str">
        <f>IF(OR(L981="-",L981="",L981=0),IF(K981="-","-",K981),K981-L981)</f>
        <v>-</v>
      </c>
      <c r="N981" s="4" t="str">
        <f>IFERROR(IF(K981&gt;0, L981/K981, 0),"-")</f>
        <v>-</v>
      </c>
      <c r="O981" s="34">
        <v>2</v>
      </c>
      <c r="P981" s="35">
        <v>1</v>
      </c>
      <c r="Q981" s="34">
        <f>IF(OR(P981="-",P981="",P981=0),IF(O981="-","-",O981),O981-P981)</f>
        <v>1</v>
      </c>
      <c r="R981" s="4">
        <f>IFERROR(IF(O981&gt;0, P981/O981, 0),"-")</f>
        <v>0.5</v>
      </c>
      <c r="S981" s="34" t="s">
        <v>959</v>
      </c>
      <c r="T981" s="34" t="s">
        <v>959</v>
      </c>
      <c r="U981" s="34" t="s">
        <v>959</v>
      </c>
      <c r="V981" s="35" t="s">
        <v>959</v>
      </c>
      <c r="W981" s="35" t="s">
        <v>959</v>
      </c>
    </row>
    <row r="982" spans="1:23" x14ac:dyDescent="0.2">
      <c r="A982" s="30" t="s">
        <v>818</v>
      </c>
      <c r="B982" s="30" t="s">
        <v>1611</v>
      </c>
      <c r="C982" s="34">
        <v>97</v>
      </c>
      <c r="D982" s="35">
        <v>96</v>
      </c>
      <c r="E982" s="34">
        <f>IF(OR(D982="-",D982="",D982=0),IF(C982="-","-",C982),C982-D982)</f>
        <v>1</v>
      </c>
      <c r="F982" s="4">
        <f>IFERROR(IF(C982&gt;0, D982/C982, 0),"-")</f>
        <v>0.98969072164948457</v>
      </c>
      <c r="G982" s="34" t="s">
        <v>959</v>
      </c>
      <c r="H982" s="35" t="s">
        <v>959</v>
      </c>
      <c r="I982" s="34" t="str">
        <f>IF(OR(H982="-",H982="",H982=0),IF(G982="-","-",G982),G982-H982)</f>
        <v>-</v>
      </c>
      <c r="J982" s="4" t="str">
        <f>IFERROR(IF(G982&gt;0, H982/G982, 0),"-")</f>
        <v>-</v>
      </c>
      <c r="K982" s="34" t="s">
        <v>959</v>
      </c>
      <c r="L982" s="35" t="s">
        <v>959</v>
      </c>
      <c r="M982" s="34" t="str">
        <f>IF(OR(L982="-",L982="",L982=0),IF(K982="-","-",K982),K982-L982)</f>
        <v>-</v>
      </c>
      <c r="N982" s="4" t="str">
        <f>IFERROR(IF(K982&gt;0, L982/K982, 0),"-")</f>
        <v>-</v>
      </c>
      <c r="O982" s="34" t="s">
        <v>959</v>
      </c>
      <c r="P982" s="35" t="s">
        <v>959</v>
      </c>
      <c r="Q982" s="34" t="str">
        <f>IF(OR(P982="-",P982="",P982=0),IF(O982="-","-",O982),O982-P982)</f>
        <v>-</v>
      </c>
      <c r="R982" s="4" t="str">
        <f>IFERROR(IF(O982&gt;0, P982/O982, 0),"-")</f>
        <v>-</v>
      </c>
      <c r="S982" s="34" t="s">
        <v>959</v>
      </c>
      <c r="T982" s="34" t="s">
        <v>959</v>
      </c>
      <c r="U982" s="34" t="s">
        <v>959</v>
      </c>
      <c r="V982" s="35" t="s">
        <v>959</v>
      </c>
      <c r="W982" s="35" t="s">
        <v>959</v>
      </c>
    </row>
    <row r="983" spans="1:23" x14ac:dyDescent="0.2">
      <c r="A983" s="30" t="s">
        <v>817</v>
      </c>
      <c r="B983" s="30" t="s">
        <v>1612</v>
      </c>
      <c r="C983" s="34">
        <v>152</v>
      </c>
      <c r="D983" s="35">
        <v>152</v>
      </c>
      <c r="E983" s="34">
        <f>IF(OR(D983="-",D983="",D983=0),IF(C983="-","-",C983),C983-D983)</f>
        <v>0</v>
      </c>
      <c r="F983" s="4">
        <f>IFERROR(IF(C983&gt;0, D983/C983, 0),"-")</f>
        <v>1</v>
      </c>
      <c r="G983" s="34" t="s">
        <v>959</v>
      </c>
      <c r="H983" s="35" t="s">
        <v>959</v>
      </c>
      <c r="I983" s="34" t="str">
        <f>IF(OR(H983="-",H983="",H983=0),IF(G983="-","-",G983),G983-H983)</f>
        <v>-</v>
      </c>
      <c r="J983" s="4" t="str">
        <f>IFERROR(IF(G983&gt;0, H983/G983, 0),"-")</f>
        <v>-</v>
      </c>
      <c r="K983" s="34" t="s">
        <v>959</v>
      </c>
      <c r="L983" s="35" t="s">
        <v>959</v>
      </c>
      <c r="M983" s="34" t="str">
        <f>IF(OR(L983="-",L983="",L983=0),IF(K983="-","-",K983),K983-L983)</f>
        <v>-</v>
      </c>
      <c r="N983" s="4" t="str">
        <f>IFERROR(IF(K983&gt;0, L983/K983, 0),"-")</f>
        <v>-</v>
      </c>
      <c r="O983" s="34" t="s">
        <v>959</v>
      </c>
      <c r="P983" s="35" t="s">
        <v>959</v>
      </c>
      <c r="Q983" s="34" t="str">
        <f>IF(OR(P983="-",P983="",P983=0),IF(O983="-","-",O983),O983-P983)</f>
        <v>-</v>
      </c>
      <c r="R983" s="4" t="str">
        <f>IFERROR(IF(O983&gt;0, P983/O983, 0),"-")</f>
        <v>-</v>
      </c>
      <c r="S983" s="34" t="s">
        <v>959</v>
      </c>
      <c r="T983" s="34" t="s">
        <v>959</v>
      </c>
      <c r="U983" s="34" t="s">
        <v>959</v>
      </c>
      <c r="V983" s="35" t="s">
        <v>959</v>
      </c>
      <c r="W983" s="35" t="s">
        <v>959</v>
      </c>
    </row>
    <row r="984" spans="1:23" x14ac:dyDescent="0.2">
      <c r="A984" s="29"/>
      <c r="B984" s="29" t="s">
        <v>95</v>
      </c>
      <c r="C984" s="32">
        <v>1348</v>
      </c>
      <c r="D984" s="32">
        <v>1324</v>
      </c>
      <c r="E984" s="32">
        <f>IF(OR(D984="-",D984="",D984=0),IF(C984="-","-",C984),C984-D984)</f>
        <v>24</v>
      </c>
      <c r="F984" s="36">
        <f>IFERROR(IF(C984&gt;0, D984/C984, 0),"-")</f>
        <v>0.98219584569732943</v>
      </c>
      <c r="G984" s="32">
        <v>14</v>
      </c>
      <c r="H984" s="32">
        <v>6</v>
      </c>
      <c r="I984" s="32">
        <f>IF(OR(H984="-",H984="",H984=0),IF(G984="-","-",G984),G984-H984)</f>
        <v>8</v>
      </c>
      <c r="J984" s="36">
        <f>IFERROR(IF(G984&gt;0, H984/G984, 0),"-")</f>
        <v>0.42857142857142855</v>
      </c>
      <c r="K984" s="32">
        <v>8</v>
      </c>
      <c r="L984" s="32">
        <v>3</v>
      </c>
      <c r="M984" s="32">
        <f>IF(OR(L984="-",L984="",L984=0),IF(K984="-","-",K984),K984-L984)</f>
        <v>5</v>
      </c>
      <c r="N984" s="36">
        <f>IFERROR(IF(K984&gt;0, L984/K984, 0),"-")</f>
        <v>0.375</v>
      </c>
      <c r="O984" s="32">
        <v>15</v>
      </c>
      <c r="P984" s="32">
        <v>7</v>
      </c>
      <c r="Q984" s="32">
        <f>IF(OR(P984="-",P984="",P984=0),IF(O984="-","-",O984),O984-P984)</f>
        <v>8</v>
      </c>
      <c r="R984" s="36">
        <f>IFERROR(IF(O984&gt;0, P984/O984, 0),"-")</f>
        <v>0.46666666666666667</v>
      </c>
      <c r="S984" s="32">
        <v>1211</v>
      </c>
      <c r="T984" s="32">
        <v>43</v>
      </c>
      <c r="U984" s="32">
        <v>73300</v>
      </c>
      <c r="V984" s="32">
        <v>7</v>
      </c>
      <c r="W984" s="32">
        <v>72496</v>
      </c>
    </row>
    <row r="985" spans="1:23" x14ac:dyDescent="0.2">
      <c r="A985" s="30" t="s">
        <v>656</v>
      </c>
      <c r="B985" s="30" t="s">
        <v>1613</v>
      </c>
      <c r="C985" s="34">
        <v>230</v>
      </c>
      <c r="D985" s="35">
        <v>225</v>
      </c>
      <c r="E985" s="34">
        <f>IF(OR(D985="-",D985="",D985=0),IF(C985="-","-",C985),C985-D985)</f>
        <v>5</v>
      </c>
      <c r="F985" s="4">
        <f>IFERROR(IF(C985&gt;0, D985/C985, 0),"-")</f>
        <v>0.97826086956521741</v>
      </c>
      <c r="G985" s="34">
        <v>1</v>
      </c>
      <c r="H985" s="35">
        <v>1</v>
      </c>
      <c r="I985" s="34">
        <f>IF(OR(H985="-",H985="",H985=0),IF(G985="-","-",G985),G985-H985)</f>
        <v>0</v>
      </c>
      <c r="J985" s="4">
        <f>IFERROR(IF(G985&gt;0, H985/G985, 0),"-")</f>
        <v>1</v>
      </c>
      <c r="K985" s="34" t="s">
        <v>959</v>
      </c>
      <c r="L985" s="35" t="s">
        <v>959</v>
      </c>
      <c r="M985" s="34" t="str">
        <f>IF(OR(L985="-",L985="",L985=0),IF(K985="-","-",K985),K985-L985)</f>
        <v>-</v>
      </c>
      <c r="N985" s="4" t="str">
        <f>IFERROR(IF(K985&gt;0, L985/K985, 0),"-")</f>
        <v>-</v>
      </c>
      <c r="O985" s="34" t="s">
        <v>959</v>
      </c>
      <c r="P985" s="35" t="s">
        <v>959</v>
      </c>
      <c r="Q985" s="34" t="str">
        <f>IF(OR(P985="-",P985="",P985=0),IF(O985="-","-",O985),O985-P985)</f>
        <v>-</v>
      </c>
      <c r="R985" s="4" t="str">
        <f>IFERROR(IF(O985&gt;0, P985/O985, 0),"-")</f>
        <v>-</v>
      </c>
      <c r="S985" s="34">
        <v>138</v>
      </c>
      <c r="T985" s="34">
        <v>7</v>
      </c>
      <c r="U985" s="34">
        <v>5500</v>
      </c>
      <c r="V985" s="35">
        <v>1</v>
      </c>
      <c r="W985" s="35">
        <v>8175</v>
      </c>
    </row>
    <row r="986" spans="1:23" x14ac:dyDescent="0.2">
      <c r="A986" s="30" t="s">
        <v>658</v>
      </c>
      <c r="B986" s="30" t="s">
        <v>1614</v>
      </c>
      <c r="C986" s="34">
        <v>173</v>
      </c>
      <c r="D986" s="35">
        <v>171</v>
      </c>
      <c r="E986" s="34">
        <f>IF(OR(D986="-",D986="",D986=0),IF(C986="-","-",C986),C986-D986)</f>
        <v>2</v>
      </c>
      <c r="F986" s="4">
        <f>IFERROR(IF(C986&gt;0, D986/C986, 0),"-")</f>
        <v>0.98843930635838151</v>
      </c>
      <c r="G986" s="34">
        <v>3</v>
      </c>
      <c r="H986" s="35">
        <v>1</v>
      </c>
      <c r="I986" s="34">
        <f>IF(OR(H986="-",H986="",H986=0),IF(G986="-","-",G986),G986-H986)</f>
        <v>2</v>
      </c>
      <c r="J986" s="4">
        <f>IFERROR(IF(G986&gt;0, H986/G986, 0),"-")</f>
        <v>0.33333333333333331</v>
      </c>
      <c r="K986" s="34" t="s">
        <v>959</v>
      </c>
      <c r="L986" s="35" t="s">
        <v>959</v>
      </c>
      <c r="M986" s="34" t="str">
        <f>IF(OR(L986="-",L986="",L986=0),IF(K986="-","-",K986),K986-L986)</f>
        <v>-</v>
      </c>
      <c r="N986" s="4" t="str">
        <f>IFERROR(IF(K986&gt;0, L986/K986, 0),"-")</f>
        <v>-</v>
      </c>
      <c r="O986" s="34">
        <v>4</v>
      </c>
      <c r="P986" s="35">
        <v>4</v>
      </c>
      <c r="Q986" s="34">
        <f>IF(OR(P986="-",P986="",P986=0),IF(O986="-","-",O986),O986-P986)</f>
        <v>0</v>
      </c>
      <c r="R986" s="4">
        <f>IFERROR(IF(O986&gt;0, P986/O986, 0),"-")</f>
        <v>1</v>
      </c>
      <c r="S986" s="34">
        <v>162</v>
      </c>
      <c r="T986" s="34">
        <v>6</v>
      </c>
      <c r="U986" s="34">
        <v>5650</v>
      </c>
      <c r="V986" s="35" t="s">
        <v>959</v>
      </c>
      <c r="W986" s="35" t="s">
        <v>959</v>
      </c>
    </row>
    <row r="987" spans="1:23" x14ac:dyDescent="0.2">
      <c r="A987" s="30" t="s">
        <v>662</v>
      </c>
      <c r="B987" s="30" t="s">
        <v>1615</v>
      </c>
      <c r="C987" s="34">
        <v>190</v>
      </c>
      <c r="D987" s="35">
        <v>187</v>
      </c>
      <c r="E987" s="34">
        <f>IF(OR(D987="-",D987="",D987=0),IF(C987="-","-",C987),C987-D987)</f>
        <v>3</v>
      </c>
      <c r="F987" s="4">
        <f>IFERROR(IF(C987&gt;0, D987/C987, 0),"-")</f>
        <v>0.98421052631578942</v>
      </c>
      <c r="G987" s="34">
        <v>2</v>
      </c>
      <c r="H987" s="35">
        <v>1</v>
      </c>
      <c r="I987" s="34">
        <f>IF(OR(H987="-",H987="",H987=0),IF(G987="-","-",G987),G987-H987)</f>
        <v>1</v>
      </c>
      <c r="J987" s="4">
        <f>IFERROR(IF(G987&gt;0, H987/G987, 0),"-")</f>
        <v>0.5</v>
      </c>
      <c r="K987" s="34">
        <v>2</v>
      </c>
      <c r="L987" s="35" t="s">
        <v>959</v>
      </c>
      <c r="M987" s="34">
        <f>IF(OR(L987="-",L987="",L987=0),IF(K987="-","-",K987),K987-L987)</f>
        <v>2</v>
      </c>
      <c r="N987" s="4" t="str">
        <f>IFERROR(IF(K987&gt;0, L987/K987, 0),"-")</f>
        <v>-</v>
      </c>
      <c r="O987" s="34">
        <v>2</v>
      </c>
      <c r="P987" s="35" t="s">
        <v>959</v>
      </c>
      <c r="Q987" s="34">
        <f>IF(OR(P987="-",P987="",P987=0),IF(O987="-","-",O987),O987-P987)</f>
        <v>2</v>
      </c>
      <c r="R987" s="4" t="str">
        <f>IFERROR(IF(O987&gt;0, P987/O987, 0),"-")</f>
        <v>-</v>
      </c>
      <c r="S987" s="34">
        <v>175</v>
      </c>
      <c r="T987" s="34">
        <v>11</v>
      </c>
      <c r="U987" s="34">
        <v>12400</v>
      </c>
      <c r="V987" s="35">
        <v>1</v>
      </c>
      <c r="W987" s="35">
        <v>9533</v>
      </c>
    </row>
    <row r="988" spans="1:23" x14ac:dyDescent="0.2">
      <c r="A988" s="30" t="s">
        <v>660</v>
      </c>
      <c r="B988" s="30" t="s">
        <v>1616</v>
      </c>
      <c r="C988" s="34">
        <v>180</v>
      </c>
      <c r="D988" s="35">
        <v>177</v>
      </c>
      <c r="E988" s="34">
        <f>IF(OR(D988="-",D988="",D988=0),IF(C988="-","-",C988),C988-D988)</f>
        <v>3</v>
      </c>
      <c r="F988" s="4">
        <f>IFERROR(IF(C988&gt;0, D988/C988, 0),"-")</f>
        <v>0.98333333333333328</v>
      </c>
      <c r="G988" s="34">
        <v>2</v>
      </c>
      <c r="H988" s="35" t="s">
        <v>959</v>
      </c>
      <c r="I988" s="34">
        <f>IF(OR(H988="-",H988="",H988=0),IF(G988="-","-",G988),G988-H988)</f>
        <v>2</v>
      </c>
      <c r="J988" s="4" t="str">
        <f>IFERROR(IF(G988&gt;0, H988/G988, 0),"-")</f>
        <v>-</v>
      </c>
      <c r="K988" s="34">
        <v>1</v>
      </c>
      <c r="L988" s="35">
        <v>1</v>
      </c>
      <c r="M988" s="34">
        <f>IF(OR(L988="-",L988="",L988=0),IF(K988="-","-",K988),K988-L988)</f>
        <v>0</v>
      </c>
      <c r="N988" s="4">
        <f>IFERROR(IF(K988&gt;0, L988/K988, 0),"-")</f>
        <v>1</v>
      </c>
      <c r="O988" s="34">
        <v>3</v>
      </c>
      <c r="P988" s="35">
        <v>1</v>
      </c>
      <c r="Q988" s="34">
        <f>IF(OR(P988="-",P988="",P988=0),IF(O988="-","-",O988),O988-P988)</f>
        <v>2</v>
      </c>
      <c r="R988" s="4">
        <f>IFERROR(IF(O988&gt;0, P988/O988, 0),"-")</f>
        <v>0.33333333333333331</v>
      </c>
      <c r="S988" s="34">
        <v>187</v>
      </c>
      <c r="T988" s="34">
        <v>6</v>
      </c>
      <c r="U988" s="34">
        <v>37550</v>
      </c>
      <c r="V988" s="35">
        <v>1</v>
      </c>
      <c r="W988" s="35">
        <v>5111</v>
      </c>
    </row>
    <row r="989" spans="1:23" x14ac:dyDescent="0.2">
      <c r="A989" s="30" t="s">
        <v>657</v>
      </c>
      <c r="B989" s="30" t="s">
        <v>1617</v>
      </c>
      <c r="C989" s="34">
        <v>205</v>
      </c>
      <c r="D989" s="35">
        <v>200</v>
      </c>
      <c r="E989" s="34">
        <f>IF(OR(D989="-",D989="",D989=0),IF(C989="-","-",C989),C989-D989)</f>
        <v>5</v>
      </c>
      <c r="F989" s="4">
        <f>IFERROR(IF(C989&gt;0, D989/C989, 0),"-")</f>
        <v>0.97560975609756095</v>
      </c>
      <c r="G989" s="34">
        <v>2</v>
      </c>
      <c r="H989" s="35">
        <v>1</v>
      </c>
      <c r="I989" s="34">
        <f>IF(OR(H989="-",H989="",H989=0),IF(G989="-","-",G989),G989-H989)</f>
        <v>1</v>
      </c>
      <c r="J989" s="4">
        <f>IFERROR(IF(G989&gt;0, H989/G989, 0),"-")</f>
        <v>0.5</v>
      </c>
      <c r="K989" s="34">
        <v>2</v>
      </c>
      <c r="L989" s="35">
        <v>1</v>
      </c>
      <c r="M989" s="34">
        <f>IF(OR(L989="-",L989="",L989=0),IF(K989="-","-",K989),K989-L989)</f>
        <v>1</v>
      </c>
      <c r="N989" s="4">
        <f>IFERROR(IF(K989&gt;0, L989/K989, 0),"-")</f>
        <v>0.5</v>
      </c>
      <c r="O989" s="34">
        <v>2</v>
      </c>
      <c r="P989" s="35" t="s">
        <v>959</v>
      </c>
      <c r="Q989" s="34">
        <f>IF(OR(P989="-",P989="",P989=0),IF(O989="-","-",O989),O989-P989)</f>
        <v>2</v>
      </c>
      <c r="R989" s="4" t="str">
        <f>IFERROR(IF(O989&gt;0, P989/O989, 0),"-")</f>
        <v>-</v>
      </c>
      <c r="S989" s="34">
        <v>200</v>
      </c>
      <c r="T989" s="34">
        <v>6</v>
      </c>
      <c r="U989" s="34">
        <v>5200</v>
      </c>
      <c r="V989" s="35">
        <v>1</v>
      </c>
      <c r="W989" s="35">
        <v>1538</v>
      </c>
    </row>
    <row r="990" spans="1:23" x14ac:dyDescent="0.2">
      <c r="A990" s="30" t="s">
        <v>659</v>
      </c>
      <c r="B990" s="30" t="s">
        <v>1618</v>
      </c>
      <c r="C990" s="34">
        <v>201</v>
      </c>
      <c r="D990" s="35">
        <v>197</v>
      </c>
      <c r="E990" s="34">
        <f>IF(OR(D990="-",D990="",D990=0),IF(C990="-","-",C990),C990-D990)</f>
        <v>4</v>
      </c>
      <c r="F990" s="4">
        <f>IFERROR(IF(C990&gt;0, D990/C990, 0),"-")</f>
        <v>0.98009950248756217</v>
      </c>
      <c r="G990" s="34">
        <v>2</v>
      </c>
      <c r="H990" s="35">
        <v>1</v>
      </c>
      <c r="I990" s="34">
        <f>IF(OR(H990="-",H990="",H990=0),IF(G990="-","-",G990),G990-H990)</f>
        <v>1</v>
      </c>
      <c r="J990" s="4">
        <f>IFERROR(IF(G990&gt;0, H990/G990, 0),"-")</f>
        <v>0.5</v>
      </c>
      <c r="K990" s="34">
        <v>2</v>
      </c>
      <c r="L990" s="35">
        <v>1</v>
      </c>
      <c r="M990" s="34">
        <f>IF(OR(L990="-",L990="",L990=0),IF(K990="-","-",K990),K990-L990)</f>
        <v>1</v>
      </c>
      <c r="N990" s="4">
        <f>IFERROR(IF(K990&gt;0, L990/K990, 0),"-")</f>
        <v>0.5</v>
      </c>
      <c r="O990" s="34">
        <v>3</v>
      </c>
      <c r="P990" s="35">
        <v>1</v>
      </c>
      <c r="Q990" s="34">
        <f>IF(OR(P990="-",P990="",P990=0),IF(O990="-","-",O990),O990-P990)</f>
        <v>2</v>
      </c>
      <c r="R990" s="4">
        <f>IFERROR(IF(O990&gt;0, P990/O990, 0),"-")</f>
        <v>0.33333333333333331</v>
      </c>
      <c r="S990" s="34">
        <v>146</v>
      </c>
      <c r="T990" s="34">
        <v>2</v>
      </c>
      <c r="U990" s="34">
        <v>3500</v>
      </c>
      <c r="V990" s="35">
        <v>2</v>
      </c>
      <c r="W990" s="35">
        <v>42392</v>
      </c>
    </row>
    <row r="991" spans="1:23" x14ac:dyDescent="0.2">
      <c r="A991" s="30" t="s">
        <v>661</v>
      </c>
      <c r="B991" s="30" t="s">
        <v>1619</v>
      </c>
      <c r="C991" s="34">
        <v>169</v>
      </c>
      <c r="D991" s="35">
        <v>167</v>
      </c>
      <c r="E991" s="34">
        <f>IF(OR(D991="-",D991="",D991=0),IF(C991="-","-",C991),C991-D991)</f>
        <v>2</v>
      </c>
      <c r="F991" s="4">
        <f>IFERROR(IF(C991&gt;0, D991/C991, 0),"-")</f>
        <v>0.98816568047337283</v>
      </c>
      <c r="G991" s="34">
        <v>2</v>
      </c>
      <c r="H991" s="35">
        <v>1</v>
      </c>
      <c r="I991" s="34">
        <f>IF(OR(H991="-",H991="",H991=0),IF(G991="-","-",G991),G991-H991)</f>
        <v>1</v>
      </c>
      <c r="J991" s="4">
        <f>IFERROR(IF(G991&gt;0, H991/G991, 0),"-")</f>
        <v>0.5</v>
      </c>
      <c r="K991" s="34">
        <v>1</v>
      </c>
      <c r="L991" s="35" t="s">
        <v>959</v>
      </c>
      <c r="M991" s="34">
        <f>IF(OR(L991="-",L991="",L991=0),IF(K991="-","-",K991),K991-L991)</f>
        <v>1</v>
      </c>
      <c r="N991" s="4" t="str">
        <f>IFERROR(IF(K991&gt;0, L991/K991, 0),"-")</f>
        <v>-</v>
      </c>
      <c r="O991" s="34">
        <v>1</v>
      </c>
      <c r="P991" s="35">
        <v>1</v>
      </c>
      <c r="Q991" s="34">
        <f>IF(OR(P991="-",P991="",P991=0),IF(O991="-","-",O991),O991-P991)</f>
        <v>0</v>
      </c>
      <c r="R991" s="4">
        <f>IFERROR(IF(O991&gt;0, P991/O991, 0),"-")</f>
        <v>1</v>
      </c>
      <c r="S991" s="34">
        <v>203</v>
      </c>
      <c r="T991" s="34">
        <v>5</v>
      </c>
      <c r="U991" s="34">
        <v>3500</v>
      </c>
      <c r="V991" s="35">
        <v>1</v>
      </c>
      <c r="W991" s="35">
        <v>5747</v>
      </c>
    </row>
    <row r="992" spans="1:23" x14ac:dyDescent="0.2">
      <c r="A992" s="29"/>
      <c r="B992" s="29" t="s">
        <v>66</v>
      </c>
      <c r="C992" s="32">
        <v>664</v>
      </c>
      <c r="D992" s="32">
        <v>646</v>
      </c>
      <c r="E992" s="32">
        <f>IF(OR(D992="-",D992="",D992=0),IF(C992="-","-",C992),C992-D992)</f>
        <v>18</v>
      </c>
      <c r="F992" s="36">
        <f>IFERROR(IF(C992&gt;0, D992/C992, 0),"-")</f>
        <v>0.97289156626506024</v>
      </c>
      <c r="G992" s="32">
        <v>4</v>
      </c>
      <c r="H992" s="32">
        <v>1</v>
      </c>
      <c r="I992" s="32">
        <f>IF(OR(H992="-",H992="",H992=0),IF(G992="-","-",G992),G992-H992)</f>
        <v>3</v>
      </c>
      <c r="J992" s="36">
        <f>IFERROR(IF(G992&gt;0, H992/G992, 0),"-")</f>
        <v>0.25</v>
      </c>
      <c r="K992" s="32">
        <v>8</v>
      </c>
      <c r="L992" s="32">
        <v>1</v>
      </c>
      <c r="M992" s="32">
        <f>IF(OR(L992="-",L992="",L992=0),IF(K992="-","-",K992),K992-L992)</f>
        <v>7</v>
      </c>
      <c r="N992" s="36">
        <f>IFERROR(IF(K992&gt;0, L992/K992, 0),"-")</f>
        <v>0.125</v>
      </c>
      <c r="O992" s="32">
        <v>18</v>
      </c>
      <c r="P992" s="32">
        <v>2</v>
      </c>
      <c r="Q992" s="32">
        <f>IF(OR(P992="-",P992="",P992=0),IF(O992="-","-",O992),O992-P992)</f>
        <v>16</v>
      </c>
      <c r="R992" s="36">
        <f>IFERROR(IF(O992&gt;0, P992/O992, 0),"-")</f>
        <v>0.1111111111111111</v>
      </c>
      <c r="S992" s="32">
        <v>205</v>
      </c>
      <c r="T992" s="32">
        <v>6</v>
      </c>
      <c r="U992" s="32">
        <v>16690</v>
      </c>
      <c r="V992" s="32">
        <v>1</v>
      </c>
      <c r="W992" s="32">
        <v>36954</v>
      </c>
    </row>
    <row r="993" spans="1:23" x14ac:dyDescent="0.2">
      <c r="A993" s="30" t="s">
        <v>422</v>
      </c>
      <c r="B993" s="30" t="s">
        <v>1620</v>
      </c>
      <c r="C993" s="34">
        <v>214</v>
      </c>
      <c r="D993" s="35">
        <v>207</v>
      </c>
      <c r="E993" s="34">
        <f>IF(OR(D993="-",D993="",D993=0),IF(C993="-","-",C993),C993-D993)</f>
        <v>7</v>
      </c>
      <c r="F993" s="4">
        <f>IFERROR(IF(C993&gt;0, D993/C993, 0),"-")</f>
        <v>0.96728971962616828</v>
      </c>
      <c r="G993" s="34">
        <v>3</v>
      </c>
      <c r="H993" s="35">
        <v>1</v>
      </c>
      <c r="I993" s="34">
        <f>IF(OR(H993="-",H993="",H993=0),IF(G993="-","-",G993),G993-H993)</f>
        <v>2</v>
      </c>
      <c r="J993" s="4">
        <f>IFERROR(IF(G993&gt;0, H993/G993, 0),"-")</f>
        <v>0.33333333333333331</v>
      </c>
      <c r="K993" s="34">
        <v>3</v>
      </c>
      <c r="L993" s="35" t="s">
        <v>959</v>
      </c>
      <c r="M993" s="34">
        <f>IF(OR(L993="-",L993="",L993=0),IF(K993="-","-",K993),K993-L993)</f>
        <v>3</v>
      </c>
      <c r="N993" s="4" t="str">
        <f>IFERROR(IF(K993&gt;0, L993/K993, 0),"-")</f>
        <v>-</v>
      </c>
      <c r="O993" s="34">
        <v>5</v>
      </c>
      <c r="P993" s="35" t="s">
        <v>959</v>
      </c>
      <c r="Q993" s="34">
        <f>IF(OR(P993="-",P993="",P993=0),IF(O993="-","-",O993),O993-P993)</f>
        <v>5</v>
      </c>
      <c r="R993" s="4" t="str">
        <f>IFERROR(IF(O993&gt;0, P993/O993, 0),"-")</f>
        <v>-</v>
      </c>
      <c r="S993" s="34">
        <v>113</v>
      </c>
      <c r="T993" s="34">
        <v>1</v>
      </c>
      <c r="U993" s="34">
        <v>1500</v>
      </c>
      <c r="V993" s="35">
        <v>1</v>
      </c>
      <c r="W993" s="35">
        <v>36954</v>
      </c>
    </row>
    <row r="994" spans="1:23" x14ac:dyDescent="0.2">
      <c r="A994" s="30" t="s">
        <v>421</v>
      </c>
      <c r="B994" s="30" t="s">
        <v>1621</v>
      </c>
      <c r="C994" s="34">
        <v>183</v>
      </c>
      <c r="D994" s="35">
        <v>173</v>
      </c>
      <c r="E994" s="34">
        <f>IF(OR(D994="-",D994="",D994=0),IF(C994="-","-",C994),C994-D994)</f>
        <v>10</v>
      </c>
      <c r="F994" s="4">
        <f>IFERROR(IF(C994&gt;0, D994/C994, 0),"-")</f>
        <v>0.94535519125683065</v>
      </c>
      <c r="G994" s="34">
        <v>1</v>
      </c>
      <c r="H994" s="35" t="s">
        <v>959</v>
      </c>
      <c r="I994" s="34">
        <f>IF(OR(H994="-",H994="",H994=0),IF(G994="-","-",G994),G994-H994)</f>
        <v>1</v>
      </c>
      <c r="J994" s="4" t="str">
        <f>IFERROR(IF(G994&gt;0, H994/G994, 0),"-")</f>
        <v>-</v>
      </c>
      <c r="K994" s="34">
        <v>1</v>
      </c>
      <c r="L994" s="35" t="s">
        <v>959</v>
      </c>
      <c r="M994" s="34">
        <f>IF(OR(L994="-",L994="",L994=0),IF(K994="-","-",K994),K994-L994)</f>
        <v>1</v>
      </c>
      <c r="N994" s="4" t="str">
        <f>IFERROR(IF(K994&gt;0, L994/K994, 0),"-")</f>
        <v>-</v>
      </c>
      <c r="O994" s="34">
        <v>5</v>
      </c>
      <c r="P994" s="35" t="s">
        <v>959</v>
      </c>
      <c r="Q994" s="34">
        <f>IF(OR(P994="-",P994="",P994=0),IF(O994="-","-",O994),O994-P994)</f>
        <v>5</v>
      </c>
      <c r="R994" s="4" t="str">
        <f>IFERROR(IF(O994&gt;0, P994/O994, 0),"-")</f>
        <v>-</v>
      </c>
      <c r="S994" s="34">
        <v>44</v>
      </c>
      <c r="T994" s="34">
        <v>1</v>
      </c>
      <c r="U994" s="34">
        <v>5390</v>
      </c>
      <c r="V994" s="35" t="s">
        <v>959</v>
      </c>
      <c r="W994" s="35" t="s">
        <v>959</v>
      </c>
    </row>
    <row r="995" spans="1:23" x14ac:dyDescent="0.2">
      <c r="A995" s="30" t="s">
        <v>420</v>
      </c>
      <c r="B995" s="30" t="s">
        <v>1622</v>
      </c>
      <c r="C995" s="34">
        <v>218</v>
      </c>
      <c r="D995" s="35">
        <v>218</v>
      </c>
      <c r="E995" s="34">
        <f>IF(OR(D995="-",D995="",D995=0),IF(C995="-","-",C995),C995-D995)</f>
        <v>0</v>
      </c>
      <c r="F995" s="4">
        <f>IFERROR(IF(C995&gt;0, D995/C995, 0),"-")</f>
        <v>1</v>
      </c>
      <c r="G995" s="34" t="s">
        <v>959</v>
      </c>
      <c r="H995" s="35" t="s">
        <v>959</v>
      </c>
      <c r="I995" s="34" t="str">
        <f>IF(OR(H995="-",H995="",H995=0),IF(G995="-","-",G995),G995-H995)</f>
        <v>-</v>
      </c>
      <c r="J995" s="4" t="str">
        <f>IFERROR(IF(G995&gt;0, H995/G995, 0),"-")</f>
        <v>-</v>
      </c>
      <c r="K995" s="34">
        <v>4</v>
      </c>
      <c r="L995" s="35">
        <v>1</v>
      </c>
      <c r="M995" s="34">
        <f>IF(OR(L995="-",L995="",L995=0),IF(K995="-","-",K995),K995-L995)</f>
        <v>3</v>
      </c>
      <c r="N995" s="4">
        <f>IFERROR(IF(K995&gt;0, L995/K995, 0),"-")</f>
        <v>0.25</v>
      </c>
      <c r="O995" s="34">
        <v>7</v>
      </c>
      <c r="P995" s="35">
        <v>2</v>
      </c>
      <c r="Q995" s="34">
        <f>IF(OR(P995="-",P995="",P995=0),IF(O995="-","-",O995),O995-P995)</f>
        <v>5</v>
      </c>
      <c r="R995" s="4">
        <f>IFERROR(IF(O995&gt;0, P995/O995, 0),"-")</f>
        <v>0.2857142857142857</v>
      </c>
      <c r="S995" s="34">
        <v>45</v>
      </c>
      <c r="T995" s="34">
        <v>4</v>
      </c>
      <c r="U995" s="34">
        <v>9800</v>
      </c>
      <c r="V995" s="35" t="s">
        <v>959</v>
      </c>
      <c r="W995" s="35" t="s">
        <v>959</v>
      </c>
    </row>
    <row r="996" spans="1:23" x14ac:dyDescent="0.2">
      <c r="A996" s="30" t="s">
        <v>423</v>
      </c>
      <c r="B996" s="30" t="s">
        <v>1623</v>
      </c>
      <c r="C996" s="34">
        <v>49</v>
      </c>
      <c r="D996" s="35">
        <v>48</v>
      </c>
      <c r="E996" s="34">
        <f>IF(OR(D996="-",D996="",D996=0),IF(C996="-","-",C996),C996-D996)</f>
        <v>1</v>
      </c>
      <c r="F996" s="4">
        <f>IFERROR(IF(C996&gt;0, D996/C996, 0),"-")</f>
        <v>0.97959183673469385</v>
      </c>
      <c r="G996" s="34" t="s">
        <v>959</v>
      </c>
      <c r="H996" s="35" t="s">
        <v>959</v>
      </c>
      <c r="I996" s="34" t="str">
        <f>IF(OR(H996="-",H996="",H996=0),IF(G996="-","-",G996),G996-H996)</f>
        <v>-</v>
      </c>
      <c r="J996" s="4" t="str">
        <f>IFERROR(IF(G996&gt;0, H996/G996, 0),"-")</f>
        <v>-</v>
      </c>
      <c r="K996" s="34" t="s">
        <v>959</v>
      </c>
      <c r="L996" s="35" t="s">
        <v>959</v>
      </c>
      <c r="M996" s="34" t="str">
        <f>IF(OR(L996="-",L996="",L996=0),IF(K996="-","-",K996),K996-L996)</f>
        <v>-</v>
      </c>
      <c r="N996" s="4" t="str">
        <f>IFERROR(IF(K996&gt;0, L996/K996, 0),"-")</f>
        <v>-</v>
      </c>
      <c r="O996" s="34">
        <v>1</v>
      </c>
      <c r="P996" s="35" t="s">
        <v>959</v>
      </c>
      <c r="Q996" s="34">
        <f>IF(OR(P996="-",P996="",P996=0),IF(O996="-","-",O996),O996-P996)</f>
        <v>1</v>
      </c>
      <c r="R996" s="4" t="str">
        <f>IFERROR(IF(O996&gt;0, P996/O996, 0),"-")</f>
        <v>-</v>
      </c>
      <c r="S996" s="34">
        <v>3</v>
      </c>
      <c r="T996" s="34" t="s">
        <v>959</v>
      </c>
      <c r="U996" s="34" t="s">
        <v>959</v>
      </c>
      <c r="V996" s="35" t="s">
        <v>959</v>
      </c>
      <c r="W996" s="35" t="s">
        <v>959</v>
      </c>
    </row>
    <row r="997" spans="1:23" x14ac:dyDescent="0.2">
      <c r="A997" s="29"/>
      <c r="B997" s="29" t="s">
        <v>44</v>
      </c>
      <c r="C997" s="32">
        <v>1066</v>
      </c>
      <c r="D997" s="32">
        <v>1036</v>
      </c>
      <c r="E997" s="32">
        <f>IF(OR(D997="-",D997="",D997=0),IF(C997="-","-",C997),C997-D997)</f>
        <v>30</v>
      </c>
      <c r="F997" s="36">
        <f>IFERROR(IF(C997&gt;0, D997/C997, 0),"-")</f>
        <v>0.97185741088180111</v>
      </c>
      <c r="G997" s="32">
        <v>12</v>
      </c>
      <c r="H997" s="32">
        <v>2</v>
      </c>
      <c r="I997" s="32">
        <f>IF(OR(H997="-",H997="",H997=0),IF(G997="-","-",G997),G997-H997)</f>
        <v>10</v>
      </c>
      <c r="J997" s="36">
        <f>IFERROR(IF(G997&gt;0, H997/G997, 0),"-")</f>
        <v>0.16666666666666666</v>
      </c>
      <c r="K997" s="32">
        <v>15</v>
      </c>
      <c r="L997" s="32">
        <v>5</v>
      </c>
      <c r="M997" s="32">
        <f>IF(OR(L997="-",L997="",L997=0),IF(K997="-","-",K997),K997-L997)</f>
        <v>10</v>
      </c>
      <c r="N997" s="36">
        <f>IFERROR(IF(K997&gt;0, L997/K997, 0),"-")</f>
        <v>0.33333333333333331</v>
      </c>
      <c r="O997" s="32">
        <v>24</v>
      </c>
      <c r="P997" s="32">
        <v>2</v>
      </c>
      <c r="Q997" s="32">
        <f>IF(OR(P997="-",P997="",P997=0),IF(O997="-","-",O997),O997-P997)</f>
        <v>22</v>
      </c>
      <c r="R997" s="36">
        <f>IFERROR(IF(O997&gt;0, P997/O997, 0),"-")</f>
        <v>8.3333333333333329E-2</v>
      </c>
      <c r="S997" s="32">
        <v>294</v>
      </c>
      <c r="T997" s="32">
        <v>5</v>
      </c>
      <c r="U997" s="32">
        <v>33340</v>
      </c>
      <c r="V997" s="32" t="s">
        <v>959</v>
      </c>
      <c r="W997" s="32" t="s">
        <v>959</v>
      </c>
    </row>
    <row r="998" spans="1:23" x14ac:dyDescent="0.2">
      <c r="A998" s="30" t="s">
        <v>239</v>
      </c>
      <c r="B998" s="30" t="s">
        <v>1624</v>
      </c>
      <c r="C998" s="34">
        <v>258</v>
      </c>
      <c r="D998" s="35">
        <v>252</v>
      </c>
      <c r="E998" s="34">
        <f>IF(OR(D998="-",D998="",D998=0),IF(C998="-","-",C998),C998-D998)</f>
        <v>6</v>
      </c>
      <c r="F998" s="4">
        <f>IFERROR(IF(C998&gt;0, D998/C998, 0),"-")</f>
        <v>0.97674418604651159</v>
      </c>
      <c r="G998" s="34">
        <v>5</v>
      </c>
      <c r="H998" s="35" t="s">
        <v>959</v>
      </c>
      <c r="I998" s="34">
        <f>IF(OR(H998="-",H998="",H998=0),IF(G998="-","-",G998),G998-H998)</f>
        <v>5</v>
      </c>
      <c r="J998" s="4" t="str">
        <f>IFERROR(IF(G998&gt;0, H998/G998, 0),"-")</f>
        <v>-</v>
      </c>
      <c r="K998" s="34">
        <v>3</v>
      </c>
      <c r="L998" s="35">
        <v>2</v>
      </c>
      <c r="M998" s="34">
        <f>IF(OR(L998="-",L998="",L998=0),IF(K998="-","-",K998),K998-L998)</f>
        <v>1</v>
      </c>
      <c r="N998" s="4">
        <f>IFERROR(IF(K998&gt;0, L998/K998, 0),"-")</f>
        <v>0.66666666666666663</v>
      </c>
      <c r="O998" s="34">
        <v>3</v>
      </c>
      <c r="P998" s="35" t="s">
        <v>959</v>
      </c>
      <c r="Q998" s="34">
        <f>IF(OR(P998="-",P998="",P998=0),IF(O998="-","-",O998),O998-P998)</f>
        <v>3</v>
      </c>
      <c r="R998" s="4" t="str">
        <f>IFERROR(IF(O998&gt;0, P998/O998, 0),"-")</f>
        <v>-</v>
      </c>
      <c r="S998" s="34">
        <v>101</v>
      </c>
      <c r="T998" s="34" t="s">
        <v>959</v>
      </c>
      <c r="U998" s="34" t="s">
        <v>959</v>
      </c>
      <c r="V998" s="35" t="s">
        <v>959</v>
      </c>
      <c r="W998" s="35" t="s">
        <v>959</v>
      </c>
    </row>
    <row r="999" spans="1:23" x14ac:dyDescent="0.2">
      <c r="A999" s="30" t="s">
        <v>240</v>
      </c>
      <c r="B999" s="30" t="s">
        <v>1625</v>
      </c>
      <c r="C999" s="34">
        <v>275</v>
      </c>
      <c r="D999" s="35">
        <v>267</v>
      </c>
      <c r="E999" s="34">
        <f>IF(OR(D999="-",D999="",D999=0),IF(C999="-","-",C999),C999-D999)</f>
        <v>8</v>
      </c>
      <c r="F999" s="4">
        <f>IFERROR(IF(C999&gt;0, D999/C999, 0),"-")</f>
        <v>0.97090909090909094</v>
      </c>
      <c r="G999" s="34">
        <v>1</v>
      </c>
      <c r="H999" s="35">
        <v>1</v>
      </c>
      <c r="I999" s="34">
        <f>IF(OR(H999="-",H999="",H999=0),IF(G999="-","-",G999),G999-H999)</f>
        <v>0</v>
      </c>
      <c r="J999" s="4">
        <f>IFERROR(IF(G999&gt;0, H999/G999, 0),"-")</f>
        <v>1</v>
      </c>
      <c r="K999" s="34">
        <v>4</v>
      </c>
      <c r="L999" s="35">
        <v>1</v>
      </c>
      <c r="M999" s="34">
        <f>IF(OR(L999="-",L999="",L999=0),IF(K999="-","-",K999),K999-L999)</f>
        <v>3</v>
      </c>
      <c r="N999" s="4">
        <f>IFERROR(IF(K999&gt;0, L999/K999, 0),"-")</f>
        <v>0.25</v>
      </c>
      <c r="O999" s="34">
        <v>4</v>
      </c>
      <c r="P999" s="35">
        <v>1</v>
      </c>
      <c r="Q999" s="34">
        <f>IF(OR(P999="-",P999="",P999=0),IF(O999="-","-",O999),O999-P999)</f>
        <v>3</v>
      </c>
      <c r="R999" s="4">
        <f>IFERROR(IF(O999&gt;0, P999/O999, 0),"-")</f>
        <v>0.25</v>
      </c>
      <c r="S999" s="34">
        <v>50</v>
      </c>
      <c r="T999" s="34">
        <v>1</v>
      </c>
      <c r="U999" s="34">
        <v>2695</v>
      </c>
      <c r="V999" s="35" t="s">
        <v>959</v>
      </c>
      <c r="W999" s="35" t="s">
        <v>959</v>
      </c>
    </row>
    <row r="1000" spans="1:23" x14ac:dyDescent="0.2">
      <c r="A1000" s="30" t="s">
        <v>238</v>
      </c>
      <c r="B1000" s="30" t="s">
        <v>1626</v>
      </c>
      <c r="C1000" s="34">
        <v>261</v>
      </c>
      <c r="D1000" s="35">
        <v>256</v>
      </c>
      <c r="E1000" s="34">
        <f>IF(OR(D1000="-",D1000="",D1000=0),IF(C1000="-","-",C1000),C1000-D1000)</f>
        <v>5</v>
      </c>
      <c r="F1000" s="4">
        <f>IFERROR(IF(C1000&gt;0, D1000/C1000, 0),"-")</f>
        <v>0.98084291187739459</v>
      </c>
      <c r="G1000" s="34">
        <v>3</v>
      </c>
      <c r="H1000" s="35">
        <v>1</v>
      </c>
      <c r="I1000" s="34">
        <f>IF(OR(H1000="-",H1000="",H1000=0),IF(G1000="-","-",G1000),G1000-H1000)</f>
        <v>2</v>
      </c>
      <c r="J1000" s="4">
        <f>IFERROR(IF(G1000&gt;0, H1000/G1000, 0),"-")</f>
        <v>0.33333333333333331</v>
      </c>
      <c r="K1000" s="34">
        <v>4</v>
      </c>
      <c r="L1000" s="35">
        <v>1</v>
      </c>
      <c r="M1000" s="34">
        <f>IF(OR(L1000="-",L1000="",L1000=0),IF(K1000="-","-",K1000),K1000-L1000)</f>
        <v>3</v>
      </c>
      <c r="N1000" s="4">
        <f>IFERROR(IF(K1000&gt;0, L1000/K1000, 0),"-")</f>
        <v>0.25</v>
      </c>
      <c r="O1000" s="34">
        <v>10</v>
      </c>
      <c r="P1000" s="35" t="s">
        <v>959</v>
      </c>
      <c r="Q1000" s="34">
        <f>IF(OR(P1000="-",P1000="",P1000=0),IF(O1000="-","-",O1000),O1000-P1000)</f>
        <v>10</v>
      </c>
      <c r="R1000" s="4" t="str">
        <f>IFERROR(IF(O1000&gt;0, P1000/O1000, 0),"-")</f>
        <v>-</v>
      </c>
      <c r="S1000" s="34">
        <v>86</v>
      </c>
      <c r="T1000" s="34">
        <v>2</v>
      </c>
      <c r="U1000" s="34">
        <v>24255</v>
      </c>
      <c r="V1000" s="35" t="s">
        <v>959</v>
      </c>
      <c r="W1000" s="35" t="s">
        <v>959</v>
      </c>
    </row>
    <row r="1001" spans="1:23" x14ac:dyDescent="0.2">
      <c r="A1001" s="30" t="s">
        <v>241</v>
      </c>
      <c r="B1001" s="30" t="s">
        <v>1627</v>
      </c>
      <c r="C1001" s="34">
        <v>272</v>
      </c>
      <c r="D1001" s="35">
        <v>261</v>
      </c>
      <c r="E1001" s="34">
        <f>IF(OR(D1001="-",D1001="",D1001=0),IF(C1001="-","-",C1001),C1001-D1001)</f>
        <v>11</v>
      </c>
      <c r="F1001" s="4">
        <f>IFERROR(IF(C1001&gt;0, D1001/C1001, 0),"-")</f>
        <v>0.9595588235294118</v>
      </c>
      <c r="G1001" s="34">
        <v>3</v>
      </c>
      <c r="H1001" s="35" t="s">
        <v>959</v>
      </c>
      <c r="I1001" s="34">
        <f>IF(OR(H1001="-",H1001="",H1001=0),IF(G1001="-","-",G1001),G1001-H1001)</f>
        <v>3</v>
      </c>
      <c r="J1001" s="4" t="str">
        <f>IFERROR(IF(G1001&gt;0, H1001/G1001, 0),"-")</f>
        <v>-</v>
      </c>
      <c r="K1001" s="34">
        <v>4</v>
      </c>
      <c r="L1001" s="35">
        <v>1</v>
      </c>
      <c r="M1001" s="34">
        <f>IF(OR(L1001="-",L1001="",L1001=0),IF(K1001="-","-",K1001),K1001-L1001)</f>
        <v>3</v>
      </c>
      <c r="N1001" s="4">
        <f>IFERROR(IF(K1001&gt;0, L1001/K1001, 0),"-")</f>
        <v>0.25</v>
      </c>
      <c r="O1001" s="34">
        <v>7</v>
      </c>
      <c r="P1001" s="35">
        <v>1</v>
      </c>
      <c r="Q1001" s="34">
        <f>IF(OR(P1001="-",P1001="",P1001=0),IF(O1001="-","-",O1001),O1001-P1001)</f>
        <v>6</v>
      </c>
      <c r="R1001" s="4">
        <f>IFERROR(IF(O1001&gt;0, P1001/O1001, 0),"-")</f>
        <v>0.14285714285714285</v>
      </c>
      <c r="S1001" s="34">
        <v>57</v>
      </c>
      <c r="T1001" s="34">
        <v>2</v>
      </c>
      <c r="U1001" s="34">
        <v>6390</v>
      </c>
      <c r="V1001" s="35" t="s">
        <v>959</v>
      </c>
      <c r="W1001" s="35" t="s">
        <v>959</v>
      </c>
    </row>
    <row r="1002" spans="1:23" x14ac:dyDescent="0.2">
      <c r="A1002" s="29"/>
      <c r="B1002" s="29" t="s">
        <v>61</v>
      </c>
      <c r="C1002" s="32">
        <v>1107</v>
      </c>
      <c r="D1002" s="32">
        <v>1091</v>
      </c>
      <c r="E1002" s="32">
        <f>IF(OR(D1002="-",D1002="",D1002=0),IF(C1002="-","-",C1002),C1002-D1002)</f>
        <v>16</v>
      </c>
      <c r="F1002" s="36">
        <f>IFERROR(IF(C1002&gt;0, D1002/C1002, 0),"-")</f>
        <v>0.98554652213188798</v>
      </c>
      <c r="G1002" s="32">
        <v>3</v>
      </c>
      <c r="H1002" s="32">
        <v>2</v>
      </c>
      <c r="I1002" s="32">
        <f>IF(OR(H1002="-",H1002="",H1002=0),IF(G1002="-","-",G1002),G1002-H1002)</f>
        <v>1</v>
      </c>
      <c r="J1002" s="36">
        <f>IFERROR(IF(G1002&gt;0, H1002/G1002, 0),"-")</f>
        <v>0.66666666666666663</v>
      </c>
      <c r="K1002" s="32">
        <v>5</v>
      </c>
      <c r="L1002" s="32">
        <v>5</v>
      </c>
      <c r="M1002" s="32">
        <f>IF(OR(L1002="-",L1002="",L1002=0),IF(K1002="-","-",K1002),K1002-L1002)</f>
        <v>0</v>
      </c>
      <c r="N1002" s="36">
        <f>IFERROR(IF(K1002&gt;0, L1002/K1002, 0),"-")</f>
        <v>1</v>
      </c>
      <c r="O1002" s="32">
        <v>11</v>
      </c>
      <c r="P1002" s="32">
        <v>2</v>
      </c>
      <c r="Q1002" s="32">
        <f>IF(OR(P1002="-",P1002="",P1002=0),IF(O1002="-","-",O1002),O1002-P1002)</f>
        <v>9</v>
      </c>
      <c r="R1002" s="36">
        <f>IFERROR(IF(O1002&gt;0, P1002/O1002, 0),"-")</f>
        <v>0.18181818181818182</v>
      </c>
      <c r="S1002" s="32">
        <v>946</v>
      </c>
      <c r="T1002" s="32">
        <v>16</v>
      </c>
      <c r="U1002" s="32">
        <v>49705</v>
      </c>
      <c r="V1002" s="32">
        <v>9</v>
      </c>
      <c r="W1002" s="32">
        <v>196041</v>
      </c>
    </row>
    <row r="1003" spans="1:23" x14ac:dyDescent="0.2">
      <c r="A1003" s="30" t="s">
        <v>387</v>
      </c>
      <c r="B1003" s="30" t="s">
        <v>1628</v>
      </c>
      <c r="C1003" s="34">
        <v>184</v>
      </c>
      <c r="D1003" s="35">
        <v>184</v>
      </c>
      <c r="E1003" s="34">
        <f>IF(OR(D1003="-",D1003="",D1003=0),IF(C1003="-","-",C1003),C1003-D1003)</f>
        <v>0</v>
      </c>
      <c r="F1003" s="4">
        <f>IFERROR(IF(C1003&gt;0, D1003/C1003, 0),"-")</f>
        <v>1</v>
      </c>
      <c r="G1003" s="34" t="s">
        <v>959</v>
      </c>
      <c r="H1003" s="35" t="s">
        <v>959</v>
      </c>
      <c r="I1003" s="34" t="str">
        <f>IF(OR(H1003="-",H1003="",H1003=0),IF(G1003="-","-",G1003),G1003-H1003)</f>
        <v>-</v>
      </c>
      <c r="J1003" s="4" t="str">
        <f>IFERROR(IF(G1003&gt;0, H1003/G1003, 0),"-")</f>
        <v>-</v>
      </c>
      <c r="K1003" s="34" t="s">
        <v>959</v>
      </c>
      <c r="L1003" s="35" t="s">
        <v>959</v>
      </c>
      <c r="M1003" s="34" t="str">
        <f>IF(OR(L1003="-",L1003="",L1003=0),IF(K1003="-","-",K1003),K1003-L1003)</f>
        <v>-</v>
      </c>
      <c r="N1003" s="4" t="str">
        <f>IFERROR(IF(K1003&gt;0, L1003/K1003, 0),"-")</f>
        <v>-</v>
      </c>
      <c r="O1003" s="34" t="s">
        <v>959</v>
      </c>
      <c r="P1003" s="35" t="s">
        <v>959</v>
      </c>
      <c r="Q1003" s="34" t="str">
        <f>IF(OR(P1003="-",P1003="",P1003=0),IF(O1003="-","-",O1003),O1003-P1003)</f>
        <v>-</v>
      </c>
      <c r="R1003" s="4" t="str">
        <f>IFERROR(IF(O1003&gt;0, P1003/O1003, 0),"-")</f>
        <v>-</v>
      </c>
      <c r="S1003" s="34">
        <v>105</v>
      </c>
      <c r="T1003" s="34">
        <v>1</v>
      </c>
      <c r="U1003" s="34">
        <v>4040</v>
      </c>
      <c r="V1003" s="35" t="s">
        <v>959</v>
      </c>
      <c r="W1003" s="35" t="s">
        <v>959</v>
      </c>
    </row>
    <row r="1004" spans="1:23" x14ac:dyDescent="0.2">
      <c r="A1004" s="30" t="s">
        <v>391</v>
      </c>
      <c r="B1004" s="30" t="s">
        <v>1629</v>
      </c>
      <c r="C1004" s="34">
        <v>143</v>
      </c>
      <c r="D1004" s="35">
        <v>141</v>
      </c>
      <c r="E1004" s="34">
        <f>IF(OR(D1004="-",D1004="",D1004=0),IF(C1004="-","-",C1004),C1004-D1004)</f>
        <v>2</v>
      </c>
      <c r="F1004" s="4">
        <f>IFERROR(IF(C1004&gt;0, D1004/C1004, 0),"-")</f>
        <v>0.98601398601398604</v>
      </c>
      <c r="G1004" s="34" t="s">
        <v>959</v>
      </c>
      <c r="H1004" s="35" t="s">
        <v>959</v>
      </c>
      <c r="I1004" s="34" t="str">
        <f>IF(OR(H1004="-",H1004="",H1004=0),IF(G1004="-","-",G1004),G1004-H1004)</f>
        <v>-</v>
      </c>
      <c r="J1004" s="4" t="str">
        <f>IFERROR(IF(G1004&gt;0, H1004/G1004, 0),"-")</f>
        <v>-</v>
      </c>
      <c r="K1004" s="34" t="s">
        <v>959</v>
      </c>
      <c r="L1004" s="35" t="s">
        <v>959</v>
      </c>
      <c r="M1004" s="34" t="str">
        <f>IF(OR(L1004="-",L1004="",L1004=0),IF(K1004="-","-",K1004),K1004-L1004)</f>
        <v>-</v>
      </c>
      <c r="N1004" s="4" t="str">
        <f>IFERROR(IF(K1004&gt;0, L1004/K1004, 0),"-")</f>
        <v>-</v>
      </c>
      <c r="O1004" s="34">
        <v>2</v>
      </c>
      <c r="P1004" s="35">
        <v>1</v>
      </c>
      <c r="Q1004" s="34">
        <f>IF(OR(P1004="-",P1004="",P1004=0),IF(O1004="-","-",O1004),O1004-P1004)</f>
        <v>1</v>
      </c>
      <c r="R1004" s="4">
        <f>IFERROR(IF(O1004&gt;0, P1004/O1004, 0),"-")</f>
        <v>0.5</v>
      </c>
      <c r="S1004" s="34">
        <v>95</v>
      </c>
      <c r="T1004" s="34" t="s">
        <v>959</v>
      </c>
      <c r="U1004" s="34" t="s">
        <v>959</v>
      </c>
      <c r="V1004" s="35" t="s">
        <v>959</v>
      </c>
      <c r="W1004" s="35" t="s">
        <v>959</v>
      </c>
    </row>
    <row r="1005" spans="1:23" x14ac:dyDescent="0.2">
      <c r="A1005" s="30" t="s">
        <v>390</v>
      </c>
      <c r="B1005" s="30" t="s">
        <v>1630</v>
      </c>
      <c r="C1005" s="34">
        <v>172</v>
      </c>
      <c r="D1005" s="35">
        <v>169</v>
      </c>
      <c r="E1005" s="34">
        <f>IF(OR(D1005="-",D1005="",D1005=0),IF(C1005="-","-",C1005),C1005-D1005)</f>
        <v>3</v>
      </c>
      <c r="F1005" s="4">
        <f>IFERROR(IF(C1005&gt;0, D1005/C1005, 0),"-")</f>
        <v>0.98255813953488369</v>
      </c>
      <c r="G1005" s="34">
        <v>2</v>
      </c>
      <c r="H1005" s="35">
        <v>2</v>
      </c>
      <c r="I1005" s="34">
        <f>IF(OR(H1005="-",H1005="",H1005=0),IF(G1005="-","-",G1005),G1005-H1005)</f>
        <v>0</v>
      </c>
      <c r="J1005" s="4">
        <f>IFERROR(IF(G1005&gt;0, H1005/G1005, 0),"-")</f>
        <v>1</v>
      </c>
      <c r="K1005" s="34">
        <v>3</v>
      </c>
      <c r="L1005" s="35">
        <v>3</v>
      </c>
      <c r="M1005" s="34">
        <f>IF(OR(L1005="-",L1005="",L1005=0),IF(K1005="-","-",K1005),K1005-L1005)</f>
        <v>0</v>
      </c>
      <c r="N1005" s="4">
        <f>IFERROR(IF(K1005&gt;0, L1005/K1005, 0),"-")</f>
        <v>1</v>
      </c>
      <c r="O1005" s="34">
        <v>3</v>
      </c>
      <c r="P1005" s="35">
        <v>1</v>
      </c>
      <c r="Q1005" s="34">
        <f>IF(OR(P1005="-",P1005="",P1005=0),IF(O1005="-","-",O1005),O1005-P1005)</f>
        <v>2</v>
      </c>
      <c r="R1005" s="4">
        <f>IFERROR(IF(O1005&gt;0, P1005/O1005, 0),"-")</f>
        <v>0.33333333333333331</v>
      </c>
      <c r="S1005" s="34">
        <v>187</v>
      </c>
      <c r="T1005" s="34">
        <v>5</v>
      </c>
      <c r="U1005" s="34">
        <v>10700</v>
      </c>
      <c r="V1005" s="35">
        <v>3</v>
      </c>
      <c r="W1005" s="35">
        <v>94094</v>
      </c>
    </row>
    <row r="1006" spans="1:23" x14ac:dyDescent="0.2">
      <c r="A1006" s="30" t="s">
        <v>392</v>
      </c>
      <c r="B1006" s="30" t="s">
        <v>1631</v>
      </c>
      <c r="C1006" s="34">
        <v>150</v>
      </c>
      <c r="D1006" s="35">
        <v>147</v>
      </c>
      <c r="E1006" s="34">
        <f>IF(OR(D1006="-",D1006="",D1006=0),IF(C1006="-","-",C1006),C1006-D1006)</f>
        <v>3</v>
      </c>
      <c r="F1006" s="4">
        <f>IFERROR(IF(C1006&gt;0, D1006/C1006, 0),"-")</f>
        <v>0.98</v>
      </c>
      <c r="G1006" s="34" t="s">
        <v>959</v>
      </c>
      <c r="H1006" s="35" t="s">
        <v>959</v>
      </c>
      <c r="I1006" s="34" t="str">
        <f>IF(OR(H1006="-",H1006="",H1006=0),IF(G1006="-","-",G1006),G1006-H1006)</f>
        <v>-</v>
      </c>
      <c r="J1006" s="4" t="str">
        <f>IFERROR(IF(G1006&gt;0, H1006/G1006, 0),"-")</f>
        <v>-</v>
      </c>
      <c r="K1006" s="34">
        <v>1</v>
      </c>
      <c r="L1006" s="35">
        <v>1</v>
      </c>
      <c r="M1006" s="34">
        <f>IF(OR(L1006="-",L1006="",L1006=0),IF(K1006="-","-",K1006),K1006-L1006)</f>
        <v>0</v>
      </c>
      <c r="N1006" s="4">
        <f>IFERROR(IF(K1006&gt;0, L1006/K1006, 0),"-")</f>
        <v>1</v>
      </c>
      <c r="O1006" s="34">
        <v>2</v>
      </c>
      <c r="P1006" s="35" t="s">
        <v>959</v>
      </c>
      <c r="Q1006" s="34">
        <f>IF(OR(P1006="-",P1006="",P1006=0),IF(O1006="-","-",O1006),O1006-P1006)</f>
        <v>2</v>
      </c>
      <c r="R1006" s="4" t="str">
        <f>IFERROR(IF(O1006&gt;0, P1006/O1006, 0),"-")</f>
        <v>-</v>
      </c>
      <c r="S1006" s="34">
        <v>122</v>
      </c>
      <c r="T1006" s="34">
        <v>7</v>
      </c>
      <c r="U1006" s="34">
        <v>17965</v>
      </c>
      <c r="V1006" s="35">
        <v>1</v>
      </c>
      <c r="W1006" s="35">
        <v>45417</v>
      </c>
    </row>
    <row r="1007" spans="1:23" x14ac:dyDescent="0.2">
      <c r="A1007" s="30" t="s">
        <v>393</v>
      </c>
      <c r="B1007" s="30" t="s">
        <v>1632</v>
      </c>
      <c r="C1007" s="34">
        <v>146</v>
      </c>
      <c r="D1007" s="35">
        <v>143</v>
      </c>
      <c r="E1007" s="34">
        <f>IF(OR(D1007="-",D1007="",D1007=0),IF(C1007="-","-",C1007),C1007-D1007)</f>
        <v>3</v>
      </c>
      <c r="F1007" s="4">
        <f>IFERROR(IF(C1007&gt;0, D1007/C1007, 0),"-")</f>
        <v>0.97945205479452058</v>
      </c>
      <c r="G1007" s="34" t="s">
        <v>959</v>
      </c>
      <c r="H1007" s="35" t="s">
        <v>959</v>
      </c>
      <c r="I1007" s="34" t="str">
        <f>IF(OR(H1007="-",H1007="",H1007=0),IF(G1007="-","-",G1007),G1007-H1007)</f>
        <v>-</v>
      </c>
      <c r="J1007" s="4" t="str">
        <f>IFERROR(IF(G1007&gt;0, H1007/G1007, 0),"-")</f>
        <v>-</v>
      </c>
      <c r="K1007" s="34" t="s">
        <v>959</v>
      </c>
      <c r="L1007" s="35" t="s">
        <v>959</v>
      </c>
      <c r="M1007" s="34" t="str">
        <f>IF(OR(L1007="-",L1007="",L1007=0),IF(K1007="-","-",K1007),K1007-L1007)</f>
        <v>-</v>
      </c>
      <c r="N1007" s="4" t="str">
        <f>IFERROR(IF(K1007&gt;0, L1007/K1007, 0),"-")</f>
        <v>-</v>
      </c>
      <c r="O1007" s="34">
        <v>1</v>
      </c>
      <c r="P1007" s="35" t="s">
        <v>959</v>
      </c>
      <c r="Q1007" s="34">
        <f>IF(OR(P1007="-",P1007="",P1007=0),IF(O1007="-","-",O1007),O1007-P1007)</f>
        <v>1</v>
      </c>
      <c r="R1007" s="4" t="str">
        <f>IFERROR(IF(O1007&gt;0, P1007/O1007, 0),"-")</f>
        <v>-</v>
      </c>
      <c r="S1007" s="34">
        <v>179</v>
      </c>
      <c r="T1007" s="34">
        <v>1</v>
      </c>
      <c r="U1007" s="34">
        <v>1600</v>
      </c>
      <c r="V1007" s="35">
        <v>2</v>
      </c>
      <c r="W1007" s="35">
        <v>24178</v>
      </c>
    </row>
    <row r="1008" spans="1:23" x14ac:dyDescent="0.2">
      <c r="A1008" s="30" t="s">
        <v>388</v>
      </c>
      <c r="B1008" s="30" t="s">
        <v>1633</v>
      </c>
      <c r="C1008" s="34">
        <v>168</v>
      </c>
      <c r="D1008" s="35">
        <v>164</v>
      </c>
      <c r="E1008" s="34">
        <f>IF(OR(D1008="-",D1008="",D1008=0),IF(C1008="-","-",C1008),C1008-D1008)</f>
        <v>4</v>
      </c>
      <c r="F1008" s="4">
        <f>IFERROR(IF(C1008&gt;0, D1008/C1008, 0),"-")</f>
        <v>0.97619047619047616</v>
      </c>
      <c r="G1008" s="34" t="s">
        <v>959</v>
      </c>
      <c r="H1008" s="35" t="s">
        <v>959</v>
      </c>
      <c r="I1008" s="34" t="str">
        <f>IF(OR(H1008="-",H1008="",H1008=0),IF(G1008="-","-",G1008),G1008-H1008)</f>
        <v>-</v>
      </c>
      <c r="J1008" s="4" t="str">
        <f>IFERROR(IF(G1008&gt;0, H1008/G1008, 0),"-")</f>
        <v>-</v>
      </c>
      <c r="K1008" s="34" t="s">
        <v>959</v>
      </c>
      <c r="L1008" s="35" t="s">
        <v>959</v>
      </c>
      <c r="M1008" s="34" t="str">
        <f>IF(OR(L1008="-",L1008="",L1008=0),IF(K1008="-","-",K1008),K1008-L1008)</f>
        <v>-</v>
      </c>
      <c r="N1008" s="4" t="str">
        <f>IFERROR(IF(K1008&gt;0, L1008/K1008, 0),"-")</f>
        <v>-</v>
      </c>
      <c r="O1008" s="34">
        <v>3</v>
      </c>
      <c r="P1008" s="35" t="s">
        <v>959</v>
      </c>
      <c r="Q1008" s="34">
        <f>IF(OR(P1008="-",P1008="",P1008=0),IF(O1008="-","-",O1008),O1008-P1008)</f>
        <v>3</v>
      </c>
      <c r="R1008" s="4" t="str">
        <f>IFERROR(IF(O1008&gt;0, P1008/O1008, 0),"-")</f>
        <v>-</v>
      </c>
      <c r="S1008" s="34">
        <v>151</v>
      </c>
      <c r="T1008" s="34">
        <v>2</v>
      </c>
      <c r="U1008" s="34">
        <v>15400</v>
      </c>
      <c r="V1008" s="35">
        <v>3</v>
      </c>
      <c r="W1008" s="35">
        <v>32352</v>
      </c>
    </row>
    <row r="1009" spans="1:23" x14ac:dyDescent="0.2">
      <c r="A1009" s="30" t="s">
        <v>389</v>
      </c>
      <c r="B1009" s="30" t="s">
        <v>1634</v>
      </c>
      <c r="C1009" s="34">
        <v>144</v>
      </c>
      <c r="D1009" s="35">
        <v>143</v>
      </c>
      <c r="E1009" s="34">
        <f>IF(OR(D1009="-",D1009="",D1009=0),IF(C1009="-","-",C1009),C1009-D1009)</f>
        <v>1</v>
      </c>
      <c r="F1009" s="4">
        <f>IFERROR(IF(C1009&gt;0, D1009/C1009, 0),"-")</f>
        <v>0.99305555555555558</v>
      </c>
      <c r="G1009" s="34">
        <v>1</v>
      </c>
      <c r="H1009" s="35" t="s">
        <v>959</v>
      </c>
      <c r="I1009" s="34">
        <f>IF(OR(H1009="-",H1009="",H1009=0),IF(G1009="-","-",G1009),G1009-H1009)</f>
        <v>1</v>
      </c>
      <c r="J1009" s="4" t="str">
        <f>IFERROR(IF(G1009&gt;0, H1009/G1009, 0),"-")</f>
        <v>-</v>
      </c>
      <c r="K1009" s="34">
        <v>1</v>
      </c>
      <c r="L1009" s="35">
        <v>1</v>
      </c>
      <c r="M1009" s="34">
        <f>IF(OR(L1009="-",L1009="",L1009=0),IF(K1009="-","-",K1009),K1009-L1009)</f>
        <v>0</v>
      </c>
      <c r="N1009" s="4">
        <f>IFERROR(IF(K1009&gt;0, L1009/K1009, 0),"-")</f>
        <v>1</v>
      </c>
      <c r="O1009" s="34" t="s">
        <v>959</v>
      </c>
      <c r="P1009" s="35" t="s">
        <v>959</v>
      </c>
      <c r="Q1009" s="34" t="str">
        <f>IF(OR(P1009="-",P1009="",P1009=0),IF(O1009="-","-",O1009),O1009-P1009)</f>
        <v>-</v>
      </c>
      <c r="R1009" s="4" t="str">
        <f>IFERROR(IF(O1009&gt;0, P1009/O1009, 0),"-")</f>
        <v>-</v>
      </c>
      <c r="S1009" s="34">
        <v>107</v>
      </c>
      <c r="T1009" s="34" t="s">
        <v>959</v>
      </c>
      <c r="U1009" s="34" t="s">
        <v>959</v>
      </c>
      <c r="V1009" s="35" t="s">
        <v>959</v>
      </c>
      <c r="W1009" s="35" t="s">
        <v>959</v>
      </c>
    </row>
    <row r="1010" spans="1:23" x14ac:dyDescent="0.2">
      <c r="A1010" s="29"/>
      <c r="B1010" s="29" t="s">
        <v>130</v>
      </c>
      <c r="C1010" s="32">
        <v>2013</v>
      </c>
      <c r="D1010" s="32">
        <v>1987</v>
      </c>
      <c r="E1010" s="32">
        <f>IF(OR(D1010="-",D1010="",D1010=0),IF(C1010="-","-",C1010),C1010-D1010)</f>
        <v>26</v>
      </c>
      <c r="F1010" s="36">
        <f>IFERROR(IF(C1010&gt;0, D1010/C1010, 0),"-")</f>
        <v>0.98708395429706908</v>
      </c>
      <c r="G1010" s="32">
        <v>16</v>
      </c>
      <c r="H1010" s="32">
        <v>6</v>
      </c>
      <c r="I1010" s="32">
        <f>IF(OR(H1010="-",H1010="",H1010=0),IF(G1010="-","-",G1010),G1010-H1010)</f>
        <v>10</v>
      </c>
      <c r="J1010" s="36">
        <f>IFERROR(IF(G1010&gt;0, H1010/G1010, 0),"-")</f>
        <v>0.375</v>
      </c>
      <c r="K1010" s="32">
        <v>12</v>
      </c>
      <c r="L1010" s="32" t="s">
        <v>959</v>
      </c>
      <c r="M1010" s="32">
        <f>IF(OR(L1010="-",L1010="",L1010=0),IF(K1010="-","-",K1010),K1010-L1010)</f>
        <v>12</v>
      </c>
      <c r="N1010" s="36" t="str">
        <f>IFERROR(IF(K1010&gt;0, L1010/K1010, 0),"-")</f>
        <v>-</v>
      </c>
      <c r="O1010" s="32">
        <v>17</v>
      </c>
      <c r="P1010" s="32">
        <v>2</v>
      </c>
      <c r="Q1010" s="32">
        <f>IF(OR(P1010="-",P1010="",P1010=0),IF(O1010="-","-",O1010),O1010-P1010)</f>
        <v>15</v>
      </c>
      <c r="R1010" s="36">
        <f>IFERROR(IF(O1010&gt;0, P1010/O1010, 0),"-")</f>
        <v>0.11764705882352941</v>
      </c>
      <c r="S1010" s="32">
        <v>1042</v>
      </c>
      <c r="T1010" s="32">
        <v>20</v>
      </c>
      <c r="U1010" s="32">
        <v>67445</v>
      </c>
      <c r="V1010" s="32">
        <v>4</v>
      </c>
      <c r="W1010" s="32">
        <v>52212</v>
      </c>
    </row>
    <row r="1011" spans="1:23" x14ac:dyDescent="0.2">
      <c r="A1011" s="30" t="s">
        <v>903</v>
      </c>
      <c r="B1011" s="30" t="s">
        <v>1635</v>
      </c>
      <c r="C1011" s="34">
        <v>283</v>
      </c>
      <c r="D1011" s="35">
        <v>281</v>
      </c>
      <c r="E1011" s="34">
        <f>IF(OR(D1011="-",D1011="",D1011=0),IF(C1011="-","-",C1011),C1011-D1011)</f>
        <v>2</v>
      </c>
      <c r="F1011" s="4">
        <f>IFERROR(IF(C1011&gt;0, D1011/C1011, 0),"-")</f>
        <v>0.99293286219081267</v>
      </c>
      <c r="G1011" s="34">
        <v>2</v>
      </c>
      <c r="H1011" s="35" t="s">
        <v>959</v>
      </c>
      <c r="I1011" s="34">
        <f>IF(OR(H1011="-",H1011="",H1011=0),IF(G1011="-","-",G1011),G1011-H1011)</f>
        <v>2</v>
      </c>
      <c r="J1011" s="4" t="str">
        <f>IFERROR(IF(G1011&gt;0, H1011/G1011, 0),"-")</f>
        <v>-</v>
      </c>
      <c r="K1011" s="34">
        <v>2</v>
      </c>
      <c r="L1011" s="35" t="s">
        <v>959</v>
      </c>
      <c r="M1011" s="34">
        <f>IF(OR(L1011="-",L1011="",L1011=0),IF(K1011="-","-",K1011),K1011-L1011)</f>
        <v>2</v>
      </c>
      <c r="N1011" s="4" t="str">
        <f>IFERROR(IF(K1011&gt;0, L1011/K1011, 0),"-")</f>
        <v>-</v>
      </c>
      <c r="O1011" s="34" t="s">
        <v>959</v>
      </c>
      <c r="P1011" s="35" t="s">
        <v>959</v>
      </c>
      <c r="Q1011" s="34" t="str">
        <f>IF(OR(P1011="-",P1011="",P1011=0),IF(O1011="-","-",O1011),O1011-P1011)</f>
        <v>-</v>
      </c>
      <c r="R1011" s="4" t="str">
        <f>IFERROR(IF(O1011&gt;0, P1011/O1011, 0),"-")</f>
        <v>-</v>
      </c>
      <c r="S1011" s="34">
        <v>109</v>
      </c>
      <c r="T1011" s="34">
        <v>4</v>
      </c>
      <c r="U1011" s="34">
        <v>7700</v>
      </c>
      <c r="V1011" s="35">
        <v>1</v>
      </c>
      <c r="W1011" s="35">
        <v>4278</v>
      </c>
    </row>
    <row r="1012" spans="1:23" x14ac:dyDescent="0.2">
      <c r="A1012" s="30" t="s">
        <v>904</v>
      </c>
      <c r="B1012" s="30" t="s">
        <v>1636</v>
      </c>
      <c r="C1012" s="34">
        <v>270</v>
      </c>
      <c r="D1012" s="35">
        <v>265</v>
      </c>
      <c r="E1012" s="34">
        <f>IF(OR(D1012="-",D1012="",D1012=0),IF(C1012="-","-",C1012),C1012-D1012)</f>
        <v>5</v>
      </c>
      <c r="F1012" s="4">
        <f>IFERROR(IF(C1012&gt;0, D1012/C1012, 0),"-")</f>
        <v>0.98148148148148151</v>
      </c>
      <c r="G1012" s="34">
        <v>3</v>
      </c>
      <c r="H1012" s="35" t="s">
        <v>959</v>
      </c>
      <c r="I1012" s="34">
        <f>IF(OR(H1012="-",H1012="",H1012=0),IF(G1012="-","-",G1012),G1012-H1012)</f>
        <v>3</v>
      </c>
      <c r="J1012" s="4" t="str">
        <f>IFERROR(IF(G1012&gt;0, H1012/G1012, 0),"-")</f>
        <v>-</v>
      </c>
      <c r="K1012" s="34">
        <v>3</v>
      </c>
      <c r="L1012" s="35" t="s">
        <v>959</v>
      </c>
      <c r="M1012" s="34">
        <f>IF(OR(L1012="-",L1012="",L1012=0),IF(K1012="-","-",K1012),K1012-L1012)</f>
        <v>3</v>
      </c>
      <c r="N1012" s="4" t="str">
        <f>IFERROR(IF(K1012&gt;0, L1012/K1012, 0),"-")</f>
        <v>-</v>
      </c>
      <c r="O1012" s="34">
        <v>1</v>
      </c>
      <c r="P1012" s="35" t="s">
        <v>959</v>
      </c>
      <c r="Q1012" s="34">
        <f>IF(OR(P1012="-",P1012="",P1012=0),IF(O1012="-","-",O1012),O1012-P1012)</f>
        <v>1</v>
      </c>
      <c r="R1012" s="4" t="str">
        <f>IFERROR(IF(O1012&gt;0, P1012/O1012, 0),"-")</f>
        <v>-</v>
      </c>
      <c r="S1012" s="34">
        <v>96</v>
      </c>
      <c r="T1012" s="34" t="s">
        <v>959</v>
      </c>
      <c r="U1012" s="34" t="s">
        <v>959</v>
      </c>
      <c r="V1012" s="35">
        <v>1</v>
      </c>
      <c r="W1012" s="35">
        <v>3094</v>
      </c>
    </row>
    <row r="1013" spans="1:23" x14ac:dyDescent="0.2">
      <c r="A1013" s="30" t="s">
        <v>906</v>
      </c>
      <c r="B1013" s="30" t="s">
        <v>1637</v>
      </c>
      <c r="C1013" s="34">
        <v>91</v>
      </c>
      <c r="D1013" s="35">
        <v>90</v>
      </c>
      <c r="E1013" s="34">
        <f>IF(OR(D1013="-",D1013="",D1013=0),IF(C1013="-","-",C1013),C1013-D1013)</f>
        <v>1</v>
      </c>
      <c r="F1013" s="4">
        <f>IFERROR(IF(C1013&gt;0, D1013/C1013, 0),"-")</f>
        <v>0.98901098901098905</v>
      </c>
      <c r="G1013" s="34">
        <v>1</v>
      </c>
      <c r="H1013" s="35">
        <v>1</v>
      </c>
      <c r="I1013" s="34">
        <f>IF(OR(H1013="-",H1013="",H1013=0),IF(G1013="-","-",G1013),G1013-H1013)</f>
        <v>0</v>
      </c>
      <c r="J1013" s="4">
        <f>IFERROR(IF(G1013&gt;0, H1013/G1013, 0),"-")</f>
        <v>1</v>
      </c>
      <c r="K1013" s="34">
        <v>1</v>
      </c>
      <c r="L1013" s="35" t="s">
        <v>959</v>
      </c>
      <c r="M1013" s="34">
        <f>IF(OR(L1013="-",L1013="",L1013=0),IF(K1013="-","-",K1013),K1013-L1013)</f>
        <v>1</v>
      </c>
      <c r="N1013" s="4" t="str">
        <f>IFERROR(IF(K1013&gt;0, L1013/K1013, 0),"-")</f>
        <v>-</v>
      </c>
      <c r="O1013" s="34" t="s">
        <v>959</v>
      </c>
      <c r="P1013" s="35" t="s">
        <v>959</v>
      </c>
      <c r="Q1013" s="34" t="str">
        <f>IF(OR(P1013="-",P1013="",P1013=0),IF(O1013="-","-",O1013),O1013-P1013)</f>
        <v>-</v>
      </c>
      <c r="R1013" s="4" t="str">
        <f>IFERROR(IF(O1013&gt;0, P1013/O1013, 0),"-")</f>
        <v>-</v>
      </c>
      <c r="S1013" s="34">
        <v>30</v>
      </c>
      <c r="T1013" s="34" t="s">
        <v>959</v>
      </c>
      <c r="U1013" s="34" t="s">
        <v>959</v>
      </c>
      <c r="V1013" s="35" t="s">
        <v>959</v>
      </c>
      <c r="W1013" s="35" t="s">
        <v>959</v>
      </c>
    </row>
    <row r="1014" spans="1:23" x14ac:dyDescent="0.2">
      <c r="A1014" s="30" t="s">
        <v>899</v>
      </c>
      <c r="B1014" s="30" t="s">
        <v>1638</v>
      </c>
      <c r="C1014" s="34">
        <v>273</v>
      </c>
      <c r="D1014" s="35">
        <v>269</v>
      </c>
      <c r="E1014" s="34">
        <f>IF(OR(D1014="-",D1014="",D1014=0),IF(C1014="-","-",C1014),C1014-D1014)</f>
        <v>4</v>
      </c>
      <c r="F1014" s="4">
        <f>IFERROR(IF(C1014&gt;0, D1014/C1014, 0),"-")</f>
        <v>0.9853479853479854</v>
      </c>
      <c r="G1014" s="34">
        <v>2</v>
      </c>
      <c r="H1014" s="35" t="s">
        <v>959</v>
      </c>
      <c r="I1014" s="34">
        <f>IF(OR(H1014="-",H1014="",H1014=0),IF(G1014="-","-",G1014),G1014-H1014)</f>
        <v>2</v>
      </c>
      <c r="J1014" s="4" t="str">
        <f>IFERROR(IF(G1014&gt;0, H1014/G1014, 0),"-")</f>
        <v>-</v>
      </c>
      <c r="K1014" s="34">
        <v>1</v>
      </c>
      <c r="L1014" s="35" t="s">
        <v>959</v>
      </c>
      <c r="M1014" s="34">
        <f>IF(OR(L1014="-",L1014="",L1014=0),IF(K1014="-","-",K1014),K1014-L1014)</f>
        <v>1</v>
      </c>
      <c r="N1014" s="4" t="str">
        <f>IFERROR(IF(K1014&gt;0, L1014/K1014, 0),"-")</f>
        <v>-</v>
      </c>
      <c r="O1014" s="34">
        <v>2</v>
      </c>
      <c r="P1014" s="35">
        <v>1</v>
      </c>
      <c r="Q1014" s="34">
        <f>IF(OR(P1014="-",P1014="",P1014=0),IF(O1014="-","-",O1014),O1014-P1014)</f>
        <v>1</v>
      </c>
      <c r="R1014" s="4">
        <f>IFERROR(IF(O1014&gt;0, P1014/O1014, 0),"-")</f>
        <v>0.5</v>
      </c>
      <c r="S1014" s="34">
        <v>99</v>
      </c>
      <c r="T1014" s="34">
        <v>5</v>
      </c>
      <c r="U1014" s="34">
        <v>18085</v>
      </c>
      <c r="V1014" s="35" t="s">
        <v>959</v>
      </c>
      <c r="W1014" s="35" t="s">
        <v>959</v>
      </c>
    </row>
    <row r="1015" spans="1:23" x14ac:dyDescent="0.2">
      <c r="A1015" s="30" t="s">
        <v>900</v>
      </c>
      <c r="B1015" s="30" t="s">
        <v>1639</v>
      </c>
      <c r="C1015" s="34">
        <v>268</v>
      </c>
      <c r="D1015" s="35">
        <v>265</v>
      </c>
      <c r="E1015" s="34">
        <f>IF(OR(D1015="-",D1015="",D1015=0),IF(C1015="-","-",C1015),C1015-D1015)</f>
        <v>3</v>
      </c>
      <c r="F1015" s="4">
        <f>IFERROR(IF(C1015&gt;0, D1015/C1015, 0),"-")</f>
        <v>0.98880597014925375</v>
      </c>
      <c r="G1015" s="34">
        <v>2</v>
      </c>
      <c r="H1015" s="35">
        <v>1</v>
      </c>
      <c r="I1015" s="34">
        <f>IF(OR(H1015="-",H1015="",H1015=0),IF(G1015="-","-",G1015),G1015-H1015)</f>
        <v>1</v>
      </c>
      <c r="J1015" s="4">
        <f>IFERROR(IF(G1015&gt;0, H1015/G1015, 0),"-")</f>
        <v>0.5</v>
      </c>
      <c r="K1015" s="34">
        <v>2</v>
      </c>
      <c r="L1015" s="35" t="s">
        <v>959</v>
      </c>
      <c r="M1015" s="34">
        <f>IF(OR(L1015="-",L1015="",L1015=0),IF(K1015="-","-",K1015),K1015-L1015)</f>
        <v>2</v>
      </c>
      <c r="N1015" s="4" t="str">
        <f>IFERROR(IF(K1015&gt;0, L1015/K1015, 0),"-")</f>
        <v>-</v>
      </c>
      <c r="O1015" s="34">
        <v>2</v>
      </c>
      <c r="P1015" s="35" t="s">
        <v>959</v>
      </c>
      <c r="Q1015" s="34">
        <f>IF(OR(P1015="-",P1015="",P1015=0),IF(O1015="-","-",O1015),O1015-P1015)</f>
        <v>2</v>
      </c>
      <c r="R1015" s="4" t="str">
        <f>IFERROR(IF(O1015&gt;0, P1015/O1015, 0),"-")</f>
        <v>-</v>
      </c>
      <c r="S1015" s="34">
        <v>141</v>
      </c>
      <c r="T1015" s="34">
        <v>3</v>
      </c>
      <c r="U1015" s="34">
        <v>23005</v>
      </c>
      <c r="V1015" s="35" t="s">
        <v>959</v>
      </c>
      <c r="W1015" s="35" t="s">
        <v>959</v>
      </c>
    </row>
    <row r="1016" spans="1:23" x14ac:dyDescent="0.2">
      <c r="A1016" s="30" t="s">
        <v>902</v>
      </c>
      <c r="B1016" s="30" t="s">
        <v>1640</v>
      </c>
      <c r="C1016" s="34">
        <v>256</v>
      </c>
      <c r="D1016" s="35">
        <v>253</v>
      </c>
      <c r="E1016" s="34">
        <f>IF(OR(D1016="-",D1016="",D1016=0),IF(C1016="-","-",C1016),C1016-D1016)</f>
        <v>3</v>
      </c>
      <c r="F1016" s="4">
        <f>IFERROR(IF(C1016&gt;0, D1016/C1016, 0),"-")</f>
        <v>0.98828125</v>
      </c>
      <c r="G1016" s="34">
        <v>1</v>
      </c>
      <c r="H1016" s="35">
        <v>1</v>
      </c>
      <c r="I1016" s="34">
        <f>IF(OR(H1016="-",H1016="",H1016=0),IF(G1016="-","-",G1016),G1016-H1016)</f>
        <v>0</v>
      </c>
      <c r="J1016" s="4">
        <f>IFERROR(IF(G1016&gt;0, H1016/G1016, 0),"-")</f>
        <v>1</v>
      </c>
      <c r="K1016" s="34">
        <v>1</v>
      </c>
      <c r="L1016" s="35" t="s">
        <v>959</v>
      </c>
      <c r="M1016" s="34">
        <f>IF(OR(L1016="-",L1016="",L1016=0),IF(K1016="-","-",K1016),K1016-L1016)</f>
        <v>1</v>
      </c>
      <c r="N1016" s="4" t="str">
        <f>IFERROR(IF(K1016&gt;0, L1016/K1016, 0),"-")</f>
        <v>-</v>
      </c>
      <c r="O1016" s="34">
        <v>4</v>
      </c>
      <c r="P1016" s="35">
        <v>1</v>
      </c>
      <c r="Q1016" s="34">
        <f>IF(OR(P1016="-",P1016="",P1016=0),IF(O1016="-","-",O1016),O1016-P1016)</f>
        <v>3</v>
      </c>
      <c r="R1016" s="4">
        <f>IFERROR(IF(O1016&gt;0, P1016/O1016, 0),"-")</f>
        <v>0.25</v>
      </c>
      <c r="S1016" s="34">
        <v>134</v>
      </c>
      <c r="T1016" s="34">
        <v>4</v>
      </c>
      <c r="U1016" s="34">
        <v>15000</v>
      </c>
      <c r="V1016" s="35">
        <v>1</v>
      </c>
      <c r="W1016" s="35">
        <v>41549</v>
      </c>
    </row>
    <row r="1017" spans="1:23" x14ac:dyDescent="0.2">
      <c r="A1017" s="30" t="s">
        <v>898</v>
      </c>
      <c r="B1017" s="30" t="s">
        <v>1641</v>
      </c>
      <c r="C1017" s="34">
        <v>222</v>
      </c>
      <c r="D1017" s="35">
        <v>217</v>
      </c>
      <c r="E1017" s="34">
        <f>IF(OR(D1017="-",D1017="",D1017=0),IF(C1017="-","-",C1017),C1017-D1017)</f>
        <v>5</v>
      </c>
      <c r="F1017" s="4">
        <f>IFERROR(IF(C1017&gt;0, D1017/C1017, 0),"-")</f>
        <v>0.97747747747747749</v>
      </c>
      <c r="G1017" s="34">
        <v>1</v>
      </c>
      <c r="H1017" s="35" t="s">
        <v>959</v>
      </c>
      <c r="I1017" s="34">
        <f>IF(OR(H1017="-",H1017="",H1017=0),IF(G1017="-","-",G1017),G1017-H1017)</f>
        <v>1</v>
      </c>
      <c r="J1017" s="4" t="str">
        <f>IFERROR(IF(G1017&gt;0, H1017/G1017, 0),"-")</f>
        <v>-</v>
      </c>
      <c r="K1017" s="34" t="s">
        <v>959</v>
      </c>
      <c r="L1017" s="35" t="s">
        <v>959</v>
      </c>
      <c r="M1017" s="34" t="str">
        <f>IF(OR(L1017="-",L1017="",L1017=0),IF(K1017="-","-",K1017),K1017-L1017)</f>
        <v>-</v>
      </c>
      <c r="N1017" s="4" t="str">
        <f>IFERROR(IF(K1017&gt;0, L1017/K1017, 0),"-")</f>
        <v>-</v>
      </c>
      <c r="O1017" s="34">
        <v>4</v>
      </c>
      <c r="P1017" s="35" t="s">
        <v>959</v>
      </c>
      <c r="Q1017" s="34">
        <f>IF(OR(P1017="-",P1017="",P1017=0),IF(O1017="-","-",O1017),O1017-P1017)</f>
        <v>4</v>
      </c>
      <c r="R1017" s="4" t="str">
        <f>IFERROR(IF(O1017&gt;0, P1017/O1017, 0),"-")</f>
        <v>-</v>
      </c>
      <c r="S1017" s="34">
        <v>182</v>
      </c>
      <c r="T1017" s="34" t="s">
        <v>959</v>
      </c>
      <c r="U1017" s="34" t="s">
        <v>959</v>
      </c>
      <c r="V1017" s="35">
        <v>1</v>
      </c>
      <c r="W1017" s="35">
        <v>3291</v>
      </c>
    </row>
    <row r="1018" spans="1:23" x14ac:dyDescent="0.2">
      <c r="A1018" s="30" t="s">
        <v>905</v>
      </c>
      <c r="B1018" s="30" t="s">
        <v>1642</v>
      </c>
      <c r="C1018" s="34" t="s">
        <v>959</v>
      </c>
      <c r="D1018" s="35" t="s">
        <v>959</v>
      </c>
      <c r="E1018" s="34" t="str">
        <f>IF(OR(D1018="-",D1018="",D1018=0),IF(C1018="-","-",C1018),C1018-D1018)</f>
        <v>-</v>
      </c>
      <c r="F1018" s="4" t="str">
        <f>IFERROR(IF(C1018&gt;0, D1018/C1018, 0),"-")</f>
        <v>-</v>
      </c>
      <c r="G1018" s="34" t="s">
        <v>959</v>
      </c>
      <c r="H1018" s="35" t="s">
        <v>959</v>
      </c>
      <c r="I1018" s="34" t="str">
        <f>IF(OR(H1018="-",H1018="",H1018=0),IF(G1018="-","-",G1018),G1018-H1018)</f>
        <v>-</v>
      </c>
      <c r="J1018" s="4" t="str">
        <f>IFERROR(IF(G1018&gt;0, H1018/G1018, 0),"-")</f>
        <v>-</v>
      </c>
      <c r="K1018" s="34" t="s">
        <v>959</v>
      </c>
      <c r="L1018" s="35" t="s">
        <v>959</v>
      </c>
      <c r="M1018" s="34" t="str">
        <f>IF(OR(L1018="-",L1018="",L1018=0),IF(K1018="-","-",K1018),K1018-L1018)</f>
        <v>-</v>
      </c>
      <c r="N1018" s="4" t="str">
        <f>IFERROR(IF(K1018&gt;0, L1018/K1018, 0),"-")</f>
        <v>-</v>
      </c>
      <c r="O1018" s="34" t="s">
        <v>959</v>
      </c>
      <c r="P1018" s="35" t="s">
        <v>959</v>
      </c>
      <c r="Q1018" s="34" t="str">
        <f>IF(OR(P1018="-",P1018="",P1018=0),IF(O1018="-","-",O1018),O1018-P1018)</f>
        <v>-</v>
      </c>
      <c r="R1018" s="4" t="str">
        <f>IFERROR(IF(O1018&gt;0, P1018/O1018, 0),"-")</f>
        <v>-</v>
      </c>
      <c r="S1018" s="34">
        <v>137</v>
      </c>
      <c r="T1018" s="34">
        <v>3</v>
      </c>
      <c r="U1018" s="34">
        <v>1500</v>
      </c>
      <c r="V1018" s="35" t="s">
        <v>959</v>
      </c>
      <c r="W1018" s="35" t="s">
        <v>959</v>
      </c>
    </row>
    <row r="1019" spans="1:23" x14ac:dyDescent="0.2">
      <c r="A1019" s="30" t="s">
        <v>901</v>
      </c>
      <c r="B1019" s="30" t="s">
        <v>1643</v>
      </c>
      <c r="C1019" s="34">
        <v>350</v>
      </c>
      <c r="D1019" s="35">
        <v>347</v>
      </c>
      <c r="E1019" s="34">
        <f>IF(OR(D1019="-",D1019="",D1019=0),IF(C1019="-","-",C1019),C1019-D1019)</f>
        <v>3</v>
      </c>
      <c r="F1019" s="4">
        <f>IFERROR(IF(C1019&gt;0, D1019/C1019, 0),"-")</f>
        <v>0.99142857142857144</v>
      </c>
      <c r="G1019" s="34">
        <v>4</v>
      </c>
      <c r="H1019" s="35">
        <v>3</v>
      </c>
      <c r="I1019" s="34">
        <f>IF(OR(H1019="-",H1019="",H1019=0),IF(G1019="-","-",G1019),G1019-H1019)</f>
        <v>1</v>
      </c>
      <c r="J1019" s="4">
        <f>IFERROR(IF(G1019&gt;0, H1019/G1019, 0),"-")</f>
        <v>0.75</v>
      </c>
      <c r="K1019" s="34">
        <v>2</v>
      </c>
      <c r="L1019" s="35" t="s">
        <v>959</v>
      </c>
      <c r="M1019" s="34">
        <f>IF(OR(L1019="-",L1019="",L1019=0),IF(K1019="-","-",K1019),K1019-L1019)</f>
        <v>2</v>
      </c>
      <c r="N1019" s="4" t="str">
        <f>IFERROR(IF(K1019&gt;0, L1019/K1019, 0),"-")</f>
        <v>-</v>
      </c>
      <c r="O1019" s="34">
        <v>4</v>
      </c>
      <c r="P1019" s="35" t="s">
        <v>959</v>
      </c>
      <c r="Q1019" s="34">
        <f>IF(OR(P1019="-",P1019="",P1019=0),IF(O1019="-","-",O1019),O1019-P1019)</f>
        <v>4</v>
      </c>
      <c r="R1019" s="4" t="str">
        <f>IFERROR(IF(O1019&gt;0, P1019/O1019, 0),"-")</f>
        <v>-</v>
      </c>
      <c r="S1019" s="34">
        <v>114</v>
      </c>
      <c r="T1019" s="34">
        <v>1</v>
      </c>
      <c r="U1019" s="34">
        <v>2155</v>
      </c>
      <c r="V1019" s="35" t="s">
        <v>959</v>
      </c>
      <c r="W1019" s="35" t="s">
        <v>959</v>
      </c>
    </row>
    <row r="1020" spans="1:23" x14ac:dyDescent="0.2">
      <c r="A1020" s="29"/>
      <c r="B1020" s="29" t="s">
        <v>73</v>
      </c>
      <c r="C1020" s="32">
        <v>1204</v>
      </c>
      <c r="D1020" s="32">
        <v>1189</v>
      </c>
      <c r="E1020" s="32">
        <f>IF(OR(D1020="-",D1020="",D1020=0),IF(C1020="-","-",C1020),C1020-D1020)</f>
        <v>15</v>
      </c>
      <c r="F1020" s="36">
        <f>IFERROR(IF(C1020&gt;0, D1020/C1020, 0),"-")</f>
        <v>0.9875415282392026</v>
      </c>
      <c r="G1020" s="32">
        <v>12</v>
      </c>
      <c r="H1020" s="32">
        <v>5</v>
      </c>
      <c r="I1020" s="32">
        <f>IF(OR(H1020="-",H1020="",H1020=0),IF(G1020="-","-",G1020),G1020-H1020)</f>
        <v>7</v>
      </c>
      <c r="J1020" s="36">
        <f>IFERROR(IF(G1020&gt;0, H1020/G1020, 0),"-")</f>
        <v>0.41666666666666669</v>
      </c>
      <c r="K1020" s="32">
        <v>9</v>
      </c>
      <c r="L1020" s="32">
        <v>5</v>
      </c>
      <c r="M1020" s="32">
        <f>IF(OR(L1020="-",L1020="",L1020=0),IF(K1020="-","-",K1020),K1020-L1020)</f>
        <v>4</v>
      </c>
      <c r="N1020" s="36">
        <f>IFERROR(IF(K1020&gt;0, L1020/K1020, 0),"-")</f>
        <v>0.55555555555555558</v>
      </c>
      <c r="O1020" s="32">
        <v>20</v>
      </c>
      <c r="P1020" s="32">
        <v>5</v>
      </c>
      <c r="Q1020" s="32">
        <f>IF(OR(P1020="-",P1020="",P1020=0),IF(O1020="-","-",O1020),O1020-P1020)</f>
        <v>15</v>
      </c>
      <c r="R1020" s="36">
        <f>IFERROR(IF(O1020&gt;0, P1020/O1020, 0),"-")</f>
        <v>0.25</v>
      </c>
      <c r="S1020" s="32">
        <v>958</v>
      </c>
      <c r="T1020" s="32">
        <v>17</v>
      </c>
      <c r="U1020" s="32">
        <v>99034</v>
      </c>
      <c r="V1020" s="32">
        <v>9</v>
      </c>
      <c r="W1020" s="32">
        <v>143893</v>
      </c>
    </row>
    <row r="1021" spans="1:23" x14ac:dyDescent="0.2">
      <c r="A1021" s="30" t="s">
        <v>496</v>
      </c>
      <c r="B1021" s="30" t="s">
        <v>1644</v>
      </c>
      <c r="C1021" s="34">
        <v>6</v>
      </c>
      <c r="D1021" s="35">
        <v>6</v>
      </c>
      <c r="E1021" s="34">
        <f>IF(OR(D1021="-",D1021="",D1021=0),IF(C1021="-","-",C1021),C1021-D1021)</f>
        <v>0</v>
      </c>
      <c r="F1021" s="4">
        <f>IFERROR(IF(C1021&gt;0, D1021/C1021, 0),"-")</f>
        <v>1</v>
      </c>
      <c r="G1021" s="34" t="s">
        <v>959</v>
      </c>
      <c r="H1021" s="35" t="s">
        <v>959</v>
      </c>
      <c r="I1021" s="34" t="str">
        <f>IF(OR(H1021="-",H1021="",H1021=0),IF(G1021="-","-",G1021),G1021-H1021)</f>
        <v>-</v>
      </c>
      <c r="J1021" s="4" t="str">
        <f>IFERROR(IF(G1021&gt;0, H1021/G1021, 0),"-")</f>
        <v>-</v>
      </c>
      <c r="K1021" s="34" t="s">
        <v>959</v>
      </c>
      <c r="L1021" s="35" t="s">
        <v>959</v>
      </c>
      <c r="M1021" s="34" t="str">
        <f>IF(OR(L1021="-",L1021="",L1021=0),IF(K1021="-","-",K1021),K1021-L1021)</f>
        <v>-</v>
      </c>
      <c r="N1021" s="4" t="str">
        <f>IFERROR(IF(K1021&gt;0, L1021/K1021, 0),"-")</f>
        <v>-</v>
      </c>
      <c r="O1021" s="34">
        <v>1</v>
      </c>
      <c r="P1021" s="35" t="s">
        <v>959</v>
      </c>
      <c r="Q1021" s="34">
        <f>IF(OR(P1021="-",P1021="",P1021=0),IF(O1021="-","-",O1021),O1021-P1021)</f>
        <v>1</v>
      </c>
      <c r="R1021" s="4" t="str">
        <f>IFERROR(IF(O1021&gt;0, P1021/O1021, 0),"-")</f>
        <v>-</v>
      </c>
      <c r="S1021" s="34">
        <v>20</v>
      </c>
      <c r="T1021" s="34">
        <v>1</v>
      </c>
      <c r="U1021" s="34">
        <v>2695</v>
      </c>
      <c r="V1021" s="35" t="s">
        <v>959</v>
      </c>
      <c r="W1021" s="35" t="s">
        <v>959</v>
      </c>
    </row>
    <row r="1022" spans="1:23" x14ac:dyDescent="0.2">
      <c r="A1022" s="30" t="s">
        <v>486</v>
      </c>
      <c r="B1022" s="30" t="s">
        <v>1645</v>
      </c>
      <c r="C1022" s="34">
        <v>280</v>
      </c>
      <c r="D1022" s="35">
        <v>276</v>
      </c>
      <c r="E1022" s="34">
        <f>IF(OR(D1022="-",D1022="",D1022=0),IF(C1022="-","-",C1022),C1022-D1022)</f>
        <v>4</v>
      </c>
      <c r="F1022" s="4">
        <f>IFERROR(IF(C1022&gt;0, D1022/C1022, 0),"-")</f>
        <v>0.98571428571428577</v>
      </c>
      <c r="G1022" s="34">
        <v>1</v>
      </c>
      <c r="H1022" s="35">
        <v>1</v>
      </c>
      <c r="I1022" s="34">
        <f>IF(OR(H1022="-",H1022="",H1022=0),IF(G1022="-","-",G1022),G1022-H1022)</f>
        <v>0</v>
      </c>
      <c r="J1022" s="4">
        <f>IFERROR(IF(G1022&gt;0, H1022/G1022, 0),"-")</f>
        <v>1</v>
      </c>
      <c r="K1022" s="34">
        <v>2</v>
      </c>
      <c r="L1022" s="35">
        <v>1</v>
      </c>
      <c r="M1022" s="34">
        <f>IF(OR(L1022="-",L1022="",L1022=0),IF(K1022="-","-",K1022),K1022-L1022)</f>
        <v>1</v>
      </c>
      <c r="N1022" s="4">
        <f>IFERROR(IF(K1022&gt;0, L1022/K1022, 0),"-")</f>
        <v>0.5</v>
      </c>
      <c r="O1022" s="34">
        <v>8</v>
      </c>
      <c r="P1022" s="35">
        <v>2</v>
      </c>
      <c r="Q1022" s="34">
        <f>IF(OR(P1022="-",P1022="",P1022=0),IF(O1022="-","-",O1022),O1022-P1022)</f>
        <v>6</v>
      </c>
      <c r="R1022" s="4">
        <f>IFERROR(IF(O1022&gt;0, P1022/O1022, 0),"-")</f>
        <v>0.25</v>
      </c>
      <c r="S1022" s="34">
        <v>329</v>
      </c>
      <c r="T1022" s="34">
        <v>5</v>
      </c>
      <c r="U1022" s="34">
        <v>23869</v>
      </c>
      <c r="V1022" s="35">
        <v>4</v>
      </c>
      <c r="W1022" s="35">
        <v>91693</v>
      </c>
    </row>
    <row r="1023" spans="1:23" x14ac:dyDescent="0.2">
      <c r="A1023" s="30" t="s">
        <v>489</v>
      </c>
      <c r="B1023" s="30" t="s">
        <v>1646</v>
      </c>
      <c r="C1023" s="34">
        <v>250</v>
      </c>
      <c r="D1023" s="35">
        <v>247</v>
      </c>
      <c r="E1023" s="34">
        <f>IF(OR(D1023="-",D1023="",D1023=0),IF(C1023="-","-",C1023),C1023-D1023)</f>
        <v>3</v>
      </c>
      <c r="F1023" s="4">
        <f>IFERROR(IF(C1023&gt;0, D1023/C1023, 0),"-")</f>
        <v>0.98799999999999999</v>
      </c>
      <c r="G1023" s="34">
        <v>2</v>
      </c>
      <c r="H1023" s="35" t="s">
        <v>959</v>
      </c>
      <c r="I1023" s="34">
        <f>IF(OR(H1023="-",H1023="",H1023=0),IF(G1023="-","-",G1023),G1023-H1023)</f>
        <v>2</v>
      </c>
      <c r="J1023" s="4" t="str">
        <f>IFERROR(IF(G1023&gt;0, H1023/G1023, 0),"-")</f>
        <v>-</v>
      </c>
      <c r="K1023" s="34">
        <v>1</v>
      </c>
      <c r="L1023" s="35" t="s">
        <v>959</v>
      </c>
      <c r="M1023" s="34">
        <f>IF(OR(L1023="-",L1023="",L1023=0),IF(K1023="-","-",K1023),K1023-L1023)</f>
        <v>1</v>
      </c>
      <c r="N1023" s="4" t="str">
        <f>IFERROR(IF(K1023&gt;0, L1023/K1023, 0),"-")</f>
        <v>-</v>
      </c>
      <c r="O1023" s="34">
        <v>1</v>
      </c>
      <c r="P1023" s="35" t="s">
        <v>959</v>
      </c>
      <c r="Q1023" s="34">
        <f>IF(OR(P1023="-",P1023="",P1023=0),IF(O1023="-","-",O1023),O1023-P1023)</f>
        <v>1</v>
      </c>
      <c r="R1023" s="4" t="str">
        <f>IFERROR(IF(O1023&gt;0, P1023/O1023, 0),"-")</f>
        <v>-</v>
      </c>
      <c r="S1023" s="34">
        <v>184</v>
      </c>
      <c r="T1023" s="34">
        <v>3</v>
      </c>
      <c r="U1023" s="34">
        <v>53890</v>
      </c>
      <c r="V1023" s="35">
        <v>1</v>
      </c>
      <c r="W1023" s="35">
        <v>16565</v>
      </c>
    </row>
    <row r="1024" spans="1:23" x14ac:dyDescent="0.2">
      <c r="A1024" s="30" t="s">
        <v>487</v>
      </c>
      <c r="B1024" s="30" t="s">
        <v>1647</v>
      </c>
      <c r="C1024" s="34">
        <v>238</v>
      </c>
      <c r="D1024" s="35">
        <v>236</v>
      </c>
      <c r="E1024" s="34">
        <f>IF(OR(D1024="-",D1024="",D1024=0),IF(C1024="-","-",C1024),C1024-D1024)</f>
        <v>2</v>
      </c>
      <c r="F1024" s="4">
        <f>IFERROR(IF(C1024&gt;0, D1024/C1024, 0),"-")</f>
        <v>0.99159663865546221</v>
      </c>
      <c r="G1024" s="34">
        <v>1</v>
      </c>
      <c r="H1024" s="35" t="s">
        <v>959</v>
      </c>
      <c r="I1024" s="34">
        <f>IF(OR(H1024="-",H1024="",H1024=0),IF(G1024="-","-",G1024),G1024-H1024)</f>
        <v>1</v>
      </c>
      <c r="J1024" s="4" t="str">
        <f>IFERROR(IF(G1024&gt;0, H1024/G1024, 0),"-")</f>
        <v>-</v>
      </c>
      <c r="K1024" s="34" t="s">
        <v>959</v>
      </c>
      <c r="L1024" s="35" t="s">
        <v>959</v>
      </c>
      <c r="M1024" s="34" t="str">
        <f>IF(OR(L1024="-",L1024="",L1024=0),IF(K1024="-","-",K1024),K1024-L1024)</f>
        <v>-</v>
      </c>
      <c r="N1024" s="4" t="str">
        <f>IFERROR(IF(K1024&gt;0, L1024/K1024, 0),"-")</f>
        <v>-</v>
      </c>
      <c r="O1024" s="34">
        <v>2</v>
      </c>
      <c r="P1024" s="35" t="s">
        <v>959</v>
      </c>
      <c r="Q1024" s="34">
        <f>IF(OR(P1024="-",P1024="",P1024=0),IF(O1024="-","-",O1024),O1024-P1024)</f>
        <v>2</v>
      </c>
      <c r="R1024" s="4" t="str">
        <f>IFERROR(IF(O1024&gt;0, P1024/O1024, 0),"-")</f>
        <v>-</v>
      </c>
      <c r="S1024" s="34">
        <v>67</v>
      </c>
      <c r="T1024" s="34">
        <v>1</v>
      </c>
      <c r="U1024" s="34">
        <v>500</v>
      </c>
      <c r="V1024" s="35" t="s">
        <v>959</v>
      </c>
      <c r="W1024" s="35" t="s">
        <v>959</v>
      </c>
    </row>
    <row r="1025" spans="1:23" x14ac:dyDescent="0.2">
      <c r="A1025" s="30" t="s">
        <v>488</v>
      </c>
      <c r="B1025" s="30" t="s">
        <v>1648</v>
      </c>
      <c r="C1025" s="34">
        <v>115</v>
      </c>
      <c r="D1025" s="35">
        <v>114</v>
      </c>
      <c r="E1025" s="34">
        <f>IF(OR(D1025="-",D1025="",D1025=0),IF(C1025="-","-",C1025),C1025-D1025)</f>
        <v>1</v>
      </c>
      <c r="F1025" s="4">
        <f>IFERROR(IF(C1025&gt;0, D1025/C1025, 0),"-")</f>
        <v>0.99130434782608701</v>
      </c>
      <c r="G1025" s="34" t="s">
        <v>959</v>
      </c>
      <c r="H1025" s="35" t="s">
        <v>959</v>
      </c>
      <c r="I1025" s="34" t="str">
        <f>IF(OR(H1025="-",H1025="",H1025=0),IF(G1025="-","-",G1025),G1025-H1025)</f>
        <v>-</v>
      </c>
      <c r="J1025" s="4" t="str">
        <f>IFERROR(IF(G1025&gt;0, H1025/G1025, 0),"-")</f>
        <v>-</v>
      </c>
      <c r="K1025" s="34" t="s">
        <v>959</v>
      </c>
      <c r="L1025" s="35" t="s">
        <v>959</v>
      </c>
      <c r="M1025" s="34" t="str">
        <f>IF(OR(L1025="-",L1025="",L1025=0),IF(K1025="-","-",K1025),K1025-L1025)</f>
        <v>-</v>
      </c>
      <c r="N1025" s="4" t="str">
        <f>IFERROR(IF(K1025&gt;0, L1025/K1025, 0),"-")</f>
        <v>-</v>
      </c>
      <c r="O1025" s="34">
        <v>1</v>
      </c>
      <c r="P1025" s="35" t="s">
        <v>959</v>
      </c>
      <c r="Q1025" s="34">
        <f>IF(OR(P1025="-",P1025="",P1025=0),IF(O1025="-","-",O1025),O1025-P1025)</f>
        <v>1</v>
      </c>
      <c r="R1025" s="4" t="str">
        <f>IFERROR(IF(O1025&gt;0, P1025/O1025, 0),"-")</f>
        <v>-</v>
      </c>
      <c r="S1025" s="34">
        <v>109</v>
      </c>
      <c r="T1025" s="34">
        <v>1</v>
      </c>
      <c r="U1025" s="34">
        <v>500</v>
      </c>
      <c r="V1025" s="35" t="s">
        <v>959</v>
      </c>
      <c r="W1025" s="35" t="s">
        <v>959</v>
      </c>
    </row>
    <row r="1026" spans="1:23" x14ac:dyDescent="0.2">
      <c r="A1026" s="30" t="s">
        <v>490</v>
      </c>
      <c r="B1026" s="30" t="s">
        <v>1649</v>
      </c>
      <c r="C1026" s="34">
        <v>90</v>
      </c>
      <c r="D1026" s="35">
        <v>90</v>
      </c>
      <c r="E1026" s="34">
        <f>IF(OR(D1026="-",D1026="",D1026=0),IF(C1026="-","-",C1026),C1026-D1026)</f>
        <v>0</v>
      </c>
      <c r="F1026" s="4">
        <f>IFERROR(IF(C1026&gt;0, D1026/C1026, 0),"-")</f>
        <v>1</v>
      </c>
      <c r="G1026" s="34">
        <v>3</v>
      </c>
      <c r="H1026" s="35" t="s">
        <v>959</v>
      </c>
      <c r="I1026" s="34">
        <f>IF(OR(H1026="-",H1026="",H1026=0),IF(G1026="-","-",G1026),G1026-H1026)</f>
        <v>3</v>
      </c>
      <c r="J1026" s="4" t="str">
        <f>IFERROR(IF(G1026&gt;0, H1026/G1026, 0),"-")</f>
        <v>-</v>
      </c>
      <c r="K1026" s="34">
        <v>1</v>
      </c>
      <c r="L1026" s="35" t="s">
        <v>959</v>
      </c>
      <c r="M1026" s="34">
        <f>IF(OR(L1026="-",L1026="",L1026=0),IF(K1026="-","-",K1026),K1026-L1026)</f>
        <v>1</v>
      </c>
      <c r="N1026" s="4" t="str">
        <f>IFERROR(IF(K1026&gt;0, L1026/K1026, 0),"-")</f>
        <v>-</v>
      </c>
      <c r="O1026" s="34">
        <v>2</v>
      </c>
      <c r="P1026" s="35" t="s">
        <v>959</v>
      </c>
      <c r="Q1026" s="34">
        <f>IF(OR(P1026="-",P1026="",P1026=0),IF(O1026="-","-",O1026),O1026-P1026)</f>
        <v>2</v>
      </c>
      <c r="R1026" s="4" t="str">
        <f>IFERROR(IF(O1026&gt;0, P1026/O1026, 0),"-")</f>
        <v>-</v>
      </c>
      <c r="S1026" s="34">
        <v>68</v>
      </c>
      <c r="T1026" s="34">
        <v>3</v>
      </c>
      <c r="U1026" s="34">
        <v>8090</v>
      </c>
      <c r="V1026" s="35">
        <v>1</v>
      </c>
      <c r="W1026" s="35">
        <v>21349</v>
      </c>
    </row>
    <row r="1027" spans="1:23" x14ac:dyDescent="0.2">
      <c r="A1027" s="30" t="s">
        <v>485</v>
      </c>
      <c r="B1027" s="30" t="s">
        <v>1650</v>
      </c>
      <c r="C1027" s="34">
        <v>225</v>
      </c>
      <c r="D1027" s="35">
        <v>220</v>
      </c>
      <c r="E1027" s="34">
        <f>IF(OR(D1027="-",D1027="",D1027=0),IF(C1027="-","-",C1027),C1027-D1027)</f>
        <v>5</v>
      </c>
      <c r="F1027" s="4">
        <f>IFERROR(IF(C1027&gt;0, D1027/C1027, 0),"-")</f>
        <v>0.97777777777777775</v>
      </c>
      <c r="G1027" s="34">
        <v>5</v>
      </c>
      <c r="H1027" s="35">
        <v>4</v>
      </c>
      <c r="I1027" s="34">
        <f>IF(OR(H1027="-",H1027="",H1027=0),IF(G1027="-","-",G1027),G1027-H1027)</f>
        <v>1</v>
      </c>
      <c r="J1027" s="4">
        <f>IFERROR(IF(G1027&gt;0, H1027/G1027, 0),"-")</f>
        <v>0.8</v>
      </c>
      <c r="K1027" s="34">
        <v>5</v>
      </c>
      <c r="L1027" s="35">
        <v>4</v>
      </c>
      <c r="M1027" s="34">
        <f>IF(OR(L1027="-",L1027="",L1027=0),IF(K1027="-","-",K1027),K1027-L1027)</f>
        <v>1</v>
      </c>
      <c r="N1027" s="4">
        <f>IFERROR(IF(K1027&gt;0, L1027/K1027, 0),"-")</f>
        <v>0.8</v>
      </c>
      <c r="O1027" s="34">
        <v>5</v>
      </c>
      <c r="P1027" s="35">
        <v>3</v>
      </c>
      <c r="Q1027" s="34">
        <f>IF(OR(P1027="-",P1027="",P1027=0),IF(O1027="-","-",O1027),O1027-P1027)</f>
        <v>2</v>
      </c>
      <c r="R1027" s="4">
        <f>IFERROR(IF(O1027&gt;0, P1027/O1027, 0),"-")</f>
        <v>0.6</v>
      </c>
      <c r="S1027" s="34">
        <v>181</v>
      </c>
      <c r="T1027" s="34">
        <v>3</v>
      </c>
      <c r="U1027" s="34">
        <v>9490</v>
      </c>
      <c r="V1027" s="35">
        <v>3</v>
      </c>
      <c r="W1027" s="35">
        <v>14286</v>
      </c>
    </row>
    <row r="1028" spans="1:23" x14ac:dyDescent="0.2">
      <c r="A1028" s="29"/>
      <c r="B1028" s="29" t="s">
        <v>27</v>
      </c>
      <c r="C1028" s="32">
        <v>386</v>
      </c>
      <c r="D1028" s="32">
        <v>377</v>
      </c>
      <c r="E1028" s="32">
        <f>IF(OR(D1028="-",D1028="",D1028=0),IF(C1028="-","-",C1028),C1028-D1028)</f>
        <v>9</v>
      </c>
      <c r="F1028" s="36">
        <f>IFERROR(IF(C1028&gt;0, D1028/C1028, 0),"-")</f>
        <v>0.97668393782383423</v>
      </c>
      <c r="G1028" s="32">
        <v>10</v>
      </c>
      <c r="H1028" s="32">
        <v>9</v>
      </c>
      <c r="I1028" s="32">
        <f>IF(OR(H1028="-",H1028="",H1028=0),IF(G1028="-","-",G1028),G1028-H1028)</f>
        <v>1</v>
      </c>
      <c r="J1028" s="36">
        <f>IFERROR(IF(G1028&gt;0, H1028/G1028, 0),"-")</f>
        <v>0.9</v>
      </c>
      <c r="K1028" s="32">
        <v>3</v>
      </c>
      <c r="L1028" s="32">
        <v>1</v>
      </c>
      <c r="M1028" s="32">
        <f>IF(OR(L1028="-",L1028="",L1028=0),IF(K1028="-","-",K1028),K1028-L1028)</f>
        <v>2</v>
      </c>
      <c r="N1028" s="36">
        <f>IFERROR(IF(K1028&gt;0, L1028/K1028, 0),"-")</f>
        <v>0.33333333333333331</v>
      </c>
      <c r="O1028" s="32">
        <v>3</v>
      </c>
      <c r="P1028" s="32" t="s">
        <v>959</v>
      </c>
      <c r="Q1028" s="32">
        <f>IF(OR(P1028="-",P1028="",P1028=0),IF(O1028="-","-",O1028),O1028-P1028)</f>
        <v>3</v>
      </c>
      <c r="R1028" s="36" t="str">
        <f>IFERROR(IF(O1028&gt;0, P1028/O1028, 0),"-")</f>
        <v>-</v>
      </c>
      <c r="S1028" s="32">
        <v>10</v>
      </c>
      <c r="T1028" s="32">
        <v>2</v>
      </c>
      <c r="U1028" s="32">
        <v>8085</v>
      </c>
      <c r="V1028" s="32" t="s">
        <v>959</v>
      </c>
      <c r="W1028" s="32" t="s">
        <v>959</v>
      </c>
    </row>
    <row r="1029" spans="1:23" x14ac:dyDescent="0.2">
      <c r="A1029" s="30" t="s">
        <v>814</v>
      </c>
      <c r="B1029" s="30" t="s">
        <v>1651</v>
      </c>
      <c r="C1029" s="34">
        <v>216</v>
      </c>
      <c r="D1029" s="35">
        <v>211</v>
      </c>
      <c r="E1029" s="34">
        <f>IF(OR(D1029="-",D1029="",D1029=0),IF(C1029="-","-",C1029),C1029-D1029)</f>
        <v>5</v>
      </c>
      <c r="F1029" s="4">
        <f>IFERROR(IF(C1029&gt;0, D1029/C1029, 0),"-")</f>
        <v>0.97685185185185186</v>
      </c>
      <c r="G1029" s="34">
        <v>4</v>
      </c>
      <c r="H1029" s="35">
        <v>4</v>
      </c>
      <c r="I1029" s="34">
        <f>IF(OR(H1029="-",H1029="",H1029=0),IF(G1029="-","-",G1029),G1029-H1029)</f>
        <v>0</v>
      </c>
      <c r="J1029" s="4">
        <f>IFERROR(IF(G1029&gt;0, H1029/G1029, 0),"-")</f>
        <v>1</v>
      </c>
      <c r="K1029" s="34">
        <v>1</v>
      </c>
      <c r="L1029" s="35">
        <v>1</v>
      </c>
      <c r="M1029" s="34">
        <f>IF(OR(L1029="-",L1029="",L1029=0),IF(K1029="-","-",K1029),K1029-L1029)</f>
        <v>0</v>
      </c>
      <c r="N1029" s="4">
        <f>IFERROR(IF(K1029&gt;0, L1029/K1029, 0),"-")</f>
        <v>1</v>
      </c>
      <c r="O1029" s="34">
        <v>2</v>
      </c>
      <c r="P1029" s="35" t="s">
        <v>959</v>
      </c>
      <c r="Q1029" s="34">
        <f>IF(OR(P1029="-",P1029="",P1029=0),IF(O1029="-","-",O1029),O1029-P1029)</f>
        <v>2</v>
      </c>
      <c r="R1029" s="4" t="str">
        <f>IFERROR(IF(O1029&gt;0, P1029/O1029, 0),"-")</f>
        <v>-</v>
      </c>
      <c r="S1029" s="34">
        <v>4</v>
      </c>
      <c r="T1029" s="34">
        <v>1</v>
      </c>
      <c r="U1029" s="34">
        <v>2695</v>
      </c>
      <c r="V1029" s="35" t="s">
        <v>959</v>
      </c>
      <c r="W1029" s="35" t="s">
        <v>959</v>
      </c>
    </row>
    <row r="1030" spans="1:23" x14ac:dyDescent="0.2">
      <c r="A1030" s="30" t="s">
        <v>815</v>
      </c>
      <c r="B1030" s="30" t="s">
        <v>1652</v>
      </c>
      <c r="C1030" s="34">
        <v>170</v>
      </c>
      <c r="D1030" s="35">
        <v>166</v>
      </c>
      <c r="E1030" s="34">
        <f>IF(OR(D1030="-",D1030="",D1030=0),IF(C1030="-","-",C1030),C1030-D1030)</f>
        <v>4</v>
      </c>
      <c r="F1030" s="4">
        <f>IFERROR(IF(C1030&gt;0, D1030/C1030, 0),"-")</f>
        <v>0.97647058823529409</v>
      </c>
      <c r="G1030" s="34">
        <v>6</v>
      </c>
      <c r="H1030" s="35">
        <v>5</v>
      </c>
      <c r="I1030" s="34">
        <f>IF(OR(H1030="-",H1030="",H1030=0),IF(G1030="-","-",G1030),G1030-H1030)</f>
        <v>1</v>
      </c>
      <c r="J1030" s="4">
        <f>IFERROR(IF(G1030&gt;0, H1030/G1030, 0),"-")</f>
        <v>0.83333333333333337</v>
      </c>
      <c r="K1030" s="34">
        <v>2</v>
      </c>
      <c r="L1030" s="35" t="s">
        <v>959</v>
      </c>
      <c r="M1030" s="34">
        <f>IF(OR(L1030="-",L1030="",L1030=0),IF(K1030="-","-",K1030),K1030-L1030)</f>
        <v>2</v>
      </c>
      <c r="N1030" s="4" t="str">
        <f>IFERROR(IF(K1030&gt;0, L1030/K1030, 0),"-")</f>
        <v>-</v>
      </c>
      <c r="O1030" s="34">
        <v>1</v>
      </c>
      <c r="P1030" s="35" t="s">
        <v>959</v>
      </c>
      <c r="Q1030" s="34">
        <f>IF(OR(P1030="-",P1030="",P1030=0),IF(O1030="-","-",O1030),O1030-P1030)</f>
        <v>1</v>
      </c>
      <c r="R1030" s="4" t="str">
        <f>IFERROR(IF(O1030&gt;0, P1030/O1030, 0),"-")</f>
        <v>-</v>
      </c>
      <c r="S1030" s="34">
        <v>6</v>
      </c>
      <c r="T1030" s="34">
        <v>1</v>
      </c>
      <c r="U1030" s="34">
        <v>5390</v>
      </c>
      <c r="V1030" s="35" t="s">
        <v>959</v>
      </c>
      <c r="W1030" s="35" t="s">
        <v>959</v>
      </c>
    </row>
    <row r="1031" spans="1:23" x14ac:dyDescent="0.2">
      <c r="A1031" s="29"/>
      <c r="B1031" s="29" t="s">
        <v>82</v>
      </c>
      <c r="C1031" s="32">
        <v>740</v>
      </c>
      <c r="D1031" s="32">
        <v>728</v>
      </c>
      <c r="E1031" s="32">
        <f>IF(OR(D1031="-",D1031="",D1031=0),IF(C1031="-","-",C1031),C1031-D1031)</f>
        <v>12</v>
      </c>
      <c r="F1031" s="36">
        <f>IFERROR(IF(C1031&gt;0, D1031/C1031, 0),"-")</f>
        <v>0.98378378378378384</v>
      </c>
      <c r="G1031" s="32">
        <v>17</v>
      </c>
      <c r="H1031" s="32">
        <v>4</v>
      </c>
      <c r="I1031" s="32">
        <f>IF(OR(H1031="-",H1031="",H1031=0),IF(G1031="-","-",G1031),G1031-H1031)</f>
        <v>13</v>
      </c>
      <c r="J1031" s="36">
        <f>IFERROR(IF(G1031&gt;0, H1031/G1031, 0),"-")</f>
        <v>0.23529411764705882</v>
      </c>
      <c r="K1031" s="32">
        <v>3</v>
      </c>
      <c r="L1031" s="32">
        <v>1</v>
      </c>
      <c r="M1031" s="32">
        <f>IF(OR(L1031="-",L1031="",L1031=0),IF(K1031="-","-",K1031),K1031-L1031)</f>
        <v>2</v>
      </c>
      <c r="N1031" s="36">
        <f>IFERROR(IF(K1031&gt;0, L1031/K1031, 0),"-")</f>
        <v>0.33333333333333331</v>
      </c>
      <c r="O1031" s="32">
        <v>5</v>
      </c>
      <c r="P1031" s="32">
        <v>1</v>
      </c>
      <c r="Q1031" s="32">
        <f>IF(OR(P1031="-",P1031="",P1031=0),IF(O1031="-","-",O1031),O1031-P1031)</f>
        <v>4</v>
      </c>
      <c r="R1031" s="36">
        <f>IFERROR(IF(O1031&gt;0, P1031/O1031, 0),"-")</f>
        <v>0.2</v>
      </c>
      <c r="S1031" s="32">
        <v>61</v>
      </c>
      <c r="T1031" s="32">
        <v>3</v>
      </c>
      <c r="U1031" s="32">
        <v>8095</v>
      </c>
      <c r="V1031" s="32" t="s">
        <v>959</v>
      </c>
      <c r="W1031" s="32" t="s">
        <v>959</v>
      </c>
    </row>
    <row r="1032" spans="1:23" x14ac:dyDescent="0.2">
      <c r="A1032" s="30" t="s">
        <v>545</v>
      </c>
      <c r="B1032" s="30" t="s">
        <v>1653</v>
      </c>
      <c r="C1032" s="34">
        <v>239</v>
      </c>
      <c r="D1032" s="35">
        <v>234</v>
      </c>
      <c r="E1032" s="34">
        <f>IF(OR(D1032="-",D1032="",D1032=0),IF(C1032="-","-",C1032),C1032-D1032)</f>
        <v>5</v>
      </c>
      <c r="F1032" s="4">
        <f>IFERROR(IF(C1032&gt;0, D1032/C1032, 0),"-")</f>
        <v>0.97907949790794979</v>
      </c>
      <c r="G1032" s="34">
        <v>6</v>
      </c>
      <c r="H1032" s="35">
        <v>3</v>
      </c>
      <c r="I1032" s="34">
        <f>IF(OR(H1032="-",H1032="",H1032=0),IF(G1032="-","-",G1032),G1032-H1032)</f>
        <v>3</v>
      </c>
      <c r="J1032" s="4">
        <f>IFERROR(IF(G1032&gt;0, H1032/G1032, 0),"-")</f>
        <v>0.5</v>
      </c>
      <c r="K1032" s="34">
        <v>1</v>
      </c>
      <c r="L1032" s="35">
        <v>1</v>
      </c>
      <c r="M1032" s="34">
        <f>IF(OR(L1032="-",L1032="",L1032=0),IF(K1032="-","-",K1032),K1032-L1032)</f>
        <v>0</v>
      </c>
      <c r="N1032" s="4">
        <f>IFERROR(IF(K1032&gt;0, L1032/K1032, 0),"-")</f>
        <v>1</v>
      </c>
      <c r="O1032" s="34">
        <v>2</v>
      </c>
      <c r="P1032" s="35" t="s">
        <v>959</v>
      </c>
      <c r="Q1032" s="34">
        <f>IF(OR(P1032="-",P1032="",P1032=0),IF(O1032="-","-",O1032),O1032-P1032)</f>
        <v>2</v>
      </c>
      <c r="R1032" s="4" t="str">
        <f>IFERROR(IF(O1032&gt;0, P1032/O1032, 0),"-")</f>
        <v>-</v>
      </c>
      <c r="S1032" s="34">
        <v>27</v>
      </c>
      <c r="T1032" s="34">
        <v>2</v>
      </c>
      <c r="U1032" s="34">
        <v>5400</v>
      </c>
      <c r="V1032" s="35" t="s">
        <v>959</v>
      </c>
      <c r="W1032" s="35" t="s">
        <v>959</v>
      </c>
    </row>
    <row r="1033" spans="1:23" x14ac:dyDescent="0.2">
      <c r="A1033" s="30" t="s">
        <v>547</v>
      </c>
      <c r="B1033" s="30" t="s">
        <v>1654</v>
      </c>
      <c r="C1033" s="34">
        <v>133</v>
      </c>
      <c r="D1033" s="35">
        <v>132</v>
      </c>
      <c r="E1033" s="34">
        <f>IF(OR(D1033="-",D1033="",D1033=0),IF(C1033="-","-",C1033),C1033-D1033)</f>
        <v>1</v>
      </c>
      <c r="F1033" s="4">
        <f>IFERROR(IF(C1033&gt;0, D1033/C1033, 0),"-")</f>
        <v>0.99248120300751874</v>
      </c>
      <c r="G1033" s="34">
        <v>2</v>
      </c>
      <c r="H1033" s="35" t="s">
        <v>959</v>
      </c>
      <c r="I1033" s="34">
        <f>IF(OR(H1033="-",H1033="",H1033=0),IF(G1033="-","-",G1033),G1033-H1033)</f>
        <v>2</v>
      </c>
      <c r="J1033" s="4" t="str">
        <f>IFERROR(IF(G1033&gt;0, H1033/G1033, 0),"-")</f>
        <v>-</v>
      </c>
      <c r="K1033" s="34">
        <v>2</v>
      </c>
      <c r="L1033" s="35" t="s">
        <v>959</v>
      </c>
      <c r="M1033" s="34">
        <f>IF(OR(L1033="-",L1033="",L1033=0),IF(K1033="-","-",K1033),K1033-L1033)</f>
        <v>2</v>
      </c>
      <c r="N1033" s="4" t="str">
        <f>IFERROR(IF(K1033&gt;0, L1033/K1033, 0),"-")</f>
        <v>-</v>
      </c>
      <c r="O1033" s="34">
        <v>2</v>
      </c>
      <c r="P1033" s="35" t="s">
        <v>959</v>
      </c>
      <c r="Q1033" s="34">
        <f>IF(OR(P1033="-",P1033="",P1033=0),IF(O1033="-","-",O1033),O1033-P1033)</f>
        <v>2</v>
      </c>
      <c r="R1033" s="4" t="str">
        <f>IFERROR(IF(O1033&gt;0, P1033/O1033, 0),"-")</f>
        <v>-</v>
      </c>
      <c r="S1033" s="34">
        <v>2</v>
      </c>
      <c r="T1033" s="34" t="s">
        <v>959</v>
      </c>
      <c r="U1033" s="34" t="s">
        <v>959</v>
      </c>
      <c r="V1033" s="35" t="s">
        <v>959</v>
      </c>
      <c r="W1033" s="35" t="s">
        <v>959</v>
      </c>
    </row>
    <row r="1034" spans="1:23" x14ac:dyDescent="0.2">
      <c r="A1034" s="30" t="s">
        <v>544</v>
      </c>
      <c r="B1034" s="30" t="s">
        <v>1655</v>
      </c>
      <c r="C1034" s="34">
        <v>190</v>
      </c>
      <c r="D1034" s="35">
        <v>187</v>
      </c>
      <c r="E1034" s="34">
        <f>IF(OR(D1034="-",D1034="",D1034=0),IF(C1034="-","-",C1034),C1034-D1034)</f>
        <v>3</v>
      </c>
      <c r="F1034" s="4">
        <f>IFERROR(IF(C1034&gt;0, D1034/C1034, 0),"-")</f>
        <v>0.98421052631578942</v>
      </c>
      <c r="G1034" s="34">
        <v>6</v>
      </c>
      <c r="H1034" s="35">
        <v>1</v>
      </c>
      <c r="I1034" s="34">
        <f>IF(OR(H1034="-",H1034="",H1034=0),IF(G1034="-","-",G1034),G1034-H1034)</f>
        <v>5</v>
      </c>
      <c r="J1034" s="4">
        <f>IFERROR(IF(G1034&gt;0, H1034/G1034, 0),"-")</f>
        <v>0.16666666666666666</v>
      </c>
      <c r="K1034" s="34" t="s">
        <v>959</v>
      </c>
      <c r="L1034" s="35" t="s">
        <v>959</v>
      </c>
      <c r="M1034" s="34" t="str">
        <f>IF(OR(L1034="-",L1034="",L1034=0),IF(K1034="-","-",K1034),K1034-L1034)</f>
        <v>-</v>
      </c>
      <c r="N1034" s="4" t="str">
        <f>IFERROR(IF(K1034&gt;0, L1034/K1034, 0),"-")</f>
        <v>-</v>
      </c>
      <c r="O1034" s="34" t="s">
        <v>959</v>
      </c>
      <c r="P1034" s="35" t="s">
        <v>959</v>
      </c>
      <c r="Q1034" s="34" t="str">
        <f>IF(OR(P1034="-",P1034="",P1034=0),IF(O1034="-","-",O1034),O1034-P1034)</f>
        <v>-</v>
      </c>
      <c r="R1034" s="4" t="str">
        <f>IFERROR(IF(O1034&gt;0, P1034/O1034, 0),"-")</f>
        <v>-</v>
      </c>
      <c r="S1034" s="34">
        <v>13</v>
      </c>
      <c r="T1034" s="34">
        <v>1</v>
      </c>
      <c r="U1034" s="34">
        <v>2695</v>
      </c>
      <c r="V1034" s="35" t="s">
        <v>959</v>
      </c>
      <c r="W1034" s="35" t="s">
        <v>959</v>
      </c>
    </row>
    <row r="1035" spans="1:23" x14ac:dyDescent="0.2">
      <c r="A1035" s="30" t="s">
        <v>548</v>
      </c>
      <c r="B1035" s="30" t="s">
        <v>1656</v>
      </c>
      <c r="C1035" s="34">
        <v>1</v>
      </c>
      <c r="D1035" s="35">
        <v>1</v>
      </c>
      <c r="E1035" s="34">
        <f>IF(OR(D1035="-",D1035="",D1035=0),IF(C1035="-","-",C1035),C1035-D1035)</f>
        <v>0</v>
      </c>
      <c r="F1035" s="4">
        <f>IFERROR(IF(C1035&gt;0, D1035/C1035, 0),"-")</f>
        <v>1</v>
      </c>
      <c r="G1035" s="34" t="s">
        <v>959</v>
      </c>
      <c r="H1035" s="35" t="s">
        <v>959</v>
      </c>
      <c r="I1035" s="34" t="str">
        <f>IF(OR(H1035="-",H1035="",H1035=0),IF(G1035="-","-",G1035),G1035-H1035)</f>
        <v>-</v>
      </c>
      <c r="J1035" s="4" t="str">
        <f>IFERROR(IF(G1035&gt;0, H1035/G1035, 0),"-")</f>
        <v>-</v>
      </c>
      <c r="K1035" s="34" t="s">
        <v>959</v>
      </c>
      <c r="L1035" s="35" t="s">
        <v>959</v>
      </c>
      <c r="M1035" s="34" t="str">
        <f>IF(OR(L1035="-",L1035="",L1035=0),IF(K1035="-","-",K1035),K1035-L1035)</f>
        <v>-</v>
      </c>
      <c r="N1035" s="4" t="str">
        <f>IFERROR(IF(K1035&gt;0, L1035/K1035, 0),"-")</f>
        <v>-</v>
      </c>
      <c r="O1035" s="34" t="s">
        <v>959</v>
      </c>
      <c r="P1035" s="35" t="s">
        <v>959</v>
      </c>
      <c r="Q1035" s="34" t="str">
        <f>IF(OR(P1035="-",P1035="",P1035=0),IF(O1035="-","-",O1035),O1035-P1035)</f>
        <v>-</v>
      </c>
      <c r="R1035" s="4" t="str">
        <f>IFERROR(IF(O1035&gt;0, P1035/O1035, 0),"-")</f>
        <v>-</v>
      </c>
      <c r="S1035" s="34" t="s">
        <v>959</v>
      </c>
      <c r="T1035" s="34" t="s">
        <v>959</v>
      </c>
      <c r="U1035" s="34" t="s">
        <v>959</v>
      </c>
      <c r="V1035" s="35" t="s">
        <v>959</v>
      </c>
      <c r="W1035" s="35" t="s">
        <v>959</v>
      </c>
    </row>
    <row r="1036" spans="1:23" x14ac:dyDescent="0.2">
      <c r="A1036" s="30" t="s">
        <v>546</v>
      </c>
      <c r="B1036" s="30" t="s">
        <v>1657</v>
      </c>
      <c r="C1036" s="34">
        <v>177</v>
      </c>
      <c r="D1036" s="35">
        <v>174</v>
      </c>
      <c r="E1036" s="34">
        <f>IF(OR(D1036="-",D1036="",D1036=0),IF(C1036="-","-",C1036),C1036-D1036)</f>
        <v>3</v>
      </c>
      <c r="F1036" s="4">
        <f>IFERROR(IF(C1036&gt;0, D1036/C1036, 0),"-")</f>
        <v>0.98305084745762716</v>
      </c>
      <c r="G1036" s="34">
        <v>3</v>
      </c>
      <c r="H1036" s="35" t="s">
        <v>959</v>
      </c>
      <c r="I1036" s="34">
        <f>IF(OR(H1036="-",H1036="",H1036=0),IF(G1036="-","-",G1036),G1036-H1036)</f>
        <v>3</v>
      </c>
      <c r="J1036" s="4" t="str">
        <f>IFERROR(IF(G1036&gt;0, H1036/G1036, 0),"-")</f>
        <v>-</v>
      </c>
      <c r="K1036" s="34" t="s">
        <v>959</v>
      </c>
      <c r="L1036" s="35" t="s">
        <v>959</v>
      </c>
      <c r="M1036" s="34" t="str">
        <f>IF(OR(L1036="-",L1036="",L1036=0),IF(K1036="-","-",K1036),K1036-L1036)</f>
        <v>-</v>
      </c>
      <c r="N1036" s="4" t="str">
        <f>IFERROR(IF(K1036&gt;0, L1036/K1036, 0),"-")</f>
        <v>-</v>
      </c>
      <c r="O1036" s="34">
        <v>1</v>
      </c>
      <c r="P1036" s="35">
        <v>1</v>
      </c>
      <c r="Q1036" s="34">
        <f>IF(OR(P1036="-",P1036="",P1036=0),IF(O1036="-","-",O1036),O1036-P1036)</f>
        <v>0</v>
      </c>
      <c r="R1036" s="4">
        <f>IFERROR(IF(O1036&gt;0, P1036/O1036, 0),"-")</f>
        <v>1</v>
      </c>
      <c r="S1036" s="34">
        <v>19</v>
      </c>
      <c r="T1036" s="34" t="s">
        <v>959</v>
      </c>
      <c r="U1036" s="34" t="s">
        <v>959</v>
      </c>
      <c r="V1036" s="35" t="s">
        <v>959</v>
      </c>
      <c r="W1036" s="35" t="s">
        <v>959</v>
      </c>
    </row>
    <row r="1037" spans="1:23" x14ac:dyDescent="0.2">
      <c r="A1037" s="29"/>
      <c r="B1037" s="29" t="s">
        <v>4</v>
      </c>
      <c r="C1037" s="32">
        <v>980</v>
      </c>
      <c r="D1037" s="32">
        <v>962</v>
      </c>
      <c r="E1037" s="32">
        <f>IF(OR(D1037="-",D1037="",D1037=0),IF(C1037="-","-",C1037),C1037-D1037)</f>
        <v>18</v>
      </c>
      <c r="F1037" s="36">
        <f>IFERROR(IF(C1037&gt;0, D1037/C1037, 0),"-")</f>
        <v>0.98163265306122449</v>
      </c>
      <c r="G1037" s="32">
        <v>8</v>
      </c>
      <c r="H1037" s="32">
        <v>1</v>
      </c>
      <c r="I1037" s="32">
        <f>IF(OR(H1037="-",H1037="",H1037=0),IF(G1037="-","-",G1037),G1037-H1037)</f>
        <v>7</v>
      </c>
      <c r="J1037" s="36">
        <f>IFERROR(IF(G1037&gt;0, H1037/G1037, 0),"-")</f>
        <v>0.125</v>
      </c>
      <c r="K1037" s="32">
        <v>10</v>
      </c>
      <c r="L1037" s="32">
        <v>2</v>
      </c>
      <c r="M1037" s="32">
        <f>IF(OR(L1037="-",L1037="",L1037=0),IF(K1037="-","-",K1037),K1037-L1037)</f>
        <v>8</v>
      </c>
      <c r="N1037" s="36">
        <f>IFERROR(IF(K1037&gt;0, L1037/K1037, 0),"-")</f>
        <v>0.2</v>
      </c>
      <c r="O1037" s="32">
        <v>15</v>
      </c>
      <c r="P1037" s="32">
        <v>3</v>
      </c>
      <c r="Q1037" s="32">
        <f>IF(OR(P1037="-",P1037="",P1037=0),IF(O1037="-","-",O1037),O1037-P1037)</f>
        <v>12</v>
      </c>
      <c r="R1037" s="36">
        <f>IFERROR(IF(O1037&gt;0, P1037/O1037, 0),"-")</f>
        <v>0.2</v>
      </c>
      <c r="S1037" s="32">
        <v>966</v>
      </c>
      <c r="T1037" s="32">
        <v>7</v>
      </c>
      <c r="U1037" s="32">
        <v>20000</v>
      </c>
      <c r="V1037" s="32">
        <v>4</v>
      </c>
      <c r="W1037" s="32">
        <v>79709</v>
      </c>
    </row>
    <row r="1038" spans="1:23" x14ac:dyDescent="0.2">
      <c r="A1038" s="30" t="s">
        <v>434</v>
      </c>
      <c r="B1038" s="30" t="s">
        <v>1658</v>
      </c>
      <c r="C1038" s="34">
        <v>204</v>
      </c>
      <c r="D1038" s="35">
        <v>199</v>
      </c>
      <c r="E1038" s="34">
        <f>IF(OR(D1038="-",D1038="",D1038=0),IF(C1038="-","-",C1038),C1038-D1038)</f>
        <v>5</v>
      </c>
      <c r="F1038" s="4">
        <f>IFERROR(IF(C1038&gt;0, D1038/C1038, 0),"-")</f>
        <v>0.97549019607843135</v>
      </c>
      <c r="G1038" s="34" t="s">
        <v>959</v>
      </c>
      <c r="H1038" s="35" t="s">
        <v>959</v>
      </c>
      <c r="I1038" s="34" t="str">
        <f>IF(OR(H1038="-",H1038="",H1038=0),IF(G1038="-","-",G1038),G1038-H1038)</f>
        <v>-</v>
      </c>
      <c r="J1038" s="4" t="str">
        <f>IFERROR(IF(G1038&gt;0, H1038/G1038, 0),"-")</f>
        <v>-</v>
      </c>
      <c r="K1038" s="34" t="s">
        <v>959</v>
      </c>
      <c r="L1038" s="35" t="s">
        <v>959</v>
      </c>
      <c r="M1038" s="34" t="str">
        <f>IF(OR(L1038="-",L1038="",L1038=0),IF(K1038="-","-",K1038),K1038-L1038)</f>
        <v>-</v>
      </c>
      <c r="N1038" s="4" t="str">
        <f>IFERROR(IF(K1038&gt;0, L1038/K1038, 0),"-")</f>
        <v>-</v>
      </c>
      <c r="O1038" s="34">
        <v>1</v>
      </c>
      <c r="P1038" s="35" t="s">
        <v>959</v>
      </c>
      <c r="Q1038" s="34">
        <f>IF(OR(P1038="-",P1038="",P1038=0),IF(O1038="-","-",O1038),O1038-P1038)</f>
        <v>1</v>
      </c>
      <c r="R1038" s="4" t="str">
        <f>IFERROR(IF(O1038&gt;0, P1038/O1038, 0),"-")</f>
        <v>-</v>
      </c>
      <c r="S1038" s="34">
        <v>55</v>
      </c>
      <c r="T1038" s="34" t="s">
        <v>959</v>
      </c>
      <c r="U1038" s="34" t="s">
        <v>959</v>
      </c>
      <c r="V1038" s="35" t="s">
        <v>959</v>
      </c>
      <c r="W1038" s="35" t="s">
        <v>959</v>
      </c>
    </row>
    <row r="1039" spans="1:23" x14ac:dyDescent="0.2">
      <c r="A1039" s="30" t="s">
        <v>439</v>
      </c>
      <c r="B1039" s="30" t="s">
        <v>1410</v>
      </c>
      <c r="C1039" s="34">
        <v>6</v>
      </c>
      <c r="D1039" s="35">
        <v>6</v>
      </c>
      <c r="E1039" s="34">
        <f>IF(OR(D1039="-",D1039="",D1039=0),IF(C1039="-","-",C1039),C1039-D1039)</f>
        <v>0</v>
      </c>
      <c r="F1039" s="4">
        <f>IFERROR(IF(C1039&gt;0, D1039/C1039, 0),"-")</f>
        <v>1</v>
      </c>
      <c r="G1039" s="34" t="s">
        <v>959</v>
      </c>
      <c r="H1039" s="35" t="s">
        <v>959</v>
      </c>
      <c r="I1039" s="34" t="str">
        <f>IF(OR(H1039="-",H1039="",H1039=0),IF(G1039="-","-",G1039),G1039-H1039)</f>
        <v>-</v>
      </c>
      <c r="J1039" s="4" t="str">
        <f>IFERROR(IF(G1039&gt;0, H1039/G1039, 0),"-")</f>
        <v>-</v>
      </c>
      <c r="K1039" s="34">
        <v>1</v>
      </c>
      <c r="L1039" s="35" t="s">
        <v>959</v>
      </c>
      <c r="M1039" s="34">
        <f>IF(OR(L1039="-",L1039="",L1039=0),IF(K1039="-","-",K1039),K1039-L1039)</f>
        <v>1</v>
      </c>
      <c r="N1039" s="4" t="str">
        <f>IFERROR(IF(K1039&gt;0, L1039/K1039, 0),"-")</f>
        <v>-</v>
      </c>
      <c r="O1039" s="34" t="s">
        <v>959</v>
      </c>
      <c r="P1039" s="35" t="s">
        <v>959</v>
      </c>
      <c r="Q1039" s="34" t="str">
        <f>IF(OR(P1039="-",P1039="",P1039=0),IF(O1039="-","-",O1039),O1039-P1039)</f>
        <v>-</v>
      </c>
      <c r="R1039" s="4" t="str">
        <f>IFERROR(IF(O1039&gt;0, P1039/O1039, 0),"-")</f>
        <v>-</v>
      </c>
      <c r="S1039" s="34" t="s">
        <v>959</v>
      </c>
      <c r="T1039" s="34" t="s">
        <v>959</v>
      </c>
      <c r="U1039" s="34" t="s">
        <v>959</v>
      </c>
      <c r="V1039" s="35" t="s">
        <v>959</v>
      </c>
      <c r="W1039" s="35" t="s">
        <v>959</v>
      </c>
    </row>
    <row r="1040" spans="1:23" x14ac:dyDescent="0.2">
      <c r="A1040" s="30" t="s">
        <v>437</v>
      </c>
      <c r="B1040" s="30" t="s">
        <v>1659</v>
      </c>
      <c r="C1040" s="34">
        <v>127</v>
      </c>
      <c r="D1040" s="35">
        <v>127</v>
      </c>
      <c r="E1040" s="34">
        <f>IF(OR(D1040="-",D1040="",D1040=0),IF(C1040="-","-",C1040),C1040-D1040)</f>
        <v>0</v>
      </c>
      <c r="F1040" s="4">
        <f>IFERROR(IF(C1040&gt;0, D1040/C1040, 0),"-")</f>
        <v>1</v>
      </c>
      <c r="G1040" s="34" t="s">
        <v>959</v>
      </c>
      <c r="H1040" s="35" t="s">
        <v>959</v>
      </c>
      <c r="I1040" s="34" t="str">
        <f>IF(OR(H1040="-",H1040="",H1040=0),IF(G1040="-","-",G1040),G1040-H1040)</f>
        <v>-</v>
      </c>
      <c r="J1040" s="4" t="str">
        <f>IFERROR(IF(G1040&gt;0, H1040/G1040, 0),"-")</f>
        <v>-</v>
      </c>
      <c r="K1040" s="34">
        <v>1</v>
      </c>
      <c r="L1040" s="35" t="s">
        <v>959</v>
      </c>
      <c r="M1040" s="34">
        <f>IF(OR(L1040="-",L1040="",L1040=0),IF(K1040="-","-",K1040),K1040-L1040)</f>
        <v>1</v>
      </c>
      <c r="N1040" s="4" t="str">
        <f>IFERROR(IF(K1040&gt;0, L1040/K1040, 0),"-")</f>
        <v>-</v>
      </c>
      <c r="O1040" s="34">
        <v>3</v>
      </c>
      <c r="P1040" s="35" t="s">
        <v>959</v>
      </c>
      <c r="Q1040" s="34">
        <f>IF(OR(P1040="-",P1040="",P1040=0),IF(O1040="-","-",O1040),O1040-P1040)</f>
        <v>3</v>
      </c>
      <c r="R1040" s="4" t="str">
        <f>IFERROR(IF(O1040&gt;0, P1040/O1040, 0),"-")</f>
        <v>-</v>
      </c>
      <c r="S1040" s="34">
        <v>152</v>
      </c>
      <c r="T1040" s="34">
        <v>2</v>
      </c>
      <c r="U1040" s="34">
        <v>3725</v>
      </c>
      <c r="V1040" s="35" t="s">
        <v>959</v>
      </c>
      <c r="W1040" s="35" t="s">
        <v>959</v>
      </c>
    </row>
    <row r="1041" spans="1:23" x14ac:dyDescent="0.2">
      <c r="A1041" s="30" t="s">
        <v>436</v>
      </c>
      <c r="B1041" s="30" t="s">
        <v>991</v>
      </c>
      <c r="C1041" s="34">
        <v>178</v>
      </c>
      <c r="D1041" s="35">
        <v>173</v>
      </c>
      <c r="E1041" s="34">
        <f>IF(OR(D1041="-",D1041="",D1041=0),IF(C1041="-","-",C1041),C1041-D1041)</f>
        <v>5</v>
      </c>
      <c r="F1041" s="4">
        <f>IFERROR(IF(C1041&gt;0, D1041/C1041, 0),"-")</f>
        <v>0.9719101123595506</v>
      </c>
      <c r="G1041" s="34">
        <v>3</v>
      </c>
      <c r="H1041" s="35" t="s">
        <v>959</v>
      </c>
      <c r="I1041" s="34">
        <f>IF(OR(H1041="-",H1041="",H1041=0),IF(G1041="-","-",G1041),G1041-H1041)</f>
        <v>3</v>
      </c>
      <c r="J1041" s="4" t="str">
        <f>IFERROR(IF(G1041&gt;0, H1041/G1041, 0),"-")</f>
        <v>-</v>
      </c>
      <c r="K1041" s="34">
        <v>4</v>
      </c>
      <c r="L1041" s="35">
        <v>2</v>
      </c>
      <c r="M1041" s="34">
        <f>IF(OR(L1041="-",L1041="",L1041=0),IF(K1041="-","-",K1041),K1041-L1041)</f>
        <v>2</v>
      </c>
      <c r="N1041" s="4">
        <f>IFERROR(IF(K1041&gt;0, L1041/K1041, 0),"-")</f>
        <v>0.5</v>
      </c>
      <c r="O1041" s="34">
        <v>2</v>
      </c>
      <c r="P1041" s="35" t="s">
        <v>959</v>
      </c>
      <c r="Q1041" s="34">
        <f>IF(OR(P1041="-",P1041="",P1041=0),IF(O1041="-","-",O1041),O1041-P1041)</f>
        <v>2</v>
      </c>
      <c r="R1041" s="4" t="str">
        <f>IFERROR(IF(O1041&gt;0, P1041/O1041, 0),"-")</f>
        <v>-</v>
      </c>
      <c r="S1041" s="34">
        <v>257</v>
      </c>
      <c r="T1041" s="34">
        <v>1</v>
      </c>
      <c r="U1041" s="34">
        <v>4040</v>
      </c>
      <c r="V1041" s="35">
        <v>2</v>
      </c>
      <c r="W1041" s="35">
        <v>46381</v>
      </c>
    </row>
    <row r="1042" spans="1:23" x14ac:dyDescent="0.2">
      <c r="A1042" s="30" t="s">
        <v>435</v>
      </c>
      <c r="B1042" s="30" t="s">
        <v>1660</v>
      </c>
      <c r="C1042" s="34">
        <v>153</v>
      </c>
      <c r="D1042" s="35">
        <v>152</v>
      </c>
      <c r="E1042" s="34">
        <f>IF(OR(D1042="-",D1042="",D1042=0),IF(C1042="-","-",C1042),C1042-D1042)</f>
        <v>1</v>
      </c>
      <c r="F1042" s="4">
        <f>IFERROR(IF(C1042&gt;0, D1042/C1042, 0),"-")</f>
        <v>0.99346405228758172</v>
      </c>
      <c r="G1042" s="34">
        <v>2</v>
      </c>
      <c r="H1042" s="35">
        <v>1</v>
      </c>
      <c r="I1042" s="34">
        <f>IF(OR(H1042="-",H1042="",H1042=0),IF(G1042="-","-",G1042),G1042-H1042)</f>
        <v>1</v>
      </c>
      <c r="J1042" s="4">
        <f>IFERROR(IF(G1042&gt;0, H1042/G1042, 0),"-")</f>
        <v>0.5</v>
      </c>
      <c r="K1042" s="34">
        <v>1</v>
      </c>
      <c r="L1042" s="35" t="s">
        <v>959</v>
      </c>
      <c r="M1042" s="34">
        <f>IF(OR(L1042="-",L1042="",L1042=0),IF(K1042="-","-",K1042),K1042-L1042)</f>
        <v>1</v>
      </c>
      <c r="N1042" s="4" t="str">
        <f>IFERROR(IF(K1042&gt;0, L1042/K1042, 0),"-")</f>
        <v>-</v>
      </c>
      <c r="O1042" s="34">
        <v>1</v>
      </c>
      <c r="P1042" s="35" t="s">
        <v>959</v>
      </c>
      <c r="Q1042" s="34">
        <f>IF(OR(P1042="-",P1042="",P1042=0),IF(O1042="-","-",O1042),O1042-P1042)</f>
        <v>1</v>
      </c>
      <c r="R1042" s="4" t="str">
        <f>IFERROR(IF(O1042&gt;0, P1042/O1042, 0),"-")</f>
        <v>-</v>
      </c>
      <c r="S1042" s="34">
        <v>125</v>
      </c>
      <c r="T1042" s="34" t="s">
        <v>959</v>
      </c>
      <c r="U1042" s="34" t="s">
        <v>959</v>
      </c>
      <c r="V1042" s="35" t="s">
        <v>959</v>
      </c>
      <c r="W1042" s="35" t="s">
        <v>959</v>
      </c>
    </row>
    <row r="1043" spans="1:23" x14ac:dyDescent="0.2">
      <c r="A1043" s="30" t="s">
        <v>438</v>
      </c>
      <c r="B1043" s="30" t="s">
        <v>1661</v>
      </c>
      <c r="C1043" s="34">
        <v>156</v>
      </c>
      <c r="D1043" s="35">
        <v>153</v>
      </c>
      <c r="E1043" s="34">
        <f>IF(OR(D1043="-",D1043="",D1043=0),IF(C1043="-","-",C1043),C1043-D1043)</f>
        <v>3</v>
      </c>
      <c r="F1043" s="4">
        <f>IFERROR(IF(C1043&gt;0, D1043/C1043, 0),"-")</f>
        <v>0.98076923076923073</v>
      </c>
      <c r="G1043" s="34">
        <v>3</v>
      </c>
      <c r="H1043" s="35" t="s">
        <v>959</v>
      </c>
      <c r="I1043" s="34">
        <f>IF(OR(H1043="-",H1043="",H1043=0),IF(G1043="-","-",G1043),G1043-H1043)</f>
        <v>3</v>
      </c>
      <c r="J1043" s="4" t="str">
        <f>IFERROR(IF(G1043&gt;0, H1043/G1043, 0),"-")</f>
        <v>-</v>
      </c>
      <c r="K1043" s="34">
        <v>2</v>
      </c>
      <c r="L1043" s="35" t="s">
        <v>959</v>
      </c>
      <c r="M1043" s="34">
        <f>IF(OR(L1043="-",L1043="",L1043=0),IF(K1043="-","-",K1043),K1043-L1043)</f>
        <v>2</v>
      </c>
      <c r="N1043" s="4" t="str">
        <f>IFERROR(IF(K1043&gt;0, L1043/K1043, 0),"-")</f>
        <v>-</v>
      </c>
      <c r="O1043" s="34">
        <v>6</v>
      </c>
      <c r="P1043" s="35">
        <v>2</v>
      </c>
      <c r="Q1043" s="34">
        <f>IF(OR(P1043="-",P1043="",P1043=0),IF(O1043="-","-",O1043),O1043-P1043)</f>
        <v>4</v>
      </c>
      <c r="R1043" s="4">
        <f>IFERROR(IF(O1043&gt;0, P1043/O1043, 0),"-")</f>
        <v>0.33333333333333331</v>
      </c>
      <c r="S1043" s="34">
        <v>273</v>
      </c>
      <c r="T1043" s="34">
        <v>1</v>
      </c>
      <c r="U1043" s="34">
        <v>2155</v>
      </c>
      <c r="V1043" s="35">
        <v>2</v>
      </c>
      <c r="W1043" s="35">
        <v>33328</v>
      </c>
    </row>
    <row r="1044" spans="1:23" x14ac:dyDescent="0.2">
      <c r="A1044" s="30" t="s">
        <v>433</v>
      </c>
      <c r="B1044" s="30" t="s">
        <v>1662</v>
      </c>
      <c r="C1044" s="34">
        <v>156</v>
      </c>
      <c r="D1044" s="35">
        <v>152</v>
      </c>
      <c r="E1044" s="34">
        <f>IF(OR(D1044="-",D1044="",D1044=0),IF(C1044="-","-",C1044),C1044-D1044)</f>
        <v>4</v>
      </c>
      <c r="F1044" s="4">
        <f>IFERROR(IF(C1044&gt;0, D1044/C1044, 0),"-")</f>
        <v>0.97435897435897434</v>
      </c>
      <c r="G1044" s="34" t="s">
        <v>959</v>
      </c>
      <c r="H1044" s="35" t="s">
        <v>959</v>
      </c>
      <c r="I1044" s="34" t="str">
        <f>IF(OR(H1044="-",H1044="",H1044=0),IF(G1044="-","-",G1044),G1044-H1044)</f>
        <v>-</v>
      </c>
      <c r="J1044" s="4" t="str">
        <f>IFERROR(IF(G1044&gt;0, H1044/G1044, 0),"-")</f>
        <v>-</v>
      </c>
      <c r="K1044" s="34">
        <v>1</v>
      </c>
      <c r="L1044" s="35" t="s">
        <v>959</v>
      </c>
      <c r="M1044" s="34">
        <f>IF(OR(L1044="-",L1044="",L1044=0),IF(K1044="-","-",K1044),K1044-L1044)</f>
        <v>1</v>
      </c>
      <c r="N1044" s="4" t="str">
        <f>IFERROR(IF(K1044&gt;0, L1044/K1044, 0),"-")</f>
        <v>-</v>
      </c>
      <c r="O1044" s="34">
        <v>2</v>
      </c>
      <c r="P1044" s="35">
        <v>1</v>
      </c>
      <c r="Q1044" s="34">
        <f>IF(OR(P1044="-",P1044="",P1044=0),IF(O1044="-","-",O1044),O1044-P1044)</f>
        <v>1</v>
      </c>
      <c r="R1044" s="4">
        <f>IFERROR(IF(O1044&gt;0, P1044/O1044, 0),"-")</f>
        <v>0.5</v>
      </c>
      <c r="S1044" s="34">
        <v>104</v>
      </c>
      <c r="T1044" s="34">
        <v>3</v>
      </c>
      <c r="U1044" s="34">
        <v>10080</v>
      </c>
      <c r="V1044" s="35" t="s">
        <v>959</v>
      </c>
      <c r="W1044" s="35" t="s">
        <v>959</v>
      </c>
    </row>
    <row r="1045" spans="1:23" x14ac:dyDescent="0.2">
      <c r="A1045" s="29"/>
      <c r="B1045" s="29" t="s">
        <v>32</v>
      </c>
      <c r="C1045" s="32">
        <v>1304</v>
      </c>
      <c r="D1045" s="32">
        <v>1274</v>
      </c>
      <c r="E1045" s="32">
        <f>IF(OR(D1045="-",D1045="",D1045=0),IF(C1045="-","-",C1045),C1045-D1045)</f>
        <v>30</v>
      </c>
      <c r="F1045" s="36">
        <f>IFERROR(IF(C1045&gt;0, D1045/C1045, 0),"-")</f>
        <v>0.97699386503067487</v>
      </c>
      <c r="G1045" s="32">
        <v>14</v>
      </c>
      <c r="H1045" s="32">
        <v>5</v>
      </c>
      <c r="I1045" s="32">
        <f>IF(OR(H1045="-",H1045="",H1045=0),IF(G1045="-","-",G1045),G1045-H1045)</f>
        <v>9</v>
      </c>
      <c r="J1045" s="36">
        <f>IFERROR(IF(G1045&gt;0, H1045/G1045, 0),"-")</f>
        <v>0.35714285714285715</v>
      </c>
      <c r="K1045" s="32">
        <v>21</v>
      </c>
      <c r="L1045" s="32">
        <v>7</v>
      </c>
      <c r="M1045" s="32">
        <f>IF(OR(L1045="-",L1045="",L1045=0),IF(K1045="-","-",K1045),K1045-L1045)</f>
        <v>14</v>
      </c>
      <c r="N1045" s="36">
        <f>IFERROR(IF(K1045&gt;0, L1045/K1045, 0),"-")</f>
        <v>0.33333333333333331</v>
      </c>
      <c r="O1045" s="32">
        <v>38</v>
      </c>
      <c r="P1045" s="32">
        <v>4</v>
      </c>
      <c r="Q1045" s="32">
        <f>IF(OR(P1045="-",P1045="",P1045=0),IF(O1045="-","-",O1045),O1045-P1045)</f>
        <v>34</v>
      </c>
      <c r="R1045" s="36">
        <f>IFERROR(IF(O1045&gt;0, P1045/O1045, 0),"-")</f>
        <v>0.10526315789473684</v>
      </c>
      <c r="S1045" s="32">
        <v>790</v>
      </c>
      <c r="T1045" s="32">
        <v>19</v>
      </c>
      <c r="U1045" s="32">
        <v>95205</v>
      </c>
      <c r="V1045" s="32">
        <v>7</v>
      </c>
      <c r="W1045" s="32">
        <v>224103</v>
      </c>
    </row>
    <row r="1046" spans="1:23" x14ac:dyDescent="0.2">
      <c r="A1046" s="30" t="s">
        <v>148</v>
      </c>
      <c r="B1046" s="30" t="s">
        <v>1663</v>
      </c>
      <c r="C1046" s="34">
        <v>174</v>
      </c>
      <c r="D1046" s="35">
        <v>171</v>
      </c>
      <c r="E1046" s="34">
        <f>IF(OR(D1046="-",D1046="",D1046=0),IF(C1046="-","-",C1046),C1046-D1046)</f>
        <v>3</v>
      </c>
      <c r="F1046" s="4">
        <f>IFERROR(IF(C1046&gt;0, D1046/C1046, 0),"-")</f>
        <v>0.98275862068965514</v>
      </c>
      <c r="G1046" s="34">
        <v>3</v>
      </c>
      <c r="H1046" s="35" t="s">
        <v>959</v>
      </c>
      <c r="I1046" s="34">
        <f>IF(OR(H1046="-",H1046="",H1046=0),IF(G1046="-","-",G1046),G1046-H1046)</f>
        <v>3</v>
      </c>
      <c r="J1046" s="4" t="str">
        <f>IFERROR(IF(G1046&gt;0, H1046/G1046, 0),"-")</f>
        <v>-</v>
      </c>
      <c r="K1046" s="34">
        <v>1</v>
      </c>
      <c r="L1046" s="35" t="s">
        <v>959</v>
      </c>
      <c r="M1046" s="34">
        <f>IF(OR(L1046="-",L1046="",L1046=0),IF(K1046="-","-",K1046),K1046-L1046)</f>
        <v>1</v>
      </c>
      <c r="N1046" s="4" t="str">
        <f>IFERROR(IF(K1046&gt;0, L1046/K1046, 0),"-")</f>
        <v>-</v>
      </c>
      <c r="O1046" s="34">
        <v>3</v>
      </c>
      <c r="P1046" s="35" t="s">
        <v>959</v>
      </c>
      <c r="Q1046" s="34">
        <f>IF(OR(P1046="-",P1046="",P1046=0),IF(O1046="-","-",O1046),O1046-P1046)</f>
        <v>3</v>
      </c>
      <c r="R1046" s="4" t="str">
        <f>IFERROR(IF(O1046&gt;0, P1046/O1046, 0),"-")</f>
        <v>-</v>
      </c>
      <c r="S1046" s="34">
        <v>403</v>
      </c>
      <c r="T1046" s="34" t="s">
        <v>959</v>
      </c>
      <c r="U1046" s="34" t="s">
        <v>959</v>
      </c>
      <c r="V1046" s="35">
        <v>1</v>
      </c>
      <c r="W1046" s="35">
        <v>1859</v>
      </c>
    </row>
    <row r="1047" spans="1:23" x14ac:dyDescent="0.2">
      <c r="A1047" s="30" t="s">
        <v>145</v>
      </c>
      <c r="B1047" s="30" t="s">
        <v>1664</v>
      </c>
      <c r="C1047" s="34">
        <v>159</v>
      </c>
      <c r="D1047" s="35">
        <v>152</v>
      </c>
      <c r="E1047" s="34">
        <f>IF(OR(D1047="-",D1047="",D1047=0),IF(C1047="-","-",C1047),C1047-D1047)</f>
        <v>7</v>
      </c>
      <c r="F1047" s="4">
        <f>IFERROR(IF(C1047&gt;0, D1047/C1047, 0),"-")</f>
        <v>0.95597484276729561</v>
      </c>
      <c r="G1047" s="34" t="s">
        <v>959</v>
      </c>
      <c r="H1047" s="35" t="s">
        <v>959</v>
      </c>
      <c r="I1047" s="34" t="str">
        <f>IF(OR(H1047="-",H1047="",H1047=0),IF(G1047="-","-",G1047),G1047-H1047)</f>
        <v>-</v>
      </c>
      <c r="J1047" s="4" t="str">
        <f>IFERROR(IF(G1047&gt;0, H1047/G1047, 0),"-")</f>
        <v>-</v>
      </c>
      <c r="K1047" s="34">
        <v>3</v>
      </c>
      <c r="L1047" s="35">
        <v>3</v>
      </c>
      <c r="M1047" s="34">
        <f>IF(OR(L1047="-",L1047="",L1047=0),IF(K1047="-","-",K1047),K1047-L1047)</f>
        <v>0</v>
      </c>
      <c r="N1047" s="4">
        <f>IFERROR(IF(K1047&gt;0, L1047/K1047, 0),"-")</f>
        <v>1</v>
      </c>
      <c r="O1047" s="34">
        <v>6</v>
      </c>
      <c r="P1047" s="35" t="s">
        <v>959</v>
      </c>
      <c r="Q1047" s="34">
        <f>IF(OR(P1047="-",P1047="",P1047=0),IF(O1047="-","-",O1047),O1047-P1047)</f>
        <v>6</v>
      </c>
      <c r="R1047" s="4" t="str">
        <f>IFERROR(IF(O1047&gt;0, P1047/O1047, 0),"-")</f>
        <v>-</v>
      </c>
      <c r="S1047" s="34">
        <v>46</v>
      </c>
      <c r="T1047" s="34">
        <v>5</v>
      </c>
      <c r="U1047" s="34">
        <v>11110</v>
      </c>
      <c r="V1047" s="35">
        <v>1</v>
      </c>
      <c r="W1047" s="35">
        <v>29392</v>
      </c>
    </row>
    <row r="1048" spans="1:23" x14ac:dyDescent="0.2">
      <c r="A1048" s="30" t="s">
        <v>146</v>
      </c>
      <c r="B1048" s="30" t="s">
        <v>1665</v>
      </c>
      <c r="C1048" s="34">
        <v>185</v>
      </c>
      <c r="D1048" s="35">
        <v>181</v>
      </c>
      <c r="E1048" s="34">
        <f>IF(OR(D1048="-",D1048="",D1048=0),IF(C1048="-","-",C1048),C1048-D1048)</f>
        <v>4</v>
      </c>
      <c r="F1048" s="4">
        <f>IFERROR(IF(C1048&gt;0, D1048/C1048, 0),"-")</f>
        <v>0.97837837837837838</v>
      </c>
      <c r="G1048" s="34">
        <v>1</v>
      </c>
      <c r="H1048" s="35" t="s">
        <v>959</v>
      </c>
      <c r="I1048" s="34">
        <f>IF(OR(H1048="-",H1048="",H1048=0),IF(G1048="-","-",G1048),G1048-H1048)</f>
        <v>1</v>
      </c>
      <c r="J1048" s="4" t="str">
        <f>IFERROR(IF(G1048&gt;0, H1048/G1048, 0),"-")</f>
        <v>-</v>
      </c>
      <c r="K1048" s="34">
        <v>7</v>
      </c>
      <c r="L1048" s="35">
        <v>1</v>
      </c>
      <c r="M1048" s="34">
        <f>IF(OR(L1048="-",L1048="",L1048=0),IF(K1048="-","-",K1048),K1048-L1048)</f>
        <v>6</v>
      </c>
      <c r="N1048" s="4">
        <f>IFERROR(IF(K1048&gt;0, L1048/K1048, 0),"-")</f>
        <v>0.14285714285714285</v>
      </c>
      <c r="O1048" s="34">
        <v>10</v>
      </c>
      <c r="P1048" s="35">
        <v>1</v>
      </c>
      <c r="Q1048" s="34">
        <f>IF(OR(P1048="-",P1048="",P1048=0),IF(O1048="-","-",O1048),O1048-P1048)</f>
        <v>9</v>
      </c>
      <c r="R1048" s="4">
        <f>IFERROR(IF(O1048&gt;0, P1048/O1048, 0),"-")</f>
        <v>0.1</v>
      </c>
      <c r="S1048" s="34">
        <v>87</v>
      </c>
      <c r="T1048" s="34">
        <v>4</v>
      </c>
      <c r="U1048" s="34">
        <v>8835</v>
      </c>
      <c r="V1048" s="35">
        <v>1</v>
      </c>
      <c r="W1048" s="35">
        <v>43282</v>
      </c>
    </row>
    <row r="1049" spans="1:23" x14ac:dyDescent="0.2">
      <c r="A1049" s="30" t="s">
        <v>144</v>
      </c>
      <c r="B1049" s="30" t="s">
        <v>1666</v>
      </c>
      <c r="C1049" s="34">
        <v>163</v>
      </c>
      <c r="D1049" s="35">
        <v>157</v>
      </c>
      <c r="E1049" s="34">
        <f>IF(OR(D1049="-",D1049="",D1049=0),IF(C1049="-","-",C1049),C1049-D1049)</f>
        <v>6</v>
      </c>
      <c r="F1049" s="4">
        <f>IFERROR(IF(C1049&gt;0, D1049/C1049, 0),"-")</f>
        <v>0.96319018404907975</v>
      </c>
      <c r="G1049" s="34">
        <v>2</v>
      </c>
      <c r="H1049" s="35">
        <v>1</v>
      </c>
      <c r="I1049" s="34">
        <f>IF(OR(H1049="-",H1049="",H1049=0),IF(G1049="-","-",G1049),G1049-H1049)</f>
        <v>1</v>
      </c>
      <c r="J1049" s="4">
        <f>IFERROR(IF(G1049&gt;0, H1049/G1049, 0),"-")</f>
        <v>0.5</v>
      </c>
      <c r="K1049" s="34">
        <v>4</v>
      </c>
      <c r="L1049" s="35">
        <v>1</v>
      </c>
      <c r="M1049" s="34">
        <f>IF(OR(L1049="-",L1049="",L1049=0),IF(K1049="-","-",K1049),K1049-L1049)</f>
        <v>3</v>
      </c>
      <c r="N1049" s="4">
        <f>IFERROR(IF(K1049&gt;0, L1049/K1049, 0),"-")</f>
        <v>0.25</v>
      </c>
      <c r="O1049" s="34">
        <v>4</v>
      </c>
      <c r="P1049" s="35">
        <v>1</v>
      </c>
      <c r="Q1049" s="34">
        <f>IF(OR(P1049="-",P1049="",P1049=0),IF(O1049="-","-",O1049),O1049-P1049)</f>
        <v>3</v>
      </c>
      <c r="R1049" s="4">
        <f>IFERROR(IF(O1049&gt;0, P1049/O1049, 0),"-")</f>
        <v>0.25</v>
      </c>
      <c r="S1049" s="34">
        <v>72</v>
      </c>
      <c r="T1049" s="34">
        <v>1</v>
      </c>
      <c r="U1049" s="34">
        <v>2695</v>
      </c>
      <c r="V1049" s="35" t="s">
        <v>959</v>
      </c>
      <c r="W1049" s="35" t="s">
        <v>959</v>
      </c>
    </row>
    <row r="1050" spans="1:23" x14ac:dyDescent="0.2">
      <c r="A1050" s="30" t="s">
        <v>150</v>
      </c>
      <c r="B1050" s="30" t="s">
        <v>986</v>
      </c>
      <c r="C1050" s="34">
        <v>120</v>
      </c>
      <c r="D1050" s="35">
        <v>117</v>
      </c>
      <c r="E1050" s="34">
        <f>IF(OR(D1050="-",D1050="",D1050=0),IF(C1050="-","-",C1050),C1050-D1050)</f>
        <v>3</v>
      </c>
      <c r="F1050" s="4">
        <f>IFERROR(IF(C1050&gt;0, D1050/C1050, 0),"-")</f>
        <v>0.97499999999999998</v>
      </c>
      <c r="G1050" s="34" t="s">
        <v>959</v>
      </c>
      <c r="H1050" s="35" t="s">
        <v>959</v>
      </c>
      <c r="I1050" s="34" t="str">
        <f>IF(OR(H1050="-",H1050="",H1050=0),IF(G1050="-","-",G1050),G1050-H1050)</f>
        <v>-</v>
      </c>
      <c r="J1050" s="4" t="str">
        <f>IFERROR(IF(G1050&gt;0, H1050/G1050, 0),"-")</f>
        <v>-</v>
      </c>
      <c r="K1050" s="34">
        <v>3</v>
      </c>
      <c r="L1050" s="35">
        <v>2</v>
      </c>
      <c r="M1050" s="34">
        <f>IF(OR(L1050="-",L1050="",L1050=0),IF(K1050="-","-",K1050),K1050-L1050)</f>
        <v>1</v>
      </c>
      <c r="N1050" s="4">
        <f>IFERROR(IF(K1050&gt;0, L1050/K1050, 0),"-")</f>
        <v>0.66666666666666663</v>
      </c>
      <c r="O1050" s="34">
        <v>4</v>
      </c>
      <c r="P1050" s="35" t="s">
        <v>959</v>
      </c>
      <c r="Q1050" s="34">
        <f>IF(OR(P1050="-",P1050="",P1050=0),IF(O1050="-","-",O1050),O1050-P1050)</f>
        <v>4</v>
      </c>
      <c r="R1050" s="4" t="str">
        <f>IFERROR(IF(O1050&gt;0, P1050/O1050, 0),"-")</f>
        <v>-</v>
      </c>
      <c r="S1050" s="34">
        <v>10</v>
      </c>
      <c r="T1050" s="34">
        <v>1</v>
      </c>
      <c r="U1050" s="34">
        <v>50000</v>
      </c>
      <c r="V1050" s="35" t="s">
        <v>959</v>
      </c>
      <c r="W1050" s="35" t="s">
        <v>959</v>
      </c>
    </row>
    <row r="1051" spans="1:23" x14ac:dyDescent="0.2">
      <c r="A1051" s="30" t="s">
        <v>143</v>
      </c>
      <c r="B1051" s="30" t="s">
        <v>1412</v>
      </c>
      <c r="C1051" s="34">
        <v>158</v>
      </c>
      <c r="D1051" s="35">
        <v>155</v>
      </c>
      <c r="E1051" s="34">
        <f>IF(OR(D1051="-",D1051="",D1051=0),IF(C1051="-","-",C1051),C1051-D1051)</f>
        <v>3</v>
      </c>
      <c r="F1051" s="4">
        <f>IFERROR(IF(C1051&gt;0, D1051/C1051, 0),"-")</f>
        <v>0.98101265822784811</v>
      </c>
      <c r="G1051" s="34">
        <v>3</v>
      </c>
      <c r="H1051" s="35">
        <v>2</v>
      </c>
      <c r="I1051" s="34">
        <f>IF(OR(H1051="-",H1051="",H1051=0),IF(G1051="-","-",G1051),G1051-H1051)</f>
        <v>1</v>
      </c>
      <c r="J1051" s="4">
        <f>IFERROR(IF(G1051&gt;0, H1051/G1051, 0),"-")</f>
        <v>0.66666666666666663</v>
      </c>
      <c r="K1051" s="34" t="s">
        <v>959</v>
      </c>
      <c r="L1051" s="35" t="s">
        <v>959</v>
      </c>
      <c r="M1051" s="34" t="str">
        <f>IF(OR(L1051="-",L1051="",L1051=0),IF(K1051="-","-",K1051),K1051-L1051)</f>
        <v>-</v>
      </c>
      <c r="N1051" s="4" t="str">
        <f>IFERROR(IF(K1051&gt;0, L1051/K1051, 0),"-")</f>
        <v>-</v>
      </c>
      <c r="O1051" s="34">
        <v>3</v>
      </c>
      <c r="P1051" s="35">
        <v>1</v>
      </c>
      <c r="Q1051" s="34">
        <f>IF(OR(P1051="-",P1051="",P1051=0),IF(O1051="-","-",O1051),O1051-P1051)</f>
        <v>2</v>
      </c>
      <c r="R1051" s="4">
        <f>IFERROR(IF(O1051&gt;0, P1051/O1051, 0),"-")</f>
        <v>0.33333333333333331</v>
      </c>
      <c r="S1051" s="34">
        <v>71</v>
      </c>
      <c r="T1051" s="34">
        <v>4</v>
      </c>
      <c r="U1051" s="34">
        <v>12130</v>
      </c>
      <c r="V1051" s="35">
        <v>2</v>
      </c>
      <c r="W1051" s="35">
        <v>88324</v>
      </c>
    </row>
    <row r="1052" spans="1:23" x14ac:dyDescent="0.2">
      <c r="A1052" s="30" t="s">
        <v>149</v>
      </c>
      <c r="B1052" s="30" t="s">
        <v>1667</v>
      </c>
      <c r="C1052" s="34">
        <v>71</v>
      </c>
      <c r="D1052" s="35">
        <v>71</v>
      </c>
      <c r="E1052" s="34">
        <f>IF(OR(D1052="-",D1052="",D1052=0),IF(C1052="-","-",C1052),C1052-D1052)</f>
        <v>0</v>
      </c>
      <c r="F1052" s="4">
        <f>IFERROR(IF(C1052&gt;0, D1052/C1052, 0),"-")</f>
        <v>1</v>
      </c>
      <c r="G1052" s="34">
        <v>2</v>
      </c>
      <c r="H1052" s="35">
        <v>2</v>
      </c>
      <c r="I1052" s="34">
        <f>IF(OR(H1052="-",H1052="",H1052=0),IF(G1052="-","-",G1052),G1052-H1052)</f>
        <v>0</v>
      </c>
      <c r="J1052" s="4">
        <f>IFERROR(IF(G1052&gt;0, H1052/G1052, 0),"-")</f>
        <v>1</v>
      </c>
      <c r="K1052" s="34" t="s">
        <v>959</v>
      </c>
      <c r="L1052" s="35" t="s">
        <v>959</v>
      </c>
      <c r="M1052" s="34" t="str">
        <f>IF(OR(L1052="-",L1052="",L1052=0),IF(K1052="-","-",K1052),K1052-L1052)</f>
        <v>-</v>
      </c>
      <c r="N1052" s="4" t="str">
        <f>IFERROR(IF(K1052&gt;0, L1052/K1052, 0),"-")</f>
        <v>-</v>
      </c>
      <c r="O1052" s="34">
        <v>3</v>
      </c>
      <c r="P1052" s="35">
        <v>1</v>
      </c>
      <c r="Q1052" s="34">
        <f>IF(OR(P1052="-",P1052="",P1052=0),IF(O1052="-","-",O1052),O1052-P1052)</f>
        <v>2</v>
      </c>
      <c r="R1052" s="4">
        <f>IFERROR(IF(O1052&gt;0, P1052/O1052, 0),"-")</f>
        <v>0.33333333333333331</v>
      </c>
      <c r="S1052" s="34">
        <v>29</v>
      </c>
      <c r="T1052" s="34">
        <v>2</v>
      </c>
      <c r="U1052" s="34">
        <v>3700</v>
      </c>
      <c r="V1052" s="35" t="s">
        <v>959</v>
      </c>
      <c r="W1052" s="35" t="s">
        <v>959</v>
      </c>
    </row>
    <row r="1053" spans="1:23" x14ac:dyDescent="0.2">
      <c r="A1053" s="30" t="s">
        <v>147</v>
      </c>
      <c r="B1053" s="30" t="s">
        <v>1668</v>
      </c>
      <c r="C1053" s="34">
        <v>274</v>
      </c>
      <c r="D1053" s="35">
        <v>270</v>
      </c>
      <c r="E1053" s="34">
        <f>IF(OR(D1053="-",D1053="",D1053=0),IF(C1053="-","-",C1053),C1053-D1053)</f>
        <v>4</v>
      </c>
      <c r="F1053" s="4">
        <f>IFERROR(IF(C1053&gt;0, D1053/C1053, 0),"-")</f>
        <v>0.98540145985401462</v>
      </c>
      <c r="G1053" s="34">
        <v>3</v>
      </c>
      <c r="H1053" s="35" t="s">
        <v>959</v>
      </c>
      <c r="I1053" s="34">
        <f>IF(OR(H1053="-",H1053="",H1053=0),IF(G1053="-","-",G1053),G1053-H1053)</f>
        <v>3</v>
      </c>
      <c r="J1053" s="4" t="str">
        <f>IFERROR(IF(G1053&gt;0, H1053/G1053, 0),"-")</f>
        <v>-</v>
      </c>
      <c r="K1053" s="34">
        <v>3</v>
      </c>
      <c r="L1053" s="35" t="s">
        <v>959</v>
      </c>
      <c r="M1053" s="34">
        <f>IF(OR(L1053="-",L1053="",L1053=0),IF(K1053="-","-",K1053),K1053-L1053)</f>
        <v>3</v>
      </c>
      <c r="N1053" s="4" t="str">
        <f>IFERROR(IF(K1053&gt;0, L1053/K1053, 0),"-")</f>
        <v>-</v>
      </c>
      <c r="O1053" s="34">
        <v>5</v>
      </c>
      <c r="P1053" s="35" t="s">
        <v>959</v>
      </c>
      <c r="Q1053" s="34">
        <f>IF(OR(P1053="-",P1053="",P1053=0),IF(O1053="-","-",O1053),O1053-P1053)</f>
        <v>5</v>
      </c>
      <c r="R1053" s="4" t="str">
        <f>IFERROR(IF(O1053&gt;0, P1053/O1053, 0),"-")</f>
        <v>-</v>
      </c>
      <c r="S1053" s="34">
        <v>72</v>
      </c>
      <c r="T1053" s="34">
        <v>2</v>
      </c>
      <c r="U1053" s="34">
        <v>6735</v>
      </c>
      <c r="V1053" s="35">
        <v>2</v>
      </c>
      <c r="W1053" s="35">
        <v>61246</v>
      </c>
    </row>
    <row r="1054" spans="1:23" x14ac:dyDescent="0.2">
      <c r="A1054" s="29"/>
      <c r="B1054" s="29" t="s">
        <v>69</v>
      </c>
      <c r="C1054" s="32">
        <v>1054</v>
      </c>
      <c r="D1054" s="32">
        <v>1026</v>
      </c>
      <c r="E1054" s="32">
        <f>IF(OR(D1054="-",D1054="",D1054=0),IF(C1054="-","-",C1054),C1054-D1054)</f>
        <v>28</v>
      </c>
      <c r="F1054" s="36">
        <f>IFERROR(IF(C1054&gt;0, D1054/C1054, 0),"-")</f>
        <v>0.97343453510436428</v>
      </c>
      <c r="G1054" s="32">
        <v>8</v>
      </c>
      <c r="H1054" s="32" t="s">
        <v>959</v>
      </c>
      <c r="I1054" s="32">
        <f>IF(OR(H1054="-",H1054="",H1054=0),IF(G1054="-","-",G1054),G1054-H1054)</f>
        <v>8</v>
      </c>
      <c r="J1054" s="36" t="str">
        <f>IFERROR(IF(G1054&gt;0, H1054/G1054, 0),"-")</f>
        <v>-</v>
      </c>
      <c r="K1054" s="32">
        <v>6</v>
      </c>
      <c r="L1054" s="32" t="s">
        <v>959</v>
      </c>
      <c r="M1054" s="32">
        <f>IF(OR(L1054="-",L1054="",L1054=0),IF(K1054="-","-",K1054),K1054-L1054)</f>
        <v>6</v>
      </c>
      <c r="N1054" s="36" t="str">
        <f>IFERROR(IF(K1054&gt;0, L1054/K1054, 0),"-")</f>
        <v>-</v>
      </c>
      <c r="O1054" s="32">
        <v>8</v>
      </c>
      <c r="P1054" s="32" t="s">
        <v>959</v>
      </c>
      <c r="Q1054" s="32">
        <f>IF(OR(P1054="-",P1054="",P1054=0),IF(O1054="-","-",O1054),O1054-P1054)</f>
        <v>8</v>
      </c>
      <c r="R1054" s="36" t="str">
        <f>IFERROR(IF(O1054&gt;0, P1054/O1054, 0),"-")</f>
        <v>-</v>
      </c>
      <c r="S1054" s="32">
        <v>819</v>
      </c>
      <c r="T1054" s="32">
        <v>8</v>
      </c>
      <c r="U1054" s="32">
        <v>27895</v>
      </c>
      <c r="V1054" s="32">
        <v>6</v>
      </c>
      <c r="W1054" s="32">
        <v>153028</v>
      </c>
    </row>
    <row r="1055" spans="1:23" x14ac:dyDescent="0.2">
      <c r="A1055" s="30" t="s">
        <v>456</v>
      </c>
      <c r="B1055" s="30" t="s">
        <v>1669</v>
      </c>
      <c r="C1055" s="34">
        <v>156</v>
      </c>
      <c r="D1055" s="35">
        <v>152</v>
      </c>
      <c r="E1055" s="34">
        <f>IF(OR(D1055="-",D1055="",D1055=0),IF(C1055="-","-",C1055),C1055-D1055)</f>
        <v>4</v>
      </c>
      <c r="F1055" s="4">
        <f>IFERROR(IF(C1055&gt;0, D1055/C1055, 0),"-")</f>
        <v>0.97435897435897434</v>
      </c>
      <c r="G1055" s="34" t="s">
        <v>959</v>
      </c>
      <c r="H1055" s="35" t="s">
        <v>959</v>
      </c>
      <c r="I1055" s="34" t="str">
        <f>IF(OR(H1055="-",H1055="",H1055=0),IF(G1055="-","-",G1055),G1055-H1055)</f>
        <v>-</v>
      </c>
      <c r="J1055" s="4" t="str">
        <f>IFERROR(IF(G1055&gt;0, H1055/G1055, 0),"-")</f>
        <v>-</v>
      </c>
      <c r="K1055" s="34">
        <v>2</v>
      </c>
      <c r="L1055" s="35" t="s">
        <v>959</v>
      </c>
      <c r="M1055" s="34">
        <f>IF(OR(L1055="-",L1055="",L1055=0),IF(K1055="-","-",K1055),K1055-L1055)</f>
        <v>2</v>
      </c>
      <c r="N1055" s="4" t="str">
        <f>IFERROR(IF(K1055&gt;0, L1055/K1055, 0),"-")</f>
        <v>-</v>
      </c>
      <c r="O1055" s="34" t="s">
        <v>959</v>
      </c>
      <c r="P1055" s="35" t="s">
        <v>959</v>
      </c>
      <c r="Q1055" s="34" t="str">
        <f>IF(OR(P1055="-",P1055="",P1055=0),IF(O1055="-","-",O1055),O1055-P1055)</f>
        <v>-</v>
      </c>
      <c r="R1055" s="4" t="str">
        <f>IFERROR(IF(O1055&gt;0, P1055/O1055, 0),"-")</f>
        <v>-</v>
      </c>
      <c r="S1055" s="34">
        <v>109</v>
      </c>
      <c r="T1055" s="34">
        <v>2</v>
      </c>
      <c r="U1055" s="34">
        <v>6190</v>
      </c>
      <c r="V1055" s="35" t="s">
        <v>959</v>
      </c>
      <c r="W1055" s="35" t="s">
        <v>959</v>
      </c>
    </row>
    <row r="1056" spans="1:23" x14ac:dyDescent="0.2">
      <c r="A1056" s="30" t="s">
        <v>458</v>
      </c>
      <c r="B1056" s="30" t="s">
        <v>1670</v>
      </c>
      <c r="C1056" s="34">
        <v>262</v>
      </c>
      <c r="D1056" s="35">
        <v>258</v>
      </c>
      <c r="E1056" s="34">
        <f>IF(OR(D1056="-",D1056="",D1056=0),IF(C1056="-","-",C1056),C1056-D1056)</f>
        <v>4</v>
      </c>
      <c r="F1056" s="4">
        <f>IFERROR(IF(C1056&gt;0, D1056/C1056, 0),"-")</f>
        <v>0.98473282442748089</v>
      </c>
      <c r="G1056" s="34">
        <v>1</v>
      </c>
      <c r="H1056" s="35" t="s">
        <v>959</v>
      </c>
      <c r="I1056" s="34">
        <f>IF(OR(H1056="-",H1056="",H1056=0),IF(G1056="-","-",G1056),G1056-H1056)</f>
        <v>1</v>
      </c>
      <c r="J1056" s="4" t="str">
        <f>IFERROR(IF(G1056&gt;0, H1056/G1056, 0),"-")</f>
        <v>-</v>
      </c>
      <c r="K1056" s="34">
        <v>1</v>
      </c>
      <c r="L1056" s="35" t="s">
        <v>959</v>
      </c>
      <c r="M1056" s="34">
        <f>IF(OR(L1056="-",L1056="",L1056=0),IF(K1056="-","-",K1056),K1056-L1056)</f>
        <v>1</v>
      </c>
      <c r="N1056" s="4" t="str">
        <f>IFERROR(IF(K1056&gt;0, L1056/K1056, 0),"-")</f>
        <v>-</v>
      </c>
      <c r="O1056" s="34" t="s">
        <v>959</v>
      </c>
      <c r="P1056" s="35" t="s">
        <v>959</v>
      </c>
      <c r="Q1056" s="34" t="str">
        <f>IF(OR(P1056="-",P1056="",P1056=0),IF(O1056="-","-",O1056),O1056-P1056)</f>
        <v>-</v>
      </c>
      <c r="R1056" s="4" t="str">
        <f>IFERROR(IF(O1056&gt;0, P1056/O1056, 0),"-")</f>
        <v>-</v>
      </c>
      <c r="S1056" s="34">
        <v>118</v>
      </c>
      <c r="T1056" s="34">
        <v>1</v>
      </c>
      <c r="U1056" s="34">
        <v>4040</v>
      </c>
      <c r="V1056" s="35" t="s">
        <v>959</v>
      </c>
      <c r="W1056" s="35" t="s">
        <v>959</v>
      </c>
    </row>
    <row r="1057" spans="1:23" x14ac:dyDescent="0.2">
      <c r="A1057" s="30" t="s">
        <v>461</v>
      </c>
      <c r="B1057" s="30" t="s">
        <v>1671</v>
      </c>
      <c r="C1057" s="34">
        <v>100</v>
      </c>
      <c r="D1057" s="35">
        <v>96</v>
      </c>
      <c r="E1057" s="34">
        <f>IF(OR(D1057="-",D1057="",D1057=0),IF(C1057="-","-",C1057),C1057-D1057)</f>
        <v>4</v>
      </c>
      <c r="F1057" s="4">
        <f>IFERROR(IF(C1057&gt;0, D1057/C1057, 0),"-")</f>
        <v>0.96</v>
      </c>
      <c r="G1057" s="34">
        <v>3</v>
      </c>
      <c r="H1057" s="35" t="s">
        <v>959</v>
      </c>
      <c r="I1057" s="34">
        <f>IF(OR(H1057="-",H1057="",H1057=0),IF(G1057="-","-",G1057),G1057-H1057)</f>
        <v>3</v>
      </c>
      <c r="J1057" s="4" t="str">
        <f>IFERROR(IF(G1057&gt;0, H1057/G1057, 0),"-")</f>
        <v>-</v>
      </c>
      <c r="K1057" s="34">
        <v>1</v>
      </c>
      <c r="L1057" s="35" t="s">
        <v>959</v>
      </c>
      <c r="M1057" s="34">
        <f>IF(OR(L1057="-",L1057="",L1057=0),IF(K1057="-","-",K1057),K1057-L1057)</f>
        <v>1</v>
      </c>
      <c r="N1057" s="4" t="str">
        <f>IFERROR(IF(K1057&gt;0, L1057/K1057, 0),"-")</f>
        <v>-</v>
      </c>
      <c r="O1057" s="34">
        <v>3</v>
      </c>
      <c r="P1057" s="35" t="s">
        <v>959</v>
      </c>
      <c r="Q1057" s="34">
        <f>IF(OR(P1057="-",P1057="",P1057=0),IF(O1057="-","-",O1057),O1057-P1057)</f>
        <v>3</v>
      </c>
      <c r="R1057" s="4" t="str">
        <f>IFERROR(IF(O1057&gt;0, P1057/O1057, 0),"-")</f>
        <v>-</v>
      </c>
      <c r="S1057" s="34">
        <v>152</v>
      </c>
      <c r="T1057" s="34" t="s">
        <v>959</v>
      </c>
      <c r="U1057" s="34" t="s">
        <v>959</v>
      </c>
      <c r="V1057" s="35" t="s">
        <v>959</v>
      </c>
      <c r="W1057" s="35" t="s">
        <v>959</v>
      </c>
    </row>
    <row r="1058" spans="1:23" x14ac:dyDescent="0.2">
      <c r="A1058" s="30" t="s">
        <v>457</v>
      </c>
      <c r="B1058" s="30" t="s">
        <v>1672</v>
      </c>
      <c r="C1058" s="34">
        <v>142</v>
      </c>
      <c r="D1058" s="35">
        <v>136</v>
      </c>
      <c r="E1058" s="34">
        <f>IF(OR(D1058="-",D1058="",D1058=0),IF(C1058="-","-",C1058),C1058-D1058)</f>
        <v>6</v>
      </c>
      <c r="F1058" s="4">
        <f>IFERROR(IF(C1058&gt;0, D1058/C1058, 0),"-")</f>
        <v>0.95774647887323938</v>
      </c>
      <c r="G1058" s="34">
        <v>2</v>
      </c>
      <c r="H1058" s="35" t="s">
        <v>959</v>
      </c>
      <c r="I1058" s="34">
        <f>IF(OR(H1058="-",H1058="",H1058=0),IF(G1058="-","-",G1058),G1058-H1058)</f>
        <v>2</v>
      </c>
      <c r="J1058" s="4" t="str">
        <f>IFERROR(IF(G1058&gt;0, H1058/G1058, 0),"-")</f>
        <v>-</v>
      </c>
      <c r="K1058" s="34" t="s">
        <v>959</v>
      </c>
      <c r="L1058" s="35" t="s">
        <v>959</v>
      </c>
      <c r="M1058" s="34" t="str">
        <f>IF(OR(L1058="-",L1058="",L1058=0),IF(K1058="-","-",K1058),K1058-L1058)</f>
        <v>-</v>
      </c>
      <c r="N1058" s="4" t="str">
        <f>IFERROR(IF(K1058&gt;0, L1058/K1058, 0),"-")</f>
        <v>-</v>
      </c>
      <c r="O1058" s="34">
        <v>4</v>
      </c>
      <c r="P1058" s="35" t="s">
        <v>959</v>
      </c>
      <c r="Q1058" s="34">
        <f>IF(OR(P1058="-",P1058="",P1058=0),IF(O1058="-","-",O1058),O1058-P1058)</f>
        <v>4</v>
      </c>
      <c r="R1058" s="4" t="str">
        <f>IFERROR(IF(O1058&gt;0, P1058/O1058, 0),"-")</f>
        <v>-</v>
      </c>
      <c r="S1058" s="34">
        <v>131</v>
      </c>
      <c r="T1058" s="34">
        <v>3</v>
      </c>
      <c r="U1058" s="34">
        <v>10930</v>
      </c>
      <c r="V1058" s="35">
        <v>4</v>
      </c>
      <c r="W1058" s="35">
        <v>98614</v>
      </c>
    </row>
    <row r="1059" spans="1:23" x14ac:dyDescent="0.2">
      <c r="A1059" s="30" t="s">
        <v>459</v>
      </c>
      <c r="B1059" s="30" t="s">
        <v>1673</v>
      </c>
      <c r="C1059" s="34">
        <v>267</v>
      </c>
      <c r="D1059" s="35">
        <v>261</v>
      </c>
      <c r="E1059" s="34">
        <f>IF(OR(D1059="-",D1059="",D1059=0),IF(C1059="-","-",C1059),C1059-D1059)</f>
        <v>6</v>
      </c>
      <c r="F1059" s="4">
        <f>IFERROR(IF(C1059&gt;0, D1059/C1059, 0),"-")</f>
        <v>0.97752808988764039</v>
      </c>
      <c r="G1059" s="34">
        <v>2</v>
      </c>
      <c r="H1059" s="35" t="s">
        <v>959</v>
      </c>
      <c r="I1059" s="34">
        <f>IF(OR(H1059="-",H1059="",H1059=0),IF(G1059="-","-",G1059),G1059-H1059)</f>
        <v>2</v>
      </c>
      <c r="J1059" s="4" t="str">
        <f>IFERROR(IF(G1059&gt;0, H1059/G1059, 0),"-")</f>
        <v>-</v>
      </c>
      <c r="K1059" s="34" t="s">
        <v>959</v>
      </c>
      <c r="L1059" s="35" t="s">
        <v>959</v>
      </c>
      <c r="M1059" s="34" t="str">
        <f>IF(OR(L1059="-",L1059="",L1059=0),IF(K1059="-","-",K1059),K1059-L1059)</f>
        <v>-</v>
      </c>
      <c r="N1059" s="4" t="str">
        <f>IFERROR(IF(K1059&gt;0, L1059/K1059, 0),"-")</f>
        <v>-</v>
      </c>
      <c r="O1059" s="34">
        <v>1</v>
      </c>
      <c r="P1059" s="35" t="s">
        <v>959</v>
      </c>
      <c r="Q1059" s="34">
        <f>IF(OR(P1059="-",P1059="",P1059=0),IF(O1059="-","-",O1059),O1059-P1059)</f>
        <v>1</v>
      </c>
      <c r="R1059" s="4" t="str">
        <f>IFERROR(IF(O1059&gt;0, P1059/O1059, 0),"-")</f>
        <v>-</v>
      </c>
      <c r="S1059" s="34">
        <v>200</v>
      </c>
      <c r="T1059" s="34">
        <v>2</v>
      </c>
      <c r="U1059" s="34">
        <v>6735</v>
      </c>
      <c r="V1059" s="35">
        <v>1</v>
      </c>
      <c r="W1059" s="35">
        <v>32619</v>
      </c>
    </row>
    <row r="1060" spans="1:23" x14ac:dyDescent="0.2">
      <c r="A1060" s="30" t="s">
        <v>460</v>
      </c>
      <c r="B1060" s="30" t="s">
        <v>1674</v>
      </c>
      <c r="C1060" s="34">
        <v>127</v>
      </c>
      <c r="D1060" s="35">
        <v>123</v>
      </c>
      <c r="E1060" s="34">
        <f>IF(OR(D1060="-",D1060="",D1060=0),IF(C1060="-","-",C1060),C1060-D1060)</f>
        <v>4</v>
      </c>
      <c r="F1060" s="4">
        <f>IFERROR(IF(C1060&gt;0, D1060/C1060, 0),"-")</f>
        <v>0.96850393700787396</v>
      </c>
      <c r="G1060" s="34" t="s">
        <v>959</v>
      </c>
      <c r="H1060" s="35" t="s">
        <v>959</v>
      </c>
      <c r="I1060" s="34" t="str">
        <f>IF(OR(H1060="-",H1060="",H1060=0),IF(G1060="-","-",G1060),G1060-H1060)</f>
        <v>-</v>
      </c>
      <c r="J1060" s="4" t="str">
        <f>IFERROR(IF(G1060&gt;0, H1060/G1060, 0),"-")</f>
        <v>-</v>
      </c>
      <c r="K1060" s="34">
        <v>2</v>
      </c>
      <c r="L1060" s="35" t="s">
        <v>959</v>
      </c>
      <c r="M1060" s="34">
        <f>IF(OR(L1060="-",L1060="",L1060=0),IF(K1060="-","-",K1060),K1060-L1060)</f>
        <v>2</v>
      </c>
      <c r="N1060" s="4" t="str">
        <f>IFERROR(IF(K1060&gt;0, L1060/K1060, 0),"-")</f>
        <v>-</v>
      </c>
      <c r="O1060" s="34" t="s">
        <v>959</v>
      </c>
      <c r="P1060" s="35" t="s">
        <v>959</v>
      </c>
      <c r="Q1060" s="34" t="str">
        <f>IF(OR(P1060="-",P1060="",P1060=0),IF(O1060="-","-",O1060),O1060-P1060)</f>
        <v>-</v>
      </c>
      <c r="R1060" s="4" t="str">
        <f>IFERROR(IF(O1060&gt;0, P1060/O1060, 0),"-")</f>
        <v>-</v>
      </c>
      <c r="S1060" s="34">
        <v>109</v>
      </c>
      <c r="T1060" s="34" t="s">
        <v>959</v>
      </c>
      <c r="U1060" s="34" t="s">
        <v>959</v>
      </c>
      <c r="V1060" s="35">
        <v>1</v>
      </c>
      <c r="W1060" s="35">
        <v>21795</v>
      </c>
    </row>
    <row r="1061" spans="1:23" x14ac:dyDescent="0.2">
      <c r="A1061" s="29"/>
      <c r="B1061" s="29" t="s">
        <v>63</v>
      </c>
      <c r="C1061" s="32">
        <v>1144</v>
      </c>
      <c r="D1061" s="32">
        <v>1117</v>
      </c>
      <c r="E1061" s="32">
        <f>IF(OR(D1061="-",D1061="",D1061=0),IF(C1061="-","-",C1061),C1061-D1061)</f>
        <v>27</v>
      </c>
      <c r="F1061" s="36">
        <f>IFERROR(IF(C1061&gt;0, D1061/C1061, 0),"-")</f>
        <v>0.97639860139860135</v>
      </c>
      <c r="G1061" s="32">
        <v>13</v>
      </c>
      <c r="H1061" s="32">
        <v>1</v>
      </c>
      <c r="I1061" s="32">
        <f>IF(OR(H1061="-",H1061="",H1061=0),IF(G1061="-","-",G1061),G1061-H1061)</f>
        <v>12</v>
      </c>
      <c r="J1061" s="36">
        <f>IFERROR(IF(G1061&gt;0, H1061/G1061, 0),"-")</f>
        <v>7.6923076923076927E-2</v>
      </c>
      <c r="K1061" s="32">
        <v>9</v>
      </c>
      <c r="L1061" s="32">
        <v>3</v>
      </c>
      <c r="M1061" s="32">
        <f>IF(OR(L1061="-",L1061="",L1061=0),IF(K1061="-","-",K1061),K1061-L1061)</f>
        <v>6</v>
      </c>
      <c r="N1061" s="36">
        <f>IFERROR(IF(K1061&gt;0, L1061/K1061, 0),"-")</f>
        <v>0.33333333333333331</v>
      </c>
      <c r="O1061" s="32">
        <v>10</v>
      </c>
      <c r="P1061" s="32">
        <v>4</v>
      </c>
      <c r="Q1061" s="32">
        <f>IF(OR(P1061="-",P1061="",P1061=0),IF(O1061="-","-",O1061),O1061-P1061)</f>
        <v>6</v>
      </c>
      <c r="R1061" s="36">
        <f>IFERROR(IF(O1061&gt;0, P1061/O1061, 0),"-")</f>
        <v>0.4</v>
      </c>
      <c r="S1061" s="32">
        <v>1115</v>
      </c>
      <c r="T1061" s="32">
        <v>10</v>
      </c>
      <c r="U1061" s="32">
        <v>35660</v>
      </c>
      <c r="V1061" s="32">
        <v>10</v>
      </c>
      <c r="W1061" s="32">
        <v>367643</v>
      </c>
    </row>
    <row r="1062" spans="1:23" x14ac:dyDescent="0.2">
      <c r="A1062" s="30" t="s">
        <v>399</v>
      </c>
      <c r="B1062" s="30" t="s">
        <v>1675</v>
      </c>
      <c r="C1062" s="34">
        <v>162</v>
      </c>
      <c r="D1062" s="35">
        <v>155</v>
      </c>
      <c r="E1062" s="34">
        <f>IF(OR(D1062="-",D1062="",D1062=0),IF(C1062="-","-",C1062),C1062-D1062)</f>
        <v>7</v>
      </c>
      <c r="F1062" s="4">
        <f>IFERROR(IF(C1062&gt;0, D1062/C1062, 0),"-")</f>
        <v>0.95679012345679015</v>
      </c>
      <c r="G1062" s="34" t="s">
        <v>959</v>
      </c>
      <c r="H1062" s="35" t="s">
        <v>959</v>
      </c>
      <c r="I1062" s="34" t="str">
        <f>IF(OR(H1062="-",H1062="",H1062=0),IF(G1062="-","-",G1062),G1062-H1062)</f>
        <v>-</v>
      </c>
      <c r="J1062" s="4" t="str">
        <f>IFERROR(IF(G1062&gt;0, H1062/G1062, 0),"-")</f>
        <v>-</v>
      </c>
      <c r="K1062" s="34" t="s">
        <v>959</v>
      </c>
      <c r="L1062" s="35" t="s">
        <v>959</v>
      </c>
      <c r="M1062" s="34" t="str">
        <f>IF(OR(L1062="-",L1062="",L1062=0),IF(K1062="-","-",K1062),K1062-L1062)</f>
        <v>-</v>
      </c>
      <c r="N1062" s="4" t="str">
        <f>IFERROR(IF(K1062&gt;0, L1062/K1062, 0),"-")</f>
        <v>-</v>
      </c>
      <c r="O1062" s="34">
        <v>3</v>
      </c>
      <c r="P1062" s="35">
        <v>1</v>
      </c>
      <c r="Q1062" s="34">
        <f>IF(OR(P1062="-",P1062="",P1062=0),IF(O1062="-","-",O1062),O1062-P1062)</f>
        <v>2</v>
      </c>
      <c r="R1062" s="4">
        <f>IFERROR(IF(O1062&gt;0, P1062/O1062, 0),"-")</f>
        <v>0.33333333333333331</v>
      </c>
      <c r="S1062" s="34">
        <v>95</v>
      </c>
      <c r="T1062" s="34">
        <v>1</v>
      </c>
      <c r="U1062" s="34">
        <v>280</v>
      </c>
      <c r="V1062" s="35">
        <v>1</v>
      </c>
      <c r="W1062" s="35">
        <v>47023</v>
      </c>
    </row>
    <row r="1063" spans="1:23" x14ac:dyDescent="0.2">
      <c r="A1063" s="30" t="s">
        <v>407</v>
      </c>
      <c r="B1063" s="30" t="s">
        <v>989</v>
      </c>
      <c r="C1063" s="34">
        <v>126</v>
      </c>
      <c r="D1063" s="35">
        <v>121</v>
      </c>
      <c r="E1063" s="34">
        <f>IF(OR(D1063="-",D1063="",D1063=0),IF(C1063="-","-",C1063),C1063-D1063)</f>
        <v>5</v>
      </c>
      <c r="F1063" s="4">
        <f>IFERROR(IF(C1063&gt;0, D1063/C1063, 0),"-")</f>
        <v>0.96031746031746035</v>
      </c>
      <c r="G1063" s="34">
        <v>3</v>
      </c>
      <c r="H1063" s="35" t="s">
        <v>959</v>
      </c>
      <c r="I1063" s="34">
        <f>IF(OR(H1063="-",H1063="",H1063=0),IF(G1063="-","-",G1063),G1063-H1063)</f>
        <v>3</v>
      </c>
      <c r="J1063" s="4" t="str">
        <f>IFERROR(IF(G1063&gt;0, H1063/G1063, 0),"-")</f>
        <v>-</v>
      </c>
      <c r="K1063" s="34">
        <v>2</v>
      </c>
      <c r="L1063" s="35" t="s">
        <v>959</v>
      </c>
      <c r="M1063" s="34">
        <f>IF(OR(L1063="-",L1063="",L1063=0),IF(K1063="-","-",K1063),K1063-L1063)</f>
        <v>2</v>
      </c>
      <c r="N1063" s="4" t="str">
        <f>IFERROR(IF(K1063&gt;0, L1063/K1063, 0),"-")</f>
        <v>-</v>
      </c>
      <c r="O1063" s="34">
        <v>2</v>
      </c>
      <c r="P1063" s="35">
        <v>1</v>
      </c>
      <c r="Q1063" s="34">
        <f>IF(OR(P1063="-",P1063="",P1063=0),IF(O1063="-","-",O1063),O1063-P1063)</f>
        <v>1</v>
      </c>
      <c r="R1063" s="4">
        <f>IFERROR(IF(O1063&gt;0, P1063/O1063, 0),"-")</f>
        <v>0.5</v>
      </c>
      <c r="S1063" s="34">
        <v>32</v>
      </c>
      <c r="T1063" s="34" t="s">
        <v>959</v>
      </c>
      <c r="U1063" s="34" t="s">
        <v>959</v>
      </c>
      <c r="V1063" s="35">
        <v>1</v>
      </c>
      <c r="W1063" s="35">
        <v>53792</v>
      </c>
    </row>
    <row r="1064" spans="1:23" x14ac:dyDescent="0.2">
      <c r="A1064" s="30" t="s">
        <v>402</v>
      </c>
      <c r="B1064" s="30" t="s">
        <v>1676</v>
      </c>
      <c r="C1064" s="34">
        <v>101</v>
      </c>
      <c r="D1064" s="35">
        <v>96</v>
      </c>
      <c r="E1064" s="34">
        <f>IF(OR(D1064="-",D1064="",D1064=0),IF(C1064="-","-",C1064),C1064-D1064)</f>
        <v>5</v>
      </c>
      <c r="F1064" s="4">
        <f>IFERROR(IF(C1064&gt;0, D1064/C1064, 0),"-")</f>
        <v>0.95049504950495045</v>
      </c>
      <c r="G1064" s="34">
        <v>1</v>
      </c>
      <c r="H1064" s="35" t="s">
        <v>959</v>
      </c>
      <c r="I1064" s="34">
        <f>IF(OR(H1064="-",H1064="",H1064=0),IF(G1064="-","-",G1064),G1064-H1064)</f>
        <v>1</v>
      </c>
      <c r="J1064" s="4" t="str">
        <f>IFERROR(IF(G1064&gt;0, H1064/G1064, 0),"-")</f>
        <v>-</v>
      </c>
      <c r="K1064" s="34">
        <v>2</v>
      </c>
      <c r="L1064" s="35">
        <v>1</v>
      </c>
      <c r="M1064" s="34">
        <f>IF(OR(L1064="-",L1064="",L1064=0),IF(K1064="-","-",K1064),K1064-L1064)</f>
        <v>1</v>
      </c>
      <c r="N1064" s="4">
        <f>IFERROR(IF(K1064&gt;0, L1064/K1064, 0),"-")</f>
        <v>0.5</v>
      </c>
      <c r="O1064" s="34">
        <v>1</v>
      </c>
      <c r="P1064" s="35">
        <v>1</v>
      </c>
      <c r="Q1064" s="34">
        <f>IF(OR(P1064="-",P1064="",P1064=0),IF(O1064="-","-",O1064),O1064-P1064)</f>
        <v>0</v>
      </c>
      <c r="R1064" s="4">
        <f>IFERROR(IF(O1064&gt;0, P1064/O1064, 0),"-")</f>
        <v>1</v>
      </c>
      <c r="S1064" s="34">
        <v>93</v>
      </c>
      <c r="T1064" s="34" t="s">
        <v>959</v>
      </c>
      <c r="U1064" s="34" t="s">
        <v>959</v>
      </c>
      <c r="V1064" s="35">
        <v>1</v>
      </c>
      <c r="W1064" s="35">
        <v>24513</v>
      </c>
    </row>
    <row r="1065" spans="1:23" x14ac:dyDescent="0.2">
      <c r="A1065" s="30" t="s">
        <v>406</v>
      </c>
      <c r="B1065" s="30" t="s">
        <v>1677</v>
      </c>
      <c r="C1065" s="34">
        <v>96</v>
      </c>
      <c r="D1065" s="35">
        <v>93</v>
      </c>
      <c r="E1065" s="34">
        <f>IF(OR(D1065="-",D1065="",D1065=0),IF(C1065="-","-",C1065),C1065-D1065)</f>
        <v>3</v>
      </c>
      <c r="F1065" s="4">
        <f>IFERROR(IF(C1065&gt;0, D1065/C1065, 0),"-")</f>
        <v>0.96875</v>
      </c>
      <c r="G1065" s="34">
        <v>2</v>
      </c>
      <c r="H1065" s="35" t="s">
        <v>959</v>
      </c>
      <c r="I1065" s="34">
        <f>IF(OR(H1065="-",H1065="",H1065=0),IF(G1065="-","-",G1065),G1065-H1065)</f>
        <v>2</v>
      </c>
      <c r="J1065" s="4" t="str">
        <f>IFERROR(IF(G1065&gt;0, H1065/G1065, 0),"-")</f>
        <v>-</v>
      </c>
      <c r="K1065" s="34">
        <v>3</v>
      </c>
      <c r="L1065" s="35">
        <v>1</v>
      </c>
      <c r="M1065" s="34">
        <f>IF(OR(L1065="-",L1065="",L1065=0),IF(K1065="-","-",K1065),K1065-L1065)</f>
        <v>2</v>
      </c>
      <c r="N1065" s="4">
        <f>IFERROR(IF(K1065&gt;0, L1065/K1065, 0),"-")</f>
        <v>0.33333333333333331</v>
      </c>
      <c r="O1065" s="34">
        <v>1</v>
      </c>
      <c r="P1065" s="35" t="s">
        <v>959</v>
      </c>
      <c r="Q1065" s="34">
        <f>IF(OR(P1065="-",P1065="",P1065=0),IF(O1065="-","-",O1065),O1065-P1065)</f>
        <v>1</v>
      </c>
      <c r="R1065" s="4" t="str">
        <f>IFERROR(IF(O1065&gt;0, P1065/O1065, 0),"-")</f>
        <v>-</v>
      </c>
      <c r="S1065" s="34">
        <v>73</v>
      </c>
      <c r="T1065" s="34">
        <v>2</v>
      </c>
      <c r="U1065" s="34">
        <v>5040</v>
      </c>
      <c r="V1065" s="35" t="s">
        <v>959</v>
      </c>
      <c r="W1065" s="35" t="s">
        <v>959</v>
      </c>
    </row>
    <row r="1066" spans="1:23" x14ac:dyDescent="0.2">
      <c r="A1066" s="30" t="s">
        <v>403</v>
      </c>
      <c r="B1066" s="30" t="s">
        <v>1678</v>
      </c>
      <c r="C1066" s="34">
        <v>101</v>
      </c>
      <c r="D1066" s="35">
        <v>101</v>
      </c>
      <c r="E1066" s="34">
        <f>IF(OR(D1066="-",D1066="",D1066=0),IF(C1066="-","-",C1066),C1066-D1066)</f>
        <v>0</v>
      </c>
      <c r="F1066" s="4">
        <f>IFERROR(IF(C1066&gt;0, D1066/C1066, 0),"-")</f>
        <v>1</v>
      </c>
      <c r="G1066" s="34">
        <v>3</v>
      </c>
      <c r="H1066" s="35" t="s">
        <v>959</v>
      </c>
      <c r="I1066" s="34">
        <f>IF(OR(H1066="-",H1066="",H1066=0),IF(G1066="-","-",G1066),G1066-H1066)</f>
        <v>3</v>
      </c>
      <c r="J1066" s="4" t="str">
        <f>IFERROR(IF(G1066&gt;0, H1066/G1066, 0),"-")</f>
        <v>-</v>
      </c>
      <c r="K1066" s="34">
        <v>1</v>
      </c>
      <c r="L1066" s="35" t="s">
        <v>959</v>
      </c>
      <c r="M1066" s="34">
        <f>IF(OR(L1066="-",L1066="",L1066=0),IF(K1066="-","-",K1066),K1066-L1066)</f>
        <v>1</v>
      </c>
      <c r="N1066" s="4" t="str">
        <f>IFERROR(IF(K1066&gt;0, L1066/K1066, 0),"-")</f>
        <v>-</v>
      </c>
      <c r="O1066" s="34" t="s">
        <v>959</v>
      </c>
      <c r="P1066" s="35" t="s">
        <v>959</v>
      </c>
      <c r="Q1066" s="34" t="str">
        <f>IF(OR(P1066="-",P1066="",P1066=0),IF(O1066="-","-",O1066),O1066-P1066)</f>
        <v>-</v>
      </c>
      <c r="R1066" s="4" t="str">
        <f>IFERROR(IF(O1066&gt;0, P1066/O1066, 0),"-")</f>
        <v>-</v>
      </c>
      <c r="S1066" s="34">
        <v>68</v>
      </c>
      <c r="T1066" s="34">
        <v>1</v>
      </c>
      <c r="U1066" s="34">
        <v>8080</v>
      </c>
      <c r="V1066" s="35" t="s">
        <v>959</v>
      </c>
      <c r="W1066" s="35" t="s">
        <v>959</v>
      </c>
    </row>
    <row r="1067" spans="1:23" x14ac:dyDescent="0.2">
      <c r="A1067" s="30" t="s">
        <v>408</v>
      </c>
      <c r="B1067" s="30" t="s">
        <v>1679</v>
      </c>
      <c r="C1067" s="34">
        <v>29</v>
      </c>
      <c r="D1067" s="35">
        <v>26</v>
      </c>
      <c r="E1067" s="34">
        <f>IF(OR(D1067="-",D1067="",D1067=0),IF(C1067="-","-",C1067),C1067-D1067)</f>
        <v>3</v>
      </c>
      <c r="F1067" s="4">
        <f>IFERROR(IF(C1067&gt;0, D1067/C1067, 0),"-")</f>
        <v>0.89655172413793105</v>
      </c>
      <c r="G1067" s="34">
        <v>1</v>
      </c>
      <c r="H1067" s="35" t="s">
        <v>959</v>
      </c>
      <c r="I1067" s="34">
        <f>IF(OR(H1067="-",H1067="",H1067=0),IF(G1067="-","-",G1067),G1067-H1067)</f>
        <v>1</v>
      </c>
      <c r="J1067" s="4" t="str">
        <f>IFERROR(IF(G1067&gt;0, H1067/G1067, 0),"-")</f>
        <v>-</v>
      </c>
      <c r="K1067" s="34" t="s">
        <v>959</v>
      </c>
      <c r="L1067" s="35" t="s">
        <v>959</v>
      </c>
      <c r="M1067" s="34" t="str">
        <f>IF(OR(L1067="-",L1067="",L1067=0),IF(K1067="-","-",K1067),K1067-L1067)</f>
        <v>-</v>
      </c>
      <c r="N1067" s="4" t="str">
        <f>IFERROR(IF(K1067&gt;0, L1067/K1067, 0),"-")</f>
        <v>-</v>
      </c>
      <c r="O1067" s="34" t="s">
        <v>959</v>
      </c>
      <c r="P1067" s="35" t="s">
        <v>959</v>
      </c>
      <c r="Q1067" s="34" t="str">
        <f>IF(OR(P1067="-",P1067="",P1067=0),IF(O1067="-","-",O1067),O1067-P1067)</f>
        <v>-</v>
      </c>
      <c r="R1067" s="4" t="str">
        <f>IFERROR(IF(O1067&gt;0, P1067/O1067, 0),"-")</f>
        <v>-</v>
      </c>
      <c r="S1067" s="34">
        <v>223</v>
      </c>
      <c r="T1067" s="34">
        <v>2</v>
      </c>
      <c r="U1067" s="34">
        <v>8040</v>
      </c>
      <c r="V1067" s="35">
        <v>2</v>
      </c>
      <c r="W1067" s="35">
        <v>56748</v>
      </c>
    </row>
    <row r="1068" spans="1:23" x14ac:dyDescent="0.2">
      <c r="A1068" s="30" t="s">
        <v>404</v>
      </c>
      <c r="B1068" s="30" t="s">
        <v>1680</v>
      </c>
      <c r="C1068" s="34">
        <v>122</v>
      </c>
      <c r="D1068" s="35">
        <v>122</v>
      </c>
      <c r="E1068" s="34">
        <f>IF(OR(D1068="-",D1068="",D1068=0),IF(C1068="-","-",C1068),C1068-D1068)</f>
        <v>0</v>
      </c>
      <c r="F1068" s="4">
        <f>IFERROR(IF(C1068&gt;0, D1068/C1068, 0),"-")</f>
        <v>1</v>
      </c>
      <c r="G1068" s="34">
        <v>2</v>
      </c>
      <c r="H1068" s="35">
        <v>1</v>
      </c>
      <c r="I1068" s="34">
        <f>IF(OR(H1068="-",H1068="",H1068=0),IF(G1068="-","-",G1068),G1068-H1068)</f>
        <v>1</v>
      </c>
      <c r="J1068" s="4">
        <f>IFERROR(IF(G1068&gt;0, H1068/G1068, 0),"-")</f>
        <v>0.5</v>
      </c>
      <c r="K1068" s="34" t="s">
        <v>959</v>
      </c>
      <c r="L1068" s="35" t="s">
        <v>959</v>
      </c>
      <c r="M1068" s="34" t="str">
        <f>IF(OR(L1068="-",L1068="",L1068=0),IF(K1068="-","-",K1068),K1068-L1068)</f>
        <v>-</v>
      </c>
      <c r="N1068" s="4" t="str">
        <f>IFERROR(IF(K1068&gt;0, L1068/K1068, 0),"-")</f>
        <v>-</v>
      </c>
      <c r="O1068" s="34">
        <v>1</v>
      </c>
      <c r="P1068" s="35" t="s">
        <v>959</v>
      </c>
      <c r="Q1068" s="34">
        <f>IF(OR(P1068="-",P1068="",P1068=0),IF(O1068="-","-",O1068),O1068-P1068)</f>
        <v>1</v>
      </c>
      <c r="R1068" s="4" t="str">
        <f>IFERROR(IF(O1068&gt;0, P1068/O1068, 0),"-")</f>
        <v>-</v>
      </c>
      <c r="S1068" s="34">
        <v>48</v>
      </c>
      <c r="T1068" s="34" t="s">
        <v>959</v>
      </c>
      <c r="U1068" s="34" t="s">
        <v>959</v>
      </c>
      <c r="V1068" s="35" t="s">
        <v>959</v>
      </c>
      <c r="W1068" s="35" t="s">
        <v>959</v>
      </c>
    </row>
    <row r="1069" spans="1:23" x14ac:dyDescent="0.2">
      <c r="A1069" s="30" t="s">
        <v>400</v>
      </c>
      <c r="B1069" s="30" t="s">
        <v>1681</v>
      </c>
      <c r="C1069" s="34">
        <v>144</v>
      </c>
      <c r="D1069" s="35">
        <v>143</v>
      </c>
      <c r="E1069" s="34">
        <f>IF(OR(D1069="-",D1069="",D1069=0),IF(C1069="-","-",C1069),C1069-D1069)</f>
        <v>1</v>
      </c>
      <c r="F1069" s="4">
        <f>IFERROR(IF(C1069&gt;0, D1069/C1069, 0),"-")</f>
        <v>0.99305555555555558</v>
      </c>
      <c r="G1069" s="34" t="s">
        <v>959</v>
      </c>
      <c r="H1069" s="35" t="s">
        <v>959</v>
      </c>
      <c r="I1069" s="34" t="str">
        <f>IF(OR(H1069="-",H1069="",H1069=0),IF(G1069="-","-",G1069),G1069-H1069)</f>
        <v>-</v>
      </c>
      <c r="J1069" s="4" t="str">
        <f>IFERROR(IF(G1069&gt;0, H1069/G1069, 0),"-")</f>
        <v>-</v>
      </c>
      <c r="K1069" s="34">
        <v>1</v>
      </c>
      <c r="L1069" s="35">
        <v>1</v>
      </c>
      <c r="M1069" s="34">
        <f>IF(OR(L1069="-",L1069="",L1069=0),IF(K1069="-","-",K1069),K1069-L1069)</f>
        <v>0</v>
      </c>
      <c r="N1069" s="4">
        <f>IFERROR(IF(K1069&gt;0, L1069/K1069, 0),"-")</f>
        <v>1</v>
      </c>
      <c r="O1069" s="34" t="s">
        <v>959</v>
      </c>
      <c r="P1069" s="35" t="s">
        <v>959</v>
      </c>
      <c r="Q1069" s="34" t="str">
        <f>IF(OR(P1069="-",P1069="",P1069=0),IF(O1069="-","-",O1069),O1069-P1069)</f>
        <v>-</v>
      </c>
      <c r="R1069" s="4" t="str">
        <f>IFERROR(IF(O1069&gt;0, P1069/O1069, 0),"-")</f>
        <v>-</v>
      </c>
      <c r="S1069" s="34">
        <v>337</v>
      </c>
      <c r="T1069" s="34">
        <v>4</v>
      </c>
      <c r="U1069" s="34">
        <v>14220</v>
      </c>
      <c r="V1069" s="35" t="s">
        <v>959</v>
      </c>
      <c r="W1069" s="35" t="s">
        <v>959</v>
      </c>
    </row>
    <row r="1070" spans="1:23" x14ac:dyDescent="0.2">
      <c r="A1070" s="30" t="s">
        <v>405</v>
      </c>
      <c r="B1070" s="30" t="s">
        <v>1682</v>
      </c>
      <c r="C1070" s="34">
        <v>115</v>
      </c>
      <c r="D1070" s="35">
        <v>115</v>
      </c>
      <c r="E1070" s="34">
        <f>IF(OR(D1070="-",D1070="",D1070=0),IF(C1070="-","-",C1070),C1070-D1070)</f>
        <v>0</v>
      </c>
      <c r="F1070" s="4">
        <f>IFERROR(IF(C1070&gt;0, D1070/C1070, 0),"-")</f>
        <v>1</v>
      </c>
      <c r="G1070" s="34" t="s">
        <v>959</v>
      </c>
      <c r="H1070" s="35" t="s">
        <v>959</v>
      </c>
      <c r="I1070" s="34" t="str">
        <f>IF(OR(H1070="-",H1070="",H1070=0),IF(G1070="-","-",G1070),G1070-H1070)</f>
        <v>-</v>
      </c>
      <c r="J1070" s="4" t="str">
        <f>IFERROR(IF(G1070&gt;0, H1070/G1070, 0),"-")</f>
        <v>-</v>
      </c>
      <c r="K1070" s="34" t="s">
        <v>959</v>
      </c>
      <c r="L1070" s="35" t="s">
        <v>959</v>
      </c>
      <c r="M1070" s="34" t="str">
        <f>IF(OR(L1070="-",L1070="",L1070=0),IF(K1070="-","-",K1070),K1070-L1070)</f>
        <v>-</v>
      </c>
      <c r="N1070" s="4" t="str">
        <f>IFERROR(IF(K1070&gt;0, L1070/K1070, 0),"-")</f>
        <v>-</v>
      </c>
      <c r="O1070" s="34" t="s">
        <v>959</v>
      </c>
      <c r="P1070" s="35" t="s">
        <v>959</v>
      </c>
      <c r="Q1070" s="34" t="str">
        <f>IF(OR(P1070="-",P1070="",P1070=0),IF(O1070="-","-",O1070),O1070-P1070)</f>
        <v>-</v>
      </c>
      <c r="R1070" s="4" t="str">
        <f>IFERROR(IF(O1070&gt;0, P1070/O1070, 0),"-")</f>
        <v>-</v>
      </c>
      <c r="S1070" s="34">
        <v>68</v>
      </c>
      <c r="T1070" s="34" t="s">
        <v>959</v>
      </c>
      <c r="U1070" s="34" t="s">
        <v>959</v>
      </c>
      <c r="V1070" s="35">
        <v>3</v>
      </c>
      <c r="W1070" s="35">
        <v>119847</v>
      </c>
    </row>
    <row r="1071" spans="1:23" x14ac:dyDescent="0.2">
      <c r="A1071" s="30" t="s">
        <v>401</v>
      </c>
      <c r="B1071" s="30" t="s">
        <v>1683</v>
      </c>
      <c r="C1071" s="34">
        <v>148</v>
      </c>
      <c r="D1071" s="35">
        <v>145</v>
      </c>
      <c r="E1071" s="34">
        <f>IF(OR(D1071="-",D1071="",D1071=0),IF(C1071="-","-",C1071),C1071-D1071)</f>
        <v>3</v>
      </c>
      <c r="F1071" s="4">
        <f>IFERROR(IF(C1071&gt;0, D1071/C1071, 0),"-")</f>
        <v>0.97972972972972971</v>
      </c>
      <c r="G1071" s="34">
        <v>1</v>
      </c>
      <c r="H1071" s="35" t="s">
        <v>959</v>
      </c>
      <c r="I1071" s="34">
        <f>IF(OR(H1071="-",H1071="",H1071=0),IF(G1071="-","-",G1071),G1071-H1071)</f>
        <v>1</v>
      </c>
      <c r="J1071" s="4" t="str">
        <f>IFERROR(IF(G1071&gt;0, H1071/G1071, 0),"-")</f>
        <v>-</v>
      </c>
      <c r="K1071" s="34" t="s">
        <v>959</v>
      </c>
      <c r="L1071" s="35" t="s">
        <v>959</v>
      </c>
      <c r="M1071" s="34" t="str">
        <f>IF(OR(L1071="-",L1071="",L1071=0),IF(K1071="-","-",K1071),K1071-L1071)</f>
        <v>-</v>
      </c>
      <c r="N1071" s="4" t="str">
        <f>IFERROR(IF(K1071&gt;0, L1071/K1071, 0),"-")</f>
        <v>-</v>
      </c>
      <c r="O1071" s="34">
        <v>2</v>
      </c>
      <c r="P1071" s="35">
        <v>1</v>
      </c>
      <c r="Q1071" s="34">
        <f>IF(OR(P1071="-",P1071="",P1071=0),IF(O1071="-","-",O1071),O1071-P1071)</f>
        <v>1</v>
      </c>
      <c r="R1071" s="4">
        <f>IFERROR(IF(O1071&gt;0, P1071/O1071, 0),"-")</f>
        <v>0.5</v>
      </c>
      <c r="S1071" s="34">
        <v>78</v>
      </c>
      <c r="T1071" s="34" t="s">
        <v>959</v>
      </c>
      <c r="U1071" s="34" t="s">
        <v>959</v>
      </c>
      <c r="V1071" s="35">
        <v>2</v>
      </c>
      <c r="W1071" s="35">
        <v>65720</v>
      </c>
    </row>
    <row r="1072" spans="1:23" x14ac:dyDescent="0.2">
      <c r="A1072" s="29"/>
      <c r="B1072" s="29" t="s">
        <v>47</v>
      </c>
      <c r="C1072" s="32">
        <v>985</v>
      </c>
      <c r="D1072" s="32">
        <v>964</v>
      </c>
      <c r="E1072" s="32">
        <f>IF(OR(D1072="-",D1072="",D1072=0),IF(C1072="-","-",C1072),C1072-D1072)</f>
        <v>21</v>
      </c>
      <c r="F1072" s="36">
        <f>IFERROR(IF(C1072&gt;0, D1072/C1072, 0),"-")</f>
        <v>0.97868020304568526</v>
      </c>
      <c r="G1072" s="32">
        <v>14</v>
      </c>
      <c r="H1072" s="32">
        <v>5</v>
      </c>
      <c r="I1072" s="32">
        <f>IF(OR(H1072="-",H1072="",H1072=0),IF(G1072="-","-",G1072),G1072-H1072)</f>
        <v>9</v>
      </c>
      <c r="J1072" s="36">
        <f>IFERROR(IF(G1072&gt;0, H1072/G1072, 0),"-")</f>
        <v>0.35714285714285715</v>
      </c>
      <c r="K1072" s="32">
        <v>10</v>
      </c>
      <c r="L1072" s="32">
        <v>5</v>
      </c>
      <c r="M1072" s="32">
        <f>IF(OR(L1072="-",L1072="",L1072=0),IF(K1072="-","-",K1072),K1072-L1072)</f>
        <v>5</v>
      </c>
      <c r="N1072" s="36">
        <f>IFERROR(IF(K1072&gt;0, L1072/K1072, 0),"-")</f>
        <v>0.5</v>
      </c>
      <c r="O1072" s="32">
        <v>13</v>
      </c>
      <c r="P1072" s="32">
        <v>3</v>
      </c>
      <c r="Q1072" s="32">
        <f>IF(OR(P1072="-",P1072="",P1072=0),IF(O1072="-","-",O1072),O1072-P1072)</f>
        <v>10</v>
      </c>
      <c r="R1072" s="36">
        <f>IFERROR(IF(O1072&gt;0, P1072/O1072, 0),"-")</f>
        <v>0.23076923076923078</v>
      </c>
      <c r="S1072" s="32">
        <v>1324</v>
      </c>
      <c r="T1072" s="32">
        <v>16</v>
      </c>
      <c r="U1072" s="32">
        <v>63130</v>
      </c>
      <c r="V1072" s="32">
        <v>19</v>
      </c>
      <c r="W1072" s="32">
        <v>404608</v>
      </c>
    </row>
    <row r="1073" spans="1:23" x14ac:dyDescent="0.2">
      <c r="A1073" s="30" t="s">
        <v>274</v>
      </c>
      <c r="B1073" s="30" t="s">
        <v>1684</v>
      </c>
      <c r="C1073" s="34">
        <v>48</v>
      </c>
      <c r="D1073" s="35">
        <v>46</v>
      </c>
      <c r="E1073" s="34">
        <f>IF(OR(D1073="-",D1073="",D1073=0),IF(C1073="-","-",C1073),C1073-D1073)</f>
        <v>2</v>
      </c>
      <c r="F1073" s="4">
        <f>IFERROR(IF(C1073&gt;0, D1073/C1073, 0),"-")</f>
        <v>0.95833333333333337</v>
      </c>
      <c r="G1073" s="34">
        <v>3</v>
      </c>
      <c r="H1073" s="35" t="s">
        <v>959</v>
      </c>
      <c r="I1073" s="34">
        <f>IF(OR(H1073="-",H1073="",H1073=0),IF(G1073="-","-",G1073),G1073-H1073)</f>
        <v>3</v>
      </c>
      <c r="J1073" s="4" t="str">
        <f>IFERROR(IF(G1073&gt;0, H1073/G1073, 0),"-")</f>
        <v>-</v>
      </c>
      <c r="K1073" s="34">
        <v>1</v>
      </c>
      <c r="L1073" s="35" t="s">
        <v>959</v>
      </c>
      <c r="M1073" s="34">
        <f>IF(OR(L1073="-",L1073="",L1073=0),IF(K1073="-","-",K1073),K1073-L1073)</f>
        <v>1</v>
      </c>
      <c r="N1073" s="4" t="str">
        <f>IFERROR(IF(K1073&gt;0, L1073/K1073, 0),"-")</f>
        <v>-</v>
      </c>
      <c r="O1073" s="34">
        <v>1</v>
      </c>
      <c r="P1073" s="35" t="s">
        <v>959</v>
      </c>
      <c r="Q1073" s="34">
        <f>IF(OR(P1073="-",P1073="",P1073=0),IF(O1073="-","-",O1073),O1073-P1073)</f>
        <v>1</v>
      </c>
      <c r="R1073" s="4" t="str">
        <f>IFERROR(IF(O1073&gt;0, P1073/O1073, 0),"-")</f>
        <v>-</v>
      </c>
      <c r="S1073" s="34">
        <v>6</v>
      </c>
      <c r="T1073" s="34" t="s">
        <v>959</v>
      </c>
      <c r="U1073" s="34" t="s">
        <v>959</v>
      </c>
      <c r="V1073" s="35" t="s">
        <v>959</v>
      </c>
      <c r="W1073" s="35" t="s">
        <v>959</v>
      </c>
    </row>
    <row r="1074" spans="1:23" x14ac:dyDescent="0.2">
      <c r="A1074" s="30" t="s">
        <v>260</v>
      </c>
      <c r="B1074" s="30" t="s">
        <v>1685</v>
      </c>
      <c r="C1074" s="34">
        <v>252</v>
      </c>
      <c r="D1074" s="35">
        <v>249</v>
      </c>
      <c r="E1074" s="34">
        <f>IF(OR(D1074="-",D1074="",D1074=0),IF(C1074="-","-",C1074),C1074-D1074)</f>
        <v>3</v>
      </c>
      <c r="F1074" s="4">
        <f>IFERROR(IF(C1074&gt;0, D1074/C1074, 0),"-")</f>
        <v>0.98809523809523814</v>
      </c>
      <c r="G1074" s="34">
        <v>2</v>
      </c>
      <c r="H1074" s="35">
        <v>2</v>
      </c>
      <c r="I1074" s="34">
        <f>IF(OR(H1074="-",H1074="",H1074=0),IF(G1074="-","-",G1074),G1074-H1074)</f>
        <v>0</v>
      </c>
      <c r="J1074" s="4">
        <f>IFERROR(IF(G1074&gt;0, H1074/G1074, 0),"-")</f>
        <v>1</v>
      </c>
      <c r="K1074" s="34">
        <v>3</v>
      </c>
      <c r="L1074" s="35">
        <v>2</v>
      </c>
      <c r="M1074" s="34">
        <f>IF(OR(L1074="-",L1074="",L1074=0),IF(K1074="-","-",K1074),K1074-L1074)</f>
        <v>1</v>
      </c>
      <c r="N1074" s="4">
        <f>IFERROR(IF(K1074&gt;0, L1074/K1074, 0),"-")</f>
        <v>0.66666666666666663</v>
      </c>
      <c r="O1074" s="34">
        <v>6</v>
      </c>
      <c r="P1074" s="35">
        <v>2</v>
      </c>
      <c r="Q1074" s="34">
        <f>IF(OR(P1074="-",P1074="",P1074=0),IF(O1074="-","-",O1074),O1074-P1074)</f>
        <v>4</v>
      </c>
      <c r="R1074" s="4">
        <f>IFERROR(IF(O1074&gt;0, P1074/O1074, 0),"-")</f>
        <v>0.33333333333333331</v>
      </c>
      <c r="S1074" s="34">
        <v>334</v>
      </c>
      <c r="T1074" s="34">
        <v>4</v>
      </c>
      <c r="U1074" s="34">
        <v>34250</v>
      </c>
      <c r="V1074" s="35">
        <v>7</v>
      </c>
      <c r="W1074" s="35">
        <v>90300</v>
      </c>
    </row>
    <row r="1075" spans="1:23" x14ac:dyDescent="0.2">
      <c r="A1075" s="30" t="s">
        <v>259</v>
      </c>
      <c r="B1075" s="30" t="s">
        <v>1686</v>
      </c>
      <c r="C1075" s="34">
        <v>196</v>
      </c>
      <c r="D1075" s="35">
        <v>192</v>
      </c>
      <c r="E1075" s="34">
        <f>IF(OR(D1075="-",D1075="",D1075=0),IF(C1075="-","-",C1075),C1075-D1075)</f>
        <v>4</v>
      </c>
      <c r="F1075" s="4">
        <f>IFERROR(IF(C1075&gt;0, D1075/C1075, 0),"-")</f>
        <v>0.97959183673469385</v>
      </c>
      <c r="G1075" s="34">
        <v>2</v>
      </c>
      <c r="H1075" s="35" t="s">
        <v>959</v>
      </c>
      <c r="I1075" s="34">
        <f>IF(OR(H1075="-",H1075="",H1075=0),IF(G1075="-","-",G1075),G1075-H1075)</f>
        <v>2</v>
      </c>
      <c r="J1075" s="4" t="str">
        <f>IFERROR(IF(G1075&gt;0, H1075/G1075, 0),"-")</f>
        <v>-</v>
      </c>
      <c r="K1075" s="34">
        <v>1</v>
      </c>
      <c r="L1075" s="35" t="s">
        <v>959</v>
      </c>
      <c r="M1075" s="34">
        <f>IF(OR(L1075="-",L1075="",L1075=0),IF(K1075="-","-",K1075),K1075-L1075)</f>
        <v>1</v>
      </c>
      <c r="N1075" s="4" t="str">
        <f>IFERROR(IF(K1075&gt;0, L1075/K1075, 0),"-")</f>
        <v>-</v>
      </c>
      <c r="O1075" s="34">
        <v>2</v>
      </c>
      <c r="P1075" s="35" t="s">
        <v>959</v>
      </c>
      <c r="Q1075" s="34">
        <f>IF(OR(P1075="-",P1075="",P1075=0),IF(O1075="-","-",O1075),O1075-P1075)</f>
        <v>2</v>
      </c>
      <c r="R1075" s="4" t="str">
        <f>IFERROR(IF(O1075&gt;0, P1075/O1075, 0),"-")</f>
        <v>-</v>
      </c>
      <c r="S1075" s="34">
        <v>301</v>
      </c>
      <c r="T1075" s="34">
        <v>5</v>
      </c>
      <c r="U1075" s="34">
        <v>10170</v>
      </c>
      <c r="V1075" s="35">
        <v>3</v>
      </c>
      <c r="W1075" s="35">
        <v>95876</v>
      </c>
    </row>
    <row r="1076" spans="1:23" x14ac:dyDescent="0.2">
      <c r="A1076" s="30" t="s">
        <v>257</v>
      </c>
      <c r="B1076" s="30" t="s">
        <v>1687</v>
      </c>
      <c r="C1076" s="34">
        <v>167</v>
      </c>
      <c r="D1076" s="35">
        <v>165</v>
      </c>
      <c r="E1076" s="34">
        <f>IF(OR(D1076="-",D1076="",D1076=0),IF(C1076="-","-",C1076),C1076-D1076)</f>
        <v>2</v>
      </c>
      <c r="F1076" s="4">
        <f>IFERROR(IF(C1076&gt;0, D1076/C1076, 0),"-")</f>
        <v>0.9880239520958084</v>
      </c>
      <c r="G1076" s="34">
        <v>5</v>
      </c>
      <c r="H1076" s="35">
        <v>2</v>
      </c>
      <c r="I1076" s="34">
        <f>IF(OR(H1076="-",H1076="",H1076=0),IF(G1076="-","-",G1076),G1076-H1076)</f>
        <v>3</v>
      </c>
      <c r="J1076" s="4">
        <f>IFERROR(IF(G1076&gt;0, H1076/G1076, 0),"-")</f>
        <v>0.4</v>
      </c>
      <c r="K1076" s="34">
        <v>1</v>
      </c>
      <c r="L1076" s="35">
        <v>1</v>
      </c>
      <c r="M1076" s="34">
        <f>IF(OR(L1076="-",L1076="",L1076=0),IF(K1076="-","-",K1076),K1076-L1076)</f>
        <v>0</v>
      </c>
      <c r="N1076" s="4">
        <f>IFERROR(IF(K1076&gt;0, L1076/K1076, 0),"-")</f>
        <v>1</v>
      </c>
      <c r="O1076" s="34">
        <v>3</v>
      </c>
      <c r="P1076" s="35">
        <v>1</v>
      </c>
      <c r="Q1076" s="34">
        <f>IF(OR(P1076="-",P1076="",P1076=0),IF(O1076="-","-",O1076),O1076-P1076)</f>
        <v>2</v>
      </c>
      <c r="R1076" s="4">
        <f>IFERROR(IF(O1076&gt;0, P1076/O1076, 0),"-")</f>
        <v>0.33333333333333331</v>
      </c>
      <c r="S1076" s="34">
        <v>200</v>
      </c>
      <c r="T1076" s="34">
        <v>2</v>
      </c>
      <c r="U1076" s="34">
        <v>4770</v>
      </c>
      <c r="V1076" s="35">
        <v>1</v>
      </c>
      <c r="W1076" s="35">
        <v>15832</v>
      </c>
    </row>
    <row r="1077" spans="1:23" x14ac:dyDescent="0.2">
      <c r="A1077" s="30" t="s">
        <v>256</v>
      </c>
      <c r="B1077" s="30" t="s">
        <v>1688</v>
      </c>
      <c r="C1077" s="34">
        <v>111</v>
      </c>
      <c r="D1077" s="35">
        <v>108</v>
      </c>
      <c r="E1077" s="34">
        <f>IF(OR(D1077="-",D1077="",D1077=0),IF(C1077="-","-",C1077),C1077-D1077)</f>
        <v>3</v>
      </c>
      <c r="F1077" s="4">
        <f>IFERROR(IF(C1077&gt;0, D1077/C1077, 0),"-")</f>
        <v>0.97297297297297303</v>
      </c>
      <c r="G1077" s="34" t="s">
        <v>959</v>
      </c>
      <c r="H1077" s="35" t="s">
        <v>959</v>
      </c>
      <c r="I1077" s="34" t="str">
        <f>IF(OR(H1077="-",H1077="",H1077=0),IF(G1077="-","-",G1077),G1077-H1077)</f>
        <v>-</v>
      </c>
      <c r="J1077" s="4" t="str">
        <f>IFERROR(IF(G1077&gt;0, H1077/G1077, 0),"-")</f>
        <v>-</v>
      </c>
      <c r="K1077" s="34">
        <v>2</v>
      </c>
      <c r="L1077" s="35" t="s">
        <v>959</v>
      </c>
      <c r="M1077" s="34">
        <f>IF(OR(L1077="-",L1077="",L1077=0),IF(K1077="-","-",K1077),K1077-L1077)</f>
        <v>2</v>
      </c>
      <c r="N1077" s="4" t="str">
        <f>IFERROR(IF(K1077&gt;0, L1077/K1077, 0),"-")</f>
        <v>-</v>
      </c>
      <c r="O1077" s="34" t="s">
        <v>959</v>
      </c>
      <c r="P1077" s="35" t="s">
        <v>959</v>
      </c>
      <c r="Q1077" s="34" t="str">
        <f>IF(OR(P1077="-",P1077="",P1077=0),IF(O1077="-","-",O1077),O1077-P1077)</f>
        <v>-</v>
      </c>
      <c r="R1077" s="4" t="str">
        <f>IFERROR(IF(O1077&gt;0, P1077/O1077, 0),"-")</f>
        <v>-</v>
      </c>
      <c r="S1077" s="34">
        <v>186</v>
      </c>
      <c r="T1077" s="34">
        <v>3</v>
      </c>
      <c r="U1077" s="34">
        <v>10240</v>
      </c>
      <c r="V1077" s="35">
        <v>4</v>
      </c>
      <c r="W1077" s="35">
        <v>117175</v>
      </c>
    </row>
    <row r="1078" spans="1:23" x14ac:dyDescent="0.2">
      <c r="A1078" s="30" t="s">
        <v>258</v>
      </c>
      <c r="B1078" s="30" t="s">
        <v>1689</v>
      </c>
      <c r="C1078" s="34">
        <v>211</v>
      </c>
      <c r="D1078" s="35">
        <v>204</v>
      </c>
      <c r="E1078" s="34">
        <f>IF(OR(D1078="-",D1078="",D1078=0),IF(C1078="-","-",C1078),C1078-D1078)</f>
        <v>7</v>
      </c>
      <c r="F1078" s="4">
        <f>IFERROR(IF(C1078&gt;0, D1078/C1078, 0),"-")</f>
        <v>0.96682464454976302</v>
      </c>
      <c r="G1078" s="34">
        <v>2</v>
      </c>
      <c r="H1078" s="35">
        <v>1</v>
      </c>
      <c r="I1078" s="34">
        <f>IF(OR(H1078="-",H1078="",H1078=0),IF(G1078="-","-",G1078),G1078-H1078)</f>
        <v>1</v>
      </c>
      <c r="J1078" s="4">
        <f>IFERROR(IF(G1078&gt;0, H1078/G1078, 0),"-")</f>
        <v>0.5</v>
      </c>
      <c r="K1078" s="34">
        <v>2</v>
      </c>
      <c r="L1078" s="35">
        <v>2</v>
      </c>
      <c r="M1078" s="34">
        <f>IF(OR(L1078="-",L1078="",L1078=0),IF(K1078="-","-",K1078),K1078-L1078)</f>
        <v>0</v>
      </c>
      <c r="N1078" s="4">
        <f>IFERROR(IF(K1078&gt;0, L1078/K1078, 0),"-")</f>
        <v>1</v>
      </c>
      <c r="O1078" s="34">
        <v>1</v>
      </c>
      <c r="P1078" s="35" t="s">
        <v>959</v>
      </c>
      <c r="Q1078" s="34">
        <f>IF(OR(P1078="-",P1078="",P1078=0),IF(O1078="-","-",O1078),O1078-P1078)</f>
        <v>1</v>
      </c>
      <c r="R1078" s="4" t="str">
        <f>IFERROR(IF(O1078&gt;0, P1078/O1078, 0),"-")</f>
        <v>-</v>
      </c>
      <c r="S1078" s="34">
        <v>297</v>
      </c>
      <c r="T1078" s="34">
        <v>2</v>
      </c>
      <c r="U1078" s="34">
        <v>3700</v>
      </c>
      <c r="V1078" s="35">
        <v>4</v>
      </c>
      <c r="W1078" s="35">
        <v>85425</v>
      </c>
    </row>
    <row r="1079" spans="1:23" x14ac:dyDescent="0.2">
      <c r="A1079" s="29"/>
      <c r="B1079" s="29" t="s">
        <v>71</v>
      </c>
      <c r="C1079" s="32">
        <v>861</v>
      </c>
      <c r="D1079" s="32">
        <v>853</v>
      </c>
      <c r="E1079" s="32">
        <f>IF(OR(D1079="-",D1079="",D1079=0),IF(C1079="-","-",C1079),C1079-D1079)</f>
        <v>8</v>
      </c>
      <c r="F1079" s="36">
        <f>IFERROR(IF(C1079&gt;0, D1079/C1079, 0),"-")</f>
        <v>0.99070847851335653</v>
      </c>
      <c r="G1079" s="32">
        <v>8</v>
      </c>
      <c r="H1079" s="32">
        <v>2</v>
      </c>
      <c r="I1079" s="32">
        <f>IF(OR(H1079="-",H1079="",H1079=0),IF(G1079="-","-",G1079),G1079-H1079)</f>
        <v>6</v>
      </c>
      <c r="J1079" s="36">
        <f>IFERROR(IF(G1079&gt;0, H1079/G1079, 0),"-")</f>
        <v>0.25</v>
      </c>
      <c r="K1079" s="32">
        <v>9</v>
      </c>
      <c r="L1079" s="32">
        <v>4</v>
      </c>
      <c r="M1079" s="32">
        <f>IF(OR(L1079="-",L1079="",L1079=0),IF(K1079="-","-",K1079),K1079-L1079)</f>
        <v>5</v>
      </c>
      <c r="N1079" s="36">
        <f>IFERROR(IF(K1079&gt;0, L1079/K1079, 0),"-")</f>
        <v>0.44444444444444442</v>
      </c>
      <c r="O1079" s="32">
        <v>10</v>
      </c>
      <c r="P1079" s="32">
        <v>2</v>
      </c>
      <c r="Q1079" s="32">
        <f>IF(OR(P1079="-",P1079="",P1079=0),IF(O1079="-","-",O1079),O1079-P1079)</f>
        <v>8</v>
      </c>
      <c r="R1079" s="36">
        <f>IFERROR(IF(O1079&gt;0, P1079/O1079, 0),"-")</f>
        <v>0.2</v>
      </c>
      <c r="S1079" s="32">
        <v>878</v>
      </c>
      <c r="T1079" s="32">
        <v>13</v>
      </c>
      <c r="U1079" s="32">
        <v>133365</v>
      </c>
      <c r="V1079" s="32">
        <v>6</v>
      </c>
      <c r="W1079" s="32">
        <v>160367</v>
      </c>
    </row>
    <row r="1080" spans="1:23" x14ac:dyDescent="0.2">
      <c r="A1080" s="30" t="s">
        <v>479</v>
      </c>
      <c r="B1080" s="30" t="s">
        <v>1690</v>
      </c>
      <c r="C1080" s="34">
        <v>163</v>
      </c>
      <c r="D1080" s="35">
        <v>162</v>
      </c>
      <c r="E1080" s="34">
        <f>IF(OR(D1080="-",D1080="",D1080=0),IF(C1080="-","-",C1080),C1080-D1080)</f>
        <v>1</v>
      </c>
      <c r="F1080" s="4">
        <f>IFERROR(IF(C1080&gt;0, D1080/C1080, 0),"-")</f>
        <v>0.99386503067484666</v>
      </c>
      <c r="G1080" s="34" t="s">
        <v>959</v>
      </c>
      <c r="H1080" s="35" t="s">
        <v>959</v>
      </c>
      <c r="I1080" s="34" t="str">
        <f>IF(OR(H1080="-",H1080="",H1080=0),IF(G1080="-","-",G1080),G1080-H1080)</f>
        <v>-</v>
      </c>
      <c r="J1080" s="4" t="str">
        <f>IFERROR(IF(G1080&gt;0, H1080/G1080, 0),"-")</f>
        <v>-</v>
      </c>
      <c r="K1080" s="34">
        <v>1</v>
      </c>
      <c r="L1080" s="35">
        <v>1</v>
      </c>
      <c r="M1080" s="34">
        <f>IF(OR(L1080="-",L1080="",L1080=0),IF(K1080="-","-",K1080),K1080-L1080)</f>
        <v>0</v>
      </c>
      <c r="N1080" s="4">
        <f>IFERROR(IF(K1080&gt;0, L1080/K1080, 0),"-")</f>
        <v>1</v>
      </c>
      <c r="O1080" s="34">
        <v>1</v>
      </c>
      <c r="P1080" s="35" t="s">
        <v>959</v>
      </c>
      <c r="Q1080" s="34">
        <f>IF(OR(P1080="-",P1080="",P1080=0),IF(O1080="-","-",O1080),O1080-P1080)</f>
        <v>1</v>
      </c>
      <c r="R1080" s="4" t="str">
        <f>IFERROR(IF(O1080&gt;0, P1080/O1080, 0),"-")</f>
        <v>-</v>
      </c>
      <c r="S1080" s="34">
        <v>148</v>
      </c>
      <c r="T1080" s="34" t="s">
        <v>959</v>
      </c>
      <c r="U1080" s="34" t="s">
        <v>959</v>
      </c>
      <c r="V1080" s="35">
        <v>1</v>
      </c>
      <c r="W1080" s="35">
        <v>29790</v>
      </c>
    </row>
    <row r="1081" spans="1:23" x14ac:dyDescent="0.2">
      <c r="A1081" s="30" t="s">
        <v>476</v>
      </c>
      <c r="B1081" s="30" t="s">
        <v>1691</v>
      </c>
      <c r="C1081" s="34">
        <v>168</v>
      </c>
      <c r="D1081" s="35">
        <v>167</v>
      </c>
      <c r="E1081" s="34">
        <f>IF(OR(D1081="-",D1081="",D1081=0),IF(C1081="-","-",C1081),C1081-D1081)</f>
        <v>1</v>
      </c>
      <c r="F1081" s="4">
        <f>IFERROR(IF(C1081&gt;0, D1081/C1081, 0),"-")</f>
        <v>0.99404761904761907</v>
      </c>
      <c r="G1081" s="34">
        <v>1</v>
      </c>
      <c r="H1081" s="35" t="s">
        <v>959</v>
      </c>
      <c r="I1081" s="34">
        <f>IF(OR(H1081="-",H1081="",H1081=0),IF(G1081="-","-",G1081),G1081-H1081)</f>
        <v>1</v>
      </c>
      <c r="J1081" s="4" t="str">
        <f>IFERROR(IF(G1081&gt;0, H1081/G1081, 0),"-")</f>
        <v>-</v>
      </c>
      <c r="K1081" s="34">
        <v>2</v>
      </c>
      <c r="L1081" s="35" t="s">
        <v>959</v>
      </c>
      <c r="M1081" s="34">
        <f>IF(OR(L1081="-",L1081="",L1081=0),IF(K1081="-","-",K1081),K1081-L1081)</f>
        <v>2</v>
      </c>
      <c r="N1081" s="4" t="str">
        <f>IFERROR(IF(K1081&gt;0, L1081/K1081, 0),"-")</f>
        <v>-</v>
      </c>
      <c r="O1081" s="34">
        <v>1</v>
      </c>
      <c r="P1081" s="35" t="s">
        <v>959</v>
      </c>
      <c r="Q1081" s="34">
        <f>IF(OR(P1081="-",P1081="",P1081=0),IF(O1081="-","-",O1081),O1081-P1081)</f>
        <v>1</v>
      </c>
      <c r="R1081" s="4" t="str">
        <f>IFERROR(IF(O1081&gt;0, P1081/O1081, 0),"-")</f>
        <v>-</v>
      </c>
      <c r="S1081" s="34">
        <v>90</v>
      </c>
      <c r="T1081" s="34" t="s">
        <v>959</v>
      </c>
      <c r="U1081" s="34" t="s">
        <v>959</v>
      </c>
      <c r="V1081" s="35">
        <v>1</v>
      </c>
      <c r="W1081" s="35">
        <v>40240</v>
      </c>
    </row>
    <row r="1082" spans="1:23" x14ac:dyDescent="0.2">
      <c r="A1082" s="30" t="s">
        <v>477</v>
      </c>
      <c r="B1082" s="30" t="s">
        <v>1692</v>
      </c>
      <c r="C1082" s="34">
        <v>158</v>
      </c>
      <c r="D1082" s="35">
        <v>155</v>
      </c>
      <c r="E1082" s="34">
        <f>IF(OR(D1082="-",D1082="",D1082=0),IF(C1082="-","-",C1082),C1082-D1082)</f>
        <v>3</v>
      </c>
      <c r="F1082" s="4">
        <f>IFERROR(IF(C1082&gt;0, D1082/C1082, 0),"-")</f>
        <v>0.98101265822784811</v>
      </c>
      <c r="G1082" s="34" t="s">
        <v>959</v>
      </c>
      <c r="H1082" s="35" t="s">
        <v>959</v>
      </c>
      <c r="I1082" s="34" t="str">
        <f>IF(OR(H1082="-",H1082="",H1082=0),IF(G1082="-","-",G1082),G1082-H1082)</f>
        <v>-</v>
      </c>
      <c r="J1082" s="4" t="str">
        <f>IFERROR(IF(G1082&gt;0, H1082/G1082, 0),"-")</f>
        <v>-</v>
      </c>
      <c r="K1082" s="34" t="s">
        <v>959</v>
      </c>
      <c r="L1082" s="35" t="s">
        <v>959</v>
      </c>
      <c r="M1082" s="34" t="str">
        <f>IF(OR(L1082="-",L1082="",L1082=0),IF(K1082="-","-",K1082),K1082-L1082)</f>
        <v>-</v>
      </c>
      <c r="N1082" s="4" t="str">
        <f>IFERROR(IF(K1082&gt;0, L1082/K1082, 0),"-")</f>
        <v>-</v>
      </c>
      <c r="O1082" s="34">
        <v>3</v>
      </c>
      <c r="P1082" s="35" t="s">
        <v>959</v>
      </c>
      <c r="Q1082" s="34">
        <f>IF(OR(P1082="-",P1082="",P1082=0),IF(O1082="-","-",O1082),O1082-P1082)</f>
        <v>3</v>
      </c>
      <c r="R1082" s="4" t="str">
        <f>IFERROR(IF(O1082&gt;0, P1082/O1082, 0),"-")</f>
        <v>-</v>
      </c>
      <c r="S1082" s="34">
        <v>81</v>
      </c>
      <c r="T1082" s="34">
        <v>1</v>
      </c>
      <c r="U1082" s="34">
        <v>200</v>
      </c>
      <c r="V1082" s="35">
        <v>1</v>
      </c>
      <c r="W1082" s="35">
        <v>45762</v>
      </c>
    </row>
    <row r="1083" spans="1:23" x14ac:dyDescent="0.2">
      <c r="A1083" s="30" t="s">
        <v>474</v>
      </c>
      <c r="B1083" s="30" t="s">
        <v>1693</v>
      </c>
      <c r="C1083" s="34">
        <v>176</v>
      </c>
      <c r="D1083" s="35">
        <v>174</v>
      </c>
      <c r="E1083" s="34">
        <f>IF(OR(D1083="-",D1083="",D1083=0),IF(C1083="-","-",C1083),C1083-D1083)</f>
        <v>2</v>
      </c>
      <c r="F1083" s="4">
        <f>IFERROR(IF(C1083&gt;0, D1083/C1083, 0),"-")</f>
        <v>0.98863636363636365</v>
      </c>
      <c r="G1083" s="34">
        <v>1</v>
      </c>
      <c r="H1083" s="35" t="s">
        <v>959</v>
      </c>
      <c r="I1083" s="34">
        <f>IF(OR(H1083="-",H1083="",H1083=0),IF(G1083="-","-",G1083),G1083-H1083)</f>
        <v>1</v>
      </c>
      <c r="J1083" s="4" t="str">
        <f>IFERROR(IF(G1083&gt;0, H1083/G1083, 0),"-")</f>
        <v>-</v>
      </c>
      <c r="K1083" s="34">
        <v>1</v>
      </c>
      <c r="L1083" s="35">
        <v>1</v>
      </c>
      <c r="M1083" s="34">
        <f>IF(OR(L1083="-",L1083="",L1083=0),IF(K1083="-","-",K1083),K1083-L1083)</f>
        <v>0</v>
      </c>
      <c r="N1083" s="4">
        <f>IFERROR(IF(K1083&gt;0, L1083/K1083, 0),"-")</f>
        <v>1</v>
      </c>
      <c r="O1083" s="34">
        <v>2</v>
      </c>
      <c r="P1083" s="35">
        <v>1</v>
      </c>
      <c r="Q1083" s="34">
        <f>IF(OR(P1083="-",P1083="",P1083=0),IF(O1083="-","-",O1083),O1083-P1083)</f>
        <v>1</v>
      </c>
      <c r="R1083" s="4">
        <f>IFERROR(IF(O1083&gt;0, P1083/O1083, 0),"-")</f>
        <v>0.5</v>
      </c>
      <c r="S1083" s="34">
        <v>113</v>
      </c>
      <c r="T1083" s="34">
        <v>5</v>
      </c>
      <c r="U1083" s="34">
        <v>89720</v>
      </c>
      <c r="V1083" s="35" t="s">
        <v>959</v>
      </c>
      <c r="W1083" s="35" t="s">
        <v>959</v>
      </c>
    </row>
    <row r="1084" spans="1:23" x14ac:dyDescent="0.2">
      <c r="A1084" s="30" t="s">
        <v>475</v>
      </c>
      <c r="B1084" s="30" t="s">
        <v>1694</v>
      </c>
      <c r="C1084" s="34">
        <v>168</v>
      </c>
      <c r="D1084" s="35">
        <v>167</v>
      </c>
      <c r="E1084" s="34">
        <f>IF(OR(D1084="-",D1084="",D1084=0),IF(C1084="-","-",C1084),C1084-D1084)</f>
        <v>1</v>
      </c>
      <c r="F1084" s="4">
        <f>IFERROR(IF(C1084&gt;0, D1084/C1084, 0),"-")</f>
        <v>0.99404761904761907</v>
      </c>
      <c r="G1084" s="34">
        <v>5</v>
      </c>
      <c r="H1084" s="35">
        <v>2</v>
      </c>
      <c r="I1084" s="34">
        <f>IF(OR(H1084="-",H1084="",H1084=0),IF(G1084="-","-",G1084),G1084-H1084)</f>
        <v>3</v>
      </c>
      <c r="J1084" s="4">
        <f>IFERROR(IF(G1084&gt;0, H1084/G1084, 0),"-")</f>
        <v>0.4</v>
      </c>
      <c r="K1084" s="34">
        <v>5</v>
      </c>
      <c r="L1084" s="35">
        <v>2</v>
      </c>
      <c r="M1084" s="34">
        <f>IF(OR(L1084="-",L1084="",L1084=0),IF(K1084="-","-",K1084),K1084-L1084)</f>
        <v>3</v>
      </c>
      <c r="N1084" s="4">
        <f>IFERROR(IF(K1084&gt;0, L1084/K1084, 0),"-")</f>
        <v>0.4</v>
      </c>
      <c r="O1084" s="34">
        <v>3</v>
      </c>
      <c r="P1084" s="35">
        <v>1</v>
      </c>
      <c r="Q1084" s="34">
        <f>IF(OR(P1084="-",P1084="",P1084=0),IF(O1084="-","-",O1084),O1084-P1084)</f>
        <v>2</v>
      </c>
      <c r="R1084" s="4">
        <f>IFERROR(IF(O1084&gt;0, P1084/O1084, 0),"-")</f>
        <v>0.33333333333333331</v>
      </c>
      <c r="S1084" s="34">
        <v>215</v>
      </c>
      <c r="T1084" s="34">
        <v>5</v>
      </c>
      <c r="U1084" s="34">
        <v>26275</v>
      </c>
      <c r="V1084" s="35">
        <v>2</v>
      </c>
      <c r="W1084" s="35">
        <v>41575</v>
      </c>
    </row>
    <row r="1085" spans="1:23" x14ac:dyDescent="0.2">
      <c r="A1085" s="30" t="s">
        <v>495</v>
      </c>
      <c r="B1085" s="30" t="s">
        <v>1695</v>
      </c>
      <c r="C1085" s="34" t="s">
        <v>959</v>
      </c>
      <c r="D1085" s="35" t="s">
        <v>959</v>
      </c>
      <c r="E1085" s="34" t="str">
        <f>IF(OR(D1085="-",D1085="",D1085=0),IF(C1085="-","-",C1085),C1085-D1085)</f>
        <v>-</v>
      </c>
      <c r="F1085" s="4" t="str">
        <f>IFERROR(IF(C1085&gt;0, D1085/C1085, 0),"-")</f>
        <v>-</v>
      </c>
      <c r="G1085" s="34" t="s">
        <v>959</v>
      </c>
      <c r="H1085" s="35" t="s">
        <v>959</v>
      </c>
      <c r="I1085" s="34" t="str">
        <f>IF(OR(H1085="-",H1085="",H1085=0),IF(G1085="-","-",G1085),G1085-H1085)</f>
        <v>-</v>
      </c>
      <c r="J1085" s="4" t="str">
        <f>IFERROR(IF(G1085&gt;0, H1085/G1085, 0),"-")</f>
        <v>-</v>
      </c>
      <c r="K1085" s="34" t="s">
        <v>959</v>
      </c>
      <c r="L1085" s="35" t="s">
        <v>959</v>
      </c>
      <c r="M1085" s="34" t="str">
        <f>IF(OR(L1085="-",L1085="",L1085=0),IF(K1085="-","-",K1085),K1085-L1085)</f>
        <v>-</v>
      </c>
      <c r="N1085" s="4" t="str">
        <f>IFERROR(IF(K1085&gt;0, L1085/K1085, 0),"-")</f>
        <v>-</v>
      </c>
      <c r="O1085" s="34" t="s">
        <v>959</v>
      </c>
      <c r="P1085" s="35" t="s">
        <v>959</v>
      </c>
      <c r="Q1085" s="34" t="str">
        <f>IF(OR(P1085="-",P1085="",P1085=0),IF(O1085="-","-",O1085),O1085-P1085)</f>
        <v>-</v>
      </c>
      <c r="R1085" s="4" t="str">
        <f>IFERROR(IF(O1085&gt;0, P1085/O1085, 0),"-")</f>
        <v>-</v>
      </c>
      <c r="S1085" s="34">
        <v>5</v>
      </c>
      <c r="T1085" s="34" t="s">
        <v>959</v>
      </c>
      <c r="U1085" s="34" t="s">
        <v>959</v>
      </c>
      <c r="V1085" s="35" t="s">
        <v>959</v>
      </c>
      <c r="W1085" s="35" t="s">
        <v>959</v>
      </c>
    </row>
    <row r="1086" spans="1:23" x14ac:dyDescent="0.2">
      <c r="A1086" s="30" t="s">
        <v>478</v>
      </c>
      <c r="B1086" s="30" t="s">
        <v>1696</v>
      </c>
      <c r="C1086" s="34">
        <v>28</v>
      </c>
      <c r="D1086" s="35">
        <v>28</v>
      </c>
      <c r="E1086" s="34">
        <f>IF(OR(D1086="-",D1086="",D1086=0),IF(C1086="-","-",C1086),C1086-D1086)</f>
        <v>0</v>
      </c>
      <c r="F1086" s="4">
        <f>IFERROR(IF(C1086&gt;0, D1086/C1086, 0),"-")</f>
        <v>1</v>
      </c>
      <c r="G1086" s="34">
        <v>1</v>
      </c>
      <c r="H1086" s="35" t="s">
        <v>959</v>
      </c>
      <c r="I1086" s="34">
        <f>IF(OR(H1086="-",H1086="",H1086=0),IF(G1086="-","-",G1086),G1086-H1086)</f>
        <v>1</v>
      </c>
      <c r="J1086" s="4" t="str">
        <f>IFERROR(IF(G1086&gt;0, H1086/G1086, 0),"-")</f>
        <v>-</v>
      </c>
      <c r="K1086" s="34" t="s">
        <v>959</v>
      </c>
      <c r="L1086" s="35" t="s">
        <v>959</v>
      </c>
      <c r="M1086" s="34" t="str">
        <f>IF(OR(L1086="-",L1086="",L1086=0),IF(K1086="-","-",K1086),K1086-L1086)</f>
        <v>-</v>
      </c>
      <c r="N1086" s="4" t="str">
        <f>IFERROR(IF(K1086&gt;0, L1086/K1086, 0),"-")</f>
        <v>-</v>
      </c>
      <c r="O1086" s="34" t="s">
        <v>959</v>
      </c>
      <c r="P1086" s="35" t="s">
        <v>959</v>
      </c>
      <c r="Q1086" s="34" t="str">
        <f>IF(OR(P1086="-",P1086="",P1086=0),IF(O1086="-","-",O1086),O1086-P1086)</f>
        <v>-</v>
      </c>
      <c r="R1086" s="4" t="str">
        <f>IFERROR(IF(O1086&gt;0, P1086/O1086, 0),"-")</f>
        <v>-</v>
      </c>
      <c r="S1086" s="34">
        <v>226</v>
      </c>
      <c r="T1086" s="34">
        <v>2</v>
      </c>
      <c r="U1086" s="34">
        <v>17170</v>
      </c>
      <c r="V1086" s="35">
        <v>1</v>
      </c>
      <c r="W1086" s="35">
        <v>3000</v>
      </c>
    </row>
    <row r="1087" spans="1:23" x14ac:dyDescent="0.2">
      <c r="A1087" s="29"/>
      <c r="B1087" s="29" t="s">
        <v>64</v>
      </c>
      <c r="C1087" s="32">
        <v>966</v>
      </c>
      <c r="D1087" s="32">
        <v>950</v>
      </c>
      <c r="E1087" s="32">
        <f>IF(OR(D1087="-",D1087="",D1087=0),IF(C1087="-","-",C1087),C1087-D1087)</f>
        <v>16</v>
      </c>
      <c r="F1087" s="36">
        <f>IFERROR(IF(C1087&gt;0, D1087/C1087, 0),"-")</f>
        <v>0.9834368530020704</v>
      </c>
      <c r="G1087" s="32" t="s">
        <v>959</v>
      </c>
      <c r="H1087" s="32" t="s">
        <v>959</v>
      </c>
      <c r="I1087" s="32" t="str">
        <f>IF(OR(H1087="-",H1087="",H1087=0),IF(G1087="-","-",G1087),G1087-H1087)</f>
        <v>-</v>
      </c>
      <c r="J1087" s="36" t="str">
        <f>IFERROR(IF(G1087&gt;0, H1087/G1087, 0),"-")</f>
        <v>-</v>
      </c>
      <c r="K1087" s="32">
        <v>1</v>
      </c>
      <c r="L1087" s="32">
        <v>1</v>
      </c>
      <c r="M1087" s="32">
        <f>IF(OR(L1087="-",L1087="",L1087=0),IF(K1087="-","-",K1087),K1087-L1087)</f>
        <v>0</v>
      </c>
      <c r="N1087" s="36">
        <f>IFERROR(IF(K1087&gt;0, L1087/K1087, 0),"-")</f>
        <v>1</v>
      </c>
      <c r="O1087" s="32">
        <v>9</v>
      </c>
      <c r="P1087" s="32">
        <v>1</v>
      </c>
      <c r="Q1087" s="32">
        <f>IF(OR(P1087="-",P1087="",P1087=0),IF(O1087="-","-",O1087),O1087-P1087)</f>
        <v>8</v>
      </c>
      <c r="R1087" s="36">
        <f>IFERROR(IF(O1087&gt;0, P1087/O1087, 0),"-")</f>
        <v>0.1111111111111111</v>
      </c>
      <c r="S1087" s="32">
        <v>374</v>
      </c>
      <c r="T1087" s="32">
        <v>2</v>
      </c>
      <c r="U1087" s="32">
        <v>12120</v>
      </c>
      <c r="V1087" s="32">
        <v>1</v>
      </c>
      <c r="W1087" s="32">
        <v>39809</v>
      </c>
    </row>
    <row r="1088" spans="1:23" x14ac:dyDescent="0.2">
      <c r="A1088" s="30" t="s">
        <v>412</v>
      </c>
      <c r="B1088" s="30" t="s">
        <v>1697</v>
      </c>
      <c r="C1088" s="34">
        <v>241</v>
      </c>
      <c r="D1088" s="35">
        <v>241</v>
      </c>
      <c r="E1088" s="34">
        <f>IF(OR(D1088="-",D1088="",D1088=0),IF(C1088="-","-",C1088),C1088-D1088)</f>
        <v>0</v>
      </c>
      <c r="F1088" s="4">
        <f>IFERROR(IF(C1088&gt;0, D1088/C1088, 0),"-")</f>
        <v>1</v>
      </c>
      <c r="G1088" s="34" t="s">
        <v>959</v>
      </c>
      <c r="H1088" s="35" t="s">
        <v>959</v>
      </c>
      <c r="I1088" s="34" t="str">
        <f>IF(OR(H1088="-",H1088="",H1088=0),IF(G1088="-","-",G1088),G1088-H1088)</f>
        <v>-</v>
      </c>
      <c r="J1088" s="4" t="str">
        <f>IFERROR(IF(G1088&gt;0, H1088/G1088, 0),"-")</f>
        <v>-</v>
      </c>
      <c r="K1088" s="34" t="s">
        <v>959</v>
      </c>
      <c r="L1088" s="35" t="s">
        <v>959</v>
      </c>
      <c r="M1088" s="34" t="str">
        <f>IF(OR(L1088="-",L1088="",L1088=0),IF(K1088="-","-",K1088),K1088-L1088)</f>
        <v>-</v>
      </c>
      <c r="N1088" s="4" t="str">
        <f>IFERROR(IF(K1088&gt;0, L1088/K1088, 0),"-")</f>
        <v>-</v>
      </c>
      <c r="O1088" s="34">
        <v>5</v>
      </c>
      <c r="P1088" s="35">
        <v>1</v>
      </c>
      <c r="Q1088" s="34">
        <f>IF(OR(P1088="-",P1088="",P1088=0),IF(O1088="-","-",O1088),O1088-P1088)</f>
        <v>4</v>
      </c>
      <c r="R1088" s="4">
        <f>IFERROR(IF(O1088&gt;0, P1088/O1088, 0),"-")</f>
        <v>0.2</v>
      </c>
      <c r="S1088" s="34">
        <v>77</v>
      </c>
      <c r="T1088" s="34">
        <v>1</v>
      </c>
      <c r="U1088" s="34">
        <v>8080</v>
      </c>
      <c r="V1088" s="35" t="s">
        <v>959</v>
      </c>
      <c r="W1088" s="35" t="s">
        <v>959</v>
      </c>
    </row>
    <row r="1089" spans="1:23" x14ac:dyDescent="0.2">
      <c r="A1089" s="30" t="s">
        <v>409</v>
      </c>
      <c r="B1089" s="30" t="s">
        <v>1698</v>
      </c>
      <c r="C1089" s="34">
        <v>121</v>
      </c>
      <c r="D1089" s="35">
        <v>118</v>
      </c>
      <c r="E1089" s="34">
        <f>IF(OR(D1089="-",D1089="",D1089=0),IF(C1089="-","-",C1089),C1089-D1089)</f>
        <v>3</v>
      </c>
      <c r="F1089" s="4">
        <f>IFERROR(IF(C1089&gt;0, D1089/C1089, 0),"-")</f>
        <v>0.97520661157024791</v>
      </c>
      <c r="G1089" s="34" t="s">
        <v>959</v>
      </c>
      <c r="H1089" s="35" t="s">
        <v>959</v>
      </c>
      <c r="I1089" s="34" t="str">
        <f>IF(OR(H1089="-",H1089="",H1089=0),IF(G1089="-","-",G1089),G1089-H1089)</f>
        <v>-</v>
      </c>
      <c r="J1089" s="4" t="str">
        <f>IFERROR(IF(G1089&gt;0, H1089/G1089, 0),"-")</f>
        <v>-</v>
      </c>
      <c r="K1089" s="34">
        <v>1</v>
      </c>
      <c r="L1089" s="35">
        <v>1</v>
      </c>
      <c r="M1089" s="34">
        <f>IF(OR(L1089="-",L1089="",L1089=0),IF(K1089="-","-",K1089),K1089-L1089)</f>
        <v>0</v>
      </c>
      <c r="N1089" s="4">
        <f>IFERROR(IF(K1089&gt;0, L1089/K1089, 0),"-")</f>
        <v>1</v>
      </c>
      <c r="O1089" s="34">
        <v>1</v>
      </c>
      <c r="P1089" s="35" t="s">
        <v>959</v>
      </c>
      <c r="Q1089" s="34">
        <f>IF(OR(P1089="-",P1089="",P1089=0),IF(O1089="-","-",O1089),O1089-P1089)</f>
        <v>1</v>
      </c>
      <c r="R1089" s="4" t="str">
        <f>IFERROR(IF(O1089&gt;0, P1089/O1089, 0),"-")</f>
        <v>-</v>
      </c>
      <c r="S1089" s="34">
        <v>69</v>
      </c>
      <c r="T1089" s="34" t="s">
        <v>959</v>
      </c>
      <c r="U1089" s="34" t="s">
        <v>959</v>
      </c>
      <c r="V1089" s="35" t="s">
        <v>959</v>
      </c>
      <c r="W1089" s="35" t="s">
        <v>959</v>
      </c>
    </row>
    <row r="1090" spans="1:23" x14ac:dyDescent="0.2">
      <c r="A1090" s="30" t="s">
        <v>413</v>
      </c>
      <c r="B1090" s="30" t="s">
        <v>1699</v>
      </c>
      <c r="C1090" s="34">
        <v>188</v>
      </c>
      <c r="D1090" s="35">
        <v>185</v>
      </c>
      <c r="E1090" s="34">
        <f>IF(OR(D1090="-",D1090="",D1090=0),IF(C1090="-","-",C1090),C1090-D1090)</f>
        <v>3</v>
      </c>
      <c r="F1090" s="4">
        <f>IFERROR(IF(C1090&gt;0, D1090/C1090, 0),"-")</f>
        <v>0.98404255319148937</v>
      </c>
      <c r="G1090" s="34" t="s">
        <v>959</v>
      </c>
      <c r="H1090" s="35" t="s">
        <v>959</v>
      </c>
      <c r="I1090" s="34" t="str">
        <f>IF(OR(H1090="-",H1090="",H1090=0),IF(G1090="-","-",G1090),G1090-H1090)</f>
        <v>-</v>
      </c>
      <c r="J1090" s="4" t="str">
        <f>IFERROR(IF(G1090&gt;0, H1090/G1090, 0),"-")</f>
        <v>-</v>
      </c>
      <c r="K1090" s="34" t="s">
        <v>959</v>
      </c>
      <c r="L1090" s="35" t="s">
        <v>959</v>
      </c>
      <c r="M1090" s="34" t="str">
        <f>IF(OR(L1090="-",L1090="",L1090=0),IF(K1090="-","-",K1090),K1090-L1090)</f>
        <v>-</v>
      </c>
      <c r="N1090" s="4" t="str">
        <f>IFERROR(IF(K1090&gt;0, L1090/K1090, 0),"-")</f>
        <v>-</v>
      </c>
      <c r="O1090" s="34">
        <v>2</v>
      </c>
      <c r="P1090" s="35" t="s">
        <v>959</v>
      </c>
      <c r="Q1090" s="34">
        <f>IF(OR(P1090="-",P1090="",P1090=0),IF(O1090="-","-",O1090),O1090-P1090)</f>
        <v>2</v>
      </c>
      <c r="R1090" s="4" t="str">
        <f>IFERROR(IF(O1090&gt;0, P1090/O1090, 0),"-")</f>
        <v>-</v>
      </c>
      <c r="S1090" s="34">
        <v>58</v>
      </c>
      <c r="T1090" s="34">
        <v>1</v>
      </c>
      <c r="U1090" s="34">
        <v>4040</v>
      </c>
      <c r="V1090" s="35" t="s">
        <v>959</v>
      </c>
      <c r="W1090" s="35" t="s">
        <v>959</v>
      </c>
    </row>
    <row r="1091" spans="1:23" x14ac:dyDescent="0.2">
      <c r="A1091" s="30" t="s">
        <v>411</v>
      </c>
      <c r="B1091" s="30" t="s">
        <v>1700</v>
      </c>
      <c r="C1091" s="34">
        <v>132</v>
      </c>
      <c r="D1091" s="35">
        <v>126</v>
      </c>
      <c r="E1091" s="34">
        <f>IF(OR(D1091="-",D1091="",D1091=0),IF(C1091="-","-",C1091),C1091-D1091)</f>
        <v>6</v>
      </c>
      <c r="F1091" s="4">
        <f>IFERROR(IF(C1091&gt;0, D1091/C1091, 0),"-")</f>
        <v>0.95454545454545459</v>
      </c>
      <c r="G1091" s="34" t="s">
        <v>959</v>
      </c>
      <c r="H1091" s="35" t="s">
        <v>959</v>
      </c>
      <c r="I1091" s="34" t="str">
        <f>IF(OR(H1091="-",H1091="",H1091=0),IF(G1091="-","-",G1091),G1091-H1091)</f>
        <v>-</v>
      </c>
      <c r="J1091" s="4" t="str">
        <f>IFERROR(IF(G1091&gt;0, H1091/G1091, 0),"-")</f>
        <v>-</v>
      </c>
      <c r="K1091" s="34" t="s">
        <v>959</v>
      </c>
      <c r="L1091" s="35" t="s">
        <v>959</v>
      </c>
      <c r="M1091" s="34" t="str">
        <f>IF(OR(L1091="-",L1091="",L1091=0),IF(K1091="-","-",K1091),K1091-L1091)</f>
        <v>-</v>
      </c>
      <c r="N1091" s="4" t="str">
        <f>IFERROR(IF(K1091&gt;0, L1091/K1091, 0),"-")</f>
        <v>-</v>
      </c>
      <c r="O1091" s="34">
        <v>1</v>
      </c>
      <c r="P1091" s="35" t="s">
        <v>959</v>
      </c>
      <c r="Q1091" s="34">
        <f>IF(OR(P1091="-",P1091="",P1091=0),IF(O1091="-","-",O1091),O1091-P1091)</f>
        <v>1</v>
      </c>
      <c r="R1091" s="4" t="str">
        <f>IFERROR(IF(O1091&gt;0, P1091/O1091, 0),"-")</f>
        <v>-</v>
      </c>
      <c r="S1091" s="34">
        <v>86</v>
      </c>
      <c r="T1091" s="34" t="s">
        <v>959</v>
      </c>
      <c r="U1091" s="34" t="s">
        <v>959</v>
      </c>
      <c r="V1091" s="35">
        <v>1</v>
      </c>
      <c r="W1091" s="35">
        <v>39809</v>
      </c>
    </row>
    <row r="1092" spans="1:23" x14ac:dyDescent="0.2">
      <c r="A1092" s="30" t="s">
        <v>410</v>
      </c>
      <c r="B1092" s="30" t="s">
        <v>1701</v>
      </c>
      <c r="C1092" s="34">
        <v>236</v>
      </c>
      <c r="D1092" s="35">
        <v>232</v>
      </c>
      <c r="E1092" s="34">
        <f>IF(OR(D1092="-",D1092="",D1092=0),IF(C1092="-","-",C1092),C1092-D1092)</f>
        <v>4</v>
      </c>
      <c r="F1092" s="4">
        <f>IFERROR(IF(C1092&gt;0, D1092/C1092, 0),"-")</f>
        <v>0.98305084745762716</v>
      </c>
      <c r="G1092" s="34" t="s">
        <v>959</v>
      </c>
      <c r="H1092" s="35" t="s">
        <v>959</v>
      </c>
      <c r="I1092" s="34" t="str">
        <f>IF(OR(H1092="-",H1092="",H1092=0),IF(G1092="-","-",G1092),G1092-H1092)</f>
        <v>-</v>
      </c>
      <c r="J1092" s="4" t="str">
        <f>IFERROR(IF(G1092&gt;0, H1092/G1092, 0),"-")</f>
        <v>-</v>
      </c>
      <c r="K1092" s="34" t="s">
        <v>959</v>
      </c>
      <c r="L1092" s="35" t="s">
        <v>959</v>
      </c>
      <c r="M1092" s="34" t="str">
        <f>IF(OR(L1092="-",L1092="",L1092=0),IF(K1092="-","-",K1092),K1092-L1092)</f>
        <v>-</v>
      </c>
      <c r="N1092" s="4" t="str">
        <f>IFERROR(IF(K1092&gt;0, L1092/K1092, 0),"-")</f>
        <v>-</v>
      </c>
      <c r="O1092" s="34" t="s">
        <v>959</v>
      </c>
      <c r="P1092" s="35" t="s">
        <v>959</v>
      </c>
      <c r="Q1092" s="34" t="str">
        <f>IF(OR(P1092="-",P1092="",P1092=0),IF(O1092="-","-",O1092),O1092-P1092)</f>
        <v>-</v>
      </c>
      <c r="R1092" s="4" t="str">
        <f>IFERROR(IF(O1092&gt;0, P1092/O1092, 0),"-")</f>
        <v>-</v>
      </c>
      <c r="S1092" s="34">
        <v>84</v>
      </c>
      <c r="T1092" s="34" t="s">
        <v>959</v>
      </c>
      <c r="U1092" s="34" t="s">
        <v>959</v>
      </c>
      <c r="V1092" s="35" t="s">
        <v>959</v>
      </c>
      <c r="W1092" s="35" t="s">
        <v>959</v>
      </c>
    </row>
    <row r="1093" spans="1:23" x14ac:dyDescent="0.2">
      <c r="A1093" s="30" t="s">
        <v>414</v>
      </c>
      <c r="B1093" s="30" t="s">
        <v>1702</v>
      </c>
      <c r="C1093" s="34">
        <v>48</v>
      </c>
      <c r="D1093" s="35">
        <v>48</v>
      </c>
      <c r="E1093" s="34">
        <f>IF(OR(D1093="-",D1093="",D1093=0),IF(C1093="-","-",C1093),C1093-D1093)</f>
        <v>0</v>
      </c>
      <c r="F1093" s="4">
        <f>IFERROR(IF(C1093&gt;0, D1093/C1093, 0),"-")</f>
        <v>1</v>
      </c>
      <c r="G1093" s="34" t="s">
        <v>959</v>
      </c>
      <c r="H1093" s="35" t="s">
        <v>959</v>
      </c>
      <c r="I1093" s="34" t="str">
        <f>IF(OR(H1093="-",H1093="",H1093=0),IF(G1093="-","-",G1093),G1093-H1093)</f>
        <v>-</v>
      </c>
      <c r="J1093" s="4" t="str">
        <f>IFERROR(IF(G1093&gt;0, H1093/G1093, 0),"-")</f>
        <v>-</v>
      </c>
      <c r="K1093" s="34" t="s">
        <v>959</v>
      </c>
      <c r="L1093" s="35" t="s">
        <v>959</v>
      </c>
      <c r="M1093" s="34" t="str">
        <f>IF(OR(L1093="-",L1093="",L1093=0),IF(K1093="-","-",K1093),K1093-L1093)</f>
        <v>-</v>
      </c>
      <c r="N1093" s="4" t="str">
        <f>IFERROR(IF(K1093&gt;0, L1093/K1093, 0),"-")</f>
        <v>-</v>
      </c>
      <c r="O1093" s="34" t="s">
        <v>959</v>
      </c>
      <c r="P1093" s="35" t="s">
        <v>959</v>
      </c>
      <c r="Q1093" s="34" t="str">
        <f>IF(OR(P1093="-",P1093="",P1093=0),IF(O1093="-","-",O1093),O1093-P1093)</f>
        <v>-</v>
      </c>
      <c r="R1093" s="4" t="str">
        <f>IFERROR(IF(O1093&gt;0, P1093/O1093, 0),"-")</f>
        <v>-</v>
      </c>
      <c r="S1093" s="34" t="s">
        <v>959</v>
      </c>
      <c r="T1093" s="34" t="s">
        <v>959</v>
      </c>
      <c r="U1093" s="34" t="s">
        <v>959</v>
      </c>
      <c r="V1093" s="35" t="s">
        <v>959</v>
      </c>
      <c r="W1093" s="35" t="s">
        <v>959</v>
      </c>
    </row>
    <row r="1094" spans="1:23" x14ac:dyDescent="0.2">
      <c r="A1094" s="29"/>
      <c r="B1094" s="29" t="s">
        <v>81</v>
      </c>
      <c r="C1094" s="32">
        <v>1159</v>
      </c>
      <c r="D1094" s="32">
        <v>1119</v>
      </c>
      <c r="E1094" s="32">
        <f>IF(OR(D1094="-",D1094="",D1094=0),IF(C1094="-","-",C1094),C1094-D1094)</f>
        <v>40</v>
      </c>
      <c r="F1094" s="36">
        <f>IFERROR(IF(C1094&gt;0, D1094/C1094, 0),"-")</f>
        <v>0.9654874892148404</v>
      </c>
      <c r="G1094" s="32">
        <v>16</v>
      </c>
      <c r="H1094" s="32">
        <v>6</v>
      </c>
      <c r="I1094" s="32">
        <f>IF(OR(H1094="-",H1094="",H1094=0),IF(G1094="-","-",G1094),G1094-H1094)</f>
        <v>10</v>
      </c>
      <c r="J1094" s="36">
        <f>IFERROR(IF(G1094&gt;0, H1094/G1094, 0),"-")</f>
        <v>0.375</v>
      </c>
      <c r="K1094" s="32">
        <v>18</v>
      </c>
      <c r="L1094" s="32">
        <v>6</v>
      </c>
      <c r="M1094" s="32">
        <f>IF(OR(L1094="-",L1094="",L1094=0),IF(K1094="-","-",K1094),K1094-L1094)</f>
        <v>12</v>
      </c>
      <c r="N1094" s="36">
        <f>IFERROR(IF(K1094&gt;0, L1094/K1094, 0),"-")</f>
        <v>0.33333333333333331</v>
      </c>
      <c r="O1094" s="32">
        <v>27</v>
      </c>
      <c r="P1094" s="32">
        <v>7</v>
      </c>
      <c r="Q1094" s="32">
        <f>IF(OR(P1094="-",P1094="",P1094=0),IF(O1094="-","-",O1094),O1094-P1094)</f>
        <v>20</v>
      </c>
      <c r="R1094" s="36">
        <f>IFERROR(IF(O1094&gt;0, P1094/O1094, 0),"-")</f>
        <v>0.25925925925925924</v>
      </c>
      <c r="S1094" s="32">
        <v>1134</v>
      </c>
      <c r="T1094" s="32">
        <v>17</v>
      </c>
      <c r="U1094" s="32">
        <v>73812</v>
      </c>
      <c r="V1094" s="32">
        <v>7</v>
      </c>
      <c r="W1094" s="32">
        <v>108202</v>
      </c>
    </row>
    <row r="1095" spans="1:23" x14ac:dyDescent="0.2">
      <c r="A1095" s="30" t="s">
        <v>539</v>
      </c>
      <c r="B1095" s="30" t="s">
        <v>1703</v>
      </c>
      <c r="C1095" s="34">
        <v>188</v>
      </c>
      <c r="D1095" s="35">
        <v>179</v>
      </c>
      <c r="E1095" s="34">
        <f>IF(OR(D1095="-",D1095="",D1095=0),IF(C1095="-","-",C1095),C1095-D1095)</f>
        <v>9</v>
      </c>
      <c r="F1095" s="4">
        <f>IFERROR(IF(C1095&gt;0, D1095/C1095, 0),"-")</f>
        <v>0.9521276595744681</v>
      </c>
      <c r="G1095" s="34">
        <v>2</v>
      </c>
      <c r="H1095" s="35" t="s">
        <v>959</v>
      </c>
      <c r="I1095" s="34">
        <f>IF(OR(H1095="-",H1095="",H1095=0),IF(G1095="-","-",G1095),G1095-H1095)</f>
        <v>2</v>
      </c>
      <c r="J1095" s="4" t="str">
        <f>IFERROR(IF(G1095&gt;0, H1095/G1095, 0),"-")</f>
        <v>-</v>
      </c>
      <c r="K1095" s="34">
        <v>4</v>
      </c>
      <c r="L1095" s="35" t="s">
        <v>959</v>
      </c>
      <c r="M1095" s="34">
        <f>IF(OR(L1095="-",L1095="",L1095=0),IF(K1095="-","-",K1095),K1095-L1095)</f>
        <v>4</v>
      </c>
      <c r="N1095" s="4" t="str">
        <f>IFERROR(IF(K1095&gt;0, L1095/K1095, 0),"-")</f>
        <v>-</v>
      </c>
      <c r="O1095" s="34">
        <v>7</v>
      </c>
      <c r="P1095" s="35">
        <v>1</v>
      </c>
      <c r="Q1095" s="34">
        <f>IF(OR(P1095="-",P1095="",P1095=0),IF(O1095="-","-",O1095),O1095-P1095)</f>
        <v>6</v>
      </c>
      <c r="R1095" s="4">
        <f>IFERROR(IF(O1095&gt;0, P1095/O1095, 0),"-")</f>
        <v>0.14285714285714285</v>
      </c>
      <c r="S1095" s="34">
        <v>214</v>
      </c>
      <c r="T1095" s="34">
        <v>2</v>
      </c>
      <c r="U1095" s="34">
        <v>6000</v>
      </c>
      <c r="V1095" s="35">
        <v>1</v>
      </c>
      <c r="W1095" s="35">
        <v>14817</v>
      </c>
    </row>
    <row r="1096" spans="1:23" x14ac:dyDescent="0.2">
      <c r="A1096" s="30" t="s">
        <v>541</v>
      </c>
      <c r="B1096" s="30" t="s">
        <v>1704</v>
      </c>
      <c r="C1096" s="34">
        <v>207</v>
      </c>
      <c r="D1096" s="35">
        <v>198</v>
      </c>
      <c r="E1096" s="34">
        <f>IF(OR(D1096="-",D1096="",D1096=0),IF(C1096="-","-",C1096),C1096-D1096)</f>
        <v>9</v>
      </c>
      <c r="F1096" s="4">
        <f>IFERROR(IF(C1096&gt;0, D1096/C1096, 0),"-")</f>
        <v>0.95652173913043481</v>
      </c>
      <c r="G1096" s="34">
        <v>7</v>
      </c>
      <c r="H1096" s="35">
        <v>2</v>
      </c>
      <c r="I1096" s="34">
        <f>IF(OR(H1096="-",H1096="",H1096=0),IF(G1096="-","-",G1096),G1096-H1096)</f>
        <v>5</v>
      </c>
      <c r="J1096" s="4">
        <f>IFERROR(IF(G1096&gt;0, H1096/G1096, 0),"-")</f>
        <v>0.2857142857142857</v>
      </c>
      <c r="K1096" s="34">
        <v>1</v>
      </c>
      <c r="L1096" s="35" t="s">
        <v>959</v>
      </c>
      <c r="M1096" s="34">
        <f>IF(OR(L1096="-",L1096="",L1096=0),IF(K1096="-","-",K1096),K1096-L1096)</f>
        <v>1</v>
      </c>
      <c r="N1096" s="4" t="str">
        <f>IFERROR(IF(K1096&gt;0, L1096/K1096, 0),"-")</f>
        <v>-</v>
      </c>
      <c r="O1096" s="34">
        <v>8</v>
      </c>
      <c r="P1096" s="35">
        <v>2</v>
      </c>
      <c r="Q1096" s="34">
        <f>IF(OR(P1096="-",P1096="",P1096=0),IF(O1096="-","-",O1096),O1096-P1096)</f>
        <v>6</v>
      </c>
      <c r="R1096" s="4">
        <f>IFERROR(IF(O1096&gt;0, P1096/O1096, 0),"-")</f>
        <v>0.25</v>
      </c>
      <c r="S1096" s="34">
        <v>132</v>
      </c>
      <c r="T1096" s="34" t="s">
        <v>959</v>
      </c>
      <c r="U1096" s="34" t="s">
        <v>959</v>
      </c>
      <c r="V1096" s="35" t="s">
        <v>959</v>
      </c>
      <c r="W1096" s="35" t="s">
        <v>959</v>
      </c>
    </row>
    <row r="1097" spans="1:23" x14ac:dyDescent="0.2">
      <c r="A1097" s="30" t="s">
        <v>542</v>
      </c>
      <c r="B1097" s="30" t="s">
        <v>1705</v>
      </c>
      <c r="C1097" s="34">
        <v>178</v>
      </c>
      <c r="D1097" s="35">
        <v>169</v>
      </c>
      <c r="E1097" s="34">
        <f>IF(OR(D1097="-",D1097="",D1097=0),IF(C1097="-","-",C1097),C1097-D1097)</f>
        <v>9</v>
      </c>
      <c r="F1097" s="4">
        <f>IFERROR(IF(C1097&gt;0, D1097/C1097, 0),"-")</f>
        <v>0.949438202247191</v>
      </c>
      <c r="G1097" s="34">
        <v>2</v>
      </c>
      <c r="H1097" s="35" t="s">
        <v>959</v>
      </c>
      <c r="I1097" s="34">
        <f>IF(OR(H1097="-",H1097="",H1097=0),IF(G1097="-","-",G1097),G1097-H1097)</f>
        <v>2</v>
      </c>
      <c r="J1097" s="4" t="str">
        <f>IFERROR(IF(G1097&gt;0, H1097/G1097, 0),"-")</f>
        <v>-</v>
      </c>
      <c r="K1097" s="34">
        <v>5</v>
      </c>
      <c r="L1097" s="35">
        <v>2</v>
      </c>
      <c r="M1097" s="34">
        <f>IF(OR(L1097="-",L1097="",L1097=0),IF(K1097="-","-",K1097),K1097-L1097)</f>
        <v>3</v>
      </c>
      <c r="N1097" s="4">
        <f>IFERROR(IF(K1097&gt;0, L1097/K1097, 0),"-")</f>
        <v>0.4</v>
      </c>
      <c r="O1097" s="34">
        <v>3</v>
      </c>
      <c r="P1097" s="35" t="s">
        <v>959</v>
      </c>
      <c r="Q1097" s="34">
        <f>IF(OR(P1097="-",P1097="",P1097=0),IF(O1097="-","-",O1097),O1097-P1097)</f>
        <v>3</v>
      </c>
      <c r="R1097" s="4" t="str">
        <f>IFERROR(IF(O1097&gt;0, P1097/O1097, 0),"-")</f>
        <v>-</v>
      </c>
      <c r="S1097" s="34">
        <v>229</v>
      </c>
      <c r="T1097" s="34">
        <v>5</v>
      </c>
      <c r="U1097" s="34">
        <v>23150</v>
      </c>
      <c r="V1097" s="35">
        <v>4</v>
      </c>
      <c r="W1097" s="35">
        <v>79801</v>
      </c>
    </row>
    <row r="1098" spans="1:23" x14ac:dyDescent="0.2">
      <c r="A1098" s="30" t="s">
        <v>540</v>
      </c>
      <c r="B1098" s="30" t="s">
        <v>1706</v>
      </c>
      <c r="C1098" s="34">
        <v>363</v>
      </c>
      <c r="D1098" s="35">
        <v>350</v>
      </c>
      <c r="E1098" s="34">
        <f>IF(OR(D1098="-",D1098="",D1098=0),IF(C1098="-","-",C1098),C1098-D1098)</f>
        <v>13</v>
      </c>
      <c r="F1098" s="4">
        <f>IFERROR(IF(C1098&gt;0, D1098/C1098, 0),"-")</f>
        <v>0.96418732782369143</v>
      </c>
      <c r="G1098" s="34">
        <v>2</v>
      </c>
      <c r="H1098" s="35">
        <v>1</v>
      </c>
      <c r="I1098" s="34">
        <f>IF(OR(H1098="-",H1098="",H1098=0),IF(G1098="-","-",G1098),G1098-H1098)</f>
        <v>1</v>
      </c>
      <c r="J1098" s="4">
        <f>IFERROR(IF(G1098&gt;0, H1098/G1098, 0),"-")</f>
        <v>0.5</v>
      </c>
      <c r="K1098" s="34">
        <v>1</v>
      </c>
      <c r="L1098" s="35" t="s">
        <v>959</v>
      </c>
      <c r="M1098" s="34">
        <f>IF(OR(L1098="-",L1098="",L1098=0),IF(K1098="-","-",K1098),K1098-L1098)</f>
        <v>1</v>
      </c>
      <c r="N1098" s="4" t="str">
        <f>IFERROR(IF(K1098&gt;0, L1098/K1098, 0),"-")</f>
        <v>-</v>
      </c>
      <c r="O1098" s="34">
        <v>8</v>
      </c>
      <c r="P1098" s="35">
        <v>3</v>
      </c>
      <c r="Q1098" s="34">
        <f>IF(OR(P1098="-",P1098="",P1098=0),IF(O1098="-","-",O1098),O1098-P1098)</f>
        <v>5</v>
      </c>
      <c r="R1098" s="4">
        <f>IFERROR(IF(O1098&gt;0, P1098/O1098, 0),"-")</f>
        <v>0.375</v>
      </c>
      <c r="S1098" s="34">
        <v>329</v>
      </c>
      <c r="T1098" s="34">
        <v>4</v>
      </c>
      <c r="U1098" s="34">
        <v>21280</v>
      </c>
      <c r="V1098" s="35">
        <v>2</v>
      </c>
      <c r="W1098" s="35">
        <v>13584</v>
      </c>
    </row>
    <row r="1099" spans="1:23" x14ac:dyDescent="0.2">
      <c r="A1099" s="30" t="s">
        <v>543</v>
      </c>
      <c r="B1099" s="30" t="s">
        <v>1707</v>
      </c>
      <c r="C1099" s="34">
        <v>223</v>
      </c>
      <c r="D1099" s="35">
        <v>223</v>
      </c>
      <c r="E1099" s="34">
        <f>IF(OR(D1099="-",D1099="",D1099=0),IF(C1099="-","-",C1099),C1099-D1099)</f>
        <v>0</v>
      </c>
      <c r="F1099" s="4">
        <f>IFERROR(IF(C1099&gt;0, D1099/C1099, 0),"-")</f>
        <v>1</v>
      </c>
      <c r="G1099" s="34">
        <v>3</v>
      </c>
      <c r="H1099" s="35">
        <v>3</v>
      </c>
      <c r="I1099" s="34">
        <f>IF(OR(H1099="-",H1099="",H1099=0),IF(G1099="-","-",G1099),G1099-H1099)</f>
        <v>0</v>
      </c>
      <c r="J1099" s="4">
        <f>IFERROR(IF(G1099&gt;0, H1099/G1099, 0),"-")</f>
        <v>1</v>
      </c>
      <c r="K1099" s="34">
        <v>7</v>
      </c>
      <c r="L1099" s="35">
        <v>4</v>
      </c>
      <c r="M1099" s="34">
        <f>IF(OR(L1099="-",L1099="",L1099=0),IF(K1099="-","-",K1099),K1099-L1099)</f>
        <v>3</v>
      </c>
      <c r="N1099" s="4">
        <f>IFERROR(IF(K1099&gt;0, L1099/K1099, 0),"-")</f>
        <v>0.5714285714285714</v>
      </c>
      <c r="O1099" s="34">
        <v>1</v>
      </c>
      <c r="P1099" s="35">
        <v>1</v>
      </c>
      <c r="Q1099" s="34">
        <f>IF(OR(P1099="-",P1099="",P1099=0),IF(O1099="-","-",O1099),O1099-P1099)</f>
        <v>0</v>
      </c>
      <c r="R1099" s="4">
        <f>IFERROR(IF(O1099&gt;0, P1099/O1099, 0),"-")</f>
        <v>1</v>
      </c>
      <c r="S1099" s="34">
        <v>230</v>
      </c>
      <c r="T1099" s="34">
        <v>6</v>
      </c>
      <c r="U1099" s="34">
        <v>23382</v>
      </c>
      <c r="V1099" s="35" t="s">
        <v>959</v>
      </c>
      <c r="W1099" s="35" t="s">
        <v>959</v>
      </c>
    </row>
    <row r="1100" spans="1:23" x14ac:dyDescent="0.2">
      <c r="A1100" s="29"/>
      <c r="B1100" s="29" t="s">
        <v>72</v>
      </c>
      <c r="C1100" s="32">
        <v>1198</v>
      </c>
      <c r="D1100" s="32">
        <v>1178</v>
      </c>
      <c r="E1100" s="32">
        <f>IF(OR(D1100="-",D1100="",D1100=0),IF(C1100="-","-",C1100),C1100-D1100)</f>
        <v>20</v>
      </c>
      <c r="F1100" s="36">
        <f>IFERROR(IF(C1100&gt;0, D1100/C1100, 0),"-")</f>
        <v>0.98330550918196991</v>
      </c>
      <c r="G1100" s="32">
        <v>6</v>
      </c>
      <c r="H1100" s="32">
        <v>1</v>
      </c>
      <c r="I1100" s="32">
        <f>IF(OR(H1100="-",H1100="",H1100=0),IF(G1100="-","-",G1100),G1100-H1100)</f>
        <v>5</v>
      </c>
      <c r="J1100" s="36">
        <f>IFERROR(IF(G1100&gt;0, H1100/G1100, 0),"-")</f>
        <v>0.16666666666666666</v>
      </c>
      <c r="K1100" s="32">
        <v>11</v>
      </c>
      <c r="L1100" s="32">
        <v>4</v>
      </c>
      <c r="M1100" s="32">
        <f>IF(OR(L1100="-",L1100="",L1100=0),IF(K1100="-","-",K1100),K1100-L1100)</f>
        <v>7</v>
      </c>
      <c r="N1100" s="36">
        <f>IFERROR(IF(K1100&gt;0, L1100/K1100, 0),"-")</f>
        <v>0.36363636363636365</v>
      </c>
      <c r="O1100" s="32">
        <v>21</v>
      </c>
      <c r="P1100" s="32">
        <v>1</v>
      </c>
      <c r="Q1100" s="32">
        <f>IF(OR(P1100="-",P1100="",P1100=0),IF(O1100="-","-",O1100),O1100-P1100)</f>
        <v>20</v>
      </c>
      <c r="R1100" s="36">
        <f>IFERROR(IF(O1100&gt;0, P1100/O1100, 0),"-")</f>
        <v>4.7619047619047616E-2</v>
      </c>
      <c r="S1100" s="32">
        <v>859</v>
      </c>
      <c r="T1100" s="32">
        <v>13</v>
      </c>
      <c r="U1100" s="32">
        <v>78920</v>
      </c>
      <c r="V1100" s="32">
        <v>6</v>
      </c>
      <c r="W1100" s="32">
        <v>170051</v>
      </c>
    </row>
    <row r="1101" spans="1:23" x14ac:dyDescent="0.2">
      <c r="A1101" s="30" t="s">
        <v>484</v>
      </c>
      <c r="B1101" s="30" t="s">
        <v>1708</v>
      </c>
      <c r="C1101" s="34">
        <v>371</v>
      </c>
      <c r="D1101" s="35">
        <v>362</v>
      </c>
      <c r="E1101" s="34">
        <f>IF(OR(D1101="-",D1101="",D1101=0),IF(C1101="-","-",C1101),C1101-D1101)</f>
        <v>9</v>
      </c>
      <c r="F1101" s="4">
        <f>IFERROR(IF(C1101&gt;0, D1101/C1101, 0),"-")</f>
        <v>0.97574123989218331</v>
      </c>
      <c r="G1101" s="34">
        <v>2</v>
      </c>
      <c r="H1101" s="35" t="s">
        <v>959</v>
      </c>
      <c r="I1101" s="34">
        <f>IF(OR(H1101="-",H1101="",H1101=0),IF(G1101="-","-",G1101),G1101-H1101)</f>
        <v>2</v>
      </c>
      <c r="J1101" s="4" t="str">
        <f>IFERROR(IF(G1101&gt;0, H1101/G1101, 0),"-")</f>
        <v>-</v>
      </c>
      <c r="K1101" s="34">
        <v>3</v>
      </c>
      <c r="L1101" s="35">
        <v>1</v>
      </c>
      <c r="M1101" s="34">
        <f>IF(OR(L1101="-",L1101="",L1101=0),IF(K1101="-","-",K1101),K1101-L1101)</f>
        <v>2</v>
      </c>
      <c r="N1101" s="4">
        <f>IFERROR(IF(K1101&gt;0, L1101/K1101, 0),"-")</f>
        <v>0.33333333333333331</v>
      </c>
      <c r="O1101" s="34">
        <v>2</v>
      </c>
      <c r="P1101" s="35" t="s">
        <v>959</v>
      </c>
      <c r="Q1101" s="34">
        <f>IF(OR(P1101="-",P1101="",P1101=0),IF(O1101="-","-",O1101),O1101-P1101)</f>
        <v>2</v>
      </c>
      <c r="R1101" s="4" t="str">
        <f>IFERROR(IF(O1101&gt;0, P1101/O1101, 0),"-")</f>
        <v>-</v>
      </c>
      <c r="S1101" s="34">
        <v>248</v>
      </c>
      <c r="T1101" s="34">
        <v>4</v>
      </c>
      <c r="U1101" s="34">
        <v>10240</v>
      </c>
      <c r="V1101" s="35">
        <v>3</v>
      </c>
      <c r="W1101" s="35">
        <v>83047</v>
      </c>
    </row>
    <row r="1102" spans="1:23" x14ac:dyDescent="0.2">
      <c r="A1102" s="30" t="s">
        <v>483</v>
      </c>
      <c r="B1102" s="30" t="s">
        <v>1709</v>
      </c>
      <c r="C1102" s="34">
        <v>292</v>
      </c>
      <c r="D1102" s="35">
        <v>284</v>
      </c>
      <c r="E1102" s="34">
        <f>IF(OR(D1102="-",D1102="",D1102=0),IF(C1102="-","-",C1102),C1102-D1102)</f>
        <v>8</v>
      </c>
      <c r="F1102" s="4">
        <f>IFERROR(IF(C1102&gt;0, D1102/C1102, 0),"-")</f>
        <v>0.9726027397260274</v>
      </c>
      <c r="G1102" s="34">
        <v>1</v>
      </c>
      <c r="H1102" s="35" t="s">
        <v>959</v>
      </c>
      <c r="I1102" s="34">
        <f>IF(OR(H1102="-",H1102="",H1102=0),IF(G1102="-","-",G1102),G1102-H1102)</f>
        <v>1</v>
      </c>
      <c r="J1102" s="4" t="str">
        <f>IFERROR(IF(G1102&gt;0, H1102/G1102, 0),"-")</f>
        <v>-</v>
      </c>
      <c r="K1102" s="34">
        <v>6</v>
      </c>
      <c r="L1102" s="35">
        <v>2</v>
      </c>
      <c r="M1102" s="34">
        <f>IF(OR(L1102="-",L1102="",L1102=0),IF(K1102="-","-",K1102),K1102-L1102)</f>
        <v>4</v>
      </c>
      <c r="N1102" s="4">
        <f>IFERROR(IF(K1102&gt;0, L1102/K1102, 0),"-")</f>
        <v>0.33333333333333331</v>
      </c>
      <c r="O1102" s="34">
        <v>8</v>
      </c>
      <c r="P1102" s="35">
        <v>1</v>
      </c>
      <c r="Q1102" s="34">
        <f>IF(OR(P1102="-",P1102="",P1102=0),IF(O1102="-","-",O1102),O1102-P1102)</f>
        <v>7</v>
      </c>
      <c r="R1102" s="4">
        <f>IFERROR(IF(O1102&gt;0, P1102/O1102, 0),"-")</f>
        <v>0.125</v>
      </c>
      <c r="S1102" s="34">
        <v>108</v>
      </c>
      <c r="T1102" s="34">
        <v>2</v>
      </c>
      <c r="U1102" s="34">
        <v>7540</v>
      </c>
      <c r="V1102" s="35">
        <v>1</v>
      </c>
      <c r="W1102" s="35">
        <v>5941</v>
      </c>
    </row>
    <row r="1103" spans="1:23" x14ac:dyDescent="0.2">
      <c r="A1103" s="30" t="s">
        <v>480</v>
      </c>
      <c r="B1103" s="30" t="s">
        <v>1710</v>
      </c>
      <c r="C1103" s="34">
        <v>204</v>
      </c>
      <c r="D1103" s="35">
        <v>203</v>
      </c>
      <c r="E1103" s="34">
        <f>IF(OR(D1103="-",D1103="",D1103=0),IF(C1103="-","-",C1103),C1103-D1103)</f>
        <v>1</v>
      </c>
      <c r="F1103" s="4">
        <f>IFERROR(IF(C1103&gt;0, D1103/C1103, 0),"-")</f>
        <v>0.99509803921568629</v>
      </c>
      <c r="G1103" s="34">
        <v>1</v>
      </c>
      <c r="H1103" s="35" t="s">
        <v>959</v>
      </c>
      <c r="I1103" s="34">
        <f>IF(OR(H1103="-",H1103="",H1103=0),IF(G1103="-","-",G1103),G1103-H1103)</f>
        <v>1</v>
      </c>
      <c r="J1103" s="4" t="str">
        <f>IFERROR(IF(G1103&gt;0, H1103/G1103, 0),"-")</f>
        <v>-</v>
      </c>
      <c r="K1103" s="34" t="s">
        <v>959</v>
      </c>
      <c r="L1103" s="35" t="s">
        <v>959</v>
      </c>
      <c r="M1103" s="34" t="str">
        <f>IF(OR(L1103="-",L1103="",L1103=0),IF(K1103="-","-",K1103),K1103-L1103)</f>
        <v>-</v>
      </c>
      <c r="N1103" s="4" t="str">
        <f>IFERROR(IF(K1103&gt;0, L1103/K1103, 0),"-")</f>
        <v>-</v>
      </c>
      <c r="O1103" s="34">
        <v>3</v>
      </c>
      <c r="P1103" s="35" t="s">
        <v>959</v>
      </c>
      <c r="Q1103" s="34">
        <f>IF(OR(P1103="-",P1103="",P1103=0),IF(O1103="-","-",O1103),O1103-P1103)</f>
        <v>3</v>
      </c>
      <c r="R1103" s="4" t="str">
        <f>IFERROR(IF(O1103&gt;0, P1103/O1103, 0),"-")</f>
        <v>-</v>
      </c>
      <c r="S1103" s="34">
        <v>71</v>
      </c>
      <c r="T1103" s="34">
        <v>1</v>
      </c>
      <c r="U1103" s="34">
        <v>2695</v>
      </c>
      <c r="V1103" s="35" t="s">
        <v>959</v>
      </c>
      <c r="W1103" s="35" t="s">
        <v>959</v>
      </c>
    </row>
    <row r="1104" spans="1:23" x14ac:dyDescent="0.2">
      <c r="A1104" s="30" t="s">
        <v>481</v>
      </c>
      <c r="B1104" s="30" t="s">
        <v>1711</v>
      </c>
      <c r="C1104" s="34">
        <v>161</v>
      </c>
      <c r="D1104" s="35">
        <v>160</v>
      </c>
      <c r="E1104" s="34">
        <f>IF(OR(D1104="-",D1104="",D1104=0),IF(C1104="-","-",C1104),C1104-D1104)</f>
        <v>1</v>
      </c>
      <c r="F1104" s="4">
        <f>IFERROR(IF(C1104&gt;0, D1104/C1104, 0),"-")</f>
        <v>0.99378881987577639</v>
      </c>
      <c r="G1104" s="34">
        <v>1</v>
      </c>
      <c r="H1104" s="35" t="s">
        <v>959</v>
      </c>
      <c r="I1104" s="34">
        <f>IF(OR(H1104="-",H1104="",H1104=0),IF(G1104="-","-",G1104),G1104-H1104)</f>
        <v>1</v>
      </c>
      <c r="J1104" s="4" t="str">
        <f>IFERROR(IF(G1104&gt;0, H1104/G1104, 0),"-")</f>
        <v>-</v>
      </c>
      <c r="K1104" s="34">
        <v>2</v>
      </c>
      <c r="L1104" s="35">
        <v>1</v>
      </c>
      <c r="M1104" s="34">
        <f>IF(OR(L1104="-",L1104="",L1104=0),IF(K1104="-","-",K1104),K1104-L1104)</f>
        <v>1</v>
      </c>
      <c r="N1104" s="4">
        <f>IFERROR(IF(K1104&gt;0, L1104/K1104, 0),"-")</f>
        <v>0.5</v>
      </c>
      <c r="O1104" s="34">
        <v>3</v>
      </c>
      <c r="P1104" s="35" t="s">
        <v>959</v>
      </c>
      <c r="Q1104" s="34">
        <f>IF(OR(P1104="-",P1104="",P1104=0),IF(O1104="-","-",O1104),O1104-P1104)</f>
        <v>3</v>
      </c>
      <c r="R1104" s="4" t="str">
        <f>IFERROR(IF(O1104&gt;0, P1104/O1104, 0),"-")</f>
        <v>-</v>
      </c>
      <c r="S1104" s="34">
        <v>319</v>
      </c>
      <c r="T1104" s="34">
        <v>3</v>
      </c>
      <c r="U1104" s="34">
        <v>52905</v>
      </c>
      <c r="V1104" s="35" t="s">
        <v>959</v>
      </c>
      <c r="W1104" s="35" t="s">
        <v>959</v>
      </c>
    </row>
    <row r="1105" spans="1:23" x14ac:dyDescent="0.2">
      <c r="A1105" s="30" t="s">
        <v>482</v>
      </c>
      <c r="B1105" s="30" t="s">
        <v>1712</v>
      </c>
      <c r="C1105" s="34">
        <v>170</v>
      </c>
      <c r="D1105" s="35">
        <v>169</v>
      </c>
      <c r="E1105" s="34">
        <f>IF(OR(D1105="-",D1105="",D1105=0),IF(C1105="-","-",C1105),C1105-D1105)</f>
        <v>1</v>
      </c>
      <c r="F1105" s="4">
        <f>IFERROR(IF(C1105&gt;0, D1105/C1105, 0),"-")</f>
        <v>0.99411764705882355</v>
      </c>
      <c r="G1105" s="34">
        <v>1</v>
      </c>
      <c r="H1105" s="35">
        <v>1</v>
      </c>
      <c r="I1105" s="34">
        <f>IF(OR(H1105="-",H1105="",H1105=0),IF(G1105="-","-",G1105),G1105-H1105)</f>
        <v>0</v>
      </c>
      <c r="J1105" s="4">
        <f>IFERROR(IF(G1105&gt;0, H1105/G1105, 0),"-")</f>
        <v>1</v>
      </c>
      <c r="K1105" s="34" t="s">
        <v>959</v>
      </c>
      <c r="L1105" s="35" t="s">
        <v>959</v>
      </c>
      <c r="M1105" s="34" t="str">
        <f>IF(OR(L1105="-",L1105="",L1105=0),IF(K1105="-","-",K1105),K1105-L1105)</f>
        <v>-</v>
      </c>
      <c r="N1105" s="4" t="str">
        <f>IFERROR(IF(K1105&gt;0, L1105/K1105, 0),"-")</f>
        <v>-</v>
      </c>
      <c r="O1105" s="34">
        <v>5</v>
      </c>
      <c r="P1105" s="35" t="s">
        <v>959</v>
      </c>
      <c r="Q1105" s="34">
        <f>IF(OR(P1105="-",P1105="",P1105=0),IF(O1105="-","-",O1105),O1105-P1105)</f>
        <v>5</v>
      </c>
      <c r="R1105" s="4" t="str">
        <f>IFERROR(IF(O1105&gt;0, P1105/O1105, 0),"-")</f>
        <v>-</v>
      </c>
      <c r="S1105" s="34">
        <v>113</v>
      </c>
      <c r="T1105" s="34">
        <v>3</v>
      </c>
      <c r="U1105" s="34">
        <v>5540</v>
      </c>
      <c r="V1105" s="35">
        <v>2</v>
      </c>
      <c r="W1105" s="35">
        <v>81063</v>
      </c>
    </row>
    <row r="1106" spans="1:23" x14ac:dyDescent="0.2">
      <c r="A1106" s="29"/>
      <c r="B1106" s="29" t="s">
        <v>118</v>
      </c>
      <c r="C1106" s="32">
        <v>871</v>
      </c>
      <c r="D1106" s="32">
        <v>817</v>
      </c>
      <c r="E1106" s="32">
        <f>IF(OR(D1106="-",D1106="",D1106=0),IF(C1106="-","-",C1106),C1106-D1106)</f>
        <v>54</v>
      </c>
      <c r="F1106" s="36">
        <f>IFERROR(IF(C1106&gt;0, D1106/C1106, 0),"-")</f>
        <v>0.93800229621125142</v>
      </c>
      <c r="G1106" s="32">
        <v>27</v>
      </c>
      <c r="H1106" s="32">
        <v>16</v>
      </c>
      <c r="I1106" s="32">
        <f>IF(OR(H1106="-",H1106="",H1106=0),IF(G1106="-","-",G1106),G1106-H1106)</f>
        <v>11</v>
      </c>
      <c r="J1106" s="36">
        <f>IFERROR(IF(G1106&gt;0, H1106/G1106, 0),"-")</f>
        <v>0.59259259259259256</v>
      </c>
      <c r="K1106" s="32">
        <v>12</v>
      </c>
      <c r="L1106" s="32">
        <v>4</v>
      </c>
      <c r="M1106" s="32">
        <f>IF(OR(L1106="-",L1106="",L1106=0),IF(K1106="-","-",K1106),K1106-L1106)</f>
        <v>8</v>
      </c>
      <c r="N1106" s="36">
        <f>IFERROR(IF(K1106&gt;0, L1106/K1106, 0),"-")</f>
        <v>0.33333333333333331</v>
      </c>
      <c r="O1106" s="32">
        <v>5</v>
      </c>
      <c r="P1106" s="32" t="s">
        <v>959</v>
      </c>
      <c r="Q1106" s="32">
        <f>IF(OR(P1106="-",P1106="",P1106=0),IF(O1106="-","-",O1106),O1106-P1106)</f>
        <v>5</v>
      </c>
      <c r="R1106" s="36" t="str">
        <f>IFERROR(IF(O1106&gt;0, P1106/O1106, 0),"-")</f>
        <v>-</v>
      </c>
      <c r="S1106" s="32">
        <v>3</v>
      </c>
      <c r="T1106" s="32">
        <v>1</v>
      </c>
      <c r="U1106" s="32">
        <v>2400</v>
      </c>
      <c r="V1106" s="32" t="s">
        <v>959</v>
      </c>
      <c r="W1106" s="32" t="s">
        <v>959</v>
      </c>
    </row>
    <row r="1107" spans="1:23" x14ac:dyDescent="0.2">
      <c r="A1107" s="30" t="s">
        <v>842</v>
      </c>
      <c r="B1107" s="30" t="s">
        <v>1713</v>
      </c>
      <c r="C1107" s="34">
        <v>244</v>
      </c>
      <c r="D1107" s="35">
        <v>220</v>
      </c>
      <c r="E1107" s="34">
        <f>IF(OR(D1107="-",D1107="",D1107=0),IF(C1107="-","-",C1107),C1107-D1107)</f>
        <v>24</v>
      </c>
      <c r="F1107" s="4">
        <f>IFERROR(IF(C1107&gt;0, D1107/C1107, 0),"-")</f>
        <v>0.90163934426229508</v>
      </c>
      <c r="G1107" s="34">
        <v>7</v>
      </c>
      <c r="H1107" s="35">
        <v>1</v>
      </c>
      <c r="I1107" s="34">
        <f>IF(OR(H1107="-",H1107="",H1107=0),IF(G1107="-","-",G1107),G1107-H1107)</f>
        <v>6</v>
      </c>
      <c r="J1107" s="4">
        <f>IFERROR(IF(G1107&gt;0, H1107/G1107, 0),"-")</f>
        <v>0.14285714285714285</v>
      </c>
      <c r="K1107" s="34">
        <v>5</v>
      </c>
      <c r="L1107" s="35">
        <v>2</v>
      </c>
      <c r="M1107" s="34">
        <f>IF(OR(L1107="-",L1107="",L1107=0),IF(K1107="-","-",K1107),K1107-L1107)</f>
        <v>3</v>
      </c>
      <c r="N1107" s="4">
        <f>IFERROR(IF(K1107&gt;0, L1107/K1107, 0),"-")</f>
        <v>0.4</v>
      </c>
      <c r="O1107" s="34">
        <v>4</v>
      </c>
      <c r="P1107" s="35" t="s">
        <v>959</v>
      </c>
      <c r="Q1107" s="34">
        <f>IF(OR(P1107="-",P1107="",P1107=0),IF(O1107="-","-",O1107),O1107-P1107)</f>
        <v>4</v>
      </c>
      <c r="R1107" s="4" t="str">
        <f>IFERROR(IF(O1107&gt;0, P1107/O1107, 0),"-")</f>
        <v>-</v>
      </c>
      <c r="S1107" s="34">
        <v>1</v>
      </c>
      <c r="T1107" s="34" t="s">
        <v>959</v>
      </c>
      <c r="U1107" s="34" t="s">
        <v>959</v>
      </c>
      <c r="V1107" s="35" t="s">
        <v>959</v>
      </c>
      <c r="W1107" s="35" t="s">
        <v>959</v>
      </c>
    </row>
    <row r="1108" spans="1:23" x14ac:dyDescent="0.2">
      <c r="A1108" s="30" t="s">
        <v>841</v>
      </c>
      <c r="B1108" s="30" t="s">
        <v>1714</v>
      </c>
      <c r="C1108" s="34">
        <v>179</v>
      </c>
      <c r="D1108" s="35">
        <v>170</v>
      </c>
      <c r="E1108" s="34">
        <f>IF(OR(D1108="-",D1108="",D1108=0),IF(C1108="-","-",C1108),C1108-D1108)</f>
        <v>9</v>
      </c>
      <c r="F1108" s="4">
        <f>IFERROR(IF(C1108&gt;0, D1108/C1108, 0),"-")</f>
        <v>0.94972067039106145</v>
      </c>
      <c r="G1108" s="34">
        <v>4</v>
      </c>
      <c r="H1108" s="35">
        <v>3</v>
      </c>
      <c r="I1108" s="34">
        <f>IF(OR(H1108="-",H1108="",H1108=0),IF(G1108="-","-",G1108),G1108-H1108)</f>
        <v>1</v>
      </c>
      <c r="J1108" s="4">
        <f>IFERROR(IF(G1108&gt;0, H1108/G1108, 0),"-")</f>
        <v>0.75</v>
      </c>
      <c r="K1108" s="34">
        <v>1</v>
      </c>
      <c r="L1108" s="35" t="s">
        <v>959</v>
      </c>
      <c r="M1108" s="34">
        <f>IF(OR(L1108="-",L1108="",L1108=0),IF(K1108="-","-",K1108),K1108-L1108)</f>
        <v>1</v>
      </c>
      <c r="N1108" s="4" t="str">
        <f>IFERROR(IF(K1108&gt;0, L1108/K1108, 0),"-")</f>
        <v>-</v>
      </c>
      <c r="O1108" s="34">
        <v>1</v>
      </c>
      <c r="P1108" s="35" t="s">
        <v>959</v>
      </c>
      <c r="Q1108" s="34">
        <f>IF(OR(P1108="-",P1108="",P1108=0),IF(O1108="-","-",O1108),O1108-P1108)</f>
        <v>1</v>
      </c>
      <c r="R1108" s="4" t="str">
        <f>IFERROR(IF(O1108&gt;0, P1108/O1108, 0),"-")</f>
        <v>-</v>
      </c>
      <c r="S1108" s="34">
        <v>1</v>
      </c>
      <c r="T1108" s="34" t="s">
        <v>959</v>
      </c>
      <c r="U1108" s="34" t="s">
        <v>959</v>
      </c>
      <c r="V1108" s="35" t="s">
        <v>959</v>
      </c>
      <c r="W1108" s="35" t="s">
        <v>959</v>
      </c>
    </row>
    <row r="1109" spans="1:23" x14ac:dyDescent="0.2">
      <c r="A1109" s="30" t="s">
        <v>843</v>
      </c>
      <c r="B1109" s="30" t="s">
        <v>1715</v>
      </c>
      <c r="C1109" s="34">
        <v>265</v>
      </c>
      <c r="D1109" s="35">
        <v>256</v>
      </c>
      <c r="E1109" s="34">
        <f>IF(OR(D1109="-",D1109="",D1109=0),IF(C1109="-","-",C1109),C1109-D1109)</f>
        <v>9</v>
      </c>
      <c r="F1109" s="4">
        <f>IFERROR(IF(C1109&gt;0, D1109/C1109, 0),"-")</f>
        <v>0.96603773584905661</v>
      </c>
      <c r="G1109" s="34">
        <v>15</v>
      </c>
      <c r="H1109" s="35">
        <v>11</v>
      </c>
      <c r="I1109" s="34">
        <f>IF(OR(H1109="-",H1109="",H1109=0),IF(G1109="-","-",G1109),G1109-H1109)</f>
        <v>4</v>
      </c>
      <c r="J1109" s="4">
        <f>IFERROR(IF(G1109&gt;0, H1109/G1109, 0),"-")</f>
        <v>0.73333333333333328</v>
      </c>
      <c r="K1109" s="34">
        <v>1</v>
      </c>
      <c r="L1109" s="35">
        <v>1</v>
      </c>
      <c r="M1109" s="34">
        <f>IF(OR(L1109="-",L1109="",L1109=0),IF(K1109="-","-",K1109),K1109-L1109)</f>
        <v>0</v>
      </c>
      <c r="N1109" s="4">
        <f>IFERROR(IF(K1109&gt;0, L1109/K1109, 0),"-")</f>
        <v>1</v>
      </c>
      <c r="O1109" s="34" t="s">
        <v>959</v>
      </c>
      <c r="P1109" s="35" t="s">
        <v>959</v>
      </c>
      <c r="Q1109" s="34" t="str">
        <f>IF(OR(P1109="-",P1109="",P1109=0),IF(O1109="-","-",O1109),O1109-P1109)</f>
        <v>-</v>
      </c>
      <c r="R1109" s="4" t="str">
        <f>IFERROR(IF(O1109&gt;0, P1109/O1109, 0),"-")</f>
        <v>-</v>
      </c>
      <c r="S1109" s="34" t="s">
        <v>959</v>
      </c>
      <c r="T1109" s="34" t="s">
        <v>959</v>
      </c>
      <c r="U1109" s="34" t="s">
        <v>959</v>
      </c>
      <c r="V1109" s="35" t="s">
        <v>959</v>
      </c>
      <c r="W1109" s="35" t="s">
        <v>959</v>
      </c>
    </row>
    <row r="1110" spans="1:23" x14ac:dyDescent="0.2">
      <c r="A1110" s="30" t="s">
        <v>844</v>
      </c>
      <c r="B1110" s="30" t="s">
        <v>1716</v>
      </c>
      <c r="C1110" s="34">
        <v>143</v>
      </c>
      <c r="D1110" s="35">
        <v>131</v>
      </c>
      <c r="E1110" s="34">
        <f>IF(OR(D1110="-",D1110="",D1110=0),IF(C1110="-","-",C1110),C1110-D1110)</f>
        <v>12</v>
      </c>
      <c r="F1110" s="4">
        <f>IFERROR(IF(C1110&gt;0, D1110/C1110, 0),"-")</f>
        <v>0.91608391608391604</v>
      </c>
      <c r="G1110" s="34">
        <v>1</v>
      </c>
      <c r="H1110" s="35">
        <v>1</v>
      </c>
      <c r="I1110" s="34">
        <f>IF(OR(H1110="-",H1110="",H1110=0),IF(G1110="-","-",G1110),G1110-H1110)</f>
        <v>0</v>
      </c>
      <c r="J1110" s="4">
        <f>IFERROR(IF(G1110&gt;0, H1110/G1110, 0),"-")</f>
        <v>1</v>
      </c>
      <c r="K1110" s="34">
        <v>5</v>
      </c>
      <c r="L1110" s="35">
        <v>1</v>
      </c>
      <c r="M1110" s="34">
        <f>IF(OR(L1110="-",L1110="",L1110=0),IF(K1110="-","-",K1110),K1110-L1110)</f>
        <v>4</v>
      </c>
      <c r="N1110" s="4">
        <f>IFERROR(IF(K1110&gt;0, L1110/K1110, 0),"-")</f>
        <v>0.2</v>
      </c>
      <c r="O1110" s="34" t="s">
        <v>959</v>
      </c>
      <c r="P1110" s="35" t="s">
        <v>959</v>
      </c>
      <c r="Q1110" s="34" t="str">
        <f>IF(OR(P1110="-",P1110="",P1110=0),IF(O1110="-","-",O1110),O1110-P1110)</f>
        <v>-</v>
      </c>
      <c r="R1110" s="4" t="str">
        <f>IFERROR(IF(O1110&gt;0, P1110/O1110, 0),"-")</f>
        <v>-</v>
      </c>
      <c r="S1110" s="34">
        <v>1</v>
      </c>
      <c r="T1110" s="34">
        <v>1</v>
      </c>
      <c r="U1110" s="34">
        <v>2400</v>
      </c>
      <c r="V1110" s="35" t="s">
        <v>959</v>
      </c>
      <c r="W1110" s="35" t="s">
        <v>959</v>
      </c>
    </row>
    <row r="1111" spans="1:23" x14ac:dyDescent="0.2">
      <c r="A1111" s="30" t="s">
        <v>845</v>
      </c>
      <c r="B1111" s="30" t="s">
        <v>1717</v>
      </c>
      <c r="C1111" s="34">
        <v>40</v>
      </c>
      <c r="D1111" s="35">
        <v>40</v>
      </c>
      <c r="E1111" s="34">
        <f>IF(OR(D1111="-",D1111="",D1111=0),IF(C1111="-","-",C1111),C1111-D1111)</f>
        <v>0</v>
      </c>
      <c r="F1111" s="4">
        <f>IFERROR(IF(C1111&gt;0, D1111/C1111, 0),"-")</f>
        <v>1</v>
      </c>
      <c r="G1111" s="34" t="s">
        <v>959</v>
      </c>
      <c r="H1111" s="35" t="s">
        <v>959</v>
      </c>
      <c r="I1111" s="34" t="str">
        <f>IF(OR(H1111="-",H1111="",H1111=0),IF(G1111="-","-",G1111),G1111-H1111)</f>
        <v>-</v>
      </c>
      <c r="J1111" s="4" t="str">
        <f>IFERROR(IF(G1111&gt;0, H1111/G1111, 0),"-")</f>
        <v>-</v>
      </c>
      <c r="K1111" s="34" t="s">
        <v>959</v>
      </c>
      <c r="L1111" s="35" t="s">
        <v>959</v>
      </c>
      <c r="M1111" s="34" t="str">
        <f>IF(OR(L1111="-",L1111="",L1111=0),IF(K1111="-","-",K1111),K1111-L1111)</f>
        <v>-</v>
      </c>
      <c r="N1111" s="4" t="str">
        <f>IFERROR(IF(K1111&gt;0, L1111/K1111, 0),"-")</f>
        <v>-</v>
      </c>
      <c r="O1111" s="34" t="s">
        <v>959</v>
      </c>
      <c r="P1111" s="35" t="s">
        <v>959</v>
      </c>
      <c r="Q1111" s="34" t="str">
        <f>IF(OR(P1111="-",P1111="",P1111=0),IF(O1111="-","-",O1111),O1111-P1111)</f>
        <v>-</v>
      </c>
      <c r="R1111" s="4" t="str">
        <f>IFERROR(IF(O1111&gt;0, P1111/O1111, 0),"-")</f>
        <v>-</v>
      </c>
      <c r="S1111" s="34" t="s">
        <v>959</v>
      </c>
      <c r="T1111" s="34" t="s">
        <v>959</v>
      </c>
      <c r="U1111" s="34" t="s">
        <v>959</v>
      </c>
      <c r="V1111" s="35" t="s">
        <v>959</v>
      </c>
      <c r="W1111" s="35" t="s">
        <v>959</v>
      </c>
    </row>
    <row r="1112" spans="1:23" x14ac:dyDescent="0.2">
      <c r="A1112" s="29"/>
      <c r="B1112" s="29" t="s">
        <v>37</v>
      </c>
      <c r="C1112" s="32">
        <v>1196</v>
      </c>
      <c r="D1112" s="32">
        <v>1172</v>
      </c>
      <c r="E1112" s="32">
        <f>IF(OR(D1112="-",D1112="",D1112=0),IF(C1112="-","-",C1112),C1112-D1112)</f>
        <v>24</v>
      </c>
      <c r="F1112" s="36">
        <f>IFERROR(IF(C1112&gt;0, D1112/C1112, 0),"-")</f>
        <v>0.97993311036789299</v>
      </c>
      <c r="G1112" s="32">
        <v>16</v>
      </c>
      <c r="H1112" s="32">
        <v>7</v>
      </c>
      <c r="I1112" s="32">
        <f>IF(OR(H1112="-",H1112="",H1112=0),IF(G1112="-","-",G1112),G1112-H1112)</f>
        <v>9</v>
      </c>
      <c r="J1112" s="36">
        <f>IFERROR(IF(G1112&gt;0, H1112/G1112, 0),"-")</f>
        <v>0.4375</v>
      </c>
      <c r="K1112" s="32">
        <v>24</v>
      </c>
      <c r="L1112" s="32">
        <v>6</v>
      </c>
      <c r="M1112" s="32">
        <f>IF(OR(L1112="-",L1112="",L1112=0),IF(K1112="-","-",K1112),K1112-L1112)</f>
        <v>18</v>
      </c>
      <c r="N1112" s="36">
        <f>IFERROR(IF(K1112&gt;0, L1112/K1112, 0),"-")</f>
        <v>0.25</v>
      </c>
      <c r="O1112" s="32">
        <v>20</v>
      </c>
      <c r="P1112" s="32">
        <v>7</v>
      </c>
      <c r="Q1112" s="32">
        <f>IF(OR(P1112="-",P1112="",P1112=0),IF(O1112="-","-",O1112),O1112-P1112)</f>
        <v>13</v>
      </c>
      <c r="R1112" s="36">
        <f>IFERROR(IF(O1112&gt;0, P1112/O1112, 0),"-")</f>
        <v>0.35</v>
      </c>
      <c r="S1112" s="32">
        <v>1323</v>
      </c>
      <c r="T1112" s="32">
        <v>23</v>
      </c>
      <c r="U1112" s="32">
        <v>91175</v>
      </c>
      <c r="V1112" s="32">
        <v>17</v>
      </c>
      <c r="W1112" s="32">
        <v>384886</v>
      </c>
    </row>
    <row r="1113" spans="1:23" x14ac:dyDescent="0.2">
      <c r="A1113" s="30" t="s">
        <v>187</v>
      </c>
      <c r="B1113" s="30" t="s">
        <v>1718</v>
      </c>
      <c r="C1113" s="34">
        <v>217</v>
      </c>
      <c r="D1113" s="35">
        <v>213</v>
      </c>
      <c r="E1113" s="34">
        <f>IF(OR(D1113="-",D1113="",D1113=0),IF(C1113="-","-",C1113),C1113-D1113)</f>
        <v>4</v>
      </c>
      <c r="F1113" s="4">
        <f>IFERROR(IF(C1113&gt;0, D1113/C1113, 0),"-")</f>
        <v>0.98156682027649766</v>
      </c>
      <c r="G1113" s="34">
        <v>3</v>
      </c>
      <c r="H1113" s="35">
        <v>2</v>
      </c>
      <c r="I1113" s="34">
        <f>IF(OR(H1113="-",H1113="",H1113=0),IF(G1113="-","-",G1113),G1113-H1113)</f>
        <v>1</v>
      </c>
      <c r="J1113" s="4">
        <f>IFERROR(IF(G1113&gt;0, H1113/G1113, 0),"-")</f>
        <v>0.66666666666666663</v>
      </c>
      <c r="K1113" s="34">
        <v>1</v>
      </c>
      <c r="L1113" s="35" t="s">
        <v>959</v>
      </c>
      <c r="M1113" s="34">
        <f>IF(OR(L1113="-",L1113="",L1113=0),IF(K1113="-","-",K1113),K1113-L1113)</f>
        <v>1</v>
      </c>
      <c r="N1113" s="4" t="str">
        <f>IFERROR(IF(K1113&gt;0, L1113/K1113, 0),"-")</f>
        <v>-</v>
      </c>
      <c r="O1113" s="34">
        <v>7</v>
      </c>
      <c r="P1113" s="35">
        <v>2</v>
      </c>
      <c r="Q1113" s="34">
        <f>IF(OR(P1113="-",P1113="",P1113=0),IF(O1113="-","-",O1113),O1113-P1113)</f>
        <v>5</v>
      </c>
      <c r="R1113" s="4">
        <f>IFERROR(IF(O1113&gt;0, P1113/O1113, 0),"-")</f>
        <v>0.2857142857142857</v>
      </c>
      <c r="S1113" s="34">
        <v>294</v>
      </c>
      <c r="T1113" s="34">
        <v>2</v>
      </c>
      <c r="U1113" s="34">
        <v>5390</v>
      </c>
      <c r="V1113" s="35">
        <v>2</v>
      </c>
      <c r="W1113" s="35">
        <v>57452</v>
      </c>
    </row>
    <row r="1114" spans="1:23" x14ac:dyDescent="0.2">
      <c r="A1114" s="30" t="s">
        <v>184</v>
      </c>
      <c r="B1114" s="30" t="s">
        <v>1719</v>
      </c>
      <c r="C1114" s="34">
        <v>260</v>
      </c>
      <c r="D1114" s="35">
        <v>252</v>
      </c>
      <c r="E1114" s="34">
        <f>IF(OR(D1114="-",D1114="",D1114=0),IF(C1114="-","-",C1114),C1114-D1114)</f>
        <v>8</v>
      </c>
      <c r="F1114" s="4">
        <f>IFERROR(IF(C1114&gt;0, D1114/C1114, 0),"-")</f>
        <v>0.96923076923076923</v>
      </c>
      <c r="G1114" s="34">
        <v>7</v>
      </c>
      <c r="H1114" s="35">
        <v>3</v>
      </c>
      <c r="I1114" s="34">
        <f>IF(OR(H1114="-",H1114="",H1114=0),IF(G1114="-","-",G1114),G1114-H1114)</f>
        <v>4</v>
      </c>
      <c r="J1114" s="4">
        <f>IFERROR(IF(G1114&gt;0, H1114/G1114, 0),"-")</f>
        <v>0.42857142857142855</v>
      </c>
      <c r="K1114" s="34">
        <v>7</v>
      </c>
      <c r="L1114" s="35">
        <v>2</v>
      </c>
      <c r="M1114" s="34">
        <f>IF(OR(L1114="-",L1114="",L1114=0),IF(K1114="-","-",K1114),K1114-L1114)</f>
        <v>5</v>
      </c>
      <c r="N1114" s="4">
        <f>IFERROR(IF(K1114&gt;0, L1114/K1114, 0),"-")</f>
        <v>0.2857142857142857</v>
      </c>
      <c r="O1114" s="34">
        <v>4</v>
      </c>
      <c r="P1114" s="35">
        <v>3</v>
      </c>
      <c r="Q1114" s="34">
        <f>IF(OR(P1114="-",P1114="",P1114=0),IF(O1114="-","-",O1114),O1114-P1114)</f>
        <v>1</v>
      </c>
      <c r="R1114" s="4">
        <f>IFERROR(IF(O1114&gt;0, P1114/O1114, 0),"-")</f>
        <v>0.75</v>
      </c>
      <c r="S1114" s="34">
        <v>386</v>
      </c>
      <c r="T1114" s="34">
        <v>7</v>
      </c>
      <c r="U1114" s="34">
        <v>43665</v>
      </c>
      <c r="V1114" s="35">
        <v>5</v>
      </c>
      <c r="W1114" s="35">
        <v>144070</v>
      </c>
    </row>
    <row r="1115" spans="1:23" x14ac:dyDescent="0.2">
      <c r="A1115" s="30" t="s">
        <v>183</v>
      </c>
      <c r="B1115" s="30" t="s">
        <v>1720</v>
      </c>
      <c r="C1115" s="34">
        <v>171</v>
      </c>
      <c r="D1115" s="35">
        <v>171</v>
      </c>
      <c r="E1115" s="34">
        <f>IF(OR(D1115="-",D1115="",D1115=0),IF(C1115="-","-",C1115),C1115-D1115)</f>
        <v>0</v>
      </c>
      <c r="F1115" s="4">
        <f>IFERROR(IF(C1115&gt;0, D1115/C1115, 0),"-")</f>
        <v>1</v>
      </c>
      <c r="G1115" s="34">
        <v>1</v>
      </c>
      <c r="H1115" s="35">
        <v>1</v>
      </c>
      <c r="I1115" s="34">
        <f>IF(OR(H1115="-",H1115="",H1115=0),IF(G1115="-","-",G1115),G1115-H1115)</f>
        <v>0</v>
      </c>
      <c r="J1115" s="4">
        <f>IFERROR(IF(G1115&gt;0, H1115/G1115, 0),"-")</f>
        <v>1</v>
      </c>
      <c r="K1115" s="34">
        <v>8</v>
      </c>
      <c r="L1115" s="35">
        <v>4</v>
      </c>
      <c r="M1115" s="34">
        <f>IF(OR(L1115="-",L1115="",L1115=0),IF(K1115="-","-",K1115),K1115-L1115)</f>
        <v>4</v>
      </c>
      <c r="N1115" s="4">
        <f>IFERROR(IF(K1115&gt;0, L1115/K1115, 0),"-")</f>
        <v>0.5</v>
      </c>
      <c r="O1115" s="34">
        <v>5</v>
      </c>
      <c r="P1115" s="35" t="s">
        <v>959</v>
      </c>
      <c r="Q1115" s="34">
        <f>IF(OR(P1115="-",P1115="",P1115=0),IF(O1115="-","-",O1115),O1115-P1115)</f>
        <v>5</v>
      </c>
      <c r="R1115" s="4" t="str">
        <f>IFERROR(IF(O1115&gt;0, P1115/O1115, 0),"-")</f>
        <v>-</v>
      </c>
      <c r="S1115" s="34">
        <v>291</v>
      </c>
      <c r="T1115" s="34">
        <v>3</v>
      </c>
      <c r="U1115" s="34">
        <v>8935</v>
      </c>
      <c r="V1115" s="35">
        <v>5</v>
      </c>
      <c r="W1115" s="35">
        <v>104437</v>
      </c>
    </row>
    <row r="1116" spans="1:23" x14ac:dyDescent="0.2">
      <c r="A1116" s="30" t="s">
        <v>185</v>
      </c>
      <c r="B1116" s="30" t="s">
        <v>1721</v>
      </c>
      <c r="C1116" s="34">
        <v>265</v>
      </c>
      <c r="D1116" s="35">
        <v>261</v>
      </c>
      <c r="E1116" s="34">
        <f>IF(OR(D1116="-",D1116="",D1116=0),IF(C1116="-","-",C1116),C1116-D1116)</f>
        <v>4</v>
      </c>
      <c r="F1116" s="4">
        <f>IFERROR(IF(C1116&gt;0, D1116/C1116, 0),"-")</f>
        <v>0.98490566037735849</v>
      </c>
      <c r="G1116" s="34">
        <v>1</v>
      </c>
      <c r="H1116" s="35">
        <v>1</v>
      </c>
      <c r="I1116" s="34">
        <f>IF(OR(H1116="-",H1116="",H1116=0),IF(G1116="-","-",G1116),G1116-H1116)</f>
        <v>0</v>
      </c>
      <c r="J1116" s="4">
        <f>IFERROR(IF(G1116&gt;0, H1116/G1116, 0),"-")</f>
        <v>1</v>
      </c>
      <c r="K1116" s="34">
        <v>1</v>
      </c>
      <c r="L1116" s="35" t="s">
        <v>959</v>
      </c>
      <c r="M1116" s="34">
        <f>IF(OR(L1116="-",L1116="",L1116=0),IF(K1116="-","-",K1116),K1116-L1116)</f>
        <v>1</v>
      </c>
      <c r="N1116" s="4" t="str">
        <f>IFERROR(IF(K1116&gt;0, L1116/K1116, 0),"-")</f>
        <v>-</v>
      </c>
      <c r="O1116" s="34">
        <v>1</v>
      </c>
      <c r="P1116" s="35" t="s">
        <v>959</v>
      </c>
      <c r="Q1116" s="34">
        <f>IF(OR(P1116="-",P1116="",P1116=0),IF(O1116="-","-",O1116),O1116-P1116)</f>
        <v>1</v>
      </c>
      <c r="R1116" s="4" t="str">
        <f>IFERROR(IF(O1116&gt;0, P1116/O1116, 0),"-")</f>
        <v>-</v>
      </c>
      <c r="S1116" s="34">
        <v>189</v>
      </c>
      <c r="T1116" s="34">
        <v>5</v>
      </c>
      <c r="U1116" s="34">
        <v>11780</v>
      </c>
      <c r="V1116" s="35">
        <v>3</v>
      </c>
      <c r="W1116" s="35">
        <v>43819</v>
      </c>
    </row>
    <row r="1117" spans="1:23" x14ac:dyDescent="0.2">
      <c r="A1117" s="30" t="s">
        <v>186</v>
      </c>
      <c r="B1117" s="30" t="s">
        <v>1722</v>
      </c>
      <c r="C1117" s="34">
        <v>270</v>
      </c>
      <c r="D1117" s="35">
        <v>264</v>
      </c>
      <c r="E1117" s="34">
        <f>IF(OR(D1117="-",D1117="",D1117=0),IF(C1117="-","-",C1117),C1117-D1117)</f>
        <v>6</v>
      </c>
      <c r="F1117" s="4">
        <f>IFERROR(IF(C1117&gt;0, D1117/C1117, 0),"-")</f>
        <v>0.97777777777777775</v>
      </c>
      <c r="G1117" s="34">
        <v>4</v>
      </c>
      <c r="H1117" s="35" t="s">
        <v>959</v>
      </c>
      <c r="I1117" s="34">
        <f>IF(OR(H1117="-",H1117="",H1117=0),IF(G1117="-","-",G1117),G1117-H1117)</f>
        <v>4</v>
      </c>
      <c r="J1117" s="4" t="str">
        <f>IFERROR(IF(G1117&gt;0, H1117/G1117, 0),"-")</f>
        <v>-</v>
      </c>
      <c r="K1117" s="34">
        <v>6</v>
      </c>
      <c r="L1117" s="35" t="s">
        <v>959</v>
      </c>
      <c r="M1117" s="34">
        <f>IF(OR(L1117="-",L1117="",L1117=0),IF(K1117="-","-",K1117),K1117-L1117)</f>
        <v>6</v>
      </c>
      <c r="N1117" s="4" t="str">
        <f>IFERROR(IF(K1117&gt;0, L1117/K1117, 0),"-")</f>
        <v>-</v>
      </c>
      <c r="O1117" s="34">
        <v>3</v>
      </c>
      <c r="P1117" s="35">
        <v>2</v>
      </c>
      <c r="Q1117" s="34">
        <f>IF(OR(P1117="-",P1117="",P1117=0),IF(O1117="-","-",O1117),O1117-P1117)</f>
        <v>1</v>
      </c>
      <c r="R1117" s="4">
        <f>IFERROR(IF(O1117&gt;0, P1117/O1117, 0),"-")</f>
        <v>0.66666666666666663</v>
      </c>
      <c r="S1117" s="34">
        <v>160</v>
      </c>
      <c r="T1117" s="34">
        <v>5</v>
      </c>
      <c r="U1117" s="34">
        <v>18205</v>
      </c>
      <c r="V1117" s="35">
        <v>2</v>
      </c>
      <c r="W1117" s="35">
        <v>35108</v>
      </c>
    </row>
    <row r="1118" spans="1:23" x14ac:dyDescent="0.2">
      <c r="A1118" s="30" t="s">
        <v>220</v>
      </c>
      <c r="B1118" s="30" t="s">
        <v>1723</v>
      </c>
      <c r="C1118" s="34">
        <v>13</v>
      </c>
      <c r="D1118" s="35">
        <v>11</v>
      </c>
      <c r="E1118" s="34">
        <f>IF(OR(D1118="-",D1118="",D1118=0),IF(C1118="-","-",C1118),C1118-D1118)</f>
        <v>2</v>
      </c>
      <c r="F1118" s="4">
        <f>IFERROR(IF(C1118&gt;0, D1118/C1118, 0),"-")</f>
        <v>0.84615384615384615</v>
      </c>
      <c r="G1118" s="34" t="s">
        <v>959</v>
      </c>
      <c r="H1118" s="35" t="s">
        <v>959</v>
      </c>
      <c r="I1118" s="34" t="str">
        <f>IF(OR(H1118="-",H1118="",H1118=0),IF(G1118="-","-",G1118),G1118-H1118)</f>
        <v>-</v>
      </c>
      <c r="J1118" s="4" t="str">
        <f>IFERROR(IF(G1118&gt;0, H1118/G1118, 0),"-")</f>
        <v>-</v>
      </c>
      <c r="K1118" s="34">
        <v>1</v>
      </c>
      <c r="L1118" s="35" t="s">
        <v>959</v>
      </c>
      <c r="M1118" s="34">
        <f>IF(OR(L1118="-",L1118="",L1118=0),IF(K1118="-","-",K1118),K1118-L1118)</f>
        <v>1</v>
      </c>
      <c r="N1118" s="4" t="str">
        <f>IFERROR(IF(K1118&gt;0, L1118/K1118, 0),"-")</f>
        <v>-</v>
      </c>
      <c r="O1118" s="34" t="s">
        <v>959</v>
      </c>
      <c r="P1118" s="35" t="s">
        <v>959</v>
      </c>
      <c r="Q1118" s="34" t="str">
        <f>IF(OR(P1118="-",P1118="",P1118=0),IF(O1118="-","-",O1118),O1118-P1118)</f>
        <v>-</v>
      </c>
      <c r="R1118" s="4" t="str">
        <f>IFERROR(IF(O1118&gt;0, P1118/O1118, 0),"-")</f>
        <v>-</v>
      </c>
      <c r="S1118" s="34">
        <v>3</v>
      </c>
      <c r="T1118" s="34">
        <v>1</v>
      </c>
      <c r="U1118" s="34">
        <v>3200</v>
      </c>
      <c r="V1118" s="35" t="s">
        <v>959</v>
      </c>
      <c r="W1118" s="35" t="s">
        <v>959</v>
      </c>
    </row>
    <row r="1119" spans="1:23" x14ac:dyDescent="0.2">
      <c r="A1119" s="29"/>
      <c r="B1119" s="29" t="s">
        <v>123</v>
      </c>
      <c r="C1119" s="32">
        <v>1173</v>
      </c>
      <c r="D1119" s="32">
        <v>1158</v>
      </c>
      <c r="E1119" s="32">
        <f>IF(OR(D1119="-",D1119="",D1119=0),IF(C1119="-","-",C1119),C1119-D1119)</f>
        <v>15</v>
      </c>
      <c r="F1119" s="36">
        <f>IFERROR(IF(C1119&gt;0, D1119/C1119, 0),"-")</f>
        <v>0.98721227621483376</v>
      </c>
      <c r="G1119" s="32">
        <v>6</v>
      </c>
      <c r="H1119" s="32">
        <v>1</v>
      </c>
      <c r="I1119" s="32">
        <f>IF(OR(H1119="-",H1119="",H1119=0),IF(G1119="-","-",G1119),G1119-H1119)</f>
        <v>5</v>
      </c>
      <c r="J1119" s="36">
        <f>IFERROR(IF(G1119&gt;0, H1119/G1119, 0),"-")</f>
        <v>0.16666666666666666</v>
      </c>
      <c r="K1119" s="32">
        <v>8</v>
      </c>
      <c r="L1119" s="32">
        <v>3</v>
      </c>
      <c r="M1119" s="32">
        <f>IF(OR(L1119="-",L1119="",L1119=0),IF(K1119="-","-",K1119),K1119-L1119)</f>
        <v>5</v>
      </c>
      <c r="N1119" s="36">
        <f>IFERROR(IF(K1119&gt;0, L1119/K1119, 0),"-")</f>
        <v>0.375</v>
      </c>
      <c r="O1119" s="32">
        <v>24</v>
      </c>
      <c r="P1119" s="32" t="s">
        <v>959</v>
      </c>
      <c r="Q1119" s="32">
        <f>IF(OR(P1119="-",P1119="",P1119=0),IF(O1119="-","-",O1119),O1119-P1119)</f>
        <v>24</v>
      </c>
      <c r="R1119" s="36" t="str">
        <f>IFERROR(IF(O1119&gt;0, P1119/O1119, 0),"-")</f>
        <v>-</v>
      </c>
      <c r="S1119" s="32">
        <v>187</v>
      </c>
      <c r="T1119" s="32">
        <v>8</v>
      </c>
      <c r="U1119" s="32">
        <v>22205</v>
      </c>
      <c r="V1119" s="32">
        <v>3</v>
      </c>
      <c r="W1119" s="32">
        <v>34095</v>
      </c>
    </row>
    <row r="1120" spans="1:23" x14ac:dyDescent="0.2">
      <c r="A1120" s="30" t="s">
        <v>871</v>
      </c>
      <c r="B1120" s="30" t="s">
        <v>1724</v>
      </c>
      <c r="C1120" s="34">
        <v>77</v>
      </c>
      <c r="D1120" s="35">
        <v>77</v>
      </c>
      <c r="E1120" s="34">
        <f>IF(OR(D1120="-",D1120="",D1120=0),IF(C1120="-","-",C1120),C1120-D1120)</f>
        <v>0</v>
      </c>
      <c r="F1120" s="4">
        <f>IFERROR(IF(C1120&gt;0, D1120/C1120, 0),"-")</f>
        <v>1</v>
      </c>
      <c r="G1120" s="34">
        <v>1</v>
      </c>
      <c r="H1120" s="35" t="s">
        <v>959</v>
      </c>
      <c r="I1120" s="34">
        <f>IF(OR(H1120="-",H1120="",H1120=0),IF(G1120="-","-",G1120),G1120-H1120)</f>
        <v>1</v>
      </c>
      <c r="J1120" s="4" t="str">
        <f>IFERROR(IF(G1120&gt;0, H1120/G1120, 0),"-")</f>
        <v>-</v>
      </c>
      <c r="K1120" s="34">
        <v>3</v>
      </c>
      <c r="L1120" s="35">
        <v>1</v>
      </c>
      <c r="M1120" s="34">
        <f>IF(OR(L1120="-",L1120="",L1120=0),IF(K1120="-","-",K1120),K1120-L1120)</f>
        <v>2</v>
      </c>
      <c r="N1120" s="4">
        <f>IFERROR(IF(K1120&gt;0, L1120/K1120, 0),"-")</f>
        <v>0.33333333333333331</v>
      </c>
      <c r="O1120" s="34">
        <v>3</v>
      </c>
      <c r="P1120" s="35" t="s">
        <v>959</v>
      </c>
      <c r="Q1120" s="34">
        <f>IF(OR(P1120="-",P1120="",P1120=0),IF(O1120="-","-",O1120),O1120-P1120)</f>
        <v>3</v>
      </c>
      <c r="R1120" s="4" t="str">
        <f>IFERROR(IF(O1120&gt;0, P1120/O1120, 0),"-")</f>
        <v>-</v>
      </c>
      <c r="S1120" s="34">
        <v>10</v>
      </c>
      <c r="T1120" s="34" t="s">
        <v>959</v>
      </c>
      <c r="U1120" s="34" t="s">
        <v>959</v>
      </c>
      <c r="V1120" s="35" t="s">
        <v>959</v>
      </c>
      <c r="W1120" s="35" t="s">
        <v>959</v>
      </c>
    </row>
    <row r="1121" spans="1:23" x14ac:dyDescent="0.2">
      <c r="A1121" s="30" t="s">
        <v>869</v>
      </c>
      <c r="B1121" s="30" t="s">
        <v>1725</v>
      </c>
      <c r="C1121" s="34">
        <v>271</v>
      </c>
      <c r="D1121" s="35">
        <v>269</v>
      </c>
      <c r="E1121" s="34">
        <f>IF(OR(D1121="-",D1121="",D1121=0),IF(C1121="-","-",C1121),C1121-D1121)</f>
        <v>2</v>
      </c>
      <c r="F1121" s="4">
        <f>IFERROR(IF(C1121&gt;0, D1121/C1121, 0),"-")</f>
        <v>0.99261992619926198</v>
      </c>
      <c r="G1121" s="34" t="s">
        <v>959</v>
      </c>
      <c r="H1121" s="35" t="s">
        <v>959</v>
      </c>
      <c r="I1121" s="34" t="str">
        <f>IF(OR(H1121="-",H1121="",H1121=0),IF(G1121="-","-",G1121),G1121-H1121)</f>
        <v>-</v>
      </c>
      <c r="J1121" s="4" t="str">
        <f>IFERROR(IF(G1121&gt;0, H1121/G1121, 0),"-")</f>
        <v>-</v>
      </c>
      <c r="K1121" s="34">
        <v>1</v>
      </c>
      <c r="L1121" s="35">
        <v>1</v>
      </c>
      <c r="M1121" s="34">
        <f>IF(OR(L1121="-",L1121="",L1121=0),IF(K1121="-","-",K1121),K1121-L1121)</f>
        <v>0</v>
      </c>
      <c r="N1121" s="4">
        <f>IFERROR(IF(K1121&gt;0, L1121/K1121, 0),"-")</f>
        <v>1</v>
      </c>
      <c r="O1121" s="34">
        <v>6</v>
      </c>
      <c r="P1121" s="35" t="s">
        <v>959</v>
      </c>
      <c r="Q1121" s="34">
        <f>IF(OR(P1121="-",P1121="",P1121=0),IF(O1121="-","-",O1121),O1121-P1121)</f>
        <v>6</v>
      </c>
      <c r="R1121" s="4" t="str">
        <f>IFERROR(IF(O1121&gt;0, P1121/O1121, 0),"-")</f>
        <v>-</v>
      </c>
      <c r="S1121" s="34">
        <v>48</v>
      </c>
      <c r="T1121" s="34">
        <v>1</v>
      </c>
      <c r="U1121" s="34">
        <v>2700</v>
      </c>
      <c r="V1121" s="35">
        <v>2</v>
      </c>
      <c r="W1121" s="35">
        <v>7624</v>
      </c>
    </row>
    <row r="1122" spans="1:23" x14ac:dyDescent="0.2">
      <c r="A1122" s="30" t="s">
        <v>867</v>
      </c>
      <c r="B1122" s="30" t="s">
        <v>1726</v>
      </c>
      <c r="C1122" s="34">
        <v>300</v>
      </c>
      <c r="D1122" s="35">
        <v>294</v>
      </c>
      <c r="E1122" s="34">
        <f>IF(OR(D1122="-",D1122="",D1122=0),IF(C1122="-","-",C1122),C1122-D1122)</f>
        <v>6</v>
      </c>
      <c r="F1122" s="4">
        <f>IFERROR(IF(C1122&gt;0, D1122/C1122, 0),"-")</f>
        <v>0.98</v>
      </c>
      <c r="G1122" s="34">
        <v>5</v>
      </c>
      <c r="H1122" s="35">
        <v>1</v>
      </c>
      <c r="I1122" s="34">
        <f>IF(OR(H1122="-",H1122="",H1122=0),IF(G1122="-","-",G1122),G1122-H1122)</f>
        <v>4</v>
      </c>
      <c r="J1122" s="4">
        <f>IFERROR(IF(G1122&gt;0, H1122/G1122, 0),"-")</f>
        <v>0.2</v>
      </c>
      <c r="K1122" s="34">
        <v>1</v>
      </c>
      <c r="L1122" s="35" t="s">
        <v>959</v>
      </c>
      <c r="M1122" s="34">
        <f>IF(OR(L1122="-",L1122="",L1122=0),IF(K1122="-","-",K1122),K1122-L1122)</f>
        <v>1</v>
      </c>
      <c r="N1122" s="4" t="str">
        <f>IFERROR(IF(K1122&gt;0, L1122/K1122, 0),"-")</f>
        <v>-</v>
      </c>
      <c r="O1122" s="34">
        <v>4</v>
      </c>
      <c r="P1122" s="35" t="s">
        <v>959</v>
      </c>
      <c r="Q1122" s="34">
        <f>IF(OR(P1122="-",P1122="",P1122=0),IF(O1122="-","-",O1122),O1122-P1122)</f>
        <v>4</v>
      </c>
      <c r="R1122" s="4" t="str">
        <f>IFERROR(IF(O1122&gt;0, P1122/O1122, 0),"-")</f>
        <v>-</v>
      </c>
      <c r="S1122" s="34">
        <v>67</v>
      </c>
      <c r="T1122" s="34">
        <v>5</v>
      </c>
      <c r="U1122" s="34">
        <v>8400</v>
      </c>
      <c r="V1122" s="35">
        <v>1</v>
      </c>
      <c r="W1122" s="35">
        <v>26471</v>
      </c>
    </row>
    <row r="1123" spans="1:23" x14ac:dyDescent="0.2">
      <c r="A1123" s="30" t="s">
        <v>868</v>
      </c>
      <c r="B1123" s="30" t="s">
        <v>1727</v>
      </c>
      <c r="C1123" s="34">
        <v>277</v>
      </c>
      <c r="D1123" s="35">
        <v>272</v>
      </c>
      <c r="E1123" s="34">
        <f>IF(OR(D1123="-",D1123="",D1123=0),IF(C1123="-","-",C1123),C1123-D1123)</f>
        <v>5</v>
      </c>
      <c r="F1123" s="4">
        <f>IFERROR(IF(C1123&gt;0, D1123/C1123, 0),"-")</f>
        <v>0.98194945848375448</v>
      </c>
      <c r="G1123" s="34" t="s">
        <v>959</v>
      </c>
      <c r="H1123" s="35" t="s">
        <v>959</v>
      </c>
      <c r="I1123" s="34" t="str">
        <f>IF(OR(H1123="-",H1123="",H1123=0),IF(G1123="-","-",G1123),G1123-H1123)</f>
        <v>-</v>
      </c>
      <c r="J1123" s="4" t="str">
        <f>IFERROR(IF(G1123&gt;0, H1123/G1123, 0),"-")</f>
        <v>-</v>
      </c>
      <c r="K1123" s="34">
        <v>2</v>
      </c>
      <c r="L1123" s="35" t="s">
        <v>959</v>
      </c>
      <c r="M1123" s="34">
        <f>IF(OR(L1123="-",L1123="",L1123=0),IF(K1123="-","-",K1123),K1123-L1123)</f>
        <v>2</v>
      </c>
      <c r="N1123" s="4" t="str">
        <f>IFERROR(IF(K1123&gt;0, L1123/K1123, 0),"-")</f>
        <v>-</v>
      </c>
      <c r="O1123" s="34">
        <v>3</v>
      </c>
      <c r="P1123" s="35" t="s">
        <v>959</v>
      </c>
      <c r="Q1123" s="34">
        <f>IF(OR(P1123="-",P1123="",P1123=0),IF(O1123="-","-",O1123),O1123-P1123)</f>
        <v>3</v>
      </c>
      <c r="R1123" s="4" t="str">
        <f>IFERROR(IF(O1123&gt;0, P1123/O1123, 0),"-")</f>
        <v>-</v>
      </c>
      <c r="S1123" s="34">
        <v>20</v>
      </c>
      <c r="T1123" s="34">
        <v>1</v>
      </c>
      <c r="U1123" s="34">
        <v>10105</v>
      </c>
      <c r="V1123" s="35" t="s">
        <v>959</v>
      </c>
      <c r="W1123" s="35" t="s">
        <v>959</v>
      </c>
    </row>
    <row r="1124" spans="1:23" x14ac:dyDescent="0.2">
      <c r="A1124" s="30" t="s">
        <v>870</v>
      </c>
      <c r="B1124" s="30" t="s">
        <v>1728</v>
      </c>
      <c r="C1124" s="34">
        <v>248</v>
      </c>
      <c r="D1124" s="35">
        <v>246</v>
      </c>
      <c r="E1124" s="34">
        <f>IF(OR(D1124="-",D1124="",D1124=0),IF(C1124="-","-",C1124),C1124-D1124)</f>
        <v>2</v>
      </c>
      <c r="F1124" s="4">
        <f>IFERROR(IF(C1124&gt;0, D1124/C1124, 0),"-")</f>
        <v>0.99193548387096775</v>
      </c>
      <c r="G1124" s="34" t="s">
        <v>959</v>
      </c>
      <c r="H1124" s="35" t="s">
        <v>959</v>
      </c>
      <c r="I1124" s="34" t="str">
        <f>IF(OR(H1124="-",H1124="",H1124=0),IF(G1124="-","-",G1124),G1124-H1124)</f>
        <v>-</v>
      </c>
      <c r="J1124" s="4" t="str">
        <f>IFERROR(IF(G1124&gt;0, H1124/G1124, 0),"-")</f>
        <v>-</v>
      </c>
      <c r="K1124" s="34">
        <v>1</v>
      </c>
      <c r="L1124" s="35">
        <v>1</v>
      </c>
      <c r="M1124" s="34">
        <f>IF(OR(L1124="-",L1124="",L1124=0),IF(K1124="-","-",K1124),K1124-L1124)</f>
        <v>0</v>
      </c>
      <c r="N1124" s="4">
        <f>IFERROR(IF(K1124&gt;0, L1124/K1124, 0),"-")</f>
        <v>1</v>
      </c>
      <c r="O1124" s="34">
        <v>8</v>
      </c>
      <c r="P1124" s="35" t="s">
        <v>959</v>
      </c>
      <c r="Q1124" s="34">
        <f>IF(OR(P1124="-",P1124="",P1124=0),IF(O1124="-","-",O1124),O1124-P1124)</f>
        <v>8</v>
      </c>
      <c r="R1124" s="4" t="str">
        <f>IFERROR(IF(O1124&gt;0, P1124/O1124, 0),"-")</f>
        <v>-</v>
      </c>
      <c r="S1124" s="34">
        <v>42</v>
      </c>
      <c r="T1124" s="34">
        <v>1</v>
      </c>
      <c r="U1124" s="34">
        <v>1000</v>
      </c>
      <c r="V1124" s="35" t="s">
        <v>959</v>
      </c>
      <c r="W1124" s="35" t="s">
        <v>959</v>
      </c>
    </row>
    <row r="1125" spans="1:23" x14ac:dyDescent="0.2">
      <c r="A1125" s="29"/>
      <c r="B1125" s="29" t="s">
        <v>22</v>
      </c>
      <c r="C1125" s="32">
        <v>1392</v>
      </c>
      <c r="D1125" s="32">
        <v>1371</v>
      </c>
      <c r="E1125" s="32">
        <f>IF(OR(D1125="-",D1125="",D1125=0),IF(C1125="-","-",C1125),C1125-D1125)</f>
        <v>21</v>
      </c>
      <c r="F1125" s="36">
        <f>IFERROR(IF(C1125&gt;0, D1125/C1125, 0),"-")</f>
        <v>0.98491379310344829</v>
      </c>
      <c r="G1125" s="32">
        <v>15</v>
      </c>
      <c r="H1125" s="32">
        <v>3</v>
      </c>
      <c r="I1125" s="32">
        <f>IF(OR(H1125="-",H1125="",H1125=0),IF(G1125="-","-",G1125),G1125-H1125)</f>
        <v>12</v>
      </c>
      <c r="J1125" s="36">
        <f>IFERROR(IF(G1125&gt;0, H1125/G1125, 0),"-")</f>
        <v>0.2</v>
      </c>
      <c r="K1125" s="32">
        <v>15</v>
      </c>
      <c r="L1125" s="32">
        <v>1</v>
      </c>
      <c r="M1125" s="32">
        <f>IF(OR(L1125="-",L1125="",L1125=0),IF(K1125="-","-",K1125),K1125-L1125)</f>
        <v>14</v>
      </c>
      <c r="N1125" s="36">
        <f>IFERROR(IF(K1125&gt;0, L1125/K1125, 0),"-")</f>
        <v>6.6666666666666666E-2</v>
      </c>
      <c r="O1125" s="32">
        <v>14</v>
      </c>
      <c r="P1125" s="32">
        <v>2</v>
      </c>
      <c r="Q1125" s="32">
        <f>IF(OR(P1125="-",P1125="",P1125=0),IF(O1125="-","-",O1125),O1125-P1125)</f>
        <v>12</v>
      </c>
      <c r="R1125" s="36">
        <f>IFERROR(IF(O1125&gt;0, P1125/O1125, 0),"-")</f>
        <v>0.14285714285714285</v>
      </c>
      <c r="S1125" s="32">
        <v>1308</v>
      </c>
      <c r="T1125" s="32">
        <v>13</v>
      </c>
      <c r="U1125" s="32">
        <v>43115</v>
      </c>
      <c r="V1125" s="32">
        <v>22</v>
      </c>
      <c r="W1125" s="32">
        <v>526645</v>
      </c>
    </row>
    <row r="1126" spans="1:23" x14ac:dyDescent="0.2">
      <c r="A1126" s="30" t="s">
        <v>675</v>
      </c>
      <c r="B1126" s="30" t="s">
        <v>1729</v>
      </c>
      <c r="C1126" s="34">
        <v>316</v>
      </c>
      <c r="D1126" s="35">
        <v>315</v>
      </c>
      <c r="E1126" s="34">
        <f>IF(OR(D1126="-",D1126="",D1126=0),IF(C1126="-","-",C1126),C1126-D1126)</f>
        <v>1</v>
      </c>
      <c r="F1126" s="4">
        <f>IFERROR(IF(C1126&gt;0, D1126/C1126, 0),"-")</f>
        <v>0.99683544303797467</v>
      </c>
      <c r="G1126" s="34">
        <v>5</v>
      </c>
      <c r="H1126" s="35">
        <v>2</v>
      </c>
      <c r="I1126" s="34">
        <f>IF(OR(H1126="-",H1126="",H1126=0),IF(G1126="-","-",G1126),G1126-H1126)</f>
        <v>3</v>
      </c>
      <c r="J1126" s="4">
        <f>IFERROR(IF(G1126&gt;0, H1126/G1126, 0),"-")</f>
        <v>0.4</v>
      </c>
      <c r="K1126" s="34">
        <v>2</v>
      </c>
      <c r="L1126" s="35" t="s">
        <v>959</v>
      </c>
      <c r="M1126" s="34">
        <f>IF(OR(L1126="-",L1126="",L1126=0),IF(K1126="-","-",K1126),K1126-L1126)</f>
        <v>2</v>
      </c>
      <c r="N1126" s="4" t="str">
        <f>IFERROR(IF(K1126&gt;0, L1126/K1126, 0),"-")</f>
        <v>-</v>
      </c>
      <c r="O1126" s="34">
        <v>3</v>
      </c>
      <c r="P1126" s="35">
        <v>1</v>
      </c>
      <c r="Q1126" s="34">
        <f>IF(OR(P1126="-",P1126="",P1126=0),IF(O1126="-","-",O1126),O1126-P1126)</f>
        <v>2</v>
      </c>
      <c r="R1126" s="4">
        <f>IFERROR(IF(O1126&gt;0, P1126/O1126, 0),"-")</f>
        <v>0.33333333333333331</v>
      </c>
      <c r="S1126" s="34">
        <v>194</v>
      </c>
      <c r="T1126" s="34">
        <v>1</v>
      </c>
      <c r="U1126" s="34">
        <v>2700</v>
      </c>
      <c r="V1126" s="35">
        <v>5</v>
      </c>
      <c r="W1126" s="35">
        <v>108313</v>
      </c>
    </row>
    <row r="1127" spans="1:23" x14ac:dyDescent="0.2">
      <c r="A1127" s="30" t="s">
        <v>674</v>
      </c>
      <c r="B1127" s="30" t="s">
        <v>1730</v>
      </c>
      <c r="C1127" s="34">
        <v>208</v>
      </c>
      <c r="D1127" s="35">
        <v>204</v>
      </c>
      <c r="E1127" s="34">
        <f>IF(OR(D1127="-",D1127="",D1127=0),IF(C1127="-","-",C1127),C1127-D1127)</f>
        <v>4</v>
      </c>
      <c r="F1127" s="4">
        <f>IFERROR(IF(C1127&gt;0, D1127/C1127, 0),"-")</f>
        <v>0.98076923076923073</v>
      </c>
      <c r="G1127" s="34">
        <v>3</v>
      </c>
      <c r="H1127" s="35" t="s">
        <v>959</v>
      </c>
      <c r="I1127" s="34">
        <f>IF(OR(H1127="-",H1127="",H1127=0),IF(G1127="-","-",G1127),G1127-H1127)</f>
        <v>3</v>
      </c>
      <c r="J1127" s="4" t="str">
        <f>IFERROR(IF(G1127&gt;0, H1127/G1127, 0),"-")</f>
        <v>-</v>
      </c>
      <c r="K1127" s="34">
        <v>3</v>
      </c>
      <c r="L1127" s="35" t="s">
        <v>959</v>
      </c>
      <c r="M1127" s="34">
        <f>IF(OR(L1127="-",L1127="",L1127=0),IF(K1127="-","-",K1127),K1127-L1127)</f>
        <v>3</v>
      </c>
      <c r="N1127" s="4" t="str">
        <f>IFERROR(IF(K1127&gt;0, L1127/K1127, 0),"-")</f>
        <v>-</v>
      </c>
      <c r="O1127" s="34">
        <v>5</v>
      </c>
      <c r="P1127" s="35" t="s">
        <v>959</v>
      </c>
      <c r="Q1127" s="34">
        <f>IF(OR(P1127="-",P1127="",P1127=0),IF(O1127="-","-",O1127),O1127-P1127)</f>
        <v>5</v>
      </c>
      <c r="R1127" s="4" t="str">
        <f>IFERROR(IF(O1127&gt;0, P1127/O1127, 0),"-")</f>
        <v>-</v>
      </c>
      <c r="S1127" s="34">
        <v>175</v>
      </c>
      <c r="T1127" s="34">
        <v>2</v>
      </c>
      <c r="U1127" s="34">
        <v>7540</v>
      </c>
      <c r="V1127" s="35">
        <v>4</v>
      </c>
      <c r="W1127" s="35">
        <v>101799</v>
      </c>
    </row>
    <row r="1128" spans="1:23" x14ac:dyDescent="0.2">
      <c r="A1128" s="30" t="s">
        <v>673</v>
      </c>
      <c r="B1128" s="30" t="s">
        <v>1731</v>
      </c>
      <c r="C1128" s="34">
        <v>190</v>
      </c>
      <c r="D1128" s="35">
        <v>187</v>
      </c>
      <c r="E1128" s="34">
        <f>IF(OR(D1128="-",D1128="",D1128=0),IF(C1128="-","-",C1128),C1128-D1128)</f>
        <v>3</v>
      </c>
      <c r="F1128" s="4">
        <f>IFERROR(IF(C1128&gt;0, D1128/C1128, 0),"-")</f>
        <v>0.98421052631578942</v>
      </c>
      <c r="G1128" s="34">
        <v>1</v>
      </c>
      <c r="H1128" s="35" t="s">
        <v>959</v>
      </c>
      <c r="I1128" s="34">
        <f>IF(OR(H1128="-",H1128="",H1128=0),IF(G1128="-","-",G1128),G1128-H1128)</f>
        <v>1</v>
      </c>
      <c r="J1128" s="4" t="str">
        <f>IFERROR(IF(G1128&gt;0, H1128/G1128, 0),"-")</f>
        <v>-</v>
      </c>
      <c r="K1128" s="34">
        <v>5</v>
      </c>
      <c r="L1128" s="35" t="s">
        <v>959</v>
      </c>
      <c r="M1128" s="34">
        <f>IF(OR(L1128="-",L1128="",L1128=0),IF(K1128="-","-",K1128),K1128-L1128)</f>
        <v>5</v>
      </c>
      <c r="N1128" s="4" t="str">
        <f>IFERROR(IF(K1128&gt;0, L1128/K1128, 0),"-")</f>
        <v>-</v>
      </c>
      <c r="O1128" s="34">
        <v>1</v>
      </c>
      <c r="P1128" s="35" t="s">
        <v>959</v>
      </c>
      <c r="Q1128" s="34">
        <f>IF(OR(P1128="-",P1128="",P1128=0),IF(O1128="-","-",O1128),O1128-P1128)</f>
        <v>1</v>
      </c>
      <c r="R1128" s="4" t="str">
        <f>IFERROR(IF(O1128&gt;0, P1128/O1128, 0),"-")</f>
        <v>-</v>
      </c>
      <c r="S1128" s="34">
        <v>242</v>
      </c>
      <c r="T1128" s="34" t="s">
        <v>959</v>
      </c>
      <c r="U1128" s="34" t="s">
        <v>959</v>
      </c>
      <c r="V1128" s="35">
        <v>3</v>
      </c>
      <c r="W1128" s="35">
        <v>83919</v>
      </c>
    </row>
    <row r="1129" spans="1:23" x14ac:dyDescent="0.2">
      <c r="A1129" s="30" t="s">
        <v>676</v>
      </c>
      <c r="B1129" s="30" t="s">
        <v>1732</v>
      </c>
      <c r="C1129" s="34">
        <v>235</v>
      </c>
      <c r="D1129" s="35">
        <v>231</v>
      </c>
      <c r="E1129" s="34">
        <f>IF(OR(D1129="-",D1129="",D1129=0),IF(C1129="-","-",C1129),C1129-D1129)</f>
        <v>4</v>
      </c>
      <c r="F1129" s="4">
        <f>IFERROR(IF(C1129&gt;0, D1129/C1129, 0),"-")</f>
        <v>0.98297872340425529</v>
      </c>
      <c r="G1129" s="34">
        <v>3</v>
      </c>
      <c r="H1129" s="35">
        <v>1</v>
      </c>
      <c r="I1129" s="34">
        <f>IF(OR(H1129="-",H1129="",H1129=0),IF(G1129="-","-",G1129),G1129-H1129)</f>
        <v>2</v>
      </c>
      <c r="J1129" s="4">
        <f>IFERROR(IF(G1129&gt;0, H1129/G1129, 0),"-")</f>
        <v>0.33333333333333331</v>
      </c>
      <c r="K1129" s="34">
        <v>1</v>
      </c>
      <c r="L1129" s="35" t="s">
        <v>959</v>
      </c>
      <c r="M1129" s="34">
        <f>IF(OR(L1129="-",L1129="",L1129=0),IF(K1129="-","-",K1129),K1129-L1129)</f>
        <v>1</v>
      </c>
      <c r="N1129" s="4" t="str">
        <f>IFERROR(IF(K1129&gt;0, L1129/K1129, 0),"-")</f>
        <v>-</v>
      </c>
      <c r="O1129" s="34">
        <v>2</v>
      </c>
      <c r="P1129" s="35">
        <v>1</v>
      </c>
      <c r="Q1129" s="34">
        <f>IF(OR(P1129="-",P1129="",P1129=0),IF(O1129="-","-",O1129),O1129-P1129)</f>
        <v>1</v>
      </c>
      <c r="R1129" s="4">
        <f>IFERROR(IF(O1129&gt;0, P1129/O1129, 0),"-")</f>
        <v>0.5</v>
      </c>
      <c r="S1129" s="34">
        <v>275</v>
      </c>
      <c r="T1129" s="34">
        <v>3</v>
      </c>
      <c r="U1129" s="34">
        <v>7965</v>
      </c>
      <c r="V1129" s="35">
        <v>4</v>
      </c>
      <c r="W1129" s="35">
        <v>115935</v>
      </c>
    </row>
    <row r="1130" spans="1:23" x14ac:dyDescent="0.2">
      <c r="A1130" s="30" t="s">
        <v>672</v>
      </c>
      <c r="B1130" s="30" t="s">
        <v>1733</v>
      </c>
      <c r="C1130" s="34">
        <v>186</v>
      </c>
      <c r="D1130" s="35">
        <v>183</v>
      </c>
      <c r="E1130" s="34">
        <f>IF(OR(D1130="-",D1130="",D1130=0),IF(C1130="-","-",C1130),C1130-D1130)</f>
        <v>3</v>
      </c>
      <c r="F1130" s="4">
        <f>IFERROR(IF(C1130&gt;0, D1130/C1130, 0),"-")</f>
        <v>0.9838709677419355</v>
      </c>
      <c r="G1130" s="34">
        <v>2</v>
      </c>
      <c r="H1130" s="35" t="s">
        <v>959</v>
      </c>
      <c r="I1130" s="34">
        <f>IF(OR(H1130="-",H1130="",H1130=0),IF(G1130="-","-",G1130),G1130-H1130)</f>
        <v>2</v>
      </c>
      <c r="J1130" s="4" t="str">
        <f>IFERROR(IF(G1130&gt;0, H1130/G1130, 0),"-")</f>
        <v>-</v>
      </c>
      <c r="K1130" s="34">
        <v>1</v>
      </c>
      <c r="L1130" s="35" t="s">
        <v>959</v>
      </c>
      <c r="M1130" s="34">
        <f>IF(OR(L1130="-",L1130="",L1130=0),IF(K1130="-","-",K1130),K1130-L1130)</f>
        <v>1</v>
      </c>
      <c r="N1130" s="4" t="str">
        <f>IFERROR(IF(K1130&gt;0, L1130/K1130, 0),"-")</f>
        <v>-</v>
      </c>
      <c r="O1130" s="34">
        <v>2</v>
      </c>
      <c r="P1130" s="35" t="s">
        <v>959</v>
      </c>
      <c r="Q1130" s="34">
        <f>IF(OR(P1130="-",P1130="",P1130=0),IF(O1130="-","-",O1130),O1130-P1130)</f>
        <v>2</v>
      </c>
      <c r="R1130" s="4" t="str">
        <f>IFERROR(IF(O1130&gt;0, P1130/O1130, 0),"-")</f>
        <v>-</v>
      </c>
      <c r="S1130" s="34">
        <v>236</v>
      </c>
      <c r="T1130" s="34">
        <v>4</v>
      </c>
      <c r="U1130" s="34">
        <v>15440</v>
      </c>
      <c r="V1130" s="35">
        <v>2</v>
      </c>
      <c r="W1130" s="35">
        <v>48405</v>
      </c>
    </row>
    <row r="1131" spans="1:23" x14ac:dyDescent="0.2">
      <c r="A1131" s="30" t="s">
        <v>671</v>
      </c>
      <c r="B1131" s="30" t="s">
        <v>1734</v>
      </c>
      <c r="C1131" s="34">
        <v>257</v>
      </c>
      <c r="D1131" s="35">
        <v>251</v>
      </c>
      <c r="E1131" s="34">
        <f>IF(OR(D1131="-",D1131="",D1131=0),IF(C1131="-","-",C1131),C1131-D1131)</f>
        <v>6</v>
      </c>
      <c r="F1131" s="4">
        <f>IFERROR(IF(C1131&gt;0, D1131/C1131, 0),"-")</f>
        <v>0.97665369649805445</v>
      </c>
      <c r="G1131" s="34">
        <v>1</v>
      </c>
      <c r="H1131" s="35" t="s">
        <v>959</v>
      </c>
      <c r="I1131" s="34">
        <f>IF(OR(H1131="-",H1131="",H1131=0),IF(G1131="-","-",G1131),G1131-H1131)</f>
        <v>1</v>
      </c>
      <c r="J1131" s="4" t="str">
        <f>IFERROR(IF(G1131&gt;0, H1131/G1131, 0),"-")</f>
        <v>-</v>
      </c>
      <c r="K1131" s="34">
        <v>3</v>
      </c>
      <c r="L1131" s="35">
        <v>1</v>
      </c>
      <c r="M1131" s="34">
        <f>IF(OR(L1131="-",L1131="",L1131=0),IF(K1131="-","-",K1131),K1131-L1131)</f>
        <v>2</v>
      </c>
      <c r="N1131" s="4">
        <f>IFERROR(IF(K1131&gt;0, L1131/K1131, 0),"-")</f>
        <v>0.33333333333333331</v>
      </c>
      <c r="O1131" s="34">
        <v>1</v>
      </c>
      <c r="P1131" s="35" t="s">
        <v>959</v>
      </c>
      <c r="Q1131" s="34">
        <f>IF(OR(P1131="-",P1131="",P1131=0),IF(O1131="-","-",O1131),O1131-P1131)</f>
        <v>1</v>
      </c>
      <c r="R1131" s="4" t="str">
        <f>IFERROR(IF(O1131&gt;0, P1131/O1131, 0),"-")</f>
        <v>-</v>
      </c>
      <c r="S1131" s="34">
        <v>186</v>
      </c>
      <c r="T1131" s="34">
        <v>3</v>
      </c>
      <c r="U1131" s="34">
        <v>9470</v>
      </c>
      <c r="V1131" s="35">
        <v>4</v>
      </c>
      <c r="W1131" s="35">
        <v>68274</v>
      </c>
    </row>
    <row r="1132" spans="1:23" x14ac:dyDescent="0.2">
      <c r="A1132" s="29"/>
      <c r="B1132" s="29" t="s">
        <v>1</v>
      </c>
      <c r="C1132" s="32">
        <v>1283</v>
      </c>
      <c r="D1132" s="32">
        <v>1241</v>
      </c>
      <c r="E1132" s="32">
        <f>IF(OR(D1132="-",D1132="",D1132=0),IF(C1132="-","-",C1132),C1132-D1132)</f>
        <v>42</v>
      </c>
      <c r="F1132" s="36">
        <f>IFERROR(IF(C1132&gt;0, D1132/C1132, 0),"-")</f>
        <v>0.96726422447388927</v>
      </c>
      <c r="G1132" s="32">
        <v>40</v>
      </c>
      <c r="H1132" s="32">
        <v>22</v>
      </c>
      <c r="I1132" s="32">
        <f>IF(OR(H1132="-",H1132="",H1132=0),IF(G1132="-","-",G1132),G1132-H1132)</f>
        <v>18</v>
      </c>
      <c r="J1132" s="36">
        <f>IFERROR(IF(G1132&gt;0, H1132/G1132, 0),"-")</f>
        <v>0.55000000000000004</v>
      </c>
      <c r="K1132" s="32">
        <v>28</v>
      </c>
      <c r="L1132" s="32">
        <v>5</v>
      </c>
      <c r="M1132" s="32">
        <f>IF(OR(L1132="-",L1132="",L1132=0),IF(K1132="-","-",K1132),K1132-L1132)</f>
        <v>23</v>
      </c>
      <c r="N1132" s="36">
        <f>IFERROR(IF(K1132&gt;0, L1132/K1132, 0),"-")</f>
        <v>0.17857142857142858</v>
      </c>
      <c r="O1132" s="32">
        <v>27</v>
      </c>
      <c r="P1132" s="32">
        <v>4</v>
      </c>
      <c r="Q1132" s="32">
        <f>IF(OR(P1132="-",P1132="",P1132=0),IF(O1132="-","-",O1132),O1132-P1132)</f>
        <v>23</v>
      </c>
      <c r="R1132" s="36">
        <f>IFERROR(IF(O1132&gt;0, P1132/O1132, 0),"-")</f>
        <v>0.14814814814814814</v>
      </c>
      <c r="S1132" s="32">
        <v>1424</v>
      </c>
      <c r="T1132" s="32">
        <v>10</v>
      </c>
      <c r="U1132" s="32">
        <v>47125</v>
      </c>
      <c r="V1132" s="32">
        <v>13</v>
      </c>
      <c r="W1132" s="32">
        <v>245570</v>
      </c>
    </row>
    <row r="1133" spans="1:23" x14ac:dyDescent="0.2">
      <c r="A1133" s="30" t="s">
        <v>300</v>
      </c>
      <c r="B1133" s="30" t="s">
        <v>1735</v>
      </c>
      <c r="C1133" s="34">
        <v>90</v>
      </c>
      <c r="D1133" s="35">
        <v>82</v>
      </c>
      <c r="E1133" s="34">
        <f>IF(OR(D1133="-",D1133="",D1133=0),IF(C1133="-","-",C1133),C1133-D1133)</f>
        <v>8</v>
      </c>
      <c r="F1133" s="4">
        <f>IFERROR(IF(C1133&gt;0, D1133/C1133, 0),"-")</f>
        <v>0.91111111111111109</v>
      </c>
      <c r="G1133" s="34">
        <v>7</v>
      </c>
      <c r="H1133" s="35">
        <v>2</v>
      </c>
      <c r="I1133" s="34">
        <f>IF(OR(H1133="-",H1133="",H1133=0),IF(G1133="-","-",G1133),G1133-H1133)</f>
        <v>5</v>
      </c>
      <c r="J1133" s="4">
        <f>IFERROR(IF(G1133&gt;0, H1133/G1133, 0),"-")</f>
        <v>0.2857142857142857</v>
      </c>
      <c r="K1133" s="34">
        <v>10</v>
      </c>
      <c r="L1133" s="35">
        <v>1</v>
      </c>
      <c r="M1133" s="34">
        <f>IF(OR(L1133="-",L1133="",L1133=0),IF(K1133="-","-",K1133),K1133-L1133)</f>
        <v>9</v>
      </c>
      <c r="N1133" s="4">
        <f>IFERROR(IF(K1133&gt;0, L1133/K1133, 0),"-")</f>
        <v>0.1</v>
      </c>
      <c r="O1133" s="34">
        <v>7</v>
      </c>
      <c r="P1133" s="35">
        <v>1</v>
      </c>
      <c r="Q1133" s="34">
        <f>IF(OR(P1133="-",P1133="",P1133=0),IF(O1133="-","-",O1133),O1133-P1133)</f>
        <v>6</v>
      </c>
      <c r="R1133" s="4">
        <f>IFERROR(IF(O1133&gt;0, P1133/O1133, 0),"-")</f>
        <v>0.14285714285714285</v>
      </c>
      <c r="S1133" s="34">
        <v>25</v>
      </c>
      <c r="T1133" s="34" t="s">
        <v>959</v>
      </c>
      <c r="U1133" s="34" t="s">
        <v>959</v>
      </c>
      <c r="V1133" s="35" t="s">
        <v>959</v>
      </c>
      <c r="W1133" s="35" t="s">
        <v>959</v>
      </c>
    </row>
    <row r="1134" spans="1:23" x14ac:dyDescent="0.2">
      <c r="A1134" s="30" t="s">
        <v>299</v>
      </c>
      <c r="B1134" s="30" t="s">
        <v>1736</v>
      </c>
      <c r="C1134" s="34">
        <v>190</v>
      </c>
      <c r="D1134" s="35">
        <v>185</v>
      </c>
      <c r="E1134" s="34">
        <f>IF(OR(D1134="-",D1134="",D1134=0),IF(C1134="-","-",C1134),C1134-D1134)</f>
        <v>5</v>
      </c>
      <c r="F1134" s="4">
        <f>IFERROR(IF(C1134&gt;0, D1134/C1134, 0),"-")</f>
        <v>0.97368421052631582</v>
      </c>
      <c r="G1134" s="34">
        <v>10</v>
      </c>
      <c r="H1134" s="35">
        <v>4</v>
      </c>
      <c r="I1134" s="34">
        <f>IF(OR(H1134="-",H1134="",H1134=0),IF(G1134="-","-",G1134),G1134-H1134)</f>
        <v>6</v>
      </c>
      <c r="J1134" s="4">
        <f>IFERROR(IF(G1134&gt;0, H1134/G1134, 0),"-")</f>
        <v>0.4</v>
      </c>
      <c r="K1134" s="34">
        <v>5</v>
      </c>
      <c r="L1134" s="35">
        <v>2</v>
      </c>
      <c r="M1134" s="34">
        <f>IF(OR(L1134="-",L1134="",L1134=0),IF(K1134="-","-",K1134),K1134-L1134)</f>
        <v>3</v>
      </c>
      <c r="N1134" s="4">
        <f>IFERROR(IF(K1134&gt;0, L1134/K1134, 0),"-")</f>
        <v>0.4</v>
      </c>
      <c r="O1134" s="34">
        <v>5</v>
      </c>
      <c r="P1134" s="35" t="s">
        <v>959</v>
      </c>
      <c r="Q1134" s="34">
        <f>IF(OR(P1134="-",P1134="",P1134=0),IF(O1134="-","-",O1134),O1134-P1134)</f>
        <v>5</v>
      </c>
      <c r="R1134" s="4" t="str">
        <f>IFERROR(IF(O1134&gt;0, P1134/O1134, 0),"-")</f>
        <v>-</v>
      </c>
      <c r="S1134" s="34">
        <v>204</v>
      </c>
      <c r="T1134" s="34">
        <v>5</v>
      </c>
      <c r="U1134" s="34">
        <v>18590</v>
      </c>
      <c r="V1134" s="35">
        <v>2</v>
      </c>
      <c r="W1134" s="35">
        <v>78760</v>
      </c>
    </row>
    <row r="1135" spans="1:23" x14ac:dyDescent="0.2">
      <c r="A1135" s="30" t="s">
        <v>277</v>
      </c>
      <c r="B1135" s="30" t="s">
        <v>1737</v>
      </c>
      <c r="C1135" s="34">
        <v>185</v>
      </c>
      <c r="D1135" s="35">
        <v>182</v>
      </c>
      <c r="E1135" s="34">
        <f>IF(OR(D1135="-",D1135="",D1135=0),IF(C1135="-","-",C1135),C1135-D1135)</f>
        <v>3</v>
      </c>
      <c r="F1135" s="4">
        <f>IFERROR(IF(C1135&gt;0, D1135/C1135, 0),"-")</f>
        <v>0.98378378378378384</v>
      </c>
      <c r="G1135" s="34">
        <v>10</v>
      </c>
      <c r="H1135" s="35">
        <v>7</v>
      </c>
      <c r="I1135" s="34">
        <f>IF(OR(H1135="-",H1135="",H1135=0),IF(G1135="-","-",G1135),G1135-H1135)</f>
        <v>3</v>
      </c>
      <c r="J1135" s="4">
        <f>IFERROR(IF(G1135&gt;0, H1135/G1135, 0),"-")</f>
        <v>0.7</v>
      </c>
      <c r="K1135" s="34">
        <v>2</v>
      </c>
      <c r="L1135" s="35" t="s">
        <v>959</v>
      </c>
      <c r="M1135" s="34">
        <f>IF(OR(L1135="-",L1135="",L1135=0),IF(K1135="-","-",K1135),K1135-L1135)</f>
        <v>2</v>
      </c>
      <c r="N1135" s="4" t="str">
        <f>IFERROR(IF(K1135&gt;0, L1135/K1135, 0),"-")</f>
        <v>-</v>
      </c>
      <c r="O1135" s="34">
        <v>3</v>
      </c>
      <c r="P1135" s="35" t="s">
        <v>959</v>
      </c>
      <c r="Q1135" s="34">
        <f>IF(OR(P1135="-",P1135="",P1135=0),IF(O1135="-","-",O1135),O1135-P1135)</f>
        <v>3</v>
      </c>
      <c r="R1135" s="4" t="str">
        <f>IFERROR(IF(O1135&gt;0, P1135/O1135, 0),"-")</f>
        <v>-</v>
      </c>
      <c r="S1135" s="34">
        <v>220</v>
      </c>
      <c r="T1135" s="34">
        <v>1</v>
      </c>
      <c r="U1135" s="34">
        <v>3600</v>
      </c>
      <c r="V1135" s="35" t="s">
        <v>959</v>
      </c>
      <c r="W1135" s="35" t="s">
        <v>959</v>
      </c>
    </row>
    <row r="1136" spans="1:23" x14ac:dyDescent="0.2">
      <c r="A1136" s="30" t="s">
        <v>275</v>
      </c>
      <c r="B1136" s="30" t="s">
        <v>1738</v>
      </c>
      <c r="C1136" s="34">
        <v>179</v>
      </c>
      <c r="D1136" s="35">
        <v>172</v>
      </c>
      <c r="E1136" s="34">
        <f>IF(OR(D1136="-",D1136="",D1136=0),IF(C1136="-","-",C1136),C1136-D1136)</f>
        <v>7</v>
      </c>
      <c r="F1136" s="4">
        <f>IFERROR(IF(C1136&gt;0, D1136/C1136, 0),"-")</f>
        <v>0.96089385474860334</v>
      </c>
      <c r="G1136" s="34" t="s">
        <v>959</v>
      </c>
      <c r="H1136" s="35" t="s">
        <v>959</v>
      </c>
      <c r="I1136" s="34" t="str">
        <f>IF(OR(H1136="-",H1136="",H1136=0),IF(G1136="-","-",G1136),G1136-H1136)</f>
        <v>-</v>
      </c>
      <c r="J1136" s="4" t="str">
        <f>IFERROR(IF(G1136&gt;0, H1136/G1136, 0),"-")</f>
        <v>-</v>
      </c>
      <c r="K1136" s="34">
        <v>3</v>
      </c>
      <c r="L1136" s="35" t="s">
        <v>959</v>
      </c>
      <c r="M1136" s="34">
        <f>IF(OR(L1136="-",L1136="",L1136=0),IF(K1136="-","-",K1136),K1136-L1136)</f>
        <v>3</v>
      </c>
      <c r="N1136" s="4" t="str">
        <f>IFERROR(IF(K1136&gt;0, L1136/K1136, 0),"-")</f>
        <v>-</v>
      </c>
      <c r="O1136" s="34" t="s">
        <v>959</v>
      </c>
      <c r="P1136" s="35" t="s">
        <v>959</v>
      </c>
      <c r="Q1136" s="34" t="str">
        <f>IF(OR(P1136="-",P1136="",P1136=0),IF(O1136="-","-",O1136),O1136-P1136)</f>
        <v>-</v>
      </c>
      <c r="R1136" s="4" t="str">
        <f>IFERROR(IF(O1136&gt;0, P1136/O1136, 0),"-")</f>
        <v>-</v>
      </c>
      <c r="S1136" s="34">
        <v>246</v>
      </c>
      <c r="T1136" s="34">
        <v>1</v>
      </c>
      <c r="U1136" s="34">
        <v>12120</v>
      </c>
      <c r="V1136" s="35">
        <v>1</v>
      </c>
      <c r="W1136" s="35">
        <v>4175</v>
      </c>
    </row>
    <row r="1137" spans="1:23" x14ac:dyDescent="0.2">
      <c r="A1137" s="30" t="s">
        <v>276</v>
      </c>
      <c r="B1137" s="30" t="s">
        <v>1739</v>
      </c>
      <c r="C1137" s="34">
        <v>172</v>
      </c>
      <c r="D1137" s="35">
        <v>169</v>
      </c>
      <c r="E1137" s="34">
        <f>IF(OR(D1137="-",D1137="",D1137=0),IF(C1137="-","-",C1137),C1137-D1137)</f>
        <v>3</v>
      </c>
      <c r="F1137" s="4">
        <f>IFERROR(IF(C1137&gt;0, D1137/C1137, 0),"-")</f>
        <v>0.98255813953488369</v>
      </c>
      <c r="G1137" s="34">
        <v>4</v>
      </c>
      <c r="H1137" s="35">
        <v>3</v>
      </c>
      <c r="I1137" s="34">
        <f>IF(OR(H1137="-",H1137="",H1137=0),IF(G1137="-","-",G1137),G1137-H1137)</f>
        <v>1</v>
      </c>
      <c r="J1137" s="4">
        <f>IFERROR(IF(G1137&gt;0, H1137/G1137, 0),"-")</f>
        <v>0.75</v>
      </c>
      <c r="K1137" s="34">
        <v>1</v>
      </c>
      <c r="L1137" s="35">
        <v>1</v>
      </c>
      <c r="M1137" s="34">
        <f>IF(OR(L1137="-",L1137="",L1137=0),IF(K1137="-","-",K1137),K1137-L1137)</f>
        <v>0</v>
      </c>
      <c r="N1137" s="4">
        <f>IFERROR(IF(K1137&gt;0, L1137/K1137, 0),"-")</f>
        <v>1</v>
      </c>
      <c r="O1137" s="34">
        <v>6</v>
      </c>
      <c r="P1137" s="35">
        <v>2</v>
      </c>
      <c r="Q1137" s="34">
        <f>IF(OR(P1137="-",P1137="",P1137=0),IF(O1137="-","-",O1137),O1137-P1137)</f>
        <v>4</v>
      </c>
      <c r="R1137" s="4">
        <f>IFERROR(IF(O1137&gt;0, P1137/O1137, 0),"-")</f>
        <v>0.33333333333333331</v>
      </c>
      <c r="S1137" s="34">
        <v>221</v>
      </c>
      <c r="T1137" s="34" t="s">
        <v>959</v>
      </c>
      <c r="U1137" s="34" t="s">
        <v>959</v>
      </c>
      <c r="V1137" s="35">
        <v>1</v>
      </c>
      <c r="W1137" s="35">
        <v>9169</v>
      </c>
    </row>
    <row r="1138" spans="1:23" x14ac:dyDescent="0.2">
      <c r="A1138" s="30" t="s">
        <v>279</v>
      </c>
      <c r="B1138" s="30" t="s">
        <v>1740</v>
      </c>
      <c r="C1138" s="34">
        <v>260</v>
      </c>
      <c r="D1138" s="35">
        <v>251</v>
      </c>
      <c r="E1138" s="34">
        <f>IF(OR(D1138="-",D1138="",D1138=0),IF(C1138="-","-",C1138),C1138-D1138)</f>
        <v>9</v>
      </c>
      <c r="F1138" s="4">
        <f>IFERROR(IF(C1138&gt;0, D1138/C1138, 0),"-")</f>
        <v>0.9653846153846154</v>
      </c>
      <c r="G1138" s="34">
        <v>3</v>
      </c>
      <c r="H1138" s="35">
        <v>2</v>
      </c>
      <c r="I1138" s="34">
        <f>IF(OR(H1138="-",H1138="",H1138=0),IF(G1138="-","-",G1138),G1138-H1138)</f>
        <v>1</v>
      </c>
      <c r="J1138" s="4">
        <f>IFERROR(IF(G1138&gt;0, H1138/G1138, 0),"-")</f>
        <v>0.66666666666666663</v>
      </c>
      <c r="K1138" s="34">
        <v>2</v>
      </c>
      <c r="L1138" s="35" t="s">
        <v>959</v>
      </c>
      <c r="M1138" s="34">
        <f>IF(OR(L1138="-",L1138="",L1138=0),IF(K1138="-","-",K1138),K1138-L1138)</f>
        <v>2</v>
      </c>
      <c r="N1138" s="4" t="str">
        <f>IFERROR(IF(K1138&gt;0, L1138/K1138, 0),"-")</f>
        <v>-</v>
      </c>
      <c r="O1138" s="34">
        <v>4</v>
      </c>
      <c r="P1138" s="35">
        <v>1</v>
      </c>
      <c r="Q1138" s="34">
        <f>IF(OR(P1138="-",P1138="",P1138=0),IF(O1138="-","-",O1138),O1138-P1138)</f>
        <v>3</v>
      </c>
      <c r="R1138" s="4">
        <f>IFERROR(IF(O1138&gt;0, P1138/O1138, 0),"-")</f>
        <v>0.25</v>
      </c>
      <c r="S1138" s="34">
        <v>267</v>
      </c>
      <c r="T1138" s="34">
        <v>3</v>
      </c>
      <c r="U1138" s="34">
        <v>12815</v>
      </c>
      <c r="V1138" s="35">
        <v>2</v>
      </c>
      <c r="W1138" s="35">
        <v>21996</v>
      </c>
    </row>
    <row r="1139" spans="1:23" x14ac:dyDescent="0.2">
      <c r="A1139" s="30" t="s">
        <v>278</v>
      </c>
      <c r="B1139" s="30" t="s">
        <v>1741</v>
      </c>
      <c r="C1139" s="34">
        <v>164</v>
      </c>
      <c r="D1139" s="35">
        <v>157</v>
      </c>
      <c r="E1139" s="34">
        <f>IF(OR(D1139="-",D1139="",D1139=0),IF(C1139="-","-",C1139),C1139-D1139)</f>
        <v>7</v>
      </c>
      <c r="F1139" s="4">
        <f>IFERROR(IF(C1139&gt;0, D1139/C1139, 0),"-")</f>
        <v>0.95731707317073167</v>
      </c>
      <c r="G1139" s="34">
        <v>5</v>
      </c>
      <c r="H1139" s="35">
        <v>4</v>
      </c>
      <c r="I1139" s="34">
        <f>IF(OR(H1139="-",H1139="",H1139=0),IF(G1139="-","-",G1139),G1139-H1139)</f>
        <v>1</v>
      </c>
      <c r="J1139" s="4">
        <f>IFERROR(IF(G1139&gt;0, H1139/G1139, 0),"-")</f>
        <v>0.8</v>
      </c>
      <c r="K1139" s="34">
        <v>3</v>
      </c>
      <c r="L1139" s="35">
        <v>1</v>
      </c>
      <c r="M1139" s="34">
        <f>IF(OR(L1139="-",L1139="",L1139=0),IF(K1139="-","-",K1139),K1139-L1139)</f>
        <v>2</v>
      </c>
      <c r="N1139" s="4">
        <f>IFERROR(IF(K1139&gt;0, L1139/K1139, 0),"-")</f>
        <v>0.33333333333333331</v>
      </c>
      <c r="O1139" s="34">
        <v>2</v>
      </c>
      <c r="P1139" s="35" t="s">
        <v>959</v>
      </c>
      <c r="Q1139" s="34">
        <f>IF(OR(P1139="-",P1139="",P1139=0),IF(O1139="-","-",O1139),O1139-P1139)</f>
        <v>2</v>
      </c>
      <c r="R1139" s="4" t="str">
        <f>IFERROR(IF(O1139&gt;0, P1139/O1139, 0),"-")</f>
        <v>-</v>
      </c>
      <c r="S1139" s="34">
        <v>205</v>
      </c>
      <c r="T1139" s="34" t="s">
        <v>959</v>
      </c>
      <c r="U1139" s="34" t="s">
        <v>959</v>
      </c>
      <c r="V1139" s="35">
        <v>5</v>
      </c>
      <c r="W1139" s="35">
        <v>90868</v>
      </c>
    </row>
    <row r="1140" spans="1:23" x14ac:dyDescent="0.2">
      <c r="A1140" s="30" t="s">
        <v>298</v>
      </c>
      <c r="B1140" s="30" t="s">
        <v>1742</v>
      </c>
      <c r="C1140" s="34">
        <v>43</v>
      </c>
      <c r="D1140" s="35">
        <v>43</v>
      </c>
      <c r="E1140" s="34">
        <f>IF(OR(D1140="-",D1140="",D1140=0),IF(C1140="-","-",C1140),C1140-D1140)</f>
        <v>0</v>
      </c>
      <c r="F1140" s="4">
        <f>IFERROR(IF(C1140&gt;0, D1140/C1140, 0),"-")</f>
        <v>1</v>
      </c>
      <c r="G1140" s="34">
        <v>1</v>
      </c>
      <c r="H1140" s="35" t="s">
        <v>959</v>
      </c>
      <c r="I1140" s="34">
        <f>IF(OR(H1140="-",H1140="",H1140=0),IF(G1140="-","-",G1140),G1140-H1140)</f>
        <v>1</v>
      </c>
      <c r="J1140" s="4" t="str">
        <f>IFERROR(IF(G1140&gt;0, H1140/G1140, 0),"-")</f>
        <v>-</v>
      </c>
      <c r="K1140" s="34">
        <v>2</v>
      </c>
      <c r="L1140" s="35" t="s">
        <v>959</v>
      </c>
      <c r="M1140" s="34">
        <f>IF(OR(L1140="-",L1140="",L1140=0),IF(K1140="-","-",K1140),K1140-L1140)</f>
        <v>2</v>
      </c>
      <c r="N1140" s="4" t="str">
        <f>IFERROR(IF(K1140&gt;0, L1140/K1140, 0),"-")</f>
        <v>-</v>
      </c>
      <c r="O1140" s="34" t="s">
        <v>959</v>
      </c>
      <c r="P1140" s="35" t="s">
        <v>959</v>
      </c>
      <c r="Q1140" s="34" t="str">
        <f>IF(OR(P1140="-",P1140="",P1140=0),IF(O1140="-","-",O1140),O1140-P1140)</f>
        <v>-</v>
      </c>
      <c r="R1140" s="4" t="str">
        <f>IFERROR(IF(O1140&gt;0, P1140/O1140, 0),"-")</f>
        <v>-</v>
      </c>
      <c r="S1140" s="34">
        <v>36</v>
      </c>
      <c r="T1140" s="34" t="s">
        <v>959</v>
      </c>
      <c r="U1140" s="34" t="s">
        <v>959</v>
      </c>
      <c r="V1140" s="35">
        <v>2</v>
      </c>
      <c r="W1140" s="35">
        <v>40602</v>
      </c>
    </row>
    <row r="1141" spans="1:23" x14ac:dyDescent="0.2">
      <c r="A1141" s="29"/>
      <c r="B1141" s="29" t="s">
        <v>97</v>
      </c>
      <c r="C1141" s="32">
        <v>1179</v>
      </c>
      <c r="D1141" s="32">
        <v>1161</v>
      </c>
      <c r="E1141" s="32">
        <f>IF(OR(D1141="-",D1141="",D1141=0),IF(C1141="-","-",C1141),C1141-D1141)</f>
        <v>18</v>
      </c>
      <c r="F1141" s="36">
        <f>IFERROR(IF(C1141&gt;0, D1141/C1141, 0),"-")</f>
        <v>0.98473282442748089</v>
      </c>
      <c r="G1141" s="32">
        <v>9</v>
      </c>
      <c r="H1141" s="32">
        <v>3</v>
      </c>
      <c r="I1141" s="32">
        <f>IF(OR(H1141="-",H1141="",H1141=0),IF(G1141="-","-",G1141),G1141-H1141)</f>
        <v>6</v>
      </c>
      <c r="J1141" s="36">
        <f>IFERROR(IF(G1141&gt;0, H1141/G1141, 0),"-")</f>
        <v>0.33333333333333331</v>
      </c>
      <c r="K1141" s="32">
        <v>13</v>
      </c>
      <c r="L1141" s="32">
        <v>8</v>
      </c>
      <c r="M1141" s="32">
        <f>IF(OR(L1141="-",L1141="",L1141=0),IF(K1141="-","-",K1141),K1141-L1141)</f>
        <v>5</v>
      </c>
      <c r="N1141" s="36">
        <f>IFERROR(IF(K1141&gt;0, L1141/K1141, 0),"-")</f>
        <v>0.61538461538461542</v>
      </c>
      <c r="O1141" s="32">
        <v>17</v>
      </c>
      <c r="P1141" s="32">
        <v>4</v>
      </c>
      <c r="Q1141" s="32">
        <f>IF(OR(P1141="-",P1141="",P1141=0),IF(O1141="-","-",O1141),O1141-P1141)</f>
        <v>13</v>
      </c>
      <c r="R1141" s="36">
        <f>IFERROR(IF(O1141&gt;0, P1141/O1141, 0),"-")</f>
        <v>0.23529411764705882</v>
      </c>
      <c r="S1141" s="32">
        <v>1069</v>
      </c>
      <c r="T1141" s="32">
        <v>22</v>
      </c>
      <c r="U1141" s="32">
        <v>133823</v>
      </c>
      <c r="V1141" s="32">
        <v>20</v>
      </c>
      <c r="W1141" s="32">
        <v>376517</v>
      </c>
    </row>
    <row r="1142" spans="1:23" x14ac:dyDescent="0.2">
      <c r="A1142" s="30" t="s">
        <v>685</v>
      </c>
      <c r="B1142" s="30" t="s">
        <v>1743</v>
      </c>
      <c r="C1142" s="34">
        <v>206</v>
      </c>
      <c r="D1142" s="35">
        <v>201</v>
      </c>
      <c r="E1142" s="34">
        <f>IF(OR(D1142="-",D1142="",D1142=0),IF(C1142="-","-",C1142),C1142-D1142)</f>
        <v>5</v>
      </c>
      <c r="F1142" s="4">
        <f>IFERROR(IF(C1142&gt;0, D1142/C1142, 0),"-")</f>
        <v>0.97572815533980584</v>
      </c>
      <c r="G1142" s="34">
        <v>1</v>
      </c>
      <c r="H1142" s="35" t="s">
        <v>959</v>
      </c>
      <c r="I1142" s="34">
        <f>IF(OR(H1142="-",H1142="",H1142=0),IF(G1142="-","-",G1142),G1142-H1142)</f>
        <v>1</v>
      </c>
      <c r="J1142" s="4" t="str">
        <f>IFERROR(IF(G1142&gt;0, H1142/G1142, 0),"-")</f>
        <v>-</v>
      </c>
      <c r="K1142" s="34">
        <v>1</v>
      </c>
      <c r="L1142" s="35">
        <v>1</v>
      </c>
      <c r="M1142" s="34">
        <f>IF(OR(L1142="-",L1142="",L1142=0),IF(K1142="-","-",K1142),K1142-L1142)</f>
        <v>0</v>
      </c>
      <c r="N1142" s="4">
        <f>IFERROR(IF(K1142&gt;0, L1142/K1142, 0),"-")</f>
        <v>1</v>
      </c>
      <c r="O1142" s="34">
        <v>2</v>
      </c>
      <c r="P1142" s="35" t="s">
        <v>959</v>
      </c>
      <c r="Q1142" s="34">
        <f>IF(OR(P1142="-",P1142="",P1142=0),IF(O1142="-","-",O1142),O1142-P1142)</f>
        <v>2</v>
      </c>
      <c r="R1142" s="4" t="str">
        <f>IFERROR(IF(O1142&gt;0, P1142/O1142, 0),"-")</f>
        <v>-</v>
      </c>
      <c r="S1142" s="34">
        <v>163</v>
      </c>
      <c r="T1142" s="34">
        <v>1</v>
      </c>
      <c r="U1142" s="34">
        <v>3770</v>
      </c>
      <c r="V1142" s="35">
        <v>5</v>
      </c>
      <c r="W1142" s="35">
        <v>102262</v>
      </c>
    </row>
    <row r="1143" spans="1:23" x14ac:dyDescent="0.2">
      <c r="A1143" s="30" t="s">
        <v>689</v>
      </c>
      <c r="B1143" s="30" t="s">
        <v>1744</v>
      </c>
      <c r="C1143" s="34">
        <v>174</v>
      </c>
      <c r="D1143" s="35">
        <v>172</v>
      </c>
      <c r="E1143" s="34">
        <f>IF(OR(D1143="-",D1143="",D1143=0),IF(C1143="-","-",C1143),C1143-D1143)</f>
        <v>2</v>
      </c>
      <c r="F1143" s="4">
        <f>IFERROR(IF(C1143&gt;0, D1143/C1143, 0),"-")</f>
        <v>0.9885057471264368</v>
      </c>
      <c r="G1143" s="34">
        <v>3</v>
      </c>
      <c r="H1143" s="35" t="s">
        <v>959</v>
      </c>
      <c r="I1143" s="34">
        <f>IF(OR(H1143="-",H1143="",H1143=0),IF(G1143="-","-",G1143),G1143-H1143)</f>
        <v>3</v>
      </c>
      <c r="J1143" s="4" t="str">
        <f>IFERROR(IF(G1143&gt;0, H1143/G1143, 0),"-")</f>
        <v>-</v>
      </c>
      <c r="K1143" s="34">
        <v>2</v>
      </c>
      <c r="L1143" s="35" t="s">
        <v>959</v>
      </c>
      <c r="M1143" s="34">
        <f>IF(OR(L1143="-",L1143="",L1143=0),IF(K1143="-","-",K1143),K1143-L1143)</f>
        <v>2</v>
      </c>
      <c r="N1143" s="4" t="str">
        <f>IFERROR(IF(K1143&gt;0, L1143/K1143, 0),"-")</f>
        <v>-</v>
      </c>
      <c r="O1143" s="34">
        <v>2</v>
      </c>
      <c r="P1143" s="35">
        <v>1</v>
      </c>
      <c r="Q1143" s="34">
        <f>IF(OR(P1143="-",P1143="",P1143=0),IF(O1143="-","-",O1143),O1143-P1143)</f>
        <v>1</v>
      </c>
      <c r="R1143" s="4">
        <f>IFERROR(IF(O1143&gt;0, P1143/O1143, 0),"-")</f>
        <v>0.5</v>
      </c>
      <c r="S1143" s="34">
        <v>204</v>
      </c>
      <c r="T1143" s="34">
        <v>5</v>
      </c>
      <c r="U1143" s="34">
        <v>10470</v>
      </c>
      <c r="V1143" s="35">
        <v>4</v>
      </c>
      <c r="W1143" s="35">
        <v>105622</v>
      </c>
    </row>
    <row r="1144" spans="1:23" x14ac:dyDescent="0.2">
      <c r="A1144" s="30" t="s">
        <v>686</v>
      </c>
      <c r="B1144" s="30" t="s">
        <v>1745</v>
      </c>
      <c r="C1144" s="34">
        <v>150</v>
      </c>
      <c r="D1144" s="35">
        <v>148</v>
      </c>
      <c r="E1144" s="34">
        <f>IF(OR(D1144="-",D1144="",D1144=0),IF(C1144="-","-",C1144),C1144-D1144)</f>
        <v>2</v>
      </c>
      <c r="F1144" s="4">
        <f>IFERROR(IF(C1144&gt;0, D1144/C1144, 0),"-")</f>
        <v>0.98666666666666669</v>
      </c>
      <c r="G1144" s="34">
        <v>2</v>
      </c>
      <c r="H1144" s="35">
        <v>2</v>
      </c>
      <c r="I1144" s="34">
        <f>IF(OR(H1144="-",H1144="",H1144=0),IF(G1144="-","-",G1144),G1144-H1144)</f>
        <v>0</v>
      </c>
      <c r="J1144" s="4">
        <f>IFERROR(IF(G1144&gt;0, H1144/G1144, 0),"-")</f>
        <v>1</v>
      </c>
      <c r="K1144" s="34">
        <v>1</v>
      </c>
      <c r="L1144" s="35">
        <v>1</v>
      </c>
      <c r="M1144" s="34">
        <f>IF(OR(L1144="-",L1144="",L1144=0),IF(K1144="-","-",K1144),K1144-L1144)</f>
        <v>0</v>
      </c>
      <c r="N1144" s="4">
        <f>IFERROR(IF(K1144&gt;0, L1144/K1144, 0),"-")</f>
        <v>1</v>
      </c>
      <c r="O1144" s="34">
        <v>3</v>
      </c>
      <c r="P1144" s="35">
        <v>1</v>
      </c>
      <c r="Q1144" s="34">
        <f>IF(OR(P1144="-",P1144="",P1144=0),IF(O1144="-","-",O1144),O1144-P1144)</f>
        <v>2</v>
      </c>
      <c r="R1144" s="4">
        <f>IFERROR(IF(O1144&gt;0, P1144/O1144, 0),"-")</f>
        <v>0.33333333333333331</v>
      </c>
      <c r="S1144" s="34">
        <v>162</v>
      </c>
      <c r="T1144" s="34">
        <v>6</v>
      </c>
      <c r="U1144" s="34">
        <v>22880</v>
      </c>
      <c r="V1144" s="35">
        <v>2</v>
      </c>
      <c r="W1144" s="35">
        <v>39619</v>
      </c>
    </row>
    <row r="1145" spans="1:23" x14ac:dyDescent="0.2">
      <c r="A1145" s="30" t="s">
        <v>690</v>
      </c>
      <c r="B1145" s="30" t="s">
        <v>1746</v>
      </c>
      <c r="C1145" s="34">
        <v>176</v>
      </c>
      <c r="D1145" s="35">
        <v>173</v>
      </c>
      <c r="E1145" s="34">
        <f>IF(OR(D1145="-",D1145="",D1145=0),IF(C1145="-","-",C1145),C1145-D1145)</f>
        <v>3</v>
      </c>
      <c r="F1145" s="4">
        <f>IFERROR(IF(C1145&gt;0, D1145/C1145, 0),"-")</f>
        <v>0.98295454545454541</v>
      </c>
      <c r="G1145" s="34">
        <v>1</v>
      </c>
      <c r="H1145" s="35" t="s">
        <v>959</v>
      </c>
      <c r="I1145" s="34">
        <f>IF(OR(H1145="-",H1145="",H1145=0),IF(G1145="-","-",G1145),G1145-H1145)</f>
        <v>1</v>
      </c>
      <c r="J1145" s="4" t="str">
        <f>IFERROR(IF(G1145&gt;0, H1145/G1145, 0),"-")</f>
        <v>-</v>
      </c>
      <c r="K1145" s="34">
        <v>4</v>
      </c>
      <c r="L1145" s="35">
        <v>2</v>
      </c>
      <c r="M1145" s="34">
        <f>IF(OR(L1145="-",L1145="",L1145=0),IF(K1145="-","-",K1145),K1145-L1145)</f>
        <v>2</v>
      </c>
      <c r="N1145" s="4">
        <f>IFERROR(IF(K1145&gt;0, L1145/K1145, 0),"-")</f>
        <v>0.5</v>
      </c>
      <c r="O1145" s="34">
        <v>2</v>
      </c>
      <c r="P1145" s="35" t="s">
        <v>959</v>
      </c>
      <c r="Q1145" s="34">
        <f>IF(OR(P1145="-",P1145="",P1145=0),IF(O1145="-","-",O1145),O1145-P1145)</f>
        <v>2</v>
      </c>
      <c r="R1145" s="4" t="str">
        <f>IFERROR(IF(O1145&gt;0, P1145/O1145, 0),"-")</f>
        <v>-</v>
      </c>
      <c r="S1145" s="34">
        <v>165</v>
      </c>
      <c r="T1145" s="34">
        <v>5</v>
      </c>
      <c r="U1145" s="34">
        <v>64640</v>
      </c>
      <c r="V1145" s="35">
        <v>2</v>
      </c>
      <c r="W1145" s="35">
        <v>43683</v>
      </c>
    </row>
    <row r="1146" spans="1:23" x14ac:dyDescent="0.2">
      <c r="A1146" s="30" t="s">
        <v>688</v>
      </c>
      <c r="B1146" s="30" t="s">
        <v>1747</v>
      </c>
      <c r="C1146" s="34">
        <v>239</v>
      </c>
      <c r="D1146" s="35">
        <v>237</v>
      </c>
      <c r="E1146" s="34">
        <f>IF(OR(D1146="-",D1146="",D1146=0),IF(C1146="-","-",C1146),C1146-D1146)</f>
        <v>2</v>
      </c>
      <c r="F1146" s="4">
        <f>IFERROR(IF(C1146&gt;0, D1146/C1146, 0),"-")</f>
        <v>0.99163179916317989</v>
      </c>
      <c r="G1146" s="34" t="s">
        <v>959</v>
      </c>
      <c r="H1146" s="35" t="s">
        <v>959</v>
      </c>
      <c r="I1146" s="34" t="str">
        <f>IF(OR(H1146="-",H1146="",H1146=0),IF(G1146="-","-",G1146),G1146-H1146)</f>
        <v>-</v>
      </c>
      <c r="J1146" s="4" t="str">
        <f>IFERROR(IF(G1146&gt;0, H1146/G1146, 0),"-")</f>
        <v>-</v>
      </c>
      <c r="K1146" s="34">
        <v>5</v>
      </c>
      <c r="L1146" s="35">
        <v>4</v>
      </c>
      <c r="M1146" s="34">
        <f>IF(OR(L1146="-",L1146="",L1146=0),IF(K1146="-","-",K1146),K1146-L1146)</f>
        <v>1</v>
      </c>
      <c r="N1146" s="4">
        <f>IFERROR(IF(K1146&gt;0, L1146/K1146, 0),"-")</f>
        <v>0.8</v>
      </c>
      <c r="O1146" s="34">
        <v>6</v>
      </c>
      <c r="P1146" s="35">
        <v>1</v>
      </c>
      <c r="Q1146" s="34">
        <f>IF(OR(P1146="-",P1146="",P1146=0),IF(O1146="-","-",O1146),O1146-P1146)</f>
        <v>5</v>
      </c>
      <c r="R1146" s="4">
        <f>IFERROR(IF(O1146&gt;0, P1146/O1146, 0),"-")</f>
        <v>0.16666666666666666</v>
      </c>
      <c r="S1146" s="34">
        <v>205</v>
      </c>
      <c r="T1146" s="34">
        <v>5</v>
      </c>
      <c r="U1146" s="34">
        <v>32063</v>
      </c>
      <c r="V1146" s="35">
        <v>3</v>
      </c>
      <c r="W1146" s="35">
        <v>39772</v>
      </c>
    </row>
    <row r="1147" spans="1:23" x14ac:dyDescent="0.2">
      <c r="A1147" s="30" t="s">
        <v>687</v>
      </c>
      <c r="B1147" s="30" t="s">
        <v>1748</v>
      </c>
      <c r="C1147" s="34">
        <v>234</v>
      </c>
      <c r="D1147" s="35">
        <v>230</v>
      </c>
      <c r="E1147" s="34">
        <f>IF(OR(D1147="-",D1147="",D1147=0),IF(C1147="-","-",C1147),C1147-D1147)</f>
        <v>4</v>
      </c>
      <c r="F1147" s="4">
        <f>IFERROR(IF(C1147&gt;0, D1147/C1147, 0),"-")</f>
        <v>0.98290598290598286</v>
      </c>
      <c r="G1147" s="34">
        <v>2</v>
      </c>
      <c r="H1147" s="35">
        <v>1</v>
      </c>
      <c r="I1147" s="34">
        <f>IF(OR(H1147="-",H1147="",H1147=0),IF(G1147="-","-",G1147),G1147-H1147)</f>
        <v>1</v>
      </c>
      <c r="J1147" s="4">
        <f>IFERROR(IF(G1147&gt;0, H1147/G1147, 0),"-")</f>
        <v>0.5</v>
      </c>
      <c r="K1147" s="34" t="s">
        <v>959</v>
      </c>
      <c r="L1147" s="35" t="s">
        <v>959</v>
      </c>
      <c r="M1147" s="34" t="str">
        <f>IF(OR(L1147="-",L1147="",L1147=0),IF(K1147="-","-",K1147),K1147-L1147)</f>
        <v>-</v>
      </c>
      <c r="N1147" s="4" t="str">
        <f>IFERROR(IF(K1147&gt;0, L1147/K1147, 0),"-")</f>
        <v>-</v>
      </c>
      <c r="O1147" s="34">
        <v>2</v>
      </c>
      <c r="P1147" s="35">
        <v>1</v>
      </c>
      <c r="Q1147" s="34">
        <f>IF(OR(P1147="-",P1147="",P1147=0),IF(O1147="-","-",O1147),O1147-P1147)</f>
        <v>1</v>
      </c>
      <c r="R1147" s="4">
        <f>IFERROR(IF(O1147&gt;0, P1147/O1147, 0),"-")</f>
        <v>0.5</v>
      </c>
      <c r="S1147" s="34">
        <v>170</v>
      </c>
      <c r="T1147" s="34" t="s">
        <v>959</v>
      </c>
      <c r="U1147" s="34" t="s">
        <v>959</v>
      </c>
      <c r="V1147" s="35">
        <v>4</v>
      </c>
      <c r="W1147" s="35">
        <v>45559</v>
      </c>
    </row>
    <row r="1148" spans="1:23" x14ac:dyDescent="0.2">
      <c r="A1148" s="29"/>
      <c r="B1148" s="29" t="s">
        <v>55</v>
      </c>
      <c r="C1148" s="32">
        <v>2094</v>
      </c>
      <c r="D1148" s="32">
        <v>2049</v>
      </c>
      <c r="E1148" s="32">
        <f>IF(OR(D1148="-",D1148="",D1148=0),IF(C1148="-","-",C1148),C1148-D1148)</f>
        <v>45</v>
      </c>
      <c r="F1148" s="36">
        <f>IFERROR(IF(C1148&gt;0, D1148/C1148, 0),"-")</f>
        <v>0.97851002865329517</v>
      </c>
      <c r="G1148" s="32">
        <v>29</v>
      </c>
      <c r="H1148" s="32">
        <v>7</v>
      </c>
      <c r="I1148" s="32">
        <f>IF(OR(H1148="-",H1148="",H1148=0),IF(G1148="-","-",G1148),G1148-H1148)</f>
        <v>22</v>
      </c>
      <c r="J1148" s="36">
        <f>IFERROR(IF(G1148&gt;0, H1148/G1148, 0),"-")</f>
        <v>0.2413793103448276</v>
      </c>
      <c r="K1148" s="32">
        <v>30</v>
      </c>
      <c r="L1148" s="32">
        <v>5</v>
      </c>
      <c r="M1148" s="32">
        <f>IF(OR(L1148="-",L1148="",L1148=0),IF(K1148="-","-",K1148),K1148-L1148)</f>
        <v>25</v>
      </c>
      <c r="N1148" s="36">
        <f>IFERROR(IF(K1148&gt;0, L1148/K1148, 0),"-")</f>
        <v>0.16666666666666666</v>
      </c>
      <c r="O1148" s="32">
        <v>29</v>
      </c>
      <c r="P1148" s="32">
        <v>2</v>
      </c>
      <c r="Q1148" s="32">
        <f>IF(OR(P1148="-",P1148="",P1148=0),IF(O1148="-","-",O1148),O1148-P1148)</f>
        <v>27</v>
      </c>
      <c r="R1148" s="36">
        <f>IFERROR(IF(O1148&gt;0, P1148/O1148, 0),"-")</f>
        <v>6.8965517241379309E-2</v>
      </c>
      <c r="S1148" s="32">
        <v>927</v>
      </c>
      <c r="T1148" s="32">
        <v>21</v>
      </c>
      <c r="U1148" s="32">
        <v>105560</v>
      </c>
      <c r="V1148" s="32">
        <v>4</v>
      </c>
      <c r="W1148" s="32">
        <v>100726</v>
      </c>
    </row>
    <row r="1149" spans="1:23" x14ac:dyDescent="0.2">
      <c r="A1149" s="30" t="s">
        <v>341</v>
      </c>
      <c r="B1149" s="30" t="s">
        <v>1749</v>
      </c>
      <c r="C1149" s="34">
        <v>302</v>
      </c>
      <c r="D1149" s="35">
        <v>294</v>
      </c>
      <c r="E1149" s="34">
        <f>IF(OR(D1149="-",D1149="",D1149=0),IF(C1149="-","-",C1149),C1149-D1149)</f>
        <v>8</v>
      </c>
      <c r="F1149" s="4">
        <f>IFERROR(IF(C1149&gt;0, D1149/C1149, 0),"-")</f>
        <v>0.97350993377483441</v>
      </c>
      <c r="G1149" s="34">
        <v>6</v>
      </c>
      <c r="H1149" s="35" t="s">
        <v>959</v>
      </c>
      <c r="I1149" s="34">
        <f>IF(OR(H1149="-",H1149="",H1149=0),IF(G1149="-","-",G1149),G1149-H1149)</f>
        <v>6</v>
      </c>
      <c r="J1149" s="4" t="str">
        <f>IFERROR(IF(G1149&gt;0, H1149/G1149, 0),"-")</f>
        <v>-</v>
      </c>
      <c r="K1149" s="34">
        <v>1</v>
      </c>
      <c r="L1149" s="35" t="s">
        <v>959</v>
      </c>
      <c r="M1149" s="34">
        <f>IF(OR(L1149="-",L1149="",L1149=0),IF(K1149="-","-",K1149),K1149-L1149)</f>
        <v>1</v>
      </c>
      <c r="N1149" s="4" t="str">
        <f>IFERROR(IF(K1149&gt;0, L1149/K1149, 0),"-")</f>
        <v>-</v>
      </c>
      <c r="O1149" s="34">
        <v>3</v>
      </c>
      <c r="P1149" s="35" t="s">
        <v>959</v>
      </c>
      <c r="Q1149" s="34">
        <f>IF(OR(P1149="-",P1149="",P1149=0),IF(O1149="-","-",O1149),O1149-P1149)</f>
        <v>3</v>
      </c>
      <c r="R1149" s="4" t="str">
        <f>IFERROR(IF(O1149&gt;0, P1149/O1149, 0),"-")</f>
        <v>-</v>
      </c>
      <c r="S1149" s="34">
        <v>114</v>
      </c>
      <c r="T1149" s="34">
        <v>1</v>
      </c>
      <c r="U1149" s="34">
        <v>2700</v>
      </c>
      <c r="V1149" s="35" t="s">
        <v>959</v>
      </c>
      <c r="W1149" s="35" t="s">
        <v>959</v>
      </c>
    </row>
    <row r="1150" spans="1:23" x14ac:dyDescent="0.2">
      <c r="A1150" s="30" t="s">
        <v>368</v>
      </c>
      <c r="B1150" s="30" t="s">
        <v>1750</v>
      </c>
      <c r="C1150" s="34">
        <v>46</v>
      </c>
      <c r="D1150" s="35">
        <v>45</v>
      </c>
      <c r="E1150" s="34">
        <f>IF(OR(D1150="-",D1150="",D1150=0),IF(C1150="-","-",C1150),C1150-D1150)</f>
        <v>1</v>
      </c>
      <c r="F1150" s="4">
        <f>IFERROR(IF(C1150&gt;0, D1150/C1150, 0),"-")</f>
        <v>0.97826086956521741</v>
      </c>
      <c r="G1150" s="34">
        <v>4</v>
      </c>
      <c r="H1150" s="35">
        <v>1</v>
      </c>
      <c r="I1150" s="34">
        <f>IF(OR(H1150="-",H1150="",H1150=0),IF(G1150="-","-",G1150),G1150-H1150)</f>
        <v>3</v>
      </c>
      <c r="J1150" s="4">
        <f>IFERROR(IF(G1150&gt;0, H1150/G1150, 0),"-")</f>
        <v>0.25</v>
      </c>
      <c r="K1150" s="34">
        <v>4</v>
      </c>
      <c r="L1150" s="35" t="s">
        <v>959</v>
      </c>
      <c r="M1150" s="34">
        <f>IF(OR(L1150="-",L1150="",L1150=0),IF(K1150="-","-",K1150),K1150-L1150)</f>
        <v>4</v>
      </c>
      <c r="N1150" s="4" t="str">
        <f>IFERROR(IF(K1150&gt;0, L1150/K1150, 0),"-")</f>
        <v>-</v>
      </c>
      <c r="O1150" s="34">
        <v>2</v>
      </c>
      <c r="P1150" s="35" t="s">
        <v>959</v>
      </c>
      <c r="Q1150" s="34">
        <f>IF(OR(P1150="-",P1150="",P1150=0),IF(O1150="-","-",O1150),O1150-P1150)</f>
        <v>2</v>
      </c>
      <c r="R1150" s="4" t="str">
        <f>IFERROR(IF(O1150&gt;0, P1150/O1150, 0),"-")</f>
        <v>-</v>
      </c>
      <c r="S1150" s="34">
        <v>4</v>
      </c>
      <c r="T1150" s="34" t="s">
        <v>959</v>
      </c>
      <c r="U1150" s="34" t="s">
        <v>959</v>
      </c>
      <c r="V1150" s="35" t="s">
        <v>959</v>
      </c>
      <c r="W1150" s="35" t="s">
        <v>959</v>
      </c>
    </row>
    <row r="1151" spans="1:23" x14ac:dyDescent="0.2">
      <c r="A1151" s="30" t="s">
        <v>343</v>
      </c>
      <c r="B1151" s="30" t="s">
        <v>1751</v>
      </c>
      <c r="C1151" s="34">
        <v>343</v>
      </c>
      <c r="D1151" s="35">
        <v>335</v>
      </c>
      <c r="E1151" s="34">
        <f>IF(OR(D1151="-",D1151="",D1151=0),IF(C1151="-","-",C1151),C1151-D1151)</f>
        <v>8</v>
      </c>
      <c r="F1151" s="4">
        <f>IFERROR(IF(C1151&gt;0, D1151/C1151, 0),"-")</f>
        <v>0.97667638483965014</v>
      </c>
      <c r="G1151" s="34">
        <v>5</v>
      </c>
      <c r="H1151" s="35">
        <v>2</v>
      </c>
      <c r="I1151" s="34">
        <f>IF(OR(H1151="-",H1151="",H1151=0),IF(G1151="-","-",G1151),G1151-H1151)</f>
        <v>3</v>
      </c>
      <c r="J1151" s="4">
        <f>IFERROR(IF(G1151&gt;0, H1151/G1151, 0),"-")</f>
        <v>0.4</v>
      </c>
      <c r="K1151" s="34">
        <v>5</v>
      </c>
      <c r="L1151" s="35">
        <v>2</v>
      </c>
      <c r="M1151" s="34">
        <f>IF(OR(L1151="-",L1151="",L1151=0),IF(K1151="-","-",K1151),K1151-L1151)</f>
        <v>3</v>
      </c>
      <c r="N1151" s="4">
        <f>IFERROR(IF(K1151&gt;0, L1151/K1151, 0),"-")</f>
        <v>0.4</v>
      </c>
      <c r="O1151" s="34">
        <v>1</v>
      </c>
      <c r="P1151" s="35" t="s">
        <v>959</v>
      </c>
      <c r="Q1151" s="34">
        <f>IF(OR(P1151="-",P1151="",P1151=0),IF(O1151="-","-",O1151),O1151-P1151)</f>
        <v>1</v>
      </c>
      <c r="R1151" s="4" t="str">
        <f>IFERROR(IF(O1151&gt;0, P1151/O1151, 0),"-")</f>
        <v>-</v>
      </c>
      <c r="S1151" s="34">
        <v>213</v>
      </c>
      <c r="T1151" s="34">
        <v>5</v>
      </c>
      <c r="U1151" s="34">
        <v>9950</v>
      </c>
      <c r="V1151" s="35">
        <v>3</v>
      </c>
      <c r="W1151" s="35">
        <v>59611</v>
      </c>
    </row>
    <row r="1152" spans="1:23" x14ac:dyDescent="0.2">
      <c r="A1152" s="30" t="s">
        <v>339</v>
      </c>
      <c r="B1152" s="30" t="s">
        <v>1752</v>
      </c>
      <c r="C1152" s="34">
        <v>325</v>
      </c>
      <c r="D1152" s="35">
        <v>319</v>
      </c>
      <c r="E1152" s="34">
        <f>IF(OR(D1152="-",D1152="",D1152=0),IF(C1152="-","-",C1152),C1152-D1152)</f>
        <v>6</v>
      </c>
      <c r="F1152" s="4">
        <f>IFERROR(IF(C1152&gt;0, D1152/C1152, 0),"-")</f>
        <v>0.98153846153846158</v>
      </c>
      <c r="G1152" s="34" t="s">
        <v>959</v>
      </c>
      <c r="H1152" s="35" t="s">
        <v>959</v>
      </c>
      <c r="I1152" s="34" t="str">
        <f>IF(OR(H1152="-",H1152="",H1152=0),IF(G1152="-","-",G1152),G1152-H1152)</f>
        <v>-</v>
      </c>
      <c r="J1152" s="4" t="str">
        <f>IFERROR(IF(G1152&gt;0, H1152/G1152, 0),"-")</f>
        <v>-</v>
      </c>
      <c r="K1152" s="34">
        <v>6</v>
      </c>
      <c r="L1152" s="35">
        <v>1</v>
      </c>
      <c r="M1152" s="34">
        <f>IF(OR(L1152="-",L1152="",L1152=0),IF(K1152="-","-",K1152),K1152-L1152)</f>
        <v>5</v>
      </c>
      <c r="N1152" s="4">
        <f>IFERROR(IF(K1152&gt;0, L1152/K1152, 0),"-")</f>
        <v>0.16666666666666666</v>
      </c>
      <c r="O1152" s="34">
        <v>4</v>
      </c>
      <c r="P1152" s="35" t="s">
        <v>959</v>
      </c>
      <c r="Q1152" s="34">
        <f>IF(OR(P1152="-",P1152="",P1152=0),IF(O1152="-","-",O1152),O1152-P1152)</f>
        <v>4</v>
      </c>
      <c r="R1152" s="4" t="str">
        <f>IFERROR(IF(O1152&gt;0, P1152/O1152, 0),"-")</f>
        <v>-</v>
      </c>
      <c r="S1152" s="34">
        <v>129</v>
      </c>
      <c r="T1152" s="34">
        <v>2</v>
      </c>
      <c r="U1152" s="34">
        <v>11780</v>
      </c>
      <c r="V1152" s="35">
        <v>1</v>
      </c>
      <c r="W1152" s="35">
        <v>41115</v>
      </c>
    </row>
    <row r="1153" spans="1:23" x14ac:dyDescent="0.2">
      <c r="A1153" s="30" t="s">
        <v>342</v>
      </c>
      <c r="B1153" s="30" t="s">
        <v>1753</v>
      </c>
      <c r="C1153" s="34">
        <v>300</v>
      </c>
      <c r="D1153" s="35">
        <v>298</v>
      </c>
      <c r="E1153" s="34">
        <f>IF(OR(D1153="-",D1153="",D1153=0),IF(C1153="-","-",C1153),C1153-D1153)</f>
        <v>2</v>
      </c>
      <c r="F1153" s="4">
        <f>IFERROR(IF(C1153&gt;0, D1153/C1153, 0),"-")</f>
        <v>0.99333333333333329</v>
      </c>
      <c r="G1153" s="34">
        <v>5</v>
      </c>
      <c r="H1153" s="35">
        <v>3</v>
      </c>
      <c r="I1153" s="34">
        <f>IF(OR(H1153="-",H1153="",H1153=0),IF(G1153="-","-",G1153),G1153-H1153)</f>
        <v>2</v>
      </c>
      <c r="J1153" s="4">
        <f>IFERROR(IF(G1153&gt;0, H1153/G1153, 0),"-")</f>
        <v>0.6</v>
      </c>
      <c r="K1153" s="34">
        <v>4</v>
      </c>
      <c r="L1153" s="35">
        <v>1</v>
      </c>
      <c r="M1153" s="34">
        <f>IF(OR(L1153="-",L1153="",L1153=0),IF(K1153="-","-",K1153),K1153-L1153)</f>
        <v>3</v>
      </c>
      <c r="N1153" s="4">
        <f>IFERROR(IF(K1153&gt;0, L1153/K1153, 0),"-")</f>
        <v>0.25</v>
      </c>
      <c r="O1153" s="34">
        <v>4</v>
      </c>
      <c r="P1153" s="35" t="s">
        <v>959</v>
      </c>
      <c r="Q1153" s="34">
        <f>IF(OR(P1153="-",P1153="",P1153=0),IF(O1153="-","-",O1153),O1153-P1153)</f>
        <v>4</v>
      </c>
      <c r="R1153" s="4" t="str">
        <f>IFERROR(IF(O1153&gt;0, P1153/O1153, 0),"-")</f>
        <v>-</v>
      </c>
      <c r="S1153" s="34">
        <v>175</v>
      </c>
      <c r="T1153" s="34">
        <v>3</v>
      </c>
      <c r="U1153" s="34">
        <v>9435</v>
      </c>
      <c r="V1153" s="35" t="s">
        <v>959</v>
      </c>
      <c r="W1153" s="35" t="s">
        <v>959</v>
      </c>
    </row>
    <row r="1154" spans="1:23" x14ac:dyDescent="0.2">
      <c r="A1154" s="30" t="s">
        <v>369</v>
      </c>
      <c r="B1154" s="30" t="s">
        <v>1754</v>
      </c>
      <c r="C1154" s="34">
        <v>48</v>
      </c>
      <c r="D1154" s="35">
        <v>40</v>
      </c>
      <c r="E1154" s="34">
        <f>IF(OR(D1154="-",D1154="",D1154=0),IF(C1154="-","-",C1154),C1154-D1154)</f>
        <v>8</v>
      </c>
      <c r="F1154" s="4">
        <f>IFERROR(IF(C1154&gt;0, D1154/C1154, 0),"-")</f>
        <v>0.83333333333333337</v>
      </c>
      <c r="G1154" s="34">
        <v>4</v>
      </c>
      <c r="H1154" s="35" t="s">
        <v>959</v>
      </c>
      <c r="I1154" s="34">
        <f>IF(OR(H1154="-",H1154="",H1154=0),IF(G1154="-","-",G1154),G1154-H1154)</f>
        <v>4</v>
      </c>
      <c r="J1154" s="4" t="str">
        <f>IFERROR(IF(G1154&gt;0, H1154/G1154, 0),"-")</f>
        <v>-</v>
      </c>
      <c r="K1154" s="34">
        <v>3</v>
      </c>
      <c r="L1154" s="35" t="s">
        <v>959</v>
      </c>
      <c r="M1154" s="34">
        <f>IF(OR(L1154="-",L1154="",L1154=0),IF(K1154="-","-",K1154),K1154-L1154)</f>
        <v>3</v>
      </c>
      <c r="N1154" s="4" t="str">
        <f>IFERROR(IF(K1154&gt;0, L1154/K1154, 0),"-")</f>
        <v>-</v>
      </c>
      <c r="O1154" s="34">
        <v>3</v>
      </c>
      <c r="P1154" s="35" t="s">
        <v>959</v>
      </c>
      <c r="Q1154" s="34">
        <f>IF(OR(P1154="-",P1154="",P1154=0),IF(O1154="-","-",O1154),O1154-P1154)</f>
        <v>3</v>
      </c>
      <c r="R1154" s="4" t="str">
        <f>IFERROR(IF(O1154&gt;0, P1154/O1154, 0),"-")</f>
        <v>-</v>
      </c>
      <c r="S1154" s="34">
        <v>6</v>
      </c>
      <c r="T1154" s="34">
        <v>1</v>
      </c>
      <c r="U1154" s="34">
        <v>32640</v>
      </c>
      <c r="V1154" s="35" t="s">
        <v>959</v>
      </c>
      <c r="W1154" s="35" t="s">
        <v>959</v>
      </c>
    </row>
    <row r="1155" spans="1:23" x14ac:dyDescent="0.2">
      <c r="A1155" s="30" t="s">
        <v>338</v>
      </c>
      <c r="B1155" s="30" t="s">
        <v>1755</v>
      </c>
      <c r="C1155" s="34">
        <v>259</v>
      </c>
      <c r="D1155" s="35">
        <v>254</v>
      </c>
      <c r="E1155" s="34">
        <f>IF(OR(D1155="-",D1155="",D1155=0),IF(C1155="-","-",C1155),C1155-D1155)</f>
        <v>5</v>
      </c>
      <c r="F1155" s="4">
        <f>IFERROR(IF(C1155&gt;0, D1155/C1155, 0),"-")</f>
        <v>0.98069498069498073</v>
      </c>
      <c r="G1155" s="34">
        <v>1</v>
      </c>
      <c r="H1155" s="35">
        <v>1</v>
      </c>
      <c r="I1155" s="34">
        <f>IF(OR(H1155="-",H1155="",H1155=0),IF(G1155="-","-",G1155),G1155-H1155)</f>
        <v>0</v>
      </c>
      <c r="J1155" s="4">
        <f>IFERROR(IF(G1155&gt;0, H1155/G1155, 0),"-")</f>
        <v>1</v>
      </c>
      <c r="K1155" s="34">
        <v>1</v>
      </c>
      <c r="L1155" s="35" t="s">
        <v>959</v>
      </c>
      <c r="M1155" s="34">
        <f>IF(OR(L1155="-",L1155="",L1155=0),IF(K1155="-","-",K1155),K1155-L1155)</f>
        <v>1</v>
      </c>
      <c r="N1155" s="4" t="str">
        <f>IFERROR(IF(K1155&gt;0, L1155/K1155, 0),"-")</f>
        <v>-</v>
      </c>
      <c r="O1155" s="34">
        <v>4</v>
      </c>
      <c r="P1155" s="35">
        <v>1</v>
      </c>
      <c r="Q1155" s="34">
        <f>IF(OR(P1155="-",P1155="",P1155=0),IF(O1155="-","-",O1155),O1155-P1155)</f>
        <v>3</v>
      </c>
      <c r="R1155" s="4">
        <f>IFERROR(IF(O1155&gt;0, P1155/O1155, 0),"-")</f>
        <v>0.25</v>
      </c>
      <c r="S1155" s="34">
        <v>141</v>
      </c>
      <c r="T1155" s="34">
        <v>3</v>
      </c>
      <c r="U1155" s="34">
        <v>9100</v>
      </c>
      <c r="V1155" s="35" t="s">
        <v>959</v>
      </c>
      <c r="W1155" s="35" t="s">
        <v>959</v>
      </c>
    </row>
    <row r="1156" spans="1:23" x14ac:dyDescent="0.2">
      <c r="A1156" s="30" t="s">
        <v>340</v>
      </c>
      <c r="B1156" s="30" t="s">
        <v>1756</v>
      </c>
      <c r="C1156" s="34">
        <v>471</v>
      </c>
      <c r="D1156" s="35">
        <v>464</v>
      </c>
      <c r="E1156" s="34">
        <f>IF(OR(D1156="-",D1156="",D1156=0),IF(C1156="-","-",C1156),C1156-D1156)</f>
        <v>7</v>
      </c>
      <c r="F1156" s="4">
        <f>IFERROR(IF(C1156&gt;0, D1156/C1156, 0),"-")</f>
        <v>0.9851380042462845</v>
      </c>
      <c r="G1156" s="34">
        <v>4</v>
      </c>
      <c r="H1156" s="35" t="s">
        <v>959</v>
      </c>
      <c r="I1156" s="34">
        <f>IF(OR(H1156="-",H1156="",H1156=0),IF(G1156="-","-",G1156),G1156-H1156)</f>
        <v>4</v>
      </c>
      <c r="J1156" s="4" t="str">
        <f>IFERROR(IF(G1156&gt;0, H1156/G1156, 0),"-")</f>
        <v>-</v>
      </c>
      <c r="K1156" s="34">
        <v>6</v>
      </c>
      <c r="L1156" s="35">
        <v>1</v>
      </c>
      <c r="M1156" s="34">
        <f>IF(OR(L1156="-",L1156="",L1156=0),IF(K1156="-","-",K1156),K1156-L1156)</f>
        <v>5</v>
      </c>
      <c r="N1156" s="4">
        <f>IFERROR(IF(K1156&gt;0, L1156/K1156, 0),"-")</f>
        <v>0.16666666666666666</v>
      </c>
      <c r="O1156" s="34">
        <v>8</v>
      </c>
      <c r="P1156" s="35">
        <v>1</v>
      </c>
      <c r="Q1156" s="34">
        <f>IF(OR(P1156="-",P1156="",P1156=0),IF(O1156="-","-",O1156),O1156-P1156)</f>
        <v>7</v>
      </c>
      <c r="R1156" s="4">
        <f>IFERROR(IF(O1156&gt;0, P1156/O1156, 0),"-")</f>
        <v>0.125</v>
      </c>
      <c r="S1156" s="34">
        <v>145</v>
      </c>
      <c r="T1156" s="34">
        <v>6</v>
      </c>
      <c r="U1156" s="34">
        <v>29955</v>
      </c>
      <c r="V1156" s="35" t="s">
        <v>959</v>
      </c>
      <c r="W1156" s="35" t="s">
        <v>959</v>
      </c>
    </row>
    <row r="1157" spans="1:23" x14ac:dyDescent="0.2">
      <c r="A1157" s="29"/>
      <c r="B1157" s="29" t="s">
        <v>38</v>
      </c>
      <c r="C1157" s="32">
        <v>1283</v>
      </c>
      <c r="D1157" s="32">
        <v>1269</v>
      </c>
      <c r="E1157" s="32">
        <f>IF(OR(D1157="-",D1157="",D1157=0),IF(C1157="-","-",C1157),C1157-D1157)</f>
        <v>14</v>
      </c>
      <c r="F1157" s="36">
        <f>IFERROR(IF(C1157&gt;0, D1157/C1157, 0),"-")</f>
        <v>0.98908807482462979</v>
      </c>
      <c r="G1157" s="32" t="s">
        <v>959</v>
      </c>
      <c r="H1157" s="32" t="s">
        <v>959</v>
      </c>
      <c r="I1157" s="32" t="str">
        <f>IF(OR(H1157="-",H1157="",H1157=0),IF(G1157="-","-",G1157),G1157-H1157)</f>
        <v>-</v>
      </c>
      <c r="J1157" s="36" t="str">
        <f>IFERROR(IF(G1157&gt;0, H1157/G1157, 0),"-")</f>
        <v>-</v>
      </c>
      <c r="K1157" s="32">
        <v>9</v>
      </c>
      <c r="L1157" s="32" t="s">
        <v>959</v>
      </c>
      <c r="M1157" s="32">
        <f>IF(OR(L1157="-",L1157="",L1157=0),IF(K1157="-","-",K1157),K1157-L1157)</f>
        <v>9</v>
      </c>
      <c r="N1157" s="36" t="str">
        <f>IFERROR(IF(K1157&gt;0, L1157/K1157, 0),"-")</f>
        <v>-</v>
      </c>
      <c r="O1157" s="32">
        <v>6</v>
      </c>
      <c r="P1157" s="32">
        <v>1</v>
      </c>
      <c r="Q1157" s="32">
        <f>IF(OR(P1157="-",P1157="",P1157=0),IF(O1157="-","-",O1157),O1157-P1157)</f>
        <v>5</v>
      </c>
      <c r="R1157" s="36">
        <f>IFERROR(IF(O1157&gt;0, P1157/O1157, 0),"-")</f>
        <v>0.16666666666666666</v>
      </c>
      <c r="S1157" s="32">
        <v>357</v>
      </c>
      <c r="T1157" s="32">
        <v>10</v>
      </c>
      <c r="U1157" s="32">
        <v>28620</v>
      </c>
      <c r="V1157" s="32">
        <v>2</v>
      </c>
      <c r="W1157" s="32">
        <v>33498</v>
      </c>
    </row>
    <row r="1158" spans="1:23" x14ac:dyDescent="0.2">
      <c r="A1158" s="30" t="s">
        <v>196</v>
      </c>
      <c r="B1158" s="30" t="s">
        <v>1757</v>
      </c>
      <c r="C1158" s="34">
        <v>207</v>
      </c>
      <c r="D1158" s="35">
        <v>207</v>
      </c>
      <c r="E1158" s="34">
        <f>IF(OR(D1158="-",D1158="",D1158=0),IF(C1158="-","-",C1158),C1158-D1158)</f>
        <v>0</v>
      </c>
      <c r="F1158" s="4">
        <f>IFERROR(IF(C1158&gt;0, D1158/C1158, 0),"-")</f>
        <v>1</v>
      </c>
      <c r="G1158" s="34" t="s">
        <v>959</v>
      </c>
      <c r="H1158" s="35" t="s">
        <v>959</v>
      </c>
      <c r="I1158" s="34" t="str">
        <f>IF(OR(H1158="-",H1158="",H1158=0),IF(G1158="-","-",G1158),G1158-H1158)</f>
        <v>-</v>
      </c>
      <c r="J1158" s="4" t="str">
        <f>IFERROR(IF(G1158&gt;0, H1158/G1158, 0),"-")</f>
        <v>-</v>
      </c>
      <c r="K1158" s="34" t="s">
        <v>959</v>
      </c>
      <c r="L1158" s="35" t="s">
        <v>959</v>
      </c>
      <c r="M1158" s="34" t="str">
        <f>IF(OR(L1158="-",L1158="",L1158=0),IF(K1158="-","-",K1158),K1158-L1158)</f>
        <v>-</v>
      </c>
      <c r="N1158" s="4" t="str">
        <f>IFERROR(IF(K1158&gt;0, L1158/K1158, 0),"-")</f>
        <v>-</v>
      </c>
      <c r="O1158" s="34">
        <v>1</v>
      </c>
      <c r="P1158" s="35" t="s">
        <v>959</v>
      </c>
      <c r="Q1158" s="34">
        <f>IF(OR(P1158="-",P1158="",P1158=0),IF(O1158="-","-",O1158),O1158-P1158)</f>
        <v>1</v>
      </c>
      <c r="R1158" s="4" t="str">
        <f>IFERROR(IF(O1158&gt;0, P1158/O1158, 0),"-")</f>
        <v>-</v>
      </c>
      <c r="S1158" s="34">
        <v>44</v>
      </c>
      <c r="T1158" s="34">
        <v>1</v>
      </c>
      <c r="U1158" s="34">
        <v>5000</v>
      </c>
      <c r="V1158" s="35" t="s">
        <v>959</v>
      </c>
      <c r="W1158" s="35" t="s">
        <v>959</v>
      </c>
    </row>
    <row r="1159" spans="1:23" x14ac:dyDescent="0.2">
      <c r="A1159" s="30" t="s">
        <v>194</v>
      </c>
      <c r="B1159" s="30" t="s">
        <v>1329</v>
      </c>
      <c r="C1159" s="34">
        <v>249</v>
      </c>
      <c r="D1159" s="35">
        <v>246</v>
      </c>
      <c r="E1159" s="34">
        <f>IF(OR(D1159="-",D1159="",D1159=0),IF(C1159="-","-",C1159),C1159-D1159)</f>
        <v>3</v>
      </c>
      <c r="F1159" s="4">
        <f>IFERROR(IF(C1159&gt;0, D1159/C1159, 0),"-")</f>
        <v>0.98795180722891562</v>
      </c>
      <c r="G1159" s="34" t="s">
        <v>959</v>
      </c>
      <c r="H1159" s="35" t="s">
        <v>959</v>
      </c>
      <c r="I1159" s="34" t="str">
        <f>IF(OR(H1159="-",H1159="",H1159=0),IF(G1159="-","-",G1159),G1159-H1159)</f>
        <v>-</v>
      </c>
      <c r="J1159" s="4" t="str">
        <f>IFERROR(IF(G1159&gt;0, H1159/G1159, 0),"-")</f>
        <v>-</v>
      </c>
      <c r="K1159" s="34">
        <v>3</v>
      </c>
      <c r="L1159" s="35" t="s">
        <v>959</v>
      </c>
      <c r="M1159" s="34">
        <f>IF(OR(L1159="-",L1159="",L1159=0),IF(K1159="-","-",K1159),K1159-L1159)</f>
        <v>3</v>
      </c>
      <c r="N1159" s="4" t="str">
        <f>IFERROR(IF(K1159&gt;0, L1159/K1159, 0),"-")</f>
        <v>-</v>
      </c>
      <c r="O1159" s="34" t="s">
        <v>959</v>
      </c>
      <c r="P1159" s="35" t="s">
        <v>959</v>
      </c>
      <c r="Q1159" s="34" t="str">
        <f>IF(OR(P1159="-",P1159="",P1159=0),IF(O1159="-","-",O1159),O1159-P1159)</f>
        <v>-</v>
      </c>
      <c r="R1159" s="4" t="str">
        <f>IFERROR(IF(O1159&gt;0, P1159/O1159, 0),"-")</f>
        <v>-</v>
      </c>
      <c r="S1159" s="34">
        <v>90</v>
      </c>
      <c r="T1159" s="34">
        <v>1</v>
      </c>
      <c r="U1159" s="34">
        <v>2000</v>
      </c>
      <c r="V1159" s="35" t="s">
        <v>959</v>
      </c>
      <c r="W1159" s="35" t="s">
        <v>959</v>
      </c>
    </row>
    <row r="1160" spans="1:23" x14ac:dyDescent="0.2">
      <c r="A1160" s="30" t="s">
        <v>195</v>
      </c>
      <c r="B1160" s="30" t="s">
        <v>1758</v>
      </c>
      <c r="C1160" s="34">
        <v>220</v>
      </c>
      <c r="D1160" s="35">
        <v>216</v>
      </c>
      <c r="E1160" s="34">
        <f>IF(OR(D1160="-",D1160="",D1160=0),IF(C1160="-","-",C1160),C1160-D1160)</f>
        <v>4</v>
      </c>
      <c r="F1160" s="4">
        <f>IFERROR(IF(C1160&gt;0, D1160/C1160, 0),"-")</f>
        <v>0.98181818181818181</v>
      </c>
      <c r="G1160" s="34" t="s">
        <v>959</v>
      </c>
      <c r="H1160" s="35" t="s">
        <v>959</v>
      </c>
      <c r="I1160" s="34" t="str">
        <f>IF(OR(H1160="-",H1160="",H1160=0),IF(G1160="-","-",G1160),G1160-H1160)</f>
        <v>-</v>
      </c>
      <c r="J1160" s="4" t="str">
        <f>IFERROR(IF(G1160&gt;0, H1160/G1160, 0),"-")</f>
        <v>-</v>
      </c>
      <c r="K1160" s="34">
        <v>3</v>
      </c>
      <c r="L1160" s="35" t="s">
        <v>959</v>
      </c>
      <c r="M1160" s="34">
        <f>IF(OR(L1160="-",L1160="",L1160=0),IF(K1160="-","-",K1160),K1160-L1160)</f>
        <v>3</v>
      </c>
      <c r="N1160" s="4" t="str">
        <f>IFERROR(IF(K1160&gt;0, L1160/K1160, 0),"-")</f>
        <v>-</v>
      </c>
      <c r="O1160" s="34">
        <v>1</v>
      </c>
      <c r="P1160" s="35" t="s">
        <v>959</v>
      </c>
      <c r="Q1160" s="34">
        <f>IF(OR(P1160="-",P1160="",P1160=0),IF(O1160="-","-",O1160),O1160-P1160)</f>
        <v>1</v>
      </c>
      <c r="R1160" s="4" t="str">
        <f>IFERROR(IF(O1160&gt;0, P1160/O1160, 0),"-")</f>
        <v>-</v>
      </c>
      <c r="S1160" s="34">
        <v>53</v>
      </c>
      <c r="T1160" s="34">
        <v>1</v>
      </c>
      <c r="U1160" s="34">
        <v>2000</v>
      </c>
      <c r="V1160" s="35">
        <v>1</v>
      </c>
      <c r="W1160" s="35">
        <v>27819</v>
      </c>
    </row>
    <row r="1161" spans="1:23" x14ac:dyDescent="0.2">
      <c r="A1161" s="30" t="s">
        <v>198</v>
      </c>
      <c r="B1161" s="30" t="s">
        <v>1759</v>
      </c>
      <c r="C1161" s="34">
        <v>182</v>
      </c>
      <c r="D1161" s="35">
        <v>178</v>
      </c>
      <c r="E1161" s="34">
        <f>IF(OR(D1161="-",D1161="",D1161=0),IF(C1161="-","-",C1161),C1161-D1161)</f>
        <v>4</v>
      </c>
      <c r="F1161" s="4">
        <f>IFERROR(IF(C1161&gt;0, D1161/C1161, 0),"-")</f>
        <v>0.97802197802197799</v>
      </c>
      <c r="G1161" s="34" t="s">
        <v>959</v>
      </c>
      <c r="H1161" s="35" t="s">
        <v>959</v>
      </c>
      <c r="I1161" s="34" t="str">
        <f>IF(OR(H1161="-",H1161="",H1161=0),IF(G1161="-","-",G1161),G1161-H1161)</f>
        <v>-</v>
      </c>
      <c r="J1161" s="4" t="str">
        <f>IFERROR(IF(G1161&gt;0, H1161/G1161, 0),"-")</f>
        <v>-</v>
      </c>
      <c r="K1161" s="34">
        <v>2</v>
      </c>
      <c r="L1161" s="35" t="s">
        <v>959</v>
      </c>
      <c r="M1161" s="34">
        <f>IF(OR(L1161="-",L1161="",L1161=0),IF(K1161="-","-",K1161),K1161-L1161)</f>
        <v>2</v>
      </c>
      <c r="N1161" s="4" t="str">
        <f>IFERROR(IF(K1161&gt;0, L1161/K1161, 0),"-")</f>
        <v>-</v>
      </c>
      <c r="O1161" s="34" t="s">
        <v>959</v>
      </c>
      <c r="P1161" s="35" t="s">
        <v>959</v>
      </c>
      <c r="Q1161" s="34" t="str">
        <f>IF(OR(P1161="-",P1161="",P1161=0),IF(O1161="-","-",O1161),O1161-P1161)</f>
        <v>-</v>
      </c>
      <c r="R1161" s="4" t="str">
        <f>IFERROR(IF(O1161&gt;0, P1161/O1161, 0),"-")</f>
        <v>-</v>
      </c>
      <c r="S1161" s="34">
        <v>37</v>
      </c>
      <c r="T1161" s="34" t="s">
        <v>959</v>
      </c>
      <c r="U1161" s="34" t="s">
        <v>959</v>
      </c>
      <c r="V1161" s="35" t="s">
        <v>959</v>
      </c>
      <c r="W1161" s="35" t="s">
        <v>959</v>
      </c>
    </row>
    <row r="1162" spans="1:23" x14ac:dyDescent="0.2">
      <c r="A1162" s="30" t="s">
        <v>193</v>
      </c>
      <c r="B1162" s="30" t="s">
        <v>1760</v>
      </c>
      <c r="C1162" s="34">
        <v>271</v>
      </c>
      <c r="D1162" s="35">
        <v>270</v>
      </c>
      <c r="E1162" s="34">
        <f>IF(OR(D1162="-",D1162="",D1162=0),IF(C1162="-","-",C1162),C1162-D1162)</f>
        <v>1</v>
      </c>
      <c r="F1162" s="4">
        <f>IFERROR(IF(C1162&gt;0, D1162/C1162, 0),"-")</f>
        <v>0.99630996309963105</v>
      </c>
      <c r="G1162" s="34" t="s">
        <v>959</v>
      </c>
      <c r="H1162" s="35" t="s">
        <v>959</v>
      </c>
      <c r="I1162" s="34" t="str">
        <f>IF(OR(H1162="-",H1162="",H1162=0),IF(G1162="-","-",G1162),G1162-H1162)</f>
        <v>-</v>
      </c>
      <c r="J1162" s="4" t="str">
        <f>IFERROR(IF(G1162&gt;0, H1162/G1162, 0),"-")</f>
        <v>-</v>
      </c>
      <c r="K1162" s="34">
        <v>1</v>
      </c>
      <c r="L1162" s="35" t="s">
        <v>959</v>
      </c>
      <c r="M1162" s="34">
        <f>IF(OR(L1162="-",L1162="",L1162=0),IF(K1162="-","-",K1162),K1162-L1162)</f>
        <v>1</v>
      </c>
      <c r="N1162" s="4" t="str">
        <f>IFERROR(IF(K1162&gt;0, L1162/K1162, 0),"-")</f>
        <v>-</v>
      </c>
      <c r="O1162" s="34">
        <v>3</v>
      </c>
      <c r="P1162" s="35">
        <v>1</v>
      </c>
      <c r="Q1162" s="34">
        <f>IF(OR(P1162="-",P1162="",P1162=0),IF(O1162="-","-",O1162),O1162-P1162)</f>
        <v>2</v>
      </c>
      <c r="R1162" s="4">
        <f>IFERROR(IF(O1162&gt;0, P1162/O1162, 0),"-")</f>
        <v>0.33333333333333331</v>
      </c>
      <c r="S1162" s="34">
        <v>90</v>
      </c>
      <c r="T1162" s="34">
        <v>1</v>
      </c>
      <c r="U1162" s="34">
        <v>1300</v>
      </c>
      <c r="V1162" s="35">
        <v>1</v>
      </c>
      <c r="W1162" s="35">
        <v>5679</v>
      </c>
    </row>
    <row r="1163" spans="1:23" x14ac:dyDescent="0.2">
      <c r="A1163" s="30" t="s">
        <v>197</v>
      </c>
      <c r="B1163" s="30" t="s">
        <v>1002</v>
      </c>
      <c r="C1163" s="34">
        <v>154</v>
      </c>
      <c r="D1163" s="35">
        <v>152</v>
      </c>
      <c r="E1163" s="34">
        <f>IF(OR(D1163="-",D1163="",D1163=0),IF(C1163="-","-",C1163),C1163-D1163)</f>
        <v>2</v>
      </c>
      <c r="F1163" s="4">
        <f>IFERROR(IF(C1163&gt;0, D1163/C1163, 0),"-")</f>
        <v>0.98701298701298701</v>
      </c>
      <c r="G1163" s="34" t="s">
        <v>959</v>
      </c>
      <c r="H1163" s="35" t="s">
        <v>959</v>
      </c>
      <c r="I1163" s="34" t="str">
        <f>IF(OR(H1163="-",H1163="",H1163=0),IF(G1163="-","-",G1163),G1163-H1163)</f>
        <v>-</v>
      </c>
      <c r="J1163" s="4" t="str">
        <f>IFERROR(IF(G1163&gt;0, H1163/G1163, 0),"-")</f>
        <v>-</v>
      </c>
      <c r="K1163" s="34" t="s">
        <v>959</v>
      </c>
      <c r="L1163" s="35" t="s">
        <v>959</v>
      </c>
      <c r="M1163" s="34" t="str">
        <f>IF(OR(L1163="-",L1163="",L1163=0),IF(K1163="-","-",K1163),K1163-L1163)</f>
        <v>-</v>
      </c>
      <c r="N1163" s="4" t="str">
        <f>IFERROR(IF(K1163&gt;0, L1163/K1163, 0),"-")</f>
        <v>-</v>
      </c>
      <c r="O1163" s="34">
        <v>1</v>
      </c>
      <c r="P1163" s="35" t="s">
        <v>959</v>
      </c>
      <c r="Q1163" s="34">
        <f>IF(OR(P1163="-",P1163="",P1163=0),IF(O1163="-","-",O1163),O1163-P1163)</f>
        <v>1</v>
      </c>
      <c r="R1163" s="4" t="str">
        <f>IFERROR(IF(O1163&gt;0, P1163/O1163, 0),"-")</f>
        <v>-</v>
      </c>
      <c r="S1163" s="34">
        <v>43</v>
      </c>
      <c r="T1163" s="34">
        <v>6</v>
      </c>
      <c r="U1163" s="34">
        <v>18320</v>
      </c>
      <c r="V1163" s="35" t="s">
        <v>959</v>
      </c>
      <c r="W1163" s="35" t="s">
        <v>959</v>
      </c>
    </row>
    <row r="1164" spans="1:23" x14ac:dyDescent="0.2">
      <c r="A1164" s="29"/>
      <c r="B1164" s="29" t="s">
        <v>86</v>
      </c>
      <c r="C1164" s="32">
        <v>1917</v>
      </c>
      <c r="D1164" s="32">
        <v>1885</v>
      </c>
      <c r="E1164" s="32">
        <f>IF(OR(D1164="-",D1164="",D1164=0),IF(C1164="-","-",C1164),C1164-D1164)</f>
        <v>32</v>
      </c>
      <c r="F1164" s="36">
        <f>IFERROR(IF(C1164&gt;0, D1164/C1164, 0),"-")</f>
        <v>0.98330725091288473</v>
      </c>
      <c r="G1164" s="32">
        <v>17</v>
      </c>
      <c r="H1164" s="32">
        <v>5</v>
      </c>
      <c r="I1164" s="32">
        <f>IF(OR(H1164="-",H1164="",H1164=0),IF(G1164="-","-",G1164),G1164-H1164)</f>
        <v>12</v>
      </c>
      <c r="J1164" s="36">
        <f>IFERROR(IF(G1164&gt;0, H1164/G1164, 0),"-")</f>
        <v>0.29411764705882354</v>
      </c>
      <c r="K1164" s="32">
        <v>16</v>
      </c>
      <c r="L1164" s="32">
        <v>4</v>
      </c>
      <c r="M1164" s="32">
        <f>IF(OR(L1164="-",L1164="",L1164=0),IF(K1164="-","-",K1164),K1164-L1164)</f>
        <v>12</v>
      </c>
      <c r="N1164" s="36">
        <f>IFERROR(IF(K1164&gt;0, L1164/K1164, 0),"-")</f>
        <v>0.25</v>
      </c>
      <c r="O1164" s="32">
        <v>18</v>
      </c>
      <c r="P1164" s="32">
        <v>4</v>
      </c>
      <c r="Q1164" s="32">
        <f>IF(OR(P1164="-",P1164="",P1164=0),IF(O1164="-","-",O1164),O1164-P1164)</f>
        <v>14</v>
      </c>
      <c r="R1164" s="36">
        <f>IFERROR(IF(O1164&gt;0, P1164/O1164, 0),"-")</f>
        <v>0.22222222222222221</v>
      </c>
      <c r="S1164" s="32">
        <v>617</v>
      </c>
      <c r="T1164" s="32">
        <v>27</v>
      </c>
      <c r="U1164" s="32">
        <v>61844</v>
      </c>
      <c r="V1164" s="32">
        <v>8</v>
      </c>
      <c r="W1164" s="32">
        <v>161119</v>
      </c>
    </row>
    <row r="1165" spans="1:23" x14ac:dyDescent="0.2">
      <c r="A1165" s="30" t="s">
        <v>592</v>
      </c>
      <c r="B1165" s="30" t="s">
        <v>1761</v>
      </c>
      <c r="C1165" s="34">
        <v>157</v>
      </c>
      <c r="D1165" s="35">
        <v>156</v>
      </c>
      <c r="E1165" s="34">
        <f>IF(OR(D1165="-",D1165="",D1165=0),IF(C1165="-","-",C1165),C1165-D1165)</f>
        <v>1</v>
      </c>
      <c r="F1165" s="4">
        <f>IFERROR(IF(C1165&gt;0, D1165/C1165, 0),"-")</f>
        <v>0.99363057324840764</v>
      </c>
      <c r="G1165" s="34">
        <v>1</v>
      </c>
      <c r="H1165" s="35" t="s">
        <v>959</v>
      </c>
      <c r="I1165" s="34">
        <f>IF(OR(H1165="-",H1165="",H1165=0),IF(G1165="-","-",G1165),G1165-H1165)</f>
        <v>1</v>
      </c>
      <c r="J1165" s="4" t="str">
        <f>IFERROR(IF(G1165&gt;0, H1165/G1165, 0),"-")</f>
        <v>-</v>
      </c>
      <c r="K1165" s="34">
        <v>2</v>
      </c>
      <c r="L1165" s="35">
        <v>2</v>
      </c>
      <c r="M1165" s="34">
        <f>IF(OR(L1165="-",L1165="",L1165=0),IF(K1165="-","-",K1165),K1165-L1165)</f>
        <v>0</v>
      </c>
      <c r="N1165" s="4">
        <f>IFERROR(IF(K1165&gt;0, L1165/K1165, 0),"-")</f>
        <v>1</v>
      </c>
      <c r="O1165" s="34">
        <v>2</v>
      </c>
      <c r="P1165" s="35" t="s">
        <v>959</v>
      </c>
      <c r="Q1165" s="34">
        <f>IF(OR(P1165="-",P1165="",P1165=0),IF(O1165="-","-",O1165),O1165-P1165)</f>
        <v>2</v>
      </c>
      <c r="R1165" s="4" t="str">
        <f>IFERROR(IF(O1165&gt;0, P1165/O1165, 0),"-")</f>
        <v>-</v>
      </c>
      <c r="S1165" s="34">
        <v>55</v>
      </c>
      <c r="T1165" s="34">
        <v>4</v>
      </c>
      <c r="U1165" s="34">
        <v>13464</v>
      </c>
      <c r="V1165" s="35">
        <v>1</v>
      </c>
      <c r="W1165" s="35">
        <v>24588</v>
      </c>
    </row>
    <row r="1166" spans="1:23" x14ac:dyDescent="0.2">
      <c r="A1166" s="30" t="s">
        <v>580</v>
      </c>
      <c r="B1166" s="30" t="s">
        <v>1762</v>
      </c>
      <c r="C1166" s="34">
        <v>217</v>
      </c>
      <c r="D1166" s="35">
        <v>212</v>
      </c>
      <c r="E1166" s="34">
        <f>IF(OR(D1166="-",D1166="",D1166=0),IF(C1166="-","-",C1166),C1166-D1166)</f>
        <v>5</v>
      </c>
      <c r="F1166" s="4">
        <f>IFERROR(IF(C1166&gt;0, D1166/C1166, 0),"-")</f>
        <v>0.97695852534562211</v>
      </c>
      <c r="G1166" s="34">
        <v>4</v>
      </c>
      <c r="H1166" s="35" t="s">
        <v>959</v>
      </c>
      <c r="I1166" s="34">
        <f>IF(OR(H1166="-",H1166="",H1166=0),IF(G1166="-","-",G1166),G1166-H1166)</f>
        <v>4</v>
      </c>
      <c r="J1166" s="4" t="str">
        <f>IFERROR(IF(G1166&gt;0, H1166/G1166, 0),"-")</f>
        <v>-</v>
      </c>
      <c r="K1166" s="34">
        <v>3</v>
      </c>
      <c r="L1166" s="35">
        <v>1</v>
      </c>
      <c r="M1166" s="34">
        <f>IF(OR(L1166="-",L1166="",L1166=0),IF(K1166="-","-",K1166),K1166-L1166)</f>
        <v>2</v>
      </c>
      <c r="N1166" s="4">
        <f>IFERROR(IF(K1166&gt;0, L1166/K1166, 0),"-")</f>
        <v>0.33333333333333331</v>
      </c>
      <c r="O1166" s="34" t="s">
        <v>959</v>
      </c>
      <c r="P1166" s="35" t="s">
        <v>959</v>
      </c>
      <c r="Q1166" s="34" t="str">
        <f>IF(OR(P1166="-",P1166="",P1166=0),IF(O1166="-","-",O1166),O1166-P1166)</f>
        <v>-</v>
      </c>
      <c r="R1166" s="4" t="str">
        <f>IFERROR(IF(O1166&gt;0, P1166/O1166, 0),"-")</f>
        <v>-</v>
      </c>
      <c r="S1166" s="34">
        <v>39</v>
      </c>
      <c r="T1166" s="34">
        <v>4</v>
      </c>
      <c r="U1166" s="34">
        <v>5575</v>
      </c>
      <c r="V1166" s="35" t="s">
        <v>959</v>
      </c>
      <c r="W1166" s="35" t="s">
        <v>959</v>
      </c>
    </row>
    <row r="1167" spans="1:23" x14ac:dyDescent="0.2">
      <c r="A1167" s="30" t="s">
        <v>606</v>
      </c>
      <c r="B1167" s="30" t="s">
        <v>1763</v>
      </c>
      <c r="C1167" s="34">
        <v>64</v>
      </c>
      <c r="D1167" s="35">
        <v>58</v>
      </c>
      <c r="E1167" s="34">
        <f>IF(OR(D1167="-",D1167="",D1167=0),IF(C1167="-","-",C1167),C1167-D1167)</f>
        <v>6</v>
      </c>
      <c r="F1167" s="4">
        <f>IFERROR(IF(C1167&gt;0, D1167/C1167, 0),"-")</f>
        <v>0.90625</v>
      </c>
      <c r="G1167" s="34">
        <v>6</v>
      </c>
      <c r="H1167" s="35">
        <v>1</v>
      </c>
      <c r="I1167" s="34">
        <f>IF(OR(H1167="-",H1167="",H1167=0),IF(G1167="-","-",G1167),G1167-H1167)</f>
        <v>5</v>
      </c>
      <c r="J1167" s="4">
        <f>IFERROR(IF(G1167&gt;0, H1167/G1167, 0),"-")</f>
        <v>0.16666666666666666</v>
      </c>
      <c r="K1167" s="34">
        <v>1</v>
      </c>
      <c r="L1167" s="35" t="s">
        <v>959</v>
      </c>
      <c r="M1167" s="34">
        <f>IF(OR(L1167="-",L1167="",L1167=0),IF(K1167="-","-",K1167),K1167-L1167)</f>
        <v>1</v>
      </c>
      <c r="N1167" s="4" t="str">
        <f>IFERROR(IF(K1167&gt;0, L1167/K1167, 0),"-")</f>
        <v>-</v>
      </c>
      <c r="O1167" s="34">
        <v>6</v>
      </c>
      <c r="P1167" s="35" t="s">
        <v>959</v>
      </c>
      <c r="Q1167" s="34">
        <f>IF(OR(P1167="-",P1167="",P1167=0),IF(O1167="-","-",O1167),O1167-P1167)</f>
        <v>6</v>
      </c>
      <c r="R1167" s="4" t="str">
        <f>IFERROR(IF(O1167&gt;0, P1167/O1167, 0),"-")</f>
        <v>-</v>
      </c>
      <c r="S1167" s="34">
        <v>6</v>
      </c>
      <c r="T1167" s="34" t="s">
        <v>959</v>
      </c>
      <c r="U1167" s="34" t="s">
        <v>959</v>
      </c>
      <c r="V1167" s="35" t="s">
        <v>959</v>
      </c>
      <c r="W1167" s="35" t="s">
        <v>959</v>
      </c>
    </row>
    <row r="1168" spans="1:23" x14ac:dyDescent="0.2">
      <c r="A1168" s="30" t="s">
        <v>605</v>
      </c>
      <c r="B1168" s="30" t="s">
        <v>1764</v>
      </c>
      <c r="C1168" s="34">
        <v>59</v>
      </c>
      <c r="D1168" s="35">
        <v>59</v>
      </c>
      <c r="E1168" s="34">
        <f>IF(OR(D1168="-",D1168="",D1168=0),IF(C1168="-","-",C1168),C1168-D1168)</f>
        <v>0</v>
      </c>
      <c r="F1168" s="4">
        <f>IFERROR(IF(C1168&gt;0, D1168/C1168, 0),"-")</f>
        <v>1</v>
      </c>
      <c r="G1168" s="34" t="s">
        <v>959</v>
      </c>
      <c r="H1168" s="35" t="s">
        <v>959</v>
      </c>
      <c r="I1168" s="34" t="str">
        <f>IF(OR(H1168="-",H1168="",H1168=0),IF(G1168="-","-",G1168),G1168-H1168)</f>
        <v>-</v>
      </c>
      <c r="J1168" s="4" t="str">
        <f>IFERROR(IF(G1168&gt;0, H1168/G1168, 0),"-")</f>
        <v>-</v>
      </c>
      <c r="K1168" s="34" t="s">
        <v>959</v>
      </c>
      <c r="L1168" s="35" t="s">
        <v>959</v>
      </c>
      <c r="M1168" s="34" t="str">
        <f>IF(OR(L1168="-",L1168="",L1168=0),IF(K1168="-","-",K1168),K1168-L1168)</f>
        <v>-</v>
      </c>
      <c r="N1168" s="4" t="str">
        <f>IFERROR(IF(K1168&gt;0, L1168/K1168, 0),"-")</f>
        <v>-</v>
      </c>
      <c r="O1168" s="34" t="s">
        <v>959</v>
      </c>
      <c r="P1168" s="35" t="s">
        <v>959</v>
      </c>
      <c r="Q1168" s="34" t="str">
        <f>IF(OR(P1168="-",P1168="",P1168=0),IF(O1168="-","-",O1168),O1168-P1168)</f>
        <v>-</v>
      </c>
      <c r="R1168" s="4" t="str">
        <f>IFERROR(IF(O1168&gt;0, P1168/O1168, 0),"-")</f>
        <v>-</v>
      </c>
      <c r="S1168" s="34">
        <v>3</v>
      </c>
      <c r="T1168" s="34" t="s">
        <v>959</v>
      </c>
      <c r="U1168" s="34" t="s">
        <v>959</v>
      </c>
      <c r="V1168" s="35" t="s">
        <v>959</v>
      </c>
      <c r="W1168" s="35" t="s">
        <v>959</v>
      </c>
    </row>
    <row r="1169" spans="1:23" x14ac:dyDescent="0.2">
      <c r="A1169" s="30" t="s">
        <v>593</v>
      </c>
      <c r="B1169" s="30" t="s">
        <v>1765</v>
      </c>
      <c r="C1169" s="34">
        <v>5</v>
      </c>
      <c r="D1169" s="35">
        <v>5</v>
      </c>
      <c r="E1169" s="34">
        <f>IF(OR(D1169="-",D1169="",D1169=0),IF(C1169="-","-",C1169),C1169-D1169)</f>
        <v>0</v>
      </c>
      <c r="F1169" s="4">
        <f>IFERROR(IF(C1169&gt;0, D1169/C1169, 0),"-")</f>
        <v>1</v>
      </c>
      <c r="G1169" s="34" t="s">
        <v>959</v>
      </c>
      <c r="H1169" s="35" t="s">
        <v>959</v>
      </c>
      <c r="I1169" s="34" t="str">
        <f>IF(OR(H1169="-",H1169="",H1169=0),IF(G1169="-","-",G1169),G1169-H1169)</f>
        <v>-</v>
      </c>
      <c r="J1169" s="4" t="str">
        <f>IFERROR(IF(G1169&gt;0, H1169/G1169, 0),"-")</f>
        <v>-</v>
      </c>
      <c r="K1169" s="34" t="s">
        <v>959</v>
      </c>
      <c r="L1169" s="35" t="s">
        <v>959</v>
      </c>
      <c r="M1169" s="34" t="str">
        <f>IF(OR(L1169="-",L1169="",L1169=0),IF(K1169="-","-",K1169),K1169-L1169)</f>
        <v>-</v>
      </c>
      <c r="N1169" s="4" t="str">
        <f>IFERROR(IF(K1169&gt;0, L1169/K1169, 0),"-")</f>
        <v>-</v>
      </c>
      <c r="O1169" s="34" t="s">
        <v>959</v>
      </c>
      <c r="P1169" s="35" t="s">
        <v>959</v>
      </c>
      <c r="Q1169" s="34" t="str">
        <f>IF(OR(P1169="-",P1169="",P1169=0),IF(O1169="-","-",O1169),O1169-P1169)</f>
        <v>-</v>
      </c>
      <c r="R1169" s="4" t="str">
        <f>IFERROR(IF(O1169&gt;0, P1169/O1169, 0),"-")</f>
        <v>-</v>
      </c>
      <c r="S1169" s="34">
        <v>118</v>
      </c>
      <c r="T1169" s="34">
        <v>1</v>
      </c>
      <c r="U1169" s="34">
        <v>500</v>
      </c>
      <c r="V1169" s="35" t="s">
        <v>959</v>
      </c>
      <c r="W1169" s="35" t="s">
        <v>959</v>
      </c>
    </row>
    <row r="1170" spans="1:23" x14ac:dyDescent="0.2">
      <c r="A1170" s="30" t="s">
        <v>583</v>
      </c>
      <c r="B1170" s="30" t="s">
        <v>1766</v>
      </c>
      <c r="C1170" s="34">
        <v>258</v>
      </c>
      <c r="D1170" s="35">
        <v>255</v>
      </c>
      <c r="E1170" s="34">
        <f>IF(OR(D1170="-",D1170="",D1170=0),IF(C1170="-","-",C1170),C1170-D1170)</f>
        <v>3</v>
      </c>
      <c r="F1170" s="4">
        <f>IFERROR(IF(C1170&gt;0, D1170/C1170, 0),"-")</f>
        <v>0.98837209302325579</v>
      </c>
      <c r="G1170" s="34">
        <v>3</v>
      </c>
      <c r="H1170" s="35">
        <v>1</v>
      </c>
      <c r="I1170" s="34">
        <f>IF(OR(H1170="-",H1170="",H1170=0),IF(G1170="-","-",G1170),G1170-H1170)</f>
        <v>2</v>
      </c>
      <c r="J1170" s="4">
        <f>IFERROR(IF(G1170&gt;0, H1170/G1170, 0),"-")</f>
        <v>0.33333333333333331</v>
      </c>
      <c r="K1170" s="34">
        <v>5</v>
      </c>
      <c r="L1170" s="35">
        <v>1</v>
      </c>
      <c r="M1170" s="34">
        <f>IF(OR(L1170="-",L1170="",L1170=0),IF(K1170="-","-",K1170),K1170-L1170)</f>
        <v>4</v>
      </c>
      <c r="N1170" s="4">
        <f>IFERROR(IF(K1170&gt;0, L1170/K1170, 0),"-")</f>
        <v>0.2</v>
      </c>
      <c r="O1170" s="34">
        <v>2</v>
      </c>
      <c r="P1170" s="35">
        <v>1</v>
      </c>
      <c r="Q1170" s="34">
        <f>IF(OR(P1170="-",P1170="",P1170=0),IF(O1170="-","-",O1170),O1170-P1170)</f>
        <v>1</v>
      </c>
      <c r="R1170" s="4">
        <f>IFERROR(IF(O1170&gt;0, P1170/O1170, 0),"-")</f>
        <v>0.5</v>
      </c>
      <c r="S1170" s="34">
        <v>57</v>
      </c>
      <c r="T1170" s="34">
        <v>3</v>
      </c>
      <c r="U1170" s="34">
        <v>5315</v>
      </c>
      <c r="V1170" s="35" t="s">
        <v>959</v>
      </c>
      <c r="W1170" s="35" t="s">
        <v>959</v>
      </c>
    </row>
    <row r="1171" spans="1:23" x14ac:dyDescent="0.2">
      <c r="A1171" s="30" t="s">
        <v>582</v>
      </c>
      <c r="B1171" s="30" t="s">
        <v>1767</v>
      </c>
      <c r="C1171" s="34">
        <v>201</v>
      </c>
      <c r="D1171" s="35">
        <v>195</v>
      </c>
      <c r="E1171" s="34">
        <f>IF(OR(D1171="-",D1171="",D1171=0),IF(C1171="-","-",C1171),C1171-D1171)</f>
        <v>6</v>
      </c>
      <c r="F1171" s="4">
        <f>IFERROR(IF(C1171&gt;0, D1171/C1171, 0),"-")</f>
        <v>0.97014925373134331</v>
      </c>
      <c r="G1171" s="34">
        <v>1</v>
      </c>
      <c r="H1171" s="35">
        <v>1</v>
      </c>
      <c r="I1171" s="34">
        <f>IF(OR(H1171="-",H1171="",H1171=0),IF(G1171="-","-",G1171),G1171-H1171)</f>
        <v>0</v>
      </c>
      <c r="J1171" s="4">
        <f>IFERROR(IF(G1171&gt;0, H1171/G1171, 0),"-")</f>
        <v>1</v>
      </c>
      <c r="K1171" s="34">
        <v>1</v>
      </c>
      <c r="L1171" s="35" t="s">
        <v>959</v>
      </c>
      <c r="M1171" s="34">
        <f>IF(OR(L1171="-",L1171="",L1171=0),IF(K1171="-","-",K1171),K1171-L1171)</f>
        <v>1</v>
      </c>
      <c r="N1171" s="4" t="str">
        <f>IFERROR(IF(K1171&gt;0, L1171/K1171, 0),"-")</f>
        <v>-</v>
      </c>
      <c r="O1171" s="34">
        <v>1</v>
      </c>
      <c r="P1171" s="35" t="s">
        <v>959</v>
      </c>
      <c r="Q1171" s="34">
        <f>IF(OR(P1171="-",P1171="",P1171=0),IF(O1171="-","-",O1171),O1171-P1171)</f>
        <v>1</v>
      </c>
      <c r="R1171" s="4" t="str">
        <f>IFERROR(IF(O1171&gt;0, P1171/O1171, 0),"-")</f>
        <v>-</v>
      </c>
      <c r="S1171" s="34">
        <v>65</v>
      </c>
      <c r="T1171" s="34">
        <v>4</v>
      </c>
      <c r="U1171" s="34">
        <v>7800</v>
      </c>
      <c r="V1171" s="35" t="s">
        <v>959</v>
      </c>
      <c r="W1171" s="35" t="s">
        <v>959</v>
      </c>
    </row>
    <row r="1172" spans="1:23" x14ac:dyDescent="0.2">
      <c r="A1172" s="30" t="s">
        <v>584</v>
      </c>
      <c r="B1172" s="30" t="s">
        <v>1768</v>
      </c>
      <c r="C1172" s="34">
        <v>372</v>
      </c>
      <c r="D1172" s="35">
        <v>370</v>
      </c>
      <c r="E1172" s="34">
        <f>IF(OR(D1172="-",D1172="",D1172=0),IF(C1172="-","-",C1172),C1172-D1172)</f>
        <v>2</v>
      </c>
      <c r="F1172" s="4">
        <f>IFERROR(IF(C1172&gt;0, D1172/C1172, 0),"-")</f>
        <v>0.9946236559139785</v>
      </c>
      <c r="G1172" s="34">
        <v>1</v>
      </c>
      <c r="H1172" s="35">
        <v>1</v>
      </c>
      <c r="I1172" s="34">
        <f>IF(OR(H1172="-",H1172="",H1172=0),IF(G1172="-","-",G1172),G1172-H1172)</f>
        <v>0</v>
      </c>
      <c r="J1172" s="4">
        <f>IFERROR(IF(G1172&gt;0, H1172/G1172, 0),"-")</f>
        <v>1</v>
      </c>
      <c r="K1172" s="34">
        <v>1</v>
      </c>
      <c r="L1172" s="35" t="s">
        <v>959</v>
      </c>
      <c r="M1172" s="34">
        <f>IF(OR(L1172="-",L1172="",L1172=0),IF(K1172="-","-",K1172),K1172-L1172)</f>
        <v>1</v>
      </c>
      <c r="N1172" s="4" t="str">
        <f>IFERROR(IF(K1172&gt;0, L1172/K1172, 0),"-")</f>
        <v>-</v>
      </c>
      <c r="O1172" s="34">
        <v>2</v>
      </c>
      <c r="P1172" s="35">
        <v>2</v>
      </c>
      <c r="Q1172" s="34">
        <f>IF(OR(P1172="-",P1172="",P1172=0),IF(O1172="-","-",O1172),O1172-P1172)</f>
        <v>0</v>
      </c>
      <c r="R1172" s="4">
        <f>IFERROR(IF(O1172&gt;0, P1172/O1172, 0),"-")</f>
        <v>1</v>
      </c>
      <c r="S1172" s="34">
        <v>96</v>
      </c>
      <c r="T1172" s="34">
        <v>4</v>
      </c>
      <c r="U1172" s="34">
        <v>20790</v>
      </c>
      <c r="V1172" s="35" t="s">
        <v>959</v>
      </c>
      <c r="W1172" s="35" t="s">
        <v>959</v>
      </c>
    </row>
    <row r="1173" spans="1:23" x14ac:dyDescent="0.2">
      <c r="A1173" s="30" t="s">
        <v>614</v>
      </c>
      <c r="B1173" s="30" t="s">
        <v>1769</v>
      </c>
      <c r="C1173" s="34" t="s">
        <v>959</v>
      </c>
      <c r="D1173" s="35" t="s">
        <v>959</v>
      </c>
      <c r="E1173" s="34" t="str">
        <f>IF(OR(D1173="-",D1173="",D1173=0),IF(C1173="-","-",C1173),C1173-D1173)</f>
        <v>-</v>
      </c>
      <c r="F1173" s="4" t="str">
        <f>IFERROR(IF(C1173&gt;0, D1173/C1173, 0),"-")</f>
        <v>-</v>
      </c>
      <c r="G1173" s="34" t="s">
        <v>959</v>
      </c>
      <c r="H1173" s="35" t="s">
        <v>959</v>
      </c>
      <c r="I1173" s="34" t="str">
        <f>IF(OR(H1173="-",H1173="",H1173=0),IF(G1173="-","-",G1173),G1173-H1173)</f>
        <v>-</v>
      </c>
      <c r="J1173" s="4" t="str">
        <f>IFERROR(IF(G1173&gt;0, H1173/G1173, 0),"-")</f>
        <v>-</v>
      </c>
      <c r="K1173" s="34" t="s">
        <v>959</v>
      </c>
      <c r="L1173" s="35" t="s">
        <v>959</v>
      </c>
      <c r="M1173" s="34" t="str">
        <f>IF(OR(L1173="-",L1173="",L1173=0),IF(K1173="-","-",K1173),K1173-L1173)</f>
        <v>-</v>
      </c>
      <c r="N1173" s="4" t="str">
        <f>IFERROR(IF(K1173&gt;0, L1173/K1173, 0),"-")</f>
        <v>-</v>
      </c>
      <c r="O1173" s="34" t="s">
        <v>959</v>
      </c>
      <c r="P1173" s="35" t="s">
        <v>959</v>
      </c>
      <c r="Q1173" s="34" t="str">
        <f>IF(OR(P1173="-",P1173="",P1173=0),IF(O1173="-","-",O1173),O1173-P1173)</f>
        <v>-</v>
      </c>
      <c r="R1173" s="4" t="str">
        <f>IFERROR(IF(O1173&gt;0, P1173/O1173, 0),"-")</f>
        <v>-</v>
      </c>
      <c r="S1173" s="34" t="s">
        <v>959</v>
      </c>
      <c r="T1173" s="34" t="s">
        <v>959</v>
      </c>
      <c r="U1173" s="34" t="s">
        <v>959</v>
      </c>
      <c r="V1173" s="35" t="s">
        <v>959</v>
      </c>
      <c r="W1173" s="35" t="s">
        <v>959</v>
      </c>
    </row>
    <row r="1174" spans="1:23" x14ac:dyDescent="0.2">
      <c r="A1174" s="30" t="s">
        <v>585</v>
      </c>
      <c r="B1174" s="30" t="s">
        <v>1770</v>
      </c>
      <c r="C1174" s="34">
        <v>311</v>
      </c>
      <c r="D1174" s="35">
        <v>307</v>
      </c>
      <c r="E1174" s="34">
        <f>IF(OR(D1174="-",D1174="",D1174=0),IF(C1174="-","-",C1174),C1174-D1174)</f>
        <v>4</v>
      </c>
      <c r="F1174" s="4">
        <f>IFERROR(IF(C1174&gt;0, D1174/C1174, 0),"-")</f>
        <v>0.98713826366559487</v>
      </c>
      <c r="G1174" s="34">
        <v>1</v>
      </c>
      <c r="H1174" s="35">
        <v>1</v>
      </c>
      <c r="I1174" s="34">
        <f>IF(OR(H1174="-",H1174="",H1174=0),IF(G1174="-","-",G1174),G1174-H1174)</f>
        <v>0</v>
      </c>
      <c r="J1174" s="4">
        <f>IFERROR(IF(G1174&gt;0, H1174/G1174, 0),"-")</f>
        <v>1</v>
      </c>
      <c r="K1174" s="34">
        <v>1</v>
      </c>
      <c r="L1174" s="35" t="s">
        <v>959</v>
      </c>
      <c r="M1174" s="34">
        <f>IF(OR(L1174="-",L1174="",L1174=0),IF(K1174="-","-",K1174),K1174-L1174)</f>
        <v>1</v>
      </c>
      <c r="N1174" s="4" t="str">
        <f>IFERROR(IF(K1174&gt;0, L1174/K1174, 0),"-")</f>
        <v>-</v>
      </c>
      <c r="O1174" s="34">
        <v>4</v>
      </c>
      <c r="P1174" s="35">
        <v>1</v>
      </c>
      <c r="Q1174" s="34">
        <f>IF(OR(P1174="-",P1174="",P1174=0),IF(O1174="-","-",O1174),O1174-P1174)</f>
        <v>3</v>
      </c>
      <c r="R1174" s="4">
        <f>IFERROR(IF(O1174&gt;0, P1174/O1174, 0),"-")</f>
        <v>0.25</v>
      </c>
      <c r="S1174" s="34">
        <v>66</v>
      </c>
      <c r="T1174" s="34">
        <v>1</v>
      </c>
      <c r="U1174" s="34">
        <v>500</v>
      </c>
      <c r="V1174" s="35" t="s">
        <v>959</v>
      </c>
      <c r="W1174" s="35" t="s">
        <v>959</v>
      </c>
    </row>
    <row r="1175" spans="1:23" x14ac:dyDescent="0.2">
      <c r="A1175" s="30" t="s">
        <v>581</v>
      </c>
      <c r="B1175" s="30" t="s">
        <v>1771</v>
      </c>
      <c r="C1175" s="34">
        <v>273</v>
      </c>
      <c r="D1175" s="35">
        <v>268</v>
      </c>
      <c r="E1175" s="34">
        <f>IF(OR(D1175="-",D1175="",D1175=0),IF(C1175="-","-",C1175),C1175-D1175)</f>
        <v>5</v>
      </c>
      <c r="F1175" s="4">
        <f>IFERROR(IF(C1175&gt;0, D1175/C1175, 0),"-")</f>
        <v>0.98168498168498164</v>
      </c>
      <c r="G1175" s="34" t="s">
        <v>959</v>
      </c>
      <c r="H1175" s="35" t="s">
        <v>959</v>
      </c>
      <c r="I1175" s="34" t="str">
        <f>IF(OR(H1175="-",H1175="",H1175=0),IF(G1175="-","-",G1175),G1175-H1175)</f>
        <v>-</v>
      </c>
      <c r="J1175" s="4" t="str">
        <f>IFERROR(IF(G1175&gt;0, H1175/G1175, 0),"-")</f>
        <v>-</v>
      </c>
      <c r="K1175" s="34">
        <v>2</v>
      </c>
      <c r="L1175" s="35" t="s">
        <v>959</v>
      </c>
      <c r="M1175" s="34">
        <f>IF(OR(L1175="-",L1175="",L1175=0),IF(K1175="-","-",K1175),K1175-L1175)</f>
        <v>2</v>
      </c>
      <c r="N1175" s="4" t="str">
        <f>IFERROR(IF(K1175&gt;0, L1175/K1175, 0),"-")</f>
        <v>-</v>
      </c>
      <c r="O1175" s="34">
        <v>1</v>
      </c>
      <c r="P1175" s="35" t="s">
        <v>959</v>
      </c>
      <c r="Q1175" s="34">
        <f>IF(OR(P1175="-",P1175="",P1175=0),IF(O1175="-","-",O1175),O1175-P1175)</f>
        <v>1</v>
      </c>
      <c r="R1175" s="4" t="str">
        <f>IFERROR(IF(O1175&gt;0, P1175/O1175, 0),"-")</f>
        <v>-</v>
      </c>
      <c r="S1175" s="34">
        <v>112</v>
      </c>
      <c r="T1175" s="34">
        <v>6</v>
      </c>
      <c r="U1175" s="34">
        <v>7900</v>
      </c>
      <c r="V1175" s="35">
        <v>7</v>
      </c>
      <c r="W1175" s="35">
        <v>136531</v>
      </c>
    </row>
    <row r="1176" spans="1:23" x14ac:dyDescent="0.2">
      <c r="A1176" s="29"/>
      <c r="B1176" s="29" t="s">
        <v>112</v>
      </c>
      <c r="C1176" s="32">
        <v>902</v>
      </c>
      <c r="D1176" s="32">
        <v>845</v>
      </c>
      <c r="E1176" s="32">
        <f>IF(OR(D1176="-",D1176="",D1176=0),IF(C1176="-","-",C1176),C1176-D1176)</f>
        <v>57</v>
      </c>
      <c r="F1176" s="36">
        <f>IFERROR(IF(C1176&gt;0, D1176/C1176, 0),"-")</f>
        <v>0.93680709534368067</v>
      </c>
      <c r="G1176" s="32">
        <v>47</v>
      </c>
      <c r="H1176" s="32">
        <v>26</v>
      </c>
      <c r="I1176" s="32">
        <f>IF(OR(H1176="-",H1176="",H1176=0),IF(G1176="-","-",G1176),G1176-H1176)</f>
        <v>21</v>
      </c>
      <c r="J1176" s="36">
        <f>IFERROR(IF(G1176&gt;0, H1176/G1176, 0),"-")</f>
        <v>0.55319148936170215</v>
      </c>
      <c r="K1176" s="32">
        <v>18</v>
      </c>
      <c r="L1176" s="32">
        <v>7</v>
      </c>
      <c r="M1176" s="32">
        <f>IF(OR(L1176="-",L1176="",L1176=0),IF(K1176="-","-",K1176),K1176-L1176)</f>
        <v>11</v>
      </c>
      <c r="N1176" s="36">
        <f>IFERROR(IF(K1176&gt;0, L1176/K1176, 0),"-")</f>
        <v>0.3888888888888889</v>
      </c>
      <c r="O1176" s="32">
        <v>10</v>
      </c>
      <c r="P1176" s="32">
        <v>2</v>
      </c>
      <c r="Q1176" s="32">
        <f>IF(OR(P1176="-",P1176="",P1176=0),IF(O1176="-","-",O1176),O1176-P1176)</f>
        <v>8</v>
      </c>
      <c r="R1176" s="36">
        <f>IFERROR(IF(O1176&gt;0, P1176/O1176, 0),"-")</f>
        <v>0.2</v>
      </c>
      <c r="S1176" s="32">
        <v>20</v>
      </c>
      <c r="T1176" s="32">
        <v>2</v>
      </c>
      <c r="U1176" s="32">
        <v>7995</v>
      </c>
      <c r="V1176" s="32" t="s">
        <v>959</v>
      </c>
      <c r="W1176" s="32" t="s">
        <v>959</v>
      </c>
    </row>
    <row r="1177" spans="1:23" x14ac:dyDescent="0.2">
      <c r="A1177" s="30" t="s">
        <v>811</v>
      </c>
      <c r="B1177" s="30" t="s">
        <v>1772</v>
      </c>
      <c r="C1177" s="34">
        <v>224</v>
      </c>
      <c r="D1177" s="35">
        <v>220</v>
      </c>
      <c r="E1177" s="34">
        <f>IF(OR(D1177="-",D1177="",D1177=0),IF(C1177="-","-",C1177),C1177-D1177)</f>
        <v>4</v>
      </c>
      <c r="F1177" s="4">
        <f>IFERROR(IF(C1177&gt;0, D1177/C1177, 0),"-")</f>
        <v>0.9821428571428571</v>
      </c>
      <c r="G1177" s="34">
        <v>3</v>
      </c>
      <c r="H1177" s="35">
        <v>2</v>
      </c>
      <c r="I1177" s="34">
        <f>IF(OR(H1177="-",H1177="",H1177=0),IF(G1177="-","-",G1177),G1177-H1177)</f>
        <v>1</v>
      </c>
      <c r="J1177" s="4">
        <f>IFERROR(IF(G1177&gt;0, H1177/G1177, 0),"-")</f>
        <v>0.66666666666666663</v>
      </c>
      <c r="K1177" s="34">
        <v>1</v>
      </c>
      <c r="L1177" s="35" t="s">
        <v>959</v>
      </c>
      <c r="M1177" s="34">
        <f>IF(OR(L1177="-",L1177="",L1177=0),IF(K1177="-","-",K1177),K1177-L1177)</f>
        <v>1</v>
      </c>
      <c r="N1177" s="4" t="str">
        <f>IFERROR(IF(K1177&gt;0, L1177/K1177, 0),"-")</f>
        <v>-</v>
      </c>
      <c r="O1177" s="34" t="s">
        <v>959</v>
      </c>
      <c r="P1177" s="35" t="s">
        <v>959</v>
      </c>
      <c r="Q1177" s="34" t="str">
        <f>IF(OR(P1177="-",P1177="",P1177=0),IF(O1177="-","-",O1177),O1177-P1177)</f>
        <v>-</v>
      </c>
      <c r="R1177" s="4" t="str">
        <f>IFERROR(IF(O1177&gt;0, P1177/O1177, 0),"-")</f>
        <v>-</v>
      </c>
      <c r="S1177" s="34" t="s">
        <v>959</v>
      </c>
      <c r="T1177" s="34" t="s">
        <v>959</v>
      </c>
      <c r="U1177" s="34" t="s">
        <v>959</v>
      </c>
      <c r="V1177" s="35" t="s">
        <v>959</v>
      </c>
      <c r="W1177" s="35" t="s">
        <v>959</v>
      </c>
    </row>
    <row r="1178" spans="1:23" x14ac:dyDescent="0.2">
      <c r="A1178" s="30" t="s">
        <v>813</v>
      </c>
      <c r="B1178" s="30" t="s">
        <v>1773</v>
      </c>
      <c r="C1178" s="34">
        <v>384</v>
      </c>
      <c r="D1178" s="35">
        <v>359</v>
      </c>
      <c r="E1178" s="34">
        <f>IF(OR(D1178="-",D1178="",D1178=0),IF(C1178="-","-",C1178),C1178-D1178)</f>
        <v>25</v>
      </c>
      <c r="F1178" s="4">
        <f>IFERROR(IF(C1178&gt;0, D1178/C1178, 0),"-")</f>
        <v>0.93489583333333337</v>
      </c>
      <c r="G1178" s="34">
        <v>20</v>
      </c>
      <c r="H1178" s="35">
        <v>9</v>
      </c>
      <c r="I1178" s="34">
        <f>IF(OR(H1178="-",H1178="",H1178=0),IF(G1178="-","-",G1178),G1178-H1178)</f>
        <v>11</v>
      </c>
      <c r="J1178" s="4">
        <f>IFERROR(IF(G1178&gt;0, H1178/G1178, 0),"-")</f>
        <v>0.45</v>
      </c>
      <c r="K1178" s="34">
        <v>8</v>
      </c>
      <c r="L1178" s="35">
        <v>2</v>
      </c>
      <c r="M1178" s="34">
        <f>IF(OR(L1178="-",L1178="",L1178=0),IF(K1178="-","-",K1178),K1178-L1178)</f>
        <v>6</v>
      </c>
      <c r="N1178" s="4">
        <f>IFERROR(IF(K1178&gt;0, L1178/K1178, 0),"-")</f>
        <v>0.25</v>
      </c>
      <c r="O1178" s="34">
        <v>4</v>
      </c>
      <c r="P1178" s="35">
        <v>1</v>
      </c>
      <c r="Q1178" s="34">
        <f>IF(OR(P1178="-",P1178="",P1178=0),IF(O1178="-","-",O1178),O1178-P1178)</f>
        <v>3</v>
      </c>
      <c r="R1178" s="4">
        <f>IFERROR(IF(O1178&gt;0, P1178/O1178, 0),"-")</f>
        <v>0.25</v>
      </c>
      <c r="S1178" s="34">
        <v>6</v>
      </c>
      <c r="T1178" s="34" t="s">
        <v>959</v>
      </c>
      <c r="U1178" s="34" t="s">
        <v>959</v>
      </c>
      <c r="V1178" s="35" t="s">
        <v>959</v>
      </c>
      <c r="W1178" s="35" t="s">
        <v>959</v>
      </c>
    </row>
    <row r="1179" spans="1:23" x14ac:dyDescent="0.2">
      <c r="A1179" s="30" t="s">
        <v>810</v>
      </c>
      <c r="B1179" s="30" t="s">
        <v>1774</v>
      </c>
      <c r="C1179" s="34">
        <v>102</v>
      </c>
      <c r="D1179" s="35">
        <v>95</v>
      </c>
      <c r="E1179" s="34">
        <f>IF(OR(D1179="-",D1179="",D1179=0),IF(C1179="-","-",C1179),C1179-D1179)</f>
        <v>7</v>
      </c>
      <c r="F1179" s="4">
        <f>IFERROR(IF(C1179&gt;0, D1179/C1179, 0),"-")</f>
        <v>0.93137254901960786</v>
      </c>
      <c r="G1179" s="34">
        <v>10</v>
      </c>
      <c r="H1179" s="35">
        <v>7</v>
      </c>
      <c r="I1179" s="34">
        <f>IF(OR(H1179="-",H1179="",H1179=0),IF(G1179="-","-",G1179),G1179-H1179)</f>
        <v>3</v>
      </c>
      <c r="J1179" s="4">
        <f>IFERROR(IF(G1179&gt;0, H1179/G1179, 0),"-")</f>
        <v>0.7</v>
      </c>
      <c r="K1179" s="34">
        <v>5</v>
      </c>
      <c r="L1179" s="35">
        <v>2</v>
      </c>
      <c r="M1179" s="34">
        <f>IF(OR(L1179="-",L1179="",L1179=0),IF(K1179="-","-",K1179),K1179-L1179)</f>
        <v>3</v>
      </c>
      <c r="N1179" s="4">
        <f>IFERROR(IF(K1179&gt;0, L1179/K1179, 0),"-")</f>
        <v>0.4</v>
      </c>
      <c r="O1179" s="34">
        <v>5</v>
      </c>
      <c r="P1179" s="35">
        <v>1</v>
      </c>
      <c r="Q1179" s="34">
        <f>IF(OR(P1179="-",P1179="",P1179=0),IF(O1179="-","-",O1179),O1179-P1179)</f>
        <v>4</v>
      </c>
      <c r="R1179" s="4">
        <f>IFERROR(IF(O1179&gt;0, P1179/O1179, 0),"-")</f>
        <v>0.2</v>
      </c>
      <c r="S1179" s="34">
        <v>9</v>
      </c>
      <c r="T1179" s="34">
        <v>1</v>
      </c>
      <c r="U1179" s="34">
        <v>2695</v>
      </c>
      <c r="V1179" s="35" t="s">
        <v>959</v>
      </c>
      <c r="W1179" s="35" t="s">
        <v>959</v>
      </c>
    </row>
    <row r="1180" spans="1:23" x14ac:dyDescent="0.2">
      <c r="A1180" s="30" t="s">
        <v>812</v>
      </c>
      <c r="B1180" s="30" t="s">
        <v>1775</v>
      </c>
      <c r="C1180" s="34">
        <v>192</v>
      </c>
      <c r="D1180" s="35">
        <v>171</v>
      </c>
      <c r="E1180" s="34">
        <f>IF(OR(D1180="-",D1180="",D1180=0),IF(C1180="-","-",C1180),C1180-D1180)</f>
        <v>21</v>
      </c>
      <c r="F1180" s="4">
        <f>IFERROR(IF(C1180&gt;0, D1180/C1180, 0),"-")</f>
        <v>0.890625</v>
      </c>
      <c r="G1180" s="34">
        <v>14</v>
      </c>
      <c r="H1180" s="35">
        <v>8</v>
      </c>
      <c r="I1180" s="34">
        <f>IF(OR(H1180="-",H1180="",H1180=0),IF(G1180="-","-",G1180),G1180-H1180)</f>
        <v>6</v>
      </c>
      <c r="J1180" s="4">
        <f>IFERROR(IF(G1180&gt;0, H1180/G1180, 0),"-")</f>
        <v>0.5714285714285714</v>
      </c>
      <c r="K1180" s="34">
        <v>4</v>
      </c>
      <c r="L1180" s="35">
        <v>3</v>
      </c>
      <c r="M1180" s="34">
        <f>IF(OR(L1180="-",L1180="",L1180=0),IF(K1180="-","-",K1180),K1180-L1180)</f>
        <v>1</v>
      </c>
      <c r="N1180" s="4">
        <f>IFERROR(IF(K1180&gt;0, L1180/K1180, 0),"-")</f>
        <v>0.75</v>
      </c>
      <c r="O1180" s="34">
        <v>1</v>
      </c>
      <c r="P1180" s="35" t="s">
        <v>959</v>
      </c>
      <c r="Q1180" s="34">
        <f>IF(OR(P1180="-",P1180="",P1180=0),IF(O1180="-","-",O1180),O1180-P1180)</f>
        <v>1</v>
      </c>
      <c r="R1180" s="4" t="str">
        <f>IFERROR(IF(O1180&gt;0, P1180/O1180, 0),"-")</f>
        <v>-</v>
      </c>
      <c r="S1180" s="34">
        <v>5</v>
      </c>
      <c r="T1180" s="34">
        <v>1</v>
      </c>
      <c r="U1180" s="34">
        <v>5300</v>
      </c>
      <c r="V1180" s="35" t="s">
        <v>959</v>
      </c>
      <c r="W1180" s="35" t="s">
        <v>959</v>
      </c>
    </row>
    <row r="1181" spans="1:23" x14ac:dyDescent="0.2">
      <c r="A1181" s="31"/>
      <c r="B1181" s="31" t="s">
        <v>953</v>
      </c>
      <c r="C1181" s="33">
        <v>142205</v>
      </c>
      <c r="D1181" s="33">
        <v>139070</v>
      </c>
      <c r="E1181" s="33">
        <f>IF(OR(D1181="-",D1181="",D1181=0),IF(C1181="-","-",C1181),C1181-D1181)</f>
        <v>3135</v>
      </c>
      <c r="F1181" s="37">
        <f>IFERROR(IF(C1181&gt;0, D1181/C1181, 0),"-")</f>
        <v>0.97795436166098237</v>
      </c>
      <c r="G1181" s="33">
        <v>1797</v>
      </c>
      <c r="H1181" s="33">
        <v>640</v>
      </c>
      <c r="I1181" s="33">
        <f>IF(OR(H1181="-",H1181="",H1181=0),IF(G1181="-","-",G1181),G1181-H1181)</f>
        <v>1157</v>
      </c>
      <c r="J1181" s="37">
        <f>IFERROR(IF(G1181&gt;0, H1181/G1181, 0),"-")</f>
        <v>0.35614913745130772</v>
      </c>
      <c r="K1181" s="33">
        <v>1627</v>
      </c>
      <c r="L1181" s="33">
        <v>522</v>
      </c>
      <c r="M1181" s="33">
        <f>IF(OR(L1181="-",L1181="",L1181=0),IF(K1181="-","-",K1181),K1181-L1181)</f>
        <v>1105</v>
      </c>
      <c r="N1181" s="37">
        <f>IFERROR(IF(K1181&gt;0, L1181/K1181, 0),"-")</f>
        <v>0.3208358942839582</v>
      </c>
      <c r="O1181" s="33">
        <v>2258</v>
      </c>
      <c r="P1181" s="33">
        <v>410</v>
      </c>
      <c r="Q1181" s="33">
        <f>IF(OR(P1181="-",P1181="",P1181=0),IF(O1181="-","-",O1181),O1181-P1181)</f>
        <v>1848</v>
      </c>
      <c r="R1181" s="37">
        <f>IFERROR(IF(O1181&gt;0, P1181/O1181, 0),"-")</f>
        <v>0.18157661647475642</v>
      </c>
      <c r="S1181" s="33">
        <v>118305</v>
      </c>
      <c r="T1181" s="33">
        <v>2177</v>
      </c>
      <c r="U1181" s="33">
        <v>7490087</v>
      </c>
      <c r="V1181" s="33">
        <v>1179</v>
      </c>
      <c r="W1181" s="33">
        <v>26181053</v>
      </c>
    </row>
  </sheetData>
  <sortState xmlns:xlrd2="http://schemas.microsoft.com/office/spreadsheetml/2017/richdata2" ref="B224:Y228">
    <sortCondition ref="X1"/>
  </sortState>
  <mergeCells count="205">
    <mergeCell ref="O237:O238"/>
    <mergeCell ref="P237:P238"/>
    <mergeCell ref="Q237:Q238"/>
    <mergeCell ref="R237:R238"/>
    <mergeCell ref="S237:S238"/>
    <mergeCell ref="I237:I238"/>
    <mergeCell ref="J237:J238"/>
    <mergeCell ref="K237:K238"/>
    <mergeCell ref="L237:L238"/>
    <mergeCell ref="M237:M238"/>
    <mergeCell ref="N237:N238"/>
    <mergeCell ref="V237:W237"/>
    <mergeCell ref="C237:C238"/>
    <mergeCell ref="D237:D238"/>
    <mergeCell ref="E237:E238"/>
    <mergeCell ref="F237:F238"/>
    <mergeCell ref="G237:G238"/>
    <mergeCell ref="H237:H238"/>
    <mergeCell ref="A235:W235"/>
    <mergeCell ref="A236:A238"/>
    <mergeCell ref="B236:B237"/>
    <mergeCell ref="C236:F236"/>
    <mergeCell ref="G236:J236"/>
    <mergeCell ref="K236:N236"/>
    <mergeCell ref="O236:R236"/>
    <mergeCell ref="S236:W236"/>
    <mergeCell ref="T237:U237"/>
    <mergeCell ref="Q222:Q223"/>
    <mergeCell ref="R222:R223"/>
    <mergeCell ref="S222:S223"/>
    <mergeCell ref="X222:X223"/>
    <mergeCell ref="Y222:Y223"/>
    <mergeCell ref="A233:Y233"/>
    <mergeCell ref="K222:K223"/>
    <mergeCell ref="L222:L223"/>
    <mergeCell ref="M222:M223"/>
    <mergeCell ref="N222:N223"/>
    <mergeCell ref="O222:O223"/>
    <mergeCell ref="P222:P223"/>
    <mergeCell ref="E222:E223"/>
    <mergeCell ref="F222:F223"/>
    <mergeCell ref="G222:G223"/>
    <mergeCell ref="H222:H223"/>
    <mergeCell ref="I222:I223"/>
    <mergeCell ref="J222:J223"/>
    <mergeCell ref="O221:R221"/>
    <mergeCell ref="S221:W221"/>
    <mergeCell ref="X221:Y221"/>
    <mergeCell ref="T222:U222"/>
    <mergeCell ref="V222:W222"/>
    <mergeCell ref="C222:C223"/>
    <mergeCell ref="D222:D223"/>
    <mergeCell ref="B218:Y218"/>
    <mergeCell ref="B220:Y220"/>
    <mergeCell ref="B221:B222"/>
    <mergeCell ref="C221:F221"/>
    <mergeCell ref="G221:J221"/>
    <mergeCell ref="K221:N221"/>
    <mergeCell ref="N207:N208"/>
    <mergeCell ref="O207:O208"/>
    <mergeCell ref="P207:P208"/>
    <mergeCell ref="Q207:Q208"/>
    <mergeCell ref="R207:R208"/>
    <mergeCell ref="S207:S208"/>
    <mergeCell ref="H207:H208"/>
    <mergeCell ref="I207:I208"/>
    <mergeCell ref="J207:J208"/>
    <mergeCell ref="K207:K208"/>
    <mergeCell ref="L207:L208"/>
    <mergeCell ref="M207:M208"/>
    <mergeCell ref="T207:U207"/>
    <mergeCell ref="V207:W207"/>
    <mergeCell ref="C207:C208"/>
    <mergeCell ref="D207:D208"/>
    <mergeCell ref="E207:E208"/>
    <mergeCell ref="F207:F208"/>
    <mergeCell ref="G207:G208"/>
    <mergeCell ref="B203:Y203"/>
    <mergeCell ref="B205:Y205"/>
    <mergeCell ref="B206:B207"/>
    <mergeCell ref="C206:F206"/>
    <mergeCell ref="G206:J206"/>
    <mergeCell ref="K206:N206"/>
    <mergeCell ref="O206:R206"/>
    <mergeCell ref="S206:W206"/>
    <mergeCell ref="Y192:Y193"/>
    <mergeCell ref="X206:Y206"/>
    <mergeCell ref="X207:X208"/>
    <mergeCell ref="Y207:Y208"/>
    <mergeCell ref="O192:O193"/>
    <mergeCell ref="P192:P193"/>
    <mergeCell ref="Q192:Q193"/>
    <mergeCell ref="R192:R193"/>
    <mergeCell ref="S192:S193"/>
    <mergeCell ref="X192:X193"/>
    <mergeCell ref="I192:I193"/>
    <mergeCell ref="J192:J193"/>
    <mergeCell ref="K192:K193"/>
    <mergeCell ref="L192:L193"/>
    <mergeCell ref="M192:M193"/>
    <mergeCell ref="N192:N193"/>
    <mergeCell ref="V192:W192"/>
    <mergeCell ref="C192:C193"/>
    <mergeCell ref="D192:D193"/>
    <mergeCell ref="E192:E193"/>
    <mergeCell ref="F192:F193"/>
    <mergeCell ref="G192:G193"/>
    <mergeCell ref="H192:H193"/>
    <mergeCell ref="B188:Y188"/>
    <mergeCell ref="B190:Y190"/>
    <mergeCell ref="B191:B192"/>
    <mergeCell ref="C191:F191"/>
    <mergeCell ref="G191:J191"/>
    <mergeCell ref="K191:N191"/>
    <mergeCell ref="Q55:Q56"/>
    <mergeCell ref="R55:R56"/>
    <mergeCell ref="S55:S56"/>
    <mergeCell ref="X55:X56"/>
    <mergeCell ref="Y55:Y56"/>
    <mergeCell ref="O191:R191"/>
    <mergeCell ref="S191:W191"/>
    <mergeCell ref="X191:Y191"/>
    <mergeCell ref="T192:U192"/>
    <mergeCell ref="K55:K56"/>
    <mergeCell ref="L55:L56"/>
    <mergeCell ref="M55:M56"/>
    <mergeCell ref="N55:N56"/>
    <mergeCell ref="O55:O56"/>
    <mergeCell ref="P55:P56"/>
    <mergeCell ref="E55:E56"/>
    <mergeCell ref="F55:F56"/>
    <mergeCell ref="G55:G56"/>
    <mergeCell ref="H55:H56"/>
    <mergeCell ref="I55:I56"/>
    <mergeCell ref="J55:J56"/>
    <mergeCell ref="O54:R54"/>
    <mergeCell ref="S54:W54"/>
    <mergeCell ref="X54:Y54"/>
    <mergeCell ref="T55:U55"/>
    <mergeCell ref="V55:W55"/>
    <mergeCell ref="C55:C56"/>
    <mergeCell ref="D55:D56"/>
    <mergeCell ref="R17:R18"/>
    <mergeCell ref="S17:S18"/>
    <mergeCell ref="X17:X18"/>
    <mergeCell ref="Y17:Y18"/>
    <mergeCell ref="B53:Y53"/>
    <mergeCell ref="B54:B55"/>
    <mergeCell ref="C54:F54"/>
    <mergeCell ref="G54:J54"/>
    <mergeCell ref="K54:N54"/>
    <mergeCell ref="L17:L18"/>
    <mergeCell ref="M17:M18"/>
    <mergeCell ref="N17:N18"/>
    <mergeCell ref="O17:O18"/>
    <mergeCell ref="P17:P18"/>
    <mergeCell ref="Q17:Q18"/>
    <mergeCell ref="F17:F18"/>
    <mergeCell ref="G17:G18"/>
    <mergeCell ref="H17:H18"/>
    <mergeCell ref="I17:I18"/>
    <mergeCell ref="J17:J18"/>
    <mergeCell ref="K17:K18"/>
    <mergeCell ref="S16:W16"/>
    <mergeCell ref="X16:Y16"/>
    <mergeCell ref="T17:U17"/>
    <mergeCell ref="V17:W17"/>
    <mergeCell ref="C17:C18"/>
    <mergeCell ref="D17:D18"/>
    <mergeCell ref="E17:E18"/>
    <mergeCell ref="B15:Y15"/>
    <mergeCell ref="B16:B17"/>
    <mergeCell ref="C16:F16"/>
    <mergeCell ref="G16:J16"/>
    <mergeCell ref="K16:N16"/>
    <mergeCell ref="O16:R16"/>
    <mergeCell ref="X4:X5"/>
    <mergeCell ref="Y4:Y5"/>
    <mergeCell ref="N4:N5"/>
    <mergeCell ref="O4:O5"/>
    <mergeCell ref="P4:P5"/>
    <mergeCell ref="Q4:Q5"/>
    <mergeCell ref="R4:R5"/>
    <mergeCell ref="S4:S5"/>
    <mergeCell ref="H4:H5"/>
    <mergeCell ref="I4:I5"/>
    <mergeCell ref="J4:J5"/>
    <mergeCell ref="K4:K5"/>
    <mergeCell ref="L4:L5"/>
    <mergeCell ref="M4:M5"/>
    <mergeCell ref="T4:U4"/>
    <mergeCell ref="V4:W4"/>
    <mergeCell ref="C4:C5"/>
    <mergeCell ref="D4:D5"/>
    <mergeCell ref="E4:E5"/>
    <mergeCell ref="F4:F5"/>
    <mergeCell ref="G4:G5"/>
    <mergeCell ref="B2:Y2"/>
    <mergeCell ref="B3:B4"/>
    <mergeCell ref="C3:F3"/>
    <mergeCell ref="G3:J3"/>
    <mergeCell ref="K3:N3"/>
    <mergeCell ref="O3:R3"/>
    <mergeCell ref="S3:W3"/>
    <mergeCell ref="X3:Y3"/>
  </mergeCells>
  <conditionalFormatting sqref="F6:F10">
    <cfRule type="iconSet" priority="1">
      <iconSet iconSet="3Arrows">
        <cfvo type="percent" val="0"/>
        <cfvo type="formula" val="$F$11"/>
        <cfvo type="formula" val="$F$11"/>
      </iconSet>
    </cfRule>
    <cfRule type="top10" dxfId="147" priority="5" rank="3"/>
    <cfRule type="top10" dxfId="146" priority="6" bottom="1" rank="3"/>
  </conditionalFormatting>
  <conditionalFormatting sqref="J6:J10">
    <cfRule type="iconSet" priority="2">
      <iconSet iconSet="3Arrows">
        <cfvo type="percent" val="0"/>
        <cfvo type="formula" val="$J$11"/>
        <cfvo type="formula" val="$J$11"/>
      </iconSet>
    </cfRule>
    <cfRule type="top10" dxfId="145" priority="7" rank="3"/>
    <cfRule type="top10" dxfId="144" priority="8" bottom="1" rank="3"/>
  </conditionalFormatting>
  <conditionalFormatting sqref="N6:N10">
    <cfRule type="iconSet" priority="3">
      <iconSet iconSet="3Arrows">
        <cfvo type="percent" val="0"/>
        <cfvo type="formula" val="$N$11"/>
        <cfvo type="formula" val="$N$11"/>
      </iconSet>
    </cfRule>
    <cfRule type="top10" dxfId="143" priority="9" rank="3"/>
    <cfRule type="top10" dxfId="142" priority="10" bottom="1" rank="3"/>
  </conditionalFormatting>
  <conditionalFormatting sqref="R6:R10">
    <cfRule type="iconSet" priority="4">
      <iconSet iconSet="3Arrows">
        <cfvo type="percent" val="0"/>
        <cfvo type="formula" val="$R$11"/>
        <cfvo type="formula" val="$R$11"/>
      </iconSet>
    </cfRule>
    <cfRule type="top10" dxfId="141" priority="11" rank="3"/>
    <cfRule type="top10" dxfId="140" priority="12" bottom="1" rank="3"/>
  </conditionalFormatting>
  <conditionalFormatting sqref="Y6:Y10">
    <cfRule type="containsText" dxfId="139" priority="13" stopIfTrue="1" operator="containsText" text="Above Average">
      <formula>NOT(ISERROR(SEARCH("Above Average",Y6)))</formula>
    </cfRule>
    <cfRule type="containsText" dxfId="138" priority="14" stopIfTrue="1" operator="containsText" text="Below Average">
      <formula>NOT(ISERROR(SEARCH("Below Average",Y6)))</formula>
    </cfRule>
    <cfRule type="containsText" dxfId="137" priority="15" stopIfTrue="1" operator="containsText" text="N/A">
      <formula>NOT(ISERROR(SEARCH("N/A",Y6)))</formula>
    </cfRule>
  </conditionalFormatting>
  <conditionalFormatting sqref="F19:F48">
    <cfRule type="iconSet" priority="28">
      <iconSet iconSet="3Arrows">
        <cfvo type="percent" val="0"/>
        <cfvo type="formula" val="$F$49"/>
        <cfvo type="formula" val="$F$49"/>
      </iconSet>
    </cfRule>
  </conditionalFormatting>
  <conditionalFormatting sqref="J19:J48">
    <cfRule type="iconSet" priority="29">
      <iconSet iconSet="3Arrows">
        <cfvo type="percent" val="0"/>
        <cfvo type="formula" val="$J$49"/>
        <cfvo type="formula" val="$J$49"/>
      </iconSet>
    </cfRule>
  </conditionalFormatting>
  <conditionalFormatting sqref="N19:N48">
    <cfRule type="iconSet" priority="30">
      <iconSet iconSet="3Arrows">
        <cfvo type="percent" val="0"/>
        <cfvo type="formula" val="$N$49"/>
        <cfvo type="formula" val="$N$49"/>
      </iconSet>
    </cfRule>
  </conditionalFormatting>
  <conditionalFormatting sqref="R19:R48">
    <cfRule type="iconSet" priority="31">
      <iconSet iconSet="3Arrows">
        <cfvo type="percent" val="0"/>
        <cfvo type="formula" val="$R$49"/>
        <cfvo type="formula" val="$R$49"/>
      </iconSet>
    </cfRule>
  </conditionalFormatting>
  <conditionalFormatting sqref="F19:F48">
    <cfRule type="top10" dxfId="128" priority="32" rank="3"/>
  </conditionalFormatting>
  <conditionalFormatting sqref="F19:F48">
    <cfRule type="top10" dxfId="127" priority="33" bottom="1" rank="3"/>
  </conditionalFormatting>
  <conditionalFormatting sqref="J19:J48">
    <cfRule type="top10" dxfId="126" priority="34" rank="3"/>
  </conditionalFormatting>
  <conditionalFormatting sqref="J19:J48">
    <cfRule type="top10" dxfId="125" priority="35" bottom="1" rank="3"/>
  </conditionalFormatting>
  <conditionalFormatting sqref="N19:N48">
    <cfRule type="top10" dxfId="124" priority="36" rank="3"/>
  </conditionalFormatting>
  <conditionalFormatting sqref="N19:N48">
    <cfRule type="top10" dxfId="123" priority="37" bottom="1" rank="3"/>
  </conditionalFormatting>
  <conditionalFormatting sqref="R19:R48">
    <cfRule type="top10" dxfId="122" priority="38" rank="3"/>
  </conditionalFormatting>
  <conditionalFormatting sqref="R19:R48">
    <cfRule type="top10" dxfId="121" priority="39" bottom="1" rank="3"/>
  </conditionalFormatting>
  <conditionalFormatting sqref="Y19:Y48">
    <cfRule type="containsText" dxfId="120" priority="40" stopIfTrue="1" operator="containsText" text="Above Average">
      <formula>NOT(ISERROR(SEARCH("Above Average",Y19)))</formula>
    </cfRule>
  </conditionalFormatting>
  <conditionalFormatting sqref="Y19:Y48">
    <cfRule type="containsText" dxfId="119" priority="41" stopIfTrue="1" operator="containsText" text="Below Average">
      <formula>NOT(ISERROR(SEARCH("Below Average",Y19)))</formula>
    </cfRule>
  </conditionalFormatting>
  <conditionalFormatting sqref="Y19:Y48">
    <cfRule type="containsText" dxfId="118" priority="42" stopIfTrue="1" operator="containsText" text="N/A">
      <formula>NOT(ISERROR(SEARCH("N/A",Y19)))</formula>
    </cfRule>
  </conditionalFormatting>
  <conditionalFormatting sqref="F57:F183">
    <cfRule type="iconSet" priority="43">
      <iconSet iconSet="3Arrows">
        <cfvo type="percent" val="0"/>
        <cfvo type="formula" val="$F$184"/>
        <cfvo type="formula" val="$F$184"/>
      </iconSet>
    </cfRule>
  </conditionalFormatting>
  <conditionalFormatting sqref="J57:J183">
    <cfRule type="iconSet" priority="44">
      <iconSet iconSet="3Arrows">
        <cfvo type="percent" val="0"/>
        <cfvo type="formula" val="$J$184"/>
        <cfvo type="formula" val="$J$184"/>
      </iconSet>
    </cfRule>
  </conditionalFormatting>
  <conditionalFormatting sqref="N57:N183">
    <cfRule type="iconSet" priority="45">
      <iconSet iconSet="3Arrows">
        <cfvo type="percent" val="0"/>
        <cfvo type="formula" val="$N$184"/>
        <cfvo type="formula" val="$N$184"/>
      </iconSet>
    </cfRule>
  </conditionalFormatting>
  <conditionalFormatting sqref="R57:R183">
    <cfRule type="iconSet" priority="46">
      <iconSet iconSet="3Arrows">
        <cfvo type="percent" val="0"/>
        <cfvo type="formula" val="$R$184"/>
        <cfvo type="formula" val="$R$184"/>
      </iconSet>
    </cfRule>
  </conditionalFormatting>
  <conditionalFormatting sqref="F57:F183">
    <cfRule type="top10" dxfId="117" priority="47" rank="3"/>
  </conditionalFormatting>
  <conditionalFormatting sqref="F57:F183">
    <cfRule type="top10" dxfId="116" priority="48" bottom="1" rank="3"/>
  </conditionalFormatting>
  <conditionalFormatting sqref="J57:J183">
    <cfRule type="top10" dxfId="115" priority="49" rank="3"/>
  </conditionalFormatting>
  <conditionalFormatting sqref="J57:J183">
    <cfRule type="top10" dxfId="114" priority="50" bottom="1" rank="3"/>
  </conditionalFormatting>
  <conditionalFormatting sqref="N57:N183">
    <cfRule type="top10" dxfId="113" priority="51" rank="3"/>
  </conditionalFormatting>
  <conditionalFormatting sqref="N57:N183">
    <cfRule type="top10" dxfId="112" priority="52" bottom="1" rank="3"/>
  </conditionalFormatting>
  <conditionalFormatting sqref="R57:R183">
    <cfRule type="top10" dxfId="111" priority="53" rank="3"/>
  </conditionalFormatting>
  <conditionalFormatting sqref="R57:R183">
    <cfRule type="top10" dxfId="110" priority="54" bottom="1" rank="3"/>
  </conditionalFormatting>
  <conditionalFormatting sqref="Y57:Y183">
    <cfRule type="containsText" dxfId="109" priority="55" stopIfTrue="1" operator="containsText" text="Above Average">
      <formula>NOT(ISERROR(SEARCH("Above Average",Y57)))</formula>
    </cfRule>
  </conditionalFormatting>
  <conditionalFormatting sqref="Y57:Y183">
    <cfRule type="containsText" dxfId="108" priority="56" stopIfTrue="1" operator="containsText" text="Below Average">
      <formula>NOT(ISERROR(SEARCH("Below Average",Y57)))</formula>
    </cfRule>
  </conditionalFormatting>
  <conditionalFormatting sqref="Y57:Y183">
    <cfRule type="containsText" dxfId="107" priority="57" stopIfTrue="1" operator="containsText" text="N/A">
      <formula>NOT(ISERROR(SEARCH("N/A",Y57)))</formula>
    </cfRule>
  </conditionalFormatting>
  <conditionalFormatting sqref="F194:F198">
    <cfRule type="iconSet" priority="58">
      <iconSet iconSet="3Arrows">
        <cfvo type="percent" val="0"/>
        <cfvo type="formula" val="$F$199"/>
        <cfvo type="formula" val="$F$199"/>
      </iconSet>
    </cfRule>
  </conditionalFormatting>
  <conditionalFormatting sqref="J194:J198">
    <cfRule type="iconSet" priority="59">
      <iconSet iconSet="3Arrows">
        <cfvo type="percent" val="0"/>
        <cfvo type="formula" val="$J$199"/>
        <cfvo type="formula" val="$J$199"/>
      </iconSet>
    </cfRule>
  </conditionalFormatting>
  <conditionalFormatting sqref="N194:N198">
    <cfRule type="iconSet" priority="60">
      <iconSet iconSet="3Arrows">
        <cfvo type="percent" val="0"/>
        <cfvo type="formula" val="$N$199"/>
        <cfvo type="formula" val="$N$199"/>
      </iconSet>
    </cfRule>
  </conditionalFormatting>
  <conditionalFormatting sqref="R194:R198">
    <cfRule type="iconSet" priority="61">
      <iconSet iconSet="3Arrows">
        <cfvo type="percent" val="0"/>
        <cfvo type="formula" val="$R$199"/>
        <cfvo type="formula" val="$R$199"/>
      </iconSet>
    </cfRule>
  </conditionalFormatting>
  <conditionalFormatting sqref="F194:F198">
    <cfRule type="top10" dxfId="106" priority="62" rank="3"/>
  </conditionalFormatting>
  <conditionalFormatting sqref="F194:F198">
    <cfRule type="top10" dxfId="105" priority="63" bottom="1" rank="3"/>
  </conditionalFormatting>
  <conditionalFormatting sqref="J194:J198">
    <cfRule type="top10" dxfId="104" priority="64" rank="3"/>
  </conditionalFormatting>
  <conditionalFormatting sqref="J194:J198">
    <cfRule type="top10" dxfId="103" priority="65" bottom="1" rank="3"/>
  </conditionalFormatting>
  <conditionalFormatting sqref="N194:N198">
    <cfRule type="top10" dxfId="102" priority="66" rank="3"/>
  </conditionalFormatting>
  <conditionalFormatting sqref="N194:N198">
    <cfRule type="top10" dxfId="101" priority="67" bottom="1" rank="3"/>
  </conditionalFormatting>
  <conditionalFormatting sqref="R194:R198">
    <cfRule type="top10" dxfId="100" priority="68" rank="3"/>
  </conditionalFormatting>
  <conditionalFormatting sqref="R194:R198">
    <cfRule type="top10" dxfId="99" priority="69" bottom="1" rank="3"/>
  </conditionalFormatting>
  <conditionalFormatting sqref="Y194:Y198">
    <cfRule type="containsText" dxfId="98" priority="70" stopIfTrue="1" operator="containsText" text="Above Average">
      <formula>NOT(ISERROR(SEARCH("Above Average",Y194)))</formula>
    </cfRule>
  </conditionalFormatting>
  <conditionalFormatting sqref="Y194:Y198">
    <cfRule type="containsText" dxfId="97" priority="71" stopIfTrue="1" operator="containsText" text="Below Average">
      <formula>NOT(ISERROR(SEARCH("Below Average",Y194)))</formula>
    </cfRule>
  </conditionalFormatting>
  <conditionalFormatting sqref="Y194:Y198">
    <cfRule type="containsText" dxfId="96" priority="72" stopIfTrue="1" operator="containsText" text="N/A">
      <formula>NOT(ISERROR(SEARCH("N/A",Y194)))</formula>
    </cfRule>
  </conditionalFormatting>
  <conditionalFormatting sqref="F209:F213">
    <cfRule type="iconSet" priority="73">
      <iconSet iconSet="3Arrows">
        <cfvo type="percent" val="0"/>
        <cfvo type="formula" val="$F$214"/>
        <cfvo type="formula" val="$F$214"/>
      </iconSet>
    </cfRule>
  </conditionalFormatting>
  <conditionalFormatting sqref="J209:J213">
    <cfRule type="iconSet" priority="74">
      <iconSet iconSet="3Arrows">
        <cfvo type="percent" val="0"/>
        <cfvo type="formula" val="$J$214"/>
        <cfvo type="formula" val="$J$214"/>
      </iconSet>
    </cfRule>
  </conditionalFormatting>
  <conditionalFormatting sqref="N209:N213">
    <cfRule type="iconSet" priority="75">
      <iconSet iconSet="3Arrows">
        <cfvo type="percent" val="0"/>
        <cfvo type="formula" val="$N$214"/>
        <cfvo type="formula" val="$N$214"/>
      </iconSet>
    </cfRule>
  </conditionalFormatting>
  <conditionalFormatting sqref="R209:R213">
    <cfRule type="iconSet" priority="76">
      <iconSet iconSet="3Arrows">
        <cfvo type="percent" val="0"/>
        <cfvo type="formula" val="$R$214"/>
        <cfvo type="formula" val="$R$214"/>
      </iconSet>
    </cfRule>
  </conditionalFormatting>
  <conditionalFormatting sqref="F209:F213">
    <cfRule type="top10" dxfId="95" priority="77" rank="3"/>
  </conditionalFormatting>
  <conditionalFormatting sqref="F209:F213">
    <cfRule type="top10" dxfId="94" priority="78" bottom="1" rank="3"/>
  </conditionalFormatting>
  <conditionalFormatting sqref="J209:J213">
    <cfRule type="top10" dxfId="93" priority="79" rank="3"/>
  </conditionalFormatting>
  <conditionalFormatting sqref="J209:J213">
    <cfRule type="top10" dxfId="92" priority="80" bottom="1" rank="3"/>
  </conditionalFormatting>
  <conditionalFormatting sqref="N209:N213">
    <cfRule type="top10" dxfId="91" priority="81" rank="3"/>
  </conditionalFormatting>
  <conditionalFormatting sqref="N209:N213">
    <cfRule type="top10" dxfId="90" priority="82" bottom="1" rank="3"/>
  </conditionalFormatting>
  <conditionalFormatting sqref="R209:R213">
    <cfRule type="top10" dxfId="89" priority="83" rank="3"/>
  </conditionalFormatting>
  <conditionalFormatting sqref="R209:R213">
    <cfRule type="top10" dxfId="88" priority="84" bottom="1" rank="3"/>
  </conditionalFormatting>
  <conditionalFormatting sqref="Y209:Y213">
    <cfRule type="containsText" dxfId="87" priority="85" stopIfTrue="1" operator="containsText" text="Above Average">
      <formula>NOT(ISERROR(SEARCH("Above Average",Y209)))</formula>
    </cfRule>
  </conditionalFormatting>
  <conditionalFormatting sqref="Y209:Y213">
    <cfRule type="containsText" dxfId="86" priority="86" stopIfTrue="1" operator="containsText" text="Below Average">
      <formula>NOT(ISERROR(SEARCH("Below Average",Y209)))</formula>
    </cfRule>
  </conditionalFormatting>
  <conditionalFormatting sqref="Y209:Y213">
    <cfRule type="containsText" dxfId="85" priority="87" stopIfTrue="1" operator="containsText" text="N/A">
      <formula>NOT(ISERROR(SEARCH("N/A",Y209)))</formula>
    </cfRule>
  </conditionalFormatting>
  <conditionalFormatting sqref="F224:F228">
    <cfRule type="iconSet" priority="88">
      <iconSet iconSet="3Arrows">
        <cfvo type="percent" val="0"/>
        <cfvo type="formula" val="$F$229"/>
        <cfvo type="formula" val="$F$229"/>
      </iconSet>
    </cfRule>
  </conditionalFormatting>
  <conditionalFormatting sqref="J224:J228">
    <cfRule type="iconSet" priority="89">
      <iconSet iconSet="3Arrows">
        <cfvo type="percent" val="0"/>
        <cfvo type="formula" val="$J$229"/>
        <cfvo type="formula" val="$J$229"/>
      </iconSet>
    </cfRule>
  </conditionalFormatting>
  <conditionalFormatting sqref="N224:N228">
    <cfRule type="iconSet" priority="90">
      <iconSet iconSet="3Arrows">
        <cfvo type="percent" val="0"/>
        <cfvo type="formula" val="$N$229"/>
        <cfvo type="formula" val="$N$229"/>
      </iconSet>
    </cfRule>
  </conditionalFormatting>
  <conditionalFormatting sqref="R224:R228">
    <cfRule type="iconSet" priority="91">
      <iconSet iconSet="3Arrows">
        <cfvo type="percent" val="0"/>
        <cfvo type="formula" val="$R$229"/>
        <cfvo type="formula" val="$R$229"/>
      </iconSet>
    </cfRule>
  </conditionalFormatting>
  <conditionalFormatting sqref="F224:F228">
    <cfRule type="top10" dxfId="84" priority="92" rank="3"/>
  </conditionalFormatting>
  <conditionalFormatting sqref="F224:F228">
    <cfRule type="top10" dxfId="83" priority="93" bottom="1" rank="3"/>
  </conditionalFormatting>
  <conditionalFormatting sqref="J224:J228">
    <cfRule type="top10" dxfId="82" priority="94" rank="3"/>
  </conditionalFormatting>
  <conditionalFormatting sqref="J224:J228">
    <cfRule type="top10" dxfId="81" priority="95" bottom="1" rank="3"/>
  </conditionalFormatting>
  <conditionalFormatting sqref="N224:N228">
    <cfRule type="top10" dxfId="80" priority="96" rank="3"/>
  </conditionalFormatting>
  <conditionalFormatting sqref="N224:N228">
    <cfRule type="top10" dxfId="79" priority="97" bottom="1" rank="3"/>
  </conditionalFormatting>
  <conditionalFormatting sqref="R224:R228">
    <cfRule type="top10" dxfId="78" priority="98" rank="3"/>
  </conditionalFormatting>
  <conditionalFormatting sqref="R224:R228">
    <cfRule type="top10" dxfId="77" priority="99" bottom="1" rank="3"/>
  </conditionalFormatting>
  <conditionalFormatting sqref="Y224:Y228">
    <cfRule type="containsText" dxfId="76" priority="100" stopIfTrue="1" operator="containsText" text="Above Average">
      <formula>NOT(ISERROR(SEARCH("Above Average",Y224)))</formula>
    </cfRule>
  </conditionalFormatting>
  <conditionalFormatting sqref="Y224:Y228">
    <cfRule type="containsText" dxfId="75" priority="101" stopIfTrue="1" operator="containsText" text="Below Average">
      <formula>NOT(ISERROR(SEARCH("Below Average",Y224)))</formula>
    </cfRule>
  </conditionalFormatting>
  <conditionalFormatting sqref="Y224:Y228">
    <cfRule type="containsText" dxfId="74" priority="102" stopIfTrue="1" operator="containsText" text="N/A">
      <formula>NOT(ISERROR(SEARCH("N/A",Y224)))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0785-BF25-444F-9D70-9A7CB50C6C65}">
  <sheetPr codeName="Sheet3"/>
  <dimension ref="A1:E1181"/>
  <sheetViews>
    <sheetView workbookViewId="0">
      <selection activeCell="B1" sqref="B1:E1194"/>
    </sheetView>
  </sheetViews>
  <sheetFormatPr baseColWidth="10" defaultRowHeight="15" x14ac:dyDescent="0.2"/>
  <cols>
    <col min="1" max="1" width="24.5" bestFit="1" customWidth="1"/>
    <col min="2" max="2" width="35.6640625" bestFit="1" customWidth="1"/>
    <col min="3" max="5" width="10.83203125" customWidth="1"/>
  </cols>
  <sheetData>
    <row r="1" spans="1:5" ht="19" x14ac:dyDescent="0.25">
      <c r="A1" s="1" t="s">
        <v>1776</v>
      </c>
    </row>
    <row r="2" spans="1:5" x14ac:dyDescent="0.2">
      <c r="B2" s="2" t="s">
        <v>966</v>
      </c>
      <c r="C2" s="2"/>
      <c r="D2" s="2"/>
      <c r="E2" s="2"/>
    </row>
    <row r="3" spans="1:5" x14ac:dyDescent="0.2">
      <c r="B3" s="6" t="s">
        <v>958</v>
      </c>
      <c r="C3" s="2" t="s">
        <v>967</v>
      </c>
      <c r="D3" s="2"/>
      <c r="E3" s="2"/>
    </row>
    <row r="4" spans="1:5" x14ac:dyDescent="0.2">
      <c r="B4" s="6"/>
      <c r="C4" s="8" t="s">
        <v>961</v>
      </c>
      <c r="D4" s="9" t="s">
        <v>972</v>
      </c>
      <c r="E4" s="10" t="s">
        <v>956</v>
      </c>
    </row>
    <row r="5" spans="1:5" x14ac:dyDescent="0.2">
      <c r="C5" s="8"/>
      <c r="D5" s="9"/>
      <c r="E5" s="10"/>
    </row>
    <row r="6" spans="1:5" x14ac:dyDescent="0.2">
      <c r="B6" s="17" t="s">
        <v>7</v>
      </c>
      <c r="C6" s="18" t="s">
        <v>959</v>
      </c>
      <c r="D6" s="19" t="s">
        <v>959</v>
      </c>
      <c r="E6" s="20" t="s">
        <v>959</v>
      </c>
    </row>
    <row r="7" spans="1:5" x14ac:dyDescent="0.2">
      <c r="B7" s="17" t="s">
        <v>2</v>
      </c>
      <c r="C7" s="18" t="s">
        <v>959</v>
      </c>
      <c r="D7" s="19" t="s">
        <v>959</v>
      </c>
      <c r="E7" s="20" t="s">
        <v>959</v>
      </c>
    </row>
    <row r="8" spans="1:5" x14ac:dyDescent="0.2">
      <c r="B8" s="17" t="s">
        <v>20</v>
      </c>
      <c r="C8" s="18">
        <v>2</v>
      </c>
      <c r="D8" s="19" t="s">
        <v>959</v>
      </c>
      <c r="E8" s="20" t="s">
        <v>959</v>
      </c>
    </row>
    <row r="9" spans="1:5" x14ac:dyDescent="0.2">
      <c r="B9" s="17" t="s">
        <v>1</v>
      </c>
      <c r="C9" s="18">
        <v>1</v>
      </c>
      <c r="D9" s="19" t="s">
        <v>959</v>
      </c>
      <c r="E9" s="20" t="s">
        <v>959</v>
      </c>
    </row>
    <row r="10" spans="1:5" x14ac:dyDescent="0.2">
      <c r="B10" s="17" t="s">
        <v>0</v>
      </c>
      <c r="C10" s="18" t="s">
        <v>959</v>
      </c>
      <c r="D10" s="19" t="s">
        <v>959</v>
      </c>
      <c r="E10" s="20" t="s">
        <v>959</v>
      </c>
    </row>
    <row r="11" spans="1:5" x14ac:dyDescent="0.2">
      <c r="B11" s="15" t="s">
        <v>953</v>
      </c>
      <c r="C11" s="16">
        <v>3</v>
      </c>
      <c r="D11" s="16">
        <v>0</v>
      </c>
      <c r="E11" s="21">
        <v>0</v>
      </c>
    </row>
    <row r="15" spans="1:5" x14ac:dyDescent="0.2">
      <c r="B15" s="2" t="s">
        <v>976</v>
      </c>
      <c r="C15" s="2"/>
      <c r="D15" s="2"/>
      <c r="E15" s="2"/>
    </row>
    <row r="16" spans="1:5" x14ac:dyDescent="0.2">
      <c r="B16" s="6" t="s">
        <v>957</v>
      </c>
      <c r="C16" s="2" t="s">
        <v>967</v>
      </c>
      <c r="D16" s="2"/>
      <c r="E16" s="2"/>
    </row>
    <row r="17" spans="2:5" x14ac:dyDescent="0.2">
      <c r="B17" s="6"/>
      <c r="C17" s="8" t="s">
        <v>961</v>
      </c>
      <c r="D17" s="9" t="s">
        <v>972</v>
      </c>
      <c r="E17" s="10" t="s">
        <v>956</v>
      </c>
    </row>
    <row r="18" spans="2:5" x14ac:dyDescent="0.2">
      <c r="C18" s="8"/>
      <c r="D18" s="9"/>
      <c r="E18" s="10"/>
    </row>
    <row r="19" spans="2:5" x14ac:dyDescent="0.2">
      <c r="B19" s="17" t="s">
        <v>16</v>
      </c>
      <c r="C19" s="18" t="s">
        <v>959</v>
      </c>
      <c r="D19" s="19" t="s">
        <v>959</v>
      </c>
      <c r="E19" s="20" t="s">
        <v>959</v>
      </c>
    </row>
    <row r="20" spans="2:5" x14ac:dyDescent="0.2">
      <c r="B20" s="17" t="s">
        <v>12</v>
      </c>
      <c r="C20" s="18" t="s">
        <v>959</v>
      </c>
      <c r="D20" s="19" t="s">
        <v>959</v>
      </c>
      <c r="E20" s="20" t="s">
        <v>959</v>
      </c>
    </row>
    <row r="21" spans="2:5" x14ac:dyDescent="0.2">
      <c r="B21" s="17" t="s">
        <v>7</v>
      </c>
      <c r="C21" s="18" t="s">
        <v>959</v>
      </c>
      <c r="D21" s="19" t="s">
        <v>959</v>
      </c>
      <c r="E21" s="20" t="s">
        <v>959</v>
      </c>
    </row>
    <row r="22" spans="2:5" x14ac:dyDescent="0.2">
      <c r="B22" s="17" t="s">
        <v>952</v>
      </c>
      <c r="C22" s="18" t="s">
        <v>959</v>
      </c>
      <c r="D22" s="19" t="s">
        <v>959</v>
      </c>
      <c r="E22" s="20" t="s">
        <v>959</v>
      </c>
    </row>
    <row r="23" spans="2:5" x14ac:dyDescent="0.2">
      <c r="B23" s="17" t="s">
        <v>30</v>
      </c>
      <c r="C23" s="18" t="s">
        <v>959</v>
      </c>
      <c r="D23" s="19" t="s">
        <v>959</v>
      </c>
      <c r="E23" s="20" t="s">
        <v>959</v>
      </c>
    </row>
    <row r="24" spans="2:5" x14ac:dyDescent="0.2">
      <c r="B24" s="17" t="s">
        <v>14</v>
      </c>
      <c r="C24" s="18" t="s">
        <v>959</v>
      </c>
      <c r="D24" s="19" t="s">
        <v>959</v>
      </c>
      <c r="E24" s="20" t="s">
        <v>959</v>
      </c>
    </row>
    <row r="25" spans="2:5" x14ac:dyDescent="0.2">
      <c r="B25" s="17" t="s">
        <v>17</v>
      </c>
      <c r="C25" s="18">
        <v>1</v>
      </c>
      <c r="D25" s="19" t="s">
        <v>959</v>
      </c>
      <c r="E25" s="20" t="s">
        <v>959</v>
      </c>
    </row>
    <row r="26" spans="2:5" x14ac:dyDescent="0.2">
      <c r="B26" s="17" t="s">
        <v>24</v>
      </c>
      <c r="C26" s="18" t="s">
        <v>959</v>
      </c>
      <c r="D26" s="19" t="s">
        <v>959</v>
      </c>
      <c r="E26" s="20" t="s">
        <v>959</v>
      </c>
    </row>
    <row r="27" spans="2:5" x14ac:dyDescent="0.2">
      <c r="B27" s="17" t="s">
        <v>8</v>
      </c>
      <c r="C27" s="18" t="s">
        <v>959</v>
      </c>
      <c r="D27" s="19" t="s">
        <v>959</v>
      </c>
      <c r="E27" s="20" t="s">
        <v>959</v>
      </c>
    </row>
    <row r="28" spans="2:5" x14ac:dyDescent="0.2">
      <c r="B28" s="17" t="s">
        <v>4</v>
      </c>
      <c r="C28" s="18" t="s">
        <v>959</v>
      </c>
      <c r="D28" s="19" t="s">
        <v>959</v>
      </c>
      <c r="E28" s="20" t="s">
        <v>959</v>
      </c>
    </row>
    <row r="29" spans="2:5" x14ac:dyDescent="0.2">
      <c r="B29" s="17" t="s">
        <v>9</v>
      </c>
      <c r="C29" s="18" t="s">
        <v>959</v>
      </c>
      <c r="D29" s="19" t="s">
        <v>959</v>
      </c>
      <c r="E29" s="20" t="s">
        <v>959</v>
      </c>
    </row>
    <row r="30" spans="2:5" x14ac:dyDescent="0.2">
      <c r="B30" s="17" t="s">
        <v>28</v>
      </c>
      <c r="C30" s="18" t="s">
        <v>959</v>
      </c>
      <c r="D30" s="19" t="s">
        <v>959</v>
      </c>
      <c r="E30" s="20" t="s">
        <v>959</v>
      </c>
    </row>
    <row r="31" spans="2:5" x14ac:dyDescent="0.2">
      <c r="B31" s="17" t="s">
        <v>13</v>
      </c>
      <c r="C31" s="18" t="s">
        <v>959</v>
      </c>
      <c r="D31" s="19" t="s">
        <v>959</v>
      </c>
      <c r="E31" s="20" t="s">
        <v>959</v>
      </c>
    </row>
    <row r="32" spans="2:5" x14ac:dyDescent="0.2">
      <c r="B32" s="17" t="s">
        <v>26</v>
      </c>
      <c r="C32" s="18" t="s">
        <v>959</v>
      </c>
      <c r="D32" s="19" t="s">
        <v>959</v>
      </c>
      <c r="E32" s="20" t="s">
        <v>959</v>
      </c>
    </row>
    <row r="33" spans="2:5" x14ac:dyDescent="0.2">
      <c r="B33" s="17" t="s">
        <v>5</v>
      </c>
      <c r="C33" s="18" t="s">
        <v>959</v>
      </c>
      <c r="D33" s="19" t="s">
        <v>959</v>
      </c>
      <c r="E33" s="20" t="s">
        <v>959</v>
      </c>
    </row>
    <row r="34" spans="2:5" x14ac:dyDescent="0.2">
      <c r="B34" s="17" t="s">
        <v>11</v>
      </c>
      <c r="C34" s="18" t="s">
        <v>959</v>
      </c>
      <c r="D34" s="19" t="s">
        <v>959</v>
      </c>
      <c r="E34" s="20" t="s">
        <v>959</v>
      </c>
    </row>
    <row r="35" spans="2:5" x14ac:dyDescent="0.2">
      <c r="B35" s="17" t="s">
        <v>22</v>
      </c>
      <c r="C35" s="18" t="s">
        <v>959</v>
      </c>
      <c r="D35" s="19" t="s">
        <v>959</v>
      </c>
      <c r="E35" s="20" t="s">
        <v>959</v>
      </c>
    </row>
    <row r="36" spans="2:5" x14ac:dyDescent="0.2">
      <c r="B36" s="17" t="s">
        <v>25</v>
      </c>
      <c r="C36" s="18" t="s">
        <v>959</v>
      </c>
      <c r="D36" s="19" t="s">
        <v>959</v>
      </c>
      <c r="E36" s="20" t="s">
        <v>959</v>
      </c>
    </row>
    <row r="37" spans="2:5" x14ac:dyDescent="0.2">
      <c r="B37" s="17" t="s">
        <v>21</v>
      </c>
      <c r="C37" s="18" t="s">
        <v>959</v>
      </c>
      <c r="D37" s="19" t="s">
        <v>959</v>
      </c>
      <c r="E37" s="20" t="s">
        <v>959</v>
      </c>
    </row>
    <row r="38" spans="2:5" x14ac:dyDescent="0.2">
      <c r="B38" s="17" t="s">
        <v>3</v>
      </c>
      <c r="C38" s="18" t="s">
        <v>959</v>
      </c>
      <c r="D38" s="19" t="s">
        <v>959</v>
      </c>
      <c r="E38" s="20" t="s">
        <v>959</v>
      </c>
    </row>
    <row r="39" spans="2:5" x14ac:dyDescent="0.2">
      <c r="B39" s="17" t="s">
        <v>18</v>
      </c>
      <c r="C39" s="18" t="s">
        <v>959</v>
      </c>
      <c r="D39" s="19" t="s">
        <v>959</v>
      </c>
      <c r="E39" s="20" t="s">
        <v>959</v>
      </c>
    </row>
    <row r="40" spans="2:5" x14ac:dyDescent="0.2">
      <c r="B40" s="17" t="s">
        <v>23</v>
      </c>
      <c r="C40" s="18" t="s">
        <v>959</v>
      </c>
      <c r="D40" s="19" t="s">
        <v>959</v>
      </c>
      <c r="E40" s="20" t="s">
        <v>959</v>
      </c>
    </row>
    <row r="41" spans="2:5" x14ac:dyDescent="0.2">
      <c r="B41" s="17" t="s">
        <v>1</v>
      </c>
      <c r="C41" s="18" t="s">
        <v>959</v>
      </c>
      <c r="D41" s="19" t="s">
        <v>959</v>
      </c>
      <c r="E41" s="20" t="s">
        <v>959</v>
      </c>
    </row>
    <row r="42" spans="2:5" x14ac:dyDescent="0.2">
      <c r="B42" s="17" t="s">
        <v>20</v>
      </c>
      <c r="C42" s="18" t="s">
        <v>959</v>
      </c>
      <c r="D42" s="19" t="s">
        <v>959</v>
      </c>
      <c r="E42" s="20" t="s">
        <v>959</v>
      </c>
    </row>
    <row r="43" spans="2:5" x14ac:dyDescent="0.2">
      <c r="B43" s="17" t="s">
        <v>19</v>
      </c>
      <c r="C43" s="18">
        <v>2</v>
      </c>
      <c r="D43" s="19" t="s">
        <v>959</v>
      </c>
      <c r="E43" s="20" t="s">
        <v>959</v>
      </c>
    </row>
    <row r="44" spans="2:5" x14ac:dyDescent="0.2">
      <c r="B44" s="17" t="s">
        <v>10</v>
      </c>
      <c r="C44" s="18" t="s">
        <v>959</v>
      </c>
      <c r="D44" s="19" t="s">
        <v>959</v>
      </c>
      <c r="E44" s="20" t="s">
        <v>959</v>
      </c>
    </row>
    <row r="45" spans="2:5" x14ac:dyDescent="0.2">
      <c r="B45" s="17" t="s">
        <v>6</v>
      </c>
      <c r="C45" s="18" t="s">
        <v>959</v>
      </c>
      <c r="D45" s="19" t="s">
        <v>959</v>
      </c>
      <c r="E45" s="20" t="s">
        <v>959</v>
      </c>
    </row>
    <row r="46" spans="2:5" x14ac:dyDescent="0.2">
      <c r="B46" s="17" t="s">
        <v>29</v>
      </c>
      <c r="C46" s="18" t="s">
        <v>959</v>
      </c>
      <c r="D46" s="19" t="s">
        <v>959</v>
      </c>
      <c r="E46" s="20" t="s">
        <v>959</v>
      </c>
    </row>
    <row r="47" spans="2:5" x14ac:dyDescent="0.2">
      <c r="B47" s="17" t="s">
        <v>27</v>
      </c>
      <c r="C47" s="18" t="s">
        <v>959</v>
      </c>
      <c r="D47" s="19" t="s">
        <v>959</v>
      </c>
      <c r="E47" s="20" t="s">
        <v>959</v>
      </c>
    </row>
    <row r="48" spans="2:5" x14ac:dyDescent="0.2">
      <c r="B48" s="17" t="s">
        <v>15</v>
      </c>
      <c r="C48" s="18" t="s">
        <v>959</v>
      </c>
      <c r="D48" s="19" t="s">
        <v>959</v>
      </c>
      <c r="E48" s="20" t="s">
        <v>959</v>
      </c>
    </row>
    <row r="49" spans="2:5" x14ac:dyDescent="0.2">
      <c r="B49" s="15" t="s">
        <v>953</v>
      </c>
      <c r="C49" s="16">
        <v>3</v>
      </c>
      <c r="D49" s="16">
        <v>0</v>
      </c>
      <c r="E49" s="21">
        <v>0</v>
      </c>
    </row>
    <row r="53" spans="2:5" x14ac:dyDescent="0.2">
      <c r="B53" s="2" t="s">
        <v>977</v>
      </c>
      <c r="C53" s="2"/>
      <c r="D53" s="2"/>
      <c r="E53" s="2"/>
    </row>
    <row r="54" spans="2:5" x14ac:dyDescent="0.2">
      <c r="B54" s="6" t="s">
        <v>954</v>
      </c>
      <c r="C54" s="2" t="s">
        <v>967</v>
      </c>
      <c r="D54" s="2"/>
      <c r="E54" s="2"/>
    </row>
    <row r="55" spans="2:5" x14ac:dyDescent="0.2">
      <c r="B55" s="6"/>
      <c r="C55" s="8" t="s">
        <v>961</v>
      </c>
      <c r="D55" s="9" t="s">
        <v>972</v>
      </c>
      <c r="E55" s="10" t="s">
        <v>956</v>
      </c>
    </row>
    <row r="56" spans="2:5" x14ac:dyDescent="0.2">
      <c r="C56" s="8"/>
      <c r="D56" s="9"/>
      <c r="E56" s="10"/>
    </row>
    <row r="57" spans="2:5" x14ac:dyDescent="0.2">
      <c r="B57" s="17" t="s">
        <v>113</v>
      </c>
      <c r="C57" s="18" t="s">
        <v>959</v>
      </c>
      <c r="D57" s="19" t="s">
        <v>959</v>
      </c>
      <c r="E57" s="20" t="s">
        <v>959</v>
      </c>
    </row>
    <row r="58" spans="2:5" x14ac:dyDescent="0.2">
      <c r="B58" s="17" t="s">
        <v>76</v>
      </c>
      <c r="C58" s="18">
        <v>1</v>
      </c>
      <c r="D58" s="19" t="s">
        <v>959</v>
      </c>
      <c r="E58" s="20" t="s">
        <v>959</v>
      </c>
    </row>
    <row r="59" spans="2:5" x14ac:dyDescent="0.2">
      <c r="B59" s="17" t="s">
        <v>16</v>
      </c>
      <c r="C59" s="18" t="s">
        <v>959</v>
      </c>
      <c r="D59" s="19" t="s">
        <v>959</v>
      </c>
      <c r="E59" s="20" t="s">
        <v>959</v>
      </c>
    </row>
    <row r="60" spans="2:5" x14ac:dyDescent="0.2">
      <c r="B60" s="17" t="s">
        <v>50</v>
      </c>
      <c r="C60" s="18" t="s">
        <v>959</v>
      </c>
      <c r="D60" s="19" t="s">
        <v>959</v>
      </c>
      <c r="E60" s="20" t="s">
        <v>959</v>
      </c>
    </row>
    <row r="61" spans="2:5" x14ac:dyDescent="0.2">
      <c r="B61" s="17" t="s">
        <v>77</v>
      </c>
      <c r="C61" s="18" t="s">
        <v>959</v>
      </c>
      <c r="D61" s="19" t="s">
        <v>959</v>
      </c>
      <c r="E61" s="20" t="s">
        <v>959</v>
      </c>
    </row>
    <row r="62" spans="2:5" x14ac:dyDescent="0.2">
      <c r="B62" s="17" t="s">
        <v>126</v>
      </c>
      <c r="C62" s="18" t="s">
        <v>959</v>
      </c>
      <c r="D62" s="19" t="s">
        <v>959</v>
      </c>
      <c r="E62" s="20" t="s">
        <v>959</v>
      </c>
    </row>
    <row r="63" spans="2:5" x14ac:dyDescent="0.2">
      <c r="B63" s="17" t="s">
        <v>48</v>
      </c>
      <c r="C63" s="18" t="s">
        <v>959</v>
      </c>
      <c r="D63" s="19" t="s">
        <v>959</v>
      </c>
      <c r="E63" s="20" t="s">
        <v>959</v>
      </c>
    </row>
    <row r="64" spans="2:5" x14ac:dyDescent="0.2">
      <c r="B64" s="17" t="s">
        <v>131</v>
      </c>
      <c r="C64" s="18" t="s">
        <v>959</v>
      </c>
      <c r="D64" s="19" t="s">
        <v>959</v>
      </c>
      <c r="E64" s="20" t="s">
        <v>959</v>
      </c>
    </row>
    <row r="65" spans="2:5" x14ac:dyDescent="0.2">
      <c r="B65" s="17" t="s">
        <v>71</v>
      </c>
      <c r="C65" s="18" t="s">
        <v>959</v>
      </c>
      <c r="D65" s="19" t="s">
        <v>959</v>
      </c>
      <c r="E65" s="20" t="s">
        <v>959</v>
      </c>
    </row>
    <row r="66" spans="2:5" x14ac:dyDescent="0.2">
      <c r="B66" s="17" t="s">
        <v>109</v>
      </c>
      <c r="C66" s="18" t="s">
        <v>959</v>
      </c>
      <c r="D66" s="19" t="s">
        <v>959</v>
      </c>
      <c r="E66" s="20" t="s">
        <v>959</v>
      </c>
    </row>
    <row r="67" spans="2:5" x14ac:dyDescent="0.2">
      <c r="B67" s="17" t="s">
        <v>62</v>
      </c>
      <c r="C67" s="18" t="s">
        <v>959</v>
      </c>
      <c r="D67" s="19" t="s">
        <v>959</v>
      </c>
      <c r="E67" s="20" t="s">
        <v>959</v>
      </c>
    </row>
    <row r="68" spans="2:5" x14ac:dyDescent="0.2">
      <c r="B68" s="17" t="s">
        <v>38</v>
      </c>
      <c r="C68" s="18" t="s">
        <v>959</v>
      </c>
      <c r="D68" s="19" t="s">
        <v>959</v>
      </c>
      <c r="E68" s="20" t="s">
        <v>959</v>
      </c>
    </row>
    <row r="69" spans="2:5" x14ac:dyDescent="0.2">
      <c r="B69" s="17" t="s">
        <v>12</v>
      </c>
      <c r="C69" s="18" t="s">
        <v>959</v>
      </c>
      <c r="D69" s="19" t="s">
        <v>959</v>
      </c>
      <c r="E69" s="20" t="s">
        <v>959</v>
      </c>
    </row>
    <row r="70" spans="2:5" x14ac:dyDescent="0.2">
      <c r="B70" s="17" t="s">
        <v>107</v>
      </c>
      <c r="C70" s="18" t="s">
        <v>959</v>
      </c>
      <c r="D70" s="19" t="s">
        <v>959</v>
      </c>
      <c r="E70" s="20" t="s">
        <v>959</v>
      </c>
    </row>
    <row r="71" spans="2:5" x14ac:dyDescent="0.2">
      <c r="B71" s="17" t="s">
        <v>51</v>
      </c>
      <c r="C71" s="18" t="s">
        <v>959</v>
      </c>
      <c r="D71" s="19" t="s">
        <v>959</v>
      </c>
      <c r="E71" s="20" t="s">
        <v>959</v>
      </c>
    </row>
    <row r="72" spans="2:5" x14ac:dyDescent="0.2">
      <c r="B72" s="17" t="s">
        <v>35</v>
      </c>
      <c r="C72" s="18" t="s">
        <v>959</v>
      </c>
      <c r="D72" s="19" t="s">
        <v>959</v>
      </c>
      <c r="E72" s="20" t="s">
        <v>959</v>
      </c>
    </row>
    <row r="73" spans="2:5" x14ac:dyDescent="0.2">
      <c r="B73" s="17" t="s">
        <v>68</v>
      </c>
      <c r="C73" s="18" t="s">
        <v>959</v>
      </c>
      <c r="D73" s="19" t="s">
        <v>959</v>
      </c>
      <c r="E73" s="20" t="s">
        <v>959</v>
      </c>
    </row>
    <row r="74" spans="2:5" x14ac:dyDescent="0.2">
      <c r="B74" s="17" t="s">
        <v>30</v>
      </c>
      <c r="C74" s="18" t="s">
        <v>959</v>
      </c>
      <c r="D74" s="19" t="s">
        <v>959</v>
      </c>
      <c r="E74" s="20" t="s">
        <v>959</v>
      </c>
    </row>
    <row r="75" spans="2:5" x14ac:dyDescent="0.2">
      <c r="B75" s="17" t="s">
        <v>106</v>
      </c>
      <c r="C75" s="18" t="s">
        <v>959</v>
      </c>
      <c r="D75" s="19" t="s">
        <v>959</v>
      </c>
      <c r="E75" s="20" t="s">
        <v>959</v>
      </c>
    </row>
    <row r="76" spans="2:5" x14ac:dyDescent="0.2">
      <c r="B76" s="17" t="s">
        <v>127</v>
      </c>
      <c r="C76" s="18" t="s">
        <v>959</v>
      </c>
      <c r="D76" s="19" t="s">
        <v>959</v>
      </c>
      <c r="E76" s="20" t="s">
        <v>959</v>
      </c>
    </row>
    <row r="77" spans="2:5" x14ac:dyDescent="0.2">
      <c r="B77" s="17" t="s">
        <v>108</v>
      </c>
      <c r="C77" s="18" t="s">
        <v>959</v>
      </c>
      <c r="D77" s="19" t="s">
        <v>959</v>
      </c>
      <c r="E77" s="20" t="s">
        <v>959</v>
      </c>
    </row>
    <row r="78" spans="2:5" x14ac:dyDescent="0.2">
      <c r="B78" s="17" t="s">
        <v>8</v>
      </c>
      <c r="C78" s="18" t="s">
        <v>959</v>
      </c>
      <c r="D78" s="19" t="s">
        <v>959</v>
      </c>
      <c r="E78" s="20" t="s">
        <v>959</v>
      </c>
    </row>
    <row r="79" spans="2:5" x14ac:dyDescent="0.2">
      <c r="B79" s="17" t="s">
        <v>73</v>
      </c>
      <c r="C79" s="18" t="s">
        <v>959</v>
      </c>
      <c r="D79" s="19" t="s">
        <v>959</v>
      </c>
      <c r="E79" s="20" t="s">
        <v>959</v>
      </c>
    </row>
    <row r="80" spans="2:5" x14ac:dyDescent="0.2">
      <c r="B80" s="17" t="s">
        <v>43</v>
      </c>
      <c r="C80" s="18" t="s">
        <v>959</v>
      </c>
      <c r="D80" s="19" t="s">
        <v>959</v>
      </c>
      <c r="E80" s="20" t="s">
        <v>959</v>
      </c>
    </row>
    <row r="81" spans="2:5" x14ac:dyDescent="0.2">
      <c r="B81" s="17" t="s">
        <v>123</v>
      </c>
      <c r="C81" s="18" t="s">
        <v>959</v>
      </c>
      <c r="D81" s="19" t="s">
        <v>959</v>
      </c>
      <c r="E81" s="20" t="s">
        <v>959</v>
      </c>
    </row>
    <row r="82" spans="2:5" x14ac:dyDescent="0.2">
      <c r="B82" s="17" t="s">
        <v>24</v>
      </c>
      <c r="C82" s="18" t="s">
        <v>959</v>
      </c>
      <c r="D82" s="19" t="s">
        <v>959</v>
      </c>
      <c r="E82" s="20" t="s">
        <v>959</v>
      </c>
    </row>
    <row r="83" spans="2:5" x14ac:dyDescent="0.2">
      <c r="B83" s="17" t="s">
        <v>130</v>
      </c>
      <c r="C83" s="18" t="s">
        <v>959</v>
      </c>
      <c r="D83" s="19" t="s">
        <v>959</v>
      </c>
      <c r="E83" s="20" t="s">
        <v>959</v>
      </c>
    </row>
    <row r="84" spans="2:5" x14ac:dyDescent="0.2">
      <c r="B84" s="17" t="s">
        <v>40</v>
      </c>
      <c r="C84" s="18" t="s">
        <v>959</v>
      </c>
      <c r="D84" s="19" t="s">
        <v>959</v>
      </c>
      <c r="E84" s="20" t="s">
        <v>959</v>
      </c>
    </row>
    <row r="85" spans="2:5" x14ac:dyDescent="0.2">
      <c r="B85" s="17" t="s">
        <v>79</v>
      </c>
      <c r="C85" s="18" t="s">
        <v>959</v>
      </c>
      <c r="D85" s="19" t="s">
        <v>959</v>
      </c>
      <c r="E85" s="20" t="s">
        <v>959</v>
      </c>
    </row>
    <row r="86" spans="2:5" x14ac:dyDescent="0.2">
      <c r="B86" s="17" t="s">
        <v>110</v>
      </c>
      <c r="C86" s="18" t="s">
        <v>959</v>
      </c>
      <c r="D86" s="19" t="s">
        <v>959</v>
      </c>
      <c r="E86" s="20" t="s">
        <v>959</v>
      </c>
    </row>
    <row r="87" spans="2:5" x14ac:dyDescent="0.2">
      <c r="B87" s="17" t="s">
        <v>98</v>
      </c>
      <c r="C87" s="18" t="s">
        <v>959</v>
      </c>
      <c r="D87" s="19" t="s">
        <v>959</v>
      </c>
      <c r="E87" s="20" t="s">
        <v>959</v>
      </c>
    </row>
    <row r="88" spans="2:5" x14ac:dyDescent="0.2">
      <c r="B88" s="17" t="s">
        <v>61</v>
      </c>
      <c r="C88" s="18" t="s">
        <v>959</v>
      </c>
      <c r="D88" s="19" t="s">
        <v>959</v>
      </c>
      <c r="E88" s="20" t="s">
        <v>959</v>
      </c>
    </row>
    <row r="89" spans="2:5" x14ac:dyDescent="0.2">
      <c r="B89" s="17" t="s">
        <v>117</v>
      </c>
      <c r="C89" s="18" t="s">
        <v>959</v>
      </c>
      <c r="D89" s="19" t="s">
        <v>959</v>
      </c>
      <c r="E89" s="20" t="s">
        <v>959</v>
      </c>
    </row>
    <row r="90" spans="2:5" x14ac:dyDescent="0.2">
      <c r="B90" s="17" t="s">
        <v>22</v>
      </c>
      <c r="C90" s="18" t="s">
        <v>959</v>
      </c>
      <c r="D90" s="19" t="s">
        <v>959</v>
      </c>
      <c r="E90" s="20" t="s">
        <v>959</v>
      </c>
    </row>
    <row r="91" spans="2:5" x14ac:dyDescent="0.2">
      <c r="B91" s="17" t="s">
        <v>75</v>
      </c>
      <c r="C91" s="18" t="s">
        <v>959</v>
      </c>
      <c r="D91" s="19" t="s">
        <v>959</v>
      </c>
      <c r="E91" s="20" t="s">
        <v>959</v>
      </c>
    </row>
    <row r="92" spans="2:5" x14ac:dyDescent="0.2">
      <c r="B92" s="17" t="s">
        <v>97</v>
      </c>
      <c r="C92" s="18" t="s">
        <v>959</v>
      </c>
      <c r="D92" s="19" t="s">
        <v>959</v>
      </c>
      <c r="E92" s="20" t="s">
        <v>959</v>
      </c>
    </row>
    <row r="93" spans="2:5" x14ac:dyDescent="0.2">
      <c r="B93" s="17" t="s">
        <v>14</v>
      </c>
      <c r="C93" s="18" t="s">
        <v>959</v>
      </c>
      <c r="D93" s="19" t="s">
        <v>959</v>
      </c>
      <c r="E93" s="20" t="s">
        <v>959</v>
      </c>
    </row>
    <row r="94" spans="2:5" x14ac:dyDescent="0.2">
      <c r="B94" s="17" t="s">
        <v>119</v>
      </c>
      <c r="C94" s="18" t="s">
        <v>959</v>
      </c>
      <c r="D94" s="19" t="s">
        <v>959</v>
      </c>
      <c r="E94" s="20" t="s">
        <v>959</v>
      </c>
    </row>
    <row r="95" spans="2:5" x14ac:dyDescent="0.2">
      <c r="B95" s="17" t="s">
        <v>134</v>
      </c>
      <c r="C95" s="18" t="s">
        <v>959</v>
      </c>
      <c r="D95" s="19" t="s">
        <v>959</v>
      </c>
      <c r="E95" s="20" t="s">
        <v>959</v>
      </c>
    </row>
    <row r="96" spans="2:5" x14ac:dyDescent="0.2">
      <c r="B96" s="17" t="s">
        <v>58</v>
      </c>
      <c r="C96" s="18" t="s">
        <v>959</v>
      </c>
      <c r="D96" s="19" t="s">
        <v>959</v>
      </c>
      <c r="E96" s="20" t="s">
        <v>959</v>
      </c>
    </row>
    <row r="97" spans="2:5" x14ac:dyDescent="0.2">
      <c r="B97" s="17" t="s">
        <v>93</v>
      </c>
      <c r="C97" s="18" t="s">
        <v>959</v>
      </c>
      <c r="D97" s="19" t="s">
        <v>959</v>
      </c>
      <c r="E97" s="20" t="s">
        <v>959</v>
      </c>
    </row>
    <row r="98" spans="2:5" x14ac:dyDescent="0.2">
      <c r="B98" s="17" t="s">
        <v>45</v>
      </c>
      <c r="C98" s="18" t="s">
        <v>959</v>
      </c>
      <c r="D98" s="19" t="s">
        <v>959</v>
      </c>
      <c r="E98" s="20" t="s">
        <v>959</v>
      </c>
    </row>
    <row r="99" spans="2:5" x14ac:dyDescent="0.2">
      <c r="B99" s="17" t="s">
        <v>82</v>
      </c>
      <c r="C99" s="18" t="s">
        <v>959</v>
      </c>
      <c r="D99" s="19" t="s">
        <v>959</v>
      </c>
      <c r="E99" s="20" t="s">
        <v>959</v>
      </c>
    </row>
    <row r="100" spans="2:5" x14ac:dyDescent="0.2">
      <c r="B100" s="17" t="s">
        <v>64</v>
      </c>
      <c r="C100" s="18" t="s">
        <v>959</v>
      </c>
      <c r="D100" s="19" t="s">
        <v>959</v>
      </c>
      <c r="E100" s="20" t="s">
        <v>959</v>
      </c>
    </row>
    <row r="101" spans="2:5" x14ac:dyDescent="0.2">
      <c r="B101" s="17" t="s">
        <v>5</v>
      </c>
      <c r="C101" s="18" t="s">
        <v>959</v>
      </c>
      <c r="D101" s="19" t="s">
        <v>959</v>
      </c>
      <c r="E101" s="20" t="s">
        <v>959</v>
      </c>
    </row>
    <row r="102" spans="2:5" x14ac:dyDescent="0.2">
      <c r="B102" s="17" t="s">
        <v>78</v>
      </c>
      <c r="C102" s="18" t="s">
        <v>959</v>
      </c>
      <c r="D102" s="19" t="s">
        <v>959</v>
      </c>
      <c r="E102" s="20" t="s">
        <v>959</v>
      </c>
    </row>
    <row r="103" spans="2:5" x14ac:dyDescent="0.2">
      <c r="B103" s="17" t="s">
        <v>19</v>
      </c>
      <c r="C103" s="18">
        <v>1</v>
      </c>
      <c r="D103" s="19" t="s">
        <v>959</v>
      </c>
      <c r="E103" s="20" t="s">
        <v>959</v>
      </c>
    </row>
    <row r="104" spans="2:5" x14ac:dyDescent="0.2">
      <c r="B104" s="17" t="s">
        <v>86</v>
      </c>
      <c r="C104" s="18" t="s">
        <v>959</v>
      </c>
      <c r="D104" s="19" t="s">
        <v>959</v>
      </c>
      <c r="E104" s="20" t="s">
        <v>959</v>
      </c>
    </row>
    <row r="105" spans="2:5" x14ac:dyDescent="0.2">
      <c r="B105" s="17" t="s">
        <v>72</v>
      </c>
      <c r="C105" s="18" t="s">
        <v>959</v>
      </c>
      <c r="D105" s="19" t="s">
        <v>959</v>
      </c>
      <c r="E105" s="20" t="s">
        <v>959</v>
      </c>
    </row>
    <row r="106" spans="2:5" x14ac:dyDescent="0.2">
      <c r="B106" s="17" t="s">
        <v>115</v>
      </c>
      <c r="C106" s="18" t="s">
        <v>959</v>
      </c>
      <c r="D106" s="19" t="s">
        <v>959</v>
      </c>
      <c r="E106" s="20" t="s">
        <v>959</v>
      </c>
    </row>
    <row r="107" spans="2:5" x14ac:dyDescent="0.2">
      <c r="B107" s="17" t="s">
        <v>87</v>
      </c>
      <c r="C107" s="18" t="s">
        <v>959</v>
      </c>
      <c r="D107" s="19" t="s">
        <v>959</v>
      </c>
      <c r="E107" s="20" t="s">
        <v>959</v>
      </c>
    </row>
    <row r="108" spans="2:5" x14ac:dyDescent="0.2">
      <c r="B108" s="17" t="s">
        <v>65</v>
      </c>
      <c r="C108" s="18" t="s">
        <v>959</v>
      </c>
      <c r="D108" s="19" t="s">
        <v>959</v>
      </c>
      <c r="E108" s="20" t="s">
        <v>959</v>
      </c>
    </row>
    <row r="109" spans="2:5" x14ac:dyDescent="0.2">
      <c r="B109" s="17" t="s">
        <v>129</v>
      </c>
      <c r="C109" s="18" t="s">
        <v>959</v>
      </c>
      <c r="D109" s="19" t="s">
        <v>959</v>
      </c>
      <c r="E109" s="20" t="s">
        <v>959</v>
      </c>
    </row>
    <row r="110" spans="2:5" x14ac:dyDescent="0.2">
      <c r="B110" s="17" t="s">
        <v>56</v>
      </c>
      <c r="C110" s="18" t="s">
        <v>959</v>
      </c>
      <c r="D110" s="19" t="s">
        <v>959</v>
      </c>
      <c r="E110" s="20" t="s">
        <v>959</v>
      </c>
    </row>
    <row r="111" spans="2:5" x14ac:dyDescent="0.2">
      <c r="B111" s="17" t="s">
        <v>95</v>
      </c>
      <c r="C111" s="18" t="s">
        <v>959</v>
      </c>
      <c r="D111" s="19" t="s">
        <v>959</v>
      </c>
      <c r="E111" s="20" t="s">
        <v>959</v>
      </c>
    </row>
    <row r="112" spans="2:5" x14ac:dyDescent="0.2">
      <c r="B112" s="17" t="s">
        <v>88</v>
      </c>
      <c r="C112" s="18" t="s">
        <v>959</v>
      </c>
      <c r="D112" s="19" t="s">
        <v>959</v>
      </c>
      <c r="E112" s="20" t="s">
        <v>959</v>
      </c>
    </row>
    <row r="113" spans="2:5" x14ac:dyDescent="0.2">
      <c r="B113" s="17" t="s">
        <v>13</v>
      </c>
      <c r="C113" s="18" t="s">
        <v>959</v>
      </c>
      <c r="D113" s="19" t="s">
        <v>959</v>
      </c>
      <c r="E113" s="20" t="s">
        <v>959</v>
      </c>
    </row>
    <row r="114" spans="2:5" x14ac:dyDescent="0.2">
      <c r="B114" s="17" t="s">
        <v>121</v>
      </c>
      <c r="C114" s="18" t="s">
        <v>959</v>
      </c>
      <c r="D114" s="19" t="s">
        <v>959</v>
      </c>
      <c r="E114" s="20" t="s">
        <v>959</v>
      </c>
    </row>
    <row r="115" spans="2:5" x14ac:dyDescent="0.2">
      <c r="B115" s="17" t="s">
        <v>4</v>
      </c>
      <c r="C115" s="18" t="s">
        <v>959</v>
      </c>
      <c r="D115" s="19" t="s">
        <v>959</v>
      </c>
      <c r="E115" s="20" t="s">
        <v>959</v>
      </c>
    </row>
    <row r="116" spans="2:5" x14ac:dyDescent="0.2">
      <c r="B116" s="17" t="s">
        <v>23</v>
      </c>
      <c r="C116" s="18" t="s">
        <v>959</v>
      </c>
      <c r="D116" s="19" t="s">
        <v>959</v>
      </c>
      <c r="E116" s="20" t="s">
        <v>959</v>
      </c>
    </row>
    <row r="117" spans="2:5" x14ac:dyDescent="0.2">
      <c r="B117" s="17" t="s">
        <v>102</v>
      </c>
      <c r="C117" s="18" t="s">
        <v>959</v>
      </c>
      <c r="D117" s="19" t="s">
        <v>959</v>
      </c>
      <c r="E117" s="20" t="s">
        <v>959</v>
      </c>
    </row>
    <row r="118" spans="2:5" x14ac:dyDescent="0.2">
      <c r="B118" s="17" t="s">
        <v>41</v>
      </c>
      <c r="C118" s="18" t="s">
        <v>959</v>
      </c>
      <c r="D118" s="19" t="s">
        <v>959</v>
      </c>
      <c r="E118" s="20" t="s">
        <v>959</v>
      </c>
    </row>
    <row r="119" spans="2:5" x14ac:dyDescent="0.2">
      <c r="B119" s="17" t="s">
        <v>132</v>
      </c>
      <c r="C119" s="18" t="s">
        <v>959</v>
      </c>
      <c r="D119" s="19" t="s">
        <v>959</v>
      </c>
      <c r="E119" s="20" t="s">
        <v>959</v>
      </c>
    </row>
    <row r="120" spans="2:5" x14ac:dyDescent="0.2">
      <c r="B120" s="17" t="s">
        <v>33</v>
      </c>
      <c r="C120" s="18" t="s">
        <v>959</v>
      </c>
      <c r="D120" s="19" t="s">
        <v>959</v>
      </c>
      <c r="E120" s="20" t="s">
        <v>959</v>
      </c>
    </row>
    <row r="121" spans="2:5" x14ac:dyDescent="0.2">
      <c r="B121" s="17" t="s">
        <v>25</v>
      </c>
      <c r="C121" s="18" t="s">
        <v>959</v>
      </c>
      <c r="D121" s="19" t="s">
        <v>959</v>
      </c>
      <c r="E121" s="20" t="s">
        <v>959</v>
      </c>
    </row>
    <row r="122" spans="2:5" x14ac:dyDescent="0.2">
      <c r="B122" s="17" t="s">
        <v>111</v>
      </c>
      <c r="C122" s="18" t="s">
        <v>959</v>
      </c>
      <c r="D122" s="19" t="s">
        <v>959</v>
      </c>
      <c r="E122" s="20" t="s">
        <v>959</v>
      </c>
    </row>
    <row r="123" spans="2:5" x14ac:dyDescent="0.2">
      <c r="B123" s="17" t="s">
        <v>39</v>
      </c>
      <c r="C123" s="18" t="s">
        <v>959</v>
      </c>
      <c r="D123" s="19" t="s">
        <v>959</v>
      </c>
      <c r="E123" s="20" t="s">
        <v>959</v>
      </c>
    </row>
    <row r="124" spans="2:5" x14ac:dyDescent="0.2">
      <c r="B124" s="17" t="s">
        <v>31</v>
      </c>
      <c r="C124" s="18" t="s">
        <v>959</v>
      </c>
      <c r="D124" s="19" t="s">
        <v>959</v>
      </c>
      <c r="E124" s="20" t="s">
        <v>959</v>
      </c>
    </row>
    <row r="125" spans="2:5" x14ac:dyDescent="0.2">
      <c r="B125" s="17" t="s">
        <v>59</v>
      </c>
      <c r="C125" s="18" t="s">
        <v>959</v>
      </c>
      <c r="D125" s="19" t="s">
        <v>959</v>
      </c>
      <c r="E125" s="20" t="s">
        <v>959</v>
      </c>
    </row>
    <row r="126" spans="2:5" x14ac:dyDescent="0.2">
      <c r="B126" s="17" t="s">
        <v>42</v>
      </c>
      <c r="C126" s="18" t="s">
        <v>959</v>
      </c>
      <c r="D126" s="19" t="s">
        <v>959</v>
      </c>
      <c r="E126" s="20" t="s">
        <v>959</v>
      </c>
    </row>
    <row r="127" spans="2:5" x14ac:dyDescent="0.2">
      <c r="B127" s="17" t="s">
        <v>37</v>
      </c>
      <c r="C127" s="18" t="s">
        <v>959</v>
      </c>
      <c r="D127" s="19" t="s">
        <v>959</v>
      </c>
      <c r="E127" s="20" t="s">
        <v>959</v>
      </c>
    </row>
    <row r="128" spans="2:5" x14ac:dyDescent="0.2">
      <c r="B128" s="17" t="s">
        <v>49</v>
      </c>
      <c r="C128" s="18" t="s">
        <v>959</v>
      </c>
      <c r="D128" s="19" t="s">
        <v>959</v>
      </c>
      <c r="E128" s="20" t="s">
        <v>959</v>
      </c>
    </row>
    <row r="129" spans="2:5" x14ac:dyDescent="0.2">
      <c r="B129" s="17" t="s">
        <v>133</v>
      </c>
      <c r="C129" s="18" t="s">
        <v>959</v>
      </c>
      <c r="D129" s="19" t="s">
        <v>959</v>
      </c>
      <c r="E129" s="20" t="s">
        <v>959</v>
      </c>
    </row>
    <row r="130" spans="2:5" x14ac:dyDescent="0.2">
      <c r="B130" s="17" t="s">
        <v>9</v>
      </c>
      <c r="C130" s="18" t="s">
        <v>959</v>
      </c>
      <c r="D130" s="19" t="s">
        <v>959</v>
      </c>
      <c r="E130" s="20" t="s">
        <v>959</v>
      </c>
    </row>
    <row r="131" spans="2:5" x14ac:dyDescent="0.2">
      <c r="B131" s="17" t="s">
        <v>60</v>
      </c>
      <c r="C131" s="18" t="s">
        <v>959</v>
      </c>
      <c r="D131" s="19" t="s">
        <v>959</v>
      </c>
      <c r="E131" s="20" t="s">
        <v>959</v>
      </c>
    </row>
    <row r="132" spans="2:5" x14ac:dyDescent="0.2">
      <c r="B132" s="17" t="s">
        <v>47</v>
      </c>
      <c r="C132" s="18" t="s">
        <v>959</v>
      </c>
      <c r="D132" s="19" t="s">
        <v>959</v>
      </c>
      <c r="E132" s="20" t="s">
        <v>959</v>
      </c>
    </row>
    <row r="133" spans="2:5" x14ac:dyDescent="0.2">
      <c r="B133" s="17" t="s">
        <v>120</v>
      </c>
      <c r="C133" s="18" t="s">
        <v>959</v>
      </c>
      <c r="D133" s="19" t="s">
        <v>959</v>
      </c>
      <c r="E133" s="20" t="s">
        <v>959</v>
      </c>
    </row>
    <row r="134" spans="2:5" x14ac:dyDescent="0.2">
      <c r="B134" s="17" t="s">
        <v>55</v>
      </c>
      <c r="C134" s="18" t="s">
        <v>959</v>
      </c>
      <c r="D134" s="19" t="s">
        <v>959</v>
      </c>
      <c r="E134" s="20" t="s">
        <v>959</v>
      </c>
    </row>
    <row r="135" spans="2:5" x14ac:dyDescent="0.2">
      <c r="B135" s="17" t="s">
        <v>100</v>
      </c>
      <c r="C135" s="18" t="s">
        <v>959</v>
      </c>
      <c r="D135" s="19" t="s">
        <v>959</v>
      </c>
      <c r="E135" s="20" t="s">
        <v>959</v>
      </c>
    </row>
    <row r="136" spans="2:5" x14ac:dyDescent="0.2">
      <c r="B136" s="17" t="s">
        <v>32</v>
      </c>
      <c r="C136" s="18" t="s">
        <v>959</v>
      </c>
      <c r="D136" s="19" t="s">
        <v>959</v>
      </c>
      <c r="E136" s="20" t="s">
        <v>959</v>
      </c>
    </row>
    <row r="137" spans="2:5" x14ac:dyDescent="0.2">
      <c r="B137" s="17" t="s">
        <v>27</v>
      </c>
      <c r="C137" s="18" t="s">
        <v>959</v>
      </c>
      <c r="D137" s="19" t="s">
        <v>959</v>
      </c>
      <c r="E137" s="20" t="s">
        <v>959</v>
      </c>
    </row>
    <row r="138" spans="2:5" x14ac:dyDescent="0.2">
      <c r="B138" s="17" t="s">
        <v>63</v>
      </c>
      <c r="C138" s="18" t="s">
        <v>959</v>
      </c>
      <c r="D138" s="19" t="s">
        <v>959</v>
      </c>
      <c r="E138" s="20" t="s">
        <v>959</v>
      </c>
    </row>
    <row r="139" spans="2:5" x14ac:dyDescent="0.2">
      <c r="B139" s="17" t="s">
        <v>89</v>
      </c>
      <c r="C139" s="18" t="s">
        <v>959</v>
      </c>
      <c r="D139" s="19" t="s">
        <v>959</v>
      </c>
      <c r="E139" s="20" t="s">
        <v>959</v>
      </c>
    </row>
    <row r="140" spans="2:5" x14ac:dyDescent="0.2">
      <c r="B140" s="17" t="s">
        <v>103</v>
      </c>
      <c r="C140" s="18" t="s">
        <v>959</v>
      </c>
      <c r="D140" s="19" t="s">
        <v>959</v>
      </c>
      <c r="E140" s="20" t="s">
        <v>959</v>
      </c>
    </row>
    <row r="141" spans="2:5" x14ac:dyDescent="0.2">
      <c r="B141" s="17" t="s">
        <v>53</v>
      </c>
      <c r="C141" s="18" t="s">
        <v>959</v>
      </c>
      <c r="D141" s="19" t="s">
        <v>959</v>
      </c>
      <c r="E141" s="20" t="s">
        <v>959</v>
      </c>
    </row>
    <row r="142" spans="2:5" x14ac:dyDescent="0.2">
      <c r="B142" s="17" t="s">
        <v>99</v>
      </c>
      <c r="C142" s="18" t="s">
        <v>959</v>
      </c>
      <c r="D142" s="19" t="s">
        <v>959</v>
      </c>
      <c r="E142" s="20" t="s">
        <v>959</v>
      </c>
    </row>
    <row r="143" spans="2:5" x14ac:dyDescent="0.2">
      <c r="B143" s="17" t="s">
        <v>80</v>
      </c>
      <c r="C143" s="18" t="s">
        <v>959</v>
      </c>
      <c r="D143" s="19" t="s">
        <v>959</v>
      </c>
      <c r="E143" s="20" t="s">
        <v>959</v>
      </c>
    </row>
    <row r="144" spans="2:5" x14ac:dyDescent="0.2">
      <c r="B144" s="17" t="s">
        <v>84</v>
      </c>
      <c r="C144" s="18" t="s">
        <v>959</v>
      </c>
      <c r="D144" s="19" t="s">
        <v>959</v>
      </c>
      <c r="E144" s="20" t="s">
        <v>959</v>
      </c>
    </row>
    <row r="145" spans="2:5" x14ac:dyDescent="0.2">
      <c r="B145" s="17" t="s">
        <v>46</v>
      </c>
      <c r="C145" s="18" t="s">
        <v>959</v>
      </c>
      <c r="D145" s="19" t="s">
        <v>959</v>
      </c>
      <c r="E145" s="20" t="s">
        <v>959</v>
      </c>
    </row>
    <row r="146" spans="2:5" x14ac:dyDescent="0.2">
      <c r="B146" s="17" t="s">
        <v>69</v>
      </c>
      <c r="C146" s="18" t="s">
        <v>959</v>
      </c>
      <c r="D146" s="19" t="s">
        <v>959</v>
      </c>
      <c r="E146" s="20" t="s">
        <v>959</v>
      </c>
    </row>
    <row r="147" spans="2:5" x14ac:dyDescent="0.2">
      <c r="B147" s="17" t="s">
        <v>20</v>
      </c>
      <c r="C147" s="18" t="s">
        <v>959</v>
      </c>
      <c r="D147" s="19" t="s">
        <v>959</v>
      </c>
      <c r="E147" s="20" t="s">
        <v>959</v>
      </c>
    </row>
    <row r="148" spans="2:5" x14ac:dyDescent="0.2">
      <c r="B148" s="17" t="s">
        <v>92</v>
      </c>
      <c r="C148" s="18" t="s">
        <v>959</v>
      </c>
      <c r="D148" s="19" t="s">
        <v>959</v>
      </c>
      <c r="E148" s="20" t="s">
        <v>959</v>
      </c>
    </row>
    <row r="149" spans="2:5" x14ac:dyDescent="0.2">
      <c r="B149" s="17" t="s">
        <v>57</v>
      </c>
      <c r="C149" s="18" t="s">
        <v>959</v>
      </c>
      <c r="D149" s="19" t="s">
        <v>959</v>
      </c>
      <c r="E149" s="20" t="s">
        <v>959</v>
      </c>
    </row>
    <row r="150" spans="2:5" x14ac:dyDescent="0.2">
      <c r="B150" s="17" t="s">
        <v>66</v>
      </c>
      <c r="C150" s="18" t="s">
        <v>959</v>
      </c>
      <c r="D150" s="19" t="s">
        <v>959</v>
      </c>
      <c r="E150" s="20" t="s">
        <v>959</v>
      </c>
    </row>
    <row r="151" spans="2:5" x14ac:dyDescent="0.2">
      <c r="B151" s="17" t="s">
        <v>52</v>
      </c>
      <c r="C151" s="18" t="s">
        <v>959</v>
      </c>
      <c r="D151" s="19" t="s">
        <v>959</v>
      </c>
      <c r="E151" s="20" t="s">
        <v>959</v>
      </c>
    </row>
    <row r="152" spans="2:5" x14ac:dyDescent="0.2">
      <c r="B152" s="17" t="s">
        <v>26</v>
      </c>
      <c r="C152" s="18" t="s">
        <v>959</v>
      </c>
      <c r="D152" s="19" t="s">
        <v>959</v>
      </c>
      <c r="E152" s="20" t="s">
        <v>959</v>
      </c>
    </row>
    <row r="153" spans="2:5" x14ac:dyDescent="0.2">
      <c r="B153" s="17" t="s">
        <v>101</v>
      </c>
      <c r="C153" s="18" t="s">
        <v>959</v>
      </c>
      <c r="D153" s="19" t="s">
        <v>959</v>
      </c>
      <c r="E153" s="20" t="s">
        <v>959</v>
      </c>
    </row>
    <row r="154" spans="2:5" x14ac:dyDescent="0.2">
      <c r="B154" s="17" t="s">
        <v>125</v>
      </c>
      <c r="C154" s="18" t="s">
        <v>959</v>
      </c>
      <c r="D154" s="19" t="s">
        <v>959</v>
      </c>
      <c r="E154" s="20" t="s">
        <v>959</v>
      </c>
    </row>
    <row r="155" spans="2:5" x14ac:dyDescent="0.2">
      <c r="B155" s="17" t="s">
        <v>128</v>
      </c>
      <c r="C155" s="18" t="s">
        <v>959</v>
      </c>
      <c r="D155" s="19" t="s">
        <v>959</v>
      </c>
      <c r="E155" s="20" t="s">
        <v>959</v>
      </c>
    </row>
    <row r="156" spans="2:5" x14ac:dyDescent="0.2">
      <c r="B156" s="17" t="s">
        <v>44</v>
      </c>
      <c r="C156" s="18" t="s">
        <v>959</v>
      </c>
      <c r="D156" s="19" t="s">
        <v>959</v>
      </c>
      <c r="E156" s="20" t="s">
        <v>959</v>
      </c>
    </row>
    <row r="157" spans="2:5" x14ac:dyDescent="0.2">
      <c r="B157" s="17" t="s">
        <v>36</v>
      </c>
      <c r="C157" s="18" t="s">
        <v>959</v>
      </c>
      <c r="D157" s="19" t="s">
        <v>959</v>
      </c>
      <c r="E157" s="20" t="s">
        <v>959</v>
      </c>
    </row>
    <row r="158" spans="2:5" x14ac:dyDescent="0.2">
      <c r="B158" s="17" t="s">
        <v>21</v>
      </c>
      <c r="C158" s="18" t="s">
        <v>959</v>
      </c>
      <c r="D158" s="19" t="s">
        <v>959</v>
      </c>
      <c r="E158" s="20" t="s">
        <v>959</v>
      </c>
    </row>
    <row r="159" spans="2:5" x14ac:dyDescent="0.2">
      <c r="B159" s="17" t="s">
        <v>104</v>
      </c>
      <c r="C159" s="18" t="s">
        <v>959</v>
      </c>
      <c r="D159" s="19" t="s">
        <v>959</v>
      </c>
      <c r="E159" s="20" t="s">
        <v>959</v>
      </c>
    </row>
    <row r="160" spans="2:5" x14ac:dyDescent="0.2">
      <c r="B160" s="17" t="s">
        <v>91</v>
      </c>
      <c r="C160" s="18" t="s">
        <v>959</v>
      </c>
      <c r="D160" s="19" t="s">
        <v>959</v>
      </c>
      <c r="E160" s="20" t="s">
        <v>959</v>
      </c>
    </row>
    <row r="161" spans="2:5" x14ac:dyDescent="0.2">
      <c r="B161" s="17" t="s">
        <v>94</v>
      </c>
      <c r="C161" s="18" t="s">
        <v>959</v>
      </c>
      <c r="D161" s="19" t="s">
        <v>959</v>
      </c>
      <c r="E161" s="20" t="s">
        <v>959</v>
      </c>
    </row>
    <row r="162" spans="2:5" x14ac:dyDescent="0.2">
      <c r="B162" s="17" t="s">
        <v>74</v>
      </c>
      <c r="C162" s="18" t="s">
        <v>959</v>
      </c>
      <c r="D162" s="19" t="s">
        <v>959</v>
      </c>
      <c r="E162" s="20" t="s">
        <v>959</v>
      </c>
    </row>
    <row r="163" spans="2:5" x14ac:dyDescent="0.2">
      <c r="B163" s="17" t="s">
        <v>1</v>
      </c>
      <c r="C163" s="18" t="s">
        <v>959</v>
      </c>
      <c r="D163" s="19" t="s">
        <v>959</v>
      </c>
      <c r="E163" s="20" t="s">
        <v>959</v>
      </c>
    </row>
    <row r="164" spans="2:5" x14ac:dyDescent="0.2">
      <c r="B164" s="17" t="s">
        <v>135</v>
      </c>
      <c r="C164" s="18" t="s">
        <v>959</v>
      </c>
      <c r="D164" s="19" t="s">
        <v>959</v>
      </c>
      <c r="E164" s="20" t="s">
        <v>959</v>
      </c>
    </row>
    <row r="165" spans="2:5" x14ac:dyDescent="0.2">
      <c r="B165" s="17" t="s">
        <v>54</v>
      </c>
      <c r="C165" s="18" t="s">
        <v>959</v>
      </c>
      <c r="D165" s="19" t="s">
        <v>959</v>
      </c>
      <c r="E165" s="20" t="s">
        <v>959</v>
      </c>
    </row>
    <row r="166" spans="2:5" x14ac:dyDescent="0.2">
      <c r="B166" s="17" t="s">
        <v>105</v>
      </c>
      <c r="C166" s="18" t="s">
        <v>959</v>
      </c>
      <c r="D166" s="19" t="s">
        <v>959</v>
      </c>
      <c r="E166" s="20" t="s">
        <v>959</v>
      </c>
    </row>
    <row r="167" spans="2:5" x14ac:dyDescent="0.2">
      <c r="B167" s="17" t="s">
        <v>90</v>
      </c>
      <c r="C167" s="18">
        <v>1</v>
      </c>
      <c r="D167" s="19" t="s">
        <v>959</v>
      </c>
      <c r="E167" s="20" t="s">
        <v>959</v>
      </c>
    </row>
    <row r="168" spans="2:5" x14ac:dyDescent="0.2">
      <c r="B168" s="17" t="s">
        <v>81</v>
      </c>
      <c r="C168" s="18" t="s">
        <v>959</v>
      </c>
      <c r="D168" s="19" t="s">
        <v>959</v>
      </c>
      <c r="E168" s="20" t="s">
        <v>959</v>
      </c>
    </row>
    <row r="169" spans="2:5" x14ac:dyDescent="0.2">
      <c r="B169" s="17" t="s">
        <v>34</v>
      </c>
      <c r="C169" s="18" t="s">
        <v>959</v>
      </c>
      <c r="D169" s="19" t="s">
        <v>959</v>
      </c>
      <c r="E169" s="20" t="s">
        <v>959</v>
      </c>
    </row>
    <row r="170" spans="2:5" x14ac:dyDescent="0.2">
      <c r="B170" s="17" t="s">
        <v>122</v>
      </c>
      <c r="C170" s="18" t="s">
        <v>959</v>
      </c>
      <c r="D170" s="19" t="s">
        <v>959</v>
      </c>
      <c r="E170" s="20" t="s">
        <v>959</v>
      </c>
    </row>
    <row r="171" spans="2:5" x14ac:dyDescent="0.2">
      <c r="B171" s="17" t="s">
        <v>124</v>
      </c>
      <c r="C171" s="18" t="s">
        <v>959</v>
      </c>
      <c r="D171" s="19" t="s">
        <v>959</v>
      </c>
      <c r="E171" s="20" t="s">
        <v>959</v>
      </c>
    </row>
    <row r="172" spans="2:5" x14ac:dyDescent="0.2">
      <c r="B172" s="17" t="s">
        <v>96</v>
      </c>
      <c r="C172" s="18" t="s">
        <v>959</v>
      </c>
      <c r="D172" s="19" t="s">
        <v>959</v>
      </c>
      <c r="E172" s="20" t="s">
        <v>959</v>
      </c>
    </row>
    <row r="173" spans="2:5" x14ac:dyDescent="0.2">
      <c r="B173" s="17" t="s">
        <v>70</v>
      </c>
      <c r="C173" s="18" t="s">
        <v>959</v>
      </c>
      <c r="D173" s="19" t="s">
        <v>959</v>
      </c>
      <c r="E173" s="20" t="s">
        <v>959</v>
      </c>
    </row>
    <row r="174" spans="2:5" x14ac:dyDescent="0.2">
      <c r="B174" s="17" t="s">
        <v>10</v>
      </c>
      <c r="C174" s="18" t="s">
        <v>959</v>
      </c>
      <c r="D174" s="19" t="s">
        <v>959</v>
      </c>
      <c r="E174" s="20" t="s">
        <v>959</v>
      </c>
    </row>
    <row r="175" spans="2:5" x14ac:dyDescent="0.2">
      <c r="B175" s="17" t="s">
        <v>83</v>
      </c>
      <c r="C175" s="18" t="s">
        <v>959</v>
      </c>
      <c r="D175" s="19" t="s">
        <v>959</v>
      </c>
      <c r="E175" s="20" t="s">
        <v>959</v>
      </c>
    </row>
    <row r="176" spans="2:5" x14ac:dyDescent="0.2">
      <c r="B176" s="17" t="s">
        <v>116</v>
      </c>
      <c r="C176" s="18" t="s">
        <v>959</v>
      </c>
      <c r="D176" s="19" t="s">
        <v>959</v>
      </c>
      <c r="E176" s="20" t="s">
        <v>959</v>
      </c>
    </row>
    <row r="177" spans="2:5" x14ac:dyDescent="0.2">
      <c r="B177" s="17" t="s">
        <v>85</v>
      </c>
      <c r="C177" s="18" t="s">
        <v>959</v>
      </c>
      <c r="D177" s="19" t="s">
        <v>959</v>
      </c>
      <c r="E177" s="20" t="s">
        <v>959</v>
      </c>
    </row>
    <row r="178" spans="2:5" x14ac:dyDescent="0.2">
      <c r="B178" s="17" t="s">
        <v>6</v>
      </c>
      <c r="C178" s="18" t="s">
        <v>959</v>
      </c>
      <c r="D178" s="19" t="s">
        <v>959</v>
      </c>
      <c r="E178" s="20" t="s">
        <v>959</v>
      </c>
    </row>
    <row r="179" spans="2:5" x14ac:dyDescent="0.2">
      <c r="B179" s="17" t="s">
        <v>67</v>
      </c>
      <c r="C179" s="18" t="s">
        <v>959</v>
      </c>
      <c r="D179" s="19" t="s">
        <v>959</v>
      </c>
      <c r="E179" s="20" t="s">
        <v>959</v>
      </c>
    </row>
    <row r="180" spans="2:5" x14ac:dyDescent="0.2">
      <c r="B180" s="17" t="s">
        <v>118</v>
      </c>
      <c r="C180" s="18" t="s">
        <v>959</v>
      </c>
      <c r="D180" s="19" t="s">
        <v>959</v>
      </c>
      <c r="E180" s="20" t="s">
        <v>959</v>
      </c>
    </row>
    <row r="181" spans="2:5" x14ac:dyDescent="0.2">
      <c r="B181" s="17" t="s">
        <v>112</v>
      </c>
      <c r="C181" s="18" t="s">
        <v>959</v>
      </c>
      <c r="D181" s="19" t="s">
        <v>959</v>
      </c>
      <c r="E181" s="20" t="s">
        <v>959</v>
      </c>
    </row>
    <row r="182" spans="2:5" x14ac:dyDescent="0.2">
      <c r="B182" s="17" t="s">
        <v>15</v>
      </c>
      <c r="C182" s="18" t="s">
        <v>959</v>
      </c>
      <c r="D182" s="19" t="s">
        <v>959</v>
      </c>
      <c r="E182" s="20" t="s">
        <v>959</v>
      </c>
    </row>
    <row r="183" spans="2:5" x14ac:dyDescent="0.2">
      <c r="B183" s="17" t="s">
        <v>114</v>
      </c>
      <c r="C183" s="18" t="s">
        <v>959</v>
      </c>
      <c r="D183" s="19" t="s">
        <v>959</v>
      </c>
      <c r="E183" s="20" t="s">
        <v>959</v>
      </c>
    </row>
    <row r="184" spans="2:5" x14ac:dyDescent="0.2">
      <c r="B184" s="15" t="s">
        <v>953</v>
      </c>
      <c r="C184" s="16">
        <v>3</v>
      </c>
      <c r="D184" s="16">
        <v>0</v>
      </c>
      <c r="E184" s="21">
        <v>0</v>
      </c>
    </row>
    <row r="188" spans="2:5" ht="19" x14ac:dyDescent="0.25">
      <c r="B188" s="26" t="s">
        <v>978</v>
      </c>
      <c r="C188" s="26"/>
      <c r="D188" s="26"/>
      <c r="E188" s="26"/>
    </row>
    <row r="190" spans="2:5" x14ac:dyDescent="0.2">
      <c r="B190" s="2" t="s">
        <v>966</v>
      </c>
      <c r="C190" s="2"/>
      <c r="D190" s="2"/>
      <c r="E190" s="2"/>
    </row>
    <row r="191" spans="2:5" x14ac:dyDescent="0.2">
      <c r="B191" s="6" t="s">
        <v>958</v>
      </c>
      <c r="C191" s="2" t="s">
        <v>967</v>
      </c>
      <c r="D191" s="2"/>
      <c r="E191" s="2"/>
    </row>
    <row r="192" spans="2:5" x14ac:dyDescent="0.2">
      <c r="B192" s="6"/>
      <c r="C192" s="8" t="s">
        <v>961</v>
      </c>
      <c r="D192" s="9" t="s">
        <v>972</v>
      </c>
      <c r="E192" s="10" t="s">
        <v>956</v>
      </c>
    </row>
    <row r="193" spans="2:5" x14ac:dyDescent="0.2">
      <c r="C193" s="8"/>
      <c r="D193" s="9"/>
      <c r="E193" s="10"/>
    </row>
    <row r="194" spans="2:5" x14ac:dyDescent="0.2">
      <c r="B194" s="17" t="s">
        <v>7</v>
      </c>
      <c r="C194" s="18" t="s">
        <v>959</v>
      </c>
      <c r="D194" s="19" t="s">
        <v>959</v>
      </c>
      <c r="E194" s="20" t="s">
        <v>959</v>
      </c>
    </row>
    <row r="195" spans="2:5" x14ac:dyDescent="0.2">
      <c r="B195" s="17" t="s">
        <v>1</v>
      </c>
      <c r="C195" s="18" t="s">
        <v>959</v>
      </c>
      <c r="D195" s="19" t="s">
        <v>959</v>
      </c>
      <c r="E195" s="20" t="s">
        <v>959</v>
      </c>
    </row>
    <row r="196" spans="2:5" x14ac:dyDescent="0.2">
      <c r="B196" s="17" t="s">
        <v>20</v>
      </c>
      <c r="C196" s="18" t="s">
        <v>959</v>
      </c>
      <c r="D196" s="19" t="s">
        <v>959</v>
      </c>
      <c r="E196" s="20" t="s">
        <v>959</v>
      </c>
    </row>
    <row r="197" spans="2:5" x14ac:dyDescent="0.2">
      <c r="B197" s="17" t="s">
        <v>2</v>
      </c>
      <c r="C197" s="18" t="s">
        <v>959</v>
      </c>
      <c r="D197" s="19" t="s">
        <v>959</v>
      </c>
      <c r="E197" s="20" t="s">
        <v>959</v>
      </c>
    </row>
    <row r="198" spans="2:5" x14ac:dyDescent="0.2">
      <c r="B198" s="17" t="s">
        <v>0</v>
      </c>
      <c r="C198" s="18" t="s">
        <v>959</v>
      </c>
      <c r="D198" s="19" t="s">
        <v>959</v>
      </c>
      <c r="E198" s="20" t="s">
        <v>959</v>
      </c>
    </row>
    <row r="199" spans="2:5" x14ac:dyDescent="0.2">
      <c r="B199" s="15" t="s">
        <v>953</v>
      </c>
      <c r="C199" s="16">
        <v>0</v>
      </c>
      <c r="D199" s="16">
        <v>0</v>
      </c>
      <c r="E199" s="21">
        <v>0</v>
      </c>
    </row>
    <row r="203" spans="2:5" ht="19" x14ac:dyDescent="0.25">
      <c r="B203" s="26" t="s">
        <v>979</v>
      </c>
      <c r="C203" s="26"/>
      <c r="D203" s="26"/>
      <c r="E203" s="26"/>
    </row>
    <row r="205" spans="2:5" x14ac:dyDescent="0.2">
      <c r="B205" s="2" t="s">
        <v>966</v>
      </c>
      <c r="C205" s="2"/>
      <c r="D205" s="2"/>
      <c r="E205" s="2"/>
    </row>
    <row r="206" spans="2:5" x14ac:dyDescent="0.2">
      <c r="B206" s="6" t="s">
        <v>958</v>
      </c>
      <c r="C206" s="2" t="s">
        <v>967</v>
      </c>
      <c r="D206" s="2"/>
      <c r="E206" s="2"/>
    </row>
    <row r="207" spans="2:5" x14ac:dyDescent="0.2">
      <c r="B207" s="6"/>
      <c r="C207" s="8" t="s">
        <v>961</v>
      </c>
      <c r="D207" s="9" t="s">
        <v>972</v>
      </c>
      <c r="E207" s="10" t="s">
        <v>956</v>
      </c>
    </row>
    <row r="208" spans="2:5" x14ac:dyDescent="0.2">
      <c r="C208" s="8"/>
      <c r="D208" s="9"/>
      <c r="E208" s="10"/>
    </row>
    <row r="209" spans="2:5" x14ac:dyDescent="0.2">
      <c r="B209" s="17" t="s">
        <v>2</v>
      </c>
      <c r="C209" s="18" t="s">
        <v>959</v>
      </c>
      <c r="D209" s="19" t="s">
        <v>959</v>
      </c>
      <c r="E209" s="20" t="s">
        <v>959</v>
      </c>
    </row>
    <row r="210" spans="2:5" x14ac:dyDescent="0.2">
      <c r="B210" s="17" t="s">
        <v>20</v>
      </c>
      <c r="C210" s="18" t="s">
        <v>959</v>
      </c>
      <c r="D210" s="19" t="s">
        <v>959</v>
      </c>
      <c r="E210" s="20" t="s">
        <v>959</v>
      </c>
    </row>
    <row r="211" spans="2:5" x14ac:dyDescent="0.2">
      <c r="B211" s="17" t="s">
        <v>7</v>
      </c>
      <c r="C211" s="18" t="s">
        <v>959</v>
      </c>
      <c r="D211" s="19" t="s">
        <v>959</v>
      </c>
      <c r="E211" s="20" t="s">
        <v>959</v>
      </c>
    </row>
    <row r="212" spans="2:5" x14ac:dyDescent="0.2">
      <c r="B212" s="17" t="s">
        <v>0</v>
      </c>
      <c r="C212" s="18" t="s">
        <v>959</v>
      </c>
      <c r="D212" s="19" t="s">
        <v>959</v>
      </c>
      <c r="E212" s="20" t="s">
        <v>959</v>
      </c>
    </row>
    <row r="213" spans="2:5" x14ac:dyDescent="0.2">
      <c r="B213" s="17" t="s">
        <v>1</v>
      </c>
      <c r="C213" s="18" t="s">
        <v>959</v>
      </c>
      <c r="D213" s="19" t="s">
        <v>959</v>
      </c>
      <c r="E213" s="20" t="s">
        <v>959</v>
      </c>
    </row>
    <row r="214" spans="2:5" x14ac:dyDescent="0.2">
      <c r="B214" s="15" t="s">
        <v>953</v>
      </c>
      <c r="C214" s="16">
        <v>0</v>
      </c>
      <c r="D214" s="16">
        <v>0</v>
      </c>
      <c r="E214" s="21">
        <v>0</v>
      </c>
    </row>
    <row r="218" spans="2:5" ht="19" x14ac:dyDescent="0.25">
      <c r="B218" s="26" t="s">
        <v>980</v>
      </c>
      <c r="C218" s="26"/>
      <c r="D218" s="26"/>
      <c r="E218" s="26"/>
    </row>
    <row r="220" spans="2:5" x14ac:dyDescent="0.2">
      <c r="B220" s="2" t="s">
        <v>966</v>
      </c>
      <c r="C220" s="2"/>
      <c r="D220" s="2"/>
      <c r="E220" s="2"/>
    </row>
    <row r="221" spans="2:5" x14ac:dyDescent="0.2">
      <c r="B221" s="6" t="s">
        <v>958</v>
      </c>
      <c r="C221" s="2" t="s">
        <v>967</v>
      </c>
      <c r="D221" s="2"/>
      <c r="E221" s="2"/>
    </row>
    <row r="222" spans="2:5" x14ac:dyDescent="0.2">
      <c r="B222" s="6"/>
      <c r="C222" s="8" t="s">
        <v>961</v>
      </c>
      <c r="D222" s="9" t="s">
        <v>972</v>
      </c>
      <c r="E222" s="10" t="s">
        <v>956</v>
      </c>
    </row>
    <row r="223" spans="2:5" x14ac:dyDescent="0.2">
      <c r="C223" s="8"/>
      <c r="D223" s="9"/>
      <c r="E223" s="10"/>
    </row>
    <row r="224" spans="2:5" x14ac:dyDescent="0.2">
      <c r="B224" s="17" t="s">
        <v>2</v>
      </c>
      <c r="C224" s="18" t="s">
        <v>959</v>
      </c>
      <c r="D224" s="19" t="s">
        <v>959</v>
      </c>
      <c r="E224" s="20" t="s">
        <v>959</v>
      </c>
    </row>
    <row r="225" spans="2:5" x14ac:dyDescent="0.2">
      <c r="B225" s="17" t="s">
        <v>0</v>
      </c>
      <c r="C225" s="18" t="s">
        <v>959</v>
      </c>
      <c r="D225" s="19" t="s">
        <v>959</v>
      </c>
      <c r="E225" s="20" t="s">
        <v>959</v>
      </c>
    </row>
    <row r="226" spans="2:5" x14ac:dyDescent="0.2">
      <c r="B226" s="17" t="s">
        <v>7</v>
      </c>
      <c r="C226" s="18" t="s">
        <v>959</v>
      </c>
      <c r="D226" s="19" t="s">
        <v>959</v>
      </c>
      <c r="E226" s="20" t="s">
        <v>959</v>
      </c>
    </row>
    <row r="227" spans="2:5" x14ac:dyDescent="0.2">
      <c r="B227" s="17" t="s">
        <v>1</v>
      </c>
      <c r="C227" s="18">
        <v>1</v>
      </c>
      <c r="D227" s="19" t="s">
        <v>959</v>
      </c>
      <c r="E227" s="20" t="s">
        <v>959</v>
      </c>
    </row>
    <row r="228" spans="2:5" x14ac:dyDescent="0.2">
      <c r="B228" s="17" t="s">
        <v>20</v>
      </c>
      <c r="C228" s="18">
        <v>2</v>
      </c>
      <c r="D228" s="19" t="s">
        <v>959</v>
      </c>
      <c r="E228" s="20" t="s">
        <v>959</v>
      </c>
    </row>
    <row r="229" spans="2:5" x14ac:dyDescent="0.2">
      <c r="B229" s="15" t="s">
        <v>953</v>
      </c>
      <c r="C229" s="16">
        <v>3</v>
      </c>
      <c r="D229" s="16">
        <v>0</v>
      </c>
      <c r="E229" s="21">
        <v>0</v>
      </c>
    </row>
    <row r="233" spans="2:5" ht="19" x14ac:dyDescent="0.25">
      <c r="B233" s="38"/>
      <c r="C233" s="38"/>
      <c r="D233" s="38"/>
      <c r="E233" s="38"/>
    </row>
    <row r="235" spans="2:5" x14ac:dyDescent="0.2">
      <c r="B235" s="5"/>
      <c r="C235" s="5"/>
      <c r="D235" s="5"/>
      <c r="E235" s="5"/>
    </row>
    <row r="236" spans="2:5" x14ac:dyDescent="0.2">
      <c r="B236" s="6" t="s">
        <v>984</v>
      </c>
      <c r="C236" s="2" t="s">
        <v>967</v>
      </c>
      <c r="D236" s="2"/>
      <c r="E236" s="2"/>
    </row>
    <row r="237" spans="2:5" x14ac:dyDescent="0.2">
      <c r="B237" s="6"/>
      <c r="C237" s="8" t="s">
        <v>961</v>
      </c>
      <c r="D237" s="9" t="s">
        <v>972</v>
      </c>
      <c r="E237" s="10" t="s">
        <v>956</v>
      </c>
    </row>
    <row r="238" spans="2:5" x14ac:dyDescent="0.2">
      <c r="C238" s="8"/>
      <c r="D238" s="9"/>
      <c r="E238" s="10"/>
    </row>
    <row r="239" spans="2:5" x14ac:dyDescent="0.2">
      <c r="B239" s="29" t="s">
        <v>68</v>
      </c>
      <c r="C239" s="32" t="s">
        <v>959</v>
      </c>
      <c r="D239" s="32" t="s">
        <v>959</v>
      </c>
      <c r="E239" s="36" t="s">
        <v>959</v>
      </c>
    </row>
    <row r="240" spans="2:5" x14ac:dyDescent="0.2">
      <c r="B240" s="30" t="s">
        <v>985</v>
      </c>
      <c r="C240" s="34" t="s">
        <v>959</v>
      </c>
      <c r="D240" s="35" t="s">
        <v>959</v>
      </c>
      <c r="E240" s="4" t="s">
        <v>959</v>
      </c>
    </row>
    <row r="241" spans="2:5" x14ac:dyDescent="0.2">
      <c r="B241" s="30" t="s">
        <v>986</v>
      </c>
      <c r="C241" s="34" t="s">
        <v>959</v>
      </c>
      <c r="D241" s="35" t="s">
        <v>959</v>
      </c>
      <c r="E241" s="4" t="s">
        <v>959</v>
      </c>
    </row>
    <row r="242" spans="2:5" x14ac:dyDescent="0.2">
      <c r="B242" s="30" t="s">
        <v>987</v>
      </c>
      <c r="C242" s="34" t="s">
        <v>959</v>
      </c>
      <c r="D242" s="35" t="s">
        <v>959</v>
      </c>
      <c r="E242" s="4" t="s">
        <v>959</v>
      </c>
    </row>
    <row r="243" spans="2:5" x14ac:dyDescent="0.2">
      <c r="B243" s="30" t="s">
        <v>988</v>
      </c>
      <c r="C243" s="34" t="s">
        <v>959</v>
      </c>
      <c r="D243" s="35" t="s">
        <v>959</v>
      </c>
      <c r="E243" s="4" t="s">
        <v>959</v>
      </c>
    </row>
    <row r="244" spans="2:5" x14ac:dyDescent="0.2">
      <c r="B244" s="30" t="s">
        <v>989</v>
      </c>
      <c r="C244" s="34" t="s">
        <v>959</v>
      </c>
      <c r="D244" s="35" t="s">
        <v>959</v>
      </c>
      <c r="E244" s="4" t="s">
        <v>959</v>
      </c>
    </row>
    <row r="245" spans="2:5" x14ac:dyDescent="0.2">
      <c r="B245" s="30" t="s">
        <v>990</v>
      </c>
      <c r="C245" s="34" t="s">
        <v>959</v>
      </c>
      <c r="D245" s="35" t="s">
        <v>959</v>
      </c>
      <c r="E245" s="4" t="s">
        <v>959</v>
      </c>
    </row>
    <row r="246" spans="2:5" x14ac:dyDescent="0.2">
      <c r="B246" s="30" t="s">
        <v>991</v>
      </c>
      <c r="C246" s="34" t="s">
        <v>959</v>
      </c>
      <c r="D246" s="35" t="s">
        <v>959</v>
      </c>
      <c r="E246" s="4" t="s">
        <v>959</v>
      </c>
    </row>
    <row r="247" spans="2:5" x14ac:dyDescent="0.2">
      <c r="B247" s="30" t="s">
        <v>992</v>
      </c>
      <c r="C247" s="34" t="s">
        <v>959</v>
      </c>
      <c r="D247" s="35" t="s">
        <v>959</v>
      </c>
      <c r="E247" s="4" t="s">
        <v>959</v>
      </c>
    </row>
    <row r="248" spans="2:5" x14ac:dyDescent="0.2">
      <c r="B248" s="30" t="s">
        <v>993</v>
      </c>
      <c r="C248" s="34" t="s">
        <v>959</v>
      </c>
      <c r="D248" s="35" t="s">
        <v>959</v>
      </c>
      <c r="E248" s="4" t="s">
        <v>959</v>
      </c>
    </row>
    <row r="249" spans="2:5" x14ac:dyDescent="0.2">
      <c r="B249" s="29" t="s">
        <v>42</v>
      </c>
      <c r="C249" s="32" t="s">
        <v>959</v>
      </c>
      <c r="D249" s="32" t="s">
        <v>959</v>
      </c>
      <c r="E249" s="36" t="s">
        <v>959</v>
      </c>
    </row>
    <row r="250" spans="2:5" x14ac:dyDescent="0.2">
      <c r="B250" s="30" t="s">
        <v>994</v>
      </c>
      <c r="C250" s="34" t="s">
        <v>959</v>
      </c>
      <c r="D250" s="35" t="s">
        <v>959</v>
      </c>
      <c r="E250" s="4" t="s">
        <v>959</v>
      </c>
    </row>
    <row r="251" spans="2:5" x14ac:dyDescent="0.2">
      <c r="B251" s="30" t="s">
        <v>995</v>
      </c>
      <c r="C251" s="34" t="s">
        <v>959</v>
      </c>
      <c r="D251" s="35" t="s">
        <v>959</v>
      </c>
      <c r="E251" s="4" t="s">
        <v>959</v>
      </c>
    </row>
    <row r="252" spans="2:5" x14ac:dyDescent="0.2">
      <c r="B252" s="30" t="s">
        <v>996</v>
      </c>
      <c r="C252" s="34" t="s">
        <v>959</v>
      </c>
      <c r="D252" s="35" t="s">
        <v>959</v>
      </c>
      <c r="E252" s="4" t="s">
        <v>959</v>
      </c>
    </row>
    <row r="253" spans="2:5" x14ac:dyDescent="0.2">
      <c r="B253" s="30" t="s">
        <v>997</v>
      </c>
      <c r="C253" s="34" t="s">
        <v>959</v>
      </c>
      <c r="D253" s="35" t="s">
        <v>959</v>
      </c>
      <c r="E253" s="4" t="s">
        <v>959</v>
      </c>
    </row>
    <row r="254" spans="2:5" x14ac:dyDescent="0.2">
      <c r="B254" s="30" t="s">
        <v>998</v>
      </c>
      <c r="C254" s="34" t="s">
        <v>959</v>
      </c>
      <c r="D254" s="35" t="s">
        <v>959</v>
      </c>
      <c r="E254" s="4" t="s">
        <v>959</v>
      </c>
    </row>
    <row r="255" spans="2:5" x14ac:dyDescent="0.2">
      <c r="B255" s="29" t="s">
        <v>48</v>
      </c>
      <c r="C255" s="32" t="s">
        <v>959</v>
      </c>
      <c r="D255" s="32" t="s">
        <v>959</v>
      </c>
      <c r="E255" s="36" t="s">
        <v>959</v>
      </c>
    </row>
    <row r="256" spans="2:5" x14ac:dyDescent="0.2">
      <c r="B256" s="30" t="s">
        <v>999</v>
      </c>
      <c r="C256" s="34" t="s">
        <v>959</v>
      </c>
      <c r="D256" s="35" t="s">
        <v>959</v>
      </c>
      <c r="E256" s="4" t="s">
        <v>959</v>
      </c>
    </row>
    <row r="257" spans="2:5" x14ac:dyDescent="0.2">
      <c r="B257" s="30" t="s">
        <v>1000</v>
      </c>
      <c r="C257" s="34" t="s">
        <v>959</v>
      </c>
      <c r="D257" s="35" t="s">
        <v>959</v>
      </c>
      <c r="E257" s="4" t="s">
        <v>959</v>
      </c>
    </row>
    <row r="258" spans="2:5" x14ac:dyDescent="0.2">
      <c r="B258" s="30" t="s">
        <v>1001</v>
      </c>
      <c r="C258" s="34" t="s">
        <v>959</v>
      </c>
      <c r="D258" s="35" t="s">
        <v>959</v>
      </c>
      <c r="E258" s="4" t="s">
        <v>959</v>
      </c>
    </row>
    <row r="259" spans="2:5" x14ac:dyDescent="0.2">
      <c r="B259" s="30" t="s">
        <v>1002</v>
      </c>
      <c r="C259" s="34" t="s">
        <v>959</v>
      </c>
      <c r="D259" s="35" t="s">
        <v>959</v>
      </c>
      <c r="E259" s="4" t="s">
        <v>959</v>
      </c>
    </row>
    <row r="260" spans="2:5" x14ac:dyDescent="0.2">
      <c r="B260" s="30" t="s">
        <v>1003</v>
      </c>
      <c r="C260" s="34" t="s">
        <v>959</v>
      </c>
      <c r="D260" s="35" t="s">
        <v>959</v>
      </c>
      <c r="E260" s="4" t="s">
        <v>959</v>
      </c>
    </row>
    <row r="261" spans="2:5" x14ac:dyDescent="0.2">
      <c r="B261" s="30" t="s">
        <v>999</v>
      </c>
      <c r="C261" s="34" t="s">
        <v>959</v>
      </c>
      <c r="D261" s="35" t="s">
        <v>959</v>
      </c>
      <c r="E261" s="4" t="s">
        <v>959</v>
      </c>
    </row>
    <row r="262" spans="2:5" x14ac:dyDescent="0.2">
      <c r="B262" s="29" t="s">
        <v>74</v>
      </c>
      <c r="C262" s="32" t="s">
        <v>959</v>
      </c>
      <c r="D262" s="32" t="s">
        <v>959</v>
      </c>
      <c r="E262" s="36" t="s">
        <v>959</v>
      </c>
    </row>
    <row r="263" spans="2:5" x14ac:dyDescent="0.2">
      <c r="B263" s="30" t="s">
        <v>1004</v>
      </c>
      <c r="C263" s="34" t="s">
        <v>959</v>
      </c>
      <c r="D263" s="35" t="s">
        <v>959</v>
      </c>
      <c r="E263" s="4" t="s">
        <v>959</v>
      </c>
    </row>
    <row r="264" spans="2:5" x14ac:dyDescent="0.2">
      <c r="B264" s="30" t="s">
        <v>1005</v>
      </c>
      <c r="C264" s="34" t="s">
        <v>959</v>
      </c>
      <c r="D264" s="35" t="s">
        <v>959</v>
      </c>
      <c r="E264" s="4" t="s">
        <v>959</v>
      </c>
    </row>
    <row r="265" spans="2:5" x14ac:dyDescent="0.2">
      <c r="B265" s="30" t="s">
        <v>1006</v>
      </c>
      <c r="C265" s="34" t="s">
        <v>959</v>
      </c>
      <c r="D265" s="35" t="s">
        <v>959</v>
      </c>
      <c r="E265" s="4" t="s">
        <v>959</v>
      </c>
    </row>
    <row r="266" spans="2:5" x14ac:dyDescent="0.2">
      <c r="B266" s="30" t="s">
        <v>1007</v>
      </c>
      <c r="C266" s="34" t="s">
        <v>959</v>
      </c>
      <c r="D266" s="35" t="s">
        <v>959</v>
      </c>
      <c r="E266" s="4" t="s">
        <v>959</v>
      </c>
    </row>
    <row r="267" spans="2:5" x14ac:dyDescent="0.2">
      <c r="B267" s="29" t="s">
        <v>92</v>
      </c>
      <c r="C267" s="32" t="s">
        <v>959</v>
      </c>
      <c r="D267" s="32" t="s">
        <v>959</v>
      </c>
      <c r="E267" s="36" t="s">
        <v>959</v>
      </c>
    </row>
    <row r="268" spans="2:5" x14ac:dyDescent="0.2">
      <c r="B268" s="30" t="s">
        <v>1008</v>
      </c>
      <c r="C268" s="34" t="s">
        <v>959</v>
      </c>
      <c r="D268" s="35" t="s">
        <v>959</v>
      </c>
      <c r="E268" s="4" t="s">
        <v>959</v>
      </c>
    </row>
    <row r="269" spans="2:5" x14ac:dyDescent="0.2">
      <c r="B269" s="30" t="s">
        <v>1009</v>
      </c>
      <c r="C269" s="34" t="s">
        <v>959</v>
      </c>
      <c r="D269" s="35" t="s">
        <v>959</v>
      </c>
      <c r="E269" s="4" t="s">
        <v>959</v>
      </c>
    </row>
    <row r="270" spans="2:5" x14ac:dyDescent="0.2">
      <c r="B270" s="30" t="s">
        <v>1010</v>
      </c>
      <c r="C270" s="34" t="s">
        <v>959</v>
      </c>
      <c r="D270" s="35" t="s">
        <v>959</v>
      </c>
      <c r="E270" s="4" t="s">
        <v>959</v>
      </c>
    </row>
    <row r="271" spans="2:5" x14ac:dyDescent="0.2">
      <c r="B271" s="30" t="s">
        <v>1011</v>
      </c>
      <c r="C271" s="34" t="s">
        <v>959</v>
      </c>
      <c r="D271" s="35" t="s">
        <v>959</v>
      </c>
      <c r="E271" s="4" t="s">
        <v>959</v>
      </c>
    </row>
    <row r="272" spans="2:5" x14ac:dyDescent="0.2">
      <c r="B272" s="30" t="s">
        <v>1012</v>
      </c>
      <c r="C272" s="34" t="s">
        <v>959</v>
      </c>
      <c r="D272" s="35" t="s">
        <v>959</v>
      </c>
      <c r="E272" s="4" t="s">
        <v>959</v>
      </c>
    </row>
    <row r="273" spans="2:5" x14ac:dyDescent="0.2">
      <c r="B273" s="30" t="s">
        <v>1013</v>
      </c>
      <c r="C273" s="34" t="s">
        <v>959</v>
      </c>
      <c r="D273" s="35" t="s">
        <v>959</v>
      </c>
      <c r="E273" s="4" t="s">
        <v>959</v>
      </c>
    </row>
    <row r="274" spans="2:5" x14ac:dyDescent="0.2">
      <c r="B274" s="30" t="s">
        <v>1014</v>
      </c>
      <c r="C274" s="34" t="s">
        <v>959</v>
      </c>
      <c r="D274" s="35" t="s">
        <v>959</v>
      </c>
      <c r="E274" s="4" t="s">
        <v>959</v>
      </c>
    </row>
    <row r="275" spans="2:5" x14ac:dyDescent="0.2">
      <c r="B275" s="30" t="s">
        <v>1015</v>
      </c>
      <c r="C275" s="34" t="s">
        <v>959</v>
      </c>
      <c r="D275" s="35" t="s">
        <v>959</v>
      </c>
      <c r="E275" s="4" t="s">
        <v>959</v>
      </c>
    </row>
    <row r="276" spans="2:5" x14ac:dyDescent="0.2">
      <c r="B276" s="29" t="s">
        <v>79</v>
      </c>
      <c r="C276" s="32" t="s">
        <v>959</v>
      </c>
      <c r="D276" s="32" t="s">
        <v>959</v>
      </c>
      <c r="E276" s="36" t="s">
        <v>959</v>
      </c>
    </row>
    <row r="277" spans="2:5" x14ac:dyDescent="0.2">
      <c r="B277" s="30" t="s">
        <v>1016</v>
      </c>
      <c r="C277" s="34" t="s">
        <v>959</v>
      </c>
      <c r="D277" s="35" t="s">
        <v>959</v>
      </c>
      <c r="E277" s="4" t="s">
        <v>959</v>
      </c>
    </row>
    <row r="278" spans="2:5" x14ac:dyDescent="0.2">
      <c r="B278" s="30" t="s">
        <v>1017</v>
      </c>
      <c r="C278" s="34" t="s">
        <v>959</v>
      </c>
      <c r="D278" s="35" t="s">
        <v>959</v>
      </c>
      <c r="E278" s="4" t="s">
        <v>959</v>
      </c>
    </row>
    <row r="279" spans="2:5" x14ac:dyDescent="0.2">
      <c r="B279" s="30" t="s">
        <v>1018</v>
      </c>
      <c r="C279" s="34" t="s">
        <v>959</v>
      </c>
      <c r="D279" s="35" t="s">
        <v>959</v>
      </c>
      <c r="E279" s="4" t="s">
        <v>959</v>
      </c>
    </row>
    <row r="280" spans="2:5" x14ac:dyDescent="0.2">
      <c r="B280" s="30" t="s">
        <v>1019</v>
      </c>
      <c r="C280" s="34" t="s">
        <v>959</v>
      </c>
      <c r="D280" s="35" t="s">
        <v>959</v>
      </c>
      <c r="E280" s="4" t="s">
        <v>959</v>
      </c>
    </row>
    <row r="281" spans="2:5" x14ac:dyDescent="0.2">
      <c r="B281" s="30" t="s">
        <v>1020</v>
      </c>
      <c r="C281" s="34" t="s">
        <v>959</v>
      </c>
      <c r="D281" s="35" t="s">
        <v>959</v>
      </c>
      <c r="E281" s="4" t="s">
        <v>959</v>
      </c>
    </row>
    <row r="282" spans="2:5" x14ac:dyDescent="0.2">
      <c r="B282" s="30" t="s">
        <v>1021</v>
      </c>
      <c r="C282" s="34" t="s">
        <v>959</v>
      </c>
      <c r="D282" s="35" t="s">
        <v>959</v>
      </c>
      <c r="E282" s="4" t="s">
        <v>959</v>
      </c>
    </row>
    <row r="283" spans="2:5" x14ac:dyDescent="0.2">
      <c r="B283" s="30" t="s">
        <v>1022</v>
      </c>
      <c r="C283" s="34" t="s">
        <v>959</v>
      </c>
      <c r="D283" s="35" t="s">
        <v>959</v>
      </c>
      <c r="E283" s="4" t="s">
        <v>959</v>
      </c>
    </row>
    <row r="284" spans="2:5" x14ac:dyDescent="0.2">
      <c r="B284" s="30" t="s">
        <v>1023</v>
      </c>
      <c r="C284" s="34" t="s">
        <v>959</v>
      </c>
      <c r="D284" s="35" t="s">
        <v>959</v>
      </c>
      <c r="E284" s="4" t="s">
        <v>959</v>
      </c>
    </row>
    <row r="285" spans="2:5" x14ac:dyDescent="0.2">
      <c r="B285" s="29" t="s">
        <v>30</v>
      </c>
      <c r="C285" s="32" t="s">
        <v>959</v>
      </c>
      <c r="D285" s="32" t="s">
        <v>959</v>
      </c>
      <c r="E285" s="36" t="s">
        <v>959</v>
      </c>
    </row>
    <row r="286" spans="2:5" x14ac:dyDescent="0.2">
      <c r="B286" s="30" t="s">
        <v>1024</v>
      </c>
      <c r="C286" s="34" t="s">
        <v>959</v>
      </c>
      <c r="D286" s="35" t="s">
        <v>959</v>
      </c>
      <c r="E286" s="4" t="s">
        <v>959</v>
      </c>
    </row>
    <row r="287" spans="2:5" x14ac:dyDescent="0.2">
      <c r="B287" s="30" t="s">
        <v>1025</v>
      </c>
      <c r="C287" s="34" t="s">
        <v>959</v>
      </c>
      <c r="D287" s="35" t="s">
        <v>959</v>
      </c>
      <c r="E287" s="4" t="s">
        <v>959</v>
      </c>
    </row>
    <row r="288" spans="2:5" x14ac:dyDescent="0.2">
      <c r="B288" s="30" t="s">
        <v>1026</v>
      </c>
      <c r="C288" s="34" t="s">
        <v>959</v>
      </c>
      <c r="D288" s="35" t="s">
        <v>959</v>
      </c>
      <c r="E288" s="4" t="s">
        <v>959</v>
      </c>
    </row>
    <row r="289" spans="2:5" x14ac:dyDescent="0.2">
      <c r="B289" s="30" t="s">
        <v>1027</v>
      </c>
      <c r="C289" s="34" t="s">
        <v>959</v>
      </c>
      <c r="D289" s="35" t="s">
        <v>959</v>
      </c>
      <c r="E289" s="4" t="s">
        <v>959</v>
      </c>
    </row>
    <row r="290" spans="2:5" x14ac:dyDescent="0.2">
      <c r="B290" s="30" t="s">
        <v>1028</v>
      </c>
      <c r="C290" s="34" t="s">
        <v>959</v>
      </c>
      <c r="D290" s="35" t="s">
        <v>959</v>
      </c>
      <c r="E290" s="4" t="s">
        <v>959</v>
      </c>
    </row>
    <row r="291" spans="2:5" x14ac:dyDescent="0.2">
      <c r="B291" s="30" t="s">
        <v>1029</v>
      </c>
      <c r="C291" s="34" t="s">
        <v>959</v>
      </c>
      <c r="D291" s="35" t="s">
        <v>959</v>
      </c>
      <c r="E291" s="4" t="s">
        <v>959</v>
      </c>
    </row>
    <row r="292" spans="2:5" x14ac:dyDescent="0.2">
      <c r="B292" s="30" t="s">
        <v>1030</v>
      </c>
      <c r="C292" s="34" t="s">
        <v>959</v>
      </c>
      <c r="D292" s="35" t="s">
        <v>959</v>
      </c>
      <c r="E292" s="4" t="s">
        <v>959</v>
      </c>
    </row>
    <row r="293" spans="2:5" x14ac:dyDescent="0.2">
      <c r="B293" s="30" t="s">
        <v>1031</v>
      </c>
      <c r="C293" s="34" t="s">
        <v>959</v>
      </c>
      <c r="D293" s="35" t="s">
        <v>959</v>
      </c>
      <c r="E293" s="4" t="s">
        <v>959</v>
      </c>
    </row>
    <row r="294" spans="2:5" x14ac:dyDescent="0.2">
      <c r="B294" s="30" t="s">
        <v>1032</v>
      </c>
      <c r="C294" s="34" t="s">
        <v>959</v>
      </c>
      <c r="D294" s="35" t="s">
        <v>959</v>
      </c>
      <c r="E294" s="4" t="s">
        <v>959</v>
      </c>
    </row>
    <row r="295" spans="2:5" x14ac:dyDescent="0.2">
      <c r="B295" s="29" t="s">
        <v>125</v>
      </c>
      <c r="C295" s="32" t="s">
        <v>959</v>
      </c>
      <c r="D295" s="32" t="s">
        <v>959</v>
      </c>
      <c r="E295" s="36" t="s">
        <v>959</v>
      </c>
    </row>
    <row r="296" spans="2:5" x14ac:dyDescent="0.2">
      <c r="B296" s="30" t="s">
        <v>1033</v>
      </c>
      <c r="C296" s="34" t="s">
        <v>959</v>
      </c>
      <c r="D296" s="35" t="s">
        <v>959</v>
      </c>
      <c r="E296" s="4" t="s">
        <v>959</v>
      </c>
    </row>
    <row r="297" spans="2:5" x14ac:dyDescent="0.2">
      <c r="B297" s="30" t="s">
        <v>1034</v>
      </c>
      <c r="C297" s="34" t="s">
        <v>959</v>
      </c>
      <c r="D297" s="35" t="s">
        <v>959</v>
      </c>
      <c r="E297" s="4" t="s">
        <v>959</v>
      </c>
    </row>
    <row r="298" spans="2:5" x14ac:dyDescent="0.2">
      <c r="B298" s="30" t="s">
        <v>1035</v>
      </c>
      <c r="C298" s="34" t="s">
        <v>959</v>
      </c>
      <c r="D298" s="35" t="s">
        <v>959</v>
      </c>
      <c r="E298" s="4" t="s">
        <v>959</v>
      </c>
    </row>
    <row r="299" spans="2:5" x14ac:dyDescent="0.2">
      <c r="B299" s="30" t="s">
        <v>1036</v>
      </c>
      <c r="C299" s="34" t="s">
        <v>959</v>
      </c>
      <c r="D299" s="35" t="s">
        <v>959</v>
      </c>
      <c r="E299" s="4" t="s">
        <v>959</v>
      </c>
    </row>
    <row r="300" spans="2:5" x14ac:dyDescent="0.2">
      <c r="B300" s="30" t="s">
        <v>1037</v>
      </c>
      <c r="C300" s="34" t="s">
        <v>959</v>
      </c>
      <c r="D300" s="35" t="s">
        <v>959</v>
      </c>
      <c r="E300" s="4" t="s">
        <v>959</v>
      </c>
    </row>
    <row r="301" spans="2:5" x14ac:dyDescent="0.2">
      <c r="B301" s="30" t="s">
        <v>1038</v>
      </c>
      <c r="C301" s="34" t="s">
        <v>959</v>
      </c>
      <c r="D301" s="35" t="s">
        <v>959</v>
      </c>
      <c r="E301" s="4" t="s">
        <v>959</v>
      </c>
    </row>
    <row r="302" spans="2:5" x14ac:dyDescent="0.2">
      <c r="B302" s="29" t="s">
        <v>88</v>
      </c>
      <c r="C302" s="32" t="s">
        <v>959</v>
      </c>
      <c r="D302" s="32" t="s">
        <v>959</v>
      </c>
      <c r="E302" s="36" t="s">
        <v>959</v>
      </c>
    </row>
    <row r="303" spans="2:5" x14ac:dyDescent="0.2">
      <c r="B303" s="30" t="s">
        <v>1039</v>
      </c>
      <c r="C303" s="34" t="s">
        <v>959</v>
      </c>
      <c r="D303" s="35" t="s">
        <v>959</v>
      </c>
      <c r="E303" s="4" t="s">
        <v>959</v>
      </c>
    </row>
    <row r="304" spans="2:5" x14ac:dyDescent="0.2">
      <c r="B304" s="30" t="s">
        <v>1040</v>
      </c>
      <c r="C304" s="34" t="s">
        <v>959</v>
      </c>
      <c r="D304" s="35" t="s">
        <v>959</v>
      </c>
      <c r="E304" s="4" t="s">
        <v>959</v>
      </c>
    </row>
    <row r="305" spans="2:5" x14ac:dyDescent="0.2">
      <c r="B305" s="30" t="s">
        <v>1041</v>
      </c>
      <c r="C305" s="34" t="s">
        <v>959</v>
      </c>
      <c r="D305" s="35" t="s">
        <v>959</v>
      </c>
      <c r="E305" s="4" t="s">
        <v>959</v>
      </c>
    </row>
    <row r="306" spans="2:5" x14ac:dyDescent="0.2">
      <c r="B306" s="30" t="s">
        <v>1042</v>
      </c>
      <c r="C306" s="34" t="s">
        <v>959</v>
      </c>
      <c r="D306" s="35" t="s">
        <v>959</v>
      </c>
      <c r="E306" s="4" t="s">
        <v>959</v>
      </c>
    </row>
    <row r="307" spans="2:5" x14ac:dyDescent="0.2">
      <c r="B307" s="30" t="s">
        <v>1043</v>
      </c>
      <c r="C307" s="34" t="s">
        <v>959</v>
      </c>
      <c r="D307" s="35" t="s">
        <v>959</v>
      </c>
      <c r="E307" s="4" t="s">
        <v>959</v>
      </c>
    </row>
    <row r="308" spans="2:5" x14ac:dyDescent="0.2">
      <c r="B308" s="30" t="s">
        <v>1044</v>
      </c>
      <c r="C308" s="34" t="s">
        <v>959</v>
      </c>
      <c r="D308" s="35" t="s">
        <v>959</v>
      </c>
      <c r="E308" s="4" t="s">
        <v>959</v>
      </c>
    </row>
    <row r="309" spans="2:5" x14ac:dyDescent="0.2">
      <c r="B309" s="30" t="s">
        <v>1045</v>
      </c>
      <c r="C309" s="34" t="s">
        <v>959</v>
      </c>
      <c r="D309" s="35" t="s">
        <v>959</v>
      </c>
      <c r="E309" s="4" t="s">
        <v>959</v>
      </c>
    </row>
    <row r="310" spans="2:5" x14ac:dyDescent="0.2">
      <c r="B310" s="29" t="s">
        <v>91</v>
      </c>
      <c r="C310" s="32" t="s">
        <v>959</v>
      </c>
      <c r="D310" s="32" t="s">
        <v>959</v>
      </c>
      <c r="E310" s="36" t="s">
        <v>959</v>
      </c>
    </row>
    <row r="311" spans="2:5" x14ac:dyDescent="0.2">
      <c r="B311" s="30" t="s">
        <v>1046</v>
      </c>
      <c r="C311" s="34" t="s">
        <v>959</v>
      </c>
      <c r="D311" s="35" t="s">
        <v>959</v>
      </c>
      <c r="E311" s="4" t="s">
        <v>959</v>
      </c>
    </row>
    <row r="312" spans="2:5" x14ac:dyDescent="0.2">
      <c r="B312" s="30" t="s">
        <v>1047</v>
      </c>
      <c r="C312" s="34" t="s">
        <v>959</v>
      </c>
      <c r="D312" s="35" t="s">
        <v>959</v>
      </c>
      <c r="E312" s="4" t="s">
        <v>959</v>
      </c>
    </row>
    <row r="313" spans="2:5" x14ac:dyDescent="0.2">
      <c r="B313" s="30" t="s">
        <v>1048</v>
      </c>
      <c r="C313" s="34" t="s">
        <v>959</v>
      </c>
      <c r="D313" s="35" t="s">
        <v>959</v>
      </c>
      <c r="E313" s="4" t="s">
        <v>959</v>
      </c>
    </row>
    <row r="314" spans="2:5" x14ac:dyDescent="0.2">
      <c r="B314" s="30" t="s">
        <v>1049</v>
      </c>
      <c r="C314" s="34" t="s">
        <v>959</v>
      </c>
      <c r="D314" s="35" t="s">
        <v>959</v>
      </c>
      <c r="E314" s="4" t="s">
        <v>959</v>
      </c>
    </row>
    <row r="315" spans="2:5" x14ac:dyDescent="0.2">
      <c r="B315" s="30" t="s">
        <v>1050</v>
      </c>
      <c r="C315" s="34" t="s">
        <v>959</v>
      </c>
      <c r="D315" s="35" t="s">
        <v>959</v>
      </c>
      <c r="E315" s="4" t="s">
        <v>959</v>
      </c>
    </row>
    <row r="316" spans="2:5" x14ac:dyDescent="0.2">
      <c r="B316" s="30" t="s">
        <v>1051</v>
      </c>
      <c r="C316" s="34" t="s">
        <v>959</v>
      </c>
      <c r="D316" s="35" t="s">
        <v>959</v>
      </c>
      <c r="E316" s="4" t="s">
        <v>959</v>
      </c>
    </row>
    <row r="317" spans="2:5" x14ac:dyDescent="0.2">
      <c r="B317" s="29" t="s">
        <v>16</v>
      </c>
      <c r="C317" s="32" t="s">
        <v>959</v>
      </c>
      <c r="D317" s="32" t="s">
        <v>959</v>
      </c>
      <c r="E317" s="36" t="s">
        <v>959</v>
      </c>
    </row>
    <row r="318" spans="2:5" x14ac:dyDescent="0.2">
      <c r="B318" s="30" t="s">
        <v>1052</v>
      </c>
      <c r="C318" s="34" t="s">
        <v>959</v>
      </c>
      <c r="D318" s="35" t="s">
        <v>959</v>
      </c>
      <c r="E318" s="4" t="s">
        <v>959</v>
      </c>
    </row>
    <row r="319" spans="2:5" x14ac:dyDescent="0.2">
      <c r="B319" s="30" t="s">
        <v>1053</v>
      </c>
      <c r="C319" s="34" t="s">
        <v>959</v>
      </c>
      <c r="D319" s="35" t="s">
        <v>959</v>
      </c>
      <c r="E319" s="4" t="s">
        <v>959</v>
      </c>
    </row>
    <row r="320" spans="2:5" x14ac:dyDescent="0.2">
      <c r="B320" s="30" t="s">
        <v>1054</v>
      </c>
      <c r="C320" s="34" t="s">
        <v>959</v>
      </c>
      <c r="D320" s="35" t="s">
        <v>959</v>
      </c>
      <c r="E320" s="4" t="s">
        <v>959</v>
      </c>
    </row>
    <row r="321" spans="2:5" x14ac:dyDescent="0.2">
      <c r="B321" s="30" t="s">
        <v>1055</v>
      </c>
      <c r="C321" s="34" t="s">
        <v>959</v>
      </c>
      <c r="D321" s="35" t="s">
        <v>959</v>
      </c>
      <c r="E321" s="4" t="s">
        <v>959</v>
      </c>
    </row>
    <row r="322" spans="2:5" x14ac:dyDescent="0.2">
      <c r="B322" s="30" t="s">
        <v>1056</v>
      </c>
      <c r="C322" s="34" t="s">
        <v>959</v>
      </c>
      <c r="D322" s="35" t="s">
        <v>959</v>
      </c>
      <c r="E322" s="4" t="s">
        <v>959</v>
      </c>
    </row>
    <row r="323" spans="2:5" x14ac:dyDescent="0.2">
      <c r="B323" s="30" t="s">
        <v>1057</v>
      </c>
      <c r="C323" s="34" t="s">
        <v>959</v>
      </c>
      <c r="D323" s="35" t="s">
        <v>959</v>
      </c>
      <c r="E323" s="4" t="s">
        <v>959</v>
      </c>
    </row>
    <row r="324" spans="2:5" x14ac:dyDescent="0.2">
      <c r="B324" s="29" t="s">
        <v>53</v>
      </c>
      <c r="C324" s="32" t="s">
        <v>959</v>
      </c>
      <c r="D324" s="32" t="s">
        <v>959</v>
      </c>
      <c r="E324" s="36" t="s">
        <v>959</v>
      </c>
    </row>
    <row r="325" spans="2:5" x14ac:dyDescent="0.2">
      <c r="B325" s="30" t="s">
        <v>1058</v>
      </c>
      <c r="C325" s="34" t="s">
        <v>959</v>
      </c>
      <c r="D325" s="35" t="s">
        <v>959</v>
      </c>
      <c r="E325" s="4" t="s">
        <v>959</v>
      </c>
    </row>
    <row r="326" spans="2:5" x14ac:dyDescent="0.2">
      <c r="B326" s="30" t="s">
        <v>1059</v>
      </c>
      <c r="C326" s="34" t="s">
        <v>959</v>
      </c>
      <c r="D326" s="35" t="s">
        <v>959</v>
      </c>
      <c r="E326" s="4" t="s">
        <v>959</v>
      </c>
    </row>
    <row r="327" spans="2:5" x14ac:dyDescent="0.2">
      <c r="B327" s="30" t="s">
        <v>1060</v>
      </c>
      <c r="C327" s="34" t="s">
        <v>959</v>
      </c>
      <c r="D327" s="35" t="s">
        <v>959</v>
      </c>
      <c r="E327" s="4" t="s">
        <v>959</v>
      </c>
    </row>
    <row r="328" spans="2:5" x14ac:dyDescent="0.2">
      <c r="B328" s="30" t="s">
        <v>1061</v>
      </c>
      <c r="C328" s="34" t="s">
        <v>959</v>
      </c>
      <c r="D328" s="35" t="s">
        <v>959</v>
      </c>
      <c r="E328" s="4" t="s">
        <v>959</v>
      </c>
    </row>
    <row r="329" spans="2:5" x14ac:dyDescent="0.2">
      <c r="B329" s="30" t="s">
        <v>1062</v>
      </c>
      <c r="C329" s="34" t="s">
        <v>959</v>
      </c>
      <c r="D329" s="35" t="s">
        <v>959</v>
      </c>
      <c r="E329" s="4" t="s">
        <v>959</v>
      </c>
    </row>
    <row r="330" spans="2:5" x14ac:dyDescent="0.2">
      <c r="B330" s="30" t="s">
        <v>1063</v>
      </c>
      <c r="C330" s="34" t="s">
        <v>959</v>
      </c>
      <c r="D330" s="35" t="s">
        <v>959</v>
      </c>
      <c r="E330" s="4" t="s">
        <v>959</v>
      </c>
    </row>
    <row r="331" spans="2:5" x14ac:dyDescent="0.2">
      <c r="B331" s="30" t="s">
        <v>1064</v>
      </c>
      <c r="C331" s="34" t="s">
        <v>959</v>
      </c>
      <c r="D331" s="35" t="s">
        <v>959</v>
      </c>
      <c r="E331" s="4" t="s">
        <v>959</v>
      </c>
    </row>
    <row r="332" spans="2:5" x14ac:dyDescent="0.2">
      <c r="B332" s="30" t="s">
        <v>1065</v>
      </c>
      <c r="C332" s="34" t="s">
        <v>959</v>
      </c>
      <c r="D332" s="35" t="s">
        <v>959</v>
      </c>
      <c r="E332" s="4" t="s">
        <v>959</v>
      </c>
    </row>
    <row r="333" spans="2:5" x14ac:dyDescent="0.2">
      <c r="B333" s="30" t="s">
        <v>1066</v>
      </c>
      <c r="C333" s="34" t="s">
        <v>959</v>
      </c>
      <c r="D333" s="35" t="s">
        <v>959</v>
      </c>
      <c r="E333" s="4" t="s">
        <v>959</v>
      </c>
    </row>
    <row r="334" spans="2:5" x14ac:dyDescent="0.2">
      <c r="B334" s="29" t="s">
        <v>35</v>
      </c>
      <c r="C334" s="32" t="s">
        <v>959</v>
      </c>
      <c r="D334" s="32" t="s">
        <v>959</v>
      </c>
      <c r="E334" s="36" t="s">
        <v>959</v>
      </c>
    </row>
    <row r="335" spans="2:5" x14ac:dyDescent="0.2">
      <c r="B335" s="30" t="s">
        <v>1067</v>
      </c>
      <c r="C335" s="34" t="s">
        <v>959</v>
      </c>
      <c r="D335" s="35" t="s">
        <v>959</v>
      </c>
      <c r="E335" s="4" t="s">
        <v>959</v>
      </c>
    </row>
    <row r="336" spans="2:5" x14ac:dyDescent="0.2">
      <c r="B336" s="30" t="s">
        <v>1068</v>
      </c>
      <c r="C336" s="34" t="s">
        <v>959</v>
      </c>
      <c r="D336" s="35" t="s">
        <v>959</v>
      </c>
      <c r="E336" s="4" t="s">
        <v>959</v>
      </c>
    </row>
    <row r="337" spans="2:5" x14ac:dyDescent="0.2">
      <c r="B337" s="30" t="s">
        <v>1069</v>
      </c>
      <c r="C337" s="34" t="s">
        <v>959</v>
      </c>
      <c r="D337" s="35" t="s">
        <v>959</v>
      </c>
      <c r="E337" s="4" t="s">
        <v>959</v>
      </c>
    </row>
    <row r="338" spans="2:5" x14ac:dyDescent="0.2">
      <c r="B338" s="30" t="s">
        <v>1070</v>
      </c>
      <c r="C338" s="34" t="s">
        <v>959</v>
      </c>
      <c r="D338" s="35" t="s">
        <v>959</v>
      </c>
      <c r="E338" s="4" t="s">
        <v>959</v>
      </c>
    </row>
    <row r="339" spans="2:5" x14ac:dyDescent="0.2">
      <c r="B339" s="30" t="s">
        <v>1071</v>
      </c>
      <c r="C339" s="34" t="s">
        <v>959</v>
      </c>
      <c r="D339" s="35" t="s">
        <v>959</v>
      </c>
      <c r="E339" s="4" t="s">
        <v>959</v>
      </c>
    </row>
    <row r="340" spans="2:5" x14ac:dyDescent="0.2">
      <c r="B340" s="30" t="s">
        <v>1072</v>
      </c>
      <c r="C340" s="34" t="s">
        <v>959</v>
      </c>
      <c r="D340" s="35" t="s">
        <v>959</v>
      </c>
      <c r="E340" s="4" t="s">
        <v>959</v>
      </c>
    </row>
    <row r="341" spans="2:5" x14ac:dyDescent="0.2">
      <c r="B341" s="30" t="s">
        <v>1073</v>
      </c>
      <c r="C341" s="34" t="s">
        <v>959</v>
      </c>
      <c r="D341" s="35" t="s">
        <v>959</v>
      </c>
      <c r="E341" s="4" t="s">
        <v>959</v>
      </c>
    </row>
    <row r="342" spans="2:5" x14ac:dyDescent="0.2">
      <c r="B342" s="29" t="s">
        <v>19</v>
      </c>
      <c r="C342" s="32">
        <v>1</v>
      </c>
      <c r="D342" s="32" t="s">
        <v>959</v>
      </c>
      <c r="E342" s="36" t="s">
        <v>959</v>
      </c>
    </row>
    <row r="343" spans="2:5" x14ac:dyDescent="0.2">
      <c r="B343" s="30" t="s">
        <v>1074</v>
      </c>
      <c r="C343" s="34" t="s">
        <v>959</v>
      </c>
      <c r="D343" s="35" t="s">
        <v>959</v>
      </c>
      <c r="E343" s="4" t="s">
        <v>959</v>
      </c>
    </row>
    <row r="344" spans="2:5" x14ac:dyDescent="0.2">
      <c r="B344" s="30" t="s">
        <v>1075</v>
      </c>
      <c r="C344" s="34" t="s">
        <v>959</v>
      </c>
      <c r="D344" s="35" t="s">
        <v>959</v>
      </c>
      <c r="E344" s="4" t="s">
        <v>959</v>
      </c>
    </row>
    <row r="345" spans="2:5" x14ac:dyDescent="0.2">
      <c r="B345" s="30" t="s">
        <v>1076</v>
      </c>
      <c r="C345" s="34">
        <v>1</v>
      </c>
      <c r="D345" s="35" t="s">
        <v>959</v>
      </c>
      <c r="E345" s="4" t="s">
        <v>959</v>
      </c>
    </row>
    <row r="346" spans="2:5" x14ac:dyDescent="0.2">
      <c r="B346" s="30" t="s">
        <v>1077</v>
      </c>
      <c r="C346" s="34" t="s">
        <v>959</v>
      </c>
      <c r="D346" s="35" t="s">
        <v>959</v>
      </c>
      <c r="E346" s="4" t="s">
        <v>959</v>
      </c>
    </row>
    <row r="347" spans="2:5" x14ac:dyDescent="0.2">
      <c r="B347" s="30" t="s">
        <v>1078</v>
      </c>
      <c r="C347" s="34" t="s">
        <v>959</v>
      </c>
      <c r="D347" s="35" t="s">
        <v>959</v>
      </c>
      <c r="E347" s="4" t="s">
        <v>959</v>
      </c>
    </row>
    <row r="348" spans="2:5" x14ac:dyDescent="0.2">
      <c r="B348" s="30" t="s">
        <v>1079</v>
      </c>
      <c r="C348" s="34" t="s">
        <v>959</v>
      </c>
      <c r="D348" s="35" t="s">
        <v>959</v>
      </c>
      <c r="E348" s="4" t="s">
        <v>959</v>
      </c>
    </row>
    <row r="349" spans="2:5" x14ac:dyDescent="0.2">
      <c r="B349" s="30" t="s">
        <v>1080</v>
      </c>
      <c r="C349" s="34" t="s">
        <v>959</v>
      </c>
      <c r="D349" s="35" t="s">
        <v>959</v>
      </c>
      <c r="E349" s="4" t="s">
        <v>959</v>
      </c>
    </row>
    <row r="350" spans="2:5" x14ac:dyDescent="0.2">
      <c r="B350" s="30" t="s">
        <v>1081</v>
      </c>
      <c r="C350" s="34" t="s">
        <v>959</v>
      </c>
      <c r="D350" s="35" t="s">
        <v>959</v>
      </c>
      <c r="E350" s="4" t="s">
        <v>959</v>
      </c>
    </row>
    <row r="351" spans="2:5" x14ac:dyDescent="0.2">
      <c r="B351" s="30" t="s">
        <v>1082</v>
      </c>
      <c r="C351" s="34" t="s">
        <v>959</v>
      </c>
      <c r="D351" s="35" t="s">
        <v>959</v>
      </c>
      <c r="E351" s="4" t="s">
        <v>959</v>
      </c>
    </row>
    <row r="352" spans="2:5" x14ac:dyDescent="0.2">
      <c r="B352" s="30" t="s">
        <v>1083</v>
      </c>
      <c r="C352" s="34" t="s">
        <v>959</v>
      </c>
      <c r="D352" s="35" t="s">
        <v>959</v>
      </c>
      <c r="E352" s="4" t="s">
        <v>959</v>
      </c>
    </row>
    <row r="353" spans="2:5" x14ac:dyDescent="0.2">
      <c r="B353" s="29" t="s">
        <v>56</v>
      </c>
      <c r="C353" s="32" t="s">
        <v>959</v>
      </c>
      <c r="D353" s="32" t="s">
        <v>959</v>
      </c>
      <c r="E353" s="36" t="s">
        <v>959</v>
      </c>
    </row>
    <row r="354" spans="2:5" x14ac:dyDescent="0.2">
      <c r="B354" s="30" t="s">
        <v>1084</v>
      </c>
      <c r="C354" s="34" t="s">
        <v>959</v>
      </c>
      <c r="D354" s="35" t="s">
        <v>959</v>
      </c>
      <c r="E354" s="4" t="s">
        <v>959</v>
      </c>
    </row>
    <row r="355" spans="2:5" x14ac:dyDescent="0.2">
      <c r="B355" s="30" t="s">
        <v>1085</v>
      </c>
      <c r="C355" s="34" t="s">
        <v>959</v>
      </c>
      <c r="D355" s="35" t="s">
        <v>959</v>
      </c>
      <c r="E355" s="4" t="s">
        <v>959</v>
      </c>
    </row>
    <row r="356" spans="2:5" x14ac:dyDescent="0.2">
      <c r="B356" s="30" t="s">
        <v>1086</v>
      </c>
      <c r="C356" s="34" t="s">
        <v>959</v>
      </c>
      <c r="D356" s="35" t="s">
        <v>959</v>
      </c>
      <c r="E356" s="4" t="s">
        <v>959</v>
      </c>
    </row>
    <row r="357" spans="2:5" x14ac:dyDescent="0.2">
      <c r="B357" s="30" t="s">
        <v>1087</v>
      </c>
      <c r="C357" s="34" t="s">
        <v>959</v>
      </c>
      <c r="D357" s="35" t="s">
        <v>959</v>
      </c>
      <c r="E357" s="4" t="s">
        <v>959</v>
      </c>
    </row>
    <row r="358" spans="2:5" x14ac:dyDescent="0.2">
      <c r="B358" s="30" t="s">
        <v>1088</v>
      </c>
      <c r="C358" s="34" t="s">
        <v>959</v>
      </c>
      <c r="D358" s="35" t="s">
        <v>959</v>
      </c>
      <c r="E358" s="4" t="s">
        <v>959</v>
      </c>
    </row>
    <row r="359" spans="2:5" x14ac:dyDescent="0.2">
      <c r="B359" s="30" t="s">
        <v>1089</v>
      </c>
      <c r="C359" s="34" t="s">
        <v>959</v>
      </c>
      <c r="D359" s="35" t="s">
        <v>959</v>
      </c>
      <c r="E359" s="4" t="s">
        <v>959</v>
      </c>
    </row>
    <row r="360" spans="2:5" x14ac:dyDescent="0.2">
      <c r="B360" s="30" t="s">
        <v>1090</v>
      </c>
      <c r="C360" s="34" t="s">
        <v>959</v>
      </c>
      <c r="D360" s="35" t="s">
        <v>959</v>
      </c>
      <c r="E360" s="4" t="s">
        <v>959</v>
      </c>
    </row>
    <row r="361" spans="2:5" x14ac:dyDescent="0.2">
      <c r="B361" s="30" t="s">
        <v>1091</v>
      </c>
      <c r="C361" s="34" t="s">
        <v>959</v>
      </c>
      <c r="D361" s="35" t="s">
        <v>959</v>
      </c>
      <c r="E361" s="4" t="s">
        <v>959</v>
      </c>
    </row>
    <row r="362" spans="2:5" x14ac:dyDescent="0.2">
      <c r="B362" s="30" t="s">
        <v>1092</v>
      </c>
      <c r="C362" s="34" t="s">
        <v>959</v>
      </c>
      <c r="D362" s="35" t="s">
        <v>959</v>
      </c>
      <c r="E362" s="4" t="s">
        <v>959</v>
      </c>
    </row>
    <row r="363" spans="2:5" x14ac:dyDescent="0.2">
      <c r="B363" s="29" t="s">
        <v>77</v>
      </c>
      <c r="C363" s="32" t="s">
        <v>959</v>
      </c>
      <c r="D363" s="32" t="s">
        <v>959</v>
      </c>
      <c r="E363" s="36" t="s">
        <v>959</v>
      </c>
    </row>
    <row r="364" spans="2:5" x14ac:dyDescent="0.2">
      <c r="B364" s="30" t="s">
        <v>1018</v>
      </c>
      <c r="C364" s="34" t="s">
        <v>959</v>
      </c>
      <c r="D364" s="35" t="s">
        <v>959</v>
      </c>
      <c r="E364" s="4" t="s">
        <v>959</v>
      </c>
    </row>
    <row r="365" spans="2:5" x14ac:dyDescent="0.2">
      <c r="B365" s="30" t="s">
        <v>1093</v>
      </c>
      <c r="C365" s="34" t="s">
        <v>959</v>
      </c>
      <c r="D365" s="35" t="s">
        <v>959</v>
      </c>
      <c r="E365" s="4" t="s">
        <v>959</v>
      </c>
    </row>
    <row r="366" spans="2:5" x14ac:dyDescent="0.2">
      <c r="B366" s="30" t="s">
        <v>1094</v>
      </c>
      <c r="C366" s="34" t="s">
        <v>959</v>
      </c>
      <c r="D366" s="35" t="s">
        <v>959</v>
      </c>
      <c r="E366" s="4" t="s">
        <v>959</v>
      </c>
    </row>
    <row r="367" spans="2:5" x14ac:dyDescent="0.2">
      <c r="B367" s="30" t="s">
        <v>1095</v>
      </c>
      <c r="C367" s="34" t="s">
        <v>959</v>
      </c>
      <c r="D367" s="35" t="s">
        <v>959</v>
      </c>
      <c r="E367" s="4" t="s">
        <v>959</v>
      </c>
    </row>
    <row r="368" spans="2:5" x14ac:dyDescent="0.2">
      <c r="B368" s="30" t="s">
        <v>1096</v>
      </c>
      <c r="C368" s="34" t="s">
        <v>959</v>
      </c>
      <c r="D368" s="35" t="s">
        <v>959</v>
      </c>
      <c r="E368" s="4" t="s">
        <v>959</v>
      </c>
    </row>
    <row r="369" spans="2:5" x14ac:dyDescent="0.2">
      <c r="B369" s="30" t="s">
        <v>1097</v>
      </c>
      <c r="C369" s="34" t="s">
        <v>959</v>
      </c>
      <c r="D369" s="35" t="s">
        <v>959</v>
      </c>
      <c r="E369" s="4" t="s">
        <v>959</v>
      </c>
    </row>
    <row r="370" spans="2:5" x14ac:dyDescent="0.2">
      <c r="B370" s="30" t="s">
        <v>999</v>
      </c>
      <c r="C370" s="34" t="s">
        <v>959</v>
      </c>
      <c r="D370" s="35" t="s">
        <v>959</v>
      </c>
      <c r="E370" s="4" t="s">
        <v>959</v>
      </c>
    </row>
    <row r="371" spans="2:5" x14ac:dyDescent="0.2">
      <c r="B371" s="29" t="s">
        <v>12</v>
      </c>
      <c r="C371" s="32" t="s">
        <v>959</v>
      </c>
      <c r="D371" s="32" t="s">
        <v>959</v>
      </c>
      <c r="E371" s="36" t="s">
        <v>959</v>
      </c>
    </row>
    <row r="372" spans="2:5" x14ac:dyDescent="0.2">
      <c r="B372" s="30" t="s">
        <v>1098</v>
      </c>
      <c r="C372" s="34" t="s">
        <v>959</v>
      </c>
      <c r="D372" s="35" t="s">
        <v>959</v>
      </c>
      <c r="E372" s="4" t="s">
        <v>959</v>
      </c>
    </row>
    <row r="373" spans="2:5" x14ac:dyDescent="0.2">
      <c r="B373" s="30" t="s">
        <v>1099</v>
      </c>
      <c r="C373" s="34" t="s">
        <v>959</v>
      </c>
      <c r="D373" s="35" t="s">
        <v>959</v>
      </c>
      <c r="E373" s="4" t="s">
        <v>959</v>
      </c>
    </row>
    <row r="374" spans="2:5" x14ac:dyDescent="0.2">
      <c r="B374" s="30" t="s">
        <v>1100</v>
      </c>
      <c r="C374" s="34" t="s">
        <v>959</v>
      </c>
      <c r="D374" s="35" t="s">
        <v>959</v>
      </c>
      <c r="E374" s="4" t="s">
        <v>959</v>
      </c>
    </row>
    <row r="375" spans="2:5" x14ac:dyDescent="0.2">
      <c r="B375" s="30" t="s">
        <v>1101</v>
      </c>
      <c r="C375" s="34" t="s">
        <v>959</v>
      </c>
      <c r="D375" s="35" t="s">
        <v>959</v>
      </c>
      <c r="E375" s="4" t="s">
        <v>959</v>
      </c>
    </row>
    <row r="376" spans="2:5" x14ac:dyDescent="0.2">
      <c r="B376" s="30" t="s">
        <v>1020</v>
      </c>
      <c r="C376" s="34" t="s">
        <v>959</v>
      </c>
      <c r="D376" s="35" t="s">
        <v>959</v>
      </c>
      <c r="E376" s="4" t="s">
        <v>959</v>
      </c>
    </row>
    <row r="377" spans="2:5" x14ac:dyDescent="0.2">
      <c r="B377" s="30" t="s">
        <v>1022</v>
      </c>
      <c r="C377" s="34" t="s">
        <v>959</v>
      </c>
      <c r="D377" s="35" t="s">
        <v>959</v>
      </c>
      <c r="E377" s="4" t="s">
        <v>959</v>
      </c>
    </row>
    <row r="378" spans="2:5" x14ac:dyDescent="0.2">
      <c r="B378" s="30" t="s">
        <v>1102</v>
      </c>
      <c r="C378" s="34" t="s">
        <v>959</v>
      </c>
      <c r="D378" s="35" t="s">
        <v>959</v>
      </c>
      <c r="E378" s="4" t="s">
        <v>959</v>
      </c>
    </row>
    <row r="379" spans="2:5" x14ac:dyDescent="0.2">
      <c r="B379" s="29" t="s">
        <v>59</v>
      </c>
      <c r="C379" s="32" t="s">
        <v>959</v>
      </c>
      <c r="D379" s="32" t="s">
        <v>959</v>
      </c>
      <c r="E379" s="36" t="s">
        <v>959</v>
      </c>
    </row>
    <row r="380" spans="2:5" x14ac:dyDescent="0.2">
      <c r="B380" s="30" t="s">
        <v>1103</v>
      </c>
      <c r="C380" s="34" t="s">
        <v>959</v>
      </c>
      <c r="D380" s="35" t="s">
        <v>959</v>
      </c>
      <c r="E380" s="4" t="s">
        <v>959</v>
      </c>
    </row>
    <row r="381" spans="2:5" x14ac:dyDescent="0.2">
      <c r="B381" s="30" t="s">
        <v>1104</v>
      </c>
      <c r="C381" s="34" t="s">
        <v>959</v>
      </c>
      <c r="D381" s="35" t="s">
        <v>959</v>
      </c>
      <c r="E381" s="4" t="s">
        <v>959</v>
      </c>
    </row>
    <row r="382" spans="2:5" x14ac:dyDescent="0.2">
      <c r="B382" s="30" t="s">
        <v>1105</v>
      </c>
      <c r="C382" s="34" t="s">
        <v>959</v>
      </c>
      <c r="D382" s="35" t="s">
        <v>959</v>
      </c>
      <c r="E382" s="4" t="s">
        <v>959</v>
      </c>
    </row>
    <row r="383" spans="2:5" x14ac:dyDescent="0.2">
      <c r="B383" s="30" t="s">
        <v>1106</v>
      </c>
      <c r="C383" s="34" t="s">
        <v>959</v>
      </c>
      <c r="D383" s="35" t="s">
        <v>959</v>
      </c>
      <c r="E383" s="4" t="s">
        <v>959</v>
      </c>
    </row>
    <row r="384" spans="2:5" x14ac:dyDescent="0.2">
      <c r="B384" s="30" t="s">
        <v>1107</v>
      </c>
      <c r="C384" s="34" t="s">
        <v>959</v>
      </c>
      <c r="D384" s="35" t="s">
        <v>959</v>
      </c>
      <c r="E384" s="4" t="s">
        <v>959</v>
      </c>
    </row>
    <row r="385" spans="2:5" x14ac:dyDescent="0.2">
      <c r="B385" s="29" t="s">
        <v>129</v>
      </c>
      <c r="C385" s="32" t="s">
        <v>959</v>
      </c>
      <c r="D385" s="32" t="s">
        <v>959</v>
      </c>
      <c r="E385" s="36" t="s">
        <v>959</v>
      </c>
    </row>
    <row r="386" spans="2:5" x14ac:dyDescent="0.2">
      <c r="B386" s="30" t="s">
        <v>1108</v>
      </c>
      <c r="C386" s="34" t="s">
        <v>959</v>
      </c>
      <c r="D386" s="35" t="s">
        <v>959</v>
      </c>
      <c r="E386" s="4" t="s">
        <v>959</v>
      </c>
    </row>
    <row r="387" spans="2:5" x14ac:dyDescent="0.2">
      <c r="B387" s="30" t="s">
        <v>1109</v>
      </c>
      <c r="C387" s="34" t="s">
        <v>959</v>
      </c>
      <c r="D387" s="35" t="s">
        <v>959</v>
      </c>
      <c r="E387" s="4" t="s">
        <v>959</v>
      </c>
    </row>
    <row r="388" spans="2:5" x14ac:dyDescent="0.2">
      <c r="B388" s="30" t="s">
        <v>1110</v>
      </c>
      <c r="C388" s="34" t="s">
        <v>959</v>
      </c>
      <c r="D388" s="35" t="s">
        <v>959</v>
      </c>
      <c r="E388" s="4" t="s">
        <v>959</v>
      </c>
    </row>
    <row r="389" spans="2:5" x14ac:dyDescent="0.2">
      <c r="B389" s="30" t="s">
        <v>1111</v>
      </c>
      <c r="C389" s="34" t="s">
        <v>959</v>
      </c>
      <c r="D389" s="35" t="s">
        <v>959</v>
      </c>
      <c r="E389" s="4" t="s">
        <v>959</v>
      </c>
    </row>
    <row r="390" spans="2:5" x14ac:dyDescent="0.2">
      <c r="B390" s="29" t="s">
        <v>110</v>
      </c>
      <c r="C390" s="32" t="s">
        <v>959</v>
      </c>
      <c r="D390" s="32" t="s">
        <v>959</v>
      </c>
      <c r="E390" s="36" t="s">
        <v>959</v>
      </c>
    </row>
    <row r="391" spans="2:5" x14ac:dyDescent="0.2">
      <c r="B391" s="30" t="s">
        <v>1112</v>
      </c>
      <c r="C391" s="34" t="s">
        <v>959</v>
      </c>
      <c r="D391" s="35" t="s">
        <v>959</v>
      </c>
      <c r="E391" s="4" t="s">
        <v>959</v>
      </c>
    </row>
    <row r="392" spans="2:5" x14ac:dyDescent="0.2">
      <c r="B392" s="30" t="s">
        <v>1113</v>
      </c>
      <c r="C392" s="34" t="s">
        <v>959</v>
      </c>
      <c r="D392" s="35" t="s">
        <v>959</v>
      </c>
      <c r="E392" s="4" t="s">
        <v>959</v>
      </c>
    </row>
    <row r="393" spans="2:5" x14ac:dyDescent="0.2">
      <c r="B393" s="30" t="s">
        <v>1114</v>
      </c>
      <c r="C393" s="34" t="s">
        <v>959</v>
      </c>
      <c r="D393" s="35" t="s">
        <v>959</v>
      </c>
      <c r="E393" s="4" t="s">
        <v>959</v>
      </c>
    </row>
    <row r="394" spans="2:5" x14ac:dyDescent="0.2">
      <c r="B394" s="30" t="s">
        <v>1115</v>
      </c>
      <c r="C394" s="34" t="s">
        <v>959</v>
      </c>
      <c r="D394" s="35" t="s">
        <v>959</v>
      </c>
      <c r="E394" s="4" t="s">
        <v>959</v>
      </c>
    </row>
    <row r="395" spans="2:5" x14ac:dyDescent="0.2">
      <c r="B395" s="30" t="s">
        <v>1116</v>
      </c>
      <c r="C395" s="34" t="s">
        <v>959</v>
      </c>
      <c r="D395" s="35" t="s">
        <v>959</v>
      </c>
      <c r="E395" s="4" t="s">
        <v>959</v>
      </c>
    </row>
    <row r="396" spans="2:5" x14ac:dyDescent="0.2">
      <c r="B396" s="30" t="s">
        <v>1117</v>
      </c>
      <c r="C396" s="34" t="s">
        <v>959</v>
      </c>
      <c r="D396" s="35" t="s">
        <v>959</v>
      </c>
      <c r="E396" s="4" t="s">
        <v>959</v>
      </c>
    </row>
    <row r="397" spans="2:5" x14ac:dyDescent="0.2">
      <c r="B397" s="29" t="s">
        <v>50</v>
      </c>
      <c r="C397" s="32" t="s">
        <v>959</v>
      </c>
      <c r="D397" s="32" t="s">
        <v>959</v>
      </c>
      <c r="E397" s="36" t="s">
        <v>959</v>
      </c>
    </row>
    <row r="398" spans="2:5" x14ac:dyDescent="0.2">
      <c r="B398" s="30" t="s">
        <v>1118</v>
      </c>
      <c r="C398" s="34" t="s">
        <v>959</v>
      </c>
      <c r="D398" s="35" t="s">
        <v>959</v>
      </c>
      <c r="E398" s="4" t="s">
        <v>959</v>
      </c>
    </row>
    <row r="399" spans="2:5" x14ac:dyDescent="0.2">
      <c r="B399" s="30" t="s">
        <v>1119</v>
      </c>
      <c r="C399" s="34" t="s">
        <v>959</v>
      </c>
      <c r="D399" s="35" t="s">
        <v>959</v>
      </c>
      <c r="E399" s="4" t="s">
        <v>959</v>
      </c>
    </row>
    <row r="400" spans="2:5" x14ac:dyDescent="0.2">
      <c r="B400" s="30" t="s">
        <v>1120</v>
      </c>
      <c r="C400" s="34" t="s">
        <v>959</v>
      </c>
      <c r="D400" s="35" t="s">
        <v>959</v>
      </c>
      <c r="E400" s="4" t="s">
        <v>959</v>
      </c>
    </row>
    <row r="401" spans="2:5" x14ac:dyDescent="0.2">
      <c r="B401" s="30" t="s">
        <v>1121</v>
      </c>
      <c r="C401" s="34" t="s">
        <v>959</v>
      </c>
      <c r="D401" s="35" t="s">
        <v>959</v>
      </c>
      <c r="E401" s="4" t="s">
        <v>959</v>
      </c>
    </row>
    <row r="402" spans="2:5" x14ac:dyDescent="0.2">
      <c r="B402" s="30" t="s">
        <v>1122</v>
      </c>
      <c r="C402" s="34" t="s">
        <v>959</v>
      </c>
      <c r="D402" s="35" t="s">
        <v>959</v>
      </c>
      <c r="E402" s="4" t="s">
        <v>959</v>
      </c>
    </row>
    <row r="403" spans="2:5" x14ac:dyDescent="0.2">
      <c r="B403" s="30" t="s">
        <v>1123</v>
      </c>
      <c r="C403" s="34" t="s">
        <v>959</v>
      </c>
      <c r="D403" s="35" t="s">
        <v>959</v>
      </c>
      <c r="E403" s="4" t="s">
        <v>959</v>
      </c>
    </row>
    <row r="404" spans="2:5" x14ac:dyDescent="0.2">
      <c r="B404" s="30" t="s">
        <v>1124</v>
      </c>
      <c r="C404" s="34" t="s">
        <v>959</v>
      </c>
      <c r="D404" s="35" t="s">
        <v>959</v>
      </c>
      <c r="E404" s="4" t="s">
        <v>959</v>
      </c>
    </row>
    <row r="405" spans="2:5" x14ac:dyDescent="0.2">
      <c r="B405" s="30" t="s">
        <v>1125</v>
      </c>
      <c r="C405" s="34" t="s">
        <v>959</v>
      </c>
      <c r="D405" s="35" t="s">
        <v>959</v>
      </c>
      <c r="E405" s="4" t="s">
        <v>959</v>
      </c>
    </row>
    <row r="406" spans="2:5" x14ac:dyDescent="0.2">
      <c r="B406" s="30" t="s">
        <v>1126</v>
      </c>
      <c r="C406" s="34" t="s">
        <v>959</v>
      </c>
      <c r="D406" s="35" t="s">
        <v>959</v>
      </c>
      <c r="E406" s="4" t="s">
        <v>959</v>
      </c>
    </row>
    <row r="407" spans="2:5" x14ac:dyDescent="0.2">
      <c r="B407" s="29" t="s">
        <v>105</v>
      </c>
      <c r="C407" s="32" t="s">
        <v>959</v>
      </c>
      <c r="D407" s="32" t="s">
        <v>959</v>
      </c>
      <c r="E407" s="36" t="s">
        <v>959</v>
      </c>
    </row>
    <row r="408" spans="2:5" x14ac:dyDescent="0.2">
      <c r="B408" s="30" t="s">
        <v>1127</v>
      </c>
      <c r="C408" s="34" t="s">
        <v>959</v>
      </c>
      <c r="D408" s="35" t="s">
        <v>959</v>
      </c>
      <c r="E408" s="4" t="s">
        <v>959</v>
      </c>
    </row>
    <row r="409" spans="2:5" x14ac:dyDescent="0.2">
      <c r="B409" s="30" t="s">
        <v>1128</v>
      </c>
      <c r="C409" s="34" t="s">
        <v>959</v>
      </c>
      <c r="D409" s="35" t="s">
        <v>959</v>
      </c>
      <c r="E409" s="4" t="s">
        <v>959</v>
      </c>
    </row>
    <row r="410" spans="2:5" x14ac:dyDescent="0.2">
      <c r="B410" s="30" t="s">
        <v>1129</v>
      </c>
      <c r="C410" s="34" t="s">
        <v>959</v>
      </c>
      <c r="D410" s="35" t="s">
        <v>959</v>
      </c>
      <c r="E410" s="4" t="s">
        <v>959</v>
      </c>
    </row>
    <row r="411" spans="2:5" x14ac:dyDescent="0.2">
      <c r="B411" s="30" t="s">
        <v>1130</v>
      </c>
      <c r="C411" s="34" t="s">
        <v>959</v>
      </c>
      <c r="D411" s="35" t="s">
        <v>959</v>
      </c>
      <c r="E411" s="4" t="s">
        <v>959</v>
      </c>
    </row>
    <row r="412" spans="2:5" x14ac:dyDescent="0.2">
      <c r="B412" s="30" t="s">
        <v>1131</v>
      </c>
      <c r="C412" s="34" t="s">
        <v>959</v>
      </c>
      <c r="D412" s="35" t="s">
        <v>959</v>
      </c>
      <c r="E412" s="4" t="s">
        <v>959</v>
      </c>
    </row>
    <row r="413" spans="2:5" x14ac:dyDescent="0.2">
      <c r="B413" s="30" t="s">
        <v>1132</v>
      </c>
      <c r="C413" s="34" t="s">
        <v>959</v>
      </c>
      <c r="D413" s="35" t="s">
        <v>959</v>
      </c>
      <c r="E413" s="4" t="s">
        <v>959</v>
      </c>
    </row>
    <row r="414" spans="2:5" x14ac:dyDescent="0.2">
      <c r="B414" s="30" t="s">
        <v>1133</v>
      </c>
      <c r="C414" s="34" t="s">
        <v>959</v>
      </c>
      <c r="D414" s="35" t="s">
        <v>959</v>
      </c>
      <c r="E414" s="4" t="s">
        <v>959</v>
      </c>
    </row>
    <row r="415" spans="2:5" x14ac:dyDescent="0.2">
      <c r="B415" s="29" t="s">
        <v>100</v>
      </c>
      <c r="C415" s="32" t="s">
        <v>959</v>
      </c>
      <c r="D415" s="32" t="s">
        <v>959</v>
      </c>
      <c r="E415" s="36" t="s">
        <v>959</v>
      </c>
    </row>
    <row r="416" spans="2:5" x14ac:dyDescent="0.2">
      <c r="B416" s="30" t="s">
        <v>1134</v>
      </c>
      <c r="C416" s="34" t="s">
        <v>959</v>
      </c>
      <c r="D416" s="35" t="s">
        <v>959</v>
      </c>
      <c r="E416" s="4" t="s">
        <v>959</v>
      </c>
    </row>
    <row r="417" spans="2:5" x14ac:dyDescent="0.2">
      <c r="B417" s="30" t="s">
        <v>1135</v>
      </c>
      <c r="C417" s="34" t="s">
        <v>959</v>
      </c>
      <c r="D417" s="35" t="s">
        <v>959</v>
      </c>
      <c r="E417" s="4" t="s">
        <v>959</v>
      </c>
    </row>
    <row r="418" spans="2:5" x14ac:dyDescent="0.2">
      <c r="B418" s="30" t="s">
        <v>1136</v>
      </c>
      <c r="C418" s="34" t="s">
        <v>959</v>
      </c>
      <c r="D418" s="35" t="s">
        <v>959</v>
      </c>
      <c r="E418" s="4" t="s">
        <v>959</v>
      </c>
    </row>
    <row r="419" spans="2:5" x14ac:dyDescent="0.2">
      <c r="B419" s="30" t="s">
        <v>1137</v>
      </c>
      <c r="C419" s="34" t="s">
        <v>959</v>
      </c>
      <c r="D419" s="35" t="s">
        <v>959</v>
      </c>
      <c r="E419" s="4" t="s">
        <v>959</v>
      </c>
    </row>
    <row r="420" spans="2:5" x14ac:dyDescent="0.2">
      <c r="B420" s="30" t="s">
        <v>1138</v>
      </c>
      <c r="C420" s="34" t="s">
        <v>959</v>
      </c>
      <c r="D420" s="35" t="s">
        <v>959</v>
      </c>
      <c r="E420" s="4" t="s">
        <v>959</v>
      </c>
    </row>
    <row r="421" spans="2:5" x14ac:dyDescent="0.2">
      <c r="B421" s="30" t="s">
        <v>1139</v>
      </c>
      <c r="C421" s="34" t="s">
        <v>959</v>
      </c>
      <c r="D421" s="35" t="s">
        <v>959</v>
      </c>
      <c r="E421" s="4" t="s">
        <v>959</v>
      </c>
    </row>
    <row r="422" spans="2:5" x14ac:dyDescent="0.2">
      <c r="B422" s="29" t="s">
        <v>31</v>
      </c>
      <c r="C422" s="32" t="s">
        <v>959</v>
      </c>
      <c r="D422" s="32" t="s">
        <v>959</v>
      </c>
      <c r="E422" s="36" t="s">
        <v>959</v>
      </c>
    </row>
    <row r="423" spans="2:5" x14ac:dyDescent="0.2">
      <c r="B423" s="30" t="s">
        <v>1140</v>
      </c>
      <c r="C423" s="34" t="s">
        <v>959</v>
      </c>
      <c r="D423" s="35" t="s">
        <v>959</v>
      </c>
      <c r="E423" s="4" t="s">
        <v>959</v>
      </c>
    </row>
    <row r="424" spans="2:5" x14ac:dyDescent="0.2">
      <c r="B424" s="30" t="s">
        <v>1141</v>
      </c>
      <c r="C424" s="34" t="s">
        <v>959</v>
      </c>
      <c r="D424" s="35" t="s">
        <v>959</v>
      </c>
      <c r="E424" s="4" t="s">
        <v>959</v>
      </c>
    </row>
    <row r="425" spans="2:5" x14ac:dyDescent="0.2">
      <c r="B425" s="30" t="s">
        <v>1142</v>
      </c>
      <c r="C425" s="34" t="s">
        <v>959</v>
      </c>
      <c r="D425" s="35" t="s">
        <v>959</v>
      </c>
      <c r="E425" s="4" t="s">
        <v>959</v>
      </c>
    </row>
    <row r="426" spans="2:5" x14ac:dyDescent="0.2">
      <c r="B426" s="30" t="s">
        <v>1143</v>
      </c>
      <c r="C426" s="34" t="s">
        <v>959</v>
      </c>
      <c r="D426" s="35" t="s">
        <v>959</v>
      </c>
      <c r="E426" s="4" t="s">
        <v>959</v>
      </c>
    </row>
    <row r="427" spans="2:5" x14ac:dyDescent="0.2">
      <c r="B427" s="30" t="s">
        <v>1144</v>
      </c>
      <c r="C427" s="34" t="s">
        <v>959</v>
      </c>
      <c r="D427" s="35" t="s">
        <v>959</v>
      </c>
      <c r="E427" s="4" t="s">
        <v>959</v>
      </c>
    </row>
    <row r="428" spans="2:5" x14ac:dyDescent="0.2">
      <c r="B428" s="30" t="s">
        <v>1145</v>
      </c>
      <c r="C428" s="34" t="s">
        <v>959</v>
      </c>
      <c r="D428" s="35" t="s">
        <v>959</v>
      </c>
      <c r="E428" s="4" t="s">
        <v>959</v>
      </c>
    </row>
    <row r="429" spans="2:5" x14ac:dyDescent="0.2">
      <c r="B429" s="30" t="s">
        <v>1146</v>
      </c>
      <c r="C429" s="34" t="s">
        <v>959</v>
      </c>
      <c r="D429" s="35" t="s">
        <v>959</v>
      </c>
      <c r="E429" s="4" t="s">
        <v>959</v>
      </c>
    </row>
    <row r="430" spans="2:5" x14ac:dyDescent="0.2">
      <c r="B430" s="29" t="s">
        <v>84</v>
      </c>
      <c r="C430" s="32" t="s">
        <v>959</v>
      </c>
      <c r="D430" s="32" t="s">
        <v>959</v>
      </c>
      <c r="E430" s="36" t="s">
        <v>959</v>
      </c>
    </row>
    <row r="431" spans="2:5" x14ac:dyDescent="0.2">
      <c r="B431" s="30" t="s">
        <v>1147</v>
      </c>
      <c r="C431" s="34" t="s">
        <v>959</v>
      </c>
      <c r="D431" s="35" t="s">
        <v>959</v>
      </c>
      <c r="E431" s="4" t="s">
        <v>959</v>
      </c>
    </row>
    <row r="432" spans="2:5" x14ac:dyDescent="0.2">
      <c r="B432" s="30" t="s">
        <v>1148</v>
      </c>
      <c r="C432" s="34" t="s">
        <v>959</v>
      </c>
      <c r="D432" s="35" t="s">
        <v>959</v>
      </c>
      <c r="E432" s="4" t="s">
        <v>959</v>
      </c>
    </row>
    <row r="433" spans="2:5" x14ac:dyDescent="0.2">
      <c r="B433" s="30" t="s">
        <v>1149</v>
      </c>
      <c r="C433" s="34" t="s">
        <v>959</v>
      </c>
      <c r="D433" s="35" t="s">
        <v>959</v>
      </c>
      <c r="E433" s="4" t="s">
        <v>959</v>
      </c>
    </row>
    <row r="434" spans="2:5" x14ac:dyDescent="0.2">
      <c r="B434" s="30" t="s">
        <v>1073</v>
      </c>
      <c r="C434" s="34" t="s">
        <v>959</v>
      </c>
      <c r="D434" s="35" t="s">
        <v>959</v>
      </c>
      <c r="E434" s="4" t="s">
        <v>959</v>
      </c>
    </row>
    <row r="435" spans="2:5" x14ac:dyDescent="0.2">
      <c r="B435" s="30" t="s">
        <v>1150</v>
      </c>
      <c r="C435" s="34" t="s">
        <v>959</v>
      </c>
      <c r="D435" s="35" t="s">
        <v>959</v>
      </c>
      <c r="E435" s="4" t="s">
        <v>959</v>
      </c>
    </row>
    <row r="436" spans="2:5" x14ac:dyDescent="0.2">
      <c r="B436" s="30" t="s">
        <v>1151</v>
      </c>
      <c r="C436" s="34" t="s">
        <v>959</v>
      </c>
      <c r="D436" s="35" t="s">
        <v>959</v>
      </c>
      <c r="E436" s="4" t="s">
        <v>959</v>
      </c>
    </row>
    <row r="437" spans="2:5" x14ac:dyDescent="0.2">
      <c r="B437" s="29" t="s">
        <v>14</v>
      </c>
      <c r="C437" s="32" t="s">
        <v>959</v>
      </c>
      <c r="D437" s="32" t="s">
        <v>959</v>
      </c>
      <c r="E437" s="36" t="s">
        <v>959</v>
      </c>
    </row>
    <row r="438" spans="2:5" x14ac:dyDescent="0.2">
      <c r="B438" s="30" t="s">
        <v>1152</v>
      </c>
      <c r="C438" s="34" t="s">
        <v>959</v>
      </c>
      <c r="D438" s="35" t="s">
        <v>959</v>
      </c>
      <c r="E438" s="4" t="s">
        <v>959</v>
      </c>
    </row>
    <row r="439" spans="2:5" x14ac:dyDescent="0.2">
      <c r="B439" s="30" t="s">
        <v>1153</v>
      </c>
      <c r="C439" s="34" t="s">
        <v>959</v>
      </c>
      <c r="D439" s="35" t="s">
        <v>959</v>
      </c>
      <c r="E439" s="4" t="s">
        <v>959</v>
      </c>
    </row>
    <row r="440" spans="2:5" x14ac:dyDescent="0.2">
      <c r="B440" s="30" t="s">
        <v>1154</v>
      </c>
      <c r="C440" s="34" t="s">
        <v>959</v>
      </c>
      <c r="D440" s="35" t="s">
        <v>959</v>
      </c>
      <c r="E440" s="4" t="s">
        <v>959</v>
      </c>
    </row>
    <row r="441" spans="2:5" x14ac:dyDescent="0.2">
      <c r="B441" s="30" t="s">
        <v>1155</v>
      </c>
      <c r="C441" s="34" t="s">
        <v>959</v>
      </c>
      <c r="D441" s="35" t="s">
        <v>959</v>
      </c>
      <c r="E441" s="4" t="s">
        <v>959</v>
      </c>
    </row>
    <row r="442" spans="2:5" x14ac:dyDescent="0.2">
      <c r="B442" s="30" t="s">
        <v>1156</v>
      </c>
      <c r="C442" s="34" t="s">
        <v>959</v>
      </c>
      <c r="D442" s="35" t="s">
        <v>959</v>
      </c>
      <c r="E442" s="4" t="s">
        <v>959</v>
      </c>
    </row>
    <row r="443" spans="2:5" x14ac:dyDescent="0.2">
      <c r="B443" s="29" t="s">
        <v>98</v>
      </c>
      <c r="C443" s="32" t="s">
        <v>959</v>
      </c>
      <c r="D443" s="32" t="s">
        <v>959</v>
      </c>
      <c r="E443" s="36" t="s">
        <v>959</v>
      </c>
    </row>
    <row r="444" spans="2:5" x14ac:dyDescent="0.2">
      <c r="B444" s="30" t="s">
        <v>1157</v>
      </c>
      <c r="C444" s="34" t="s">
        <v>959</v>
      </c>
      <c r="D444" s="35" t="s">
        <v>959</v>
      </c>
      <c r="E444" s="4" t="s">
        <v>959</v>
      </c>
    </row>
    <row r="445" spans="2:5" x14ac:dyDescent="0.2">
      <c r="B445" s="30" t="s">
        <v>1158</v>
      </c>
      <c r="C445" s="34" t="s">
        <v>959</v>
      </c>
      <c r="D445" s="35" t="s">
        <v>959</v>
      </c>
      <c r="E445" s="4" t="s">
        <v>959</v>
      </c>
    </row>
    <row r="446" spans="2:5" x14ac:dyDescent="0.2">
      <c r="B446" s="30" t="s">
        <v>1159</v>
      </c>
      <c r="C446" s="34" t="s">
        <v>959</v>
      </c>
      <c r="D446" s="35" t="s">
        <v>959</v>
      </c>
      <c r="E446" s="4" t="s">
        <v>959</v>
      </c>
    </row>
    <row r="447" spans="2:5" x14ac:dyDescent="0.2">
      <c r="B447" s="30" t="s">
        <v>1160</v>
      </c>
      <c r="C447" s="34" t="s">
        <v>959</v>
      </c>
      <c r="D447" s="35" t="s">
        <v>959</v>
      </c>
      <c r="E447" s="4" t="s">
        <v>959</v>
      </c>
    </row>
    <row r="448" spans="2:5" x14ac:dyDescent="0.2">
      <c r="B448" s="30" t="s">
        <v>1161</v>
      </c>
      <c r="C448" s="34" t="s">
        <v>959</v>
      </c>
      <c r="D448" s="35" t="s">
        <v>959</v>
      </c>
      <c r="E448" s="4" t="s">
        <v>959</v>
      </c>
    </row>
    <row r="449" spans="2:5" x14ac:dyDescent="0.2">
      <c r="B449" s="29" t="s">
        <v>21</v>
      </c>
      <c r="C449" s="32" t="s">
        <v>959</v>
      </c>
      <c r="D449" s="32" t="s">
        <v>959</v>
      </c>
      <c r="E449" s="36" t="s">
        <v>959</v>
      </c>
    </row>
    <row r="450" spans="2:5" x14ac:dyDescent="0.2">
      <c r="B450" s="30" t="s">
        <v>1162</v>
      </c>
      <c r="C450" s="34" t="s">
        <v>959</v>
      </c>
      <c r="D450" s="35" t="s">
        <v>959</v>
      </c>
      <c r="E450" s="4" t="s">
        <v>959</v>
      </c>
    </row>
    <row r="451" spans="2:5" x14ac:dyDescent="0.2">
      <c r="B451" s="30" t="s">
        <v>1163</v>
      </c>
      <c r="C451" s="34" t="s">
        <v>959</v>
      </c>
      <c r="D451" s="35" t="s">
        <v>959</v>
      </c>
      <c r="E451" s="4" t="s">
        <v>959</v>
      </c>
    </row>
    <row r="452" spans="2:5" x14ac:dyDescent="0.2">
      <c r="B452" s="30" t="s">
        <v>1164</v>
      </c>
      <c r="C452" s="34" t="s">
        <v>959</v>
      </c>
      <c r="D452" s="35" t="s">
        <v>959</v>
      </c>
      <c r="E452" s="4" t="s">
        <v>959</v>
      </c>
    </row>
    <row r="453" spans="2:5" x14ac:dyDescent="0.2">
      <c r="B453" s="30" t="s">
        <v>1165</v>
      </c>
      <c r="C453" s="34" t="s">
        <v>959</v>
      </c>
      <c r="D453" s="35" t="s">
        <v>959</v>
      </c>
      <c r="E453" s="4" t="s">
        <v>959</v>
      </c>
    </row>
    <row r="454" spans="2:5" x14ac:dyDescent="0.2">
      <c r="B454" s="30" t="s">
        <v>1166</v>
      </c>
      <c r="C454" s="34" t="s">
        <v>959</v>
      </c>
      <c r="D454" s="35" t="s">
        <v>959</v>
      </c>
      <c r="E454" s="4" t="s">
        <v>959</v>
      </c>
    </row>
    <row r="455" spans="2:5" x14ac:dyDescent="0.2">
      <c r="B455" s="30" t="s">
        <v>1167</v>
      </c>
      <c r="C455" s="34" t="s">
        <v>959</v>
      </c>
      <c r="D455" s="35" t="s">
        <v>959</v>
      </c>
      <c r="E455" s="4" t="s">
        <v>959</v>
      </c>
    </row>
    <row r="456" spans="2:5" x14ac:dyDescent="0.2">
      <c r="B456" s="30" t="s">
        <v>1168</v>
      </c>
      <c r="C456" s="34" t="s">
        <v>959</v>
      </c>
      <c r="D456" s="35" t="s">
        <v>959</v>
      </c>
      <c r="E456" s="4" t="s">
        <v>959</v>
      </c>
    </row>
    <row r="457" spans="2:5" x14ac:dyDescent="0.2">
      <c r="B457" s="30" t="s">
        <v>1169</v>
      </c>
      <c r="C457" s="34" t="s">
        <v>959</v>
      </c>
      <c r="D457" s="35" t="s">
        <v>959</v>
      </c>
      <c r="E457" s="4" t="s">
        <v>959</v>
      </c>
    </row>
    <row r="458" spans="2:5" x14ac:dyDescent="0.2">
      <c r="B458" s="30" t="s">
        <v>1170</v>
      </c>
      <c r="C458" s="34" t="s">
        <v>959</v>
      </c>
      <c r="D458" s="35" t="s">
        <v>959</v>
      </c>
      <c r="E458" s="4" t="s">
        <v>959</v>
      </c>
    </row>
    <row r="459" spans="2:5" x14ac:dyDescent="0.2">
      <c r="B459" s="29" t="s">
        <v>65</v>
      </c>
      <c r="C459" s="32" t="s">
        <v>959</v>
      </c>
      <c r="D459" s="32" t="s">
        <v>959</v>
      </c>
      <c r="E459" s="36" t="s">
        <v>959</v>
      </c>
    </row>
    <row r="460" spans="2:5" x14ac:dyDescent="0.2">
      <c r="B460" s="30" t="s">
        <v>1171</v>
      </c>
      <c r="C460" s="34" t="s">
        <v>959</v>
      </c>
      <c r="D460" s="35" t="s">
        <v>959</v>
      </c>
      <c r="E460" s="4" t="s">
        <v>959</v>
      </c>
    </row>
    <row r="461" spans="2:5" x14ac:dyDescent="0.2">
      <c r="B461" s="30" t="s">
        <v>1172</v>
      </c>
      <c r="C461" s="34" t="s">
        <v>959</v>
      </c>
      <c r="D461" s="35" t="s">
        <v>959</v>
      </c>
      <c r="E461" s="4" t="s">
        <v>959</v>
      </c>
    </row>
    <row r="462" spans="2:5" x14ac:dyDescent="0.2">
      <c r="B462" s="30" t="s">
        <v>1173</v>
      </c>
      <c r="C462" s="34" t="s">
        <v>959</v>
      </c>
      <c r="D462" s="35" t="s">
        <v>959</v>
      </c>
      <c r="E462" s="4" t="s">
        <v>959</v>
      </c>
    </row>
    <row r="463" spans="2:5" x14ac:dyDescent="0.2">
      <c r="B463" s="30" t="s">
        <v>1174</v>
      </c>
      <c r="C463" s="34" t="s">
        <v>959</v>
      </c>
      <c r="D463" s="35" t="s">
        <v>959</v>
      </c>
      <c r="E463" s="4" t="s">
        <v>959</v>
      </c>
    </row>
    <row r="464" spans="2:5" x14ac:dyDescent="0.2">
      <c r="B464" s="30" t="s">
        <v>1175</v>
      </c>
      <c r="C464" s="34" t="s">
        <v>959</v>
      </c>
      <c r="D464" s="35" t="s">
        <v>959</v>
      </c>
      <c r="E464" s="4" t="s">
        <v>959</v>
      </c>
    </row>
    <row r="465" spans="2:5" x14ac:dyDescent="0.2">
      <c r="B465" s="29" t="s">
        <v>87</v>
      </c>
      <c r="C465" s="32" t="s">
        <v>959</v>
      </c>
      <c r="D465" s="32" t="s">
        <v>959</v>
      </c>
      <c r="E465" s="36" t="s">
        <v>959</v>
      </c>
    </row>
    <row r="466" spans="2:5" x14ac:dyDescent="0.2">
      <c r="B466" s="30" t="s">
        <v>1176</v>
      </c>
      <c r="C466" s="34" t="s">
        <v>959</v>
      </c>
      <c r="D466" s="35" t="s">
        <v>959</v>
      </c>
      <c r="E466" s="4" t="s">
        <v>959</v>
      </c>
    </row>
    <row r="467" spans="2:5" x14ac:dyDescent="0.2">
      <c r="B467" s="30" t="s">
        <v>1177</v>
      </c>
      <c r="C467" s="34" t="s">
        <v>959</v>
      </c>
      <c r="D467" s="35" t="s">
        <v>959</v>
      </c>
      <c r="E467" s="4" t="s">
        <v>959</v>
      </c>
    </row>
    <row r="468" spans="2:5" x14ac:dyDescent="0.2">
      <c r="B468" s="30" t="s">
        <v>1178</v>
      </c>
      <c r="C468" s="34" t="s">
        <v>959</v>
      </c>
      <c r="D468" s="35" t="s">
        <v>959</v>
      </c>
      <c r="E468" s="4" t="s">
        <v>959</v>
      </c>
    </row>
    <row r="469" spans="2:5" x14ac:dyDescent="0.2">
      <c r="B469" s="30" t="s">
        <v>1179</v>
      </c>
      <c r="C469" s="34" t="s">
        <v>959</v>
      </c>
      <c r="D469" s="35" t="s">
        <v>959</v>
      </c>
      <c r="E469" s="4" t="s">
        <v>959</v>
      </c>
    </row>
    <row r="470" spans="2:5" x14ac:dyDescent="0.2">
      <c r="B470" s="30" t="s">
        <v>1180</v>
      </c>
      <c r="C470" s="34" t="s">
        <v>959</v>
      </c>
      <c r="D470" s="35" t="s">
        <v>959</v>
      </c>
      <c r="E470" s="4" t="s">
        <v>959</v>
      </c>
    </row>
    <row r="471" spans="2:5" x14ac:dyDescent="0.2">
      <c r="B471" s="30" t="s">
        <v>1181</v>
      </c>
      <c r="C471" s="34" t="s">
        <v>959</v>
      </c>
      <c r="D471" s="35" t="s">
        <v>959</v>
      </c>
      <c r="E471" s="4" t="s">
        <v>959</v>
      </c>
    </row>
    <row r="472" spans="2:5" x14ac:dyDescent="0.2">
      <c r="B472" s="29" t="s">
        <v>23</v>
      </c>
      <c r="C472" s="32" t="s">
        <v>959</v>
      </c>
      <c r="D472" s="32" t="s">
        <v>959</v>
      </c>
      <c r="E472" s="36" t="s">
        <v>959</v>
      </c>
    </row>
    <row r="473" spans="2:5" x14ac:dyDescent="0.2">
      <c r="B473" s="30" t="s">
        <v>1182</v>
      </c>
      <c r="C473" s="34" t="s">
        <v>959</v>
      </c>
      <c r="D473" s="35" t="s">
        <v>959</v>
      </c>
      <c r="E473" s="4" t="s">
        <v>959</v>
      </c>
    </row>
    <row r="474" spans="2:5" x14ac:dyDescent="0.2">
      <c r="B474" s="30" t="s">
        <v>1183</v>
      </c>
      <c r="C474" s="34" t="s">
        <v>959</v>
      </c>
      <c r="D474" s="35" t="s">
        <v>959</v>
      </c>
      <c r="E474" s="4" t="s">
        <v>959</v>
      </c>
    </row>
    <row r="475" spans="2:5" x14ac:dyDescent="0.2">
      <c r="B475" s="30" t="s">
        <v>1184</v>
      </c>
      <c r="C475" s="34" t="s">
        <v>959</v>
      </c>
      <c r="D475" s="35" t="s">
        <v>959</v>
      </c>
      <c r="E475" s="4" t="s">
        <v>959</v>
      </c>
    </row>
    <row r="476" spans="2:5" x14ac:dyDescent="0.2">
      <c r="B476" s="30" t="s">
        <v>1185</v>
      </c>
      <c r="C476" s="34" t="s">
        <v>959</v>
      </c>
      <c r="D476" s="35" t="s">
        <v>959</v>
      </c>
      <c r="E476" s="4" t="s">
        <v>959</v>
      </c>
    </row>
    <row r="477" spans="2:5" x14ac:dyDescent="0.2">
      <c r="B477" s="30" t="s">
        <v>1186</v>
      </c>
      <c r="C477" s="34" t="s">
        <v>959</v>
      </c>
      <c r="D477" s="35" t="s">
        <v>959</v>
      </c>
      <c r="E477" s="4" t="s">
        <v>959</v>
      </c>
    </row>
    <row r="478" spans="2:5" x14ac:dyDescent="0.2">
      <c r="B478" s="30" t="s">
        <v>1187</v>
      </c>
      <c r="C478" s="34" t="s">
        <v>959</v>
      </c>
      <c r="D478" s="35" t="s">
        <v>959</v>
      </c>
      <c r="E478" s="4" t="s">
        <v>959</v>
      </c>
    </row>
    <row r="479" spans="2:5" x14ac:dyDescent="0.2">
      <c r="B479" s="30" t="s">
        <v>1188</v>
      </c>
      <c r="C479" s="34" t="s">
        <v>959</v>
      </c>
      <c r="D479" s="35" t="s">
        <v>959</v>
      </c>
      <c r="E479" s="4" t="s">
        <v>959</v>
      </c>
    </row>
    <row r="480" spans="2:5" x14ac:dyDescent="0.2">
      <c r="B480" s="30" t="s">
        <v>1189</v>
      </c>
      <c r="C480" s="34" t="s">
        <v>959</v>
      </c>
      <c r="D480" s="35" t="s">
        <v>959</v>
      </c>
      <c r="E480" s="4" t="s">
        <v>959</v>
      </c>
    </row>
    <row r="481" spans="2:5" x14ac:dyDescent="0.2">
      <c r="B481" s="29" t="s">
        <v>127</v>
      </c>
      <c r="C481" s="32" t="s">
        <v>959</v>
      </c>
      <c r="D481" s="32" t="s">
        <v>959</v>
      </c>
      <c r="E481" s="36" t="s">
        <v>959</v>
      </c>
    </row>
    <row r="482" spans="2:5" x14ac:dyDescent="0.2">
      <c r="B482" s="30" t="s">
        <v>1190</v>
      </c>
      <c r="C482" s="34" t="s">
        <v>959</v>
      </c>
      <c r="D482" s="35" t="s">
        <v>959</v>
      </c>
      <c r="E482" s="4" t="s">
        <v>959</v>
      </c>
    </row>
    <row r="483" spans="2:5" x14ac:dyDescent="0.2">
      <c r="B483" s="30" t="s">
        <v>1191</v>
      </c>
      <c r="C483" s="34" t="s">
        <v>959</v>
      </c>
      <c r="D483" s="35" t="s">
        <v>959</v>
      </c>
      <c r="E483" s="4" t="s">
        <v>959</v>
      </c>
    </row>
    <row r="484" spans="2:5" x14ac:dyDescent="0.2">
      <c r="B484" s="30" t="s">
        <v>1192</v>
      </c>
      <c r="C484" s="34" t="s">
        <v>959</v>
      </c>
      <c r="D484" s="35" t="s">
        <v>959</v>
      </c>
      <c r="E484" s="4" t="s">
        <v>959</v>
      </c>
    </row>
    <row r="485" spans="2:5" x14ac:dyDescent="0.2">
      <c r="B485" s="30" t="s">
        <v>1193</v>
      </c>
      <c r="C485" s="34" t="s">
        <v>959</v>
      </c>
      <c r="D485" s="35" t="s">
        <v>959</v>
      </c>
      <c r="E485" s="4" t="s">
        <v>959</v>
      </c>
    </row>
    <row r="486" spans="2:5" x14ac:dyDescent="0.2">
      <c r="B486" s="30" t="s">
        <v>1194</v>
      </c>
      <c r="C486" s="34" t="s">
        <v>959</v>
      </c>
      <c r="D486" s="35" t="s">
        <v>959</v>
      </c>
      <c r="E486" s="4" t="s">
        <v>959</v>
      </c>
    </row>
    <row r="487" spans="2:5" x14ac:dyDescent="0.2">
      <c r="B487" s="29" t="s">
        <v>15</v>
      </c>
      <c r="C487" s="32" t="s">
        <v>959</v>
      </c>
      <c r="D487" s="32" t="s">
        <v>959</v>
      </c>
      <c r="E487" s="36" t="s">
        <v>959</v>
      </c>
    </row>
    <row r="488" spans="2:5" x14ac:dyDescent="0.2">
      <c r="B488" s="30" t="s">
        <v>1195</v>
      </c>
      <c r="C488" s="34" t="s">
        <v>959</v>
      </c>
      <c r="D488" s="35" t="s">
        <v>959</v>
      </c>
      <c r="E488" s="4" t="s">
        <v>959</v>
      </c>
    </row>
    <row r="489" spans="2:5" x14ac:dyDescent="0.2">
      <c r="B489" s="30" t="s">
        <v>1196</v>
      </c>
      <c r="C489" s="34" t="s">
        <v>959</v>
      </c>
      <c r="D489" s="35" t="s">
        <v>959</v>
      </c>
      <c r="E489" s="4" t="s">
        <v>959</v>
      </c>
    </row>
    <row r="490" spans="2:5" x14ac:dyDescent="0.2">
      <c r="B490" s="30" t="s">
        <v>1197</v>
      </c>
      <c r="C490" s="34" t="s">
        <v>959</v>
      </c>
      <c r="D490" s="35" t="s">
        <v>959</v>
      </c>
      <c r="E490" s="4" t="s">
        <v>959</v>
      </c>
    </row>
    <row r="491" spans="2:5" x14ac:dyDescent="0.2">
      <c r="B491" s="30" t="s">
        <v>1198</v>
      </c>
      <c r="C491" s="34" t="s">
        <v>959</v>
      </c>
      <c r="D491" s="35" t="s">
        <v>959</v>
      </c>
      <c r="E491" s="4" t="s">
        <v>959</v>
      </c>
    </row>
    <row r="492" spans="2:5" x14ac:dyDescent="0.2">
      <c r="B492" s="30" t="s">
        <v>1199</v>
      </c>
      <c r="C492" s="34" t="s">
        <v>959</v>
      </c>
      <c r="D492" s="35" t="s">
        <v>959</v>
      </c>
      <c r="E492" s="4" t="s">
        <v>959</v>
      </c>
    </row>
    <row r="493" spans="2:5" x14ac:dyDescent="0.2">
      <c r="B493" s="30" t="s">
        <v>1200</v>
      </c>
      <c r="C493" s="34" t="s">
        <v>959</v>
      </c>
      <c r="D493" s="35" t="s">
        <v>959</v>
      </c>
      <c r="E493" s="4" t="s">
        <v>959</v>
      </c>
    </row>
    <row r="494" spans="2:5" x14ac:dyDescent="0.2">
      <c r="B494" s="30" t="s">
        <v>1201</v>
      </c>
      <c r="C494" s="34" t="s">
        <v>959</v>
      </c>
      <c r="D494" s="35" t="s">
        <v>959</v>
      </c>
      <c r="E494" s="4" t="s">
        <v>959</v>
      </c>
    </row>
    <row r="495" spans="2:5" x14ac:dyDescent="0.2">
      <c r="B495" s="30" t="s">
        <v>1202</v>
      </c>
      <c r="C495" s="34" t="s">
        <v>959</v>
      </c>
      <c r="D495" s="35" t="s">
        <v>959</v>
      </c>
      <c r="E495" s="4" t="s">
        <v>959</v>
      </c>
    </row>
    <row r="496" spans="2:5" x14ac:dyDescent="0.2">
      <c r="B496" s="30" t="s">
        <v>1203</v>
      </c>
      <c r="C496" s="34" t="s">
        <v>959</v>
      </c>
      <c r="D496" s="35" t="s">
        <v>959</v>
      </c>
      <c r="E496" s="4" t="s">
        <v>959</v>
      </c>
    </row>
    <row r="497" spans="2:5" x14ac:dyDescent="0.2">
      <c r="B497" s="29" t="s">
        <v>111</v>
      </c>
      <c r="C497" s="32" t="s">
        <v>959</v>
      </c>
      <c r="D497" s="32" t="s">
        <v>959</v>
      </c>
      <c r="E497" s="36" t="s">
        <v>959</v>
      </c>
    </row>
    <row r="498" spans="2:5" x14ac:dyDescent="0.2">
      <c r="B498" s="30" t="s">
        <v>1204</v>
      </c>
      <c r="C498" s="34" t="s">
        <v>959</v>
      </c>
      <c r="D498" s="35" t="s">
        <v>959</v>
      </c>
      <c r="E498" s="4" t="s">
        <v>959</v>
      </c>
    </row>
    <row r="499" spans="2:5" x14ac:dyDescent="0.2">
      <c r="B499" s="30" t="s">
        <v>1205</v>
      </c>
      <c r="C499" s="34" t="s">
        <v>959</v>
      </c>
      <c r="D499" s="35" t="s">
        <v>959</v>
      </c>
      <c r="E499" s="4" t="s">
        <v>959</v>
      </c>
    </row>
    <row r="500" spans="2:5" x14ac:dyDescent="0.2">
      <c r="B500" s="30" t="s">
        <v>1206</v>
      </c>
      <c r="C500" s="34" t="s">
        <v>959</v>
      </c>
      <c r="D500" s="35" t="s">
        <v>959</v>
      </c>
      <c r="E500" s="4" t="s">
        <v>959</v>
      </c>
    </row>
    <row r="501" spans="2:5" x14ac:dyDescent="0.2">
      <c r="B501" s="30" t="s">
        <v>1207</v>
      </c>
      <c r="C501" s="34" t="s">
        <v>959</v>
      </c>
      <c r="D501" s="35" t="s">
        <v>959</v>
      </c>
      <c r="E501" s="4" t="s">
        <v>959</v>
      </c>
    </row>
    <row r="502" spans="2:5" x14ac:dyDescent="0.2">
      <c r="B502" s="30" t="s">
        <v>1208</v>
      </c>
      <c r="C502" s="34" t="s">
        <v>959</v>
      </c>
      <c r="D502" s="35" t="s">
        <v>959</v>
      </c>
      <c r="E502" s="4" t="s">
        <v>959</v>
      </c>
    </row>
    <row r="503" spans="2:5" x14ac:dyDescent="0.2">
      <c r="B503" s="30" t="s">
        <v>1209</v>
      </c>
      <c r="C503" s="34" t="s">
        <v>959</v>
      </c>
      <c r="D503" s="35" t="s">
        <v>959</v>
      </c>
      <c r="E503" s="4" t="s">
        <v>959</v>
      </c>
    </row>
    <row r="504" spans="2:5" x14ac:dyDescent="0.2">
      <c r="B504" s="29" t="s">
        <v>83</v>
      </c>
      <c r="C504" s="32" t="s">
        <v>959</v>
      </c>
      <c r="D504" s="32" t="s">
        <v>959</v>
      </c>
      <c r="E504" s="36" t="s">
        <v>959</v>
      </c>
    </row>
    <row r="505" spans="2:5" x14ac:dyDescent="0.2">
      <c r="B505" s="30" t="s">
        <v>1210</v>
      </c>
      <c r="C505" s="34" t="s">
        <v>959</v>
      </c>
      <c r="D505" s="35" t="s">
        <v>959</v>
      </c>
      <c r="E505" s="4" t="s">
        <v>959</v>
      </c>
    </row>
    <row r="506" spans="2:5" x14ac:dyDescent="0.2">
      <c r="B506" s="30" t="s">
        <v>1211</v>
      </c>
      <c r="C506" s="34" t="s">
        <v>959</v>
      </c>
      <c r="D506" s="35" t="s">
        <v>959</v>
      </c>
      <c r="E506" s="4" t="s">
        <v>959</v>
      </c>
    </row>
    <row r="507" spans="2:5" x14ac:dyDescent="0.2">
      <c r="B507" s="30" t="s">
        <v>1212</v>
      </c>
      <c r="C507" s="34" t="s">
        <v>959</v>
      </c>
      <c r="D507" s="35" t="s">
        <v>959</v>
      </c>
      <c r="E507" s="4" t="s">
        <v>959</v>
      </c>
    </row>
    <row r="508" spans="2:5" x14ac:dyDescent="0.2">
      <c r="B508" s="30" t="s">
        <v>1213</v>
      </c>
      <c r="C508" s="34" t="s">
        <v>959</v>
      </c>
      <c r="D508" s="35" t="s">
        <v>959</v>
      </c>
      <c r="E508" s="4" t="s">
        <v>959</v>
      </c>
    </row>
    <row r="509" spans="2:5" x14ac:dyDescent="0.2">
      <c r="B509" s="30" t="s">
        <v>1214</v>
      </c>
      <c r="C509" s="34" t="s">
        <v>959</v>
      </c>
      <c r="D509" s="35" t="s">
        <v>959</v>
      </c>
      <c r="E509" s="4" t="s">
        <v>959</v>
      </c>
    </row>
    <row r="510" spans="2:5" x14ac:dyDescent="0.2">
      <c r="B510" s="29" t="s">
        <v>116</v>
      </c>
      <c r="C510" s="32" t="s">
        <v>959</v>
      </c>
      <c r="D510" s="32" t="s">
        <v>959</v>
      </c>
      <c r="E510" s="36" t="s">
        <v>959</v>
      </c>
    </row>
    <row r="511" spans="2:5" x14ac:dyDescent="0.2">
      <c r="B511" s="30" t="s">
        <v>1215</v>
      </c>
      <c r="C511" s="34" t="s">
        <v>959</v>
      </c>
      <c r="D511" s="35" t="s">
        <v>959</v>
      </c>
      <c r="E511" s="4" t="s">
        <v>959</v>
      </c>
    </row>
    <row r="512" spans="2:5" x14ac:dyDescent="0.2">
      <c r="B512" s="30" t="s">
        <v>1216</v>
      </c>
      <c r="C512" s="34" t="s">
        <v>959</v>
      </c>
      <c r="D512" s="35" t="s">
        <v>959</v>
      </c>
      <c r="E512" s="4" t="s">
        <v>959</v>
      </c>
    </row>
    <row r="513" spans="2:5" x14ac:dyDescent="0.2">
      <c r="B513" s="30" t="s">
        <v>1217</v>
      </c>
      <c r="C513" s="34" t="s">
        <v>959</v>
      </c>
      <c r="D513" s="35" t="s">
        <v>959</v>
      </c>
      <c r="E513" s="4" t="s">
        <v>959</v>
      </c>
    </row>
    <row r="514" spans="2:5" x14ac:dyDescent="0.2">
      <c r="B514" s="30" t="s">
        <v>1218</v>
      </c>
      <c r="C514" s="34" t="s">
        <v>959</v>
      </c>
      <c r="D514" s="35" t="s">
        <v>959</v>
      </c>
      <c r="E514" s="4" t="s">
        <v>959</v>
      </c>
    </row>
    <row r="515" spans="2:5" x14ac:dyDescent="0.2">
      <c r="B515" s="30" t="s">
        <v>1219</v>
      </c>
      <c r="C515" s="34" t="s">
        <v>959</v>
      </c>
      <c r="D515" s="35" t="s">
        <v>959</v>
      </c>
      <c r="E515" s="4" t="s">
        <v>959</v>
      </c>
    </row>
    <row r="516" spans="2:5" x14ac:dyDescent="0.2">
      <c r="B516" s="29" t="s">
        <v>20</v>
      </c>
      <c r="C516" s="32" t="s">
        <v>959</v>
      </c>
      <c r="D516" s="32" t="s">
        <v>959</v>
      </c>
      <c r="E516" s="36" t="s">
        <v>959</v>
      </c>
    </row>
    <row r="517" spans="2:5" x14ac:dyDescent="0.2">
      <c r="B517" s="30" t="s">
        <v>1220</v>
      </c>
      <c r="C517" s="34" t="s">
        <v>959</v>
      </c>
      <c r="D517" s="35" t="s">
        <v>959</v>
      </c>
      <c r="E517" s="4" t="s">
        <v>959</v>
      </c>
    </row>
    <row r="518" spans="2:5" x14ac:dyDescent="0.2">
      <c r="B518" s="30" t="s">
        <v>1221</v>
      </c>
      <c r="C518" s="34" t="s">
        <v>959</v>
      </c>
      <c r="D518" s="35" t="s">
        <v>959</v>
      </c>
      <c r="E518" s="4" t="s">
        <v>959</v>
      </c>
    </row>
    <row r="519" spans="2:5" x14ac:dyDescent="0.2">
      <c r="B519" s="30" t="s">
        <v>1222</v>
      </c>
      <c r="C519" s="34" t="s">
        <v>959</v>
      </c>
      <c r="D519" s="35" t="s">
        <v>959</v>
      </c>
      <c r="E519" s="4" t="s">
        <v>959</v>
      </c>
    </row>
    <row r="520" spans="2:5" x14ac:dyDescent="0.2">
      <c r="B520" s="30" t="s">
        <v>1223</v>
      </c>
      <c r="C520" s="34" t="s">
        <v>959</v>
      </c>
      <c r="D520" s="35" t="s">
        <v>959</v>
      </c>
      <c r="E520" s="4" t="s">
        <v>959</v>
      </c>
    </row>
    <row r="521" spans="2:5" x14ac:dyDescent="0.2">
      <c r="B521" s="30" t="s">
        <v>1224</v>
      </c>
      <c r="C521" s="34" t="s">
        <v>959</v>
      </c>
      <c r="D521" s="35" t="s">
        <v>959</v>
      </c>
      <c r="E521" s="4" t="s">
        <v>959</v>
      </c>
    </row>
    <row r="522" spans="2:5" x14ac:dyDescent="0.2">
      <c r="B522" s="30" t="s">
        <v>1225</v>
      </c>
      <c r="C522" s="34" t="s">
        <v>959</v>
      </c>
      <c r="D522" s="35" t="s">
        <v>959</v>
      </c>
      <c r="E522" s="4" t="s">
        <v>959</v>
      </c>
    </row>
    <row r="523" spans="2:5" x14ac:dyDescent="0.2">
      <c r="B523" s="30" t="s">
        <v>1226</v>
      </c>
      <c r="C523" s="34" t="s">
        <v>959</v>
      </c>
      <c r="D523" s="35" t="s">
        <v>959</v>
      </c>
      <c r="E523" s="4" t="s">
        <v>959</v>
      </c>
    </row>
    <row r="524" spans="2:5" x14ac:dyDescent="0.2">
      <c r="B524" s="30" t="s">
        <v>1227</v>
      </c>
      <c r="C524" s="34" t="s">
        <v>959</v>
      </c>
      <c r="D524" s="35" t="s">
        <v>959</v>
      </c>
      <c r="E524" s="4" t="s">
        <v>959</v>
      </c>
    </row>
    <row r="525" spans="2:5" x14ac:dyDescent="0.2">
      <c r="B525" s="30" t="s">
        <v>1228</v>
      </c>
      <c r="C525" s="34" t="s">
        <v>959</v>
      </c>
      <c r="D525" s="35" t="s">
        <v>959</v>
      </c>
      <c r="E525" s="4" t="s">
        <v>959</v>
      </c>
    </row>
    <row r="526" spans="2:5" x14ac:dyDescent="0.2">
      <c r="B526" s="30" t="s">
        <v>1229</v>
      </c>
      <c r="C526" s="34" t="s">
        <v>959</v>
      </c>
      <c r="D526" s="35" t="s">
        <v>959</v>
      </c>
      <c r="E526" s="4" t="s">
        <v>959</v>
      </c>
    </row>
    <row r="527" spans="2:5" x14ac:dyDescent="0.2">
      <c r="B527" s="30" t="s">
        <v>1230</v>
      </c>
      <c r="C527" s="34" t="s">
        <v>959</v>
      </c>
      <c r="D527" s="35" t="s">
        <v>959</v>
      </c>
      <c r="E527" s="4" t="s">
        <v>959</v>
      </c>
    </row>
    <row r="528" spans="2:5" x14ac:dyDescent="0.2">
      <c r="B528" s="29" t="s">
        <v>131</v>
      </c>
      <c r="C528" s="32" t="s">
        <v>959</v>
      </c>
      <c r="D528" s="32" t="s">
        <v>959</v>
      </c>
      <c r="E528" s="36" t="s">
        <v>959</v>
      </c>
    </row>
    <row r="529" spans="2:5" x14ac:dyDescent="0.2">
      <c r="B529" s="30" t="s">
        <v>1231</v>
      </c>
      <c r="C529" s="34" t="s">
        <v>959</v>
      </c>
      <c r="D529" s="35" t="s">
        <v>959</v>
      </c>
      <c r="E529" s="4" t="s">
        <v>959</v>
      </c>
    </row>
    <row r="530" spans="2:5" x14ac:dyDescent="0.2">
      <c r="B530" s="30" t="s">
        <v>1232</v>
      </c>
      <c r="C530" s="34" t="s">
        <v>959</v>
      </c>
      <c r="D530" s="35" t="s">
        <v>959</v>
      </c>
      <c r="E530" s="4" t="s">
        <v>959</v>
      </c>
    </row>
    <row r="531" spans="2:5" x14ac:dyDescent="0.2">
      <c r="B531" s="30" t="s">
        <v>1233</v>
      </c>
      <c r="C531" s="34" t="s">
        <v>959</v>
      </c>
      <c r="D531" s="35" t="s">
        <v>959</v>
      </c>
      <c r="E531" s="4" t="s">
        <v>959</v>
      </c>
    </row>
    <row r="532" spans="2:5" x14ac:dyDescent="0.2">
      <c r="B532" s="30" t="s">
        <v>1234</v>
      </c>
      <c r="C532" s="34" t="s">
        <v>959</v>
      </c>
      <c r="D532" s="35" t="s">
        <v>959</v>
      </c>
      <c r="E532" s="4" t="s">
        <v>959</v>
      </c>
    </row>
    <row r="533" spans="2:5" x14ac:dyDescent="0.2">
      <c r="B533" s="30" t="s">
        <v>1235</v>
      </c>
      <c r="C533" s="34" t="s">
        <v>959</v>
      </c>
      <c r="D533" s="35" t="s">
        <v>959</v>
      </c>
      <c r="E533" s="4" t="s">
        <v>959</v>
      </c>
    </row>
    <row r="534" spans="2:5" x14ac:dyDescent="0.2">
      <c r="B534" s="30" t="s">
        <v>1236</v>
      </c>
      <c r="C534" s="34" t="s">
        <v>959</v>
      </c>
      <c r="D534" s="35" t="s">
        <v>959</v>
      </c>
      <c r="E534" s="4" t="s">
        <v>959</v>
      </c>
    </row>
    <row r="535" spans="2:5" x14ac:dyDescent="0.2">
      <c r="B535" s="29" t="s">
        <v>24</v>
      </c>
      <c r="C535" s="32" t="s">
        <v>959</v>
      </c>
      <c r="D535" s="32" t="s">
        <v>959</v>
      </c>
      <c r="E535" s="36" t="s">
        <v>959</v>
      </c>
    </row>
    <row r="536" spans="2:5" x14ac:dyDescent="0.2">
      <c r="B536" s="30" t="s">
        <v>1237</v>
      </c>
      <c r="C536" s="34" t="s">
        <v>959</v>
      </c>
      <c r="D536" s="35" t="s">
        <v>959</v>
      </c>
      <c r="E536" s="4" t="s">
        <v>959</v>
      </c>
    </row>
    <row r="537" spans="2:5" x14ac:dyDescent="0.2">
      <c r="B537" s="30" t="s">
        <v>1238</v>
      </c>
      <c r="C537" s="34" t="s">
        <v>959</v>
      </c>
      <c r="D537" s="35" t="s">
        <v>959</v>
      </c>
      <c r="E537" s="4" t="s">
        <v>959</v>
      </c>
    </row>
    <row r="538" spans="2:5" x14ac:dyDescent="0.2">
      <c r="B538" s="30" t="s">
        <v>1239</v>
      </c>
      <c r="C538" s="34" t="s">
        <v>959</v>
      </c>
      <c r="D538" s="35" t="s">
        <v>959</v>
      </c>
      <c r="E538" s="4" t="s">
        <v>959</v>
      </c>
    </row>
    <row r="539" spans="2:5" x14ac:dyDescent="0.2">
      <c r="B539" s="30" t="s">
        <v>1240</v>
      </c>
      <c r="C539" s="34" t="s">
        <v>959</v>
      </c>
      <c r="D539" s="35" t="s">
        <v>959</v>
      </c>
      <c r="E539" s="4" t="s">
        <v>959</v>
      </c>
    </row>
    <row r="540" spans="2:5" x14ac:dyDescent="0.2">
      <c r="B540" s="30" t="s">
        <v>1241</v>
      </c>
      <c r="C540" s="34" t="s">
        <v>959</v>
      </c>
      <c r="D540" s="35" t="s">
        <v>959</v>
      </c>
      <c r="E540" s="4" t="s">
        <v>959</v>
      </c>
    </row>
    <row r="541" spans="2:5" x14ac:dyDescent="0.2">
      <c r="B541" s="30" t="s">
        <v>1242</v>
      </c>
      <c r="C541" s="34" t="s">
        <v>959</v>
      </c>
      <c r="D541" s="35" t="s">
        <v>959</v>
      </c>
      <c r="E541" s="4" t="s">
        <v>959</v>
      </c>
    </row>
    <row r="542" spans="2:5" x14ac:dyDescent="0.2">
      <c r="B542" s="30" t="s">
        <v>1243</v>
      </c>
      <c r="C542" s="34" t="s">
        <v>959</v>
      </c>
      <c r="D542" s="35" t="s">
        <v>959</v>
      </c>
      <c r="E542" s="4" t="s">
        <v>959</v>
      </c>
    </row>
    <row r="543" spans="2:5" x14ac:dyDescent="0.2">
      <c r="B543" s="29" t="s">
        <v>122</v>
      </c>
      <c r="C543" s="32" t="s">
        <v>959</v>
      </c>
      <c r="D543" s="32" t="s">
        <v>959</v>
      </c>
      <c r="E543" s="36" t="s">
        <v>959</v>
      </c>
    </row>
    <row r="544" spans="2:5" x14ac:dyDescent="0.2">
      <c r="B544" s="30" t="s">
        <v>1244</v>
      </c>
      <c r="C544" s="34" t="s">
        <v>959</v>
      </c>
      <c r="D544" s="35" t="s">
        <v>959</v>
      </c>
      <c r="E544" s="4" t="s">
        <v>959</v>
      </c>
    </row>
    <row r="545" spans="2:5" x14ac:dyDescent="0.2">
      <c r="B545" s="30" t="s">
        <v>1245</v>
      </c>
      <c r="C545" s="34" t="s">
        <v>959</v>
      </c>
      <c r="D545" s="35" t="s">
        <v>959</v>
      </c>
      <c r="E545" s="4" t="s">
        <v>959</v>
      </c>
    </row>
    <row r="546" spans="2:5" x14ac:dyDescent="0.2">
      <c r="B546" s="30" t="s">
        <v>1246</v>
      </c>
      <c r="C546" s="34" t="s">
        <v>959</v>
      </c>
      <c r="D546" s="35" t="s">
        <v>959</v>
      </c>
      <c r="E546" s="4" t="s">
        <v>959</v>
      </c>
    </row>
    <row r="547" spans="2:5" x14ac:dyDescent="0.2">
      <c r="B547" s="30" t="s">
        <v>1247</v>
      </c>
      <c r="C547" s="34" t="s">
        <v>959</v>
      </c>
      <c r="D547" s="35" t="s">
        <v>959</v>
      </c>
      <c r="E547" s="4" t="s">
        <v>959</v>
      </c>
    </row>
    <row r="548" spans="2:5" x14ac:dyDescent="0.2">
      <c r="B548" s="29" t="s">
        <v>133</v>
      </c>
      <c r="C548" s="32" t="s">
        <v>959</v>
      </c>
      <c r="D548" s="32" t="s">
        <v>959</v>
      </c>
      <c r="E548" s="36" t="s">
        <v>959</v>
      </c>
    </row>
    <row r="549" spans="2:5" x14ac:dyDescent="0.2">
      <c r="B549" s="30" t="s">
        <v>1248</v>
      </c>
      <c r="C549" s="34" t="s">
        <v>959</v>
      </c>
      <c r="D549" s="35" t="s">
        <v>959</v>
      </c>
      <c r="E549" s="4" t="s">
        <v>959</v>
      </c>
    </row>
    <row r="550" spans="2:5" x14ac:dyDescent="0.2">
      <c r="B550" s="30" t="s">
        <v>1249</v>
      </c>
      <c r="C550" s="34" t="s">
        <v>959</v>
      </c>
      <c r="D550" s="35" t="s">
        <v>959</v>
      </c>
      <c r="E550" s="4" t="s">
        <v>959</v>
      </c>
    </row>
    <row r="551" spans="2:5" x14ac:dyDescent="0.2">
      <c r="B551" s="30" t="s">
        <v>1250</v>
      </c>
      <c r="C551" s="34" t="s">
        <v>959</v>
      </c>
      <c r="D551" s="35" t="s">
        <v>959</v>
      </c>
      <c r="E551" s="4" t="s">
        <v>959</v>
      </c>
    </row>
    <row r="552" spans="2:5" x14ac:dyDescent="0.2">
      <c r="B552" s="30" t="s">
        <v>1251</v>
      </c>
      <c r="C552" s="34" t="s">
        <v>959</v>
      </c>
      <c r="D552" s="35" t="s">
        <v>959</v>
      </c>
      <c r="E552" s="4" t="s">
        <v>959</v>
      </c>
    </row>
    <row r="553" spans="2:5" x14ac:dyDescent="0.2">
      <c r="B553" s="30" t="s">
        <v>1252</v>
      </c>
      <c r="C553" s="34" t="s">
        <v>959</v>
      </c>
      <c r="D553" s="35" t="s">
        <v>959</v>
      </c>
      <c r="E553" s="4" t="s">
        <v>959</v>
      </c>
    </row>
    <row r="554" spans="2:5" x14ac:dyDescent="0.2">
      <c r="B554" s="30" t="s">
        <v>1253</v>
      </c>
      <c r="C554" s="34" t="s">
        <v>959</v>
      </c>
      <c r="D554" s="35" t="s">
        <v>959</v>
      </c>
      <c r="E554" s="4" t="s">
        <v>959</v>
      </c>
    </row>
    <row r="555" spans="2:5" x14ac:dyDescent="0.2">
      <c r="B555" s="30" t="s">
        <v>989</v>
      </c>
      <c r="C555" s="34" t="s">
        <v>959</v>
      </c>
      <c r="D555" s="35" t="s">
        <v>959</v>
      </c>
      <c r="E555" s="4" t="s">
        <v>959</v>
      </c>
    </row>
    <row r="556" spans="2:5" x14ac:dyDescent="0.2">
      <c r="B556" s="29" t="s">
        <v>108</v>
      </c>
      <c r="C556" s="32" t="s">
        <v>959</v>
      </c>
      <c r="D556" s="32" t="s">
        <v>959</v>
      </c>
      <c r="E556" s="36" t="s">
        <v>959</v>
      </c>
    </row>
    <row r="557" spans="2:5" x14ac:dyDescent="0.2">
      <c r="B557" s="30" t="s">
        <v>1254</v>
      </c>
      <c r="C557" s="34" t="s">
        <v>959</v>
      </c>
      <c r="D557" s="35" t="s">
        <v>959</v>
      </c>
      <c r="E557" s="4" t="s">
        <v>959</v>
      </c>
    </row>
    <row r="558" spans="2:5" x14ac:dyDescent="0.2">
      <c r="B558" s="30" t="s">
        <v>1255</v>
      </c>
      <c r="C558" s="34" t="s">
        <v>959</v>
      </c>
      <c r="D558" s="35" t="s">
        <v>959</v>
      </c>
      <c r="E558" s="4" t="s">
        <v>959</v>
      </c>
    </row>
    <row r="559" spans="2:5" x14ac:dyDescent="0.2">
      <c r="B559" s="30" t="s">
        <v>1256</v>
      </c>
      <c r="C559" s="34" t="s">
        <v>959</v>
      </c>
      <c r="D559" s="35" t="s">
        <v>959</v>
      </c>
      <c r="E559" s="4" t="s">
        <v>959</v>
      </c>
    </row>
    <row r="560" spans="2:5" x14ac:dyDescent="0.2">
      <c r="B560" s="30" t="s">
        <v>1257</v>
      </c>
      <c r="C560" s="34" t="s">
        <v>959</v>
      </c>
      <c r="D560" s="35" t="s">
        <v>959</v>
      </c>
      <c r="E560" s="4" t="s">
        <v>959</v>
      </c>
    </row>
    <row r="561" spans="2:5" x14ac:dyDescent="0.2">
      <c r="B561" s="30" t="s">
        <v>989</v>
      </c>
      <c r="C561" s="34" t="s">
        <v>959</v>
      </c>
      <c r="D561" s="35" t="s">
        <v>959</v>
      </c>
      <c r="E561" s="4" t="s">
        <v>959</v>
      </c>
    </row>
    <row r="562" spans="2:5" x14ac:dyDescent="0.2">
      <c r="B562" s="30" t="s">
        <v>1258</v>
      </c>
      <c r="C562" s="34" t="s">
        <v>959</v>
      </c>
      <c r="D562" s="35" t="s">
        <v>959</v>
      </c>
      <c r="E562" s="4" t="s">
        <v>959</v>
      </c>
    </row>
    <row r="563" spans="2:5" x14ac:dyDescent="0.2">
      <c r="B563" s="30" t="s">
        <v>1259</v>
      </c>
      <c r="C563" s="34" t="s">
        <v>959</v>
      </c>
      <c r="D563" s="35" t="s">
        <v>959</v>
      </c>
      <c r="E563" s="4" t="s">
        <v>959</v>
      </c>
    </row>
    <row r="564" spans="2:5" x14ac:dyDescent="0.2">
      <c r="B564" s="29" t="s">
        <v>85</v>
      </c>
      <c r="C564" s="32" t="s">
        <v>959</v>
      </c>
      <c r="D564" s="32" t="s">
        <v>959</v>
      </c>
      <c r="E564" s="36" t="s">
        <v>959</v>
      </c>
    </row>
    <row r="565" spans="2:5" x14ac:dyDescent="0.2">
      <c r="B565" s="30" t="s">
        <v>1260</v>
      </c>
      <c r="C565" s="34" t="s">
        <v>959</v>
      </c>
      <c r="D565" s="35" t="s">
        <v>959</v>
      </c>
      <c r="E565" s="4" t="s">
        <v>959</v>
      </c>
    </row>
    <row r="566" spans="2:5" x14ac:dyDescent="0.2">
      <c r="B566" s="30" t="s">
        <v>1261</v>
      </c>
      <c r="C566" s="34" t="s">
        <v>959</v>
      </c>
      <c r="D566" s="35" t="s">
        <v>959</v>
      </c>
      <c r="E566" s="4" t="s">
        <v>959</v>
      </c>
    </row>
    <row r="567" spans="2:5" x14ac:dyDescent="0.2">
      <c r="B567" s="30" t="s">
        <v>1262</v>
      </c>
      <c r="C567" s="34" t="s">
        <v>959</v>
      </c>
      <c r="D567" s="35" t="s">
        <v>959</v>
      </c>
      <c r="E567" s="4" t="s">
        <v>959</v>
      </c>
    </row>
    <row r="568" spans="2:5" x14ac:dyDescent="0.2">
      <c r="B568" s="30" t="s">
        <v>1263</v>
      </c>
      <c r="C568" s="34" t="s">
        <v>959</v>
      </c>
      <c r="D568" s="35" t="s">
        <v>959</v>
      </c>
      <c r="E568" s="4" t="s">
        <v>959</v>
      </c>
    </row>
    <row r="569" spans="2:5" x14ac:dyDescent="0.2">
      <c r="B569" s="30" t="s">
        <v>1264</v>
      </c>
      <c r="C569" s="34" t="s">
        <v>959</v>
      </c>
      <c r="D569" s="35" t="s">
        <v>959</v>
      </c>
      <c r="E569" s="4" t="s">
        <v>959</v>
      </c>
    </row>
    <row r="570" spans="2:5" x14ac:dyDescent="0.2">
      <c r="B570" s="30" t="s">
        <v>1265</v>
      </c>
      <c r="C570" s="34" t="s">
        <v>959</v>
      </c>
      <c r="D570" s="35" t="s">
        <v>959</v>
      </c>
      <c r="E570" s="4" t="s">
        <v>959</v>
      </c>
    </row>
    <row r="571" spans="2:5" x14ac:dyDescent="0.2">
      <c r="B571" s="30" t="s">
        <v>1266</v>
      </c>
      <c r="C571" s="34" t="s">
        <v>959</v>
      </c>
      <c r="D571" s="35" t="s">
        <v>959</v>
      </c>
      <c r="E571" s="4" t="s">
        <v>959</v>
      </c>
    </row>
    <row r="572" spans="2:5" x14ac:dyDescent="0.2">
      <c r="B572" s="30" t="s">
        <v>1267</v>
      </c>
      <c r="C572" s="34" t="s">
        <v>959</v>
      </c>
      <c r="D572" s="35" t="s">
        <v>959</v>
      </c>
      <c r="E572" s="4" t="s">
        <v>959</v>
      </c>
    </row>
    <row r="573" spans="2:5" x14ac:dyDescent="0.2">
      <c r="B573" s="30" t="s">
        <v>1268</v>
      </c>
      <c r="C573" s="34" t="s">
        <v>959</v>
      </c>
      <c r="D573" s="35" t="s">
        <v>959</v>
      </c>
      <c r="E573" s="4" t="s">
        <v>959</v>
      </c>
    </row>
    <row r="574" spans="2:5" x14ac:dyDescent="0.2">
      <c r="B574" s="30" t="s">
        <v>1269</v>
      </c>
      <c r="C574" s="34" t="s">
        <v>959</v>
      </c>
      <c r="D574" s="35" t="s">
        <v>959</v>
      </c>
      <c r="E574" s="4" t="s">
        <v>959</v>
      </c>
    </row>
    <row r="575" spans="2:5" x14ac:dyDescent="0.2">
      <c r="B575" s="29" t="s">
        <v>132</v>
      </c>
      <c r="C575" s="32" t="s">
        <v>959</v>
      </c>
      <c r="D575" s="32" t="s">
        <v>959</v>
      </c>
      <c r="E575" s="36" t="s">
        <v>959</v>
      </c>
    </row>
    <row r="576" spans="2:5" x14ac:dyDescent="0.2">
      <c r="B576" s="30" t="s">
        <v>1270</v>
      </c>
      <c r="C576" s="34" t="s">
        <v>959</v>
      </c>
      <c r="D576" s="35" t="s">
        <v>959</v>
      </c>
      <c r="E576" s="4" t="s">
        <v>959</v>
      </c>
    </row>
    <row r="577" spans="2:5" x14ac:dyDescent="0.2">
      <c r="B577" s="30" t="s">
        <v>1271</v>
      </c>
      <c r="C577" s="34" t="s">
        <v>959</v>
      </c>
      <c r="D577" s="35" t="s">
        <v>959</v>
      </c>
      <c r="E577" s="4" t="s">
        <v>959</v>
      </c>
    </row>
    <row r="578" spans="2:5" x14ac:dyDescent="0.2">
      <c r="B578" s="30" t="s">
        <v>1272</v>
      </c>
      <c r="C578" s="34" t="s">
        <v>959</v>
      </c>
      <c r="D578" s="35" t="s">
        <v>959</v>
      </c>
      <c r="E578" s="4" t="s">
        <v>959</v>
      </c>
    </row>
    <row r="579" spans="2:5" x14ac:dyDescent="0.2">
      <c r="B579" s="30" t="s">
        <v>1273</v>
      </c>
      <c r="C579" s="34" t="s">
        <v>959</v>
      </c>
      <c r="D579" s="35" t="s">
        <v>959</v>
      </c>
      <c r="E579" s="4" t="s">
        <v>959</v>
      </c>
    </row>
    <row r="580" spans="2:5" x14ac:dyDescent="0.2">
      <c r="B580" s="30" t="s">
        <v>1274</v>
      </c>
      <c r="C580" s="34" t="s">
        <v>959</v>
      </c>
      <c r="D580" s="35" t="s">
        <v>959</v>
      </c>
      <c r="E580" s="4" t="s">
        <v>959</v>
      </c>
    </row>
    <row r="581" spans="2:5" x14ac:dyDescent="0.2">
      <c r="B581" s="30" t="s">
        <v>1275</v>
      </c>
      <c r="C581" s="34" t="s">
        <v>959</v>
      </c>
      <c r="D581" s="35" t="s">
        <v>959</v>
      </c>
      <c r="E581" s="4" t="s">
        <v>959</v>
      </c>
    </row>
    <row r="582" spans="2:5" x14ac:dyDescent="0.2">
      <c r="B582" s="30" t="s">
        <v>1276</v>
      </c>
      <c r="C582" s="34" t="s">
        <v>959</v>
      </c>
      <c r="D582" s="35" t="s">
        <v>959</v>
      </c>
      <c r="E582" s="4" t="s">
        <v>959</v>
      </c>
    </row>
    <row r="583" spans="2:5" x14ac:dyDescent="0.2">
      <c r="B583" s="30" t="s">
        <v>1277</v>
      </c>
      <c r="C583" s="34" t="s">
        <v>959</v>
      </c>
      <c r="D583" s="35" t="s">
        <v>959</v>
      </c>
      <c r="E583" s="4" t="s">
        <v>959</v>
      </c>
    </row>
    <row r="584" spans="2:5" x14ac:dyDescent="0.2">
      <c r="B584" s="30" t="s">
        <v>1278</v>
      </c>
      <c r="C584" s="34" t="s">
        <v>959</v>
      </c>
      <c r="D584" s="35" t="s">
        <v>959</v>
      </c>
      <c r="E584" s="4" t="s">
        <v>959</v>
      </c>
    </row>
    <row r="585" spans="2:5" x14ac:dyDescent="0.2">
      <c r="B585" s="29" t="s">
        <v>96</v>
      </c>
      <c r="C585" s="32" t="s">
        <v>959</v>
      </c>
      <c r="D585" s="32" t="s">
        <v>959</v>
      </c>
      <c r="E585" s="36" t="s">
        <v>959</v>
      </c>
    </row>
    <row r="586" spans="2:5" x14ac:dyDescent="0.2">
      <c r="B586" s="30" t="s">
        <v>1279</v>
      </c>
      <c r="C586" s="34" t="s">
        <v>959</v>
      </c>
      <c r="D586" s="35" t="s">
        <v>959</v>
      </c>
      <c r="E586" s="4" t="s">
        <v>959</v>
      </c>
    </row>
    <row r="587" spans="2:5" x14ac:dyDescent="0.2">
      <c r="B587" s="30" t="s">
        <v>1280</v>
      </c>
      <c r="C587" s="34" t="s">
        <v>959</v>
      </c>
      <c r="D587" s="35" t="s">
        <v>959</v>
      </c>
      <c r="E587" s="4" t="s">
        <v>959</v>
      </c>
    </row>
    <row r="588" spans="2:5" x14ac:dyDescent="0.2">
      <c r="B588" s="30" t="s">
        <v>1281</v>
      </c>
      <c r="C588" s="34" t="s">
        <v>959</v>
      </c>
      <c r="D588" s="35" t="s">
        <v>959</v>
      </c>
      <c r="E588" s="4" t="s">
        <v>959</v>
      </c>
    </row>
    <row r="589" spans="2:5" x14ac:dyDescent="0.2">
      <c r="B589" s="30" t="s">
        <v>1282</v>
      </c>
      <c r="C589" s="34" t="s">
        <v>959</v>
      </c>
      <c r="D589" s="35" t="s">
        <v>959</v>
      </c>
      <c r="E589" s="4" t="s">
        <v>959</v>
      </c>
    </row>
    <row r="590" spans="2:5" x14ac:dyDescent="0.2">
      <c r="B590" s="30" t="s">
        <v>1283</v>
      </c>
      <c r="C590" s="34" t="s">
        <v>959</v>
      </c>
      <c r="D590" s="35" t="s">
        <v>959</v>
      </c>
      <c r="E590" s="4" t="s">
        <v>959</v>
      </c>
    </row>
    <row r="591" spans="2:5" x14ac:dyDescent="0.2">
      <c r="B591" s="30" t="s">
        <v>1284</v>
      </c>
      <c r="C591" s="34" t="s">
        <v>959</v>
      </c>
      <c r="D591" s="35" t="s">
        <v>959</v>
      </c>
      <c r="E591" s="4" t="s">
        <v>959</v>
      </c>
    </row>
    <row r="592" spans="2:5" x14ac:dyDescent="0.2">
      <c r="B592" s="30" t="s">
        <v>1285</v>
      </c>
      <c r="C592" s="34" t="s">
        <v>959</v>
      </c>
      <c r="D592" s="35" t="s">
        <v>959</v>
      </c>
      <c r="E592" s="4" t="s">
        <v>959</v>
      </c>
    </row>
    <row r="593" spans="2:5" x14ac:dyDescent="0.2">
      <c r="B593" s="29" t="s">
        <v>117</v>
      </c>
      <c r="C593" s="32" t="s">
        <v>959</v>
      </c>
      <c r="D593" s="32" t="s">
        <v>959</v>
      </c>
      <c r="E593" s="36" t="s">
        <v>959</v>
      </c>
    </row>
    <row r="594" spans="2:5" x14ac:dyDescent="0.2">
      <c r="B594" s="30" t="s">
        <v>1286</v>
      </c>
      <c r="C594" s="34" t="s">
        <v>959</v>
      </c>
      <c r="D594" s="35" t="s">
        <v>959</v>
      </c>
      <c r="E594" s="4" t="s">
        <v>959</v>
      </c>
    </row>
    <row r="595" spans="2:5" x14ac:dyDescent="0.2">
      <c r="B595" s="30" t="s">
        <v>1287</v>
      </c>
      <c r="C595" s="34" t="s">
        <v>959</v>
      </c>
      <c r="D595" s="35" t="s">
        <v>959</v>
      </c>
      <c r="E595" s="4" t="s">
        <v>959</v>
      </c>
    </row>
    <row r="596" spans="2:5" x14ac:dyDescent="0.2">
      <c r="B596" s="30" t="s">
        <v>1288</v>
      </c>
      <c r="C596" s="34" t="s">
        <v>959</v>
      </c>
      <c r="D596" s="35" t="s">
        <v>959</v>
      </c>
      <c r="E596" s="4" t="s">
        <v>959</v>
      </c>
    </row>
    <row r="597" spans="2:5" x14ac:dyDescent="0.2">
      <c r="B597" s="30" t="s">
        <v>1289</v>
      </c>
      <c r="C597" s="34" t="s">
        <v>959</v>
      </c>
      <c r="D597" s="35" t="s">
        <v>959</v>
      </c>
      <c r="E597" s="4" t="s">
        <v>959</v>
      </c>
    </row>
    <row r="598" spans="2:5" x14ac:dyDescent="0.2">
      <c r="B598" s="30" t="s">
        <v>1290</v>
      </c>
      <c r="C598" s="34" t="s">
        <v>959</v>
      </c>
      <c r="D598" s="35" t="s">
        <v>959</v>
      </c>
      <c r="E598" s="4" t="s">
        <v>959</v>
      </c>
    </row>
    <row r="599" spans="2:5" x14ac:dyDescent="0.2">
      <c r="B599" s="30" t="s">
        <v>1291</v>
      </c>
      <c r="C599" s="34" t="s">
        <v>959</v>
      </c>
      <c r="D599" s="35" t="s">
        <v>959</v>
      </c>
      <c r="E599" s="4" t="s">
        <v>959</v>
      </c>
    </row>
    <row r="600" spans="2:5" x14ac:dyDescent="0.2">
      <c r="B600" s="29" t="s">
        <v>49</v>
      </c>
      <c r="C600" s="32" t="s">
        <v>959</v>
      </c>
      <c r="D600" s="32" t="s">
        <v>959</v>
      </c>
      <c r="E600" s="36" t="s">
        <v>959</v>
      </c>
    </row>
    <row r="601" spans="2:5" x14ac:dyDescent="0.2">
      <c r="B601" s="30" t="s">
        <v>1292</v>
      </c>
      <c r="C601" s="34" t="s">
        <v>959</v>
      </c>
      <c r="D601" s="35" t="s">
        <v>959</v>
      </c>
      <c r="E601" s="4" t="s">
        <v>959</v>
      </c>
    </row>
    <row r="602" spans="2:5" x14ac:dyDescent="0.2">
      <c r="B602" s="30" t="s">
        <v>1293</v>
      </c>
      <c r="C602" s="34" t="s">
        <v>959</v>
      </c>
      <c r="D602" s="35" t="s">
        <v>959</v>
      </c>
      <c r="E602" s="4" t="s">
        <v>959</v>
      </c>
    </row>
    <row r="603" spans="2:5" x14ac:dyDescent="0.2">
      <c r="B603" s="30" t="s">
        <v>1294</v>
      </c>
      <c r="C603" s="34" t="s">
        <v>959</v>
      </c>
      <c r="D603" s="35" t="s">
        <v>959</v>
      </c>
      <c r="E603" s="4" t="s">
        <v>959</v>
      </c>
    </row>
    <row r="604" spans="2:5" x14ac:dyDescent="0.2">
      <c r="B604" s="30" t="s">
        <v>1295</v>
      </c>
      <c r="C604" s="34" t="s">
        <v>959</v>
      </c>
      <c r="D604" s="35" t="s">
        <v>959</v>
      </c>
      <c r="E604" s="4" t="s">
        <v>959</v>
      </c>
    </row>
    <row r="605" spans="2:5" x14ac:dyDescent="0.2">
      <c r="B605" s="30" t="s">
        <v>1296</v>
      </c>
      <c r="C605" s="34" t="s">
        <v>959</v>
      </c>
      <c r="D605" s="35" t="s">
        <v>959</v>
      </c>
      <c r="E605" s="4" t="s">
        <v>959</v>
      </c>
    </row>
    <row r="606" spans="2:5" x14ac:dyDescent="0.2">
      <c r="B606" s="30" t="s">
        <v>1297</v>
      </c>
      <c r="C606" s="34" t="s">
        <v>959</v>
      </c>
      <c r="D606" s="35" t="s">
        <v>959</v>
      </c>
      <c r="E606" s="4" t="s">
        <v>959</v>
      </c>
    </row>
    <row r="607" spans="2:5" x14ac:dyDescent="0.2">
      <c r="B607" s="29" t="s">
        <v>70</v>
      </c>
      <c r="C607" s="32" t="s">
        <v>959</v>
      </c>
      <c r="D607" s="32" t="s">
        <v>959</v>
      </c>
      <c r="E607" s="36" t="s">
        <v>959</v>
      </c>
    </row>
    <row r="608" spans="2:5" x14ac:dyDescent="0.2">
      <c r="B608" s="30" t="s">
        <v>1298</v>
      </c>
      <c r="C608" s="34" t="s">
        <v>959</v>
      </c>
      <c r="D608" s="35" t="s">
        <v>959</v>
      </c>
      <c r="E608" s="4" t="s">
        <v>959</v>
      </c>
    </row>
    <row r="609" spans="2:5" x14ac:dyDescent="0.2">
      <c r="B609" s="30" t="s">
        <v>1299</v>
      </c>
      <c r="C609" s="34" t="s">
        <v>959</v>
      </c>
      <c r="D609" s="35" t="s">
        <v>959</v>
      </c>
      <c r="E609" s="4" t="s">
        <v>959</v>
      </c>
    </row>
    <row r="610" spans="2:5" x14ac:dyDescent="0.2">
      <c r="B610" s="30" t="s">
        <v>1300</v>
      </c>
      <c r="C610" s="34" t="s">
        <v>959</v>
      </c>
      <c r="D610" s="35" t="s">
        <v>959</v>
      </c>
      <c r="E610" s="4" t="s">
        <v>959</v>
      </c>
    </row>
    <row r="611" spans="2:5" x14ac:dyDescent="0.2">
      <c r="B611" s="30" t="s">
        <v>1301</v>
      </c>
      <c r="C611" s="34" t="s">
        <v>959</v>
      </c>
      <c r="D611" s="35" t="s">
        <v>959</v>
      </c>
      <c r="E611" s="4" t="s">
        <v>959</v>
      </c>
    </row>
    <row r="612" spans="2:5" x14ac:dyDescent="0.2">
      <c r="B612" s="30" t="s">
        <v>1302</v>
      </c>
      <c r="C612" s="34" t="s">
        <v>959</v>
      </c>
      <c r="D612" s="35" t="s">
        <v>959</v>
      </c>
      <c r="E612" s="4" t="s">
        <v>959</v>
      </c>
    </row>
    <row r="613" spans="2:5" x14ac:dyDescent="0.2">
      <c r="B613" s="30" t="s">
        <v>1303</v>
      </c>
      <c r="C613" s="34" t="s">
        <v>959</v>
      </c>
      <c r="D613" s="35" t="s">
        <v>959</v>
      </c>
      <c r="E613" s="4" t="s">
        <v>959</v>
      </c>
    </row>
    <row r="614" spans="2:5" x14ac:dyDescent="0.2">
      <c r="B614" s="29" t="s">
        <v>76</v>
      </c>
      <c r="C614" s="32">
        <v>1</v>
      </c>
      <c r="D614" s="32" t="s">
        <v>959</v>
      </c>
      <c r="E614" s="36" t="s">
        <v>959</v>
      </c>
    </row>
    <row r="615" spans="2:5" x14ac:dyDescent="0.2">
      <c r="B615" s="30" t="s">
        <v>1304</v>
      </c>
      <c r="C615" s="34" t="s">
        <v>959</v>
      </c>
      <c r="D615" s="35" t="s">
        <v>959</v>
      </c>
      <c r="E615" s="4" t="s">
        <v>959</v>
      </c>
    </row>
    <row r="616" spans="2:5" x14ac:dyDescent="0.2">
      <c r="B616" s="30" t="s">
        <v>1305</v>
      </c>
      <c r="C616" s="34" t="s">
        <v>959</v>
      </c>
      <c r="D616" s="35" t="s">
        <v>959</v>
      </c>
      <c r="E616" s="4" t="s">
        <v>959</v>
      </c>
    </row>
    <row r="617" spans="2:5" x14ac:dyDescent="0.2">
      <c r="B617" s="30" t="s">
        <v>1306</v>
      </c>
      <c r="C617" s="34" t="s">
        <v>959</v>
      </c>
      <c r="D617" s="35" t="s">
        <v>959</v>
      </c>
      <c r="E617" s="4" t="s">
        <v>959</v>
      </c>
    </row>
    <row r="618" spans="2:5" x14ac:dyDescent="0.2">
      <c r="B618" s="30" t="s">
        <v>1307</v>
      </c>
      <c r="C618" s="34" t="s">
        <v>959</v>
      </c>
      <c r="D618" s="35" t="s">
        <v>959</v>
      </c>
      <c r="E618" s="4" t="s">
        <v>959</v>
      </c>
    </row>
    <row r="619" spans="2:5" x14ac:dyDescent="0.2">
      <c r="B619" s="30" t="s">
        <v>1308</v>
      </c>
      <c r="C619" s="34" t="s">
        <v>959</v>
      </c>
      <c r="D619" s="35" t="s">
        <v>959</v>
      </c>
      <c r="E619" s="4" t="s">
        <v>959</v>
      </c>
    </row>
    <row r="620" spans="2:5" x14ac:dyDescent="0.2">
      <c r="B620" s="30" t="s">
        <v>1309</v>
      </c>
      <c r="C620" s="34">
        <v>1</v>
      </c>
      <c r="D620" s="35" t="s">
        <v>959</v>
      </c>
      <c r="E620" s="4" t="s">
        <v>959</v>
      </c>
    </row>
    <row r="621" spans="2:5" x14ac:dyDescent="0.2">
      <c r="B621" s="29" t="s">
        <v>102</v>
      </c>
      <c r="C621" s="32" t="s">
        <v>959</v>
      </c>
      <c r="D621" s="32" t="s">
        <v>959</v>
      </c>
      <c r="E621" s="36" t="s">
        <v>959</v>
      </c>
    </row>
    <row r="622" spans="2:5" x14ac:dyDescent="0.2">
      <c r="B622" s="30" t="s">
        <v>1310</v>
      </c>
      <c r="C622" s="34" t="s">
        <v>959</v>
      </c>
      <c r="D622" s="35" t="s">
        <v>959</v>
      </c>
      <c r="E622" s="4" t="s">
        <v>959</v>
      </c>
    </row>
    <row r="623" spans="2:5" x14ac:dyDescent="0.2">
      <c r="B623" s="30" t="s">
        <v>1311</v>
      </c>
      <c r="C623" s="34" t="s">
        <v>959</v>
      </c>
      <c r="D623" s="35" t="s">
        <v>959</v>
      </c>
      <c r="E623" s="4" t="s">
        <v>959</v>
      </c>
    </row>
    <row r="624" spans="2:5" x14ac:dyDescent="0.2">
      <c r="B624" s="30" t="s">
        <v>1312</v>
      </c>
      <c r="C624" s="34" t="s">
        <v>959</v>
      </c>
      <c r="D624" s="35" t="s">
        <v>959</v>
      </c>
      <c r="E624" s="4" t="s">
        <v>959</v>
      </c>
    </row>
    <row r="625" spans="2:5" x14ac:dyDescent="0.2">
      <c r="B625" s="30" t="s">
        <v>1313</v>
      </c>
      <c r="C625" s="34" t="s">
        <v>959</v>
      </c>
      <c r="D625" s="35" t="s">
        <v>959</v>
      </c>
      <c r="E625" s="4" t="s">
        <v>959</v>
      </c>
    </row>
    <row r="626" spans="2:5" x14ac:dyDescent="0.2">
      <c r="B626" s="30" t="s">
        <v>1314</v>
      </c>
      <c r="C626" s="34" t="s">
        <v>959</v>
      </c>
      <c r="D626" s="35" t="s">
        <v>959</v>
      </c>
      <c r="E626" s="4" t="s">
        <v>959</v>
      </c>
    </row>
    <row r="627" spans="2:5" x14ac:dyDescent="0.2">
      <c r="B627" s="29" t="s">
        <v>33</v>
      </c>
      <c r="C627" s="32" t="s">
        <v>959</v>
      </c>
      <c r="D627" s="32" t="s">
        <v>959</v>
      </c>
      <c r="E627" s="36" t="s">
        <v>959</v>
      </c>
    </row>
    <row r="628" spans="2:5" x14ac:dyDescent="0.2">
      <c r="B628" s="30" t="s">
        <v>1315</v>
      </c>
      <c r="C628" s="34" t="s">
        <v>959</v>
      </c>
      <c r="D628" s="35" t="s">
        <v>959</v>
      </c>
      <c r="E628" s="4" t="s">
        <v>959</v>
      </c>
    </row>
    <row r="629" spans="2:5" x14ac:dyDescent="0.2">
      <c r="B629" s="30" t="s">
        <v>1316</v>
      </c>
      <c r="C629" s="34" t="s">
        <v>959</v>
      </c>
      <c r="D629" s="35" t="s">
        <v>959</v>
      </c>
      <c r="E629" s="4" t="s">
        <v>959</v>
      </c>
    </row>
    <row r="630" spans="2:5" x14ac:dyDescent="0.2">
      <c r="B630" s="30" t="s">
        <v>1317</v>
      </c>
      <c r="C630" s="34" t="s">
        <v>959</v>
      </c>
      <c r="D630" s="35" t="s">
        <v>959</v>
      </c>
      <c r="E630" s="4" t="s">
        <v>959</v>
      </c>
    </row>
    <row r="631" spans="2:5" x14ac:dyDescent="0.2">
      <c r="B631" s="30" t="s">
        <v>1318</v>
      </c>
      <c r="C631" s="34" t="s">
        <v>959</v>
      </c>
      <c r="D631" s="35" t="s">
        <v>959</v>
      </c>
      <c r="E631" s="4" t="s">
        <v>959</v>
      </c>
    </row>
    <row r="632" spans="2:5" x14ac:dyDescent="0.2">
      <c r="B632" s="29" t="s">
        <v>67</v>
      </c>
      <c r="C632" s="32" t="s">
        <v>959</v>
      </c>
      <c r="D632" s="32" t="s">
        <v>959</v>
      </c>
      <c r="E632" s="36" t="s">
        <v>959</v>
      </c>
    </row>
    <row r="633" spans="2:5" x14ac:dyDescent="0.2">
      <c r="B633" s="30" t="s">
        <v>1319</v>
      </c>
      <c r="C633" s="34" t="s">
        <v>959</v>
      </c>
      <c r="D633" s="35" t="s">
        <v>959</v>
      </c>
      <c r="E633" s="4" t="s">
        <v>959</v>
      </c>
    </row>
    <row r="634" spans="2:5" x14ac:dyDescent="0.2">
      <c r="B634" s="30" t="s">
        <v>1320</v>
      </c>
      <c r="C634" s="34" t="s">
        <v>959</v>
      </c>
      <c r="D634" s="35" t="s">
        <v>959</v>
      </c>
      <c r="E634" s="4" t="s">
        <v>959</v>
      </c>
    </row>
    <row r="635" spans="2:5" x14ac:dyDescent="0.2">
      <c r="B635" s="30" t="s">
        <v>1321</v>
      </c>
      <c r="C635" s="34" t="s">
        <v>959</v>
      </c>
      <c r="D635" s="35" t="s">
        <v>959</v>
      </c>
      <c r="E635" s="4" t="s">
        <v>959</v>
      </c>
    </row>
    <row r="636" spans="2:5" x14ac:dyDescent="0.2">
      <c r="B636" s="30" t="s">
        <v>1322</v>
      </c>
      <c r="C636" s="34" t="s">
        <v>959</v>
      </c>
      <c r="D636" s="35" t="s">
        <v>959</v>
      </c>
      <c r="E636" s="4" t="s">
        <v>959</v>
      </c>
    </row>
    <row r="637" spans="2:5" x14ac:dyDescent="0.2">
      <c r="B637" s="30" t="s">
        <v>1323</v>
      </c>
      <c r="C637" s="34" t="s">
        <v>959</v>
      </c>
      <c r="D637" s="35" t="s">
        <v>959</v>
      </c>
      <c r="E637" s="4" t="s">
        <v>959</v>
      </c>
    </row>
    <row r="638" spans="2:5" x14ac:dyDescent="0.2">
      <c r="B638" s="30" t="s">
        <v>1324</v>
      </c>
      <c r="C638" s="34" t="s">
        <v>959</v>
      </c>
      <c r="D638" s="35" t="s">
        <v>959</v>
      </c>
      <c r="E638" s="4" t="s">
        <v>959</v>
      </c>
    </row>
    <row r="639" spans="2:5" x14ac:dyDescent="0.2">
      <c r="B639" s="30" t="s">
        <v>1325</v>
      </c>
      <c r="C639" s="34" t="s">
        <v>959</v>
      </c>
      <c r="D639" s="35" t="s">
        <v>959</v>
      </c>
      <c r="E639" s="4" t="s">
        <v>959</v>
      </c>
    </row>
    <row r="640" spans="2:5" x14ac:dyDescent="0.2">
      <c r="B640" s="29" t="s">
        <v>135</v>
      </c>
      <c r="C640" s="32" t="s">
        <v>959</v>
      </c>
      <c r="D640" s="32" t="s">
        <v>959</v>
      </c>
      <c r="E640" s="36" t="s">
        <v>959</v>
      </c>
    </row>
    <row r="641" spans="2:5" x14ac:dyDescent="0.2">
      <c r="B641" s="30" t="s">
        <v>1326</v>
      </c>
      <c r="C641" s="34" t="s">
        <v>959</v>
      </c>
      <c r="D641" s="35" t="s">
        <v>959</v>
      </c>
      <c r="E641" s="4" t="s">
        <v>959</v>
      </c>
    </row>
    <row r="642" spans="2:5" x14ac:dyDescent="0.2">
      <c r="B642" s="30" t="s">
        <v>1327</v>
      </c>
      <c r="C642" s="34" t="s">
        <v>959</v>
      </c>
      <c r="D642" s="35" t="s">
        <v>959</v>
      </c>
      <c r="E642" s="4" t="s">
        <v>959</v>
      </c>
    </row>
    <row r="643" spans="2:5" x14ac:dyDescent="0.2">
      <c r="B643" s="30" t="s">
        <v>1328</v>
      </c>
      <c r="C643" s="34" t="s">
        <v>959</v>
      </c>
      <c r="D643" s="35" t="s">
        <v>959</v>
      </c>
      <c r="E643" s="4" t="s">
        <v>959</v>
      </c>
    </row>
    <row r="644" spans="2:5" x14ac:dyDescent="0.2">
      <c r="B644" s="30" t="s">
        <v>1329</v>
      </c>
      <c r="C644" s="34" t="s">
        <v>959</v>
      </c>
      <c r="D644" s="35" t="s">
        <v>959</v>
      </c>
      <c r="E644" s="4" t="s">
        <v>959</v>
      </c>
    </row>
    <row r="645" spans="2:5" x14ac:dyDescent="0.2">
      <c r="B645" s="30" t="s">
        <v>1330</v>
      </c>
      <c r="C645" s="34" t="s">
        <v>959</v>
      </c>
      <c r="D645" s="35" t="s">
        <v>959</v>
      </c>
      <c r="E645" s="4" t="s">
        <v>959</v>
      </c>
    </row>
    <row r="646" spans="2:5" x14ac:dyDescent="0.2">
      <c r="B646" s="30" t="s">
        <v>1331</v>
      </c>
      <c r="C646" s="34" t="s">
        <v>959</v>
      </c>
      <c r="D646" s="35" t="s">
        <v>959</v>
      </c>
      <c r="E646" s="4" t="s">
        <v>959</v>
      </c>
    </row>
    <row r="647" spans="2:5" x14ac:dyDescent="0.2">
      <c r="B647" s="29" t="s">
        <v>120</v>
      </c>
      <c r="C647" s="32" t="s">
        <v>959</v>
      </c>
      <c r="D647" s="32" t="s">
        <v>959</v>
      </c>
      <c r="E647" s="36" t="s">
        <v>959</v>
      </c>
    </row>
    <row r="648" spans="2:5" x14ac:dyDescent="0.2">
      <c r="B648" s="30" t="s">
        <v>1332</v>
      </c>
      <c r="C648" s="34" t="s">
        <v>959</v>
      </c>
      <c r="D648" s="35" t="s">
        <v>959</v>
      </c>
      <c r="E648" s="4" t="s">
        <v>959</v>
      </c>
    </row>
    <row r="649" spans="2:5" x14ac:dyDescent="0.2">
      <c r="B649" s="30" t="s">
        <v>1333</v>
      </c>
      <c r="C649" s="34" t="s">
        <v>959</v>
      </c>
      <c r="D649" s="35" t="s">
        <v>959</v>
      </c>
      <c r="E649" s="4" t="s">
        <v>959</v>
      </c>
    </row>
    <row r="650" spans="2:5" x14ac:dyDescent="0.2">
      <c r="B650" s="30" t="s">
        <v>1334</v>
      </c>
      <c r="C650" s="34" t="s">
        <v>959</v>
      </c>
      <c r="D650" s="35" t="s">
        <v>959</v>
      </c>
      <c r="E650" s="4" t="s">
        <v>959</v>
      </c>
    </row>
    <row r="651" spans="2:5" x14ac:dyDescent="0.2">
      <c r="B651" s="30" t="s">
        <v>1335</v>
      </c>
      <c r="C651" s="34" t="s">
        <v>959</v>
      </c>
      <c r="D651" s="35" t="s">
        <v>959</v>
      </c>
      <c r="E651" s="4" t="s">
        <v>959</v>
      </c>
    </row>
    <row r="652" spans="2:5" x14ac:dyDescent="0.2">
      <c r="B652" s="30" t="s">
        <v>1336</v>
      </c>
      <c r="C652" s="34" t="s">
        <v>959</v>
      </c>
      <c r="D652" s="35" t="s">
        <v>959</v>
      </c>
      <c r="E652" s="4" t="s">
        <v>959</v>
      </c>
    </row>
    <row r="653" spans="2:5" x14ac:dyDescent="0.2">
      <c r="B653" s="30" t="s">
        <v>1337</v>
      </c>
      <c r="C653" s="34" t="s">
        <v>959</v>
      </c>
      <c r="D653" s="35" t="s">
        <v>959</v>
      </c>
      <c r="E653" s="4" t="s">
        <v>959</v>
      </c>
    </row>
    <row r="654" spans="2:5" x14ac:dyDescent="0.2">
      <c r="B654" s="29" t="s">
        <v>99</v>
      </c>
      <c r="C654" s="32" t="s">
        <v>959</v>
      </c>
      <c r="D654" s="32" t="s">
        <v>959</v>
      </c>
      <c r="E654" s="36" t="s">
        <v>959</v>
      </c>
    </row>
    <row r="655" spans="2:5" x14ac:dyDescent="0.2">
      <c r="B655" s="30" t="s">
        <v>1338</v>
      </c>
      <c r="C655" s="34" t="s">
        <v>959</v>
      </c>
      <c r="D655" s="35" t="s">
        <v>959</v>
      </c>
      <c r="E655" s="4" t="s">
        <v>959</v>
      </c>
    </row>
    <row r="656" spans="2:5" x14ac:dyDescent="0.2">
      <c r="B656" s="30" t="s">
        <v>1339</v>
      </c>
      <c r="C656" s="34" t="s">
        <v>959</v>
      </c>
      <c r="D656" s="35" t="s">
        <v>959</v>
      </c>
      <c r="E656" s="4" t="s">
        <v>959</v>
      </c>
    </row>
    <row r="657" spans="2:5" x14ac:dyDescent="0.2">
      <c r="B657" s="30" t="s">
        <v>1340</v>
      </c>
      <c r="C657" s="34" t="s">
        <v>959</v>
      </c>
      <c r="D657" s="35" t="s">
        <v>959</v>
      </c>
      <c r="E657" s="4" t="s">
        <v>959</v>
      </c>
    </row>
    <row r="658" spans="2:5" x14ac:dyDescent="0.2">
      <c r="B658" s="30" t="s">
        <v>1341</v>
      </c>
      <c r="C658" s="34" t="s">
        <v>959</v>
      </c>
      <c r="D658" s="35" t="s">
        <v>959</v>
      </c>
      <c r="E658" s="4" t="s">
        <v>959</v>
      </c>
    </row>
    <row r="659" spans="2:5" x14ac:dyDescent="0.2">
      <c r="B659" s="30" t="s">
        <v>1342</v>
      </c>
      <c r="C659" s="34" t="s">
        <v>959</v>
      </c>
      <c r="D659" s="35" t="s">
        <v>959</v>
      </c>
      <c r="E659" s="4" t="s">
        <v>959</v>
      </c>
    </row>
    <row r="660" spans="2:5" x14ac:dyDescent="0.2">
      <c r="B660" s="30" t="s">
        <v>1343</v>
      </c>
      <c r="C660" s="34" t="s">
        <v>959</v>
      </c>
      <c r="D660" s="35" t="s">
        <v>959</v>
      </c>
      <c r="E660" s="4" t="s">
        <v>959</v>
      </c>
    </row>
    <row r="661" spans="2:5" x14ac:dyDescent="0.2">
      <c r="B661" s="30" t="s">
        <v>1344</v>
      </c>
      <c r="C661" s="34" t="s">
        <v>959</v>
      </c>
      <c r="D661" s="35" t="s">
        <v>959</v>
      </c>
      <c r="E661" s="4" t="s">
        <v>959</v>
      </c>
    </row>
    <row r="662" spans="2:5" x14ac:dyDescent="0.2">
      <c r="B662" s="29" t="s">
        <v>89</v>
      </c>
      <c r="C662" s="32" t="s">
        <v>959</v>
      </c>
      <c r="D662" s="32" t="s">
        <v>959</v>
      </c>
      <c r="E662" s="36" t="s">
        <v>959</v>
      </c>
    </row>
    <row r="663" spans="2:5" x14ac:dyDescent="0.2">
      <c r="B663" s="30" t="s">
        <v>1345</v>
      </c>
      <c r="C663" s="34" t="s">
        <v>959</v>
      </c>
      <c r="D663" s="35" t="s">
        <v>959</v>
      </c>
      <c r="E663" s="4" t="s">
        <v>959</v>
      </c>
    </row>
    <row r="664" spans="2:5" x14ac:dyDescent="0.2">
      <c r="B664" s="30" t="s">
        <v>1346</v>
      </c>
      <c r="C664" s="34" t="s">
        <v>959</v>
      </c>
      <c r="D664" s="35" t="s">
        <v>959</v>
      </c>
      <c r="E664" s="4" t="s">
        <v>959</v>
      </c>
    </row>
    <row r="665" spans="2:5" x14ac:dyDescent="0.2">
      <c r="B665" s="30" t="s">
        <v>1347</v>
      </c>
      <c r="C665" s="34" t="s">
        <v>959</v>
      </c>
      <c r="D665" s="35" t="s">
        <v>959</v>
      </c>
      <c r="E665" s="4" t="s">
        <v>959</v>
      </c>
    </row>
    <row r="666" spans="2:5" x14ac:dyDescent="0.2">
      <c r="B666" s="30" t="s">
        <v>1348</v>
      </c>
      <c r="C666" s="34" t="s">
        <v>959</v>
      </c>
      <c r="D666" s="35" t="s">
        <v>959</v>
      </c>
      <c r="E666" s="4" t="s">
        <v>959</v>
      </c>
    </row>
    <row r="667" spans="2:5" x14ac:dyDescent="0.2">
      <c r="B667" s="30" t="s">
        <v>1349</v>
      </c>
      <c r="C667" s="34" t="s">
        <v>959</v>
      </c>
      <c r="D667" s="35" t="s">
        <v>959</v>
      </c>
      <c r="E667" s="4" t="s">
        <v>959</v>
      </c>
    </row>
    <row r="668" spans="2:5" x14ac:dyDescent="0.2">
      <c r="B668" s="29" t="s">
        <v>94</v>
      </c>
      <c r="C668" s="32" t="s">
        <v>959</v>
      </c>
      <c r="D668" s="32" t="s">
        <v>959</v>
      </c>
      <c r="E668" s="36" t="s">
        <v>959</v>
      </c>
    </row>
    <row r="669" spans="2:5" x14ac:dyDescent="0.2">
      <c r="B669" s="30" t="s">
        <v>1350</v>
      </c>
      <c r="C669" s="34" t="s">
        <v>959</v>
      </c>
      <c r="D669" s="35" t="s">
        <v>959</v>
      </c>
      <c r="E669" s="4" t="s">
        <v>959</v>
      </c>
    </row>
    <row r="670" spans="2:5" x14ac:dyDescent="0.2">
      <c r="B670" s="30" t="s">
        <v>1351</v>
      </c>
      <c r="C670" s="34" t="s">
        <v>959</v>
      </c>
      <c r="D670" s="35" t="s">
        <v>959</v>
      </c>
      <c r="E670" s="4" t="s">
        <v>959</v>
      </c>
    </row>
    <row r="671" spans="2:5" x14ac:dyDescent="0.2">
      <c r="B671" s="30" t="s">
        <v>1352</v>
      </c>
      <c r="C671" s="34" t="s">
        <v>959</v>
      </c>
      <c r="D671" s="35" t="s">
        <v>959</v>
      </c>
      <c r="E671" s="4" t="s">
        <v>959</v>
      </c>
    </row>
    <row r="672" spans="2:5" x14ac:dyDescent="0.2">
      <c r="B672" s="30" t="s">
        <v>1353</v>
      </c>
      <c r="C672" s="34" t="s">
        <v>959</v>
      </c>
      <c r="D672" s="35" t="s">
        <v>959</v>
      </c>
      <c r="E672" s="4" t="s">
        <v>959</v>
      </c>
    </row>
    <row r="673" spans="2:5" x14ac:dyDescent="0.2">
      <c r="B673" s="30" t="s">
        <v>1354</v>
      </c>
      <c r="C673" s="34" t="s">
        <v>959</v>
      </c>
      <c r="D673" s="35" t="s">
        <v>959</v>
      </c>
      <c r="E673" s="4" t="s">
        <v>959</v>
      </c>
    </row>
    <row r="674" spans="2:5" x14ac:dyDescent="0.2">
      <c r="B674" s="30" t="s">
        <v>1355</v>
      </c>
      <c r="C674" s="34" t="s">
        <v>959</v>
      </c>
      <c r="D674" s="35" t="s">
        <v>959</v>
      </c>
      <c r="E674" s="4" t="s">
        <v>959</v>
      </c>
    </row>
    <row r="675" spans="2:5" x14ac:dyDescent="0.2">
      <c r="B675" s="30" t="s">
        <v>1356</v>
      </c>
      <c r="C675" s="34" t="s">
        <v>959</v>
      </c>
      <c r="D675" s="35" t="s">
        <v>959</v>
      </c>
      <c r="E675" s="4" t="s">
        <v>959</v>
      </c>
    </row>
    <row r="676" spans="2:5" x14ac:dyDescent="0.2">
      <c r="B676" s="30" t="s">
        <v>1357</v>
      </c>
      <c r="C676" s="34" t="s">
        <v>959</v>
      </c>
      <c r="D676" s="35" t="s">
        <v>959</v>
      </c>
      <c r="E676" s="4" t="s">
        <v>959</v>
      </c>
    </row>
    <row r="677" spans="2:5" x14ac:dyDescent="0.2">
      <c r="B677" s="30" t="s">
        <v>1358</v>
      </c>
      <c r="C677" s="34" t="s">
        <v>959</v>
      </c>
      <c r="D677" s="35" t="s">
        <v>959</v>
      </c>
      <c r="E677" s="4" t="s">
        <v>959</v>
      </c>
    </row>
    <row r="678" spans="2:5" x14ac:dyDescent="0.2">
      <c r="B678" s="29" t="s">
        <v>34</v>
      </c>
      <c r="C678" s="32" t="s">
        <v>959</v>
      </c>
      <c r="D678" s="32" t="s">
        <v>959</v>
      </c>
      <c r="E678" s="36" t="s">
        <v>959</v>
      </c>
    </row>
    <row r="679" spans="2:5" x14ac:dyDescent="0.2">
      <c r="B679" s="30" t="s">
        <v>1244</v>
      </c>
      <c r="C679" s="34" t="s">
        <v>959</v>
      </c>
      <c r="D679" s="35" t="s">
        <v>959</v>
      </c>
      <c r="E679" s="4" t="s">
        <v>959</v>
      </c>
    </row>
    <row r="680" spans="2:5" x14ac:dyDescent="0.2">
      <c r="B680" s="30" t="s">
        <v>1359</v>
      </c>
      <c r="C680" s="34" t="s">
        <v>959</v>
      </c>
      <c r="D680" s="35" t="s">
        <v>959</v>
      </c>
      <c r="E680" s="4" t="s">
        <v>959</v>
      </c>
    </row>
    <row r="681" spans="2:5" x14ac:dyDescent="0.2">
      <c r="B681" s="30" t="s">
        <v>1360</v>
      </c>
      <c r="C681" s="34" t="s">
        <v>959</v>
      </c>
      <c r="D681" s="35" t="s">
        <v>959</v>
      </c>
      <c r="E681" s="4" t="s">
        <v>959</v>
      </c>
    </row>
    <row r="682" spans="2:5" x14ac:dyDescent="0.2">
      <c r="B682" s="30" t="s">
        <v>1022</v>
      </c>
      <c r="C682" s="34" t="s">
        <v>959</v>
      </c>
      <c r="D682" s="35" t="s">
        <v>959</v>
      </c>
      <c r="E682" s="4" t="s">
        <v>959</v>
      </c>
    </row>
    <row r="683" spans="2:5" x14ac:dyDescent="0.2">
      <c r="B683" s="29" t="s">
        <v>5</v>
      </c>
      <c r="C683" s="32" t="s">
        <v>959</v>
      </c>
      <c r="D683" s="32" t="s">
        <v>959</v>
      </c>
      <c r="E683" s="36" t="s">
        <v>959</v>
      </c>
    </row>
    <row r="684" spans="2:5" x14ac:dyDescent="0.2">
      <c r="B684" s="30" t="s">
        <v>1361</v>
      </c>
      <c r="C684" s="34" t="s">
        <v>959</v>
      </c>
      <c r="D684" s="35" t="s">
        <v>959</v>
      </c>
      <c r="E684" s="4" t="s">
        <v>959</v>
      </c>
    </row>
    <row r="685" spans="2:5" x14ac:dyDescent="0.2">
      <c r="B685" s="30" t="s">
        <v>1362</v>
      </c>
      <c r="C685" s="34" t="s">
        <v>959</v>
      </c>
      <c r="D685" s="35" t="s">
        <v>959</v>
      </c>
      <c r="E685" s="4" t="s">
        <v>959</v>
      </c>
    </row>
    <row r="686" spans="2:5" x14ac:dyDescent="0.2">
      <c r="B686" s="30" t="s">
        <v>1363</v>
      </c>
      <c r="C686" s="34" t="s">
        <v>959</v>
      </c>
      <c r="D686" s="35" t="s">
        <v>959</v>
      </c>
      <c r="E686" s="4" t="s">
        <v>959</v>
      </c>
    </row>
    <row r="687" spans="2:5" x14ac:dyDescent="0.2">
      <c r="B687" s="30" t="s">
        <v>1364</v>
      </c>
      <c r="C687" s="34" t="s">
        <v>959</v>
      </c>
      <c r="D687" s="35" t="s">
        <v>959</v>
      </c>
      <c r="E687" s="4" t="s">
        <v>959</v>
      </c>
    </row>
    <row r="688" spans="2:5" x14ac:dyDescent="0.2">
      <c r="B688" s="30" t="s">
        <v>1365</v>
      </c>
      <c r="C688" s="34" t="s">
        <v>959</v>
      </c>
      <c r="D688" s="35" t="s">
        <v>959</v>
      </c>
      <c r="E688" s="4" t="s">
        <v>959</v>
      </c>
    </row>
    <row r="689" spans="2:5" x14ac:dyDescent="0.2">
      <c r="B689" s="30" t="s">
        <v>1366</v>
      </c>
      <c r="C689" s="34" t="s">
        <v>959</v>
      </c>
      <c r="D689" s="35" t="s">
        <v>959</v>
      </c>
      <c r="E689" s="4" t="s">
        <v>959</v>
      </c>
    </row>
    <row r="690" spans="2:5" x14ac:dyDescent="0.2">
      <c r="B690" s="30" t="s">
        <v>1367</v>
      </c>
      <c r="C690" s="34" t="s">
        <v>959</v>
      </c>
      <c r="D690" s="35" t="s">
        <v>959</v>
      </c>
      <c r="E690" s="4" t="s">
        <v>959</v>
      </c>
    </row>
    <row r="691" spans="2:5" x14ac:dyDescent="0.2">
      <c r="B691" s="29" t="s">
        <v>109</v>
      </c>
      <c r="C691" s="32" t="s">
        <v>959</v>
      </c>
      <c r="D691" s="32" t="s">
        <v>959</v>
      </c>
      <c r="E691" s="36" t="s">
        <v>959</v>
      </c>
    </row>
    <row r="692" spans="2:5" x14ac:dyDescent="0.2">
      <c r="B692" s="30" t="s">
        <v>1368</v>
      </c>
      <c r="C692" s="34" t="s">
        <v>959</v>
      </c>
      <c r="D692" s="35" t="s">
        <v>959</v>
      </c>
      <c r="E692" s="4" t="s">
        <v>959</v>
      </c>
    </row>
    <row r="693" spans="2:5" x14ac:dyDescent="0.2">
      <c r="B693" s="30" t="s">
        <v>1369</v>
      </c>
      <c r="C693" s="34" t="s">
        <v>959</v>
      </c>
      <c r="D693" s="35" t="s">
        <v>959</v>
      </c>
      <c r="E693" s="4" t="s">
        <v>959</v>
      </c>
    </row>
    <row r="694" spans="2:5" x14ac:dyDescent="0.2">
      <c r="B694" s="30" t="s">
        <v>1370</v>
      </c>
      <c r="C694" s="34" t="s">
        <v>959</v>
      </c>
      <c r="D694" s="35" t="s">
        <v>959</v>
      </c>
      <c r="E694" s="4" t="s">
        <v>959</v>
      </c>
    </row>
    <row r="695" spans="2:5" x14ac:dyDescent="0.2">
      <c r="B695" s="30" t="s">
        <v>1371</v>
      </c>
      <c r="C695" s="34" t="s">
        <v>959</v>
      </c>
      <c r="D695" s="35" t="s">
        <v>959</v>
      </c>
      <c r="E695" s="4" t="s">
        <v>959</v>
      </c>
    </row>
    <row r="696" spans="2:5" x14ac:dyDescent="0.2">
      <c r="B696" s="30" t="s">
        <v>1372</v>
      </c>
      <c r="C696" s="34" t="s">
        <v>959</v>
      </c>
      <c r="D696" s="35" t="s">
        <v>959</v>
      </c>
      <c r="E696" s="4" t="s">
        <v>959</v>
      </c>
    </row>
    <row r="697" spans="2:5" x14ac:dyDescent="0.2">
      <c r="B697" s="29" t="s">
        <v>121</v>
      </c>
      <c r="C697" s="32" t="s">
        <v>959</v>
      </c>
      <c r="D697" s="32" t="s">
        <v>959</v>
      </c>
      <c r="E697" s="36" t="s">
        <v>959</v>
      </c>
    </row>
    <row r="698" spans="2:5" x14ac:dyDescent="0.2">
      <c r="B698" s="30" t="s">
        <v>1373</v>
      </c>
      <c r="C698" s="34" t="s">
        <v>959</v>
      </c>
      <c r="D698" s="35" t="s">
        <v>959</v>
      </c>
      <c r="E698" s="4" t="s">
        <v>959</v>
      </c>
    </row>
    <row r="699" spans="2:5" x14ac:dyDescent="0.2">
      <c r="B699" s="30" t="s">
        <v>1374</v>
      </c>
      <c r="C699" s="34" t="s">
        <v>959</v>
      </c>
      <c r="D699" s="35" t="s">
        <v>959</v>
      </c>
      <c r="E699" s="4" t="s">
        <v>959</v>
      </c>
    </row>
    <row r="700" spans="2:5" x14ac:dyDescent="0.2">
      <c r="B700" s="30" t="s">
        <v>1375</v>
      </c>
      <c r="C700" s="34" t="s">
        <v>959</v>
      </c>
      <c r="D700" s="35" t="s">
        <v>959</v>
      </c>
      <c r="E700" s="4" t="s">
        <v>959</v>
      </c>
    </row>
    <row r="701" spans="2:5" x14ac:dyDescent="0.2">
      <c r="B701" s="30" t="s">
        <v>1376</v>
      </c>
      <c r="C701" s="34" t="s">
        <v>959</v>
      </c>
      <c r="D701" s="35" t="s">
        <v>959</v>
      </c>
      <c r="E701" s="4" t="s">
        <v>959</v>
      </c>
    </row>
    <row r="702" spans="2:5" x14ac:dyDescent="0.2">
      <c r="B702" s="30" t="s">
        <v>1377</v>
      </c>
      <c r="C702" s="34" t="s">
        <v>959</v>
      </c>
      <c r="D702" s="35" t="s">
        <v>959</v>
      </c>
      <c r="E702" s="4" t="s">
        <v>959</v>
      </c>
    </row>
    <row r="703" spans="2:5" x14ac:dyDescent="0.2">
      <c r="B703" s="29" t="s">
        <v>9</v>
      </c>
      <c r="C703" s="32" t="s">
        <v>959</v>
      </c>
      <c r="D703" s="32" t="s">
        <v>959</v>
      </c>
      <c r="E703" s="36" t="s">
        <v>959</v>
      </c>
    </row>
    <row r="704" spans="2:5" x14ac:dyDescent="0.2">
      <c r="B704" s="30" t="s">
        <v>1378</v>
      </c>
      <c r="C704" s="34" t="s">
        <v>959</v>
      </c>
      <c r="D704" s="35" t="s">
        <v>959</v>
      </c>
      <c r="E704" s="4" t="s">
        <v>959</v>
      </c>
    </row>
    <row r="705" spans="2:5" x14ac:dyDescent="0.2">
      <c r="B705" s="30" t="s">
        <v>1379</v>
      </c>
      <c r="C705" s="34" t="s">
        <v>959</v>
      </c>
      <c r="D705" s="35" t="s">
        <v>959</v>
      </c>
      <c r="E705" s="4" t="s">
        <v>959</v>
      </c>
    </row>
    <row r="706" spans="2:5" x14ac:dyDescent="0.2">
      <c r="B706" s="30" t="s">
        <v>1380</v>
      </c>
      <c r="C706" s="34" t="s">
        <v>959</v>
      </c>
      <c r="D706" s="35" t="s">
        <v>959</v>
      </c>
      <c r="E706" s="4" t="s">
        <v>959</v>
      </c>
    </row>
    <row r="707" spans="2:5" x14ac:dyDescent="0.2">
      <c r="B707" s="30" t="s">
        <v>1381</v>
      </c>
      <c r="C707" s="34" t="s">
        <v>959</v>
      </c>
      <c r="D707" s="35" t="s">
        <v>959</v>
      </c>
      <c r="E707" s="4" t="s">
        <v>959</v>
      </c>
    </row>
    <row r="708" spans="2:5" x14ac:dyDescent="0.2">
      <c r="B708" s="30" t="s">
        <v>1382</v>
      </c>
      <c r="C708" s="34" t="s">
        <v>959</v>
      </c>
      <c r="D708" s="35" t="s">
        <v>959</v>
      </c>
      <c r="E708" s="4" t="s">
        <v>959</v>
      </c>
    </row>
    <row r="709" spans="2:5" x14ac:dyDescent="0.2">
      <c r="B709" s="30" t="s">
        <v>1383</v>
      </c>
      <c r="C709" s="34" t="s">
        <v>959</v>
      </c>
      <c r="D709" s="35" t="s">
        <v>959</v>
      </c>
      <c r="E709" s="4" t="s">
        <v>959</v>
      </c>
    </row>
    <row r="710" spans="2:5" x14ac:dyDescent="0.2">
      <c r="B710" s="30" t="s">
        <v>1384</v>
      </c>
      <c r="C710" s="34" t="s">
        <v>959</v>
      </c>
      <c r="D710" s="35" t="s">
        <v>959</v>
      </c>
      <c r="E710" s="4" t="s">
        <v>959</v>
      </c>
    </row>
    <row r="711" spans="2:5" x14ac:dyDescent="0.2">
      <c r="B711" s="30" t="s">
        <v>1385</v>
      </c>
      <c r="C711" s="34" t="s">
        <v>959</v>
      </c>
      <c r="D711" s="35" t="s">
        <v>959</v>
      </c>
      <c r="E711" s="4" t="s">
        <v>959</v>
      </c>
    </row>
    <row r="712" spans="2:5" x14ac:dyDescent="0.2">
      <c r="B712" s="29" t="s">
        <v>78</v>
      </c>
      <c r="C712" s="32" t="s">
        <v>959</v>
      </c>
      <c r="D712" s="32" t="s">
        <v>959</v>
      </c>
      <c r="E712" s="36" t="s">
        <v>959</v>
      </c>
    </row>
    <row r="713" spans="2:5" x14ac:dyDescent="0.2">
      <c r="B713" s="30" t="s">
        <v>1386</v>
      </c>
      <c r="C713" s="34" t="s">
        <v>959</v>
      </c>
      <c r="D713" s="35" t="s">
        <v>959</v>
      </c>
      <c r="E713" s="4" t="s">
        <v>959</v>
      </c>
    </row>
    <row r="714" spans="2:5" x14ac:dyDescent="0.2">
      <c r="B714" s="30" t="s">
        <v>1387</v>
      </c>
      <c r="C714" s="34" t="s">
        <v>959</v>
      </c>
      <c r="D714" s="35" t="s">
        <v>959</v>
      </c>
      <c r="E714" s="4" t="s">
        <v>959</v>
      </c>
    </row>
    <row r="715" spans="2:5" x14ac:dyDescent="0.2">
      <c r="B715" s="30" t="s">
        <v>1388</v>
      </c>
      <c r="C715" s="34" t="s">
        <v>959</v>
      </c>
      <c r="D715" s="35" t="s">
        <v>959</v>
      </c>
      <c r="E715" s="4" t="s">
        <v>959</v>
      </c>
    </row>
    <row r="716" spans="2:5" x14ac:dyDescent="0.2">
      <c r="B716" s="30" t="s">
        <v>1389</v>
      </c>
      <c r="C716" s="34" t="s">
        <v>959</v>
      </c>
      <c r="D716" s="35" t="s">
        <v>959</v>
      </c>
      <c r="E716" s="4" t="s">
        <v>959</v>
      </c>
    </row>
    <row r="717" spans="2:5" x14ac:dyDescent="0.2">
      <c r="B717" s="30" t="s">
        <v>1390</v>
      </c>
      <c r="C717" s="34" t="s">
        <v>959</v>
      </c>
      <c r="D717" s="35" t="s">
        <v>959</v>
      </c>
      <c r="E717" s="4" t="s">
        <v>959</v>
      </c>
    </row>
    <row r="718" spans="2:5" x14ac:dyDescent="0.2">
      <c r="B718" s="30" t="s">
        <v>1391</v>
      </c>
      <c r="C718" s="34" t="s">
        <v>959</v>
      </c>
      <c r="D718" s="35" t="s">
        <v>959</v>
      </c>
      <c r="E718" s="4" t="s">
        <v>959</v>
      </c>
    </row>
    <row r="719" spans="2:5" x14ac:dyDescent="0.2">
      <c r="B719" s="29" t="s">
        <v>104</v>
      </c>
      <c r="C719" s="32" t="s">
        <v>959</v>
      </c>
      <c r="D719" s="32" t="s">
        <v>959</v>
      </c>
      <c r="E719" s="36" t="s">
        <v>959</v>
      </c>
    </row>
    <row r="720" spans="2:5" x14ac:dyDescent="0.2">
      <c r="B720" s="30" t="s">
        <v>1392</v>
      </c>
      <c r="C720" s="34" t="s">
        <v>959</v>
      </c>
      <c r="D720" s="35" t="s">
        <v>959</v>
      </c>
      <c r="E720" s="4" t="s">
        <v>959</v>
      </c>
    </row>
    <row r="721" spans="2:5" x14ac:dyDescent="0.2">
      <c r="B721" s="30" t="s">
        <v>1393</v>
      </c>
      <c r="C721" s="34" t="s">
        <v>959</v>
      </c>
      <c r="D721" s="35" t="s">
        <v>959</v>
      </c>
      <c r="E721" s="4" t="s">
        <v>959</v>
      </c>
    </row>
    <row r="722" spans="2:5" x14ac:dyDescent="0.2">
      <c r="B722" s="30" t="s">
        <v>1394</v>
      </c>
      <c r="C722" s="34" t="s">
        <v>959</v>
      </c>
      <c r="D722" s="35" t="s">
        <v>959</v>
      </c>
      <c r="E722" s="4" t="s">
        <v>959</v>
      </c>
    </row>
    <row r="723" spans="2:5" x14ac:dyDescent="0.2">
      <c r="B723" s="30" t="s">
        <v>1395</v>
      </c>
      <c r="C723" s="34" t="s">
        <v>959</v>
      </c>
      <c r="D723" s="35" t="s">
        <v>959</v>
      </c>
      <c r="E723" s="4" t="s">
        <v>959</v>
      </c>
    </row>
    <row r="724" spans="2:5" x14ac:dyDescent="0.2">
      <c r="B724" s="30" t="s">
        <v>1396</v>
      </c>
      <c r="C724" s="34" t="s">
        <v>959</v>
      </c>
      <c r="D724" s="35" t="s">
        <v>959</v>
      </c>
      <c r="E724" s="4" t="s">
        <v>959</v>
      </c>
    </row>
    <row r="725" spans="2:5" x14ac:dyDescent="0.2">
      <c r="B725" s="30" t="s">
        <v>1397</v>
      </c>
      <c r="C725" s="34" t="s">
        <v>959</v>
      </c>
      <c r="D725" s="35" t="s">
        <v>959</v>
      </c>
      <c r="E725" s="4" t="s">
        <v>959</v>
      </c>
    </row>
    <row r="726" spans="2:5" x14ac:dyDescent="0.2">
      <c r="B726" s="30" t="s">
        <v>1398</v>
      </c>
      <c r="C726" s="34" t="s">
        <v>959</v>
      </c>
      <c r="D726" s="35" t="s">
        <v>959</v>
      </c>
      <c r="E726" s="4" t="s">
        <v>959</v>
      </c>
    </row>
    <row r="727" spans="2:5" x14ac:dyDescent="0.2">
      <c r="B727" s="30" t="s">
        <v>1399</v>
      </c>
      <c r="C727" s="34" t="s">
        <v>959</v>
      </c>
      <c r="D727" s="35" t="s">
        <v>959</v>
      </c>
      <c r="E727" s="4" t="s">
        <v>959</v>
      </c>
    </row>
    <row r="728" spans="2:5" x14ac:dyDescent="0.2">
      <c r="B728" s="30" t="s">
        <v>1400</v>
      </c>
      <c r="C728" s="34" t="s">
        <v>959</v>
      </c>
      <c r="D728" s="35" t="s">
        <v>959</v>
      </c>
      <c r="E728" s="4" t="s">
        <v>959</v>
      </c>
    </row>
    <row r="729" spans="2:5" x14ac:dyDescent="0.2">
      <c r="B729" s="29" t="s">
        <v>119</v>
      </c>
      <c r="C729" s="32" t="s">
        <v>959</v>
      </c>
      <c r="D729" s="32" t="s">
        <v>959</v>
      </c>
      <c r="E729" s="36" t="s">
        <v>959</v>
      </c>
    </row>
    <row r="730" spans="2:5" x14ac:dyDescent="0.2">
      <c r="B730" s="30" t="s">
        <v>1401</v>
      </c>
      <c r="C730" s="34" t="s">
        <v>959</v>
      </c>
      <c r="D730" s="35" t="s">
        <v>959</v>
      </c>
      <c r="E730" s="4" t="s">
        <v>959</v>
      </c>
    </row>
    <row r="731" spans="2:5" x14ac:dyDescent="0.2">
      <c r="B731" s="30" t="s">
        <v>1402</v>
      </c>
      <c r="C731" s="34" t="s">
        <v>959</v>
      </c>
      <c r="D731" s="35" t="s">
        <v>959</v>
      </c>
      <c r="E731" s="4" t="s">
        <v>959</v>
      </c>
    </row>
    <row r="732" spans="2:5" x14ac:dyDescent="0.2">
      <c r="B732" s="30" t="s">
        <v>1403</v>
      </c>
      <c r="C732" s="34" t="s">
        <v>959</v>
      </c>
      <c r="D732" s="35" t="s">
        <v>959</v>
      </c>
      <c r="E732" s="4" t="s">
        <v>959</v>
      </c>
    </row>
    <row r="733" spans="2:5" x14ac:dyDescent="0.2">
      <c r="B733" s="30" t="s">
        <v>1404</v>
      </c>
      <c r="C733" s="34" t="s">
        <v>959</v>
      </c>
      <c r="D733" s="35" t="s">
        <v>959</v>
      </c>
      <c r="E733" s="4" t="s">
        <v>959</v>
      </c>
    </row>
    <row r="734" spans="2:5" x14ac:dyDescent="0.2">
      <c r="B734" s="30" t="s">
        <v>1405</v>
      </c>
      <c r="C734" s="34" t="s">
        <v>959</v>
      </c>
      <c r="D734" s="35" t="s">
        <v>959</v>
      </c>
      <c r="E734" s="4" t="s">
        <v>959</v>
      </c>
    </row>
    <row r="735" spans="2:5" x14ac:dyDescent="0.2">
      <c r="B735" s="30" t="s">
        <v>1406</v>
      </c>
      <c r="C735" s="34" t="s">
        <v>959</v>
      </c>
      <c r="D735" s="35" t="s">
        <v>959</v>
      </c>
      <c r="E735" s="4" t="s">
        <v>959</v>
      </c>
    </row>
    <row r="736" spans="2:5" x14ac:dyDescent="0.2">
      <c r="B736" s="29" t="s">
        <v>39</v>
      </c>
      <c r="C736" s="32" t="s">
        <v>959</v>
      </c>
      <c r="D736" s="32" t="s">
        <v>959</v>
      </c>
      <c r="E736" s="36" t="s">
        <v>959</v>
      </c>
    </row>
    <row r="737" spans="2:5" x14ac:dyDescent="0.2">
      <c r="B737" s="30" t="s">
        <v>1407</v>
      </c>
      <c r="C737" s="34" t="s">
        <v>959</v>
      </c>
      <c r="D737" s="35" t="s">
        <v>959</v>
      </c>
      <c r="E737" s="4" t="s">
        <v>959</v>
      </c>
    </row>
    <row r="738" spans="2:5" x14ac:dyDescent="0.2">
      <c r="B738" s="30" t="s">
        <v>1408</v>
      </c>
      <c r="C738" s="34" t="s">
        <v>959</v>
      </c>
      <c r="D738" s="35" t="s">
        <v>959</v>
      </c>
      <c r="E738" s="4" t="s">
        <v>959</v>
      </c>
    </row>
    <row r="739" spans="2:5" x14ac:dyDescent="0.2">
      <c r="B739" s="30" t="s">
        <v>1409</v>
      </c>
      <c r="C739" s="34" t="s">
        <v>959</v>
      </c>
      <c r="D739" s="35" t="s">
        <v>959</v>
      </c>
      <c r="E739" s="4" t="s">
        <v>959</v>
      </c>
    </row>
    <row r="740" spans="2:5" x14ac:dyDescent="0.2">
      <c r="B740" s="30" t="s">
        <v>1410</v>
      </c>
      <c r="C740" s="34" t="s">
        <v>959</v>
      </c>
      <c r="D740" s="35" t="s">
        <v>959</v>
      </c>
      <c r="E740" s="4" t="s">
        <v>959</v>
      </c>
    </row>
    <row r="741" spans="2:5" x14ac:dyDescent="0.2">
      <c r="B741" s="30" t="s">
        <v>1411</v>
      </c>
      <c r="C741" s="34" t="s">
        <v>959</v>
      </c>
      <c r="D741" s="35" t="s">
        <v>959</v>
      </c>
      <c r="E741" s="4" t="s">
        <v>959</v>
      </c>
    </row>
    <row r="742" spans="2:5" x14ac:dyDescent="0.2">
      <c r="B742" s="30" t="s">
        <v>1412</v>
      </c>
      <c r="C742" s="34" t="s">
        <v>959</v>
      </c>
      <c r="D742" s="35" t="s">
        <v>959</v>
      </c>
      <c r="E742" s="4" t="s">
        <v>959</v>
      </c>
    </row>
    <row r="743" spans="2:5" x14ac:dyDescent="0.2">
      <c r="B743" s="30" t="s">
        <v>1413</v>
      </c>
      <c r="C743" s="34" t="s">
        <v>959</v>
      </c>
      <c r="D743" s="35" t="s">
        <v>959</v>
      </c>
      <c r="E743" s="4" t="s">
        <v>959</v>
      </c>
    </row>
    <row r="744" spans="2:5" x14ac:dyDescent="0.2">
      <c r="B744" s="30" t="s">
        <v>1414</v>
      </c>
      <c r="C744" s="34" t="s">
        <v>959</v>
      </c>
      <c r="D744" s="35" t="s">
        <v>959</v>
      </c>
      <c r="E744" s="4" t="s">
        <v>959</v>
      </c>
    </row>
    <row r="745" spans="2:5" x14ac:dyDescent="0.2">
      <c r="B745" s="29" t="s">
        <v>25</v>
      </c>
      <c r="C745" s="32" t="s">
        <v>959</v>
      </c>
      <c r="D745" s="32" t="s">
        <v>959</v>
      </c>
      <c r="E745" s="36" t="s">
        <v>959</v>
      </c>
    </row>
    <row r="746" spans="2:5" x14ac:dyDescent="0.2">
      <c r="B746" s="30" t="s">
        <v>1415</v>
      </c>
      <c r="C746" s="34" t="s">
        <v>959</v>
      </c>
      <c r="D746" s="35" t="s">
        <v>959</v>
      </c>
      <c r="E746" s="4" t="s">
        <v>959</v>
      </c>
    </row>
    <row r="747" spans="2:5" x14ac:dyDescent="0.2">
      <c r="B747" s="30" t="s">
        <v>1416</v>
      </c>
      <c r="C747" s="34" t="s">
        <v>959</v>
      </c>
      <c r="D747" s="35" t="s">
        <v>959</v>
      </c>
      <c r="E747" s="4" t="s">
        <v>959</v>
      </c>
    </row>
    <row r="748" spans="2:5" x14ac:dyDescent="0.2">
      <c r="B748" s="30" t="s">
        <v>1417</v>
      </c>
      <c r="C748" s="34" t="s">
        <v>959</v>
      </c>
      <c r="D748" s="35" t="s">
        <v>959</v>
      </c>
      <c r="E748" s="4" t="s">
        <v>959</v>
      </c>
    </row>
    <row r="749" spans="2:5" x14ac:dyDescent="0.2">
      <c r="B749" s="30" t="s">
        <v>1418</v>
      </c>
      <c r="C749" s="34" t="s">
        <v>959</v>
      </c>
      <c r="D749" s="35" t="s">
        <v>959</v>
      </c>
      <c r="E749" s="4" t="s">
        <v>959</v>
      </c>
    </row>
    <row r="750" spans="2:5" x14ac:dyDescent="0.2">
      <c r="B750" s="29" t="s">
        <v>115</v>
      </c>
      <c r="C750" s="32" t="s">
        <v>959</v>
      </c>
      <c r="D750" s="32" t="s">
        <v>959</v>
      </c>
      <c r="E750" s="36" t="s">
        <v>959</v>
      </c>
    </row>
    <row r="751" spans="2:5" x14ac:dyDescent="0.2">
      <c r="B751" s="30" t="s">
        <v>1419</v>
      </c>
      <c r="C751" s="34" t="s">
        <v>959</v>
      </c>
      <c r="D751" s="35" t="s">
        <v>959</v>
      </c>
      <c r="E751" s="4" t="s">
        <v>959</v>
      </c>
    </row>
    <row r="752" spans="2:5" x14ac:dyDescent="0.2">
      <c r="B752" s="30" t="s">
        <v>1420</v>
      </c>
      <c r="C752" s="34" t="s">
        <v>959</v>
      </c>
      <c r="D752" s="35" t="s">
        <v>959</v>
      </c>
      <c r="E752" s="4" t="s">
        <v>959</v>
      </c>
    </row>
    <row r="753" spans="2:5" x14ac:dyDescent="0.2">
      <c r="B753" s="30" t="s">
        <v>1421</v>
      </c>
      <c r="C753" s="34" t="s">
        <v>959</v>
      </c>
      <c r="D753" s="35" t="s">
        <v>959</v>
      </c>
      <c r="E753" s="4" t="s">
        <v>959</v>
      </c>
    </row>
    <row r="754" spans="2:5" x14ac:dyDescent="0.2">
      <c r="B754" s="30" t="s">
        <v>1422</v>
      </c>
      <c r="C754" s="34" t="s">
        <v>959</v>
      </c>
      <c r="D754" s="35" t="s">
        <v>959</v>
      </c>
      <c r="E754" s="4" t="s">
        <v>959</v>
      </c>
    </row>
    <row r="755" spans="2:5" x14ac:dyDescent="0.2">
      <c r="B755" s="30" t="s">
        <v>1423</v>
      </c>
      <c r="C755" s="34" t="s">
        <v>959</v>
      </c>
      <c r="D755" s="35" t="s">
        <v>959</v>
      </c>
      <c r="E755" s="4" t="s">
        <v>959</v>
      </c>
    </row>
    <row r="756" spans="2:5" x14ac:dyDescent="0.2">
      <c r="B756" s="29" t="s">
        <v>6</v>
      </c>
      <c r="C756" s="32" t="s">
        <v>959</v>
      </c>
      <c r="D756" s="32" t="s">
        <v>959</v>
      </c>
      <c r="E756" s="36" t="s">
        <v>959</v>
      </c>
    </row>
    <row r="757" spans="2:5" x14ac:dyDescent="0.2">
      <c r="B757" s="30" t="s">
        <v>1424</v>
      </c>
      <c r="C757" s="34" t="s">
        <v>959</v>
      </c>
      <c r="D757" s="35" t="s">
        <v>959</v>
      </c>
      <c r="E757" s="4" t="s">
        <v>959</v>
      </c>
    </row>
    <row r="758" spans="2:5" x14ac:dyDescent="0.2">
      <c r="B758" s="30" t="s">
        <v>1425</v>
      </c>
      <c r="C758" s="34" t="s">
        <v>959</v>
      </c>
      <c r="D758" s="35" t="s">
        <v>959</v>
      </c>
      <c r="E758" s="4" t="s">
        <v>959</v>
      </c>
    </row>
    <row r="759" spans="2:5" x14ac:dyDescent="0.2">
      <c r="B759" s="30" t="s">
        <v>1426</v>
      </c>
      <c r="C759" s="34" t="s">
        <v>959</v>
      </c>
      <c r="D759" s="35" t="s">
        <v>959</v>
      </c>
      <c r="E759" s="4" t="s">
        <v>959</v>
      </c>
    </row>
    <row r="760" spans="2:5" x14ac:dyDescent="0.2">
      <c r="B760" s="30" t="s">
        <v>1427</v>
      </c>
      <c r="C760" s="34" t="s">
        <v>959</v>
      </c>
      <c r="D760" s="35" t="s">
        <v>959</v>
      </c>
      <c r="E760" s="4" t="s">
        <v>959</v>
      </c>
    </row>
    <row r="761" spans="2:5" x14ac:dyDescent="0.2">
      <c r="B761" s="30" t="s">
        <v>1428</v>
      </c>
      <c r="C761" s="34" t="s">
        <v>959</v>
      </c>
      <c r="D761" s="35" t="s">
        <v>959</v>
      </c>
      <c r="E761" s="4" t="s">
        <v>959</v>
      </c>
    </row>
    <row r="762" spans="2:5" x14ac:dyDescent="0.2">
      <c r="B762" s="30" t="s">
        <v>1429</v>
      </c>
      <c r="C762" s="34" t="s">
        <v>959</v>
      </c>
      <c r="D762" s="35" t="s">
        <v>959</v>
      </c>
      <c r="E762" s="4" t="s">
        <v>959</v>
      </c>
    </row>
    <row r="763" spans="2:5" x14ac:dyDescent="0.2">
      <c r="B763" s="30" t="s">
        <v>1430</v>
      </c>
      <c r="C763" s="34" t="s">
        <v>959</v>
      </c>
      <c r="D763" s="35" t="s">
        <v>959</v>
      </c>
      <c r="E763" s="4" t="s">
        <v>959</v>
      </c>
    </row>
    <row r="764" spans="2:5" x14ac:dyDescent="0.2">
      <c r="B764" s="30" t="s">
        <v>1431</v>
      </c>
      <c r="C764" s="34" t="s">
        <v>959</v>
      </c>
      <c r="D764" s="35" t="s">
        <v>959</v>
      </c>
      <c r="E764" s="4" t="s">
        <v>959</v>
      </c>
    </row>
    <row r="765" spans="2:5" x14ac:dyDescent="0.2">
      <c r="B765" s="30" t="s">
        <v>1432</v>
      </c>
      <c r="C765" s="34" t="s">
        <v>959</v>
      </c>
      <c r="D765" s="35" t="s">
        <v>959</v>
      </c>
      <c r="E765" s="4" t="s">
        <v>959</v>
      </c>
    </row>
    <row r="766" spans="2:5" x14ac:dyDescent="0.2">
      <c r="B766" s="30" t="s">
        <v>1433</v>
      </c>
      <c r="C766" s="34" t="s">
        <v>959</v>
      </c>
      <c r="D766" s="35" t="s">
        <v>959</v>
      </c>
      <c r="E766" s="4" t="s">
        <v>959</v>
      </c>
    </row>
    <row r="767" spans="2:5" x14ac:dyDescent="0.2">
      <c r="B767" s="29" t="s">
        <v>40</v>
      </c>
      <c r="C767" s="32" t="s">
        <v>959</v>
      </c>
      <c r="D767" s="32" t="s">
        <v>959</v>
      </c>
      <c r="E767" s="36" t="s">
        <v>959</v>
      </c>
    </row>
    <row r="768" spans="2:5" x14ac:dyDescent="0.2">
      <c r="B768" s="30" t="s">
        <v>1434</v>
      </c>
      <c r="C768" s="34" t="s">
        <v>959</v>
      </c>
      <c r="D768" s="35" t="s">
        <v>959</v>
      </c>
      <c r="E768" s="4" t="s">
        <v>959</v>
      </c>
    </row>
    <row r="769" spans="2:5" x14ac:dyDescent="0.2">
      <c r="B769" s="30" t="s">
        <v>1435</v>
      </c>
      <c r="C769" s="34" t="s">
        <v>959</v>
      </c>
      <c r="D769" s="35" t="s">
        <v>959</v>
      </c>
      <c r="E769" s="4" t="s">
        <v>959</v>
      </c>
    </row>
    <row r="770" spans="2:5" x14ac:dyDescent="0.2">
      <c r="B770" s="30" t="s">
        <v>1436</v>
      </c>
      <c r="C770" s="34" t="s">
        <v>959</v>
      </c>
      <c r="D770" s="35" t="s">
        <v>959</v>
      </c>
      <c r="E770" s="4" t="s">
        <v>959</v>
      </c>
    </row>
    <row r="771" spans="2:5" x14ac:dyDescent="0.2">
      <c r="B771" s="30" t="s">
        <v>1437</v>
      </c>
      <c r="C771" s="34" t="s">
        <v>959</v>
      </c>
      <c r="D771" s="35" t="s">
        <v>959</v>
      </c>
      <c r="E771" s="4" t="s">
        <v>959</v>
      </c>
    </row>
    <row r="772" spans="2:5" x14ac:dyDescent="0.2">
      <c r="B772" s="30" t="s">
        <v>1438</v>
      </c>
      <c r="C772" s="34" t="s">
        <v>959</v>
      </c>
      <c r="D772" s="35" t="s">
        <v>959</v>
      </c>
      <c r="E772" s="4" t="s">
        <v>959</v>
      </c>
    </row>
    <row r="773" spans="2:5" x14ac:dyDescent="0.2">
      <c r="B773" s="30" t="s">
        <v>1439</v>
      </c>
      <c r="C773" s="34" t="s">
        <v>959</v>
      </c>
      <c r="D773" s="35" t="s">
        <v>959</v>
      </c>
      <c r="E773" s="4" t="s">
        <v>959</v>
      </c>
    </row>
    <row r="774" spans="2:5" x14ac:dyDescent="0.2">
      <c r="B774" s="30" t="s">
        <v>1437</v>
      </c>
      <c r="C774" s="34" t="s">
        <v>959</v>
      </c>
      <c r="D774" s="35" t="s">
        <v>959</v>
      </c>
      <c r="E774" s="4" t="s">
        <v>959</v>
      </c>
    </row>
    <row r="775" spans="2:5" x14ac:dyDescent="0.2">
      <c r="B775" s="30" t="s">
        <v>1440</v>
      </c>
      <c r="C775" s="34" t="s">
        <v>959</v>
      </c>
      <c r="D775" s="35" t="s">
        <v>959</v>
      </c>
      <c r="E775" s="4" t="s">
        <v>959</v>
      </c>
    </row>
    <row r="776" spans="2:5" x14ac:dyDescent="0.2">
      <c r="B776" s="30" t="s">
        <v>1441</v>
      </c>
      <c r="C776" s="34" t="s">
        <v>959</v>
      </c>
      <c r="D776" s="35" t="s">
        <v>959</v>
      </c>
      <c r="E776" s="4" t="s">
        <v>959</v>
      </c>
    </row>
    <row r="777" spans="2:5" x14ac:dyDescent="0.2">
      <c r="B777" s="30" t="s">
        <v>1442</v>
      </c>
      <c r="C777" s="34" t="s">
        <v>959</v>
      </c>
      <c r="D777" s="35" t="s">
        <v>959</v>
      </c>
      <c r="E777" s="4" t="s">
        <v>959</v>
      </c>
    </row>
    <row r="778" spans="2:5" x14ac:dyDescent="0.2">
      <c r="B778" s="30" t="s">
        <v>1443</v>
      </c>
      <c r="C778" s="34" t="s">
        <v>959</v>
      </c>
      <c r="D778" s="35" t="s">
        <v>959</v>
      </c>
      <c r="E778" s="4" t="s">
        <v>959</v>
      </c>
    </row>
    <row r="779" spans="2:5" x14ac:dyDescent="0.2">
      <c r="B779" s="29" t="s">
        <v>58</v>
      </c>
      <c r="C779" s="32" t="s">
        <v>959</v>
      </c>
      <c r="D779" s="32" t="s">
        <v>959</v>
      </c>
      <c r="E779" s="36" t="s">
        <v>959</v>
      </c>
    </row>
    <row r="780" spans="2:5" x14ac:dyDescent="0.2">
      <c r="B780" s="30" t="s">
        <v>989</v>
      </c>
      <c r="C780" s="34" t="s">
        <v>959</v>
      </c>
      <c r="D780" s="35" t="s">
        <v>959</v>
      </c>
      <c r="E780" s="4" t="s">
        <v>959</v>
      </c>
    </row>
    <row r="781" spans="2:5" x14ac:dyDescent="0.2">
      <c r="B781" s="30" t="s">
        <v>1444</v>
      </c>
      <c r="C781" s="34" t="s">
        <v>959</v>
      </c>
      <c r="D781" s="35" t="s">
        <v>959</v>
      </c>
      <c r="E781" s="4" t="s">
        <v>959</v>
      </c>
    </row>
    <row r="782" spans="2:5" x14ac:dyDescent="0.2">
      <c r="B782" s="30" t="s">
        <v>1445</v>
      </c>
      <c r="C782" s="34" t="s">
        <v>959</v>
      </c>
      <c r="D782" s="35" t="s">
        <v>959</v>
      </c>
      <c r="E782" s="4" t="s">
        <v>959</v>
      </c>
    </row>
    <row r="783" spans="2:5" x14ac:dyDescent="0.2">
      <c r="B783" s="30" t="s">
        <v>1446</v>
      </c>
      <c r="C783" s="34" t="s">
        <v>959</v>
      </c>
      <c r="D783" s="35" t="s">
        <v>959</v>
      </c>
      <c r="E783" s="4" t="s">
        <v>959</v>
      </c>
    </row>
    <row r="784" spans="2:5" x14ac:dyDescent="0.2">
      <c r="B784" s="30" t="s">
        <v>1447</v>
      </c>
      <c r="C784" s="34" t="s">
        <v>959</v>
      </c>
      <c r="D784" s="35" t="s">
        <v>959</v>
      </c>
      <c r="E784" s="4" t="s">
        <v>959</v>
      </c>
    </row>
    <row r="785" spans="2:5" x14ac:dyDescent="0.2">
      <c r="B785" s="30" t="s">
        <v>1448</v>
      </c>
      <c r="C785" s="34" t="s">
        <v>959</v>
      </c>
      <c r="D785" s="35" t="s">
        <v>959</v>
      </c>
      <c r="E785" s="4" t="s">
        <v>959</v>
      </c>
    </row>
    <row r="786" spans="2:5" x14ac:dyDescent="0.2">
      <c r="B786" s="29" t="s">
        <v>43</v>
      </c>
      <c r="C786" s="32" t="s">
        <v>959</v>
      </c>
      <c r="D786" s="32" t="s">
        <v>959</v>
      </c>
      <c r="E786" s="36" t="s">
        <v>959</v>
      </c>
    </row>
    <row r="787" spans="2:5" x14ac:dyDescent="0.2">
      <c r="B787" s="30" t="s">
        <v>1449</v>
      </c>
      <c r="C787" s="34" t="s">
        <v>959</v>
      </c>
      <c r="D787" s="35" t="s">
        <v>959</v>
      </c>
      <c r="E787" s="4" t="s">
        <v>959</v>
      </c>
    </row>
    <row r="788" spans="2:5" x14ac:dyDescent="0.2">
      <c r="B788" s="30" t="s">
        <v>1450</v>
      </c>
      <c r="C788" s="34" t="s">
        <v>959</v>
      </c>
      <c r="D788" s="35" t="s">
        <v>959</v>
      </c>
      <c r="E788" s="4" t="s">
        <v>959</v>
      </c>
    </row>
    <row r="789" spans="2:5" x14ac:dyDescent="0.2">
      <c r="B789" s="30" t="s">
        <v>1451</v>
      </c>
      <c r="C789" s="34" t="s">
        <v>959</v>
      </c>
      <c r="D789" s="35" t="s">
        <v>959</v>
      </c>
      <c r="E789" s="4" t="s">
        <v>959</v>
      </c>
    </row>
    <row r="790" spans="2:5" x14ac:dyDescent="0.2">
      <c r="B790" s="30" t="s">
        <v>1452</v>
      </c>
      <c r="C790" s="34" t="s">
        <v>959</v>
      </c>
      <c r="D790" s="35" t="s">
        <v>959</v>
      </c>
      <c r="E790" s="4" t="s">
        <v>959</v>
      </c>
    </row>
    <row r="791" spans="2:5" x14ac:dyDescent="0.2">
      <c r="B791" s="30" t="s">
        <v>1453</v>
      </c>
      <c r="C791" s="34" t="s">
        <v>959</v>
      </c>
      <c r="D791" s="35" t="s">
        <v>959</v>
      </c>
      <c r="E791" s="4" t="s">
        <v>959</v>
      </c>
    </row>
    <row r="792" spans="2:5" x14ac:dyDescent="0.2">
      <c r="B792" s="30" t="s">
        <v>1446</v>
      </c>
      <c r="C792" s="34" t="s">
        <v>959</v>
      </c>
      <c r="D792" s="35" t="s">
        <v>959</v>
      </c>
      <c r="E792" s="4" t="s">
        <v>959</v>
      </c>
    </row>
    <row r="793" spans="2:5" x14ac:dyDescent="0.2">
      <c r="B793" s="30" t="s">
        <v>1454</v>
      </c>
      <c r="C793" s="34" t="s">
        <v>959</v>
      </c>
      <c r="D793" s="35" t="s">
        <v>959</v>
      </c>
      <c r="E793" s="4" t="s">
        <v>959</v>
      </c>
    </row>
    <row r="794" spans="2:5" x14ac:dyDescent="0.2">
      <c r="B794" s="30" t="s">
        <v>1455</v>
      </c>
      <c r="C794" s="34" t="s">
        <v>959</v>
      </c>
      <c r="D794" s="35" t="s">
        <v>959</v>
      </c>
      <c r="E794" s="4" t="s">
        <v>959</v>
      </c>
    </row>
    <row r="795" spans="2:5" x14ac:dyDescent="0.2">
      <c r="B795" s="30" t="s">
        <v>1106</v>
      </c>
      <c r="C795" s="34" t="s">
        <v>959</v>
      </c>
      <c r="D795" s="35" t="s">
        <v>959</v>
      </c>
      <c r="E795" s="4" t="s">
        <v>959</v>
      </c>
    </row>
    <row r="796" spans="2:5" x14ac:dyDescent="0.2">
      <c r="B796" s="29" t="s">
        <v>101</v>
      </c>
      <c r="C796" s="32" t="s">
        <v>959</v>
      </c>
      <c r="D796" s="32" t="s">
        <v>959</v>
      </c>
      <c r="E796" s="36" t="s">
        <v>959</v>
      </c>
    </row>
    <row r="797" spans="2:5" x14ac:dyDescent="0.2">
      <c r="B797" s="30" t="s">
        <v>1456</v>
      </c>
      <c r="C797" s="34" t="s">
        <v>959</v>
      </c>
      <c r="D797" s="35" t="s">
        <v>959</v>
      </c>
      <c r="E797" s="4" t="s">
        <v>959</v>
      </c>
    </row>
    <row r="798" spans="2:5" x14ac:dyDescent="0.2">
      <c r="B798" s="30" t="s">
        <v>1457</v>
      </c>
      <c r="C798" s="34" t="s">
        <v>959</v>
      </c>
      <c r="D798" s="35" t="s">
        <v>959</v>
      </c>
      <c r="E798" s="4" t="s">
        <v>959</v>
      </c>
    </row>
    <row r="799" spans="2:5" x14ac:dyDescent="0.2">
      <c r="B799" s="30" t="s">
        <v>1458</v>
      </c>
      <c r="C799" s="34" t="s">
        <v>959</v>
      </c>
      <c r="D799" s="35" t="s">
        <v>959</v>
      </c>
      <c r="E799" s="4" t="s">
        <v>959</v>
      </c>
    </row>
    <row r="800" spans="2:5" x14ac:dyDescent="0.2">
      <c r="B800" s="30" t="s">
        <v>1459</v>
      </c>
      <c r="C800" s="34" t="s">
        <v>959</v>
      </c>
      <c r="D800" s="35" t="s">
        <v>959</v>
      </c>
      <c r="E800" s="4" t="s">
        <v>959</v>
      </c>
    </row>
    <row r="801" spans="2:5" x14ac:dyDescent="0.2">
      <c r="B801" s="30" t="s">
        <v>1460</v>
      </c>
      <c r="C801" s="34" t="s">
        <v>959</v>
      </c>
      <c r="D801" s="35" t="s">
        <v>959</v>
      </c>
      <c r="E801" s="4" t="s">
        <v>959</v>
      </c>
    </row>
    <row r="802" spans="2:5" x14ac:dyDescent="0.2">
      <c r="B802" s="30" t="s">
        <v>1461</v>
      </c>
      <c r="C802" s="34" t="s">
        <v>959</v>
      </c>
      <c r="D802" s="35" t="s">
        <v>959</v>
      </c>
      <c r="E802" s="4" t="s">
        <v>959</v>
      </c>
    </row>
    <row r="803" spans="2:5" x14ac:dyDescent="0.2">
      <c r="B803" s="30" t="s">
        <v>1462</v>
      </c>
      <c r="C803" s="34" t="s">
        <v>959</v>
      </c>
      <c r="D803" s="35" t="s">
        <v>959</v>
      </c>
      <c r="E803" s="4" t="s">
        <v>959</v>
      </c>
    </row>
    <row r="804" spans="2:5" x14ac:dyDescent="0.2">
      <c r="B804" s="30" t="s">
        <v>1463</v>
      </c>
      <c r="C804" s="34" t="s">
        <v>959</v>
      </c>
      <c r="D804" s="35" t="s">
        <v>959</v>
      </c>
      <c r="E804" s="4" t="s">
        <v>959</v>
      </c>
    </row>
    <row r="805" spans="2:5" x14ac:dyDescent="0.2">
      <c r="B805" s="29" t="s">
        <v>57</v>
      </c>
      <c r="C805" s="32" t="s">
        <v>959</v>
      </c>
      <c r="D805" s="32" t="s">
        <v>959</v>
      </c>
      <c r="E805" s="36" t="s">
        <v>959</v>
      </c>
    </row>
    <row r="806" spans="2:5" x14ac:dyDescent="0.2">
      <c r="B806" s="30" t="s">
        <v>1464</v>
      </c>
      <c r="C806" s="34" t="s">
        <v>959</v>
      </c>
      <c r="D806" s="35" t="s">
        <v>959</v>
      </c>
      <c r="E806" s="4" t="s">
        <v>959</v>
      </c>
    </row>
    <row r="807" spans="2:5" x14ac:dyDescent="0.2">
      <c r="B807" s="30" t="s">
        <v>1465</v>
      </c>
      <c r="C807" s="34" t="s">
        <v>959</v>
      </c>
      <c r="D807" s="35" t="s">
        <v>959</v>
      </c>
      <c r="E807" s="4" t="s">
        <v>959</v>
      </c>
    </row>
    <row r="808" spans="2:5" x14ac:dyDescent="0.2">
      <c r="B808" s="30" t="s">
        <v>1466</v>
      </c>
      <c r="C808" s="34" t="s">
        <v>959</v>
      </c>
      <c r="D808" s="35" t="s">
        <v>959</v>
      </c>
      <c r="E808" s="4" t="s">
        <v>959</v>
      </c>
    </row>
    <row r="809" spans="2:5" x14ac:dyDescent="0.2">
      <c r="B809" s="30" t="s">
        <v>1467</v>
      </c>
      <c r="C809" s="34" t="s">
        <v>959</v>
      </c>
      <c r="D809" s="35" t="s">
        <v>959</v>
      </c>
      <c r="E809" s="4" t="s">
        <v>959</v>
      </c>
    </row>
    <row r="810" spans="2:5" x14ac:dyDescent="0.2">
      <c r="B810" s="29" t="s">
        <v>80</v>
      </c>
      <c r="C810" s="32" t="s">
        <v>959</v>
      </c>
      <c r="D810" s="32" t="s">
        <v>959</v>
      </c>
      <c r="E810" s="36" t="s">
        <v>959</v>
      </c>
    </row>
    <row r="811" spans="2:5" x14ac:dyDescent="0.2">
      <c r="B811" s="30" t="s">
        <v>1468</v>
      </c>
      <c r="C811" s="34" t="s">
        <v>959</v>
      </c>
      <c r="D811" s="35" t="s">
        <v>959</v>
      </c>
      <c r="E811" s="4" t="s">
        <v>959</v>
      </c>
    </row>
    <row r="812" spans="2:5" x14ac:dyDescent="0.2">
      <c r="B812" s="30" t="s">
        <v>1469</v>
      </c>
      <c r="C812" s="34" t="s">
        <v>959</v>
      </c>
      <c r="D812" s="35" t="s">
        <v>959</v>
      </c>
      <c r="E812" s="4" t="s">
        <v>959</v>
      </c>
    </row>
    <row r="813" spans="2:5" x14ac:dyDescent="0.2">
      <c r="B813" s="30" t="s">
        <v>1470</v>
      </c>
      <c r="C813" s="34" t="s">
        <v>959</v>
      </c>
      <c r="D813" s="35" t="s">
        <v>959</v>
      </c>
      <c r="E813" s="4" t="s">
        <v>959</v>
      </c>
    </row>
    <row r="814" spans="2:5" x14ac:dyDescent="0.2">
      <c r="B814" s="30" t="s">
        <v>1471</v>
      </c>
      <c r="C814" s="34" t="s">
        <v>959</v>
      </c>
      <c r="D814" s="35" t="s">
        <v>959</v>
      </c>
      <c r="E814" s="4" t="s">
        <v>959</v>
      </c>
    </row>
    <row r="815" spans="2:5" x14ac:dyDescent="0.2">
      <c r="B815" s="29" t="s">
        <v>45</v>
      </c>
      <c r="C815" s="32" t="s">
        <v>959</v>
      </c>
      <c r="D815" s="32" t="s">
        <v>959</v>
      </c>
      <c r="E815" s="36" t="s">
        <v>959</v>
      </c>
    </row>
    <row r="816" spans="2:5" x14ac:dyDescent="0.2">
      <c r="B816" s="30" t="s">
        <v>1472</v>
      </c>
      <c r="C816" s="34" t="s">
        <v>959</v>
      </c>
      <c r="D816" s="35" t="s">
        <v>959</v>
      </c>
      <c r="E816" s="4" t="s">
        <v>959</v>
      </c>
    </row>
    <row r="817" spans="2:5" x14ac:dyDescent="0.2">
      <c r="B817" s="30" t="s">
        <v>1473</v>
      </c>
      <c r="C817" s="34" t="s">
        <v>959</v>
      </c>
      <c r="D817" s="35" t="s">
        <v>959</v>
      </c>
      <c r="E817" s="4" t="s">
        <v>959</v>
      </c>
    </row>
    <row r="818" spans="2:5" x14ac:dyDescent="0.2">
      <c r="B818" s="30" t="s">
        <v>1474</v>
      </c>
      <c r="C818" s="34" t="s">
        <v>959</v>
      </c>
      <c r="D818" s="35" t="s">
        <v>959</v>
      </c>
      <c r="E818" s="4" t="s">
        <v>959</v>
      </c>
    </row>
    <row r="819" spans="2:5" x14ac:dyDescent="0.2">
      <c r="B819" s="30" t="s">
        <v>1475</v>
      </c>
      <c r="C819" s="34" t="s">
        <v>959</v>
      </c>
      <c r="D819" s="35" t="s">
        <v>959</v>
      </c>
      <c r="E819" s="4" t="s">
        <v>959</v>
      </c>
    </row>
    <row r="820" spans="2:5" x14ac:dyDescent="0.2">
      <c r="B820" s="30" t="s">
        <v>1476</v>
      </c>
      <c r="C820" s="34" t="s">
        <v>959</v>
      </c>
      <c r="D820" s="35" t="s">
        <v>959</v>
      </c>
      <c r="E820" s="4" t="s">
        <v>959</v>
      </c>
    </row>
    <row r="821" spans="2:5" x14ac:dyDescent="0.2">
      <c r="B821" s="30" t="s">
        <v>1477</v>
      </c>
      <c r="C821" s="34" t="s">
        <v>959</v>
      </c>
      <c r="D821" s="35" t="s">
        <v>959</v>
      </c>
      <c r="E821" s="4" t="s">
        <v>959</v>
      </c>
    </row>
    <row r="822" spans="2:5" x14ac:dyDescent="0.2">
      <c r="B822" s="30" t="s">
        <v>1478</v>
      </c>
      <c r="C822" s="34" t="s">
        <v>959</v>
      </c>
      <c r="D822" s="35" t="s">
        <v>959</v>
      </c>
      <c r="E822" s="4" t="s">
        <v>959</v>
      </c>
    </row>
    <row r="823" spans="2:5" x14ac:dyDescent="0.2">
      <c r="B823" s="30" t="s">
        <v>1479</v>
      </c>
      <c r="C823" s="34" t="s">
        <v>959</v>
      </c>
      <c r="D823" s="35" t="s">
        <v>959</v>
      </c>
      <c r="E823" s="4" t="s">
        <v>959</v>
      </c>
    </row>
    <row r="824" spans="2:5" x14ac:dyDescent="0.2">
      <c r="B824" s="29" t="s">
        <v>90</v>
      </c>
      <c r="C824" s="32">
        <v>1</v>
      </c>
      <c r="D824" s="32" t="s">
        <v>959</v>
      </c>
      <c r="E824" s="36" t="s">
        <v>959</v>
      </c>
    </row>
    <row r="825" spans="2:5" x14ac:dyDescent="0.2">
      <c r="B825" s="30" t="s">
        <v>1480</v>
      </c>
      <c r="C825" s="34" t="s">
        <v>959</v>
      </c>
      <c r="D825" s="35" t="s">
        <v>959</v>
      </c>
      <c r="E825" s="4" t="s">
        <v>959</v>
      </c>
    </row>
    <row r="826" spans="2:5" x14ac:dyDescent="0.2">
      <c r="B826" s="30" t="s">
        <v>1481</v>
      </c>
      <c r="C826" s="34" t="s">
        <v>959</v>
      </c>
      <c r="D826" s="35" t="s">
        <v>959</v>
      </c>
      <c r="E826" s="4" t="s">
        <v>959</v>
      </c>
    </row>
    <row r="827" spans="2:5" x14ac:dyDescent="0.2">
      <c r="B827" s="30" t="s">
        <v>1482</v>
      </c>
      <c r="C827" s="34" t="s">
        <v>959</v>
      </c>
      <c r="D827" s="35" t="s">
        <v>959</v>
      </c>
      <c r="E827" s="4" t="s">
        <v>959</v>
      </c>
    </row>
    <row r="828" spans="2:5" x14ac:dyDescent="0.2">
      <c r="B828" s="30" t="s">
        <v>1483</v>
      </c>
      <c r="C828" s="34" t="s">
        <v>959</v>
      </c>
      <c r="D828" s="35" t="s">
        <v>959</v>
      </c>
      <c r="E828" s="4" t="s">
        <v>959</v>
      </c>
    </row>
    <row r="829" spans="2:5" x14ac:dyDescent="0.2">
      <c r="B829" s="30" t="s">
        <v>1484</v>
      </c>
      <c r="C829" s="34">
        <v>1</v>
      </c>
      <c r="D829" s="35" t="s">
        <v>959</v>
      </c>
      <c r="E829" s="4" t="s">
        <v>959</v>
      </c>
    </row>
    <row r="830" spans="2:5" x14ac:dyDescent="0.2">
      <c r="B830" s="30" t="s">
        <v>1485</v>
      </c>
      <c r="C830" s="34" t="s">
        <v>959</v>
      </c>
      <c r="D830" s="35" t="s">
        <v>959</v>
      </c>
      <c r="E830" s="4" t="s">
        <v>959</v>
      </c>
    </row>
    <row r="831" spans="2:5" x14ac:dyDescent="0.2">
      <c r="B831" s="30" t="s">
        <v>1486</v>
      </c>
      <c r="C831" s="34" t="s">
        <v>959</v>
      </c>
      <c r="D831" s="35" t="s">
        <v>959</v>
      </c>
      <c r="E831" s="4" t="s">
        <v>959</v>
      </c>
    </row>
    <row r="832" spans="2:5" x14ac:dyDescent="0.2">
      <c r="B832" s="30" t="s">
        <v>1487</v>
      </c>
      <c r="C832" s="34" t="s">
        <v>959</v>
      </c>
      <c r="D832" s="35" t="s">
        <v>959</v>
      </c>
      <c r="E832" s="4" t="s">
        <v>959</v>
      </c>
    </row>
    <row r="833" spans="2:5" x14ac:dyDescent="0.2">
      <c r="B833" s="29" t="s">
        <v>114</v>
      </c>
      <c r="C833" s="32" t="s">
        <v>959</v>
      </c>
      <c r="D833" s="32" t="s">
        <v>959</v>
      </c>
      <c r="E833" s="36" t="s">
        <v>959</v>
      </c>
    </row>
    <row r="834" spans="2:5" x14ac:dyDescent="0.2">
      <c r="B834" s="30" t="s">
        <v>1488</v>
      </c>
      <c r="C834" s="34" t="s">
        <v>959</v>
      </c>
      <c r="D834" s="35" t="s">
        <v>959</v>
      </c>
      <c r="E834" s="4" t="s">
        <v>959</v>
      </c>
    </row>
    <row r="835" spans="2:5" x14ac:dyDescent="0.2">
      <c r="B835" s="30" t="s">
        <v>1489</v>
      </c>
      <c r="C835" s="34" t="s">
        <v>959</v>
      </c>
      <c r="D835" s="35" t="s">
        <v>959</v>
      </c>
      <c r="E835" s="4" t="s">
        <v>959</v>
      </c>
    </row>
    <row r="836" spans="2:5" x14ac:dyDescent="0.2">
      <c r="B836" s="30" t="s">
        <v>1490</v>
      </c>
      <c r="C836" s="34" t="s">
        <v>959</v>
      </c>
      <c r="D836" s="35" t="s">
        <v>959</v>
      </c>
      <c r="E836" s="4" t="s">
        <v>959</v>
      </c>
    </row>
    <row r="837" spans="2:5" x14ac:dyDescent="0.2">
      <c r="B837" s="30" t="s">
        <v>1491</v>
      </c>
      <c r="C837" s="34" t="s">
        <v>959</v>
      </c>
      <c r="D837" s="35" t="s">
        <v>959</v>
      </c>
      <c r="E837" s="4" t="s">
        <v>959</v>
      </c>
    </row>
    <row r="838" spans="2:5" x14ac:dyDescent="0.2">
      <c r="B838" s="29" t="s">
        <v>10</v>
      </c>
      <c r="C838" s="32" t="s">
        <v>959</v>
      </c>
      <c r="D838" s="32" t="s">
        <v>959</v>
      </c>
      <c r="E838" s="36" t="s">
        <v>959</v>
      </c>
    </row>
    <row r="839" spans="2:5" x14ac:dyDescent="0.2">
      <c r="B839" s="30" t="s">
        <v>1492</v>
      </c>
      <c r="C839" s="34" t="s">
        <v>959</v>
      </c>
      <c r="D839" s="35" t="s">
        <v>959</v>
      </c>
      <c r="E839" s="4" t="s">
        <v>959</v>
      </c>
    </row>
    <row r="840" spans="2:5" x14ac:dyDescent="0.2">
      <c r="B840" s="30" t="s">
        <v>1493</v>
      </c>
      <c r="C840" s="34" t="s">
        <v>959</v>
      </c>
      <c r="D840" s="35" t="s">
        <v>959</v>
      </c>
      <c r="E840" s="4" t="s">
        <v>959</v>
      </c>
    </row>
    <row r="841" spans="2:5" x14ac:dyDescent="0.2">
      <c r="B841" s="30" t="s">
        <v>1494</v>
      </c>
      <c r="C841" s="34" t="s">
        <v>959</v>
      </c>
      <c r="D841" s="35" t="s">
        <v>959</v>
      </c>
      <c r="E841" s="4" t="s">
        <v>959</v>
      </c>
    </row>
    <row r="842" spans="2:5" x14ac:dyDescent="0.2">
      <c r="B842" s="30" t="s">
        <v>1495</v>
      </c>
      <c r="C842" s="34" t="s">
        <v>959</v>
      </c>
      <c r="D842" s="35" t="s">
        <v>959</v>
      </c>
      <c r="E842" s="4" t="s">
        <v>959</v>
      </c>
    </row>
    <row r="843" spans="2:5" x14ac:dyDescent="0.2">
      <c r="B843" s="30" t="s">
        <v>1496</v>
      </c>
      <c r="C843" s="34" t="s">
        <v>959</v>
      </c>
      <c r="D843" s="35" t="s">
        <v>959</v>
      </c>
      <c r="E843" s="4" t="s">
        <v>959</v>
      </c>
    </row>
    <row r="844" spans="2:5" x14ac:dyDescent="0.2">
      <c r="B844" s="29" t="s">
        <v>107</v>
      </c>
      <c r="C844" s="32" t="s">
        <v>959</v>
      </c>
      <c r="D844" s="32" t="s">
        <v>959</v>
      </c>
      <c r="E844" s="36" t="s">
        <v>959</v>
      </c>
    </row>
    <row r="845" spans="2:5" x14ac:dyDescent="0.2">
      <c r="B845" s="30" t="s">
        <v>1497</v>
      </c>
      <c r="C845" s="34" t="s">
        <v>959</v>
      </c>
      <c r="D845" s="35" t="s">
        <v>959</v>
      </c>
      <c r="E845" s="4" t="s">
        <v>959</v>
      </c>
    </row>
    <row r="846" spans="2:5" x14ac:dyDescent="0.2">
      <c r="B846" s="30" t="s">
        <v>1498</v>
      </c>
      <c r="C846" s="34" t="s">
        <v>959</v>
      </c>
      <c r="D846" s="35" t="s">
        <v>959</v>
      </c>
      <c r="E846" s="4" t="s">
        <v>959</v>
      </c>
    </row>
    <row r="847" spans="2:5" x14ac:dyDescent="0.2">
      <c r="B847" s="30" t="s">
        <v>1499</v>
      </c>
      <c r="C847" s="34" t="s">
        <v>959</v>
      </c>
      <c r="D847" s="35" t="s">
        <v>959</v>
      </c>
      <c r="E847" s="4" t="s">
        <v>959</v>
      </c>
    </row>
    <row r="848" spans="2:5" x14ac:dyDescent="0.2">
      <c r="B848" s="30" t="s">
        <v>1500</v>
      </c>
      <c r="C848" s="34" t="s">
        <v>959</v>
      </c>
      <c r="D848" s="35" t="s">
        <v>959</v>
      </c>
      <c r="E848" s="4" t="s">
        <v>959</v>
      </c>
    </row>
    <row r="849" spans="2:5" x14ac:dyDescent="0.2">
      <c r="B849" s="29" t="s">
        <v>36</v>
      </c>
      <c r="C849" s="32" t="s">
        <v>959</v>
      </c>
      <c r="D849" s="32" t="s">
        <v>959</v>
      </c>
      <c r="E849" s="36" t="s">
        <v>959</v>
      </c>
    </row>
    <row r="850" spans="2:5" x14ac:dyDescent="0.2">
      <c r="B850" s="30" t="s">
        <v>1501</v>
      </c>
      <c r="C850" s="34" t="s">
        <v>959</v>
      </c>
      <c r="D850" s="35" t="s">
        <v>959</v>
      </c>
      <c r="E850" s="4" t="s">
        <v>959</v>
      </c>
    </row>
    <row r="851" spans="2:5" x14ac:dyDescent="0.2">
      <c r="B851" s="30" t="s">
        <v>1502</v>
      </c>
      <c r="C851" s="34" t="s">
        <v>959</v>
      </c>
      <c r="D851" s="35" t="s">
        <v>959</v>
      </c>
      <c r="E851" s="4" t="s">
        <v>959</v>
      </c>
    </row>
    <row r="852" spans="2:5" x14ac:dyDescent="0.2">
      <c r="B852" s="30" t="s">
        <v>1503</v>
      </c>
      <c r="C852" s="34" t="s">
        <v>959</v>
      </c>
      <c r="D852" s="35" t="s">
        <v>959</v>
      </c>
      <c r="E852" s="4" t="s">
        <v>959</v>
      </c>
    </row>
    <row r="853" spans="2:5" x14ac:dyDescent="0.2">
      <c r="B853" s="30" t="s">
        <v>1504</v>
      </c>
      <c r="C853" s="34" t="s">
        <v>959</v>
      </c>
      <c r="D853" s="35" t="s">
        <v>959</v>
      </c>
      <c r="E853" s="4" t="s">
        <v>959</v>
      </c>
    </row>
    <row r="854" spans="2:5" x14ac:dyDescent="0.2">
      <c r="B854" s="30" t="s">
        <v>1505</v>
      </c>
      <c r="C854" s="34" t="s">
        <v>959</v>
      </c>
      <c r="D854" s="35" t="s">
        <v>959</v>
      </c>
      <c r="E854" s="4" t="s">
        <v>959</v>
      </c>
    </row>
    <row r="855" spans="2:5" x14ac:dyDescent="0.2">
      <c r="B855" s="30" t="s">
        <v>1506</v>
      </c>
      <c r="C855" s="34" t="s">
        <v>959</v>
      </c>
      <c r="D855" s="35" t="s">
        <v>959</v>
      </c>
      <c r="E855" s="4" t="s">
        <v>959</v>
      </c>
    </row>
    <row r="856" spans="2:5" x14ac:dyDescent="0.2">
      <c r="B856" s="30" t="s">
        <v>1507</v>
      </c>
      <c r="C856" s="34" t="s">
        <v>959</v>
      </c>
      <c r="D856" s="35" t="s">
        <v>959</v>
      </c>
      <c r="E856" s="4" t="s">
        <v>959</v>
      </c>
    </row>
    <row r="857" spans="2:5" x14ac:dyDescent="0.2">
      <c r="B857" s="29" t="s">
        <v>51</v>
      </c>
      <c r="C857" s="32" t="s">
        <v>959</v>
      </c>
      <c r="D857" s="32" t="s">
        <v>959</v>
      </c>
      <c r="E857" s="36" t="s">
        <v>959</v>
      </c>
    </row>
    <row r="858" spans="2:5" x14ac:dyDescent="0.2">
      <c r="B858" s="30" t="s">
        <v>1508</v>
      </c>
      <c r="C858" s="34" t="s">
        <v>959</v>
      </c>
      <c r="D858" s="35" t="s">
        <v>959</v>
      </c>
      <c r="E858" s="4" t="s">
        <v>959</v>
      </c>
    </row>
    <row r="859" spans="2:5" x14ac:dyDescent="0.2">
      <c r="B859" s="30" t="s">
        <v>1509</v>
      </c>
      <c r="C859" s="34" t="s">
        <v>959</v>
      </c>
      <c r="D859" s="35" t="s">
        <v>959</v>
      </c>
      <c r="E859" s="4" t="s">
        <v>959</v>
      </c>
    </row>
    <row r="860" spans="2:5" x14ac:dyDescent="0.2">
      <c r="B860" s="30" t="s">
        <v>1510</v>
      </c>
      <c r="C860" s="34" t="s">
        <v>959</v>
      </c>
      <c r="D860" s="35" t="s">
        <v>959</v>
      </c>
      <c r="E860" s="4" t="s">
        <v>959</v>
      </c>
    </row>
    <row r="861" spans="2:5" x14ac:dyDescent="0.2">
      <c r="B861" s="30" t="s">
        <v>1511</v>
      </c>
      <c r="C861" s="34" t="s">
        <v>959</v>
      </c>
      <c r="D861" s="35" t="s">
        <v>959</v>
      </c>
      <c r="E861" s="4" t="s">
        <v>959</v>
      </c>
    </row>
    <row r="862" spans="2:5" x14ac:dyDescent="0.2">
      <c r="B862" s="30" t="s">
        <v>1512</v>
      </c>
      <c r="C862" s="34" t="s">
        <v>959</v>
      </c>
      <c r="D862" s="35" t="s">
        <v>959</v>
      </c>
      <c r="E862" s="4" t="s">
        <v>959</v>
      </c>
    </row>
    <row r="863" spans="2:5" x14ac:dyDescent="0.2">
      <c r="B863" s="30" t="s">
        <v>1513</v>
      </c>
      <c r="C863" s="34" t="s">
        <v>959</v>
      </c>
      <c r="D863" s="35" t="s">
        <v>959</v>
      </c>
      <c r="E863" s="4" t="s">
        <v>959</v>
      </c>
    </row>
    <row r="864" spans="2:5" x14ac:dyDescent="0.2">
      <c r="B864" s="29" t="s">
        <v>75</v>
      </c>
      <c r="C864" s="32" t="s">
        <v>959</v>
      </c>
      <c r="D864" s="32" t="s">
        <v>959</v>
      </c>
      <c r="E864" s="36" t="s">
        <v>959</v>
      </c>
    </row>
    <row r="865" spans="2:5" x14ac:dyDescent="0.2">
      <c r="B865" s="30" t="s">
        <v>1514</v>
      </c>
      <c r="C865" s="34" t="s">
        <v>959</v>
      </c>
      <c r="D865" s="35" t="s">
        <v>959</v>
      </c>
      <c r="E865" s="4" t="s">
        <v>959</v>
      </c>
    </row>
    <row r="866" spans="2:5" x14ac:dyDescent="0.2">
      <c r="B866" s="30" t="s">
        <v>1515</v>
      </c>
      <c r="C866" s="34" t="s">
        <v>959</v>
      </c>
      <c r="D866" s="35" t="s">
        <v>959</v>
      </c>
      <c r="E866" s="4" t="s">
        <v>959</v>
      </c>
    </row>
    <row r="867" spans="2:5" x14ac:dyDescent="0.2">
      <c r="B867" s="30" t="s">
        <v>1516</v>
      </c>
      <c r="C867" s="34" t="s">
        <v>959</v>
      </c>
      <c r="D867" s="35" t="s">
        <v>959</v>
      </c>
      <c r="E867" s="4" t="s">
        <v>959</v>
      </c>
    </row>
    <row r="868" spans="2:5" x14ac:dyDescent="0.2">
      <c r="B868" s="30" t="s">
        <v>1517</v>
      </c>
      <c r="C868" s="34" t="s">
        <v>959</v>
      </c>
      <c r="D868" s="35" t="s">
        <v>959</v>
      </c>
      <c r="E868" s="4" t="s">
        <v>959</v>
      </c>
    </row>
    <row r="869" spans="2:5" x14ac:dyDescent="0.2">
      <c r="B869" s="29" t="s">
        <v>8</v>
      </c>
      <c r="C869" s="32" t="s">
        <v>959</v>
      </c>
      <c r="D869" s="32" t="s">
        <v>959</v>
      </c>
      <c r="E869" s="36" t="s">
        <v>959</v>
      </c>
    </row>
    <row r="870" spans="2:5" x14ac:dyDescent="0.2">
      <c r="B870" s="30" t="s">
        <v>1518</v>
      </c>
      <c r="C870" s="34" t="s">
        <v>959</v>
      </c>
      <c r="D870" s="35" t="s">
        <v>959</v>
      </c>
      <c r="E870" s="4" t="s">
        <v>959</v>
      </c>
    </row>
    <row r="871" spans="2:5" x14ac:dyDescent="0.2">
      <c r="B871" s="30" t="s">
        <v>1519</v>
      </c>
      <c r="C871" s="34" t="s">
        <v>959</v>
      </c>
      <c r="D871" s="35" t="s">
        <v>959</v>
      </c>
      <c r="E871" s="4" t="s">
        <v>959</v>
      </c>
    </row>
    <row r="872" spans="2:5" x14ac:dyDescent="0.2">
      <c r="B872" s="30" t="s">
        <v>1520</v>
      </c>
      <c r="C872" s="34" t="s">
        <v>959</v>
      </c>
      <c r="D872" s="35" t="s">
        <v>959</v>
      </c>
      <c r="E872" s="4" t="s">
        <v>959</v>
      </c>
    </row>
    <row r="873" spans="2:5" x14ac:dyDescent="0.2">
      <c r="B873" s="30" t="s">
        <v>1521</v>
      </c>
      <c r="C873" s="34" t="s">
        <v>959</v>
      </c>
      <c r="D873" s="35" t="s">
        <v>959</v>
      </c>
      <c r="E873" s="4" t="s">
        <v>959</v>
      </c>
    </row>
    <row r="874" spans="2:5" x14ac:dyDescent="0.2">
      <c r="B874" s="30" t="s">
        <v>1522</v>
      </c>
      <c r="C874" s="34" t="s">
        <v>959</v>
      </c>
      <c r="D874" s="35" t="s">
        <v>959</v>
      </c>
      <c r="E874" s="4" t="s">
        <v>959</v>
      </c>
    </row>
    <row r="875" spans="2:5" x14ac:dyDescent="0.2">
      <c r="B875" s="29" t="s">
        <v>41</v>
      </c>
      <c r="C875" s="32" t="s">
        <v>959</v>
      </c>
      <c r="D875" s="32" t="s">
        <v>959</v>
      </c>
      <c r="E875" s="36" t="s">
        <v>959</v>
      </c>
    </row>
    <row r="876" spans="2:5" x14ac:dyDescent="0.2">
      <c r="B876" s="30" t="s">
        <v>1523</v>
      </c>
      <c r="C876" s="34" t="s">
        <v>959</v>
      </c>
      <c r="D876" s="35" t="s">
        <v>959</v>
      </c>
      <c r="E876" s="4" t="s">
        <v>959</v>
      </c>
    </row>
    <row r="877" spans="2:5" x14ac:dyDescent="0.2">
      <c r="B877" s="30" t="s">
        <v>1524</v>
      </c>
      <c r="C877" s="34" t="s">
        <v>959</v>
      </c>
      <c r="D877" s="35" t="s">
        <v>959</v>
      </c>
      <c r="E877" s="4" t="s">
        <v>959</v>
      </c>
    </row>
    <row r="878" spans="2:5" x14ac:dyDescent="0.2">
      <c r="B878" s="30" t="s">
        <v>1525</v>
      </c>
      <c r="C878" s="34" t="s">
        <v>959</v>
      </c>
      <c r="D878" s="35" t="s">
        <v>959</v>
      </c>
      <c r="E878" s="4" t="s">
        <v>959</v>
      </c>
    </row>
    <row r="879" spans="2:5" x14ac:dyDescent="0.2">
      <c r="B879" s="29" t="s">
        <v>26</v>
      </c>
      <c r="C879" s="32" t="s">
        <v>959</v>
      </c>
      <c r="D879" s="32" t="s">
        <v>959</v>
      </c>
      <c r="E879" s="36" t="s">
        <v>959</v>
      </c>
    </row>
    <row r="880" spans="2:5" x14ac:dyDescent="0.2">
      <c r="B880" s="30" t="s">
        <v>1526</v>
      </c>
      <c r="C880" s="34" t="s">
        <v>959</v>
      </c>
      <c r="D880" s="35" t="s">
        <v>959</v>
      </c>
      <c r="E880" s="4" t="s">
        <v>959</v>
      </c>
    </row>
    <row r="881" spans="2:5" x14ac:dyDescent="0.2">
      <c r="B881" s="30" t="s">
        <v>1527</v>
      </c>
      <c r="C881" s="34" t="s">
        <v>959</v>
      </c>
      <c r="D881" s="35" t="s">
        <v>959</v>
      </c>
      <c r="E881" s="4" t="s">
        <v>959</v>
      </c>
    </row>
    <row r="882" spans="2:5" x14ac:dyDescent="0.2">
      <c r="B882" s="30" t="s">
        <v>1528</v>
      </c>
      <c r="C882" s="34" t="s">
        <v>959</v>
      </c>
      <c r="D882" s="35" t="s">
        <v>959</v>
      </c>
      <c r="E882" s="4" t="s">
        <v>959</v>
      </c>
    </row>
    <row r="883" spans="2:5" x14ac:dyDescent="0.2">
      <c r="B883" s="30" t="s">
        <v>1529</v>
      </c>
      <c r="C883" s="34" t="s">
        <v>959</v>
      </c>
      <c r="D883" s="35" t="s">
        <v>959</v>
      </c>
      <c r="E883" s="4" t="s">
        <v>959</v>
      </c>
    </row>
    <row r="884" spans="2:5" x14ac:dyDescent="0.2">
      <c r="B884" s="30" t="s">
        <v>1259</v>
      </c>
      <c r="C884" s="34" t="s">
        <v>959</v>
      </c>
      <c r="D884" s="35" t="s">
        <v>959</v>
      </c>
      <c r="E884" s="4" t="s">
        <v>959</v>
      </c>
    </row>
    <row r="885" spans="2:5" x14ac:dyDescent="0.2">
      <c r="B885" s="30" t="s">
        <v>1530</v>
      </c>
      <c r="C885" s="34" t="s">
        <v>959</v>
      </c>
      <c r="D885" s="35" t="s">
        <v>959</v>
      </c>
      <c r="E885" s="4" t="s">
        <v>959</v>
      </c>
    </row>
    <row r="886" spans="2:5" x14ac:dyDescent="0.2">
      <c r="B886" s="30" t="s">
        <v>1531</v>
      </c>
      <c r="C886" s="34" t="s">
        <v>959</v>
      </c>
      <c r="D886" s="35" t="s">
        <v>959</v>
      </c>
      <c r="E886" s="4" t="s">
        <v>959</v>
      </c>
    </row>
    <row r="887" spans="2:5" x14ac:dyDescent="0.2">
      <c r="B887" s="30" t="s">
        <v>989</v>
      </c>
      <c r="C887" s="34" t="s">
        <v>959</v>
      </c>
      <c r="D887" s="35" t="s">
        <v>959</v>
      </c>
      <c r="E887" s="4" t="s">
        <v>959</v>
      </c>
    </row>
    <row r="888" spans="2:5" x14ac:dyDescent="0.2">
      <c r="B888" s="30" t="s">
        <v>1532</v>
      </c>
      <c r="C888" s="34" t="s">
        <v>959</v>
      </c>
      <c r="D888" s="35" t="s">
        <v>959</v>
      </c>
      <c r="E888" s="4" t="s">
        <v>959</v>
      </c>
    </row>
    <row r="889" spans="2:5" x14ac:dyDescent="0.2">
      <c r="B889" s="29" t="s">
        <v>103</v>
      </c>
      <c r="C889" s="32" t="s">
        <v>959</v>
      </c>
      <c r="D889" s="32" t="s">
        <v>959</v>
      </c>
      <c r="E889" s="36" t="s">
        <v>959</v>
      </c>
    </row>
    <row r="890" spans="2:5" x14ac:dyDescent="0.2">
      <c r="B890" s="30" t="s">
        <v>1533</v>
      </c>
      <c r="C890" s="34" t="s">
        <v>959</v>
      </c>
      <c r="D890" s="35" t="s">
        <v>959</v>
      </c>
      <c r="E890" s="4" t="s">
        <v>959</v>
      </c>
    </row>
    <row r="891" spans="2:5" x14ac:dyDescent="0.2">
      <c r="B891" s="30" t="s">
        <v>1534</v>
      </c>
      <c r="C891" s="34" t="s">
        <v>959</v>
      </c>
      <c r="D891" s="35" t="s">
        <v>959</v>
      </c>
      <c r="E891" s="4" t="s">
        <v>959</v>
      </c>
    </row>
    <row r="892" spans="2:5" x14ac:dyDescent="0.2">
      <c r="B892" s="30" t="s">
        <v>1535</v>
      </c>
      <c r="C892" s="34" t="s">
        <v>959</v>
      </c>
      <c r="D892" s="35" t="s">
        <v>959</v>
      </c>
      <c r="E892" s="4" t="s">
        <v>959</v>
      </c>
    </row>
    <row r="893" spans="2:5" x14ac:dyDescent="0.2">
      <c r="B893" s="30" t="s">
        <v>1536</v>
      </c>
      <c r="C893" s="34" t="s">
        <v>959</v>
      </c>
      <c r="D893" s="35" t="s">
        <v>959</v>
      </c>
      <c r="E893" s="4" t="s">
        <v>959</v>
      </c>
    </row>
    <row r="894" spans="2:5" x14ac:dyDescent="0.2">
      <c r="B894" s="30" t="s">
        <v>1537</v>
      </c>
      <c r="C894" s="34" t="s">
        <v>959</v>
      </c>
      <c r="D894" s="35" t="s">
        <v>959</v>
      </c>
      <c r="E894" s="4" t="s">
        <v>959</v>
      </c>
    </row>
    <row r="895" spans="2:5" x14ac:dyDescent="0.2">
      <c r="B895" s="29" t="s">
        <v>13</v>
      </c>
      <c r="C895" s="32" t="s">
        <v>959</v>
      </c>
      <c r="D895" s="32" t="s">
        <v>959</v>
      </c>
      <c r="E895" s="36" t="s">
        <v>959</v>
      </c>
    </row>
    <row r="896" spans="2:5" x14ac:dyDescent="0.2">
      <c r="B896" s="30" t="s">
        <v>1538</v>
      </c>
      <c r="C896" s="34" t="s">
        <v>959</v>
      </c>
      <c r="D896" s="35" t="s">
        <v>959</v>
      </c>
      <c r="E896" s="4" t="s">
        <v>959</v>
      </c>
    </row>
    <row r="897" spans="2:5" x14ac:dyDescent="0.2">
      <c r="B897" s="30" t="s">
        <v>1539</v>
      </c>
      <c r="C897" s="34" t="s">
        <v>959</v>
      </c>
      <c r="D897" s="35" t="s">
        <v>959</v>
      </c>
      <c r="E897" s="4" t="s">
        <v>959</v>
      </c>
    </row>
    <row r="898" spans="2:5" x14ac:dyDescent="0.2">
      <c r="B898" s="30" t="s">
        <v>1540</v>
      </c>
      <c r="C898" s="34" t="s">
        <v>959</v>
      </c>
      <c r="D898" s="35" t="s">
        <v>959</v>
      </c>
      <c r="E898" s="4" t="s">
        <v>959</v>
      </c>
    </row>
    <row r="899" spans="2:5" x14ac:dyDescent="0.2">
      <c r="B899" s="30" t="s">
        <v>1541</v>
      </c>
      <c r="C899" s="34" t="s">
        <v>959</v>
      </c>
      <c r="D899" s="35" t="s">
        <v>959</v>
      </c>
      <c r="E899" s="4" t="s">
        <v>959</v>
      </c>
    </row>
    <row r="900" spans="2:5" x14ac:dyDescent="0.2">
      <c r="B900" s="30" t="s">
        <v>1542</v>
      </c>
      <c r="C900" s="34" t="s">
        <v>959</v>
      </c>
      <c r="D900" s="35" t="s">
        <v>959</v>
      </c>
      <c r="E900" s="4" t="s">
        <v>959</v>
      </c>
    </row>
    <row r="901" spans="2:5" x14ac:dyDescent="0.2">
      <c r="B901" s="30" t="s">
        <v>1543</v>
      </c>
      <c r="C901" s="34" t="s">
        <v>959</v>
      </c>
      <c r="D901" s="35" t="s">
        <v>959</v>
      </c>
      <c r="E901" s="4" t="s">
        <v>959</v>
      </c>
    </row>
    <row r="902" spans="2:5" x14ac:dyDescent="0.2">
      <c r="B902" s="30" t="s">
        <v>1544</v>
      </c>
      <c r="C902" s="34" t="s">
        <v>959</v>
      </c>
      <c r="D902" s="35" t="s">
        <v>959</v>
      </c>
      <c r="E902" s="4" t="s">
        <v>959</v>
      </c>
    </row>
    <row r="903" spans="2:5" x14ac:dyDescent="0.2">
      <c r="B903" s="29" t="s">
        <v>128</v>
      </c>
      <c r="C903" s="32" t="s">
        <v>959</v>
      </c>
      <c r="D903" s="32" t="s">
        <v>959</v>
      </c>
      <c r="E903" s="36" t="s">
        <v>959</v>
      </c>
    </row>
    <row r="904" spans="2:5" x14ac:dyDescent="0.2">
      <c r="B904" s="30" t="s">
        <v>1545</v>
      </c>
      <c r="C904" s="34" t="s">
        <v>959</v>
      </c>
      <c r="D904" s="35" t="s">
        <v>959</v>
      </c>
      <c r="E904" s="4" t="s">
        <v>959</v>
      </c>
    </row>
    <row r="905" spans="2:5" x14ac:dyDescent="0.2">
      <c r="B905" s="30" t="s">
        <v>1546</v>
      </c>
      <c r="C905" s="34" t="s">
        <v>959</v>
      </c>
      <c r="D905" s="35" t="s">
        <v>959</v>
      </c>
      <c r="E905" s="4" t="s">
        <v>959</v>
      </c>
    </row>
    <row r="906" spans="2:5" x14ac:dyDescent="0.2">
      <c r="B906" s="30" t="s">
        <v>1547</v>
      </c>
      <c r="C906" s="34" t="s">
        <v>959</v>
      </c>
      <c r="D906" s="35" t="s">
        <v>959</v>
      </c>
      <c r="E906" s="4" t="s">
        <v>959</v>
      </c>
    </row>
    <row r="907" spans="2:5" x14ac:dyDescent="0.2">
      <c r="B907" s="30" t="s">
        <v>1548</v>
      </c>
      <c r="C907" s="34" t="s">
        <v>959</v>
      </c>
      <c r="D907" s="35" t="s">
        <v>959</v>
      </c>
      <c r="E907" s="4" t="s">
        <v>959</v>
      </c>
    </row>
    <row r="908" spans="2:5" x14ac:dyDescent="0.2">
      <c r="B908" s="30" t="s">
        <v>1549</v>
      </c>
      <c r="C908" s="34" t="s">
        <v>959</v>
      </c>
      <c r="D908" s="35" t="s">
        <v>959</v>
      </c>
      <c r="E908" s="4" t="s">
        <v>959</v>
      </c>
    </row>
    <row r="909" spans="2:5" x14ac:dyDescent="0.2">
      <c r="B909" s="29" t="s">
        <v>46</v>
      </c>
      <c r="C909" s="32" t="s">
        <v>959</v>
      </c>
      <c r="D909" s="32" t="s">
        <v>959</v>
      </c>
      <c r="E909" s="36" t="s">
        <v>959</v>
      </c>
    </row>
    <row r="910" spans="2:5" x14ac:dyDescent="0.2">
      <c r="B910" s="30" t="s">
        <v>1550</v>
      </c>
      <c r="C910" s="34" t="s">
        <v>959</v>
      </c>
      <c r="D910" s="35" t="s">
        <v>959</v>
      </c>
      <c r="E910" s="4" t="s">
        <v>959</v>
      </c>
    </row>
    <row r="911" spans="2:5" x14ac:dyDescent="0.2">
      <c r="B911" s="30" t="s">
        <v>1551</v>
      </c>
      <c r="C911" s="34" t="s">
        <v>959</v>
      </c>
      <c r="D911" s="35" t="s">
        <v>959</v>
      </c>
      <c r="E911" s="4" t="s">
        <v>959</v>
      </c>
    </row>
    <row r="912" spans="2:5" x14ac:dyDescent="0.2">
      <c r="B912" s="30" t="s">
        <v>1552</v>
      </c>
      <c r="C912" s="34" t="s">
        <v>959</v>
      </c>
      <c r="D912" s="35" t="s">
        <v>959</v>
      </c>
      <c r="E912" s="4" t="s">
        <v>959</v>
      </c>
    </row>
    <row r="913" spans="2:5" x14ac:dyDescent="0.2">
      <c r="B913" s="30" t="s">
        <v>1553</v>
      </c>
      <c r="C913" s="34" t="s">
        <v>959</v>
      </c>
      <c r="D913" s="35" t="s">
        <v>959</v>
      </c>
      <c r="E913" s="4" t="s">
        <v>959</v>
      </c>
    </row>
    <row r="914" spans="2:5" x14ac:dyDescent="0.2">
      <c r="B914" s="30" t="s">
        <v>1554</v>
      </c>
      <c r="C914" s="34" t="s">
        <v>959</v>
      </c>
      <c r="D914" s="35" t="s">
        <v>959</v>
      </c>
      <c r="E914" s="4" t="s">
        <v>959</v>
      </c>
    </row>
    <row r="915" spans="2:5" x14ac:dyDescent="0.2">
      <c r="B915" s="30" t="s">
        <v>1555</v>
      </c>
      <c r="C915" s="34" t="s">
        <v>959</v>
      </c>
      <c r="D915" s="35" t="s">
        <v>959</v>
      </c>
      <c r="E915" s="4" t="s">
        <v>959</v>
      </c>
    </row>
    <row r="916" spans="2:5" x14ac:dyDescent="0.2">
      <c r="B916" s="30" t="s">
        <v>1556</v>
      </c>
      <c r="C916" s="34" t="s">
        <v>959</v>
      </c>
      <c r="D916" s="35" t="s">
        <v>959</v>
      </c>
      <c r="E916" s="4" t="s">
        <v>959</v>
      </c>
    </row>
    <row r="917" spans="2:5" x14ac:dyDescent="0.2">
      <c r="B917" s="29" t="s">
        <v>124</v>
      </c>
      <c r="C917" s="32" t="s">
        <v>959</v>
      </c>
      <c r="D917" s="32" t="s">
        <v>959</v>
      </c>
      <c r="E917" s="36" t="s">
        <v>959</v>
      </c>
    </row>
    <row r="918" spans="2:5" x14ac:dyDescent="0.2">
      <c r="B918" s="30" t="s">
        <v>1557</v>
      </c>
      <c r="C918" s="34" t="s">
        <v>959</v>
      </c>
      <c r="D918" s="35" t="s">
        <v>959</v>
      </c>
      <c r="E918" s="4" t="s">
        <v>959</v>
      </c>
    </row>
    <row r="919" spans="2:5" x14ac:dyDescent="0.2">
      <c r="B919" s="30" t="s">
        <v>1558</v>
      </c>
      <c r="C919" s="34" t="s">
        <v>959</v>
      </c>
      <c r="D919" s="35" t="s">
        <v>959</v>
      </c>
      <c r="E919" s="4" t="s">
        <v>959</v>
      </c>
    </row>
    <row r="920" spans="2:5" x14ac:dyDescent="0.2">
      <c r="B920" s="30" t="s">
        <v>1559</v>
      </c>
      <c r="C920" s="34" t="s">
        <v>959</v>
      </c>
      <c r="D920" s="35" t="s">
        <v>959</v>
      </c>
      <c r="E920" s="4" t="s">
        <v>959</v>
      </c>
    </row>
    <row r="921" spans="2:5" x14ac:dyDescent="0.2">
      <c r="B921" s="30" t="s">
        <v>1560</v>
      </c>
      <c r="C921" s="34" t="s">
        <v>959</v>
      </c>
      <c r="D921" s="35" t="s">
        <v>959</v>
      </c>
      <c r="E921" s="4" t="s">
        <v>959</v>
      </c>
    </row>
    <row r="922" spans="2:5" x14ac:dyDescent="0.2">
      <c r="B922" s="30" t="s">
        <v>1561</v>
      </c>
      <c r="C922" s="34" t="s">
        <v>959</v>
      </c>
      <c r="D922" s="35" t="s">
        <v>959</v>
      </c>
      <c r="E922" s="4" t="s">
        <v>959</v>
      </c>
    </row>
    <row r="923" spans="2:5" x14ac:dyDescent="0.2">
      <c r="B923" s="29" t="s">
        <v>52</v>
      </c>
      <c r="C923" s="32" t="s">
        <v>959</v>
      </c>
      <c r="D923" s="32" t="s">
        <v>959</v>
      </c>
      <c r="E923" s="36" t="s">
        <v>959</v>
      </c>
    </row>
    <row r="924" spans="2:5" x14ac:dyDescent="0.2">
      <c r="B924" s="30" t="s">
        <v>1562</v>
      </c>
      <c r="C924" s="34" t="s">
        <v>959</v>
      </c>
      <c r="D924" s="35" t="s">
        <v>959</v>
      </c>
      <c r="E924" s="4" t="s">
        <v>959</v>
      </c>
    </row>
    <row r="925" spans="2:5" x14ac:dyDescent="0.2">
      <c r="B925" s="30" t="s">
        <v>1563</v>
      </c>
      <c r="C925" s="34" t="s">
        <v>959</v>
      </c>
      <c r="D925" s="35" t="s">
        <v>959</v>
      </c>
      <c r="E925" s="4" t="s">
        <v>959</v>
      </c>
    </row>
    <row r="926" spans="2:5" x14ac:dyDescent="0.2">
      <c r="B926" s="30" t="s">
        <v>1564</v>
      </c>
      <c r="C926" s="34" t="s">
        <v>959</v>
      </c>
      <c r="D926" s="35" t="s">
        <v>959</v>
      </c>
      <c r="E926" s="4" t="s">
        <v>959</v>
      </c>
    </row>
    <row r="927" spans="2:5" x14ac:dyDescent="0.2">
      <c r="B927" s="30" t="s">
        <v>1565</v>
      </c>
      <c r="C927" s="34" t="s">
        <v>959</v>
      </c>
      <c r="D927" s="35" t="s">
        <v>959</v>
      </c>
      <c r="E927" s="4" t="s">
        <v>959</v>
      </c>
    </row>
    <row r="928" spans="2:5" x14ac:dyDescent="0.2">
      <c r="B928" s="30" t="s">
        <v>1566</v>
      </c>
      <c r="C928" s="34" t="s">
        <v>959</v>
      </c>
      <c r="D928" s="35" t="s">
        <v>959</v>
      </c>
      <c r="E928" s="4" t="s">
        <v>959</v>
      </c>
    </row>
    <row r="929" spans="2:5" x14ac:dyDescent="0.2">
      <c r="B929" s="30" t="s">
        <v>1567</v>
      </c>
      <c r="C929" s="34" t="s">
        <v>959</v>
      </c>
      <c r="D929" s="35" t="s">
        <v>959</v>
      </c>
      <c r="E929" s="4" t="s">
        <v>959</v>
      </c>
    </row>
    <row r="930" spans="2:5" x14ac:dyDescent="0.2">
      <c r="B930" s="30" t="s">
        <v>1568</v>
      </c>
      <c r="C930" s="34" t="s">
        <v>959</v>
      </c>
      <c r="D930" s="35" t="s">
        <v>959</v>
      </c>
      <c r="E930" s="4" t="s">
        <v>959</v>
      </c>
    </row>
    <row r="931" spans="2:5" x14ac:dyDescent="0.2">
      <c r="B931" s="29" t="s">
        <v>60</v>
      </c>
      <c r="C931" s="32" t="s">
        <v>959</v>
      </c>
      <c r="D931" s="32" t="s">
        <v>959</v>
      </c>
      <c r="E931" s="36" t="s">
        <v>959</v>
      </c>
    </row>
    <row r="932" spans="2:5" x14ac:dyDescent="0.2">
      <c r="B932" s="30" t="s">
        <v>1569</v>
      </c>
      <c r="C932" s="34" t="s">
        <v>959</v>
      </c>
      <c r="D932" s="35" t="s">
        <v>959</v>
      </c>
      <c r="E932" s="4" t="s">
        <v>959</v>
      </c>
    </row>
    <row r="933" spans="2:5" x14ac:dyDescent="0.2">
      <c r="B933" s="30" t="s">
        <v>1570</v>
      </c>
      <c r="C933" s="34" t="s">
        <v>959</v>
      </c>
      <c r="D933" s="35" t="s">
        <v>959</v>
      </c>
      <c r="E933" s="4" t="s">
        <v>959</v>
      </c>
    </row>
    <row r="934" spans="2:5" x14ac:dyDescent="0.2">
      <c r="B934" s="30" t="s">
        <v>1571</v>
      </c>
      <c r="C934" s="34" t="s">
        <v>959</v>
      </c>
      <c r="D934" s="35" t="s">
        <v>959</v>
      </c>
      <c r="E934" s="4" t="s">
        <v>959</v>
      </c>
    </row>
    <row r="935" spans="2:5" x14ac:dyDescent="0.2">
      <c r="B935" s="30" t="s">
        <v>1572</v>
      </c>
      <c r="C935" s="34" t="s">
        <v>959</v>
      </c>
      <c r="D935" s="35" t="s">
        <v>959</v>
      </c>
      <c r="E935" s="4" t="s">
        <v>959</v>
      </c>
    </row>
    <row r="936" spans="2:5" x14ac:dyDescent="0.2">
      <c r="B936" s="30" t="s">
        <v>1444</v>
      </c>
      <c r="C936" s="34" t="s">
        <v>959</v>
      </c>
      <c r="D936" s="35" t="s">
        <v>959</v>
      </c>
      <c r="E936" s="4" t="s">
        <v>959</v>
      </c>
    </row>
    <row r="937" spans="2:5" x14ac:dyDescent="0.2">
      <c r="B937" s="29" t="s">
        <v>126</v>
      </c>
      <c r="C937" s="32" t="s">
        <v>959</v>
      </c>
      <c r="D937" s="32" t="s">
        <v>959</v>
      </c>
      <c r="E937" s="36" t="s">
        <v>959</v>
      </c>
    </row>
    <row r="938" spans="2:5" x14ac:dyDescent="0.2">
      <c r="B938" s="30" t="s">
        <v>1573</v>
      </c>
      <c r="C938" s="34" t="s">
        <v>959</v>
      </c>
      <c r="D938" s="35" t="s">
        <v>959</v>
      </c>
      <c r="E938" s="4" t="s">
        <v>959</v>
      </c>
    </row>
    <row r="939" spans="2:5" x14ac:dyDescent="0.2">
      <c r="B939" s="30" t="s">
        <v>1574</v>
      </c>
      <c r="C939" s="34" t="s">
        <v>959</v>
      </c>
      <c r="D939" s="35" t="s">
        <v>959</v>
      </c>
      <c r="E939" s="4" t="s">
        <v>959</v>
      </c>
    </row>
    <row r="940" spans="2:5" x14ac:dyDescent="0.2">
      <c r="B940" s="29" t="s">
        <v>93</v>
      </c>
      <c r="C940" s="32" t="s">
        <v>959</v>
      </c>
      <c r="D940" s="32" t="s">
        <v>959</v>
      </c>
      <c r="E940" s="36" t="s">
        <v>959</v>
      </c>
    </row>
    <row r="941" spans="2:5" x14ac:dyDescent="0.2">
      <c r="B941" s="30" t="s">
        <v>1575</v>
      </c>
      <c r="C941" s="34" t="s">
        <v>959</v>
      </c>
      <c r="D941" s="35" t="s">
        <v>959</v>
      </c>
      <c r="E941" s="4" t="s">
        <v>959</v>
      </c>
    </row>
    <row r="942" spans="2:5" x14ac:dyDescent="0.2">
      <c r="B942" s="30" t="s">
        <v>1576</v>
      </c>
      <c r="C942" s="34" t="s">
        <v>959</v>
      </c>
      <c r="D942" s="35" t="s">
        <v>959</v>
      </c>
      <c r="E942" s="4" t="s">
        <v>959</v>
      </c>
    </row>
    <row r="943" spans="2:5" x14ac:dyDescent="0.2">
      <c r="B943" s="30" t="s">
        <v>1577</v>
      </c>
      <c r="C943" s="34" t="s">
        <v>959</v>
      </c>
      <c r="D943" s="35" t="s">
        <v>959</v>
      </c>
      <c r="E943" s="4" t="s">
        <v>959</v>
      </c>
    </row>
    <row r="944" spans="2:5" x14ac:dyDescent="0.2">
      <c r="B944" s="30" t="s">
        <v>1578</v>
      </c>
      <c r="C944" s="34" t="s">
        <v>959</v>
      </c>
      <c r="D944" s="35" t="s">
        <v>959</v>
      </c>
      <c r="E944" s="4" t="s">
        <v>959</v>
      </c>
    </row>
    <row r="945" spans="2:5" x14ac:dyDescent="0.2">
      <c r="B945" s="30" t="s">
        <v>1579</v>
      </c>
      <c r="C945" s="34" t="s">
        <v>959</v>
      </c>
      <c r="D945" s="35" t="s">
        <v>959</v>
      </c>
      <c r="E945" s="4" t="s">
        <v>959</v>
      </c>
    </row>
    <row r="946" spans="2:5" x14ac:dyDescent="0.2">
      <c r="B946" s="30" t="s">
        <v>1580</v>
      </c>
      <c r="C946" s="34" t="s">
        <v>959</v>
      </c>
      <c r="D946" s="35" t="s">
        <v>959</v>
      </c>
      <c r="E946" s="4" t="s">
        <v>959</v>
      </c>
    </row>
    <row r="947" spans="2:5" x14ac:dyDescent="0.2">
      <c r="B947" s="30" t="s">
        <v>1581</v>
      </c>
      <c r="C947" s="34" t="s">
        <v>959</v>
      </c>
      <c r="D947" s="35" t="s">
        <v>959</v>
      </c>
      <c r="E947" s="4" t="s">
        <v>959</v>
      </c>
    </row>
    <row r="948" spans="2:5" x14ac:dyDescent="0.2">
      <c r="B948" s="30" t="s">
        <v>1582</v>
      </c>
      <c r="C948" s="34" t="s">
        <v>959</v>
      </c>
      <c r="D948" s="35" t="s">
        <v>959</v>
      </c>
      <c r="E948" s="4" t="s">
        <v>959</v>
      </c>
    </row>
    <row r="949" spans="2:5" x14ac:dyDescent="0.2">
      <c r="B949" s="29" t="s">
        <v>54</v>
      </c>
      <c r="C949" s="32" t="s">
        <v>959</v>
      </c>
      <c r="D949" s="32" t="s">
        <v>959</v>
      </c>
      <c r="E949" s="36" t="s">
        <v>959</v>
      </c>
    </row>
    <row r="950" spans="2:5" x14ac:dyDescent="0.2">
      <c r="B950" s="30" t="s">
        <v>1583</v>
      </c>
      <c r="C950" s="34" t="s">
        <v>959</v>
      </c>
      <c r="D950" s="35" t="s">
        <v>959</v>
      </c>
      <c r="E950" s="4" t="s">
        <v>959</v>
      </c>
    </row>
    <row r="951" spans="2:5" x14ac:dyDescent="0.2">
      <c r="B951" s="30" t="s">
        <v>1584</v>
      </c>
      <c r="C951" s="34" t="s">
        <v>959</v>
      </c>
      <c r="D951" s="35" t="s">
        <v>959</v>
      </c>
      <c r="E951" s="4" t="s">
        <v>959</v>
      </c>
    </row>
    <row r="952" spans="2:5" x14ac:dyDescent="0.2">
      <c r="B952" s="30" t="s">
        <v>1585</v>
      </c>
      <c r="C952" s="34" t="s">
        <v>959</v>
      </c>
      <c r="D952" s="35" t="s">
        <v>959</v>
      </c>
      <c r="E952" s="4" t="s">
        <v>959</v>
      </c>
    </row>
    <row r="953" spans="2:5" x14ac:dyDescent="0.2">
      <c r="B953" s="30" t="s">
        <v>1586</v>
      </c>
      <c r="C953" s="34" t="s">
        <v>959</v>
      </c>
      <c r="D953" s="35" t="s">
        <v>959</v>
      </c>
      <c r="E953" s="4" t="s">
        <v>959</v>
      </c>
    </row>
    <row r="954" spans="2:5" x14ac:dyDescent="0.2">
      <c r="B954" s="30" t="s">
        <v>1587</v>
      </c>
      <c r="C954" s="34" t="s">
        <v>959</v>
      </c>
      <c r="D954" s="35" t="s">
        <v>959</v>
      </c>
      <c r="E954" s="4" t="s">
        <v>959</v>
      </c>
    </row>
    <row r="955" spans="2:5" x14ac:dyDescent="0.2">
      <c r="B955" s="30" t="s">
        <v>1588</v>
      </c>
      <c r="C955" s="34" t="s">
        <v>959</v>
      </c>
      <c r="D955" s="35" t="s">
        <v>959</v>
      </c>
      <c r="E955" s="4" t="s">
        <v>959</v>
      </c>
    </row>
    <row r="956" spans="2:5" x14ac:dyDescent="0.2">
      <c r="B956" s="29" t="s">
        <v>62</v>
      </c>
      <c r="C956" s="32" t="s">
        <v>959</v>
      </c>
      <c r="D956" s="32" t="s">
        <v>959</v>
      </c>
      <c r="E956" s="36" t="s">
        <v>959</v>
      </c>
    </row>
    <row r="957" spans="2:5" x14ac:dyDescent="0.2">
      <c r="B957" s="30" t="s">
        <v>1589</v>
      </c>
      <c r="C957" s="34" t="s">
        <v>959</v>
      </c>
      <c r="D957" s="35" t="s">
        <v>959</v>
      </c>
      <c r="E957" s="4" t="s">
        <v>959</v>
      </c>
    </row>
    <row r="958" spans="2:5" x14ac:dyDescent="0.2">
      <c r="B958" s="30" t="s">
        <v>1590</v>
      </c>
      <c r="C958" s="34" t="s">
        <v>959</v>
      </c>
      <c r="D958" s="35" t="s">
        <v>959</v>
      </c>
      <c r="E958" s="4" t="s">
        <v>959</v>
      </c>
    </row>
    <row r="959" spans="2:5" x14ac:dyDescent="0.2">
      <c r="B959" s="30" t="s">
        <v>1591</v>
      </c>
      <c r="C959" s="34" t="s">
        <v>959</v>
      </c>
      <c r="D959" s="35" t="s">
        <v>959</v>
      </c>
      <c r="E959" s="4" t="s">
        <v>959</v>
      </c>
    </row>
    <row r="960" spans="2:5" x14ac:dyDescent="0.2">
      <c r="B960" s="30" t="s">
        <v>1592</v>
      </c>
      <c r="C960" s="34" t="s">
        <v>959</v>
      </c>
      <c r="D960" s="35" t="s">
        <v>959</v>
      </c>
      <c r="E960" s="4" t="s">
        <v>959</v>
      </c>
    </row>
    <row r="961" spans="2:5" x14ac:dyDescent="0.2">
      <c r="B961" s="30" t="s">
        <v>1593</v>
      </c>
      <c r="C961" s="34" t="s">
        <v>959</v>
      </c>
      <c r="D961" s="35" t="s">
        <v>959</v>
      </c>
      <c r="E961" s="4" t="s">
        <v>959</v>
      </c>
    </row>
    <row r="962" spans="2:5" x14ac:dyDescent="0.2">
      <c r="B962" s="29" t="s">
        <v>106</v>
      </c>
      <c r="C962" s="32" t="s">
        <v>959</v>
      </c>
      <c r="D962" s="32" t="s">
        <v>959</v>
      </c>
      <c r="E962" s="36" t="s">
        <v>959</v>
      </c>
    </row>
    <row r="963" spans="2:5" x14ac:dyDescent="0.2">
      <c r="B963" s="30" t="s">
        <v>1594</v>
      </c>
      <c r="C963" s="34" t="s">
        <v>959</v>
      </c>
      <c r="D963" s="35" t="s">
        <v>959</v>
      </c>
      <c r="E963" s="4" t="s">
        <v>959</v>
      </c>
    </row>
    <row r="964" spans="2:5" x14ac:dyDescent="0.2">
      <c r="B964" s="30" t="s">
        <v>1595</v>
      </c>
      <c r="C964" s="34" t="s">
        <v>959</v>
      </c>
      <c r="D964" s="35" t="s">
        <v>959</v>
      </c>
      <c r="E964" s="4" t="s">
        <v>959</v>
      </c>
    </row>
    <row r="965" spans="2:5" x14ac:dyDescent="0.2">
      <c r="B965" s="30" t="s">
        <v>1596</v>
      </c>
      <c r="C965" s="34" t="s">
        <v>959</v>
      </c>
      <c r="D965" s="35" t="s">
        <v>959</v>
      </c>
      <c r="E965" s="4" t="s">
        <v>959</v>
      </c>
    </row>
    <row r="966" spans="2:5" x14ac:dyDescent="0.2">
      <c r="B966" s="30" t="s">
        <v>1597</v>
      </c>
      <c r="C966" s="34" t="s">
        <v>959</v>
      </c>
      <c r="D966" s="35" t="s">
        <v>959</v>
      </c>
      <c r="E966" s="4" t="s">
        <v>959</v>
      </c>
    </row>
    <row r="967" spans="2:5" x14ac:dyDescent="0.2">
      <c r="B967" s="30" t="s">
        <v>1598</v>
      </c>
      <c r="C967" s="34" t="s">
        <v>959</v>
      </c>
      <c r="D967" s="35" t="s">
        <v>959</v>
      </c>
      <c r="E967" s="4" t="s">
        <v>959</v>
      </c>
    </row>
    <row r="968" spans="2:5" x14ac:dyDescent="0.2">
      <c r="B968" s="30" t="s">
        <v>1599</v>
      </c>
      <c r="C968" s="34" t="s">
        <v>959</v>
      </c>
      <c r="D968" s="35" t="s">
        <v>959</v>
      </c>
      <c r="E968" s="4" t="s">
        <v>959</v>
      </c>
    </row>
    <row r="969" spans="2:5" x14ac:dyDescent="0.2">
      <c r="B969" s="30" t="s">
        <v>1600</v>
      </c>
      <c r="C969" s="34" t="s">
        <v>959</v>
      </c>
      <c r="D969" s="35" t="s">
        <v>959</v>
      </c>
      <c r="E969" s="4" t="s">
        <v>959</v>
      </c>
    </row>
    <row r="970" spans="2:5" x14ac:dyDescent="0.2">
      <c r="B970" s="30" t="s">
        <v>1601</v>
      </c>
      <c r="C970" s="34" t="s">
        <v>959</v>
      </c>
      <c r="D970" s="35" t="s">
        <v>959</v>
      </c>
      <c r="E970" s="4" t="s">
        <v>959</v>
      </c>
    </row>
    <row r="971" spans="2:5" x14ac:dyDescent="0.2">
      <c r="B971" s="29" t="s">
        <v>134</v>
      </c>
      <c r="C971" s="32" t="s">
        <v>959</v>
      </c>
      <c r="D971" s="32" t="s">
        <v>959</v>
      </c>
      <c r="E971" s="36" t="s">
        <v>959</v>
      </c>
    </row>
    <row r="972" spans="2:5" x14ac:dyDescent="0.2">
      <c r="B972" s="30" t="s">
        <v>1602</v>
      </c>
      <c r="C972" s="34" t="s">
        <v>959</v>
      </c>
      <c r="D972" s="35" t="s">
        <v>959</v>
      </c>
      <c r="E972" s="4" t="s">
        <v>959</v>
      </c>
    </row>
    <row r="973" spans="2:5" x14ac:dyDescent="0.2">
      <c r="B973" s="30" t="s">
        <v>1603</v>
      </c>
      <c r="C973" s="34" t="s">
        <v>959</v>
      </c>
      <c r="D973" s="35" t="s">
        <v>959</v>
      </c>
      <c r="E973" s="4" t="s">
        <v>959</v>
      </c>
    </row>
    <row r="974" spans="2:5" x14ac:dyDescent="0.2">
      <c r="B974" s="30" t="s">
        <v>1604</v>
      </c>
      <c r="C974" s="34" t="s">
        <v>959</v>
      </c>
      <c r="D974" s="35" t="s">
        <v>959</v>
      </c>
      <c r="E974" s="4" t="s">
        <v>959</v>
      </c>
    </row>
    <row r="975" spans="2:5" x14ac:dyDescent="0.2">
      <c r="B975" s="30" t="s">
        <v>1605</v>
      </c>
      <c r="C975" s="34" t="s">
        <v>959</v>
      </c>
      <c r="D975" s="35" t="s">
        <v>959</v>
      </c>
      <c r="E975" s="4" t="s">
        <v>959</v>
      </c>
    </row>
    <row r="976" spans="2:5" x14ac:dyDescent="0.2">
      <c r="B976" s="30" t="s">
        <v>1606</v>
      </c>
      <c r="C976" s="34" t="s">
        <v>959</v>
      </c>
      <c r="D976" s="35" t="s">
        <v>959</v>
      </c>
      <c r="E976" s="4" t="s">
        <v>959</v>
      </c>
    </row>
    <row r="977" spans="2:5" x14ac:dyDescent="0.2">
      <c r="B977" s="30" t="s">
        <v>1607</v>
      </c>
      <c r="C977" s="34" t="s">
        <v>959</v>
      </c>
      <c r="D977" s="35" t="s">
        <v>959</v>
      </c>
      <c r="E977" s="4" t="s">
        <v>959</v>
      </c>
    </row>
    <row r="978" spans="2:5" x14ac:dyDescent="0.2">
      <c r="B978" s="29" t="s">
        <v>113</v>
      </c>
      <c r="C978" s="32" t="s">
        <v>959</v>
      </c>
      <c r="D978" s="32" t="s">
        <v>959</v>
      </c>
      <c r="E978" s="36" t="s">
        <v>959</v>
      </c>
    </row>
    <row r="979" spans="2:5" x14ac:dyDescent="0.2">
      <c r="B979" s="30" t="s">
        <v>1608</v>
      </c>
      <c r="C979" s="34" t="s">
        <v>959</v>
      </c>
      <c r="D979" s="35" t="s">
        <v>959</v>
      </c>
      <c r="E979" s="4" t="s">
        <v>959</v>
      </c>
    </row>
    <row r="980" spans="2:5" x14ac:dyDescent="0.2">
      <c r="B980" s="30" t="s">
        <v>1609</v>
      </c>
      <c r="C980" s="34" t="s">
        <v>959</v>
      </c>
      <c r="D980" s="35" t="s">
        <v>959</v>
      </c>
      <c r="E980" s="4" t="s">
        <v>959</v>
      </c>
    </row>
    <row r="981" spans="2:5" x14ac:dyDescent="0.2">
      <c r="B981" s="30" t="s">
        <v>1610</v>
      </c>
      <c r="C981" s="34" t="s">
        <v>959</v>
      </c>
      <c r="D981" s="35" t="s">
        <v>959</v>
      </c>
      <c r="E981" s="4" t="s">
        <v>959</v>
      </c>
    </row>
    <row r="982" spans="2:5" x14ac:dyDescent="0.2">
      <c r="B982" s="30" t="s">
        <v>1611</v>
      </c>
      <c r="C982" s="34" t="s">
        <v>959</v>
      </c>
      <c r="D982" s="35" t="s">
        <v>959</v>
      </c>
      <c r="E982" s="4" t="s">
        <v>959</v>
      </c>
    </row>
    <row r="983" spans="2:5" x14ac:dyDescent="0.2">
      <c r="B983" s="30" t="s">
        <v>1612</v>
      </c>
      <c r="C983" s="34" t="s">
        <v>959</v>
      </c>
      <c r="D983" s="35" t="s">
        <v>959</v>
      </c>
      <c r="E983" s="4" t="s">
        <v>959</v>
      </c>
    </row>
    <row r="984" spans="2:5" x14ac:dyDescent="0.2">
      <c r="B984" s="29" t="s">
        <v>95</v>
      </c>
      <c r="C984" s="32" t="s">
        <v>959</v>
      </c>
      <c r="D984" s="32" t="s">
        <v>959</v>
      </c>
      <c r="E984" s="36" t="s">
        <v>959</v>
      </c>
    </row>
    <row r="985" spans="2:5" x14ac:dyDescent="0.2">
      <c r="B985" s="30" t="s">
        <v>1613</v>
      </c>
      <c r="C985" s="34" t="s">
        <v>959</v>
      </c>
      <c r="D985" s="35" t="s">
        <v>959</v>
      </c>
      <c r="E985" s="4" t="s">
        <v>959</v>
      </c>
    </row>
    <row r="986" spans="2:5" x14ac:dyDescent="0.2">
      <c r="B986" s="30" t="s">
        <v>1614</v>
      </c>
      <c r="C986" s="34" t="s">
        <v>959</v>
      </c>
      <c r="D986" s="35" t="s">
        <v>959</v>
      </c>
      <c r="E986" s="4" t="s">
        <v>959</v>
      </c>
    </row>
    <row r="987" spans="2:5" x14ac:dyDescent="0.2">
      <c r="B987" s="30" t="s">
        <v>1615</v>
      </c>
      <c r="C987" s="34" t="s">
        <v>959</v>
      </c>
      <c r="D987" s="35" t="s">
        <v>959</v>
      </c>
      <c r="E987" s="4" t="s">
        <v>959</v>
      </c>
    </row>
    <row r="988" spans="2:5" x14ac:dyDescent="0.2">
      <c r="B988" s="30" t="s">
        <v>1616</v>
      </c>
      <c r="C988" s="34" t="s">
        <v>959</v>
      </c>
      <c r="D988" s="35" t="s">
        <v>959</v>
      </c>
      <c r="E988" s="4" t="s">
        <v>959</v>
      </c>
    </row>
    <row r="989" spans="2:5" x14ac:dyDescent="0.2">
      <c r="B989" s="30" t="s">
        <v>1617</v>
      </c>
      <c r="C989" s="34" t="s">
        <v>959</v>
      </c>
      <c r="D989" s="35" t="s">
        <v>959</v>
      </c>
      <c r="E989" s="4" t="s">
        <v>959</v>
      </c>
    </row>
    <row r="990" spans="2:5" x14ac:dyDescent="0.2">
      <c r="B990" s="30" t="s">
        <v>1618</v>
      </c>
      <c r="C990" s="34" t="s">
        <v>959</v>
      </c>
      <c r="D990" s="35" t="s">
        <v>959</v>
      </c>
      <c r="E990" s="4" t="s">
        <v>959</v>
      </c>
    </row>
    <row r="991" spans="2:5" x14ac:dyDescent="0.2">
      <c r="B991" s="30" t="s">
        <v>1619</v>
      </c>
      <c r="C991" s="34" t="s">
        <v>959</v>
      </c>
      <c r="D991" s="35" t="s">
        <v>959</v>
      </c>
      <c r="E991" s="4" t="s">
        <v>959</v>
      </c>
    </row>
    <row r="992" spans="2:5" x14ac:dyDescent="0.2">
      <c r="B992" s="29" t="s">
        <v>66</v>
      </c>
      <c r="C992" s="32" t="s">
        <v>959</v>
      </c>
      <c r="D992" s="32" t="s">
        <v>959</v>
      </c>
      <c r="E992" s="36" t="s">
        <v>959</v>
      </c>
    </row>
    <row r="993" spans="2:5" x14ac:dyDescent="0.2">
      <c r="B993" s="30" t="s">
        <v>1620</v>
      </c>
      <c r="C993" s="34" t="s">
        <v>959</v>
      </c>
      <c r="D993" s="35" t="s">
        <v>959</v>
      </c>
      <c r="E993" s="4" t="s">
        <v>959</v>
      </c>
    </row>
    <row r="994" spans="2:5" x14ac:dyDescent="0.2">
      <c r="B994" s="30" t="s">
        <v>1621</v>
      </c>
      <c r="C994" s="34" t="s">
        <v>959</v>
      </c>
      <c r="D994" s="35" t="s">
        <v>959</v>
      </c>
      <c r="E994" s="4" t="s">
        <v>959</v>
      </c>
    </row>
    <row r="995" spans="2:5" x14ac:dyDescent="0.2">
      <c r="B995" s="30" t="s">
        <v>1622</v>
      </c>
      <c r="C995" s="34" t="s">
        <v>959</v>
      </c>
      <c r="D995" s="35" t="s">
        <v>959</v>
      </c>
      <c r="E995" s="4" t="s">
        <v>959</v>
      </c>
    </row>
    <row r="996" spans="2:5" x14ac:dyDescent="0.2">
      <c r="B996" s="30" t="s">
        <v>1623</v>
      </c>
      <c r="C996" s="34" t="s">
        <v>959</v>
      </c>
      <c r="D996" s="35" t="s">
        <v>959</v>
      </c>
      <c r="E996" s="4" t="s">
        <v>959</v>
      </c>
    </row>
    <row r="997" spans="2:5" x14ac:dyDescent="0.2">
      <c r="B997" s="29" t="s">
        <v>44</v>
      </c>
      <c r="C997" s="32" t="s">
        <v>959</v>
      </c>
      <c r="D997" s="32" t="s">
        <v>959</v>
      </c>
      <c r="E997" s="36" t="s">
        <v>959</v>
      </c>
    </row>
    <row r="998" spans="2:5" x14ac:dyDescent="0.2">
      <c r="B998" s="30" t="s">
        <v>1624</v>
      </c>
      <c r="C998" s="34" t="s">
        <v>959</v>
      </c>
      <c r="D998" s="35" t="s">
        <v>959</v>
      </c>
      <c r="E998" s="4" t="s">
        <v>959</v>
      </c>
    </row>
    <row r="999" spans="2:5" x14ac:dyDescent="0.2">
      <c r="B999" s="30" t="s">
        <v>1625</v>
      </c>
      <c r="C999" s="34" t="s">
        <v>959</v>
      </c>
      <c r="D999" s="35" t="s">
        <v>959</v>
      </c>
      <c r="E999" s="4" t="s">
        <v>959</v>
      </c>
    </row>
    <row r="1000" spans="2:5" x14ac:dyDescent="0.2">
      <c r="B1000" s="30" t="s">
        <v>1626</v>
      </c>
      <c r="C1000" s="34" t="s">
        <v>959</v>
      </c>
      <c r="D1000" s="35" t="s">
        <v>959</v>
      </c>
      <c r="E1000" s="4" t="s">
        <v>959</v>
      </c>
    </row>
    <row r="1001" spans="2:5" x14ac:dyDescent="0.2">
      <c r="B1001" s="30" t="s">
        <v>1627</v>
      </c>
      <c r="C1001" s="34" t="s">
        <v>959</v>
      </c>
      <c r="D1001" s="35" t="s">
        <v>959</v>
      </c>
      <c r="E1001" s="4" t="s">
        <v>959</v>
      </c>
    </row>
    <row r="1002" spans="2:5" x14ac:dyDescent="0.2">
      <c r="B1002" s="29" t="s">
        <v>61</v>
      </c>
      <c r="C1002" s="32" t="s">
        <v>959</v>
      </c>
      <c r="D1002" s="32" t="s">
        <v>959</v>
      </c>
      <c r="E1002" s="36" t="s">
        <v>959</v>
      </c>
    </row>
    <row r="1003" spans="2:5" x14ac:dyDescent="0.2">
      <c r="B1003" s="30" t="s">
        <v>1628</v>
      </c>
      <c r="C1003" s="34" t="s">
        <v>959</v>
      </c>
      <c r="D1003" s="35" t="s">
        <v>959</v>
      </c>
      <c r="E1003" s="4" t="s">
        <v>959</v>
      </c>
    </row>
    <row r="1004" spans="2:5" x14ac:dyDescent="0.2">
      <c r="B1004" s="30" t="s">
        <v>1629</v>
      </c>
      <c r="C1004" s="34" t="s">
        <v>959</v>
      </c>
      <c r="D1004" s="35" t="s">
        <v>959</v>
      </c>
      <c r="E1004" s="4" t="s">
        <v>959</v>
      </c>
    </row>
    <row r="1005" spans="2:5" x14ac:dyDescent="0.2">
      <c r="B1005" s="30" t="s">
        <v>1630</v>
      </c>
      <c r="C1005" s="34" t="s">
        <v>959</v>
      </c>
      <c r="D1005" s="35" t="s">
        <v>959</v>
      </c>
      <c r="E1005" s="4" t="s">
        <v>959</v>
      </c>
    </row>
    <row r="1006" spans="2:5" x14ac:dyDescent="0.2">
      <c r="B1006" s="30" t="s">
        <v>1631</v>
      </c>
      <c r="C1006" s="34" t="s">
        <v>959</v>
      </c>
      <c r="D1006" s="35" t="s">
        <v>959</v>
      </c>
      <c r="E1006" s="4" t="s">
        <v>959</v>
      </c>
    </row>
    <row r="1007" spans="2:5" x14ac:dyDescent="0.2">
      <c r="B1007" s="30" t="s">
        <v>1632</v>
      </c>
      <c r="C1007" s="34" t="s">
        <v>959</v>
      </c>
      <c r="D1007" s="35" t="s">
        <v>959</v>
      </c>
      <c r="E1007" s="4" t="s">
        <v>959</v>
      </c>
    </row>
    <row r="1008" spans="2:5" x14ac:dyDescent="0.2">
      <c r="B1008" s="30" t="s">
        <v>1633</v>
      </c>
      <c r="C1008" s="34" t="s">
        <v>959</v>
      </c>
      <c r="D1008" s="35" t="s">
        <v>959</v>
      </c>
      <c r="E1008" s="4" t="s">
        <v>959</v>
      </c>
    </row>
    <row r="1009" spans="2:5" x14ac:dyDescent="0.2">
      <c r="B1009" s="30" t="s">
        <v>1634</v>
      </c>
      <c r="C1009" s="34" t="s">
        <v>959</v>
      </c>
      <c r="D1009" s="35" t="s">
        <v>959</v>
      </c>
      <c r="E1009" s="4" t="s">
        <v>959</v>
      </c>
    </row>
    <row r="1010" spans="2:5" x14ac:dyDescent="0.2">
      <c r="B1010" s="29" t="s">
        <v>130</v>
      </c>
      <c r="C1010" s="32" t="s">
        <v>959</v>
      </c>
      <c r="D1010" s="32" t="s">
        <v>959</v>
      </c>
      <c r="E1010" s="36" t="s">
        <v>959</v>
      </c>
    </row>
    <row r="1011" spans="2:5" x14ac:dyDescent="0.2">
      <c r="B1011" s="30" t="s">
        <v>1635</v>
      </c>
      <c r="C1011" s="34" t="s">
        <v>959</v>
      </c>
      <c r="D1011" s="35" t="s">
        <v>959</v>
      </c>
      <c r="E1011" s="4" t="s">
        <v>959</v>
      </c>
    </row>
    <row r="1012" spans="2:5" x14ac:dyDescent="0.2">
      <c r="B1012" s="30" t="s">
        <v>1636</v>
      </c>
      <c r="C1012" s="34" t="s">
        <v>959</v>
      </c>
      <c r="D1012" s="35" t="s">
        <v>959</v>
      </c>
      <c r="E1012" s="4" t="s">
        <v>959</v>
      </c>
    </row>
    <row r="1013" spans="2:5" x14ac:dyDescent="0.2">
      <c r="B1013" s="30" t="s">
        <v>1637</v>
      </c>
      <c r="C1013" s="34" t="s">
        <v>959</v>
      </c>
      <c r="D1013" s="35" t="s">
        <v>959</v>
      </c>
      <c r="E1013" s="4" t="s">
        <v>959</v>
      </c>
    </row>
    <row r="1014" spans="2:5" x14ac:dyDescent="0.2">
      <c r="B1014" s="30" t="s">
        <v>1638</v>
      </c>
      <c r="C1014" s="34" t="s">
        <v>959</v>
      </c>
      <c r="D1014" s="35" t="s">
        <v>959</v>
      </c>
      <c r="E1014" s="4" t="s">
        <v>959</v>
      </c>
    </row>
    <row r="1015" spans="2:5" x14ac:dyDescent="0.2">
      <c r="B1015" s="30" t="s">
        <v>1639</v>
      </c>
      <c r="C1015" s="34" t="s">
        <v>959</v>
      </c>
      <c r="D1015" s="35" t="s">
        <v>959</v>
      </c>
      <c r="E1015" s="4" t="s">
        <v>959</v>
      </c>
    </row>
    <row r="1016" spans="2:5" x14ac:dyDescent="0.2">
      <c r="B1016" s="30" t="s">
        <v>1640</v>
      </c>
      <c r="C1016" s="34" t="s">
        <v>959</v>
      </c>
      <c r="D1016" s="35" t="s">
        <v>959</v>
      </c>
      <c r="E1016" s="4" t="s">
        <v>959</v>
      </c>
    </row>
    <row r="1017" spans="2:5" x14ac:dyDescent="0.2">
      <c r="B1017" s="30" t="s">
        <v>1641</v>
      </c>
      <c r="C1017" s="34" t="s">
        <v>959</v>
      </c>
      <c r="D1017" s="35" t="s">
        <v>959</v>
      </c>
      <c r="E1017" s="4" t="s">
        <v>959</v>
      </c>
    </row>
    <row r="1018" spans="2:5" x14ac:dyDescent="0.2">
      <c r="B1018" s="30" t="s">
        <v>1642</v>
      </c>
      <c r="C1018" s="34" t="s">
        <v>959</v>
      </c>
      <c r="D1018" s="35" t="s">
        <v>959</v>
      </c>
      <c r="E1018" s="4" t="s">
        <v>959</v>
      </c>
    </row>
    <row r="1019" spans="2:5" x14ac:dyDescent="0.2">
      <c r="B1019" s="30" t="s">
        <v>1643</v>
      </c>
      <c r="C1019" s="34" t="s">
        <v>959</v>
      </c>
      <c r="D1019" s="35" t="s">
        <v>959</v>
      </c>
      <c r="E1019" s="4" t="s">
        <v>959</v>
      </c>
    </row>
    <row r="1020" spans="2:5" x14ac:dyDescent="0.2">
      <c r="B1020" s="29" t="s">
        <v>73</v>
      </c>
      <c r="C1020" s="32" t="s">
        <v>959</v>
      </c>
      <c r="D1020" s="32" t="s">
        <v>959</v>
      </c>
      <c r="E1020" s="36" t="s">
        <v>959</v>
      </c>
    </row>
    <row r="1021" spans="2:5" x14ac:dyDescent="0.2">
      <c r="B1021" s="30" t="s">
        <v>1644</v>
      </c>
      <c r="C1021" s="34" t="s">
        <v>959</v>
      </c>
      <c r="D1021" s="35" t="s">
        <v>959</v>
      </c>
      <c r="E1021" s="4" t="s">
        <v>959</v>
      </c>
    </row>
    <row r="1022" spans="2:5" x14ac:dyDescent="0.2">
      <c r="B1022" s="30" t="s">
        <v>1645</v>
      </c>
      <c r="C1022" s="34" t="s">
        <v>959</v>
      </c>
      <c r="D1022" s="35" t="s">
        <v>959</v>
      </c>
      <c r="E1022" s="4" t="s">
        <v>959</v>
      </c>
    </row>
    <row r="1023" spans="2:5" x14ac:dyDescent="0.2">
      <c r="B1023" s="30" t="s">
        <v>1646</v>
      </c>
      <c r="C1023" s="34" t="s">
        <v>959</v>
      </c>
      <c r="D1023" s="35" t="s">
        <v>959</v>
      </c>
      <c r="E1023" s="4" t="s">
        <v>959</v>
      </c>
    </row>
    <row r="1024" spans="2:5" x14ac:dyDescent="0.2">
      <c r="B1024" s="30" t="s">
        <v>1647</v>
      </c>
      <c r="C1024" s="34" t="s">
        <v>959</v>
      </c>
      <c r="D1024" s="35" t="s">
        <v>959</v>
      </c>
      <c r="E1024" s="4" t="s">
        <v>959</v>
      </c>
    </row>
    <row r="1025" spans="2:5" x14ac:dyDescent="0.2">
      <c r="B1025" s="30" t="s">
        <v>1648</v>
      </c>
      <c r="C1025" s="34" t="s">
        <v>959</v>
      </c>
      <c r="D1025" s="35" t="s">
        <v>959</v>
      </c>
      <c r="E1025" s="4" t="s">
        <v>959</v>
      </c>
    </row>
    <row r="1026" spans="2:5" x14ac:dyDescent="0.2">
      <c r="B1026" s="30" t="s">
        <v>1649</v>
      </c>
      <c r="C1026" s="34" t="s">
        <v>959</v>
      </c>
      <c r="D1026" s="35" t="s">
        <v>959</v>
      </c>
      <c r="E1026" s="4" t="s">
        <v>959</v>
      </c>
    </row>
    <row r="1027" spans="2:5" x14ac:dyDescent="0.2">
      <c r="B1027" s="30" t="s">
        <v>1650</v>
      </c>
      <c r="C1027" s="34" t="s">
        <v>959</v>
      </c>
      <c r="D1027" s="35" t="s">
        <v>959</v>
      </c>
      <c r="E1027" s="4" t="s">
        <v>959</v>
      </c>
    </row>
    <row r="1028" spans="2:5" x14ac:dyDescent="0.2">
      <c r="B1028" s="29" t="s">
        <v>27</v>
      </c>
      <c r="C1028" s="32" t="s">
        <v>959</v>
      </c>
      <c r="D1028" s="32" t="s">
        <v>959</v>
      </c>
      <c r="E1028" s="36" t="s">
        <v>959</v>
      </c>
    </row>
    <row r="1029" spans="2:5" x14ac:dyDescent="0.2">
      <c r="B1029" s="30" t="s">
        <v>1651</v>
      </c>
      <c r="C1029" s="34" t="s">
        <v>959</v>
      </c>
      <c r="D1029" s="35" t="s">
        <v>959</v>
      </c>
      <c r="E1029" s="4" t="s">
        <v>959</v>
      </c>
    </row>
    <row r="1030" spans="2:5" x14ac:dyDescent="0.2">
      <c r="B1030" s="30" t="s">
        <v>1652</v>
      </c>
      <c r="C1030" s="34" t="s">
        <v>959</v>
      </c>
      <c r="D1030" s="35" t="s">
        <v>959</v>
      </c>
      <c r="E1030" s="4" t="s">
        <v>959</v>
      </c>
    </row>
    <row r="1031" spans="2:5" x14ac:dyDescent="0.2">
      <c r="B1031" s="29" t="s">
        <v>82</v>
      </c>
      <c r="C1031" s="32" t="s">
        <v>959</v>
      </c>
      <c r="D1031" s="32" t="s">
        <v>959</v>
      </c>
      <c r="E1031" s="36" t="s">
        <v>959</v>
      </c>
    </row>
    <row r="1032" spans="2:5" x14ac:dyDescent="0.2">
      <c r="B1032" s="30" t="s">
        <v>1653</v>
      </c>
      <c r="C1032" s="34" t="s">
        <v>959</v>
      </c>
      <c r="D1032" s="35" t="s">
        <v>959</v>
      </c>
      <c r="E1032" s="4" t="s">
        <v>959</v>
      </c>
    </row>
    <row r="1033" spans="2:5" x14ac:dyDescent="0.2">
      <c r="B1033" s="30" t="s">
        <v>1654</v>
      </c>
      <c r="C1033" s="34" t="s">
        <v>959</v>
      </c>
      <c r="D1033" s="35" t="s">
        <v>959</v>
      </c>
      <c r="E1033" s="4" t="s">
        <v>959</v>
      </c>
    </row>
    <row r="1034" spans="2:5" x14ac:dyDescent="0.2">
      <c r="B1034" s="30" t="s">
        <v>1655</v>
      </c>
      <c r="C1034" s="34" t="s">
        <v>959</v>
      </c>
      <c r="D1034" s="35" t="s">
        <v>959</v>
      </c>
      <c r="E1034" s="4" t="s">
        <v>959</v>
      </c>
    </row>
    <row r="1035" spans="2:5" x14ac:dyDescent="0.2">
      <c r="B1035" s="30" t="s">
        <v>1656</v>
      </c>
      <c r="C1035" s="34" t="s">
        <v>959</v>
      </c>
      <c r="D1035" s="35" t="s">
        <v>959</v>
      </c>
      <c r="E1035" s="4" t="s">
        <v>959</v>
      </c>
    </row>
    <row r="1036" spans="2:5" x14ac:dyDescent="0.2">
      <c r="B1036" s="30" t="s">
        <v>1657</v>
      </c>
      <c r="C1036" s="34" t="s">
        <v>959</v>
      </c>
      <c r="D1036" s="35" t="s">
        <v>959</v>
      </c>
      <c r="E1036" s="4" t="s">
        <v>959</v>
      </c>
    </row>
    <row r="1037" spans="2:5" x14ac:dyDescent="0.2">
      <c r="B1037" s="29" t="s">
        <v>4</v>
      </c>
      <c r="C1037" s="32" t="s">
        <v>959</v>
      </c>
      <c r="D1037" s="32" t="s">
        <v>959</v>
      </c>
      <c r="E1037" s="36" t="s">
        <v>959</v>
      </c>
    </row>
    <row r="1038" spans="2:5" x14ac:dyDescent="0.2">
      <c r="B1038" s="30" t="s">
        <v>1658</v>
      </c>
      <c r="C1038" s="34" t="s">
        <v>959</v>
      </c>
      <c r="D1038" s="35" t="s">
        <v>959</v>
      </c>
      <c r="E1038" s="4" t="s">
        <v>959</v>
      </c>
    </row>
    <row r="1039" spans="2:5" x14ac:dyDescent="0.2">
      <c r="B1039" s="30" t="s">
        <v>1410</v>
      </c>
      <c r="C1039" s="34" t="s">
        <v>959</v>
      </c>
      <c r="D1039" s="35" t="s">
        <v>959</v>
      </c>
      <c r="E1039" s="4" t="s">
        <v>959</v>
      </c>
    </row>
    <row r="1040" spans="2:5" x14ac:dyDescent="0.2">
      <c r="B1040" s="30" t="s">
        <v>1659</v>
      </c>
      <c r="C1040" s="34" t="s">
        <v>959</v>
      </c>
      <c r="D1040" s="35" t="s">
        <v>959</v>
      </c>
      <c r="E1040" s="4" t="s">
        <v>959</v>
      </c>
    </row>
    <row r="1041" spans="2:5" x14ac:dyDescent="0.2">
      <c r="B1041" s="30" t="s">
        <v>991</v>
      </c>
      <c r="C1041" s="34" t="s">
        <v>959</v>
      </c>
      <c r="D1041" s="35" t="s">
        <v>959</v>
      </c>
      <c r="E1041" s="4" t="s">
        <v>959</v>
      </c>
    </row>
    <row r="1042" spans="2:5" x14ac:dyDescent="0.2">
      <c r="B1042" s="30" t="s">
        <v>1660</v>
      </c>
      <c r="C1042" s="34" t="s">
        <v>959</v>
      </c>
      <c r="D1042" s="35" t="s">
        <v>959</v>
      </c>
      <c r="E1042" s="4" t="s">
        <v>959</v>
      </c>
    </row>
    <row r="1043" spans="2:5" x14ac:dyDescent="0.2">
      <c r="B1043" s="30" t="s">
        <v>1661</v>
      </c>
      <c r="C1043" s="34" t="s">
        <v>959</v>
      </c>
      <c r="D1043" s="35" t="s">
        <v>959</v>
      </c>
      <c r="E1043" s="4" t="s">
        <v>959</v>
      </c>
    </row>
    <row r="1044" spans="2:5" x14ac:dyDescent="0.2">
      <c r="B1044" s="30" t="s">
        <v>1662</v>
      </c>
      <c r="C1044" s="34" t="s">
        <v>959</v>
      </c>
      <c r="D1044" s="35" t="s">
        <v>959</v>
      </c>
      <c r="E1044" s="4" t="s">
        <v>959</v>
      </c>
    </row>
    <row r="1045" spans="2:5" x14ac:dyDescent="0.2">
      <c r="B1045" s="29" t="s">
        <v>32</v>
      </c>
      <c r="C1045" s="32" t="s">
        <v>959</v>
      </c>
      <c r="D1045" s="32" t="s">
        <v>959</v>
      </c>
      <c r="E1045" s="36" t="s">
        <v>959</v>
      </c>
    </row>
    <row r="1046" spans="2:5" x14ac:dyDescent="0.2">
      <c r="B1046" s="30" t="s">
        <v>1663</v>
      </c>
      <c r="C1046" s="34" t="s">
        <v>959</v>
      </c>
      <c r="D1046" s="35" t="s">
        <v>959</v>
      </c>
      <c r="E1046" s="4" t="s">
        <v>959</v>
      </c>
    </row>
    <row r="1047" spans="2:5" x14ac:dyDescent="0.2">
      <c r="B1047" s="30" t="s">
        <v>1664</v>
      </c>
      <c r="C1047" s="34" t="s">
        <v>959</v>
      </c>
      <c r="D1047" s="35" t="s">
        <v>959</v>
      </c>
      <c r="E1047" s="4" t="s">
        <v>959</v>
      </c>
    </row>
    <row r="1048" spans="2:5" x14ac:dyDescent="0.2">
      <c r="B1048" s="30" t="s">
        <v>1665</v>
      </c>
      <c r="C1048" s="34" t="s">
        <v>959</v>
      </c>
      <c r="D1048" s="35" t="s">
        <v>959</v>
      </c>
      <c r="E1048" s="4" t="s">
        <v>959</v>
      </c>
    </row>
    <row r="1049" spans="2:5" x14ac:dyDescent="0.2">
      <c r="B1049" s="30" t="s">
        <v>1666</v>
      </c>
      <c r="C1049" s="34" t="s">
        <v>959</v>
      </c>
      <c r="D1049" s="35" t="s">
        <v>959</v>
      </c>
      <c r="E1049" s="4" t="s">
        <v>959</v>
      </c>
    </row>
    <row r="1050" spans="2:5" x14ac:dyDescent="0.2">
      <c r="B1050" s="30" t="s">
        <v>986</v>
      </c>
      <c r="C1050" s="34" t="s">
        <v>959</v>
      </c>
      <c r="D1050" s="35" t="s">
        <v>959</v>
      </c>
      <c r="E1050" s="4" t="s">
        <v>959</v>
      </c>
    </row>
    <row r="1051" spans="2:5" x14ac:dyDescent="0.2">
      <c r="B1051" s="30" t="s">
        <v>1412</v>
      </c>
      <c r="C1051" s="34" t="s">
        <v>959</v>
      </c>
      <c r="D1051" s="35" t="s">
        <v>959</v>
      </c>
      <c r="E1051" s="4" t="s">
        <v>959</v>
      </c>
    </row>
    <row r="1052" spans="2:5" x14ac:dyDescent="0.2">
      <c r="B1052" s="30" t="s">
        <v>1667</v>
      </c>
      <c r="C1052" s="34" t="s">
        <v>959</v>
      </c>
      <c r="D1052" s="35" t="s">
        <v>959</v>
      </c>
      <c r="E1052" s="4" t="s">
        <v>959</v>
      </c>
    </row>
    <row r="1053" spans="2:5" x14ac:dyDescent="0.2">
      <c r="B1053" s="30" t="s">
        <v>1668</v>
      </c>
      <c r="C1053" s="34" t="s">
        <v>959</v>
      </c>
      <c r="D1053" s="35" t="s">
        <v>959</v>
      </c>
      <c r="E1053" s="4" t="s">
        <v>959</v>
      </c>
    </row>
    <row r="1054" spans="2:5" x14ac:dyDescent="0.2">
      <c r="B1054" s="29" t="s">
        <v>69</v>
      </c>
      <c r="C1054" s="32" t="s">
        <v>959</v>
      </c>
      <c r="D1054" s="32" t="s">
        <v>959</v>
      </c>
      <c r="E1054" s="36" t="s">
        <v>959</v>
      </c>
    </row>
    <row r="1055" spans="2:5" x14ac:dyDescent="0.2">
      <c r="B1055" s="30" t="s">
        <v>1669</v>
      </c>
      <c r="C1055" s="34" t="s">
        <v>959</v>
      </c>
      <c r="D1055" s="35" t="s">
        <v>959</v>
      </c>
      <c r="E1055" s="4" t="s">
        <v>959</v>
      </c>
    </row>
    <row r="1056" spans="2:5" x14ac:dyDescent="0.2">
      <c r="B1056" s="30" t="s">
        <v>1670</v>
      </c>
      <c r="C1056" s="34" t="s">
        <v>959</v>
      </c>
      <c r="D1056" s="35" t="s">
        <v>959</v>
      </c>
      <c r="E1056" s="4" t="s">
        <v>959</v>
      </c>
    </row>
    <row r="1057" spans="2:5" x14ac:dyDescent="0.2">
      <c r="B1057" s="30" t="s">
        <v>1671</v>
      </c>
      <c r="C1057" s="34" t="s">
        <v>959</v>
      </c>
      <c r="D1057" s="35" t="s">
        <v>959</v>
      </c>
      <c r="E1057" s="4" t="s">
        <v>959</v>
      </c>
    </row>
    <row r="1058" spans="2:5" x14ac:dyDescent="0.2">
      <c r="B1058" s="30" t="s">
        <v>1672</v>
      </c>
      <c r="C1058" s="34" t="s">
        <v>959</v>
      </c>
      <c r="D1058" s="35" t="s">
        <v>959</v>
      </c>
      <c r="E1058" s="4" t="s">
        <v>959</v>
      </c>
    </row>
    <row r="1059" spans="2:5" x14ac:dyDescent="0.2">
      <c r="B1059" s="30" t="s">
        <v>1673</v>
      </c>
      <c r="C1059" s="34" t="s">
        <v>959</v>
      </c>
      <c r="D1059" s="35" t="s">
        <v>959</v>
      </c>
      <c r="E1059" s="4" t="s">
        <v>959</v>
      </c>
    </row>
    <row r="1060" spans="2:5" x14ac:dyDescent="0.2">
      <c r="B1060" s="30" t="s">
        <v>1674</v>
      </c>
      <c r="C1060" s="34" t="s">
        <v>959</v>
      </c>
      <c r="D1060" s="35" t="s">
        <v>959</v>
      </c>
      <c r="E1060" s="4" t="s">
        <v>959</v>
      </c>
    </row>
    <row r="1061" spans="2:5" x14ac:dyDescent="0.2">
      <c r="B1061" s="29" t="s">
        <v>63</v>
      </c>
      <c r="C1061" s="32" t="s">
        <v>959</v>
      </c>
      <c r="D1061" s="32" t="s">
        <v>959</v>
      </c>
      <c r="E1061" s="36" t="s">
        <v>959</v>
      </c>
    </row>
    <row r="1062" spans="2:5" x14ac:dyDescent="0.2">
      <c r="B1062" s="30" t="s">
        <v>1675</v>
      </c>
      <c r="C1062" s="34" t="s">
        <v>959</v>
      </c>
      <c r="D1062" s="35" t="s">
        <v>959</v>
      </c>
      <c r="E1062" s="4" t="s">
        <v>959</v>
      </c>
    </row>
    <row r="1063" spans="2:5" x14ac:dyDescent="0.2">
      <c r="B1063" s="30" t="s">
        <v>989</v>
      </c>
      <c r="C1063" s="34" t="s">
        <v>959</v>
      </c>
      <c r="D1063" s="35" t="s">
        <v>959</v>
      </c>
      <c r="E1063" s="4" t="s">
        <v>959</v>
      </c>
    </row>
    <row r="1064" spans="2:5" x14ac:dyDescent="0.2">
      <c r="B1064" s="30" t="s">
        <v>1676</v>
      </c>
      <c r="C1064" s="34" t="s">
        <v>959</v>
      </c>
      <c r="D1064" s="35" t="s">
        <v>959</v>
      </c>
      <c r="E1064" s="4" t="s">
        <v>959</v>
      </c>
    </row>
    <row r="1065" spans="2:5" x14ac:dyDescent="0.2">
      <c r="B1065" s="30" t="s">
        <v>1677</v>
      </c>
      <c r="C1065" s="34" t="s">
        <v>959</v>
      </c>
      <c r="D1065" s="35" t="s">
        <v>959</v>
      </c>
      <c r="E1065" s="4" t="s">
        <v>959</v>
      </c>
    </row>
    <row r="1066" spans="2:5" x14ac:dyDescent="0.2">
      <c r="B1066" s="30" t="s">
        <v>1678</v>
      </c>
      <c r="C1066" s="34" t="s">
        <v>959</v>
      </c>
      <c r="D1066" s="35" t="s">
        <v>959</v>
      </c>
      <c r="E1066" s="4" t="s">
        <v>959</v>
      </c>
    </row>
    <row r="1067" spans="2:5" x14ac:dyDescent="0.2">
      <c r="B1067" s="30" t="s">
        <v>1679</v>
      </c>
      <c r="C1067" s="34" t="s">
        <v>959</v>
      </c>
      <c r="D1067" s="35" t="s">
        <v>959</v>
      </c>
      <c r="E1067" s="4" t="s">
        <v>959</v>
      </c>
    </row>
    <row r="1068" spans="2:5" x14ac:dyDescent="0.2">
      <c r="B1068" s="30" t="s">
        <v>1680</v>
      </c>
      <c r="C1068" s="34" t="s">
        <v>959</v>
      </c>
      <c r="D1068" s="35" t="s">
        <v>959</v>
      </c>
      <c r="E1068" s="4" t="s">
        <v>959</v>
      </c>
    </row>
    <row r="1069" spans="2:5" x14ac:dyDescent="0.2">
      <c r="B1069" s="30" t="s">
        <v>1681</v>
      </c>
      <c r="C1069" s="34" t="s">
        <v>959</v>
      </c>
      <c r="D1069" s="35" t="s">
        <v>959</v>
      </c>
      <c r="E1069" s="4" t="s">
        <v>959</v>
      </c>
    </row>
    <row r="1070" spans="2:5" x14ac:dyDescent="0.2">
      <c r="B1070" s="30" t="s">
        <v>1682</v>
      </c>
      <c r="C1070" s="34" t="s">
        <v>959</v>
      </c>
      <c r="D1070" s="35" t="s">
        <v>959</v>
      </c>
      <c r="E1070" s="4" t="s">
        <v>959</v>
      </c>
    </row>
    <row r="1071" spans="2:5" x14ac:dyDescent="0.2">
      <c r="B1071" s="30" t="s">
        <v>1683</v>
      </c>
      <c r="C1071" s="34" t="s">
        <v>959</v>
      </c>
      <c r="D1071" s="35" t="s">
        <v>959</v>
      </c>
      <c r="E1071" s="4" t="s">
        <v>959</v>
      </c>
    </row>
    <row r="1072" spans="2:5" x14ac:dyDescent="0.2">
      <c r="B1072" s="29" t="s">
        <v>47</v>
      </c>
      <c r="C1072" s="32" t="s">
        <v>959</v>
      </c>
      <c r="D1072" s="32" t="s">
        <v>959</v>
      </c>
      <c r="E1072" s="36" t="s">
        <v>959</v>
      </c>
    </row>
    <row r="1073" spans="2:5" x14ac:dyDescent="0.2">
      <c r="B1073" s="30" t="s">
        <v>1684</v>
      </c>
      <c r="C1073" s="34" t="s">
        <v>959</v>
      </c>
      <c r="D1073" s="35" t="s">
        <v>959</v>
      </c>
      <c r="E1073" s="4" t="s">
        <v>959</v>
      </c>
    </row>
    <row r="1074" spans="2:5" x14ac:dyDescent="0.2">
      <c r="B1074" s="30" t="s">
        <v>1685</v>
      </c>
      <c r="C1074" s="34" t="s">
        <v>959</v>
      </c>
      <c r="D1074" s="35" t="s">
        <v>959</v>
      </c>
      <c r="E1074" s="4" t="s">
        <v>959</v>
      </c>
    </row>
    <row r="1075" spans="2:5" x14ac:dyDescent="0.2">
      <c r="B1075" s="30" t="s">
        <v>1686</v>
      </c>
      <c r="C1075" s="34" t="s">
        <v>959</v>
      </c>
      <c r="D1075" s="35" t="s">
        <v>959</v>
      </c>
      <c r="E1075" s="4" t="s">
        <v>959</v>
      </c>
    </row>
    <row r="1076" spans="2:5" x14ac:dyDescent="0.2">
      <c r="B1076" s="30" t="s">
        <v>1687</v>
      </c>
      <c r="C1076" s="34" t="s">
        <v>959</v>
      </c>
      <c r="D1076" s="35" t="s">
        <v>959</v>
      </c>
      <c r="E1076" s="4" t="s">
        <v>959</v>
      </c>
    </row>
    <row r="1077" spans="2:5" x14ac:dyDescent="0.2">
      <c r="B1077" s="30" t="s">
        <v>1688</v>
      </c>
      <c r="C1077" s="34" t="s">
        <v>959</v>
      </c>
      <c r="D1077" s="35" t="s">
        <v>959</v>
      </c>
      <c r="E1077" s="4" t="s">
        <v>959</v>
      </c>
    </row>
    <row r="1078" spans="2:5" x14ac:dyDescent="0.2">
      <c r="B1078" s="30" t="s">
        <v>1689</v>
      </c>
      <c r="C1078" s="34" t="s">
        <v>959</v>
      </c>
      <c r="D1078" s="35" t="s">
        <v>959</v>
      </c>
      <c r="E1078" s="4" t="s">
        <v>959</v>
      </c>
    </row>
    <row r="1079" spans="2:5" x14ac:dyDescent="0.2">
      <c r="B1079" s="29" t="s">
        <v>71</v>
      </c>
      <c r="C1079" s="32" t="s">
        <v>959</v>
      </c>
      <c r="D1079" s="32" t="s">
        <v>959</v>
      </c>
      <c r="E1079" s="36" t="s">
        <v>959</v>
      </c>
    </row>
    <row r="1080" spans="2:5" x14ac:dyDescent="0.2">
      <c r="B1080" s="30" t="s">
        <v>1690</v>
      </c>
      <c r="C1080" s="34" t="s">
        <v>959</v>
      </c>
      <c r="D1080" s="35" t="s">
        <v>959</v>
      </c>
      <c r="E1080" s="4" t="s">
        <v>959</v>
      </c>
    </row>
    <row r="1081" spans="2:5" x14ac:dyDescent="0.2">
      <c r="B1081" s="30" t="s">
        <v>1691</v>
      </c>
      <c r="C1081" s="34" t="s">
        <v>959</v>
      </c>
      <c r="D1081" s="35" t="s">
        <v>959</v>
      </c>
      <c r="E1081" s="4" t="s">
        <v>959</v>
      </c>
    </row>
    <row r="1082" spans="2:5" x14ac:dyDescent="0.2">
      <c r="B1082" s="30" t="s">
        <v>1692</v>
      </c>
      <c r="C1082" s="34" t="s">
        <v>959</v>
      </c>
      <c r="D1082" s="35" t="s">
        <v>959</v>
      </c>
      <c r="E1082" s="4" t="s">
        <v>959</v>
      </c>
    </row>
    <row r="1083" spans="2:5" x14ac:dyDescent="0.2">
      <c r="B1083" s="30" t="s">
        <v>1693</v>
      </c>
      <c r="C1083" s="34" t="s">
        <v>959</v>
      </c>
      <c r="D1083" s="35" t="s">
        <v>959</v>
      </c>
      <c r="E1083" s="4" t="s">
        <v>959</v>
      </c>
    </row>
    <row r="1084" spans="2:5" x14ac:dyDescent="0.2">
      <c r="B1084" s="30" t="s">
        <v>1694</v>
      </c>
      <c r="C1084" s="34" t="s">
        <v>959</v>
      </c>
      <c r="D1084" s="35" t="s">
        <v>959</v>
      </c>
      <c r="E1084" s="4" t="s">
        <v>959</v>
      </c>
    </row>
    <row r="1085" spans="2:5" x14ac:dyDescent="0.2">
      <c r="B1085" s="30" t="s">
        <v>1695</v>
      </c>
      <c r="C1085" s="34" t="s">
        <v>959</v>
      </c>
      <c r="D1085" s="35" t="s">
        <v>959</v>
      </c>
      <c r="E1085" s="4" t="s">
        <v>959</v>
      </c>
    </row>
    <row r="1086" spans="2:5" x14ac:dyDescent="0.2">
      <c r="B1086" s="30" t="s">
        <v>1696</v>
      </c>
      <c r="C1086" s="34" t="s">
        <v>959</v>
      </c>
      <c r="D1086" s="35" t="s">
        <v>959</v>
      </c>
      <c r="E1086" s="4" t="s">
        <v>959</v>
      </c>
    </row>
    <row r="1087" spans="2:5" x14ac:dyDescent="0.2">
      <c r="B1087" s="29" t="s">
        <v>64</v>
      </c>
      <c r="C1087" s="32" t="s">
        <v>959</v>
      </c>
      <c r="D1087" s="32" t="s">
        <v>959</v>
      </c>
      <c r="E1087" s="36" t="s">
        <v>959</v>
      </c>
    </row>
    <row r="1088" spans="2:5" x14ac:dyDescent="0.2">
      <c r="B1088" s="30" t="s">
        <v>1697</v>
      </c>
      <c r="C1088" s="34" t="s">
        <v>959</v>
      </c>
      <c r="D1088" s="35" t="s">
        <v>959</v>
      </c>
      <c r="E1088" s="4" t="s">
        <v>959</v>
      </c>
    </row>
    <row r="1089" spans="2:5" x14ac:dyDescent="0.2">
      <c r="B1089" s="30" t="s">
        <v>1698</v>
      </c>
      <c r="C1089" s="34" t="s">
        <v>959</v>
      </c>
      <c r="D1089" s="35" t="s">
        <v>959</v>
      </c>
      <c r="E1089" s="4" t="s">
        <v>959</v>
      </c>
    </row>
    <row r="1090" spans="2:5" x14ac:dyDescent="0.2">
      <c r="B1090" s="30" t="s">
        <v>1699</v>
      </c>
      <c r="C1090" s="34" t="s">
        <v>959</v>
      </c>
      <c r="D1090" s="35" t="s">
        <v>959</v>
      </c>
      <c r="E1090" s="4" t="s">
        <v>959</v>
      </c>
    </row>
    <row r="1091" spans="2:5" x14ac:dyDescent="0.2">
      <c r="B1091" s="30" t="s">
        <v>1700</v>
      </c>
      <c r="C1091" s="34" t="s">
        <v>959</v>
      </c>
      <c r="D1091" s="35" t="s">
        <v>959</v>
      </c>
      <c r="E1091" s="4" t="s">
        <v>959</v>
      </c>
    </row>
    <row r="1092" spans="2:5" x14ac:dyDescent="0.2">
      <c r="B1092" s="30" t="s">
        <v>1701</v>
      </c>
      <c r="C1092" s="34" t="s">
        <v>959</v>
      </c>
      <c r="D1092" s="35" t="s">
        <v>959</v>
      </c>
      <c r="E1092" s="4" t="s">
        <v>959</v>
      </c>
    </row>
    <row r="1093" spans="2:5" x14ac:dyDescent="0.2">
      <c r="B1093" s="30" t="s">
        <v>1702</v>
      </c>
      <c r="C1093" s="34" t="s">
        <v>959</v>
      </c>
      <c r="D1093" s="35" t="s">
        <v>959</v>
      </c>
      <c r="E1093" s="4" t="s">
        <v>959</v>
      </c>
    </row>
    <row r="1094" spans="2:5" x14ac:dyDescent="0.2">
      <c r="B1094" s="29" t="s">
        <v>81</v>
      </c>
      <c r="C1094" s="32" t="s">
        <v>959</v>
      </c>
      <c r="D1094" s="32" t="s">
        <v>959</v>
      </c>
      <c r="E1094" s="36" t="s">
        <v>959</v>
      </c>
    </row>
    <row r="1095" spans="2:5" x14ac:dyDescent="0.2">
      <c r="B1095" s="30" t="s">
        <v>1703</v>
      </c>
      <c r="C1095" s="34" t="s">
        <v>959</v>
      </c>
      <c r="D1095" s="35" t="s">
        <v>959</v>
      </c>
      <c r="E1095" s="4" t="s">
        <v>959</v>
      </c>
    </row>
    <row r="1096" spans="2:5" x14ac:dyDescent="0.2">
      <c r="B1096" s="30" t="s">
        <v>1704</v>
      </c>
      <c r="C1096" s="34" t="s">
        <v>959</v>
      </c>
      <c r="D1096" s="35" t="s">
        <v>959</v>
      </c>
      <c r="E1096" s="4" t="s">
        <v>959</v>
      </c>
    </row>
    <row r="1097" spans="2:5" x14ac:dyDescent="0.2">
      <c r="B1097" s="30" t="s">
        <v>1705</v>
      </c>
      <c r="C1097" s="34" t="s">
        <v>959</v>
      </c>
      <c r="D1097" s="35" t="s">
        <v>959</v>
      </c>
      <c r="E1097" s="4" t="s">
        <v>959</v>
      </c>
    </row>
    <row r="1098" spans="2:5" x14ac:dyDescent="0.2">
      <c r="B1098" s="30" t="s">
        <v>1706</v>
      </c>
      <c r="C1098" s="34" t="s">
        <v>959</v>
      </c>
      <c r="D1098" s="35" t="s">
        <v>959</v>
      </c>
      <c r="E1098" s="4" t="s">
        <v>959</v>
      </c>
    </row>
    <row r="1099" spans="2:5" x14ac:dyDescent="0.2">
      <c r="B1099" s="30" t="s">
        <v>1707</v>
      </c>
      <c r="C1099" s="34" t="s">
        <v>959</v>
      </c>
      <c r="D1099" s="35" t="s">
        <v>959</v>
      </c>
      <c r="E1099" s="4" t="s">
        <v>959</v>
      </c>
    </row>
    <row r="1100" spans="2:5" x14ac:dyDescent="0.2">
      <c r="B1100" s="29" t="s">
        <v>72</v>
      </c>
      <c r="C1100" s="32" t="s">
        <v>959</v>
      </c>
      <c r="D1100" s="32" t="s">
        <v>959</v>
      </c>
      <c r="E1100" s="36" t="s">
        <v>959</v>
      </c>
    </row>
    <row r="1101" spans="2:5" x14ac:dyDescent="0.2">
      <c r="B1101" s="30" t="s">
        <v>1708</v>
      </c>
      <c r="C1101" s="34" t="s">
        <v>959</v>
      </c>
      <c r="D1101" s="35" t="s">
        <v>959</v>
      </c>
      <c r="E1101" s="4" t="s">
        <v>959</v>
      </c>
    </row>
    <row r="1102" spans="2:5" x14ac:dyDescent="0.2">
      <c r="B1102" s="30" t="s">
        <v>1709</v>
      </c>
      <c r="C1102" s="34" t="s">
        <v>959</v>
      </c>
      <c r="D1102" s="35" t="s">
        <v>959</v>
      </c>
      <c r="E1102" s="4" t="s">
        <v>959</v>
      </c>
    </row>
    <row r="1103" spans="2:5" x14ac:dyDescent="0.2">
      <c r="B1103" s="30" t="s">
        <v>1710</v>
      </c>
      <c r="C1103" s="34" t="s">
        <v>959</v>
      </c>
      <c r="D1103" s="35" t="s">
        <v>959</v>
      </c>
      <c r="E1103" s="4" t="s">
        <v>959</v>
      </c>
    </row>
    <row r="1104" spans="2:5" x14ac:dyDescent="0.2">
      <c r="B1104" s="30" t="s">
        <v>1711</v>
      </c>
      <c r="C1104" s="34" t="s">
        <v>959</v>
      </c>
      <c r="D1104" s="35" t="s">
        <v>959</v>
      </c>
      <c r="E1104" s="4" t="s">
        <v>959</v>
      </c>
    </row>
    <row r="1105" spans="2:5" x14ac:dyDescent="0.2">
      <c r="B1105" s="30" t="s">
        <v>1712</v>
      </c>
      <c r="C1105" s="34" t="s">
        <v>959</v>
      </c>
      <c r="D1105" s="35" t="s">
        <v>959</v>
      </c>
      <c r="E1105" s="4" t="s">
        <v>959</v>
      </c>
    </row>
    <row r="1106" spans="2:5" x14ac:dyDescent="0.2">
      <c r="B1106" s="29" t="s">
        <v>118</v>
      </c>
      <c r="C1106" s="32" t="s">
        <v>959</v>
      </c>
      <c r="D1106" s="32" t="s">
        <v>959</v>
      </c>
      <c r="E1106" s="36" t="s">
        <v>959</v>
      </c>
    </row>
    <row r="1107" spans="2:5" x14ac:dyDescent="0.2">
      <c r="B1107" s="30" t="s">
        <v>1713</v>
      </c>
      <c r="C1107" s="34" t="s">
        <v>959</v>
      </c>
      <c r="D1107" s="35" t="s">
        <v>959</v>
      </c>
      <c r="E1107" s="4" t="s">
        <v>959</v>
      </c>
    </row>
    <row r="1108" spans="2:5" x14ac:dyDescent="0.2">
      <c r="B1108" s="30" t="s">
        <v>1714</v>
      </c>
      <c r="C1108" s="34" t="s">
        <v>959</v>
      </c>
      <c r="D1108" s="35" t="s">
        <v>959</v>
      </c>
      <c r="E1108" s="4" t="s">
        <v>959</v>
      </c>
    </row>
    <row r="1109" spans="2:5" x14ac:dyDescent="0.2">
      <c r="B1109" s="30" t="s">
        <v>1715</v>
      </c>
      <c r="C1109" s="34" t="s">
        <v>959</v>
      </c>
      <c r="D1109" s="35" t="s">
        <v>959</v>
      </c>
      <c r="E1109" s="4" t="s">
        <v>959</v>
      </c>
    </row>
    <row r="1110" spans="2:5" x14ac:dyDescent="0.2">
      <c r="B1110" s="30" t="s">
        <v>1716</v>
      </c>
      <c r="C1110" s="34" t="s">
        <v>959</v>
      </c>
      <c r="D1110" s="35" t="s">
        <v>959</v>
      </c>
      <c r="E1110" s="4" t="s">
        <v>959</v>
      </c>
    </row>
    <row r="1111" spans="2:5" x14ac:dyDescent="0.2">
      <c r="B1111" s="30" t="s">
        <v>1717</v>
      </c>
      <c r="C1111" s="34" t="s">
        <v>959</v>
      </c>
      <c r="D1111" s="35" t="s">
        <v>959</v>
      </c>
      <c r="E1111" s="4" t="s">
        <v>959</v>
      </c>
    </row>
    <row r="1112" spans="2:5" x14ac:dyDescent="0.2">
      <c r="B1112" s="29" t="s">
        <v>37</v>
      </c>
      <c r="C1112" s="32" t="s">
        <v>959</v>
      </c>
      <c r="D1112" s="32" t="s">
        <v>959</v>
      </c>
      <c r="E1112" s="36" t="s">
        <v>959</v>
      </c>
    </row>
    <row r="1113" spans="2:5" x14ac:dyDescent="0.2">
      <c r="B1113" s="30" t="s">
        <v>1718</v>
      </c>
      <c r="C1113" s="34" t="s">
        <v>959</v>
      </c>
      <c r="D1113" s="35" t="s">
        <v>959</v>
      </c>
      <c r="E1113" s="4" t="s">
        <v>959</v>
      </c>
    </row>
    <row r="1114" spans="2:5" x14ac:dyDescent="0.2">
      <c r="B1114" s="30" t="s">
        <v>1719</v>
      </c>
      <c r="C1114" s="34" t="s">
        <v>959</v>
      </c>
      <c r="D1114" s="35" t="s">
        <v>959</v>
      </c>
      <c r="E1114" s="4" t="s">
        <v>959</v>
      </c>
    </row>
    <row r="1115" spans="2:5" x14ac:dyDescent="0.2">
      <c r="B1115" s="30" t="s">
        <v>1720</v>
      </c>
      <c r="C1115" s="34" t="s">
        <v>959</v>
      </c>
      <c r="D1115" s="35" t="s">
        <v>959</v>
      </c>
      <c r="E1115" s="4" t="s">
        <v>959</v>
      </c>
    </row>
    <row r="1116" spans="2:5" x14ac:dyDescent="0.2">
      <c r="B1116" s="30" t="s">
        <v>1721</v>
      </c>
      <c r="C1116" s="34" t="s">
        <v>959</v>
      </c>
      <c r="D1116" s="35" t="s">
        <v>959</v>
      </c>
      <c r="E1116" s="4" t="s">
        <v>959</v>
      </c>
    </row>
    <row r="1117" spans="2:5" x14ac:dyDescent="0.2">
      <c r="B1117" s="30" t="s">
        <v>1722</v>
      </c>
      <c r="C1117" s="34" t="s">
        <v>959</v>
      </c>
      <c r="D1117" s="35" t="s">
        <v>959</v>
      </c>
      <c r="E1117" s="4" t="s">
        <v>959</v>
      </c>
    </row>
    <row r="1118" spans="2:5" x14ac:dyDescent="0.2">
      <c r="B1118" s="30" t="s">
        <v>1723</v>
      </c>
      <c r="C1118" s="34" t="s">
        <v>959</v>
      </c>
      <c r="D1118" s="35" t="s">
        <v>959</v>
      </c>
      <c r="E1118" s="4" t="s">
        <v>959</v>
      </c>
    </row>
    <row r="1119" spans="2:5" x14ac:dyDescent="0.2">
      <c r="B1119" s="29" t="s">
        <v>123</v>
      </c>
      <c r="C1119" s="32" t="s">
        <v>959</v>
      </c>
      <c r="D1119" s="32" t="s">
        <v>959</v>
      </c>
      <c r="E1119" s="36" t="s">
        <v>959</v>
      </c>
    </row>
    <row r="1120" spans="2:5" x14ac:dyDescent="0.2">
      <c r="B1120" s="30" t="s">
        <v>1724</v>
      </c>
      <c r="C1120" s="34" t="s">
        <v>959</v>
      </c>
      <c r="D1120" s="35" t="s">
        <v>959</v>
      </c>
      <c r="E1120" s="4" t="s">
        <v>959</v>
      </c>
    </row>
    <row r="1121" spans="2:5" x14ac:dyDescent="0.2">
      <c r="B1121" s="30" t="s">
        <v>1725</v>
      </c>
      <c r="C1121" s="34" t="s">
        <v>959</v>
      </c>
      <c r="D1121" s="35" t="s">
        <v>959</v>
      </c>
      <c r="E1121" s="4" t="s">
        <v>959</v>
      </c>
    </row>
    <row r="1122" spans="2:5" x14ac:dyDescent="0.2">
      <c r="B1122" s="30" t="s">
        <v>1726</v>
      </c>
      <c r="C1122" s="34" t="s">
        <v>959</v>
      </c>
      <c r="D1122" s="35" t="s">
        <v>959</v>
      </c>
      <c r="E1122" s="4" t="s">
        <v>959</v>
      </c>
    </row>
    <row r="1123" spans="2:5" x14ac:dyDescent="0.2">
      <c r="B1123" s="30" t="s">
        <v>1727</v>
      </c>
      <c r="C1123" s="34" t="s">
        <v>959</v>
      </c>
      <c r="D1123" s="35" t="s">
        <v>959</v>
      </c>
      <c r="E1123" s="4" t="s">
        <v>959</v>
      </c>
    </row>
    <row r="1124" spans="2:5" x14ac:dyDescent="0.2">
      <c r="B1124" s="30" t="s">
        <v>1728</v>
      </c>
      <c r="C1124" s="34" t="s">
        <v>959</v>
      </c>
      <c r="D1124" s="35" t="s">
        <v>959</v>
      </c>
      <c r="E1124" s="4" t="s">
        <v>959</v>
      </c>
    </row>
    <row r="1125" spans="2:5" x14ac:dyDescent="0.2">
      <c r="B1125" s="29" t="s">
        <v>22</v>
      </c>
      <c r="C1125" s="32" t="s">
        <v>959</v>
      </c>
      <c r="D1125" s="32" t="s">
        <v>959</v>
      </c>
      <c r="E1125" s="36" t="s">
        <v>959</v>
      </c>
    </row>
    <row r="1126" spans="2:5" x14ac:dyDescent="0.2">
      <c r="B1126" s="30" t="s">
        <v>1729</v>
      </c>
      <c r="C1126" s="34" t="s">
        <v>959</v>
      </c>
      <c r="D1126" s="35" t="s">
        <v>959</v>
      </c>
      <c r="E1126" s="4" t="s">
        <v>959</v>
      </c>
    </row>
    <row r="1127" spans="2:5" x14ac:dyDescent="0.2">
      <c r="B1127" s="30" t="s">
        <v>1730</v>
      </c>
      <c r="C1127" s="34" t="s">
        <v>959</v>
      </c>
      <c r="D1127" s="35" t="s">
        <v>959</v>
      </c>
      <c r="E1127" s="4" t="s">
        <v>959</v>
      </c>
    </row>
    <row r="1128" spans="2:5" x14ac:dyDescent="0.2">
      <c r="B1128" s="30" t="s">
        <v>1731</v>
      </c>
      <c r="C1128" s="34" t="s">
        <v>959</v>
      </c>
      <c r="D1128" s="35" t="s">
        <v>959</v>
      </c>
      <c r="E1128" s="4" t="s">
        <v>959</v>
      </c>
    </row>
    <row r="1129" spans="2:5" x14ac:dyDescent="0.2">
      <c r="B1129" s="30" t="s">
        <v>1732</v>
      </c>
      <c r="C1129" s="34" t="s">
        <v>959</v>
      </c>
      <c r="D1129" s="35" t="s">
        <v>959</v>
      </c>
      <c r="E1129" s="4" t="s">
        <v>959</v>
      </c>
    </row>
    <row r="1130" spans="2:5" x14ac:dyDescent="0.2">
      <c r="B1130" s="30" t="s">
        <v>1733</v>
      </c>
      <c r="C1130" s="34" t="s">
        <v>959</v>
      </c>
      <c r="D1130" s="35" t="s">
        <v>959</v>
      </c>
      <c r="E1130" s="4" t="s">
        <v>959</v>
      </c>
    </row>
    <row r="1131" spans="2:5" x14ac:dyDescent="0.2">
      <c r="B1131" s="30" t="s">
        <v>1734</v>
      </c>
      <c r="C1131" s="34" t="s">
        <v>959</v>
      </c>
      <c r="D1131" s="35" t="s">
        <v>959</v>
      </c>
      <c r="E1131" s="4" t="s">
        <v>959</v>
      </c>
    </row>
    <row r="1132" spans="2:5" x14ac:dyDescent="0.2">
      <c r="B1132" s="29" t="s">
        <v>1</v>
      </c>
      <c r="C1132" s="32" t="s">
        <v>959</v>
      </c>
      <c r="D1132" s="32" t="s">
        <v>959</v>
      </c>
      <c r="E1132" s="36" t="s">
        <v>959</v>
      </c>
    </row>
    <row r="1133" spans="2:5" x14ac:dyDescent="0.2">
      <c r="B1133" s="30" t="s">
        <v>1735</v>
      </c>
      <c r="C1133" s="34" t="s">
        <v>959</v>
      </c>
      <c r="D1133" s="35" t="s">
        <v>959</v>
      </c>
      <c r="E1133" s="4" t="s">
        <v>959</v>
      </c>
    </row>
    <row r="1134" spans="2:5" x14ac:dyDescent="0.2">
      <c r="B1134" s="30" t="s">
        <v>1736</v>
      </c>
      <c r="C1134" s="34" t="s">
        <v>959</v>
      </c>
      <c r="D1134" s="35" t="s">
        <v>959</v>
      </c>
      <c r="E1134" s="4" t="s">
        <v>959</v>
      </c>
    </row>
    <row r="1135" spans="2:5" x14ac:dyDescent="0.2">
      <c r="B1135" s="30" t="s">
        <v>1737</v>
      </c>
      <c r="C1135" s="34" t="s">
        <v>959</v>
      </c>
      <c r="D1135" s="35" t="s">
        <v>959</v>
      </c>
      <c r="E1135" s="4" t="s">
        <v>959</v>
      </c>
    </row>
    <row r="1136" spans="2:5" x14ac:dyDescent="0.2">
      <c r="B1136" s="30" t="s">
        <v>1738</v>
      </c>
      <c r="C1136" s="34" t="s">
        <v>959</v>
      </c>
      <c r="D1136" s="35" t="s">
        <v>959</v>
      </c>
      <c r="E1136" s="4" t="s">
        <v>959</v>
      </c>
    </row>
    <row r="1137" spans="2:5" x14ac:dyDescent="0.2">
      <c r="B1137" s="30" t="s">
        <v>1739</v>
      </c>
      <c r="C1137" s="34" t="s">
        <v>959</v>
      </c>
      <c r="D1137" s="35" t="s">
        <v>959</v>
      </c>
      <c r="E1137" s="4" t="s">
        <v>959</v>
      </c>
    </row>
    <row r="1138" spans="2:5" x14ac:dyDescent="0.2">
      <c r="B1138" s="30" t="s">
        <v>1740</v>
      </c>
      <c r="C1138" s="34" t="s">
        <v>959</v>
      </c>
      <c r="D1138" s="35" t="s">
        <v>959</v>
      </c>
      <c r="E1138" s="4" t="s">
        <v>959</v>
      </c>
    </row>
    <row r="1139" spans="2:5" x14ac:dyDescent="0.2">
      <c r="B1139" s="30" t="s">
        <v>1741</v>
      </c>
      <c r="C1139" s="34" t="s">
        <v>959</v>
      </c>
      <c r="D1139" s="35" t="s">
        <v>959</v>
      </c>
      <c r="E1139" s="4" t="s">
        <v>959</v>
      </c>
    </row>
    <row r="1140" spans="2:5" x14ac:dyDescent="0.2">
      <c r="B1140" s="30" t="s">
        <v>1742</v>
      </c>
      <c r="C1140" s="34" t="s">
        <v>959</v>
      </c>
      <c r="D1140" s="35" t="s">
        <v>959</v>
      </c>
      <c r="E1140" s="4" t="s">
        <v>959</v>
      </c>
    </row>
    <row r="1141" spans="2:5" x14ac:dyDescent="0.2">
      <c r="B1141" s="29" t="s">
        <v>97</v>
      </c>
      <c r="C1141" s="32" t="s">
        <v>959</v>
      </c>
      <c r="D1141" s="32" t="s">
        <v>959</v>
      </c>
      <c r="E1141" s="36" t="s">
        <v>959</v>
      </c>
    </row>
    <row r="1142" spans="2:5" x14ac:dyDescent="0.2">
      <c r="B1142" s="30" t="s">
        <v>1743</v>
      </c>
      <c r="C1142" s="34" t="s">
        <v>959</v>
      </c>
      <c r="D1142" s="35" t="s">
        <v>959</v>
      </c>
      <c r="E1142" s="4" t="s">
        <v>959</v>
      </c>
    </row>
    <row r="1143" spans="2:5" x14ac:dyDescent="0.2">
      <c r="B1143" s="30" t="s">
        <v>1744</v>
      </c>
      <c r="C1143" s="34" t="s">
        <v>959</v>
      </c>
      <c r="D1143" s="35" t="s">
        <v>959</v>
      </c>
      <c r="E1143" s="4" t="s">
        <v>959</v>
      </c>
    </row>
    <row r="1144" spans="2:5" x14ac:dyDescent="0.2">
      <c r="B1144" s="30" t="s">
        <v>1745</v>
      </c>
      <c r="C1144" s="34" t="s">
        <v>959</v>
      </c>
      <c r="D1144" s="35" t="s">
        <v>959</v>
      </c>
      <c r="E1144" s="4" t="s">
        <v>959</v>
      </c>
    </row>
    <row r="1145" spans="2:5" x14ac:dyDescent="0.2">
      <c r="B1145" s="30" t="s">
        <v>1746</v>
      </c>
      <c r="C1145" s="34" t="s">
        <v>959</v>
      </c>
      <c r="D1145" s="35" t="s">
        <v>959</v>
      </c>
      <c r="E1145" s="4" t="s">
        <v>959</v>
      </c>
    </row>
    <row r="1146" spans="2:5" x14ac:dyDescent="0.2">
      <c r="B1146" s="30" t="s">
        <v>1747</v>
      </c>
      <c r="C1146" s="34" t="s">
        <v>959</v>
      </c>
      <c r="D1146" s="35" t="s">
        <v>959</v>
      </c>
      <c r="E1146" s="4" t="s">
        <v>959</v>
      </c>
    </row>
    <row r="1147" spans="2:5" x14ac:dyDescent="0.2">
      <c r="B1147" s="30" t="s">
        <v>1748</v>
      </c>
      <c r="C1147" s="34" t="s">
        <v>959</v>
      </c>
      <c r="D1147" s="35" t="s">
        <v>959</v>
      </c>
      <c r="E1147" s="4" t="s">
        <v>959</v>
      </c>
    </row>
    <row r="1148" spans="2:5" x14ac:dyDescent="0.2">
      <c r="B1148" s="29" t="s">
        <v>55</v>
      </c>
      <c r="C1148" s="32" t="s">
        <v>959</v>
      </c>
      <c r="D1148" s="32" t="s">
        <v>959</v>
      </c>
      <c r="E1148" s="36" t="s">
        <v>959</v>
      </c>
    </row>
    <row r="1149" spans="2:5" x14ac:dyDescent="0.2">
      <c r="B1149" s="30" t="s">
        <v>1749</v>
      </c>
      <c r="C1149" s="34" t="s">
        <v>959</v>
      </c>
      <c r="D1149" s="35" t="s">
        <v>959</v>
      </c>
      <c r="E1149" s="4" t="s">
        <v>959</v>
      </c>
    </row>
    <row r="1150" spans="2:5" x14ac:dyDescent="0.2">
      <c r="B1150" s="30" t="s">
        <v>1750</v>
      </c>
      <c r="C1150" s="34" t="s">
        <v>959</v>
      </c>
      <c r="D1150" s="35" t="s">
        <v>959</v>
      </c>
      <c r="E1150" s="4" t="s">
        <v>959</v>
      </c>
    </row>
    <row r="1151" spans="2:5" x14ac:dyDescent="0.2">
      <c r="B1151" s="30" t="s">
        <v>1751</v>
      </c>
      <c r="C1151" s="34" t="s">
        <v>959</v>
      </c>
      <c r="D1151" s="35" t="s">
        <v>959</v>
      </c>
      <c r="E1151" s="4" t="s">
        <v>959</v>
      </c>
    </row>
    <row r="1152" spans="2:5" x14ac:dyDescent="0.2">
      <c r="B1152" s="30" t="s">
        <v>1752</v>
      </c>
      <c r="C1152" s="34" t="s">
        <v>959</v>
      </c>
      <c r="D1152" s="35" t="s">
        <v>959</v>
      </c>
      <c r="E1152" s="4" t="s">
        <v>959</v>
      </c>
    </row>
    <row r="1153" spans="2:5" x14ac:dyDescent="0.2">
      <c r="B1153" s="30" t="s">
        <v>1753</v>
      </c>
      <c r="C1153" s="34" t="s">
        <v>959</v>
      </c>
      <c r="D1153" s="35" t="s">
        <v>959</v>
      </c>
      <c r="E1153" s="4" t="s">
        <v>959</v>
      </c>
    </row>
    <row r="1154" spans="2:5" x14ac:dyDescent="0.2">
      <c r="B1154" s="30" t="s">
        <v>1754</v>
      </c>
      <c r="C1154" s="34" t="s">
        <v>959</v>
      </c>
      <c r="D1154" s="35" t="s">
        <v>959</v>
      </c>
      <c r="E1154" s="4" t="s">
        <v>959</v>
      </c>
    </row>
    <row r="1155" spans="2:5" x14ac:dyDescent="0.2">
      <c r="B1155" s="30" t="s">
        <v>1755</v>
      </c>
      <c r="C1155" s="34" t="s">
        <v>959</v>
      </c>
      <c r="D1155" s="35" t="s">
        <v>959</v>
      </c>
      <c r="E1155" s="4" t="s">
        <v>959</v>
      </c>
    </row>
    <row r="1156" spans="2:5" x14ac:dyDescent="0.2">
      <c r="B1156" s="30" t="s">
        <v>1756</v>
      </c>
      <c r="C1156" s="34" t="s">
        <v>959</v>
      </c>
      <c r="D1156" s="35" t="s">
        <v>959</v>
      </c>
      <c r="E1156" s="4" t="s">
        <v>959</v>
      </c>
    </row>
    <row r="1157" spans="2:5" x14ac:dyDescent="0.2">
      <c r="B1157" s="29" t="s">
        <v>38</v>
      </c>
      <c r="C1157" s="32" t="s">
        <v>959</v>
      </c>
      <c r="D1157" s="32" t="s">
        <v>959</v>
      </c>
      <c r="E1157" s="36" t="s">
        <v>959</v>
      </c>
    </row>
    <row r="1158" spans="2:5" x14ac:dyDescent="0.2">
      <c r="B1158" s="30" t="s">
        <v>1757</v>
      </c>
      <c r="C1158" s="34" t="s">
        <v>959</v>
      </c>
      <c r="D1158" s="35" t="s">
        <v>959</v>
      </c>
      <c r="E1158" s="4" t="s">
        <v>959</v>
      </c>
    </row>
    <row r="1159" spans="2:5" x14ac:dyDescent="0.2">
      <c r="B1159" s="30" t="s">
        <v>1329</v>
      </c>
      <c r="C1159" s="34" t="s">
        <v>959</v>
      </c>
      <c r="D1159" s="35" t="s">
        <v>959</v>
      </c>
      <c r="E1159" s="4" t="s">
        <v>959</v>
      </c>
    </row>
    <row r="1160" spans="2:5" x14ac:dyDescent="0.2">
      <c r="B1160" s="30" t="s">
        <v>1758</v>
      </c>
      <c r="C1160" s="34" t="s">
        <v>959</v>
      </c>
      <c r="D1160" s="35" t="s">
        <v>959</v>
      </c>
      <c r="E1160" s="4" t="s">
        <v>959</v>
      </c>
    </row>
    <row r="1161" spans="2:5" x14ac:dyDescent="0.2">
      <c r="B1161" s="30" t="s">
        <v>1759</v>
      </c>
      <c r="C1161" s="34" t="s">
        <v>959</v>
      </c>
      <c r="D1161" s="35" t="s">
        <v>959</v>
      </c>
      <c r="E1161" s="4" t="s">
        <v>959</v>
      </c>
    </row>
    <row r="1162" spans="2:5" x14ac:dyDescent="0.2">
      <c r="B1162" s="30" t="s">
        <v>1760</v>
      </c>
      <c r="C1162" s="34" t="s">
        <v>959</v>
      </c>
      <c r="D1162" s="35" t="s">
        <v>959</v>
      </c>
      <c r="E1162" s="4" t="s">
        <v>959</v>
      </c>
    </row>
    <row r="1163" spans="2:5" x14ac:dyDescent="0.2">
      <c r="B1163" s="30" t="s">
        <v>1002</v>
      </c>
      <c r="C1163" s="34" t="s">
        <v>959</v>
      </c>
      <c r="D1163" s="35" t="s">
        <v>959</v>
      </c>
      <c r="E1163" s="4" t="s">
        <v>959</v>
      </c>
    </row>
    <row r="1164" spans="2:5" x14ac:dyDescent="0.2">
      <c r="B1164" s="29" t="s">
        <v>86</v>
      </c>
      <c r="C1164" s="32" t="s">
        <v>959</v>
      </c>
      <c r="D1164" s="32" t="s">
        <v>959</v>
      </c>
      <c r="E1164" s="36" t="s">
        <v>959</v>
      </c>
    </row>
    <row r="1165" spans="2:5" x14ac:dyDescent="0.2">
      <c r="B1165" s="30" t="s">
        <v>1761</v>
      </c>
      <c r="C1165" s="34" t="s">
        <v>959</v>
      </c>
      <c r="D1165" s="35" t="s">
        <v>959</v>
      </c>
      <c r="E1165" s="4" t="s">
        <v>959</v>
      </c>
    </row>
    <row r="1166" spans="2:5" x14ac:dyDescent="0.2">
      <c r="B1166" s="30" t="s">
        <v>1762</v>
      </c>
      <c r="C1166" s="34" t="s">
        <v>959</v>
      </c>
      <c r="D1166" s="35" t="s">
        <v>959</v>
      </c>
      <c r="E1166" s="4" t="s">
        <v>959</v>
      </c>
    </row>
    <row r="1167" spans="2:5" x14ac:dyDescent="0.2">
      <c r="B1167" s="30" t="s">
        <v>1763</v>
      </c>
      <c r="C1167" s="34" t="s">
        <v>959</v>
      </c>
      <c r="D1167" s="35" t="s">
        <v>959</v>
      </c>
      <c r="E1167" s="4" t="s">
        <v>959</v>
      </c>
    </row>
    <row r="1168" spans="2:5" x14ac:dyDescent="0.2">
      <c r="B1168" s="30" t="s">
        <v>1764</v>
      </c>
      <c r="C1168" s="34" t="s">
        <v>959</v>
      </c>
      <c r="D1168" s="35" t="s">
        <v>959</v>
      </c>
      <c r="E1168" s="4" t="s">
        <v>959</v>
      </c>
    </row>
    <row r="1169" spans="2:5" x14ac:dyDescent="0.2">
      <c r="B1169" s="30" t="s">
        <v>1765</v>
      </c>
      <c r="C1169" s="34" t="s">
        <v>959</v>
      </c>
      <c r="D1169" s="35" t="s">
        <v>959</v>
      </c>
      <c r="E1169" s="4" t="s">
        <v>959</v>
      </c>
    </row>
    <row r="1170" spans="2:5" x14ac:dyDescent="0.2">
      <c r="B1170" s="30" t="s">
        <v>1766</v>
      </c>
      <c r="C1170" s="34" t="s">
        <v>959</v>
      </c>
      <c r="D1170" s="35" t="s">
        <v>959</v>
      </c>
      <c r="E1170" s="4" t="s">
        <v>959</v>
      </c>
    </row>
    <row r="1171" spans="2:5" x14ac:dyDescent="0.2">
      <c r="B1171" s="30" t="s">
        <v>1767</v>
      </c>
      <c r="C1171" s="34" t="s">
        <v>959</v>
      </c>
      <c r="D1171" s="35" t="s">
        <v>959</v>
      </c>
      <c r="E1171" s="4" t="s">
        <v>959</v>
      </c>
    </row>
    <row r="1172" spans="2:5" x14ac:dyDescent="0.2">
      <c r="B1172" s="30" t="s">
        <v>1768</v>
      </c>
      <c r="C1172" s="34" t="s">
        <v>959</v>
      </c>
      <c r="D1172" s="35" t="s">
        <v>959</v>
      </c>
      <c r="E1172" s="4" t="s">
        <v>959</v>
      </c>
    </row>
    <row r="1173" spans="2:5" x14ac:dyDescent="0.2">
      <c r="B1173" s="30" t="s">
        <v>1769</v>
      </c>
      <c r="C1173" s="34" t="s">
        <v>959</v>
      </c>
      <c r="D1173" s="35" t="s">
        <v>959</v>
      </c>
      <c r="E1173" s="4" t="s">
        <v>959</v>
      </c>
    </row>
    <row r="1174" spans="2:5" x14ac:dyDescent="0.2">
      <c r="B1174" s="30" t="s">
        <v>1770</v>
      </c>
      <c r="C1174" s="34" t="s">
        <v>959</v>
      </c>
      <c r="D1174" s="35" t="s">
        <v>959</v>
      </c>
      <c r="E1174" s="4" t="s">
        <v>959</v>
      </c>
    </row>
    <row r="1175" spans="2:5" x14ac:dyDescent="0.2">
      <c r="B1175" s="30" t="s">
        <v>1771</v>
      </c>
      <c r="C1175" s="34" t="s">
        <v>959</v>
      </c>
      <c r="D1175" s="35" t="s">
        <v>959</v>
      </c>
      <c r="E1175" s="4" t="s">
        <v>959</v>
      </c>
    </row>
    <row r="1176" spans="2:5" x14ac:dyDescent="0.2">
      <c r="B1176" s="29" t="s">
        <v>112</v>
      </c>
      <c r="C1176" s="32" t="s">
        <v>959</v>
      </c>
      <c r="D1176" s="32" t="s">
        <v>959</v>
      </c>
      <c r="E1176" s="36" t="s">
        <v>959</v>
      </c>
    </row>
    <row r="1177" spans="2:5" x14ac:dyDescent="0.2">
      <c r="B1177" s="30" t="s">
        <v>1772</v>
      </c>
      <c r="C1177" s="34" t="s">
        <v>959</v>
      </c>
      <c r="D1177" s="35" t="s">
        <v>959</v>
      </c>
      <c r="E1177" s="4" t="s">
        <v>959</v>
      </c>
    </row>
    <row r="1178" spans="2:5" x14ac:dyDescent="0.2">
      <c r="B1178" s="30" t="s">
        <v>1773</v>
      </c>
      <c r="C1178" s="34" t="s">
        <v>959</v>
      </c>
      <c r="D1178" s="35" t="s">
        <v>959</v>
      </c>
      <c r="E1178" s="4" t="s">
        <v>959</v>
      </c>
    </row>
    <row r="1179" spans="2:5" x14ac:dyDescent="0.2">
      <c r="B1179" s="30" t="s">
        <v>1774</v>
      </c>
      <c r="C1179" s="34" t="s">
        <v>959</v>
      </c>
      <c r="D1179" s="35" t="s">
        <v>959</v>
      </c>
      <c r="E1179" s="4" t="s">
        <v>959</v>
      </c>
    </row>
    <row r="1180" spans="2:5" x14ac:dyDescent="0.2">
      <c r="B1180" s="30" t="s">
        <v>1775</v>
      </c>
      <c r="C1180" s="34" t="s">
        <v>959</v>
      </c>
      <c r="D1180" s="35" t="s">
        <v>959</v>
      </c>
      <c r="E1180" s="4" t="s">
        <v>959</v>
      </c>
    </row>
    <row r="1181" spans="2:5" x14ac:dyDescent="0.2">
      <c r="B1181" s="31" t="s">
        <v>953</v>
      </c>
      <c r="C1181" s="33">
        <v>3</v>
      </c>
      <c r="D1181" s="33" t="s">
        <v>959</v>
      </c>
      <c r="E1181" s="37" t="s">
        <v>959</v>
      </c>
    </row>
  </sheetData>
  <mergeCells count="44">
    <mergeCell ref="B236:B237"/>
    <mergeCell ref="C236:E236"/>
    <mergeCell ref="C237:C238"/>
    <mergeCell ref="D237:D238"/>
    <mergeCell ref="E237:E238"/>
    <mergeCell ref="B218:E218"/>
    <mergeCell ref="B220:E220"/>
    <mergeCell ref="B221:B222"/>
    <mergeCell ref="C221:E221"/>
    <mergeCell ref="C222:C223"/>
    <mergeCell ref="D222:D223"/>
    <mergeCell ref="E222:E223"/>
    <mergeCell ref="B203:E203"/>
    <mergeCell ref="B205:E205"/>
    <mergeCell ref="B206:B207"/>
    <mergeCell ref="C206:E206"/>
    <mergeCell ref="C207:C208"/>
    <mergeCell ref="D207:D208"/>
    <mergeCell ref="E207:E208"/>
    <mergeCell ref="B188:E188"/>
    <mergeCell ref="B190:E190"/>
    <mergeCell ref="B191:B192"/>
    <mergeCell ref="C191:E191"/>
    <mergeCell ref="C192:C193"/>
    <mergeCell ref="D192:D193"/>
    <mergeCell ref="E192:E193"/>
    <mergeCell ref="B53:E53"/>
    <mergeCell ref="B54:B55"/>
    <mergeCell ref="C54:E54"/>
    <mergeCell ref="C55:C56"/>
    <mergeCell ref="D55:D56"/>
    <mergeCell ref="E55:E56"/>
    <mergeCell ref="B15:E15"/>
    <mergeCell ref="B16:B17"/>
    <mergeCell ref="C16:E16"/>
    <mergeCell ref="C17:C18"/>
    <mergeCell ref="D17:D18"/>
    <mergeCell ref="E17:E18"/>
    <mergeCell ref="B2:E2"/>
    <mergeCell ref="B3:B4"/>
    <mergeCell ref="C3:E3"/>
    <mergeCell ref="C4:C5"/>
    <mergeCell ref="D4:D5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DBE7-1EC1-B141-9ED1-BD9E722F7CFE}">
  <sheetPr codeName="Sheet4"/>
  <dimension ref="A1:E1181"/>
  <sheetViews>
    <sheetView workbookViewId="0"/>
  </sheetViews>
  <sheetFormatPr baseColWidth="10" defaultRowHeight="15" x14ac:dyDescent="0.2"/>
  <cols>
    <col min="1" max="1" width="50" bestFit="1" customWidth="1"/>
    <col min="2" max="2" width="35.6640625" bestFit="1" customWidth="1"/>
    <col min="3" max="5" width="10.83203125" customWidth="1"/>
  </cols>
  <sheetData>
    <row r="1" spans="1:5" ht="19" x14ac:dyDescent="0.25">
      <c r="A1" s="1" t="s">
        <v>1781</v>
      </c>
    </row>
    <row r="2" spans="1:5" x14ac:dyDescent="0.2">
      <c r="B2" s="2" t="s">
        <v>1777</v>
      </c>
      <c r="C2" s="2"/>
      <c r="D2" s="2"/>
      <c r="E2" s="2"/>
    </row>
    <row r="3" spans="1:5" x14ac:dyDescent="0.2">
      <c r="B3" s="6" t="s">
        <v>958</v>
      </c>
      <c r="C3" s="2" t="s">
        <v>967</v>
      </c>
      <c r="D3" s="2"/>
      <c r="E3" s="2"/>
    </row>
    <row r="4" spans="1:5" x14ac:dyDescent="0.2">
      <c r="B4" s="6"/>
      <c r="C4" s="8" t="s">
        <v>961</v>
      </c>
      <c r="D4" s="9" t="s">
        <v>972</v>
      </c>
      <c r="E4" s="10" t="s">
        <v>956</v>
      </c>
    </row>
    <row r="5" spans="1:5" x14ac:dyDescent="0.2">
      <c r="C5" s="8"/>
      <c r="D5" s="9"/>
      <c r="E5" s="10"/>
    </row>
    <row r="6" spans="1:5" x14ac:dyDescent="0.2">
      <c r="B6" s="17" t="s">
        <v>2</v>
      </c>
      <c r="C6" s="18" t="s">
        <v>959</v>
      </c>
      <c r="D6" s="19" t="s">
        <v>959</v>
      </c>
      <c r="E6" s="20" t="str">
        <f>IFERROR(IF(C6&gt;0, D6/C6, 0),"-")</f>
        <v>-</v>
      </c>
    </row>
    <row r="7" spans="1:5" x14ac:dyDescent="0.2">
      <c r="B7" s="17" t="s">
        <v>20</v>
      </c>
      <c r="C7" s="18">
        <v>2</v>
      </c>
      <c r="D7" s="19" t="s">
        <v>959</v>
      </c>
      <c r="E7" s="20" t="str">
        <f>IFERROR(IF(C7&gt;0, D7/C7, 0),"-")</f>
        <v>-</v>
      </c>
    </row>
    <row r="8" spans="1:5" x14ac:dyDescent="0.2">
      <c r="B8" s="17" t="s">
        <v>7</v>
      </c>
      <c r="C8" s="18" t="s">
        <v>959</v>
      </c>
      <c r="D8" s="19" t="s">
        <v>959</v>
      </c>
      <c r="E8" s="20" t="str">
        <f>IFERROR(IF(C8&gt;0, D8/C8, 0),"-")</f>
        <v>-</v>
      </c>
    </row>
    <row r="9" spans="1:5" x14ac:dyDescent="0.2">
      <c r="B9" s="17" t="s">
        <v>0</v>
      </c>
      <c r="C9" s="18" t="s">
        <v>959</v>
      </c>
      <c r="D9" s="19" t="s">
        <v>959</v>
      </c>
      <c r="E9" s="20" t="str">
        <f>IFERROR(IF(C9&gt;0, D9/C9, 0),"-")</f>
        <v>-</v>
      </c>
    </row>
    <row r="10" spans="1:5" x14ac:dyDescent="0.2">
      <c r="B10" s="17" t="s">
        <v>1</v>
      </c>
      <c r="C10" s="18" t="s">
        <v>959</v>
      </c>
      <c r="D10" s="19" t="s">
        <v>959</v>
      </c>
      <c r="E10" s="20" t="str">
        <f>IFERROR(IF(C10&gt;0, D10/C10, 0),"-")</f>
        <v>-</v>
      </c>
    </row>
    <row r="11" spans="1:5" x14ac:dyDescent="0.2">
      <c r="B11" s="15" t="s">
        <v>953</v>
      </c>
      <c r="C11" s="16">
        <f>SUM(C6:C10)</f>
        <v>2</v>
      </c>
      <c r="D11" s="16">
        <f>SUM(D6:D10)</f>
        <v>0</v>
      </c>
      <c r="E11" s="21">
        <f>IFERROR(IF(C11&gt;0, D11/C11, 0),"-")</f>
        <v>0</v>
      </c>
    </row>
    <row r="15" spans="1:5" x14ac:dyDescent="0.2">
      <c r="B15" s="2" t="s">
        <v>1778</v>
      </c>
      <c r="C15" s="2"/>
      <c r="D15" s="2"/>
      <c r="E15" s="2"/>
    </row>
    <row r="16" spans="1:5" x14ac:dyDescent="0.2">
      <c r="B16" s="6" t="s">
        <v>957</v>
      </c>
      <c r="C16" s="2" t="s">
        <v>967</v>
      </c>
      <c r="D16" s="2"/>
      <c r="E16" s="2"/>
    </row>
    <row r="17" spans="2:5" x14ac:dyDescent="0.2">
      <c r="B17" s="6"/>
      <c r="C17" s="8" t="s">
        <v>961</v>
      </c>
      <c r="D17" s="9" t="s">
        <v>972</v>
      </c>
      <c r="E17" s="10" t="s">
        <v>956</v>
      </c>
    </row>
    <row r="18" spans="2:5" x14ac:dyDescent="0.2">
      <c r="C18" s="8"/>
      <c r="D18" s="9"/>
      <c r="E18" s="10"/>
    </row>
    <row r="19" spans="2:5" x14ac:dyDescent="0.2">
      <c r="B19" s="17" t="s">
        <v>30</v>
      </c>
      <c r="C19" s="18" t="s">
        <v>959</v>
      </c>
      <c r="D19" s="19" t="s">
        <v>959</v>
      </c>
      <c r="E19" s="20" t="str">
        <f>IFERROR(IF(C19&gt;0, D19/C19, 0),"-")</f>
        <v>-</v>
      </c>
    </row>
    <row r="20" spans="2:5" x14ac:dyDescent="0.2">
      <c r="B20" s="17" t="s">
        <v>16</v>
      </c>
      <c r="C20" s="18" t="s">
        <v>959</v>
      </c>
      <c r="D20" s="19" t="s">
        <v>959</v>
      </c>
      <c r="E20" s="20" t="str">
        <f>IFERROR(IF(C20&gt;0, D20/C20, 0),"-")</f>
        <v>-</v>
      </c>
    </row>
    <row r="21" spans="2:5" x14ac:dyDescent="0.2">
      <c r="B21" s="17" t="s">
        <v>19</v>
      </c>
      <c r="C21" s="18">
        <v>2</v>
      </c>
      <c r="D21" s="19" t="s">
        <v>959</v>
      </c>
      <c r="E21" s="20" t="str">
        <f>IFERROR(IF(C21&gt;0, D21/C21, 0),"-")</f>
        <v>-</v>
      </c>
    </row>
    <row r="22" spans="2:5" x14ac:dyDescent="0.2">
      <c r="B22" s="17" t="s">
        <v>952</v>
      </c>
      <c r="C22" s="18" t="s">
        <v>959</v>
      </c>
      <c r="D22" s="19" t="s">
        <v>959</v>
      </c>
      <c r="E22" s="20" t="str">
        <f>IFERROR(IF(C22&gt;0, D22/C22, 0),"-")</f>
        <v>-</v>
      </c>
    </row>
    <row r="23" spans="2:5" x14ac:dyDescent="0.2">
      <c r="B23" s="17" t="s">
        <v>17</v>
      </c>
      <c r="C23" s="18" t="s">
        <v>959</v>
      </c>
      <c r="D23" s="19" t="s">
        <v>959</v>
      </c>
      <c r="E23" s="20" t="str">
        <f>IFERROR(IF(C23&gt;0, D23/C23, 0),"-")</f>
        <v>-</v>
      </c>
    </row>
    <row r="24" spans="2:5" x14ac:dyDescent="0.2">
      <c r="B24" s="17" t="s">
        <v>12</v>
      </c>
      <c r="C24" s="18" t="s">
        <v>959</v>
      </c>
      <c r="D24" s="19" t="s">
        <v>959</v>
      </c>
      <c r="E24" s="20" t="str">
        <f>IFERROR(IF(C24&gt;0, D24/C24, 0),"-")</f>
        <v>-</v>
      </c>
    </row>
    <row r="25" spans="2:5" x14ac:dyDescent="0.2">
      <c r="B25" s="17" t="s">
        <v>18</v>
      </c>
      <c r="C25" s="18" t="s">
        <v>959</v>
      </c>
      <c r="D25" s="19" t="s">
        <v>959</v>
      </c>
      <c r="E25" s="20" t="str">
        <f>IFERROR(IF(C25&gt;0, D25/C25, 0),"-")</f>
        <v>-</v>
      </c>
    </row>
    <row r="26" spans="2:5" x14ac:dyDescent="0.2">
      <c r="B26" s="17" t="s">
        <v>14</v>
      </c>
      <c r="C26" s="18" t="s">
        <v>959</v>
      </c>
      <c r="D26" s="19" t="s">
        <v>959</v>
      </c>
      <c r="E26" s="20" t="str">
        <f>IFERROR(IF(C26&gt;0, D26/C26, 0),"-")</f>
        <v>-</v>
      </c>
    </row>
    <row r="27" spans="2:5" x14ac:dyDescent="0.2">
      <c r="B27" s="17" t="s">
        <v>21</v>
      </c>
      <c r="C27" s="18" t="s">
        <v>959</v>
      </c>
      <c r="D27" s="19" t="s">
        <v>959</v>
      </c>
      <c r="E27" s="20" t="str">
        <f>IFERROR(IF(C27&gt;0, D27/C27, 0),"-")</f>
        <v>-</v>
      </c>
    </row>
    <row r="28" spans="2:5" x14ac:dyDescent="0.2">
      <c r="B28" s="17" t="s">
        <v>23</v>
      </c>
      <c r="C28" s="18" t="s">
        <v>959</v>
      </c>
      <c r="D28" s="19" t="s">
        <v>959</v>
      </c>
      <c r="E28" s="20" t="str">
        <f>IFERROR(IF(C28&gt;0, D28/C28, 0),"-")</f>
        <v>-</v>
      </c>
    </row>
    <row r="29" spans="2:5" x14ac:dyDescent="0.2">
      <c r="B29" s="17" t="s">
        <v>15</v>
      </c>
      <c r="C29" s="18" t="s">
        <v>959</v>
      </c>
      <c r="D29" s="19" t="s">
        <v>959</v>
      </c>
      <c r="E29" s="20" t="str">
        <f>IFERROR(IF(C29&gt;0, D29/C29, 0),"-")</f>
        <v>-</v>
      </c>
    </row>
    <row r="30" spans="2:5" x14ac:dyDescent="0.2">
      <c r="B30" s="17" t="s">
        <v>20</v>
      </c>
      <c r="C30" s="18" t="s">
        <v>959</v>
      </c>
      <c r="D30" s="19" t="s">
        <v>959</v>
      </c>
      <c r="E30" s="20" t="str">
        <f>IFERROR(IF(C30&gt;0, D30/C30, 0),"-")</f>
        <v>-</v>
      </c>
    </row>
    <row r="31" spans="2:5" x14ac:dyDescent="0.2">
      <c r="B31" s="17" t="s">
        <v>24</v>
      </c>
      <c r="C31" s="18" t="s">
        <v>959</v>
      </c>
      <c r="D31" s="19" t="s">
        <v>959</v>
      </c>
      <c r="E31" s="20" t="str">
        <f>IFERROR(IF(C31&gt;0, D31/C31, 0),"-")</f>
        <v>-</v>
      </c>
    </row>
    <row r="32" spans="2:5" x14ac:dyDescent="0.2">
      <c r="B32" s="17" t="s">
        <v>3</v>
      </c>
      <c r="C32" s="18" t="s">
        <v>959</v>
      </c>
      <c r="D32" s="19" t="s">
        <v>959</v>
      </c>
      <c r="E32" s="20" t="str">
        <f>IFERROR(IF(C32&gt;0, D32/C32, 0),"-")</f>
        <v>-</v>
      </c>
    </row>
    <row r="33" spans="2:5" x14ac:dyDescent="0.2">
      <c r="B33" s="17" t="s">
        <v>5</v>
      </c>
      <c r="C33" s="18" t="s">
        <v>959</v>
      </c>
      <c r="D33" s="19" t="s">
        <v>959</v>
      </c>
      <c r="E33" s="20" t="str">
        <f>IFERROR(IF(C33&gt;0, D33/C33, 0),"-")</f>
        <v>-</v>
      </c>
    </row>
    <row r="34" spans="2:5" x14ac:dyDescent="0.2">
      <c r="B34" s="17" t="s">
        <v>9</v>
      </c>
      <c r="C34" s="18" t="s">
        <v>959</v>
      </c>
      <c r="D34" s="19" t="s">
        <v>959</v>
      </c>
      <c r="E34" s="20" t="str">
        <f>IFERROR(IF(C34&gt;0, D34/C34, 0),"-")</f>
        <v>-</v>
      </c>
    </row>
    <row r="35" spans="2:5" x14ac:dyDescent="0.2">
      <c r="B35" s="17" t="s">
        <v>25</v>
      </c>
      <c r="C35" s="18" t="s">
        <v>959</v>
      </c>
      <c r="D35" s="19" t="s">
        <v>959</v>
      </c>
      <c r="E35" s="20" t="str">
        <f>IFERROR(IF(C35&gt;0, D35/C35, 0),"-")</f>
        <v>-</v>
      </c>
    </row>
    <row r="36" spans="2:5" x14ac:dyDescent="0.2">
      <c r="B36" s="17" t="s">
        <v>6</v>
      </c>
      <c r="C36" s="18" t="s">
        <v>959</v>
      </c>
      <c r="D36" s="19" t="s">
        <v>959</v>
      </c>
      <c r="E36" s="20" t="str">
        <f>IFERROR(IF(C36&gt;0, D36/C36, 0),"-")</f>
        <v>-</v>
      </c>
    </row>
    <row r="37" spans="2:5" x14ac:dyDescent="0.2">
      <c r="B37" s="17" t="s">
        <v>7</v>
      </c>
      <c r="C37" s="18" t="s">
        <v>959</v>
      </c>
      <c r="D37" s="19" t="s">
        <v>959</v>
      </c>
      <c r="E37" s="20" t="str">
        <f>IFERROR(IF(C37&gt;0, D37/C37, 0),"-")</f>
        <v>-</v>
      </c>
    </row>
    <row r="38" spans="2:5" x14ac:dyDescent="0.2">
      <c r="B38" s="17" t="s">
        <v>10</v>
      </c>
      <c r="C38" s="18" t="s">
        <v>959</v>
      </c>
      <c r="D38" s="19" t="s">
        <v>959</v>
      </c>
      <c r="E38" s="20" t="str">
        <f>IFERROR(IF(C38&gt;0, D38/C38, 0),"-")</f>
        <v>-</v>
      </c>
    </row>
    <row r="39" spans="2:5" x14ac:dyDescent="0.2">
      <c r="B39" s="17" t="s">
        <v>8</v>
      </c>
      <c r="C39" s="18" t="s">
        <v>959</v>
      </c>
      <c r="D39" s="19" t="s">
        <v>959</v>
      </c>
      <c r="E39" s="20" t="str">
        <f>IFERROR(IF(C39&gt;0, D39/C39, 0),"-")</f>
        <v>-</v>
      </c>
    </row>
    <row r="40" spans="2:5" x14ac:dyDescent="0.2">
      <c r="B40" s="17" t="s">
        <v>26</v>
      </c>
      <c r="C40" s="18" t="s">
        <v>959</v>
      </c>
      <c r="D40" s="19" t="s">
        <v>959</v>
      </c>
      <c r="E40" s="20" t="str">
        <f>IFERROR(IF(C40&gt;0, D40/C40, 0),"-")</f>
        <v>-</v>
      </c>
    </row>
    <row r="41" spans="2:5" x14ac:dyDescent="0.2">
      <c r="B41" s="17" t="s">
        <v>13</v>
      </c>
      <c r="C41" s="18" t="s">
        <v>959</v>
      </c>
      <c r="D41" s="19" t="s">
        <v>959</v>
      </c>
      <c r="E41" s="20" t="str">
        <f>IFERROR(IF(C41&gt;0, D41/C41, 0),"-")</f>
        <v>-</v>
      </c>
    </row>
    <row r="42" spans="2:5" x14ac:dyDescent="0.2">
      <c r="B42" s="17" t="s">
        <v>29</v>
      </c>
      <c r="C42" s="18" t="s">
        <v>959</v>
      </c>
      <c r="D42" s="19" t="s">
        <v>959</v>
      </c>
      <c r="E42" s="20" t="str">
        <f>IFERROR(IF(C42&gt;0, D42/C42, 0),"-")</f>
        <v>-</v>
      </c>
    </row>
    <row r="43" spans="2:5" x14ac:dyDescent="0.2">
      <c r="B43" s="17" t="s">
        <v>27</v>
      </c>
      <c r="C43" s="18" t="s">
        <v>959</v>
      </c>
      <c r="D43" s="19" t="s">
        <v>959</v>
      </c>
      <c r="E43" s="20" t="str">
        <f>IFERROR(IF(C43&gt;0, D43/C43, 0),"-")</f>
        <v>-</v>
      </c>
    </row>
    <row r="44" spans="2:5" x14ac:dyDescent="0.2">
      <c r="B44" s="17" t="s">
        <v>4</v>
      </c>
      <c r="C44" s="18" t="s">
        <v>959</v>
      </c>
      <c r="D44" s="19" t="s">
        <v>959</v>
      </c>
      <c r="E44" s="20" t="str">
        <f>IFERROR(IF(C44&gt;0, D44/C44, 0),"-")</f>
        <v>-</v>
      </c>
    </row>
    <row r="45" spans="2:5" x14ac:dyDescent="0.2">
      <c r="B45" s="17" t="s">
        <v>22</v>
      </c>
      <c r="C45" s="18" t="s">
        <v>959</v>
      </c>
      <c r="D45" s="19" t="s">
        <v>959</v>
      </c>
      <c r="E45" s="20" t="str">
        <f>IFERROR(IF(C45&gt;0, D45/C45, 0),"-")</f>
        <v>-</v>
      </c>
    </row>
    <row r="46" spans="2:5" x14ac:dyDescent="0.2">
      <c r="B46" s="17" t="s">
        <v>1</v>
      </c>
      <c r="C46" s="18" t="s">
        <v>959</v>
      </c>
      <c r="D46" s="19" t="s">
        <v>959</v>
      </c>
      <c r="E46" s="20" t="str">
        <f>IFERROR(IF(C46&gt;0, D46/C46, 0),"-")</f>
        <v>-</v>
      </c>
    </row>
    <row r="47" spans="2:5" x14ac:dyDescent="0.2">
      <c r="B47" s="17" t="s">
        <v>28</v>
      </c>
      <c r="C47" s="18" t="s">
        <v>959</v>
      </c>
      <c r="D47" s="19" t="s">
        <v>959</v>
      </c>
      <c r="E47" s="20" t="str">
        <f>IFERROR(IF(C47&gt;0, D47/C47, 0),"-")</f>
        <v>-</v>
      </c>
    </row>
    <row r="48" spans="2:5" x14ac:dyDescent="0.2">
      <c r="B48" s="17" t="s">
        <v>11</v>
      </c>
      <c r="C48" s="18" t="s">
        <v>959</v>
      </c>
      <c r="D48" s="19" t="s">
        <v>959</v>
      </c>
      <c r="E48" s="20" t="str">
        <f>IFERROR(IF(C48&gt;0, D48/C48, 0),"-")</f>
        <v>-</v>
      </c>
    </row>
    <row r="49" spans="2:5" x14ac:dyDescent="0.2">
      <c r="B49" s="15" t="s">
        <v>953</v>
      </c>
      <c r="C49" s="16">
        <f>SUM(C19:C48)</f>
        <v>2</v>
      </c>
      <c r="D49" s="16">
        <f>SUM(D19:D48)</f>
        <v>0</v>
      </c>
      <c r="E49" s="21">
        <f>IFERROR(IF(C49&gt;0, D49/C49, 0),"-")</f>
        <v>0</v>
      </c>
    </row>
    <row r="53" spans="2:5" x14ac:dyDescent="0.2">
      <c r="B53" s="2" t="s">
        <v>1779</v>
      </c>
      <c r="C53" s="2"/>
      <c r="D53" s="2"/>
      <c r="E53" s="2"/>
    </row>
    <row r="54" spans="2:5" x14ac:dyDescent="0.2">
      <c r="B54" s="6" t="s">
        <v>954</v>
      </c>
      <c r="C54" s="2" t="s">
        <v>967</v>
      </c>
      <c r="D54" s="2"/>
      <c r="E54" s="2"/>
    </row>
    <row r="55" spans="2:5" x14ac:dyDescent="0.2">
      <c r="B55" s="6"/>
      <c r="C55" s="8" t="s">
        <v>961</v>
      </c>
      <c r="D55" s="9" t="s">
        <v>972</v>
      </c>
      <c r="E55" s="10" t="s">
        <v>956</v>
      </c>
    </row>
    <row r="56" spans="2:5" x14ac:dyDescent="0.2">
      <c r="C56" s="8"/>
      <c r="D56" s="9"/>
      <c r="E56" s="10"/>
    </row>
    <row r="57" spans="2:5" x14ac:dyDescent="0.2">
      <c r="B57" s="17" t="s">
        <v>68</v>
      </c>
      <c r="C57" s="18" t="s">
        <v>959</v>
      </c>
      <c r="D57" s="19" t="s">
        <v>959</v>
      </c>
      <c r="E57" s="20" t="str">
        <f>IFERROR(IF(C57&gt;0, D57/C57, 0),"-")</f>
        <v>-</v>
      </c>
    </row>
    <row r="58" spans="2:5" x14ac:dyDescent="0.2">
      <c r="B58" s="17" t="s">
        <v>42</v>
      </c>
      <c r="C58" s="18" t="s">
        <v>959</v>
      </c>
      <c r="D58" s="19" t="s">
        <v>959</v>
      </c>
      <c r="E58" s="20" t="str">
        <f>IFERROR(IF(C58&gt;0, D58/C58, 0),"-")</f>
        <v>-</v>
      </c>
    </row>
    <row r="59" spans="2:5" x14ac:dyDescent="0.2">
      <c r="B59" s="17" t="s">
        <v>48</v>
      </c>
      <c r="C59" s="18" t="s">
        <v>959</v>
      </c>
      <c r="D59" s="19" t="s">
        <v>959</v>
      </c>
      <c r="E59" s="20" t="str">
        <f>IFERROR(IF(C59&gt;0, D59/C59, 0),"-")</f>
        <v>-</v>
      </c>
    </row>
    <row r="60" spans="2:5" x14ac:dyDescent="0.2">
      <c r="B60" s="17" t="s">
        <v>74</v>
      </c>
      <c r="C60" s="18" t="s">
        <v>959</v>
      </c>
      <c r="D60" s="19" t="s">
        <v>959</v>
      </c>
      <c r="E60" s="20" t="str">
        <f>IFERROR(IF(C60&gt;0, D60/C60, 0),"-")</f>
        <v>-</v>
      </c>
    </row>
    <row r="61" spans="2:5" x14ac:dyDescent="0.2">
      <c r="B61" s="17" t="s">
        <v>92</v>
      </c>
      <c r="C61" s="18" t="s">
        <v>959</v>
      </c>
      <c r="D61" s="19" t="s">
        <v>959</v>
      </c>
      <c r="E61" s="20" t="str">
        <f>IFERROR(IF(C61&gt;0, D61/C61, 0),"-")</f>
        <v>-</v>
      </c>
    </row>
    <row r="62" spans="2:5" x14ac:dyDescent="0.2">
      <c r="B62" s="17" t="s">
        <v>79</v>
      </c>
      <c r="C62" s="18" t="s">
        <v>959</v>
      </c>
      <c r="D62" s="19" t="s">
        <v>959</v>
      </c>
      <c r="E62" s="20" t="str">
        <f>IFERROR(IF(C62&gt;0, D62/C62, 0),"-")</f>
        <v>-</v>
      </c>
    </row>
    <row r="63" spans="2:5" x14ac:dyDescent="0.2">
      <c r="B63" s="17" t="s">
        <v>30</v>
      </c>
      <c r="C63" s="18" t="s">
        <v>959</v>
      </c>
      <c r="D63" s="19" t="s">
        <v>959</v>
      </c>
      <c r="E63" s="20" t="str">
        <f>IFERROR(IF(C63&gt;0, D63/C63, 0),"-")</f>
        <v>-</v>
      </c>
    </row>
    <row r="64" spans="2:5" x14ac:dyDescent="0.2">
      <c r="B64" s="17" t="s">
        <v>125</v>
      </c>
      <c r="C64" s="18" t="s">
        <v>959</v>
      </c>
      <c r="D64" s="19" t="s">
        <v>959</v>
      </c>
      <c r="E64" s="20" t="str">
        <f>IFERROR(IF(C64&gt;0, D64/C64, 0),"-")</f>
        <v>-</v>
      </c>
    </row>
    <row r="65" spans="2:5" x14ac:dyDescent="0.2">
      <c r="B65" s="17" t="s">
        <v>88</v>
      </c>
      <c r="C65" s="18" t="s">
        <v>959</v>
      </c>
      <c r="D65" s="19" t="s">
        <v>959</v>
      </c>
      <c r="E65" s="20" t="str">
        <f>IFERROR(IF(C65&gt;0, D65/C65, 0),"-")</f>
        <v>-</v>
      </c>
    </row>
    <row r="66" spans="2:5" x14ac:dyDescent="0.2">
      <c r="B66" s="17" t="s">
        <v>91</v>
      </c>
      <c r="C66" s="18" t="s">
        <v>959</v>
      </c>
      <c r="D66" s="19" t="s">
        <v>959</v>
      </c>
      <c r="E66" s="20" t="str">
        <f>IFERROR(IF(C66&gt;0, D66/C66, 0),"-")</f>
        <v>-</v>
      </c>
    </row>
    <row r="67" spans="2:5" x14ac:dyDescent="0.2">
      <c r="B67" s="17" t="s">
        <v>16</v>
      </c>
      <c r="C67" s="18" t="s">
        <v>959</v>
      </c>
      <c r="D67" s="19" t="s">
        <v>959</v>
      </c>
      <c r="E67" s="20" t="str">
        <f>IFERROR(IF(C67&gt;0, D67/C67, 0),"-")</f>
        <v>-</v>
      </c>
    </row>
    <row r="68" spans="2:5" x14ac:dyDescent="0.2">
      <c r="B68" s="17" t="s">
        <v>53</v>
      </c>
      <c r="C68" s="18" t="s">
        <v>959</v>
      </c>
      <c r="D68" s="19" t="s">
        <v>959</v>
      </c>
      <c r="E68" s="20" t="str">
        <f>IFERROR(IF(C68&gt;0, D68/C68, 0),"-")</f>
        <v>-</v>
      </c>
    </row>
    <row r="69" spans="2:5" x14ac:dyDescent="0.2">
      <c r="B69" s="17" t="s">
        <v>35</v>
      </c>
      <c r="C69" s="18" t="s">
        <v>959</v>
      </c>
      <c r="D69" s="19" t="s">
        <v>959</v>
      </c>
      <c r="E69" s="20" t="str">
        <f>IFERROR(IF(C69&gt;0, D69/C69, 0),"-")</f>
        <v>-</v>
      </c>
    </row>
    <row r="70" spans="2:5" x14ac:dyDescent="0.2">
      <c r="B70" s="17" t="s">
        <v>19</v>
      </c>
      <c r="C70" s="18">
        <v>2</v>
      </c>
      <c r="D70" s="19" t="s">
        <v>959</v>
      </c>
      <c r="E70" s="20" t="str">
        <f>IFERROR(IF(C70&gt;0, D70/C70, 0),"-")</f>
        <v>-</v>
      </c>
    </row>
    <row r="71" spans="2:5" x14ac:dyDescent="0.2">
      <c r="B71" s="17" t="s">
        <v>56</v>
      </c>
      <c r="C71" s="18" t="s">
        <v>959</v>
      </c>
      <c r="D71" s="19" t="s">
        <v>959</v>
      </c>
      <c r="E71" s="20" t="str">
        <f>IFERROR(IF(C71&gt;0, D71/C71, 0),"-")</f>
        <v>-</v>
      </c>
    </row>
    <row r="72" spans="2:5" x14ac:dyDescent="0.2">
      <c r="B72" s="17" t="s">
        <v>77</v>
      </c>
      <c r="C72" s="18" t="s">
        <v>959</v>
      </c>
      <c r="D72" s="19" t="s">
        <v>959</v>
      </c>
      <c r="E72" s="20" t="str">
        <f>IFERROR(IF(C72&gt;0, D72/C72, 0),"-")</f>
        <v>-</v>
      </c>
    </row>
    <row r="73" spans="2:5" x14ac:dyDescent="0.2">
      <c r="B73" s="17" t="s">
        <v>12</v>
      </c>
      <c r="C73" s="18" t="s">
        <v>959</v>
      </c>
      <c r="D73" s="19" t="s">
        <v>959</v>
      </c>
      <c r="E73" s="20" t="str">
        <f>IFERROR(IF(C73&gt;0, D73/C73, 0),"-")</f>
        <v>-</v>
      </c>
    </row>
    <row r="74" spans="2:5" x14ac:dyDescent="0.2">
      <c r="B74" s="17" t="s">
        <v>59</v>
      </c>
      <c r="C74" s="18" t="s">
        <v>959</v>
      </c>
      <c r="D74" s="19" t="s">
        <v>959</v>
      </c>
      <c r="E74" s="20" t="str">
        <f>IFERROR(IF(C74&gt;0, D74/C74, 0),"-")</f>
        <v>-</v>
      </c>
    </row>
    <row r="75" spans="2:5" x14ac:dyDescent="0.2">
      <c r="B75" s="17" t="s">
        <v>129</v>
      </c>
      <c r="C75" s="18" t="s">
        <v>959</v>
      </c>
      <c r="D75" s="19" t="s">
        <v>959</v>
      </c>
      <c r="E75" s="20" t="str">
        <f>IFERROR(IF(C75&gt;0, D75/C75, 0),"-")</f>
        <v>-</v>
      </c>
    </row>
    <row r="76" spans="2:5" x14ac:dyDescent="0.2">
      <c r="B76" s="17" t="s">
        <v>110</v>
      </c>
      <c r="C76" s="18" t="s">
        <v>959</v>
      </c>
      <c r="D76" s="19" t="s">
        <v>959</v>
      </c>
      <c r="E76" s="20" t="str">
        <f>IFERROR(IF(C76&gt;0, D76/C76, 0),"-")</f>
        <v>-</v>
      </c>
    </row>
    <row r="77" spans="2:5" x14ac:dyDescent="0.2">
      <c r="B77" s="17" t="s">
        <v>50</v>
      </c>
      <c r="C77" s="18" t="s">
        <v>959</v>
      </c>
      <c r="D77" s="19" t="s">
        <v>959</v>
      </c>
      <c r="E77" s="20" t="str">
        <f>IFERROR(IF(C77&gt;0, D77/C77, 0),"-")</f>
        <v>-</v>
      </c>
    </row>
    <row r="78" spans="2:5" x14ac:dyDescent="0.2">
      <c r="B78" s="17" t="s">
        <v>105</v>
      </c>
      <c r="C78" s="18" t="s">
        <v>959</v>
      </c>
      <c r="D78" s="19" t="s">
        <v>959</v>
      </c>
      <c r="E78" s="20" t="str">
        <f>IFERROR(IF(C78&gt;0, D78/C78, 0),"-")</f>
        <v>-</v>
      </c>
    </row>
    <row r="79" spans="2:5" x14ac:dyDescent="0.2">
      <c r="B79" s="17" t="s">
        <v>100</v>
      </c>
      <c r="C79" s="18" t="s">
        <v>959</v>
      </c>
      <c r="D79" s="19" t="s">
        <v>959</v>
      </c>
      <c r="E79" s="20" t="str">
        <f>IFERROR(IF(C79&gt;0, D79/C79, 0),"-")</f>
        <v>-</v>
      </c>
    </row>
    <row r="80" spans="2:5" x14ac:dyDescent="0.2">
      <c r="B80" s="17" t="s">
        <v>31</v>
      </c>
      <c r="C80" s="18" t="s">
        <v>959</v>
      </c>
      <c r="D80" s="19" t="s">
        <v>959</v>
      </c>
      <c r="E80" s="20" t="str">
        <f>IFERROR(IF(C80&gt;0, D80/C80, 0),"-")</f>
        <v>-</v>
      </c>
    </row>
    <row r="81" spans="2:5" x14ac:dyDescent="0.2">
      <c r="B81" s="17" t="s">
        <v>84</v>
      </c>
      <c r="C81" s="18" t="s">
        <v>959</v>
      </c>
      <c r="D81" s="19" t="s">
        <v>959</v>
      </c>
      <c r="E81" s="20" t="str">
        <f>IFERROR(IF(C81&gt;0, D81/C81, 0),"-")</f>
        <v>-</v>
      </c>
    </row>
    <row r="82" spans="2:5" x14ac:dyDescent="0.2">
      <c r="B82" s="17" t="s">
        <v>14</v>
      </c>
      <c r="C82" s="18" t="s">
        <v>959</v>
      </c>
      <c r="D82" s="19" t="s">
        <v>959</v>
      </c>
      <c r="E82" s="20" t="str">
        <f>IFERROR(IF(C82&gt;0, D82/C82, 0),"-")</f>
        <v>-</v>
      </c>
    </row>
    <row r="83" spans="2:5" x14ac:dyDescent="0.2">
      <c r="B83" s="17" t="s">
        <v>98</v>
      </c>
      <c r="C83" s="18" t="s">
        <v>959</v>
      </c>
      <c r="D83" s="19" t="s">
        <v>959</v>
      </c>
      <c r="E83" s="20" t="str">
        <f>IFERROR(IF(C83&gt;0, D83/C83, 0),"-")</f>
        <v>-</v>
      </c>
    </row>
    <row r="84" spans="2:5" x14ac:dyDescent="0.2">
      <c r="B84" s="17" t="s">
        <v>21</v>
      </c>
      <c r="C84" s="18" t="s">
        <v>959</v>
      </c>
      <c r="D84" s="19" t="s">
        <v>959</v>
      </c>
      <c r="E84" s="20" t="str">
        <f>IFERROR(IF(C84&gt;0, D84/C84, 0),"-")</f>
        <v>-</v>
      </c>
    </row>
    <row r="85" spans="2:5" x14ac:dyDescent="0.2">
      <c r="B85" s="17" t="s">
        <v>65</v>
      </c>
      <c r="C85" s="18" t="s">
        <v>959</v>
      </c>
      <c r="D85" s="19" t="s">
        <v>959</v>
      </c>
      <c r="E85" s="20" t="str">
        <f>IFERROR(IF(C85&gt;0, D85/C85, 0),"-")</f>
        <v>-</v>
      </c>
    </row>
    <row r="86" spans="2:5" x14ac:dyDescent="0.2">
      <c r="B86" s="17" t="s">
        <v>87</v>
      </c>
      <c r="C86" s="18" t="s">
        <v>959</v>
      </c>
      <c r="D86" s="19" t="s">
        <v>959</v>
      </c>
      <c r="E86" s="20" t="str">
        <f>IFERROR(IF(C86&gt;0, D86/C86, 0),"-")</f>
        <v>-</v>
      </c>
    </row>
    <row r="87" spans="2:5" x14ac:dyDescent="0.2">
      <c r="B87" s="17" t="s">
        <v>23</v>
      </c>
      <c r="C87" s="18" t="s">
        <v>959</v>
      </c>
      <c r="D87" s="19" t="s">
        <v>959</v>
      </c>
      <c r="E87" s="20" t="str">
        <f>IFERROR(IF(C87&gt;0, D87/C87, 0),"-")</f>
        <v>-</v>
      </c>
    </row>
    <row r="88" spans="2:5" x14ac:dyDescent="0.2">
      <c r="B88" s="17" t="s">
        <v>127</v>
      </c>
      <c r="C88" s="18" t="s">
        <v>959</v>
      </c>
      <c r="D88" s="19" t="s">
        <v>959</v>
      </c>
      <c r="E88" s="20" t="str">
        <f>IFERROR(IF(C88&gt;0, D88/C88, 0),"-")</f>
        <v>-</v>
      </c>
    </row>
    <row r="89" spans="2:5" x14ac:dyDescent="0.2">
      <c r="B89" s="17" t="s">
        <v>15</v>
      </c>
      <c r="C89" s="18" t="s">
        <v>959</v>
      </c>
      <c r="D89" s="19" t="s">
        <v>959</v>
      </c>
      <c r="E89" s="20" t="str">
        <f>IFERROR(IF(C89&gt;0, D89/C89, 0),"-")</f>
        <v>-</v>
      </c>
    </row>
    <row r="90" spans="2:5" x14ac:dyDescent="0.2">
      <c r="B90" s="17" t="s">
        <v>111</v>
      </c>
      <c r="C90" s="18" t="s">
        <v>959</v>
      </c>
      <c r="D90" s="19" t="s">
        <v>959</v>
      </c>
      <c r="E90" s="20" t="str">
        <f>IFERROR(IF(C90&gt;0, D90/C90, 0),"-")</f>
        <v>-</v>
      </c>
    </row>
    <row r="91" spans="2:5" x14ac:dyDescent="0.2">
      <c r="B91" s="17" t="s">
        <v>83</v>
      </c>
      <c r="C91" s="18" t="s">
        <v>959</v>
      </c>
      <c r="D91" s="19" t="s">
        <v>959</v>
      </c>
      <c r="E91" s="20" t="str">
        <f>IFERROR(IF(C91&gt;0, D91/C91, 0),"-")</f>
        <v>-</v>
      </c>
    </row>
    <row r="92" spans="2:5" x14ac:dyDescent="0.2">
      <c r="B92" s="17" t="s">
        <v>116</v>
      </c>
      <c r="C92" s="18" t="s">
        <v>959</v>
      </c>
      <c r="D92" s="19" t="s">
        <v>959</v>
      </c>
      <c r="E92" s="20" t="str">
        <f>IFERROR(IF(C92&gt;0, D92/C92, 0),"-")</f>
        <v>-</v>
      </c>
    </row>
    <row r="93" spans="2:5" x14ac:dyDescent="0.2">
      <c r="B93" s="17" t="s">
        <v>20</v>
      </c>
      <c r="C93" s="18" t="s">
        <v>959</v>
      </c>
      <c r="D93" s="19" t="s">
        <v>959</v>
      </c>
      <c r="E93" s="20" t="str">
        <f>IFERROR(IF(C93&gt;0, D93/C93, 0),"-")</f>
        <v>-</v>
      </c>
    </row>
    <row r="94" spans="2:5" x14ac:dyDescent="0.2">
      <c r="B94" s="17" t="s">
        <v>131</v>
      </c>
      <c r="C94" s="18" t="s">
        <v>959</v>
      </c>
      <c r="D94" s="19" t="s">
        <v>959</v>
      </c>
      <c r="E94" s="20" t="str">
        <f>IFERROR(IF(C94&gt;0, D94/C94, 0),"-")</f>
        <v>-</v>
      </c>
    </row>
    <row r="95" spans="2:5" x14ac:dyDescent="0.2">
      <c r="B95" s="17" t="s">
        <v>24</v>
      </c>
      <c r="C95" s="18" t="s">
        <v>959</v>
      </c>
      <c r="D95" s="19" t="s">
        <v>959</v>
      </c>
      <c r="E95" s="20" t="str">
        <f>IFERROR(IF(C95&gt;0, D95/C95, 0),"-")</f>
        <v>-</v>
      </c>
    </row>
    <row r="96" spans="2:5" x14ac:dyDescent="0.2">
      <c r="B96" s="17" t="s">
        <v>122</v>
      </c>
      <c r="C96" s="18" t="s">
        <v>959</v>
      </c>
      <c r="D96" s="19" t="s">
        <v>959</v>
      </c>
      <c r="E96" s="20" t="str">
        <f>IFERROR(IF(C96&gt;0, D96/C96, 0),"-")</f>
        <v>-</v>
      </c>
    </row>
    <row r="97" spans="2:5" x14ac:dyDescent="0.2">
      <c r="B97" s="17" t="s">
        <v>133</v>
      </c>
      <c r="C97" s="18" t="s">
        <v>959</v>
      </c>
      <c r="D97" s="19" t="s">
        <v>959</v>
      </c>
      <c r="E97" s="20" t="str">
        <f>IFERROR(IF(C97&gt;0, D97/C97, 0),"-")</f>
        <v>-</v>
      </c>
    </row>
    <row r="98" spans="2:5" x14ac:dyDescent="0.2">
      <c r="B98" s="17" t="s">
        <v>108</v>
      </c>
      <c r="C98" s="18" t="s">
        <v>959</v>
      </c>
      <c r="D98" s="19" t="s">
        <v>959</v>
      </c>
      <c r="E98" s="20" t="str">
        <f>IFERROR(IF(C98&gt;0, D98/C98, 0),"-")</f>
        <v>-</v>
      </c>
    </row>
    <row r="99" spans="2:5" x14ac:dyDescent="0.2">
      <c r="B99" s="17" t="s">
        <v>85</v>
      </c>
      <c r="C99" s="18" t="s">
        <v>959</v>
      </c>
      <c r="D99" s="19" t="s">
        <v>959</v>
      </c>
      <c r="E99" s="20" t="str">
        <f>IFERROR(IF(C99&gt;0, D99/C99, 0),"-")</f>
        <v>-</v>
      </c>
    </row>
    <row r="100" spans="2:5" x14ac:dyDescent="0.2">
      <c r="B100" s="17" t="s">
        <v>132</v>
      </c>
      <c r="C100" s="18" t="s">
        <v>959</v>
      </c>
      <c r="D100" s="19" t="s">
        <v>959</v>
      </c>
      <c r="E100" s="20" t="str">
        <f>IFERROR(IF(C100&gt;0, D100/C100, 0),"-")</f>
        <v>-</v>
      </c>
    </row>
    <row r="101" spans="2:5" x14ac:dyDescent="0.2">
      <c r="B101" s="17" t="s">
        <v>96</v>
      </c>
      <c r="C101" s="18" t="s">
        <v>959</v>
      </c>
      <c r="D101" s="19" t="s">
        <v>959</v>
      </c>
      <c r="E101" s="20" t="str">
        <f>IFERROR(IF(C101&gt;0, D101/C101, 0),"-")</f>
        <v>-</v>
      </c>
    </row>
    <row r="102" spans="2:5" x14ac:dyDescent="0.2">
      <c r="B102" s="17" t="s">
        <v>117</v>
      </c>
      <c r="C102" s="18" t="s">
        <v>959</v>
      </c>
      <c r="D102" s="19" t="s">
        <v>959</v>
      </c>
      <c r="E102" s="20" t="str">
        <f>IFERROR(IF(C102&gt;0, D102/C102, 0),"-")</f>
        <v>-</v>
      </c>
    </row>
    <row r="103" spans="2:5" x14ac:dyDescent="0.2">
      <c r="B103" s="17" t="s">
        <v>49</v>
      </c>
      <c r="C103" s="18" t="s">
        <v>959</v>
      </c>
      <c r="D103" s="19" t="s">
        <v>959</v>
      </c>
      <c r="E103" s="20" t="str">
        <f>IFERROR(IF(C103&gt;0, D103/C103, 0),"-")</f>
        <v>-</v>
      </c>
    </row>
    <row r="104" spans="2:5" x14ac:dyDescent="0.2">
      <c r="B104" s="17" t="s">
        <v>70</v>
      </c>
      <c r="C104" s="18" t="s">
        <v>959</v>
      </c>
      <c r="D104" s="19" t="s">
        <v>959</v>
      </c>
      <c r="E104" s="20" t="str">
        <f>IFERROR(IF(C104&gt;0, D104/C104, 0),"-")</f>
        <v>-</v>
      </c>
    </row>
    <row r="105" spans="2:5" x14ac:dyDescent="0.2">
      <c r="B105" s="17" t="s">
        <v>76</v>
      </c>
      <c r="C105" s="18" t="s">
        <v>959</v>
      </c>
      <c r="D105" s="19" t="s">
        <v>959</v>
      </c>
      <c r="E105" s="20" t="str">
        <f>IFERROR(IF(C105&gt;0, D105/C105, 0),"-")</f>
        <v>-</v>
      </c>
    </row>
    <row r="106" spans="2:5" x14ac:dyDescent="0.2">
      <c r="B106" s="17" t="s">
        <v>102</v>
      </c>
      <c r="C106" s="18" t="s">
        <v>959</v>
      </c>
      <c r="D106" s="19" t="s">
        <v>959</v>
      </c>
      <c r="E106" s="20" t="str">
        <f>IFERROR(IF(C106&gt;0, D106/C106, 0),"-")</f>
        <v>-</v>
      </c>
    </row>
    <row r="107" spans="2:5" x14ac:dyDescent="0.2">
      <c r="B107" s="17" t="s">
        <v>33</v>
      </c>
      <c r="C107" s="18" t="s">
        <v>959</v>
      </c>
      <c r="D107" s="19" t="s">
        <v>959</v>
      </c>
      <c r="E107" s="20" t="str">
        <f>IFERROR(IF(C107&gt;0, D107/C107, 0),"-")</f>
        <v>-</v>
      </c>
    </row>
    <row r="108" spans="2:5" x14ac:dyDescent="0.2">
      <c r="B108" s="17" t="s">
        <v>67</v>
      </c>
      <c r="C108" s="18" t="s">
        <v>959</v>
      </c>
      <c r="D108" s="19" t="s">
        <v>959</v>
      </c>
      <c r="E108" s="20" t="str">
        <f>IFERROR(IF(C108&gt;0, D108/C108, 0),"-")</f>
        <v>-</v>
      </c>
    </row>
    <row r="109" spans="2:5" x14ac:dyDescent="0.2">
      <c r="B109" s="17" t="s">
        <v>135</v>
      </c>
      <c r="C109" s="18" t="s">
        <v>959</v>
      </c>
      <c r="D109" s="19" t="s">
        <v>959</v>
      </c>
      <c r="E109" s="20" t="str">
        <f>IFERROR(IF(C109&gt;0, D109/C109, 0),"-")</f>
        <v>-</v>
      </c>
    </row>
    <row r="110" spans="2:5" x14ac:dyDescent="0.2">
      <c r="B110" s="17" t="s">
        <v>120</v>
      </c>
      <c r="C110" s="18" t="s">
        <v>959</v>
      </c>
      <c r="D110" s="19" t="s">
        <v>959</v>
      </c>
      <c r="E110" s="20" t="str">
        <f>IFERROR(IF(C110&gt;0, D110/C110, 0),"-")</f>
        <v>-</v>
      </c>
    </row>
    <row r="111" spans="2:5" x14ac:dyDescent="0.2">
      <c r="B111" s="17" t="s">
        <v>99</v>
      </c>
      <c r="C111" s="18" t="s">
        <v>959</v>
      </c>
      <c r="D111" s="19" t="s">
        <v>959</v>
      </c>
      <c r="E111" s="20" t="str">
        <f>IFERROR(IF(C111&gt;0, D111/C111, 0),"-")</f>
        <v>-</v>
      </c>
    </row>
    <row r="112" spans="2:5" x14ac:dyDescent="0.2">
      <c r="B112" s="17" t="s">
        <v>89</v>
      </c>
      <c r="C112" s="18" t="s">
        <v>959</v>
      </c>
      <c r="D112" s="19" t="s">
        <v>959</v>
      </c>
      <c r="E112" s="20" t="str">
        <f>IFERROR(IF(C112&gt;0, D112/C112, 0),"-")</f>
        <v>-</v>
      </c>
    </row>
    <row r="113" spans="2:5" x14ac:dyDescent="0.2">
      <c r="B113" s="17" t="s">
        <v>94</v>
      </c>
      <c r="C113" s="18" t="s">
        <v>959</v>
      </c>
      <c r="D113" s="19" t="s">
        <v>959</v>
      </c>
      <c r="E113" s="20" t="str">
        <f>IFERROR(IF(C113&gt;0, D113/C113, 0),"-")</f>
        <v>-</v>
      </c>
    </row>
    <row r="114" spans="2:5" x14ac:dyDescent="0.2">
      <c r="B114" s="17" t="s">
        <v>34</v>
      </c>
      <c r="C114" s="18" t="s">
        <v>959</v>
      </c>
      <c r="D114" s="19" t="s">
        <v>959</v>
      </c>
      <c r="E114" s="20" t="str">
        <f>IFERROR(IF(C114&gt;0, D114/C114, 0),"-")</f>
        <v>-</v>
      </c>
    </row>
    <row r="115" spans="2:5" x14ac:dyDescent="0.2">
      <c r="B115" s="17" t="s">
        <v>5</v>
      </c>
      <c r="C115" s="18" t="s">
        <v>959</v>
      </c>
      <c r="D115" s="19" t="s">
        <v>959</v>
      </c>
      <c r="E115" s="20" t="str">
        <f>IFERROR(IF(C115&gt;0, D115/C115, 0),"-")</f>
        <v>-</v>
      </c>
    </row>
    <row r="116" spans="2:5" x14ac:dyDescent="0.2">
      <c r="B116" s="17" t="s">
        <v>109</v>
      </c>
      <c r="C116" s="18" t="s">
        <v>959</v>
      </c>
      <c r="D116" s="19" t="s">
        <v>959</v>
      </c>
      <c r="E116" s="20" t="str">
        <f>IFERROR(IF(C116&gt;0, D116/C116, 0),"-")</f>
        <v>-</v>
      </c>
    </row>
    <row r="117" spans="2:5" x14ac:dyDescent="0.2">
      <c r="B117" s="17" t="s">
        <v>121</v>
      </c>
      <c r="C117" s="18" t="s">
        <v>959</v>
      </c>
      <c r="D117" s="19" t="s">
        <v>959</v>
      </c>
      <c r="E117" s="20" t="str">
        <f>IFERROR(IF(C117&gt;0, D117/C117, 0),"-")</f>
        <v>-</v>
      </c>
    </row>
    <row r="118" spans="2:5" x14ac:dyDescent="0.2">
      <c r="B118" s="17" t="s">
        <v>9</v>
      </c>
      <c r="C118" s="18" t="s">
        <v>959</v>
      </c>
      <c r="D118" s="19" t="s">
        <v>959</v>
      </c>
      <c r="E118" s="20" t="str">
        <f>IFERROR(IF(C118&gt;0, D118/C118, 0),"-")</f>
        <v>-</v>
      </c>
    </row>
    <row r="119" spans="2:5" x14ac:dyDescent="0.2">
      <c r="B119" s="17" t="s">
        <v>78</v>
      </c>
      <c r="C119" s="18" t="s">
        <v>959</v>
      </c>
      <c r="D119" s="19" t="s">
        <v>959</v>
      </c>
      <c r="E119" s="20" t="str">
        <f>IFERROR(IF(C119&gt;0, D119/C119, 0),"-")</f>
        <v>-</v>
      </c>
    </row>
    <row r="120" spans="2:5" x14ac:dyDescent="0.2">
      <c r="B120" s="17" t="s">
        <v>104</v>
      </c>
      <c r="C120" s="18" t="s">
        <v>959</v>
      </c>
      <c r="D120" s="19" t="s">
        <v>959</v>
      </c>
      <c r="E120" s="20" t="str">
        <f>IFERROR(IF(C120&gt;0, D120/C120, 0),"-")</f>
        <v>-</v>
      </c>
    </row>
    <row r="121" spans="2:5" x14ac:dyDescent="0.2">
      <c r="B121" s="17" t="s">
        <v>119</v>
      </c>
      <c r="C121" s="18" t="s">
        <v>959</v>
      </c>
      <c r="D121" s="19" t="s">
        <v>959</v>
      </c>
      <c r="E121" s="20" t="str">
        <f>IFERROR(IF(C121&gt;0, D121/C121, 0),"-")</f>
        <v>-</v>
      </c>
    </row>
    <row r="122" spans="2:5" x14ac:dyDescent="0.2">
      <c r="B122" s="17" t="s">
        <v>39</v>
      </c>
      <c r="C122" s="18" t="s">
        <v>959</v>
      </c>
      <c r="D122" s="19" t="s">
        <v>959</v>
      </c>
      <c r="E122" s="20" t="str">
        <f>IFERROR(IF(C122&gt;0, D122/C122, 0),"-")</f>
        <v>-</v>
      </c>
    </row>
    <row r="123" spans="2:5" x14ac:dyDescent="0.2">
      <c r="B123" s="17" t="s">
        <v>25</v>
      </c>
      <c r="C123" s="18" t="s">
        <v>959</v>
      </c>
      <c r="D123" s="19" t="s">
        <v>959</v>
      </c>
      <c r="E123" s="20" t="str">
        <f>IFERROR(IF(C123&gt;0, D123/C123, 0),"-")</f>
        <v>-</v>
      </c>
    </row>
    <row r="124" spans="2:5" x14ac:dyDescent="0.2">
      <c r="B124" s="17" t="s">
        <v>115</v>
      </c>
      <c r="C124" s="18" t="s">
        <v>959</v>
      </c>
      <c r="D124" s="19" t="s">
        <v>959</v>
      </c>
      <c r="E124" s="20" t="str">
        <f>IFERROR(IF(C124&gt;0, D124/C124, 0),"-")</f>
        <v>-</v>
      </c>
    </row>
    <row r="125" spans="2:5" x14ac:dyDescent="0.2">
      <c r="B125" s="17" t="s">
        <v>6</v>
      </c>
      <c r="C125" s="18" t="s">
        <v>959</v>
      </c>
      <c r="D125" s="19" t="s">
        <v>959</v>
      </c>
      <c r="E125" s="20" t="str">
        <f>IFERROR(IF(C125&gt;0, D125/C125, 0),"-")</f>
        <v>-</v>
      </c>
    </row>
    <row r="126" spans="2:5" x14ac:dyDescent="0.2">
      <c r="B126" s="17" t="s">
        <v>40</v>
      </c>
      <c r="C126" s="18" t="s">
        <v>959</v>
      </c>
      <c r="D126" s="19" t="s">
        <v>959</v>
      </c>
      <c r="E126" s="20" t="str">
        <f>IFERROR(IF(C126&gt;0, D126/C126, 0),"-")</f>
        <v>-</v>
      </c>
    </row>
    <row r="127" spans="2:5" x14ac:dyDescent="0.2">
      <c r="B127" s="17" t="s">
        <v>58</v>
      </c>
      <c r="C127" s="18" t="s">
        <v>959</v>
      </c>
      <c r="D127" s="19" t="s">
        <v>959</v>
      </c>
      <c r="E127" s="20" t="str">
        <f>IFERROR(IF(C127&gt;0, D127/C127, 0),"-")</f>
        <v>-</v>
      </c>
    </row>
    <row r="128" spans="2:5" x14ac:dyDescent="0.2">
      <c r="B128" s="17" t="s">
        <v>43</v>
      </c>
      <c r="C128" s="18" t="s">
        <v>959</v>
      </c>
      <c r="D128" s="19" t="s">
        <v>959</v>
      </c>
      <c r="E128" s="20" t="str">
        <f>IFERROR(IF(C128&gt;0, D128/C128, 0),"-")</f>
        <v>-</v>
      </c>
    </row>
    <row r="129" spans="2:5" x14ac:dyDescent="0.2">
      <c r="B129" s="17" t="s">
        <v>101</v>
      </c>
      <c r="C129" s="18" t="s">
        <v>959</v>
      </c>
      <c r="D129" s="19" t="s">
        <v>959</v>
      </c>
      <c r="E129" s="20" t="str">
        <f>IFERROR(IF(C129&gt;0, D129/C129, 0),"-")</f>
        <v>-</v>
      </c>
    </row>
    <row r="130" spans="2:5" x14ac:dyDescent="0.2">
      <c r="B130" s="17" t="s">
        <v>57</v>
      </c>
      <c r="C130" s="18" t="s">
        <v>959</v>
      </c>
      <c r="D130" s="19" t="s">
        <v>959</v>
      </c>
      <c r="E130" s="20" t="str">
        <f>IFERROR(IF(C130&gt;0, D130/C130, 0),"-")</f>
        <v>-</v>
      </c>
    </row>
    <row r="131" spans="2:5" x14ac:dyDescent="0.2">
      <c r="B131" s="17" t="s">
        <v>80</v>
      </c>
      <c r="C131" s="18" t="s">
        <v>959</v>
      </c>
      <c r="D131" s="19" t="s">
        <v>959</v>
      </c>
      <c r="E131" s="20" t="str">
        <f>IFERROR(IF(C131&gt;0, D131/C131, 0),"-")</f>
        <v>-</v>
      </c>
    </row>
    <row r="132" spans="2:5" x14ac:dyDescent="0.2">
      <c r="B132" s="17" t="s">
        <v>45</v>
      </c>
      <c r="C132" s="18" t="s">
        <v>959</v>
      </c>
      <c r="D132" s="19" t="s">
        <v>959</v>
      </c>
      <c r="E132" s="20" t="str">
        <f>IFERROR(IF(C132&gt;0, D132/C132, 0),"-")</f>
        <v>-</v>
      </c>
    </row>
    <row r="133" spans="2:5" x14ac:dyDescent="0.2">
      <c r="B133" s="17" t="s">
        <v>90</v>
      </c>
      <c r="C133" s="18" t="s">
        <v>959</v>
      </c>
      <c r="D133" s="19" t="s">
        <v>959</v>
      </c>
      <c r="E133" s="20" t="str">
        <f>IFERROR(IF(C133&gt;0, D133/C133, 0),"-")</f>
        <v>-</v>
      </c>
    </row>
    <row r="134" spans="2:5" x14ac:dyDescent="0.2">
      <c r="B134" s="17" t="s">
        <v>114</v>
      </c>
      <c r="C134" s="18" t="s">
        <v>959</v>
      </c>
      <c r="D134" s="19" t="s">
        <v>959</v>
      </c>
      <c r="E134" s="20" t="str">
        <f>IFERROR(IF(C134&gt;0, D134/C134, 0),"-")</f>
        <v>-</v>
      </c>
    </row>
    <row r="135" spans="2:5" x14ac:dyDescent="0.2">
      <c r="B135" s="17" t="s">
        <v>10</v>
      </c>
      <c r="C135" s="18" t="s">
        <v>959</v>
      </c>
      <c r="D135" s="19" t="s">
        <v>959</v>
      </c>
      <c r="E135" s="20" t="str">
        <f>IFERROR(IF(C135&gt;0, D135/C135, 0),"-")</f>
        <v>-</v>
      </c>
    </row>
    <row r="136" spans="2:5" x14ac:dyDescent="0.2">
      <c r="B136" s="17" t="s">
        <v>107</v>
      </c>
      <c r="C136" s="18" t="s">
        <v>959</v>
      </c>
      <c r="D136" s="19" t="s">
        <v>959</v>
      </c>
      <c r="E136" s="20" t="str">
        <f>IFERROR(IF(C136&gt;0, D136/C136, 0),"-")</f>
        <v>-</v>
      </c>
    </row>
    <row r="137" spans="2:5" x14ac:dyDescent="0.2">
      <c r="B137" s="17" t="s">
        <v>36</v>
      </c>
      <c r="C137" s="18" t="s">
        <v>959</v>
      </c>
      <c r="D137" s="19" t="s">
        <v>959</v>
      </c>
      <c r="E137" s="20" t="str">
        <f>IFERROR(IF(C137&gt;0, D137/C137, 0),"-")</f>
        <v>-</v>
      </c>
    </row>
    <row r="138" spans="2:5" x14ac:dyDescent="0.2">
      <c r="B138" s="17" t="s">
        <v>51</v>
      </c>
      <c r="C138" s="18" t="s">
        <v>959</v>
      </c>
      <c r="D138" s="19" t="s">
        <v>959</v>
      </c>
      <c r="E138" s="20" t="str">
        <f>IFERROR(IF(C138&gt;0, D138/C138, 0),"-")</f>
        <v>-</v>
      </c>
    </row>
    <row r="139" spans="2:5" x14ac:dyDescent="0.2">
      <c r="B139" s="17" t="s">
        <v>75</v>
      </c>
      <c r="C139" s="18" t="s">
        <v>959</v>
      </c>
      <c r="D139" s="19" t="s">
        <v>959</v>
      </c>
      <c r="E139" s="20" t="str">
        <f>IFERROR(IF(C139&gt;0, D139/C139, 0),"-")</f>
        <v>-</v>
      </c>
    </row>
    <row r="140" spans="2:5" x14ac:dyDescent="0.2">
      <c r="B140" s="17" t="s">
        <v>8</v>
      </c>
      <c r="C140" s="18" t="s">
        <v>959</v>
      </c>
      <c r="D140" s="19" t="s">
        <v>959</v>
      </c>
      <c r="E140" s="20" t="str">
        <f>IFERROR(IF(C140&gt;0, D140/C140, 0),"-")</f>
        <v>-</v>
      </c>
    </row>
    <row r="141" spans="2:5" x14ac:dyDescent="0.2">
      <c r="B141" s="17" t="s">
        <v>41</v>
      </c>
      <c r="C141" s="18" t="s">
        <v>959</v>
      </c>
      <c r="D141" s="19" t="s">
        <v>959</v>
      </c>
      <c r="E141" s="20" t="str">
        <f>IFERROR(IF(C141&gt;0, D141/C141, 0),"-")</f>
        <v>-</v>
      </c>
    </row>
    <row r="142" spans="2:5" x14ac:dyDescent="0.2">
      <c r="B142" s="17" t="s">
        <v>26</v>
      </c>
      <c r="C142" s="18" t="s">
        <v>959</v>
      </c>
      <c r="D142" s="19" t="s">
        <v>959</v>
      </c>
      <c r="E142" s="20" t="str">
        <f>IFERROR(IF(C142&gt;0, D142/C142, 0),"-")</f>
        <v>-</v>
      </c>
    </row>
    <row r="143" spans="2:5" x14ac:dyDescent="0.2">
      <c r="B143" s="17" t="s">
        <v>103</v>
      </c>
      <c r="C143" s="18" t="s">
        <v>959</v>
      </c>
      <c r="D143" s="19" t="s">
        <v>959</v>
      </c>
      <c r="E143" s="20" t="str">
        <f>IFERROR(IF(C143&gt;0, D143/C143, 0),"-")</f>
        <v>-</v>
      </c>
    </row>
    <row r="144" spans="2:5" x14ac:dyDescent="0.2">
      <c r="B144" s="17" t="s">
        <v>13</v>
      </c>
      <c r="C144" s="18" t="s">
        <v>959</v>
      </c>
      <c r="D144" s="19" t="s">
        <v>959</v>
      </c>
      <c r="E144" s="20" t="str">
        <f>IFERROR(IF(C144&gt;0, D144/C144, 0),"-")</f>
        <v>-</v>
      </c>
    </row>
    <row r="145" spans="2:5" x14ac:dyDescent="0.2">
      <c r="B145" s="17" t="s">
        <v>128</v>
      </c>
      <c r="C145" s="18" t="s">
        <v>959</v>
      </c>
      <c r="D145" s="19" t="s">
        <v>959</v>
      </c>
      <c r="E145" s="20" t="str">
        <f>IFERROR(IF(C145&gt;0, D145/C145, 0),"-")</f>
        <v>-</v>
      </c>
    </row>
    <row r="146" spans="2:5" x14ac:dyDescent="0.2">
      <c r="B146" s="17" t="s">
        <v>46</v>
      </c>
      <c r="C146" s="18" t="s">
        <v>959</v>
      </c>
      <c r="D146" s="19" t="s">
        <v>959</v>
      </c>
      <c r="E146" s="20" t="str">
        <f>IFERROR(IF(C146&gt;0, D146/C146, 0),"-")</f>
        <v>-</v>
      </c>
    </row>
    <row r="147" spans="2:5" x14ac:dyDescent="0.2">
      <c r="B147" s="17" t="s">
        <v>124</v>
      </c>
      <c r="C147" s="18" t="s">
        <v>959</v>
      </c>
      <c r="D147" s="19" t="s">
        <v>959</v>
      </c>
      <c r="E147" s="20" t="str">
        <f>IFERROR(IF(C147&gt;0, D147/C147, 0),"-")</f>
        <v>-</v>
      </c>
    </row>
    <row r="148" spans="2:5" x14ac:dyDescent="0.2">
      <c r="B148" s="17" t="s">
        <v>52</v>
      </c>
      <c r="C148" s="18" t="s">
        <v>959</v>
      </c>
      <c r="D148" s="19" t="s">
        <v>959</v>
      </c>
      <c r="E148" s="20" t="str">
        <f>IFERROR(IF(C148&gt;0, D148/C148, 0),"-")</f>
        <v>-</v>
      </c>
    </row>
    <row r="149" spans="2:5" x14ac:dyDescent="0.2">
      <c r="B149" s="17" t="s">
        <v>60</v>
      </c>
      <c r="C149" s="18" t="s">
        <v>959</v>
      </c>
      <c r="D149" s="19" t="s">
        <v>959</v>
      </c>
      <c r="E149" s="20" t="str">
        <f>IFERROR(IF(C149&gt;0, D149/C149, 0),"-")</f>
        <v>-</v>
      </c>
    </row>
    <row r="150" spans="2:5" x14ac:dyDescent="0.2">
      <c r="B150" s="17" t="s">
        <v>126</v>
      </c>
      <c r="C150" s="18" t="s">
        <v>959</v>
      </c>
      <c r="D150" s="19" t="s">
        <v>959</v>
      </c>
      <c r="E150" s="20" t="str">
        <f>IFERROR(IF(C150&gt;0, D150/C150, 0),"-")</f>
        <v>-</v>
      </c>
    </row>
    <row r="151" spans="2:5" x14ac:dyDescent="0.2">
      <c r="B151" s="17" t="s">
        <v>93</v>
      </c>
      <c r="C151" s="18" t="s">
        <v>959</v>
      </c>
      <c r="D151" s="19" t="s">
        <v>959</v>
      </c>
      <c r="E151" s="20" t="str">
        <f>IFERROR(IF(C151&gt;0, D151/C151, 0),"-")</f>
        <v>-</v>
      </c>
    </row>
    <row r="152" spans="2:5" x14ac:dyDescent="0.2">
      <c r="B152" s="17" t="s">
        <v>54</v>
      </c>
      <c r="C152" s="18" t="s">
        <v>959</v>
      </c>
      <c r="D152" s="19" t="s">
        <v>959</v>
      </c>
      <c r="E152" s="20" t="str">
        <f>IFERROR(IF(C152&gt;0, D152/C152, 0),"-")</f>
        <v>-</v>
      </c>
    </row>
    <row r="153" spans="2:5" x14ac:dyDescent="0.2">
      <c r="B153" s="17" t="s">
        <v>62</v>
      </c>
      <c r="C153" s="18" t="s">
        <v>959</v>
      </c>
      <c r="D153" s="19" t="s">
        <v>959</v>
      </c>
      <c r="E153" s="20" t="str">
        <f>IFERROR(IF(C153&gt;0, D153/C153, 0),"-")</f>
        <v>-</v>
      </c>
    </row>
    <row r="154" spans="2:5" x14ac:dyDescent="0.2">
      <c r="B154" s="17" t="s">
        <v>106</v>
      </c>
      <c r="C154" s="18" t="s">
        <v>959</v>
      </c>
      <c r="D154" s="19" t="s">
        <v>959</v>
      </c>
      <c r="E154" s="20" t="str">
        <f>IFERROR(IF(C154&gt;0, D154/C154, 0),"-")</f>
        <v>-</v>
      </c>
    </row>
    <row r="155" spans="2:5" x14ac:dyDescent="0.2">
      <c r="B155" s="17" t="s">
        <v>134</v>
      </c>
      <c r="C155" s="18" t="s">
        <v>959</v>
      </c>
      <c r="D155" s="19" t="s">
        <v>959</v>
      </c>
      <c r="E155" s="20" t="str">
        <f>IFERROR(IF(C155&gt;0, D155/C155, 0),"-")</f>
        <v>-</v>
      </c>
    </row>
    <row r="156" spans="2:5" x14ac:dyDescent="0.2">
      <c r="B156" s="17" t="s">
        <v>113</v>
      </c>
      <c r="C156" s="18" t="s">
        <v>959</v>
      </c>
      <c r="D156" s="19" t="s">
        <v>959</v>
      </c>
      <c r="E156" s="20" t="str">
        <f>IFERROR(IF(C156&gt;0, D156/C156, 0),"-")</f>
        <v>-</v>
      </c>
    </row>
    <row r="157" spans="2:5" x14ac:dyDescent="0.2">
      <c r="B157" s="17" t="s">
        <v>95</v>
      </c>
      <c r="C157" s="18" t="s">
        <v>959</v>
      </c>
      <c r="D157" s="19" t="s">
        <v>959</v>
      </c>
      <c r="E157" s="20" t="str">
        <f>IFERROR(IF(C157&gt;0, D157/C157, 0),"-")</f>
        <v>-</v>
      </c>
    </row>
    <row r="158" spans="2:5" x14ac:dyDescent="0.2">
      <c r="B158" s="17" t="s">
        <v>66</v>
      </c>
      <c r="C158" s="18" t="s">
        <v>959</v>
      </c>
      <c r="D158" s="19" t="s">
        <v>959</v>
      </c>
      <c r="E158" s="20" t="str">
        <f>IFERROR(IF(C158&gt;0, D158/C158, 0),"-")</f>
        <v>-</v>
      </c>
    </row>
    <row r="159" spans="2:5" x14ac:dyDescent="0.2">
      <c r="B159" s="17" t="s">
        <v>44</v>
      </c>
      <c r="C159" s="18" t="s">
        <v>959</v>
      </c>
      <c r="D159" s="19" t="s">
        <v>959</v>
      </c>
      <c r="E159" s="20" t="str">
        <f>IFERROR(IF(C159&gt;0, D159/C159, 0),"-")</f>
        <v>-</v>
      </c>
    </row>
    <row r="160" spans="2:5" x14ac:dyDescent="0.2">
      <c r="B160" s="17" t="s">
        <v>61</v>
      </c>
      <c r="C160" s="18" t="s">
        <v>959</v>
      </c>
      <c r="D160" s="19" t="s">
        <v>959</v>
      </c>
      <c r="E160" s="20" t="str">
        <f>IFERROR(IF(C160&gt;0, D160/C160, 0),"-")</f>
        <v>-</v>
      </c>
    </row>
    <row r="161" spans="2:5" x14ac:dyDescent="0.2">
      <c r="B161" s="17" t="s">
        <v>130</v>
      </c>
      <c r="C161" s="18" t="s">
        <v>959</v>
      </c>
      <c r="D161" s="19" t="s">
        <v>959</v>
      </c>
      <c r="E161" s="20" t="str">
        <f>IFERROR(IF(C161&gt;0, D161/C161, 0),"-")</f>
        <v>-</v>
      </c>
    </row>
    <row r="162" spans="2:5" x14ac:dyDescent="0.2">
      <c r="B162" s="17" t="s">
        <v>73</v>
      </c>
      <c r="C162" s="18" t="s">
        <v>959</v>
      </c>
      <c r="D162" s="19" t="s">
        <v>959</v>
      </c>
      <c r="E162" s="20" t="str">
        <f>IFERROR(IF(C162&gt;0, D162/C162, 0),"-")</f>
        <v>-</v>
      </c>
    </row>
    <row r="163" spans="2:5" x14ac:dyDescent="0.2">
      <c r="B163" s="17" t="s">
        <v>27</v>
      </c>
      <c r="C163" s="18" t="s">
        <v>959</v>
      </c>
      <c r="D163" s="19" t="s">
        <v>959</v>
      </c>
      <c r="E163" s="20" t="str">
        <f>IFERROR(IF(C163&gt;0, D163/C163, 0),"-")</f>
        <v>-</v>
      </c>
    </row>
    <row r="164" spans="2:5" x14ac:dyDescent="0.2">
      <c r="B164" s="17" t="s">
        <v>82</v>
      </c>
      <c r="C164" s="18" t="s">
        <v>959</v>
      </c>
      <c r="D164" s="19" t="s">
        <v>959</v>
      </c>
      <c r="E164" s="20" t="str">
        <f>IFERROR(IF(C164&gt;0, D164/C164, 0),"-")</f>
        <v>-</v>
      </c>
    </row>
    <row r="165" spans="2:5" x14ac:dyDescent="0.2">
      <c r="B165" s="17" t="s">
        <v>4</v>
      </c>
      <c r="C165" s="18" t="s">
        <v>959</v>
      </c>
      <c r="D165" s="19" t="s">
        <v>959</v>
      </c>
      <c r="E165" s="20" t="str">
        <f>IFERROR(IF(C165&gt;0, D165/C165, 0),"-")</f>
        <v>-</v>
      </c>
    </row>
    <row r="166" spans="2:5" x14ac:dyDescent="0.2">
      <c r="B166" s="17" t="s">
        <v>32</v>
      </c>
      <c r="C166" s="18" t="s">
        <v>959</v>
      </c>
      <c r="D166" s="19" t="s">
        <v>959</v>
      </c>
      <c r="E166" s="20" t="str">
        <f>IFERROR(IF(C166&gt;0, D166/C166, 0),"-")</f>
        <v>-</v>
      </c>
    </row>
    <row r="167" spans="2:5" x14ac:dyDescent="0.2">
      <c r="B167" s="17" t="s">
        <v>69</v>
      </c>
      <c r="C167" s="18" t="s">
        <v>959</v>
      </c>
      <c r="D167" s="19" t="s">
        <v>959</v>
      </c>
      <c r="E167" s="20" t="str">
        <f>IFERROR(IF(C167&gt;0, D167/C167, 0),"-")</f>
        <v>-</v>
      </c>
    </row>
    <row r="168" spans="2:5" x14ac:dyDescent="0.2">
      <c r="B168" s="17" t="s">
        <v>63</v>
      </c>
      <c r="C168" s="18" t="s">
        <v>959</v>
      </c>
      <c r="D168" s="19" t="s">
        <v>959</v>
      </c>
      <c r="E168" s="20" t="str">
        <f>IFERROR(IF(C168&gt;0, D168/C168, 0),"-")</f>
        <v>-</v>
      </c>
    </row>
    <row r="169" spans="2:5" x14ac:dyDescent="0.2">
      <c r="B169" s="17" t="s">
        <v>47</v>
      </c>
      <c r="C169" s="18" t="s">
        <v>959</v>
      </c>
      <c r="D169" s="19" t="s">
        <v>959</v>
      </c>
      <c r="E169" s="20" t="str">
        <f>IFERROR(IF(C169&gt;0, D169/C169, 0),"-")</f>
        <v>-</v>
      </c>
    </row>
    <row r="170" spans="2:5" x14ac:dyDescent="0.2">
      <c r="B170" s="17" t="s">
        <v>71</v>
      </c>
      <c r="C170" s="18" t="s">
        <v>959</v>
      </c>
      <c r="D170" s="19" t="s">
        <v>959</v>
      </c>
      <c r="E170" s="20" t="str">
        <f>IFERROR(IF(C170&gt;0, D170/C170, 0),"-")</f>
        <v>-</v>
      </c>
    </row>
    <row r="171" spans="2:5" x14ac:dyDescent="0.2">
      <c r="B171" s="17" t="s">
        <v>64</v>
      </c>
      <c r="C171" s="18" t="s">
        <v>959</v>
      </c>
      <c r="D171" s="19" t="s">
        <v>959</v>
      </c>
      <c r="E171" s="20" t="str">
        <f>IFERROR(IF(C171&gt;0, D171/C171, 0),"-")</f>
        <v>-</v>
      </c>
    </row>
    <row r="172" spans="2:5" x14ac:dyDescent="0.2">
      <c r="B172" s="17" t="s">
        <v>81</v>
      </c>
      <c r="C172" s="18" t="s">
        <v>959</v>
      </c>
      <c r="D172" s="19" t="s">
        <v>959</v>
      </c>
      <c r="E172" s="20" t="str">
        <f>IFERROR(IF(C172&gt;0, D172/C172, 0),"-")</f>
        <v>-</v>
      </c>
    </row>
    <row r="173" spans="2:5" x14ac:dyDescent="0.2">
      <c r="B173" s="17" t="s">
        <v>72</v>
      </c>
      <c r="C173" s="18" t="s">
        <v>959</v>
      </c>
      <c r="D173" s="19" t="s">
        <v>959</v>
      </c>
      <c r="E173" s="20" t="str">
        <f>IFERROR(IF(C173&gt;0, D173/C173, 0),"-")</f>
        <v>-</v>
      </c>
    </row>
    <row r="174" spans="2:5" x14ac:dyDescent="0.2">
      <c r="B174" s="17" t="s">
        <v>118</v>
      </c>
      <c r="C174" s="18" t="s">
        <v>959</v>
      </c>
      <c r="D174" s="19" t="s">
        <v>959</v>
      </c>
      <c r="E174" s="20" t="str">
        <f>IFERROR(IF(C174&gt;0, D174/C174, 0),"-")</f>
        <v>-</v>
      </c>
    </row>
    <row r="175" spans="2:5" x14ac:dyDescent="0.2">
      <c r="B175" s="17" t="s">
        <v>37</v>
      </c>
      <c r="C175" s="18" t="s">
        <v>959</v>
      </c>
      <c r="D175" s="19" t="s">
        <v>959</v>
      </c>
      <c r="E175" s="20" t="str">
        <f>IFERROR(IF(C175&gt;0, D175/C175, 0),"-")</f>
        <v>-</v>
      </c>
    </row>
    <row r="176" spans="2:5" x14ac:dyDescent="0.2">
      <c r="B176" s="17" t="s">
        <v>123</v>
      </c>
      <c r="C176" s="18" t="s">
        <v>959</v>
      </c>
      <c r="D176" s="19" t="s">
        <v>959</v>
      </c>
      <c r="E176" s="20" t="str">
        <f>IFERROR(IF(C176&gt;0, D176/C176, 0),"-")</f>
        <v>-</v>
      </c>
    </row>
    <row r="177" spans="2:5" x14ac:dyDescent="0.2">
      <c r="B177" s="17" t="s">
        <v>22</v>
      </c>
      <c r="C177" s="18" t="s">
        <v>959</v>
      </c>
      <c r="D177" s="19" t="s">
        <v>959</v>
      </c>
      <c r="E177" s="20" t="str">
        <f>IFERROR(IF(C177&gt;0, D177/C177, 0),"-")</f>
        <v>-</v>
      </c>
    </row>
    <row r="178" spans="2:5" x14ac:dyDescent="0.2">
      <c r="B178" s="17" t="s">
        <v>1</v>
      </c>
      <c r="C178" s="18" t="s">
        <v>959</v>
      </c>
      <c r="D178" s="19" t="s">
        <v>959</v>
      </c>
      <c r="E178" s="20" t="str">
        <f>IFERROR(IF(C178&gt;0, D178/C178, 0),"-")</f>
        <v>-</v>
      </c>
    </row>
    <row r="179" spans="2:5" x14ac:dyDescent="0.2">
      <c r="B179" s="17" t="s">
        <v>97</v>
      </c>
      <c r="C179" s="18" t="s">
        <v>959</v>
      </c>
      <c r="D179" s="19" t="s">
        <v>959</v>
      </c>
      <c r="E179" s="20" t="str">
        <f>IFERROR(IF(C179&gt;0, D179/C179, 0),"-")</f>
        <v>-</v>
      </c>
    </row>
    <row r="180" spans="2:5" x14ac:dyDescent="0.2">
      <c r="B180" s="17" t="s">
        <v>55</v>
      </c>
      <c r="C180" s="18" t="s">
        <v>959</v>
      </c>
      <c r="D180" s="19" t="s">
        <v>959</v>
      </c>
      <c r="E180" s="20" t="str">
        <f>IFERROR(IF(C180&gt;0, D180/C180, 0),"-")</f>
        <v>-</v>
      </c>
    </row>
    <row r="181" spans="2:5" x14ac:dyDescent="0.2">
      <c r="B181" s="17" t="s">
        <v>38</v>
      </c>
      <c r="C181" s="18" t="s">
        <v>959</v>
      </c>
      <c r="D181" s="19" t="s">
        <v>959</v>
      </c>
      <c r="E181" s="20" t="str">
        <f>IFERROR(IF(C181&gt;0, D181/C181, 0),"-")</f>
        <v>-</v>
      </c>
    </row>
    <row r="182" spans="2:5" x14ac:dyDescent="0.2">
      <c r="B182" s="17" t="s">
        <v>86</v>
      </c>
      <c r="C182" s="18" t="s">
        <v>959</v>
      </c>
      <c r="D182" s="19" t="s">
        <v>959</v>
      </c>
      <c r="E182" s="20" t="str">
        <f>IFERROR(IF(C182&gt;0, D182/C182, 0),"-")</f>
        <v>-</v>
      </c>
    </row>
    <row r="183" spans="2:5" x14ac:dyDescent="0.2">
      <c r="B183" s="17" t="s">
        <v>112</v>
      </c>
      <c r="C183" s="18" t="s">
        <v>959</v>
      </c>
      <c r="D183" s="19" t="s">
        <v>959</v>
      </c>
      <c r="E183" s="20" t="str">
        <f>IFERROR(IF(C183&gt;0, D183/C183, 0),"-")</f>
        <v>-</v>
      </c>
    </row>
    <row r="184" spans="2:5" x14ac:dyDescent="0.2">
      <c r="B184" s="15" t="s">
        <v>953</v>
      </c>
      <c r="C184" s="16">
        <f>SUM(C57:C183)</f>
        <v>2</v>
      </c>
      <c r="D184" s="16">
        <f>SUM(D57:D183)</f>
        <v>0</v>
      </c>
      <c r="E184" s="21">
        <f>IFERROR(IF(C184&gt;0, D184/C184, 0),"-")</f>
        <v>0</v>
      </c>
    </row>
    <row r="188" spans="2:5" ht="19" x14ac:dyDescent="0.25">
      <c r="B188" s="26" t="s">
        <v>978</v>
      </c>
      <c r="C188" s="26"/>
      <c r="D188" s="26"/>
      <c r="E188" s="26"/>
    </row>
    <row r="190" spans="2:5" x14ac:dyDescent="0.2">
      <c r="B190" s="2" t="s">
        <v>1777</v>
      </c>
      <c r="C190" s="2"/>
      <c r="D190" s="2"/>
      <c r="E190" s="2"/>
    </row>
    <row r="191" spans="2:5" x14ac:dyDescent="0.2">
      <c r="B191" s="6" t="s">
        <v>958</v>
      </c>
      <c r="C191" s="2" t="s">
        <v>967</v>
      </c>
      <c r="D191" s="2"/>
      <c r="E191" s="2"/>
    </row>
    <row r="192" spans="2:5" x14ac:dyDescent="0.2">
      <c r="B192" s="6"/>
      <c r="C192" s="8" t="s">
        <v>961</v>
      </c>
      <c r="D192" s="9" t="s">
        <v>972</v>
      </c>
      <c r="E192" s="10" t="s">
        <v>956</v>
      </c>
    </row>
    <row r="193" spans="2:5" x14ac:dyDescent="0.2">
      <c r="C193" s="8"/>
      <c r="D193" s="9"/>
      <c r="E193" s="10"/>
    </row>
    <row r="194" spans="2:5" x14ac:dyDescent="0.2">
      <c r="B194" s="17" t="s">
        <v>2</v>
      </c>
      <c r="C194" s="18" t="s">
        <v>959</v>
      </c>
      <c r="D194" s="19" t="s">
        <v>959</v>
      </c>
      <c r="E194" s="20" t="str">
        <f>IFERROR(IF(C194&gt;0, D194/C194, 0),"-")</f>
        <v>-</v>
      </c>
    </row>
    <row r="195" spans="2:5" x14ac:dyDescent="0.2">
      <c r="B195" s="17" t="s">
        <v>20</v>
      </c>
      <c r="C195" s="18" t="s">
        <v>959</v>
      </c>
      <c r="D195" s="19" t="s">
        <v>959</v>
      </c>
      <c r="E195" s="20" t="str">
        <f>IFERROR(IF(C195&gt;0, D195/C195, 0),"-")</f>
        <v>-</v>
      </c>
    </row>
    <row r="196" spans="2:5" x14ac:dyDescent="0.2">
      <c r="B196" s="17" t="s">
        <v>7</v>
      </c>
      <c r="C196" s="18" t="s">
        <v>959</v>
      </c>
      <c r="D196" s="19" t="s">
        <v>959</v>
      </c>
      <c r="E196" s="20" t="str">
        <f>IFERROR(IF(C196&gt;0, D196/C196, 0),"-")</f>
        <v>-</v>
      </c>
    </row>
    <row r="197" spans="2:5" x14ac:dyDescent="0.2">
      <c r="B197" s="17" t="s">
        <v>0</v>
      </c>
      <c r="C197" s="18" t="s">
        <v>959</v>
      </c>
      <c r="D197" s="19" t="s">
        <v>959</v>
      </c>
      <c r="E197" s="20" t="str">
        <f>IFERROR(IF(C197&gt;0, D197/C197, 0),"-")</f>
        <v>-</v>
      </c>
    </row>
    <row r="198" spans="2:5" x14ac:dyDescent="0.2">
      <c r="B198" s="17" t="s">
        <v>1</v>
      </c>
      <c r="C198" s="18" t="s">
        <v>959</v>
      </c>
      <c r="D198" s="19" t="s">
        <v>959</v>
      </c>
      <c r="E198" s="20" t="str">
        <f>IFERROR(IF(C198&gt;0, D198/C198, 0),"-")</f>
        <v>-</v>
      </c>
    </row>
    <row r="199" spans="2:5" x14ac:dyDescent="0.2">
      <c r="B199" s="15" t="s">
        <v>953</v>
      </c>
      <c r="C199" s="16">
        <f>SUM(C194:C198)</f>
        <v>0</v>
      </c>
      <c r="D199" s="16">
        <f>SUM(D194:D198)</f>
        <v>0</v>
      </c>
      <c r="E199" s="21">
        <f>IFERROR(IF(C199&gt;0, D199/C199, 0),"-")</f>
        <v>0</v>
      </c>
    </row>
    <row r="203" spans="2:5" ht="19" x14ac:dyDescent="0.25">
      <c r="B203" s="26" t="s">
        <v>979</v>
      </c>
      <c r="C203" s="26"/>
      <c r="D203" s="26"/>
      <c r="E203" s="26"/>
    </row>
    <row r="205" spans="2:5" x14ac:dyDescent="0.2">
      <c r="B205" s="2" t="s">
        <v>1777</v>
      </c>
      <c r="C205" s="2"/>
      <c r="D205" s="2"/>
      <c r="E205" s="2"/>
    </row>
    <row r="206" spans="2:5" x14ac:dyDescent="0.2">
      <c r="B206" s="6" t="s">
        <v>958</v>
      </c>
      <c r="C206" s="2" t="s">
        <v>967</v>
      </c>
      <c r="D206" s="2"/>
      <c r="E206" s="2"/>
    </row>
    <row r="207" spans="2:5" x14ac:dyDescent="0.2">
      <c r="B207" s="6"/>
      <c r="C207" s="8" t="s">
        <v>961</v>
      </c>
      <c r="D207" s="9" t="s">
        <v>972</v>
      </c>
      <c r="E207" s="10" t="s">
        <v>956</v>
      </c>
    </row>
    <row r="208" spans="2:5" x14ac:dyDescent="0.2">
      <c r="C208" s="8"/>
      <c r="D208" s="9"/>
      <c r="E208" s="10"/>
    </row>
    <row r="209" spans="2:5" x14ac:dyDescent="0.2">
      <c r="B209" s="17" t="s">
        <v>2</v>
      </c>
      <c r="C209" s="18" t="s">
        <v>959</v>
      </c>
      <c r="D209" s="19" t="s">
        <v>959</v>
      </c>
      <c r="E209" s="20" t="str">
        <f>IFERROR(IF(C209&gt;0, D209/C209, 0),"-")</f>
        <v>-</v>
      </c>
    </row>
    <row r="210" spans="2:5" x14ac:dyDescent="0.2">
      <c r="B210" s="17" t="s">
        <v>20</v>
      </c>
      <c r="C210" s="18" t="s">
        <v>959</v>
      </c>
      <c r="D210" s="19" t="s">
        <v>959</v>
      </c>
      <c r="E210" s="20" t="str">
        <f>IFERROR(IF(C210&gt;0, D210/C210, 0),"-")</f>
        <v>-</v>
      </c>
    </row>
    <row r="211" spans="2:5" x14ac:dyDescent="0.2">
      <c r="B211" s="17" t="s">
        <v>7</v>
      </c>
      <c r="C211" s="18" t="s">
        <v>959</v>
      </c>
      <c r="D211" s="19" t="s">
        <v>959</v>
      </c>
      <c r="E211" s="20" t="str">
        <f>IFERROR(IF(C211&gt;0, D211/C211, 0),"-")</f>
        <v>-</v>
      </c>
    </row>
    <row r="212" spans="2:5" x14ac:dyDescent="0.2">
      <c r="B212" s="17" t="s">
        <v>0</v>
      </c>
      <c r="C212" s="18" t="s">
        <v>959</v>
      </c>
      <c r="D212" s="19" t="s">
        <v>959</v>
      </c>
      <c r="E212" s="20" t="str">
        <f>IFERROR(IF(C212&gt;0, D212/C212, 0),"-")</f>
        <v>-</v>
      </c>
    </row>
    <row r="213" spans="2:5" x14ac:dyDescent="0.2">
      <c r="B213" s="17" t="s">
        <v>1</v>
      </c>
      <c r="C213" s="18" t="s">
        <v>959</v>
      </c>
      <c r="D213" s="19" t="s">
        <v>959</v>
      </c>
      <c r="E213" s="20" t="str">
        <f>IFERROR(IF(C213&gt;0, D213/C213, 0),"-")</f>
        <v>-</v>
      </c>
    </row>
    <row r="214" spans="2:5" x14ac:dyDescent="0.2">
      <c r="B214" s="15" t="s">
        <v>953</v>
      </c>
      <c r="C214" s="16">
        <f>SUM(C209:C213)</f>
        <v>0</v>
      </c>
      <c r="D214" s="16">
        <f>SUM(D209:D213)</f>
        <v>0</v>
      </c>
      <c r="E214" s="21">
        <f>IFERROR(IF(C214&gt;0, D214/C214, 0),"-")</f>
        <v>0</v>
      </c>
    </row>
    <row r="218" spans="2:5" ht="19" x14ac:dyDescent="0.25">
      <c r="B218" s="26" t="s">
        <v>980</v>
      </c>
      <c r="C218" s="26"/>
      <c r="D218" s="26"/>
      <c r="E218" s="26"/>
    </row>
    <row r="220" spans="2:5" x14ac:dyDescent="0.2">
      <c r="B220" s="2" t="s">
        <v>1777</v>
      </c>
      <c r="C220" s="2"/>
      <c r="D220" s="2"/>
      <c r="E220" s="2"/>
    </row>
    <row r="221" spans="2:5" x14ac:dyDescent="0.2">
      <c r="B221" s="6" t="s">
        <v>958</v>
      </c>
      <c r="C221" s="2" t="s">
        <v>967</v>
      </c>
      <c r="D221" s="2"/>
      <c r="E221" s="2"/>
    </row>
    <row r="222" spans="2:5" x14ac:dyDescent="0.2">
      <c r="B222" s="6"/>
      <c r="C222" s="8" t="s">
        <v>961</v>
      </c>
      <c r="D222" s="9" t="s">
        <v>972</v>
      </c>
      <c r="E222" s="10" t="s">
        <v>956</v>
      </c>
    </row>
    <row r="223" spans="2:5" x14ac:dyDescent="0.2">
      <c r="C223" s="8"/>
      <c r="D223" s="9"/>
      <c r="E223" s="10"/>
    </row>
    <row r="224" spans="2:5" x14ac:dyDescent="0.2">
      <c r="B224" s="17" t="s">
        <v>2</v>
      </c>
      <c r="C224" s="18" t="s">
        <v>959</v>
      </c>
      <c r="D224" s="19" t="s">
        <v>959</v>
      </c>
      <c r="E224" s="20" t="str">
        <f>IFERROR(IF(C224&gt;0, D224/C224, 0),"-")</f>
        <v>-</v>
      </c>
    </row>
    <row r="225" spans="1:5" x14ac:dyDescent="0.2">
      <c r="B225" s="17" t="s">
        <v>20</v>
      </c>
      <c r="C225" s="18">
        <v>2</v>
      </c>
      <c r="D225" s="19" t="s">
        <v>959</v>
      </c>
      <c r="E225" s="20" t="str">
        <f>IFERROR(IF(C225&gt;0, D225/C225, 0),"-")</f>
        <v>-</v>
      </c>
    </row>
    <row r="226" spans="1:5" x14ac:dyDescent="0.2">
      <c r="B226" s="17" t="s">
        <v>7</v>
      </c>
      <c r="C226" s="18" t="s">
        <v>959</v>
      </c>
      <c r="D226" s="19" t="s">
        <v>959</v>
      </c>
      <c r="E226" s="20" t="str">
        <f>IFERROR(IF(C226&gt;0, D226/C226, 0),"-")</f>
        <v>-</v>
      </c>
    </row>
    <row r="227" spans="1:5" x14ac:dyDescent="0.2">
      <c r="B227" s="17" t="s">
        <v>0</v>
      </c>
      <c r="C227" s="18" t="s">
        <v>959</v>
      </c>
      <c r="D227" s="19" t="s">
        <v>959</v>
      </c>
      <c r="E227" s="20" t="str">
        <f>IFERROR(IF(C227&gt;0, D227/C227, 0),"-")</f>
        <v>-</v>
      </c>
    </row>
    <row r="228" spans="1:5" x14ac:dyDescent="0.2">
      <c r="B228" s="17" t="s">
        <v>1</v>
      </c>
      <c r="C228" s="18" t="s">
        <v>959</v>
      </c>
      <c r="D228" s="19" t="s">
        <v>959</v>
      </c>
      <c r="E228" s="20" t="str">
        <f>IFERROR(IF(C228&gt;0, D228/C228, 0),"-")</f>
        <v>-</v>
      </c>
    </row>
    <row r="229" spans="1:5" x14ac:dyDescent="0.2">
      <c r="B229" s="15" t="s">
        <v>953</v>
      </c>
      <c r="C229" s="16">
        <f>SUM(C224:C228)</f>
        <v>2</v>
      </c>
      <c r="D229" s="16">
        <f>SUM(D224:D228)</f>
        <v>0</v>
      </c>
      <c r="E229" s="21">
        <f>IFERROR(IF(C229&gt;0, D229/C229, 0),"-")</f>
        <v>0</v>
      </c>
    </row>
    <row r="233" spans="1:5" ht="19" x14ac:dyDescent="0.25">
      <c r="A233" s="26" t="s">
        <v>981</v>
      </c>
      <c r="B233" s="26"/>
      <c r="C233" s="26"/>
      <c r="D233" s="26"/>
      <c r="E233" s="26"/>
    </row>
    <row r="235" spans="1:5" x14ac:dyDescent="0.2">
      <c r="A235" s="2" t="s">
        <v>1780</v>
      </c>
      <c r="B235" s="2"/>
      <c r="C235" s="2"/>
      <c r="D235" s="2"/>
      <c r="E235" s="2"/>
    </row>
    <row r="236" spans="1:5" x14ac:dyDescent="0.2">
      <c r="A236" s="6" t="s">
        <v>983</v>
      </c>
      <c r="B236" s="6" t="s">
        <v>984</v>
      </c>
      <c r="C236" s="2" t="s">
        <v>967</v>
      </c>
      <c r="D236" s="2"/>
      <c r="E236" s="2"/>
    </row>
    <row r="237" spans="1:5" x14ac:dyDescent="0.2">
      <c r="A237" s="6"/>
      <c r="B237" s="6"/>
      <c r="C237" s="8" t="s">
        <v>961</v>
      </c>
      <c r="D237" s="9" t="s">
        <v>972</v>
      </c>
      <c r="E237" s="10" t="s">
        <v>956</v>
      </c>
    </row>
    <row r="238" spans="1:5" x14ac:dyDescent="0.2">
      <c r="C238" s="8"/>
      <c r="D238" s="9"/>
      <c r="E238" s="10"/>
    </row>
    <row r="239" spans="1:5" x14ac:dyDescent="0.2">
      <c r="A239" s="27"/>
      <c r="B239" s="27" t="s">
        <v>68</v>
      </c>
      <c r="C239" s="27" t="s">
        <v>959</v>
      </c>
      <c r="D239" s="27" t="s">
        <v>959</v>
      </c>
      <c r="E239" s="27" t="str">
        <f>IFERROR(IF(C239&gt;0, D239/C239, 0),"-")</f>
        <v>-</v>
      </c>
    </row>
    <row r="240" spans="1:5" x14ac:dyDescent="0.2">
      <c r="A240" s="28" t="s">
        <v>455</v>
      </c>
      <c r="B240" s="28" t="s">
        <v>985</v>
      </c>
      <c r="C240" s="28" t="s">
        <v>959</v>
      </c>
      <c r="D240" s="28" t="s">
        <v>959</v>
      </c>
      <c r="E240" s="28" t="str">
        <f>IFERROR(IF(C240&gt;0, D240/C240, 0),"-")</f>
        <v>-</v>
      </c>
    </row>
    <row r="241" spans="1:5" x14ac:dyDescent="0.2">
      <c r="A241" s="28" t="s">
        <v>453</v>
      </c>
      <c r="B241" s="28" t="s">
        <v>986</v>
      </c>
      <c r="C241" s="28" t="s">
        <v>959</v>
      </c>
      <c r="D241" s="28" t="s">
        <v>959</v>
      </c>
      <c r="E241" s="28" t="str">
        <f>IFERROR(IF(C241&gt;0, D241/C241, 0),"-")</f>
        <v>-</v>
      </c>
    </row>
    <row r="242" spans="1:5" x14ac:dyDescent="0.2">
      <c r="A242" s="28" t="s">
        <v>451</v>
      </c>
      <c r="B242" s="28" t="s">
        <v>987</v>
      </c>
      <c r="C242" s="28" t="s">
        <v>959</v>
      </c>
      <c r="D242" s="28" t="s">
        <v>959</v>
      </c>
      <c r="E242" s="28" t="str">
        <f>IFERROR(IF(C242&gt;0, D242/C242, 0),"-")</f>
        <v>-</v>
      </c>
    </row>
    <row r="243" spans="1:5" x14ac:dyDescent="0.2">
      <c r="A243" s="28" t="s">
        <v>449</v>
      </c>
      <c r="B243" s="28" t="s">
        <v>988</v>
      </c>
      <c r="C243" s="28" t="s">
        <v>959</v>
      </c>
      <c r="D243" s="28" t="s">
        <v>959</v>
      </c>
      <c r="E243" s="28" t="str">
        <f>IFERROR(IF(C243&gt;0, D243/C243, 0),"-")</f>
        <v>-</v>
      </c>
    </row>
    <row r="244" spans="1:5" x14ac:dyDescent="0.2">
      <c r="A244" s="28" t="s">
        <v>454</v>
      </c>
      <c r="B244" s="28" t="s">
        <v>989</v>
      </c>
      <c r="C244" s="28" t="s">
        <v>959</v>
      </c>
      <c r="D244" s="28" t="s">
        <v>959</v>
      </c>
      <c r="E244" s="28" t="str">
        <f>IFERROR(IF(C244&gt;0, D244/C244, 0),"-")</f>
        <v>-</v>
      </c>
    </row>
    <row r="245" spans="1:5" x14ac:dyDescent="0.2">
      <c r="A245" s="28" t="s">
        <v>447</v>
      </c>
      <c r="B245" s="28" t="s">
        <v>990</v>
      </c>
      <c r="C245" s="28" t="s">
        <v>959</v>
      </c>
      <c r="D245" s="28" t="s">
        <v>959</v>
      </c>
      <c r="E245" s="28" t="str">
        <f>IFERROR(IF(C245&gt;0, D245/C245, 0),"-")</f>
        <v>-</v>
      </c>
    </row>
    <row r="246" spans="1:5" x14ac:dyDescent="0.2">
      <c r="A246" s="28" t="s">
        <v>448</v>
      </c>
      <c r="B246" s="28" t="s">
        <v>991</v>
      </c>
      <c r="C246" s="28" t="s">
        <v>959</v>
      </c>
      <c r="D246" s="28" t="s">
        <v>959</v>
      </c>
      <c r="E246" s="28" t="str">
        <f>IFERROR(IF(C246&gt;0, D246/C246, 0),"-")</f>
        <v>-</v>
      </c>
    </row>
    <row r="247" spans="1:5" x14ac:dyDescent="0.2">
      <c r="A247" s="28" t="s">
        <v>452</v>
      </c>
      <c r="B247" s="28" t="s">
        <v>992</v>
      </c>
      <c r="C247" s="28" t="s">
        <v>959</v>
      </c>
      <c r="D247" s="28" t="s">
        <v>959</v>
      </c>
      <c r="E247" s="28" t="str">
        <f>IFERROR(IF(C247&gt;0, D247/C247, 0),"-")</f>
        <v>-</v>
      </c>
    </row>
    <row r="248" spans="1:5" x14ac:dyDescent="0.2">
      <c r="A248" s="28" t="s">
        <v>450</v>
      </c>
      <c r="B248" s="28" t="s">
        <v>993</v>
      </c>
      <c r="C248" s="28" t="s">
        <v>959</v>
      </c>
      <c r="D248" s="28" t="s">
        <v>959</v>
      </c>
      <c r="E248" s="28" t="str">
        <f>IFERROR(IF(C248&gt;0, D248/C248, 0),"-")</f>
        <v>-</v>
      </c>
    </row>
    <row r="249" spans="1:5" x14ac:dyDescent="0.2">
      <c r="A249" s="27"/>
      <c r="B249" s="27" t="s">
        <v>42</v>
      </c>
      <c r="C249" s="27" t="s">
        <v>959</v>
      </c>
      <c r="D249" s="27" t="s">
        <v>959</v>
      </c>
      <c r="E249" s="27" t="str">
        <f>IFERROR(IF(C249&gt;0, D249/C249, 0),"-")</f>
        <v>-</v>
      </c>
    </row>
    <row r="250" spans="1:5" x14ac:dyDescent="0.2">
      <c r="A250" s="28" t="s">
        <v>223</v>
      </c>
      <c r="B250" s="28" t="s">
        <v>994</v>
      </c>
      <c r="C250" s="28" t="s">
        <v>959</v>
      </c>
      <c r="D250" s="28" t="s">
        <v>959</v>
      </c>
      <c r="E250" s="28" t="str">
        <f>IFERROR(IF(C250&gt;0, D250/C250, 0),"-")</f>
        <v>-</v>
      </c>
    </row>
    <row r="251" spans="1:5" x14ac:dyDescent="0.2">
      <c r="A251" s="28" t="s">
        <v>224</v>
      </c>
      <c r="B251" s="28" t="s">
        <v>995</v>
      </c>
      <c r="C251" s="28" t="s">
        <v>959</v>
      </c>
      <c r="D251" s="28" t="s">
        <v>959</v>
      </c>
      <c r="E251" s="28" t="str">
        <f>IFERROR(IF(C251&gt;0, D251/C251, 0),"-")</f>
        <v>-</v>
      </c>
    </row>
    <row r="252" spans="1:5" x14ac:dyDescent="0.2">
      <c r="A252" s="28" t="s">
        <v>225</v>
      </c>
      <c r="B252" s="28" t="s">
        <v>996</v>
      </c>
      <c r="C252" s="28" t="s">
        <v>959</v>
      </c>
      <c r="D252" s="28" t="s">
        <v>959</v>
      </c>
      <c r="E252" s="28" t="str">
        <f>IFERROR(IF(C252&gt;0, D252/C252, 0),"-")</f>
        <v>-</v>
      </c>
    </row>
    <row r="253" spans="1:5" x14ac:dyDescent="0.2">
      <c r="A253" s="28" t="s">
        <v>222</v>
      </c>
      <c r="B253" s="28" t="s">
        <v>997</v>
      </c>
      <c r="C253" s="28" t="s">
        <v>959</v>
      </c>
      <c r="D253" s="28" t="s">
        <v>959</v>
      </c>
      <c r="E253" s="28" t="str">
        <f>IFERROR(IF(C253&gt;0, D253/C253, 0),"-")</f>
        <v>-</v>
      </c>
    </row>
    <row r="254" spans="1:5" x14ac:dyDescent="0.2">
      <c r="A254" s="28" t="s">
        <v>221</v>
      </c>
      <c r="B254" s="28" t="s">
        <v>998</v>
      </c>
      <c r="C254" s="28" t="s">
        <v>959</v>
      </c>
      <c r="D254" s="28" t="s">
        <v>959</v>
      </c>
      <c r="E254" s="28" t="str">
        <f>IFERROR(IF(C254&gt;0, D254/C254, 0),"-")</f>
        <v>-</v>
      </c>
    </row>
    <row r="255" spans="1:5" x14ac:dyDescent="0.2">
      <c r="A255" s="27"/>
      <c r="B255" s="27" t="s">
        <v>48</v>
      </c>
      <c r="C255" s="27" t="s">
        <v>959</v>
      </c>
      <c r="D255" s="27" t="s">
        <v>959</v>
      </c>
      <c r="E255" s="27" t="str">
        <f>IFERROR(IF(C255&gt;0, D255/C255, 0),"-")</f>
        <v>-</v>
      </c>
    </row>
    <row r="256" spans="1:5" x14ac:dyDescent="0.2">
      <c r="A256" s="28" t="s">
        <v>264</v>
      </c>
      <c r="B256" s="28" t="s">
        <v>999</v>
      </c>
      <c r="C256" s="28" t="s">
        <v>959</v>
      </c>
      <c r="D256" s="28" t="s">
        <v>959</v>
      </c>
      <c r="E256" s="28" t="str">
        <f>IFERROR(IF(C256&gt;0, D256/C256, 0),"-")</f>
        <v>-</v>
      </c>
    </row>
    <row r="257" spans="1:5" x14ac:dyDescent="0.2">
      <c r="A257" s="28" t="s">
        <v>266</v>
      </c>
      <c r="B257" s="28" t="s">
        <v>1000</v>
      </c>
      <c r="C257" s="28" t="s">
        <v>959</v>
      </c>
      <c r="D257" s="28" t="s">
        <v>959</v>
      </c>
      <c r="E257" s="28" t="str">
        <f>IFERROR(IF(C257&gt;0, D257/C257, 0),"-")</f>
        <v>-</v>
      </c>
    </row>
    <row r="258" spans="1:5" x14ac:dyDescent="0.2">
      <c r="A258" s="28" t="s">
        <v>265</v>
      </c>
      <c r="B258" s="28" t="s">
        <v>1001</v>
      </c>
      <c r="C258" s="28" t="s">
        <v>959</v>
      </c>
      <c r="D258" s="28" t="s">
        <v>959</v>
      </c>
      <c r="E258" s="28" t="str">
        <f>IFERROR(IF(C258&gt;0, D258/C258, 0),"-")</f>
        <v>-</v>
      </c>
    </row>
    <row r="259" spans="1:5" x14ac:dyDescent="0.2">
      <c r="A259" s="28" t="s">
        <v>263</v>
      </c>
      <c r="B259" s="28" t="s">
        <v>1002</v>
      </c>
      <c r="C259" s="28" t="s">
        <v>959</v>
      </c>
      <c r="D259" s="28" t="s">
        <v>959</v>
      </c>
      <c r="E259" s="28" t="str">
        <f>IFERROR(IF(C259&gt;0, D259/C259, 0),"-")</f>
        <v>-</v>
      </c>
    </row>
    <row r="260" spans="1:5" x14ac:dyDescent="0.2">
      <c r="A260" s="28" t="s">
        <v>262</v>
      </c>
      <c r="B260" s="28" t="s">
        <v>1003</v>
      </c>
      <c r="C260" s="28" t="s">
        <v>959</v>
      </c>
      <c r="D260" s="28" t="s">
        <v>959</v>
      </c>
      <c r="E260" s="28" t="str">
        <f>IFERROR(IF(C260&gt;0, D260/C260, 0),"-")</f>
        <v>-</v>
      </c>
    </row>
    <row r="261" spans="1:5" x14ac:dyDescent="0.2">
      <c r="A261" s="28" t="s">
        <v>261</v>
      </c>
      <c r="B261" s="28" t="s">
        <v>999</v>
      </c>
      <c r="C261" s="28" t="s">
        <v>959</v>
      </c>
      <c r="D261" s="28" t="s">
        <v>959</v>
      </c>
      <c r="E261" s="28" t="str">
        <f>IFERROR(IF(C261&gt;0, D261/C261, 0),"-")</f>
        <v>-</v>
      </c>
    </row>
    <row r="262" spans="1:5" x14ac:dyDescent="0.2">
      <c r="A262" s="27"/>
      <c r="B262" s="27" t="s">
        <v>74</v>
      </c>
      <c r="C262" s="27" t="s">
        <v>959</v>
      </c>
      <c r="D262" s="27" t="s">
        <v>959</v>
      </c>
      <c r="E262" s="27" t="str">
        <f>IFERROR(IF(C262&gt;0, D262/C262, 0),"-")</f>
        <v>-</v>
      </c>
    </row>
    <row r="263" spans="1:5" x14ac:dyDescent="0.2">
      <c r="A263" s="28" t="s">
        <v>494</v>
      </c>
      <c r="B263" s="28" t="s">
        <v>1004</v>
      </c>
      <c r="C263" s="28" t="s">
        <v>959</v>
      </c>
      <c r="D263" s="28" t="s">
        <v>959</v>
      </c>
      <c r="E263" s="28" t="str">
        <f>IFERROR(IF(C263&gt;0, D263/C263, 0),"-")</f>
        <v>-</v>
      </c>
    </row>
    <row r="264" spans="1:5" x14ac:dyDescent="0.2">
      <c r="A264" s="28" t="s">
        <v>493</v>
      </c>
      <c r="B264" s="28" t="s">
        <v>1005</v>
      </c>
      <c r="C264" s="28" t="s">
        <v>959</v>
      </c>
      <c r="D264" s="28" t="s">
        <v>959</v>
      </c>
      <c r="E264" s="28" t="str">
        <f>IFERROR(IF(C264&gt;0, D264/C264, 0),"-")</f>
        <v>-</v>
      </c>
    </row>
    <row r="265" spans="1:5" x14ac:dyDescent="0.2">
      <c r="A265" s="28" t="s">
        <v>492</v>
      </c>
      <c r="B265" s="28" t="s">
        <v>1006</v>
      </c>
      <c r="C265" s="28" t="s">
        <v>959</v>
      </c>
      <c r="D265" s="28" t="s">
        <v>959</v>
      </c>
      <c r="E265" s="28" t="str">
        <f>IFERROR(IF(C265&gt;0, D265/C265, 0),"-")</f>
        <v>-</v>
      </c>
    </row>
    <row r="266" spans="1:5" x14ac:dyDescent="0.2">
      <c r="A266" s="28" t="s">
        <v>491</v>
      </c>
      <c r="B266" s="28" t="s">
        <v>1007</v>
      </c>
      <c r="C266" s="28" t="s">
        <v>959</v>
      </c>
      <c r="D266" s="28" t="s">
        <v>959</v>
      </c>
      <c r="E266" s="28" t="str">
        <f>IFERROR(IF(C266&gt;0, D266/C266, 0),"-")</f>
        <v>-</v>
      </c>
    </row>
    <row r="267" spans="1:5" x14ac:dyDescent="0.2">
      <c r="A267" s="27"/>
      <c r="B267" s="27" t="s">
        <v>92</v>
      </c>
      <c r="C267" s="27" t="s">
        <v>959</v>
      </c>
      <c r="D267" s="27" t="s">
        <v>959</v>
      </c>
      <c r="E267" s="27" t="str">
        <f>IFERROR(IF(C267&gt;0, D267/C267, 0),"-")</f>
        <v>-</v>
      </c>
    </row>
    <row r="268" spans="1:5" x14ac:dyDescent="0.2">
      <c r="A268" s="28" t="s">
        <v>625</v>
      </c>
      <c r="B268" s="28" t="s">
        <v>1008</v>
      </c>
      <c r="C268" s="28" t="s">
        <v>959</v>
      </c>
      <c r="D268" s="28" t="s">
        <v>959</v>
      </c>
      <c r="E268" s="28" t="str">
        <f>IFERROR(IF(C268&gt;0, D268/C268, 0),"-")</f>
        <v>-</v>
      </c>
    </row>
    <row r="269" spans="1:5" x14ac:dyDescent="0.2">
      <c r="A269" s="28" t="s">
        <v>630</v>
      </c>
      <c r="B269" s="28" t="s">
        <v>1009</v>
      </c>
      <c r="C269" s="28" t="s">
        <v>959</v>
      </c>
      <c r="D269" s="28" t="s">
        <v>959</v>
      </c>
      <c r="E269" s="28" t="str">
        <f>IFERROR(IF(C269&gt;0, D269/C269, 0),"-")</f>
        <v>-</v>
      </c>
    </row>
    <row r="270" spans="1:5" x14ac:dyDescent="0.2">
      <c r="A270" s="28" t="s">
        <v>629</v>
      </c>
      <c r="B270" s="28" t="s">
        <v>1010</v>
      </c>
      <c r="C270" s="28" t="s">
        <v>959</v>
      </c>
      <c r="D270" s="28" t="s">
        <v>959</v>
      </c>
      <c r="E270" s="28" t="str">
        <f>IFERROR(IF(C270&gt;0, D270/C270, 0),"-")</f>
        <v>-</v>
      </c>
    </row>
    <row r="271" spans="1:5" x14ac:dyDescent="0.2">
      <c r="A271" s="28" t="s">
        <v>626</v>
      </c>
      <c r="B271" s="28" t="s">
        <v>1011</v>
      </c>
      <c r="C271" s="28" t="s">
        <v>959</v>
      </c>
      <c r="D271" s="28" t="s">
        <v>959</v>
      </c>
      <c r="E271" s="28" t="str">
        <f>IFERROR(IF(C271&gt;0, D271/C271, 0),"-")</f>
        <v>-</v>
      </c>
    </row>
    <row r="272" spans="1:5" x14ac:dyDescent="0.2">
      <c r="A272" s="28" t="s">
        <v>627</v>
      </c>
      <c r="B272" s="28" t="s">
        <v>1012</v>
      </c>
      <c r="C272" s="28" t="s">
        <v>959</v>
      </c>
      <c r="D272" s="28" t="s">
        <v>959</v>
      </c>
      <c r="E272" s="28" t="str">
        <f>IFERROR(IF(C272&gt;0, D272/C272, 0),"-")</f>
        <v>-</v>
      </c>
    </row>
    <row r="273" spans="1:5" x14ac:dyDescent="0.2">
      <c r="A273" s="28" t="s">
        <v>628</v>
      </c>
      <c r="B273" s="28" t="s">
        <v>1013</v>
      </c>
      <c r="C273" s="28" t="s">
        <v>959</v>
      </c>
      <c r="D273" s="28" t="s">
        <v>959</v>
      </c>
      <c r="E273" s="28" t="str">
        <f>IFERROR(IF(C273&gt;0, D273/C273, 0),"-")</f>
        <v>-</v>
      </c>
    </row>
    <row r="274" spans="1:5" x14ac:dyDescent="0.2">
      <c r="A274" s="28" t="s">
        <v>623</v>
      </c>
      <c r="B274" s="28" t="s">
        <v>1014</v>
      </c>
      <c r="C274" s="28" t="s">
        <v>959</v>
      </c>
      <c r="D274" s="28" t="s">
        <v>959</v>
      </c>
      <c r="E274" s="28" t="str">
        <f>IFERROR(IF(C274&gt;0, D274/C274, 0),"-")</f>
        <v>-</v>
      </c>
    </row>
    <row r="275" spans="1:5" x14ac:dyDescent="0.2">
      <c r="A275" s="28" t="s">
        <v>624</v>
      </c>
      <c r="B275" s="28" t="s">
        <v>1015</v>
      </c>
      <c r="C275" s="28" t="s">
        <v>959</v>
      </c>
      <c r="D275" s="28" t="s">
        <v>959</v>
      </c>
      <c r="E275" s="28" t="str">
        <f>IFERROR(IF(C275&gt;0, D275/C275, 0),"-")</f>
        <v>-</v>
      </c>
    </row>
    <row r="276" spans="1:5" x14ac:dyDescent="0.2">
      <c r="A276" s="27"/>
      <c r="B276" s="27" t="s">
        <v>79</v>
      </c>
      <c r="C276" s="27" t="s">
        <v>959</v>
      </c>
      <c r="D276" s="27" t="s">
        <v>959</v>
      </c>
      <c r="E276" s="27" t="str">
        <f>IFERROR(IF(C276&gt;0, D276/C276, 0),"-")</f>
        <v>-</v>
      </c>
    </row>
    <row r="277" spans="1:5" x14ac:dyDescent="0.2">
      <c r="A277" s="28" t="s">
        <v>530</v>
      </c>
      <c r="B277" s="28" t="s">
        <v>1016</v>
      </c>
      <c r="C277" s="28" t="s">
        <v>959</v>
      </c>
      <c r="D277" s="28" t="s">
        <v>959</v>
      </c>
      <c r="E277" s="28" t="str">
        <f>IFERROR(IF(C277&gt;0, D277/C277, 0),"-")</f>
        <v>-</v>
      </c>
    </row>
    <row r="278" spans="1:5" x14ac:dyDescent="0.2">
      <c r="A278" s="28" t="s">
        <v>528</v>
      </c>
      <c r="B278" s="28" t="s">
        <v>1017</v>
      </c>
      <c r="C278" s="28" t="s">
        <v>959</v>
      </c>
      <c r="D278" s="28" t="s">
        <v>959</v>
      </c>
      <c r="E278" s="28" t="str">
        <f>IFERROR(IF(C278&gt;0, D278/C278, 0),"-")</f>
        <v>-</v>
      </c>
    </row>
    <row r="279" spans="1:5" x14ac:dyDescent="0.2">
      <c r="A279" s="28" t="s">
        <v>529</v>
      </c>
      <c r="B279" s="28" t="s">
        <v>1018</v>
      </c>
      <c r="C279" s="28" t="s">
        <v>959</v>
      </c>
      <c r="D279" s="28" t="s">
        <v>959</v>
      </c>
      <c r="E279" s="28" t="str">
        <f>IFERROR(IF(C279&gt;0, D279/C279, 0),"-")</f>
        <v>-</v>
      </c>
    </row>
    <row r="280" spans="1:5" x14ac:dyDescent="0.2">
      <c r="A280" s="28" t="s">
        <v>531</v>
      </c>
      <c r="B280" s="28" t="s">
        <v>1019</v>
      </c>
      <c r="C280" s="28" t="s">
        <v>959</v>
      </c>
      <c r="D280" s="28" t="s">
        <v>959</v>
      </c>
      <c r="E280" s="28" t="str">
        <f>IFERROR(IF(C280&gt;0, D280/C280, 0),"-")</f>
        <v>-</v>
      </c>
    </row>
    <row r="281" spans="1:5" x14ac:dyDescent="0.2">
      <c r="A281" s="28" t="s">
        <v>533</v>
      </c>
      <c r="B281" s="28" t="s">
        <v>1020</v>
      </c>
      <c r="C281" s="28" t="s">
        <v>959</v>
      </c>
      <c r="D281" s="28" t="s">
        <v>959</v>
      </c>
      <c r="E281" s="28" t="str">
        <f>IFERROR(IF(C281&gt;0, D281/C281, 0),"-")</f>
        <v>-</v>
      </c>
    </row>
    <row r="282" spans="1:5" x14ac:dyDescent="0.2">
      <c r="A282" s="28" t="s">
        <v>532</v>
      </c>
      <c r="B282" s="28" t="s">
        <v>1021</v>
      </c>
      <c r="C282" s="28" t="s">
        <v>959</v>
      </c>
      <c r="D282" s="28" t="s">
        <v>959</v>
      </c>
      <c r="E282" s="28" t="str">
        <f>IFERROR(IF(C282&gt;0, D282/C282, 0),"-")</f>
        <v>-</v>
      </c>
    </row>
    <row r="283" spans="1:5" x14ac:dyDescent="0.2">
      <c r="A283" s="28" t="s">
        <v>534</v>
      </c>
      <c r="B283" s="28" t="s">
        <v>1022</v>
      </c>
      <c r="C283" s="28" t="s">
        <v>959</v>
      </c>
      <c r="D283" s="28" t="s">
        <v>959</v>
      </c>
      <c r="E283" s="28" t="str">
        <f>IFERROR(IF(C283&gt;0, D283/C283, 0),"-")</f>
        <v>-</v>
      </c>
    </row>
    <row r="284" spans="1:5" x14ac:dyDescent="0.2">
      <c r="A284" s="28" t="s">
        <v>527</v>
      </c>
      <c r="B284" s="28" t="s">
        <v>1023</v>
      </c>
      <c r="C284" s="28" t="s">
        <v>959</v>
      </c>
      <c r="D284" s="28" t="s">
        <v>959</v>
      </c>
      <c r="E284" s="28" t="str">
        <f>IFERROR(IF(C284&gt;0, D284/C284, 0),"-")</f>
        <v>-</v>
      </c>
    </row>
    <row r="285" spans="1:5" x14ac:dyDescent="0.2">
      <c r="A285" s="27"/>
      <c r="B285" s="27" t="s">
        <v>30</v>
      </c>
      <c r="C285" s="27" t="s">
        <v>959</v>
      </c>
      <c r="D285" s="27" t="s">
        <v>959</v>
      </c>
      <c r="E285" s="27" t="str">
        <f>IFERROR(IF(C285&gt;0, D285/C285, 0),"-")</f>
        <v>-</v>
      </c>
    </row>
    <row r="286" spans="1:5" x14ac:dyDescent="0.2">
      <c r="A286" s="28" t="s">
        <v>917</v>
      </c>
      <c r="B286" s="28" t="s">
        <v>1024</v>
      </c>
      <c r="C286" s="28" t="s">
        <v>959</v>
      </c>
      <c r="D286" s="28" t="s">
        <v>959</v>
      </c>
      <c r="E286" s="28" t="str">
        <f>IFERROR(IF(C286&gt;0, D286/C286, 0),"-")</f>
        <v>-</v>
      </c>
    </row>
    <row r="287" spans="1:5" x14ac:dyDescent="0.2">
      <c r="A287" s="28" t="s">
        <v>915</v>
      </c>
      <c r="B287" s="28" t="s">
        <v>1025</v>
      </c>
      <c r="C287" s="28" t="s">
        <v>959</v>
      </c>
      <c r="D287" s="28" t="s">
        <v>959</v>
      </c>
      <c r="E287" s="28" t="str">
        <f>IFERROR(IF(C287&gt;0, D287/C287, 0),"-")</f>
        <v>-</v>
      </c>
    </row>
    <row r="288" spans="1:5" x14ac:dyDescent="0.2">
      <c r="A288" s="28" t="s">
        <v>914</v>
      </c>
      <c r="B288" s="28" t="s">
        <v>1026</v>
      </c>
      <c r="C288" s="28" t="s">
        <v>959</v>
      </c>
      <c r="D288" s="28" t="s">
        <v>959</v>
      </c>
      <c r="E288" s="28" t="str">
        <f>IFERROR(IF(C288&gt;0, D288/C288, 0),"-")</f>
        <v>-</v>
      </c>
    </row>
    <row r="289" spans="1:5" x14ac:dyDescent="0.2">
      <c r="A289" s="28" t="s">
        <v>916</v>
      </c>
      <c r="B289" s="28" t="s">
        <v>1027</v>
      </c>
      <c r="C289" s="28" t="s">
        <v>959</v>
      </c>
      <c r="D289" s="28" t="s">
        <v>959</v>
      </c>
      <c r="E289" s="28" t="str">
        <f>IFERROR(IF(C289&gt;0, D289/C289, 0),"-")</f>
        <v>-</v>
      </c>
    </row>
    <row r="290" spans="1:5" x14ac:dyDescent="0.2">
      <c r="A290" s="28" t="s">
        <v>920</v>
      </c>
      <c r="B290" s="28" t="s">
        <v>1028</v>
      </c>
      <c r="C290" s="28" t="s">
        <v>959</v>
      </c>
      <c r="D290" s="28" t="s">
        <v>959</v>
      </c>
      <c r="E290" s="28" t="str">
        <f>IFERROR(IF(C290&gt;0, D290/C290, 0),"-")</f>
        <v>-</v>
      </c>
    </row>
    <row r="291" spans="1:5" x14ac:dyDescent="0.2">
      <c r="A291" s="28" t="s">
        <v>928</v>
      </c>
      <c r="B291" s="28" t="s">
        <v>1029</v>
      </c>
      <c r="C291" s="28" t="s">
        <v>959</v>
      </c>
      <c r="D291" s="28" t="s">
        <v>959</v>
      </c>
      <c r="E291" s="28" t="str">
        <f>IFERROR(IF(C291&gt;0, D291/C291, 0),"-")</f>
        <v>-</v>
      </c>
    </row>
    <row r="292" spans="1:5" x14ac:dyDescent="0.2">
      <c r="A292" s="28" t="s">
        <v>918</v>
      </c>
      <c r="B292" s="28" t="s">
        <v>1030</v>
      </c>
      <c r="C292" s="28" t="s">
        <v>959</v>
      </c>
      <c r="D292" s="28" t="s">
        <v>959</v>
      </c>
      <c r="E292" s="28" t="str">
        <f>IFERROR(IF(C292&gt;0, D292/C292, 0),"-")</f>
        <v>-</v>
      </c>
    </row>
    <row r="293" spans="1:5" x14ac:dyDescent="0.2">
      <c r="A293" s="28" t="s">
        <v>921</v>
      </c>
      <c r="B293" s="28" t="s">
        <v>1031</v>
      </c>
      <c r="C293" s="28" t="s">
        <v>959</v>
      </c>
      <c r="D293" s="28" t="s">
        <v>959</v>
      </c>
      <c r="E293" s="28" t="str">
        <f>IFERROR(IF(C293&gt;0, D293/C293, 0),"-")</f>
        <v>-</v>
      </c>
    </row>
    <row r="294" spans="1:5" x14ac:dyDescent="0.2">
      <c r="A294" s="28" t="s">
        <v>919</v>
      </c>
      <c r="B294" s="28" t="s">
        <v>1032</v>
      </c>
      <c r="C294" s="28" t="s">
        <v>959</v>
      </c>
      <c r="D294" s="28" t="s">
        <v>959</v>
      </c>
      <c r="E294" s="28" t="str">
        <f>IFERROR(IF(C294&gt;0, D294/C294, 0),"-")</f>
        <v>-</v>
      </c>
    </row>
    <row r="295" spans="1:5" x14ac:dyDescent="0.2">
      <c r="A295" s="27"/>
      <c r="B295" s="27" t="s">
        <v>125</v>
      </c>
      <c r="C295" s="27" t="s">
        <v>959</v>
      </c>
      <c r="D295" s="27" t="s">
        <v>959</v>
      </c>
      <c r="E295" s="27" t="str">
        <f>IFERROR(IF(C295&gt;0, D295/C295, 0),"-")</f>
        <v>-</v>
      </c>
    </row>
    <row r="296" spans="1:5" x14ac:dyDescent="0.2">
      <c r="A296" s="28" t="s">
        <v>877</v>
      </c>
      <c r="B296" s="28" t="s">
        <v>1033</v>
      </c>
      <c r="C296" s="28" t="s">
        <v>959</v>
      </c>
      <c r="D296" s="28" t="s">
        <v>959</v>
      </c>
      <c r="E296" s="28" t="str">
        <f>IFERROR(IF(C296&gt;0, D296/C296, 0),"-")</f>
        <v>-</v>
      </c>
    </row>
    <row r="297" spans="1:5" x14ac:dyDescent="0.2">
      <c r="A297" s="28" t="s">
        <v>880</v>
      </c>
      <c r="B297" s="28" t="s">
        <v>1034</v>
      </c>
      <c r="C297" s="28" t="s">
        <v>959</v>
      </c>
      <c r="D297" s="28" t="s">
        <v>959</v>
      </c>
      <c r="E297" s="28" t="str">
        <f>IFERROR(IF(C297&gt;0, D297/C297, 0),"-")</f>
        <v>-</v>
      </c>
    </row>
    <row r="298" spans="1:5" x14ac:dyDescent="0.2">
      <c r="A298" s="28" t="s">
        <v>879</v>
      </c>
      <c r="B298" s="28" t="s">
        <v>1035</v>
      </c>
      <c r="C298" s="28" t="s">
        <v>959</v>
      </c>
      <c r="D298" s="28" t="s">
        <v>959</v>
      </c>
      <c r="E298" s="28" t="str">
        <f>IFERROR(IF(C298&gt;0, D298/C298, 0),"-")</f>
        <v>-</v>
      </c>
    </row>
    <row r="299" spans="1:5" x14ac:dyDescent="0.2">
      <c r="A299" s="28" t="s">
        <v>881</v>
      </c>
      <c r="B299" s="28" t="s">
        <v>1036</v>
      </c>
      <c r="C299" s="28" t="s">
        <v>959</v>
      </c>
      <c r="D299" s="28" t="s">
        <v>959</v>
      </c>
      <c r="E299" s="28" t="str">
        <f>IFERROR(IF(C299&gt;0, D299/C299, 0),"-")</f>
        <v>-</v>
      </c>
    </row>
    <row r="300" spans="1:5" x14ac:dyDescent="0.2">
      <c r="A300" s="28" t="s">
        <v>882</v>
      </c>
      <c r="B300" s="28" t="s">
        <v>1037</v>
      </c>
      <c r="C300" s="28" t="s">
        <v>959</v>
      </c>
      <c r="D300" s="28" t="s">
        <v>959</v>
      </c>
      <c r="E300" s="28" t="str">
        <f>IFERROR(IF(C300&gt;0, D300/C300, 0),"-")</f>
        <v>-</v>
      </c>
    </row>
    <row r="301" spans="1:5" x14ac:dyDescent="0.2">
      <c r="A301" s="28" t="s">
        <v>878</v>
      </c>
      <c r="B301" s="28" t="s">
        <v>1038</v>
      </c>
      <c r="C301" s="28" t="s">
        <v>959</v>
      </c>
      <c r="D301" s="28" t="s">
        <v>959</v>
      </c>
      <c r="E301" s="28" t="str">
        <f>IFERROR(IF(C301&gt;0, D301/C301, 0),"-")</f>
        <v>-</v>
      </c>
    </row>
    <row r="302" spans="1:5" x14ac:dyDescent="0.2">
      <c r="A302" s="27"/>
      <c r="B302" s="27" t="s">
        <v>88</v>
      </c>
      <c r="C302" s="27" t="s">
        <v>959</v>
      </c>
      <c r="D302" s="27" t="s">
        <v>959</v>
      </c>
      <c r="E302" s="27" t="str">
        <f>IFERROR(IF(C302&gt;0, D302/C302, 0),"-")</f>
        <v>-</v>
      </c>
    </row>
    <row r="303" spans="1:5" x14ac:dyDescent="0.2">
      <c r="A303" s="28" t="s">
        <v>598</v>
      </c>
      <c r="B303" s="28" t="s">
        <v>1039</v>
      </c>
      <c r="C303" s="28" t="s">
        <v>959</v>
      </c>
      <c r="D303" s="28" t="s">
        <v>959</v>
      </c>
      <c r="E303" s="28" t="str">
        <f>IFERROR(IF(C303&gt;0, D303/C303, 0),"-")</f>
        <v>-</v>
      </c>
    </row>
    <row r="304" spans="1:5" x14ac:dyDescent="0.2">
      <c r="A304" s="28" t="s">
        <v>599</v>
      </c>
      <c r="B304" s="28" t="s">
        <v>1040</v>
      </c>
      <c r="C304" s="28" t="s">
        <v>959</v>
      </c>
      <c r="D304" s="28" t="s">
        <v>959</v>
      </c>
      <c r="E304" s="28" t="str">
        <f>IFERROR(IF(C304&gt;0, D304/C304, 0),"-")</f>
        <v>-</v>
      </c>
    </row>
    <row r="305" spans="1:5" x14ac:dyDescent="0.2">
      <c r="A305" s="28" t="s">
        <v>596</v>
      </c>
      <c r="B305" s="28" t="s">
        <v>1041</v>
      </c>
      <c r="C305" s="28" t="s">
        <v>959</v>
      </c>
      <c r="D305" s="28" t="s">
        <v>959</v>
      </c>
      <c r="E305" s="28" t="str">
        <f>IFERROR(IF(C305&gt;0, D305/C305, 0),"-")</f>
        <v>-</v>
      </c>
    </row>
    <row r="306" spans="1:5" x14ac:dyDescent="0.2">
      <c r="A306" s="28" t="s">
        <v>600</v>
      </c>
      <c r="B306" s="28" t="s">
        <v>1042</v>
      </c>
      <c r="C306" s="28" t="s">
        <v>959</v>
      </c>
      <c r="D306" s="28" t="s">
        <v>959</v>
      </c>
      <c r="E306" s="28" t="str">
        <f>IFERROR(IF(C306&gt;0, D306/C306, 0),"-")</f>
        <v>-</v>
      </c>
    </row>
    <row r="307" spans="1:5" x14ac:dyDescent="0.2">
      <c r="A307" s="28" t="s">
        <v>597</v>
      </c>
      <c r="B307" s="28" t="s">
        <v>1043</v>
      </c>
      <c r="C307" s="28" t="s">
        <v>959</v>
      </c>
      <c r="D307" s="28" t="s">
        <v>959</v>
      </c>
      <c r="E307" s="28" t="str">
        <f>IFERROR(IF(C307&gt;0, D307/C307, 0),"-")</f>
        <v>-</v>
      </c>
    </row>
    <row r="308" spans="1:5" x14ac:dyDescent="0.2">
      <c r="A308" s="28" t="s">
        <v>595</v>
      </c>
      <c r="B308" s="28" t="s">
        <v>1044</v>
      </c>
      <c r="C308" s="28" t="s">
        <v>959</v>
      </c>
      <c r="D308" s="28" t="s">
        <v>959</v>
      </c>
      <c r="E308" s="28" t="str">
        <f>IFERROR(IF(C308&gt;0, D308/C308, 0),"-")</f>
        <v>-</v>
      </c>
    </row>
    <row r="309" spans="1:5" x14ac:dyDescent="0.2">
      <c r="A309" s="28" t="s">
        <v>594</v>
      </c>
      <c r="B309" s="28" t="s">
        <v>1045</v>
      </c>
      <c r="C309" s="28" t="s">
        <v>959</v>
      </c>
      <c r="D309" s="28" t="s">
        <v>959</v>
      </c>
      <c r="E309" s="28" t="str">
        <f>IFERROR(IF(C309&gt;0, D309/C309, 0),"-")</f>
        <v>-</v>
      </c>
    </row>
    <row r="310" spans="1:5" x14ac:dyDescent="0.2">
      <c r="A310" s="27"/>
      <c r="B310" s="27" t="s">
        <v>91</v>
      </c>
      <c r="C310" s="27" t="s">
        <v>959</v>
      </c>
      <c r="D310" s="27" t="s">
        <v>959</v>
      </c>
      <c r="E310" s="27" t="str">
        <f>IFERROR(IF(C310&gt;0, D310/C310, 0),"-")</f>
        <v>-</v>
      </c>
    </row>
    <row r="311" spans="1:5" x14ac:dyDescent="0.2">
      <c r="A311" s="28" t="s">
        <v>619</v>
      </c>
      <c r="B311" s="28" t="s">
        <v>1046</v>
      </c>
      <c r="C311" s="28" t="s">
        <v>959</v>
      </c>
      <c r="D311" s="28" t="s">
        <v>959</v>
      </c>
      <c r="E311" s="28" t="str">
        <f>IFERROR(IF(C311&gt;0, D311/C311, 0),"-")</f>
        <v>-</v>
      </c>
    </row>
    <row r="312" spans="1:5" x14ac:dyDescent="0.2">
      <c r="A312" s="28" t="s">
        <v>618</v>
      </c>
      <c r="B312" s="28" t="s">
        <v>1047</v>
      </c>
      <c r="C312" s="28" t="s">
        <v>959</v>
      </c>
      <c r="D312" s="28" t="s">
        <v>959</v>
      </c>
      <c r="E312" s="28" t="str">
        <f>IFERROR(IF(C312&gt;0, D312/C312, 0),"-")</f>
        <v>-</v>
      </c>
    </row>
    <row r="313" spans="1:5" x14ac:dyDescent="0.2">
      <c r="A313" s="28" t="s">
        <v>621</v>
      </c>
      <c r="B313" s="28" t="s">
        <v>1048</v>
      </c>
      <c r="C313" s="28" t="s">
        <v>959</v>
      </c>
      <c r="D313" s="28" t="s">
        <v>959</v>
      </c>
      <c r="E313" s="28" t="str">
        <f>IFERROR(IF(C313&gt;0, D313/C313, 0),"-")</f>
        <v>-</v>
      </c>
    </row>
    <row r="314" spans="1:5" x14ac:dyDescent="0.2">
      <c r="A314" s="28" t="s">
        <v>620</v>
      </c>
      <c r="B314" s="28" t="s">
        <v>1049</v>
      </c>
      <c r="C314" s="28" t="s">
        <v>959</v>
      </c>
      <c r="D314" s="28" t="s">
        <v>959</v>
      </c>
      <c r="E314" s="28" t="str">
        <f>IFERROR(IF(C314&gt;0, D314/C314, 0),"-")</f>
        <v>-</v>
      </c>
    </row>
    <row r="315" spans="1:5" x14ac:dyDescent="0.2">
      <c r="A315" s="28" t="s">
        <v>617</v>
      </c>
      <c r="B315" s="28" t="s">
        <v>1050</v>
      </c>
      <c r="C315" s="28" t="s">
        <v>959</v>
      </c>
      <c r="D315" s="28" t="s">
        <v>959</v>
      </c>
      <c r="E315" s="28" t="str">
        <f>IFERROR(IF(C315&gt;0, D315/C315, 0),"-")</f>
        <v>-</v>
      </c>
    </row>
    <row r="316" spans="1:5" x14ac:dyDescent="0.2">
      <c r="A316" s="28" t="s">
        <v>616</v>
      </c>
      <c r="B316" s="28" t="s">
        <v>1051</v>
      </c>
      <c r="C316" s="28" t="s">
        <v>959</v>
      </c>
      <c r="D316" s="28" t="s">
        <v>959</v>
      </c>
      <c r="E316" s="28" t="str">
        <f>IFERROR(IF(C316&gt;0, D316/C316, 0),"-")</f>
        <v>-</v>
      </c>
    </row>
    <row r="317" spans="1:5" x14ac:dyDescent="0.2">
      <c r="A317" s="27"/>
      <c r="B317" s="27" t="s">
        <v>16</v>
      </c>
      <c r="C317" s="27" t="s">
        <v>959</v>
      </c>
      <c r="D317" s="27" t="s">
        <v>959</v>
      </c>
      <c r="E317" s="27" t="str">
        <f>IFERROR(IF(C317&gt;0, D317/C317, 0),"-")</f>
        <v>-</v>
      </c>
    </row>
    <row r="318" spans="1:5" x14ac:dyDescent="0.2">
      <c r="A318" s="28" t="s">
        <v>470</v>
      </c>
      <c r="B318" s="28" t="s">
        <v>1052</v>
      </c>
      <c r="C318" s="28" t="s">
        <v>959</v>
      </c>
      <c r="D318" s="28" t="s">
        <v>959</v>
      </c>
      <c r="E318" s="28" t="str">
        <f>IFERROR(IF(C318&gt;0, D318/C318, 0),"-")</f>
        <v>-</v>
      </c>
    </row>
    <row r="319" spans="1:5" x14ac:dyDescent="0.2">
      <c r="A319" s="28" t="s">
        <v>469</v>
      </c>
      <c r="B319" s="28" t="s">
        <v>1053</v>
      </c>
      <c r="C319" s="28" t="s">
        <v>959</v>
      </c>
      <c r="D319" s="28" t="s">
        <v>959</v>
      </c>
      <c r="E319" s="28" t="str">
        <f>IFERROR(IF(C319&gt;0, D319/C319, 0),"-")</f>
        <v>-</v>
      </c>
    </row>
    <row r="320" spans="1:5" x14ac:dyDescent="0.2">
      <c r="A320" s="28" t="s">
        <v>472</v>
      </c>
      <c r="B320" s="28" t="s">
        <v>1054</v>
      </c>
      <c r="C320" s="28" t="s">
        <v>959</v>
      </c>
      <c r="D320" s="28" t="s">
        <v>959</v>
      </c>
      <c r="E320" s="28" t="str">
        <f>IFERROR(IF(C320&gt;0, D320/C320, 0),"-")</f>
        <v>-</v>
      </c>
    </row>
    <row r="321" spans="1:5" x14ac:dyDescent="0.2">
      <c r="A321" s="28" t="s">
        <v>468</v>
      </c>
      <c r="B321" s="28" t="s">
        <v>1055</v>
      </c>
      <c r="C321" s="28" t="s">
        <v>959</v>
      </c>
      <c r="D321" s="28" t="s">
        <v>959</v>
      </c>
      <c r="E321" s="28" t="str">
        <f>IFERROR(IF(C321&gt;0, D321/C321, 0),"-")</f>
        <v>-</v>
      </c>
    </row>
    <row r="322" spans="1:5" x14ac:dyDescent="0.2">
      <c r="A322" s="28" t="s">
        <v>473</v>
      </c>
      <c r="B322" s="28" t="s">
        <v>1056</v>
      </c>
      <c r="C322" s="28" t="s">
        <v>959</v>
      </c>
      <c r="D322" s="28" t="s">
        <v>959</v>
      </c>
      <c r="E322" s="28" t="str">
        <f>IFERROR(IF(C322&gt;0, D322/C322, 0),"-")</f>
        <v>-</v>
      </c>
    </row>
    <row r="323" spans="1:5" x14ac:dyDescent="0.2">
      <c r="A323" s="28" t="s">
        <v>471</v>
      </c>
      <c r="B323" s="28" t="s">
        <v>1057</v>
      </c>
      <c r="C323" s="28" t="s">
        <v>959</v>
      </c>
      <c r="D323" s="28" t="s">
        <v>959</v>
      </c>
      <c r="E323" s="28" t="str">
        <f>IFERROR(IF(C323&gt;0, D323/C323, 0),"-")</f>
        <v>-</v>
      </c>
    </row>
    <row r="324" spans="1:5" x14ac:dyDescent="0.2">
      <c r="A324" s="27"/>
      <c r="B324" s="27" t="s">
        <v>53</v>
      </c>
      <c r="C324" s="27" t="s">
        <v>959</v>
      </c>
      <c r="D324" s="27" t="s">
        <v>959</v>
      </c>
      <c r="E324" s="27" t="str">
        <f>IFERROR(IF(C324&gt;0, D324/C324, 0),"-")</f>
        <v>-</v>
      </c>
    </row>
    <row r="325" spans="1:5" x14ac:dyDescent="0.2">
      <c r="A325" s="28" t="s">
        <v>319</v>
      </c>
      <c r="B325" s="28" t="s">
        <v>1058</v>
      </c>
      <c r="C325" s="28" t="s">
        <v>959</v>
      </c>
      <c r="D325" s="28" t="s">
        <v>959</v>
      </c>
      <c r="E325" s="28" t="str">
        <f>IFERROR(IF(C325&gt;0, D325/C325, 0),"-")</f>
        <v>-</v>
      </c>
    </row>
    <row r="326" spans="1:5" x14ac:dyDescent="0.2">
      <c r="A326" s="28" t="s">
        <v>325</v>
      </c>
      <c r="B326" s="28" t="s">
        <v>1059</v>
      </c>
      <c r="C326" s="28" t="s">
        <v>959</v>
      </c>
      <c r="D326" s="28" t="s">
        <v>959</v>
      </c>
      <c r="E326" s="28" t="str">
        <f>IFERROR(IF(C326&gt;0, D326/C326, 0),"-")</f>
        <v>-</v>
      </c>
    </row>
    <row r="327" spans="1:5" x14ac:dyDescent="0.2">
      <c r="A327" s="28" t="s">
        <v>322</v>
      </c>
      <c r="B327" s="28" t="s">
        <v>1060</v>
      </c>
      <c r="C327" s="28" t="s">
        <v>959</v>
      </c>
      <c r="D327" s="28" t="s">
        <v>959</v>
      </c>
      <c r="E327" s="28" t="str">
        <f>IFERROR(IF(C327&gt;0, D327/C327, 0),"-")</f>
        <v>-</v>
      </c>
    </row>
    <row r="328" spans="1:5" x14ac:dyDescent="0.2">
      <c r="A328" s="28" t="s">
        <v>320</v>
      </c>
      <c r="B328" s="28" t="s">
        <v>1061</v>
      </c>
      <c r="C328" s="28" t="s">
        <v>959</v>
      </c>
      <c r="D328" s="28" t="s">
        <v>959</v>
      </c>
      <c r="E328" s="28" t="str">
        <f>IFERROR(IF(C328&gt;0, D328/C328, 0),"-")</f>
        <v>-</v>
      </c>
    </row>
    <row r="329" spans="1:5" x14ac:dyDescent="0.2">
      <c r="A329" s="28" t="s">
        <v>323</v>
      </c>
      <c r="B329" s="28" t="s">
        <v>1062</v>
      </c>
      <c r="C329" s="28" t="s">
        <v>959</v>
      </c>
      <c r="D329" s="28" t="s">
        <v>959</v>
      </c>
      <c r="E329" s="28" t="str">
        <f>IFERROR(IF(C329&gt;0, D329/C329, 0),"-")</f>
        <v>-</v>
      </c>
    </row>
    <row r="330" spans="1:5" x14ac:dyDescent="0.2">
      <c r="A330" s="28" t="s">
        <v>318</v>
      </c>
      <c r="B330" s="28" t="s">
        <v>1063</v>
      </c>
      <c r="C330" s="28" t="s">
        <v>959</v>
      </c>
      <c r="D330" s="28" t="s">
        <v>959</v>
      </c>
      <c r="E330" s="28" t="str">
        <f>IFERROR(IF(C330&gt;0, D330/C330, 0),"-")</f>
        <v>-</v>
      </c>
    </row>
    <row r="331" spans="1:5" x14ac:dyDescent="0.2">
      <c r="A331" s="28" t="s">
        <v>321</v>
      </c>
      <c r="B331" s="28" t="s">
        <v>1064</v>
      </c>
      <c r="C331" s="28" t="s">
        <v>959</v>
      </c>
      <c r="D331" s="28" t="s">
        <v>959</v>
      </c>
      <c r="E331" s="28" t="str">
        <f>IFERROR(IF(C331&gt;0, D331/C331, 0),"-")</f>
        <v>-</v>
      </c>
    </row>
    <row r="332" spans="1:5" x14ac:dyDescent="0.2">
      <c r="A332" s="28" t="s">
        <v>326</v>
      </c>
      <c r="B332" s="28" t="s">
        <v>1065</v>
      </c>
      <c r="C332" s="28" t="s">
        <v>959</v>
      </c>
      <c r="D332" s="28" t="s">
        <v>959</v>
      </c>
      <c r="E332" s="28" t="str">
        <f>IFERROR(IF(C332&gt;0, D332/C332, 0),"-")</f>
        <v>-</v>
      </c>
    </row>
    <row r="333" spans="1:5" x14ac:dyDescent="0.2">
      <c r="A333" s="28" t="s">
        <v>324</v>
      </c>
      <c r="B333" s="28" t="s">
        <v>1066</v>
      </c>
      <c r="C333" s="28" t="s">
        <v>959</v>
      </c>
      <c r="D333" s="28" t="s">
        <v>959</v>
      </c>
      <c r="E333" s="28" t="str">
        <f>IFERROR(IF(C333&gt;0, D333/C333, 0),"-")</f>
        <v>-</v>
      </c>
    </row>
    <row r="334" spans="1:5" x14ac:dyDescent="0.2">
      <c r="A334" s="27"/>
      <c r="B334" s="27" t="s">
        <v>35</v>
      </c>
      <c r="C334" s="27" t="s">
        <v>959</v>
      </c>
      <c r="D334" s="27" t="s">
        <v>959</v>
      </c>
      <c r="E334" s="27" t="str">
        <f>IFERROR(IF(C334&gt;0, D334/C334, 0),"-")</f>
        <v>-</v>
      </c>
    </row>
    <row r="335" spans="1:5" x14ac:dyDescent="0.2">
      <c r="A335" s="28" t="s">
        <v>169</v>
      </c>
      <c r="B335" s="28" t="s">
        <v>1067</v>
      </c>
      <c r="C335" s="28" t="s">
        <v>959</v>
      </c>
      <c r="D335" s="28" t="s">
        <v>959</v>
      </c>
      <c r="E335" s="28" t="str">
        <f>IFERROR(IF(C335&gt;0, D335/C335, 0),"-")</f>
        <v>-</v>
      </c>
    </row>
    <row r="336" spans="1:5" x14ac:dyDescent="0.2">
      <c r="A336" s="28" t="s">
        <v>166</v>
      </c>
      <c r="B336" s="28" t="s">
        <v>1068</v>
      </c>
      <c r="C336" s="28" t="s">
        <v>959</v>
      </c>
      <c r="D336" s="28" t="s">
        <v>959</v>
      </c>
      <c r="E336" s="28" t="str">
        <f>IFERROR(IF(C336&gt;0, D336/C336, 0),"-")</f>
        <v>-</v>
      </c>
    </row>
    <row r="337" spans="1:5" x14ac:dyDescent="0.2">
      <c r="A337" s="28" t="s">
        <v>165</v>
      </c>
      <c r="B337" s="28" t="s">
        <v>1069</v>
      </c>
      <c r="C337" s="28" t="s">
        <v>959</v>
      </c>
      <c r="D337" s="28" t="s">
        <v>959</v>
      </c>
      <c r="E337" s="28" t="str">
        <f>IFERROR(IF(C337&gt;0, D337/C337, 0),"-")</f>
        <v>-</v>
      </c>
    </row>
    <row r="338" spans="1:5" x14ac:dyDescent="0.2">
      <c r="A338" s="28" t="s">
        <v>171</v>
      </c>
      <c r="B338" s="28" t="s">
        <v>1070</v>
      </c>
      <c r="C338" s="28" t="s">
        <v>959</v>
      </c>
      <c r="D338" s="28" t="s">
        <v>959</v>
      </c>
      <c r="E338" s="28" t="str">
        <f>IFERROR(IF(C338&gt;0, D338/C338, 0),"-")</f>
        <v>-</v>
      </c>
    </row>
    <row r="339" spans="1:5" x14ac:dyDescent="0.2">
      <c r="A339" s="28" t="s">
        <v>168</v>
      </c>
      <c r="B339" s="28" t="s">
        <v>1071</v>
      </c>
      <c r="C339" s="28" t="s">
        <v>959</v>
      </c>
      <c r="D339" s="28" t="s">
        <v>959</v>
      </c>
      <c r="E339" s="28" t="str">
        <f>IFERROR(IF(C339&gt;0, D339/C339, 0),"-")</f>
        <v>-</v>
      </c>
    </row>
    <row r="340" spans="1:5" x14ac:dyDescent="0.2">
      <c r="A340" s="28" t="s">
        <v>167</v>
      </c>
      <c r="B340" s="28" t="s">
        <v>1072</v>
      </c>
      <c r="C340" s="28" t="s">
        <v>959</v>
      </c>
      <c r="D340" s="28" t="s">
        <v>959</v>
      </c>
      <c r="E340" s="28" t="str">
        <f>IFERROR(IF(C340&gt;0, D340/C340, 0),"-")</f>
        <v>-</v>
      </c>
    </row>
    <row r="341" spans="1:5" x14ac:dyDescent="0.2">
      <c r="A341" s="28" t="s">
        <v>170</v>
      </c>
      <c r="B341" s="28" t="s">
        <v>1073</v>
      </c>
      <c r="C341" s="28" t="s">
        <v>959</v>
      </c>
      <c r="D341" s="28" t="s">
        <v>959</v>
      </c>
      <c r="E341" s="28" t="str">
        <f>IFERROR(IF(C341&gt;0, D341/C341, 0),"-")</f>
        <v>-</v>
      </c>
    </row>
    <row r="342" spans="1:5" x14ac:dyDescent="0.2">
      <c r="A342" s="27"/>
      <c r="B342" s="27" t="s">
        <v>19</v>
      </c>
      <c r="C342" s="27">
        <v>2</v>
      </c>
      <c r="D342" s="27" t="s">
        <v>959</v>
      </c>
      <c r="E342" s="27" t="str">
        <f>IFERROR(IF(C342&gt;0, D342/C342, 0),"-")</f>
        <v>-</v>
      </c>
    </row>
    <row r="343" spans="1:5" x14ac:dyDescent="0.2">
      <c r="A343" s="28" t="s">
        <v>552</v>
      </c>
      <c r="B343" s="28" t="s">
        <v>1074</v>
      </c>
      <c r="C343" s="28" t="s">
        <v>959</v>
      </c>
      <c r="D343" s="28" t="s">
        <v>959</v>
      </c>
      <c r="E343" s="28" t="str">
        <f>IFERROR(IF(C343&gt;0, D343/C343, 0),"-")</f>
        <v>-</v>
      </c>
    </row>
    <row r="344" spans="1:5" x14ac:dyDescent="0.2">
      <c r="A344" s="28" t="s">
        <v>567</v>
      </c>
      <c r="B344" s="28" t="s">
        <v>1075</v>
      </c>
      <c r="C344" s="28">
        <v>2</v>
      </c>
      <c r="D344" s="28" t="s">
        <v>959</v>
      </c>
      <c r="E344" s="28" t="str">
        <f>IFERROR(IF(C344&gt;0, D344/C344, 0),"-")</f>
        <v>-</v>
      </c>
    </row>
    <row r="345" spans="1:5" x14ac:dyDescent="0.2">
      <c r="A345" s="28" t="s">
        <v>566</v>
      </c>
      <c r="B345" s="28" t="s">
        <v>1076</v>
      </c>
      <c r="C345" s="28" t="s">
        <v>959</v>
      </c>
      <c r="D345" s="28" t="s">
        <v>959</v>
      </c>
      <c r="E345" s="28" t="str">
        <f>IFERROR(IF(C345&gt;0, D345/C345, 0),"-")</f>
        <v>-</v>
      </c>
    </row>
    <row r="346" spans="1:5" x14ac:dyDescent="0.2">
      <c r="A346" s="28" t="s">
        <v>568</v>
      </c>
      <c r="B346" s="28" t="s">
        <v>1077</v>
      </c>
      <c r="C346" s="28" t="s">
        <v>959</v>
      </c>
      <c r="D346" s="28" t="s">
        <v>959</v>
      </c>
      <c r="E346" s="28" t="str">
        <f>IFERROR(IF(C346&gt;0, D346/C346, 0),"-")</f>
        <v>-</v>
      </c>
    </row>
    <row r="347" spans="1:5" x14ac:dyDescent="0.2">
      <c r="A347" s="28" t="s">
        <v>553</v>
      </c>
      <c r="B347" s="28" t="s">
        <v>1078</v>
      </c>
      <c r="C347" s="28" t="s">
        <v>959</v>
      </c>
      <c r="D347" s="28" t="s">
        <v>959</v>
      </c>
      <c r="E347" s="28" t="str">
        <f>IFERROR(IF(C347&gt;0, D347/C347, 0),"-")</f>
        <v>-</v>
      </c>
    </row>
    <row r="348" spans="1:5" x14ac:dyDescent="0.2">
      <c r="A348" s="28" t="s">
        <v>551</v>
      </c>
      <c r="B348" s="28" t="s">
        <v>1079</v>
      </c>
      <c r="C348" s="28" t="s">
        <v>959</v>
      </c>
      <c r="D348" s="28" t="s">
        <v>959</v>
      </c>
      <c r="E348" s="28" t="str">
        <f>IFERROR(IF(C348&gt;0, D348/C348, 0),"-")</f>
        <v>-</v>
      </c>
    </row>
    <row r="349" spans="1:5" x14ac:dyDescent="0.2">
      <c r="A349" s="28" t="s">
        <v>555</v>
      </c>
      <c r="B349" s="28" t="s">
        <v>1080</v>
      </c>
      <c r="C349" s="28" t="s">
        <v>959</v>
      </c>
      <c r="D349" s="28" t="s">
        <v>959</v>
      </c>
      <c r="E349" s="28" t="str">
        <f>IFERROR(IF(C349&gt;0, D349/C349, 0),"-")</f>
        <v>-</v>
      </c>
    </row>
    <row r="350" spans="1:5" x14ac:dyDescent="0.2">
      <c r="A350" s="28" t="s">
        <v>549</v>
      </c>
      <c r="B350" s="28" t="s">
        <v>1081</v>
      </c>
      <c r="C350" s="28" t="s">
        <v>959</v>
      </c>
      <c r="D350" s="28" t="s">
        <v>959</v>
      </c>
      <c r="E350" s="28" t="str">
        <f>IFERROR(IF(C350&gt;0, D350/C350, 0),"-")</f>
        <v>-</v>
      </c>
    </row>
    <row r="351" spans="1:5" x14ac:dyDescent="0.2">
      <c r="A351" s="28" t="s">
        <v>554</v>
      </c>
      <c r="B351" s="28" t="s">
        <v>1082</v>
      </c>
      <c r="C351" s="28" t="s">
        <v>959</v>
      </c>
      <c r="D351" s="28" t="s">
        <v>959</v>
      </c>
      <c r="E351" s="28" t="str">
        <f>IFERROR(IF(C351&gt;0, D351/C351, 0),"-")</f>
        <v>-</v>
      </c>
    </row>
    <row r="352" spans="1:5" x14ac:dyDescent="0.2">
      <c r="A352" s="28" t="s">
        <v>550</v>
      </c>
      <c r="B352" s="28" t="s">
        <v>1083</v>
      </c>
      <c r="C352" s="28" t="s">
        <v>959</v>
      </c>
      <c r="D352" s="28" t="s">
        <v>959</v>
      </c>
      <c r="E352" s="28" t="str">
        <f>IFERROR(IF(C352&gt;0, D352/C352, 0),"-")</f>
        <v>-</v>
      </c>
    </row>
    <row r="353" spans="1:5" x14ac:dyDescent="0.2">
      <c r="A353" s="27"/>
      <c r="B353" s="27" t="s">
        <v>56</v>
      </c>
      <c r="C353" s="27" t="s">
        <v>959</v>
      </c>
      <c r="D353" s="27" t="s">
        <v>959</v>
      </c>
      <c r="E353" s="27" t="str">
        <f>IFERROR(IF(C353&gt;0, D353/C353, 0),"-")</f>
        <v>-</v>
      </c>
    </row>
    <row r="354" spans="1:5" x14ac:dyDescent="0.2">
      <c r="A354" s="28" t="s">
        <v>349</v>
      </c>
      <c r="B354" s="28" t="s">
        <v>1084</v>
      </c>
      <c r="C354" s="28" t="s">
        <v>959</v>
      </c>
      <c r="D354" s="28" t="s">
        <v>959</v>
      </c>
      <c r="E354" s="28" t="str">
        <f>IFERROR(IF(C354&gt;0, D354/C354, 0),"-")</f>
        <v>-</v>
      </c>
    </row>
    <row r="355" spans="1:5" x14ac:dyDescent="0.2">
      <c r="A355" s="28" t="s">
        <v>347</v>
      </c>
      <c r="B355" s="28" t="s">
        <v>1085</v>
      </c>
      <c r="C355" s="28" t="s">
        <v>959</v>
      </c>
      <c r="D355" s="28" t="s">
        <v>959</v>
      </c>
      <c r="E355" s="28" t="str">
        <f>IFERROR(IF(C355&gt;0, D355/C355, 0),"-")</f>
        <v>-</v>
      </c>
    </row>
    <row r="356" spans="1:5" x14ac:dyDescent="0.2">
      <c r="A356" s="28" t="s">
        <v>351</v>
      </c>
      <c r="B356" s="28" t="s">
        <v>1086</v>
      </c>
      <c r="C356" s="28" t="s">
        <v>959</v>
      </c>
      <c r="D356" s="28" t="s">
        <v>959</v>
      </c>
      <c r="E356" s="28" t="str">
        <f>IFERROR(IF(C356&gt;0, D356/C356, 0),"-")</f>
        <v>-</v>
      </c>
    </row>
    <row r="357" spans="1:5" x14ac:dyDescent="0.2">
      <c r="A357" s="28" t="s">
        <v>346</v>
      </c>
      <c r="B357" s="28" t="s">
        <v>1087</v>
      </c>
      <c r="C357" s="28" t="s">
        <v>959</v>
      </c>
      <c r="D357" s="28" t="s">
        <v>959</v>
      </c>
      <c r="E357" s="28" t="str">
        <f>IFERROR(IF(C357&gt;0, D357/C357, 0),"-")</f>
        <v>-</v>
      </c>
    </row>
    <row r="358" spans="1:5" x14ac:dyDescent="0.2">
      <c r="A358" s="28" t="s">
        <v>350</v>
      </c>
      <c r="B358" s="28" t="s">
        <v>1088</v>
      </c>
      <c r="C358" s="28" t="s">
        <v>959</v>
      </c>
      <c r="D358" s="28" t="s">
        <v>959</v>
      </c>
      <c r="E358" s="28" t="str">
        <f>IFERROR(IF(C358&gt;0, D358/C358, 0),"-")</f>
        <v>-</v>
      </c>
    </row>
    <row r="359" spans="1:5" x14ac:dyDescent="0.2">
      <c r="A359" s="28" t="s">
        <v>345</v>
      </c>
      <c r="B359" s="28" t="s">
        <v>1089</v>
      </c>
      <c r="C359" s="28" t="s">
        <v>959</v>
      </c>
      <c r="D359" s="28" t="s">
        <v>959</v>
      </c>
      <c r="E359" s="28" t="str">
        <f>IFERROR(IF(C359&gt;0, D359/C359, 0),"-")</f>
        <v>-</v>
      </c>
    </row>
    <row r="360" spans="1:5" x14ac:dyDescent="0.2">
      <c r="A360" s="28" t="s">
        <v>344</v>
      </c>
      <c r="B360" s="28" t="s">
        <v>1090</v>
      </c>
      <c r="C360" s="28" t="s">
        <v>959</v>
      </c>
      <c r="D360" s="28" t="s">
        <v>959</v>
      </c>
      <c r="E360" s="28" t="str">
        <f>IFERROR(IF(C360&gt;0, D360/C360, 0),"-")</f>
        <v>-</v>
      </c>
    </row>
    <row r="361" spans="1:5" x14ac:dyDescent="0.2">
      <c r="A361" s="28" t="s">
        <v>352</v>
      </c>
      <c r="B361" s="28" t="s">
        <v>1091</v>
      </c>
      <c r="C361" s="28" t="s">
        <v>959</v>
      </c>
      <c r="D361" s="28" t="s">
        <v>959</v>
      </c>
      <c r="E361" s="28" t="str">
        <f>IFERROR(IF(C361&gt;0, D361/C361, 0),"-")</f>
        <v>-</v>
      </c>
    </row>
    <row r="362" spans="1:5" x14ac:dyDescent="0.2">
      <c r="A362" s="28" t="s">
        <v>348</v>
      </c>
      <c r="B362" s="28" t="s">
        <v>1092</v>
      </c>
      <c r="C362" s="28" t="s">
        <v>959</v>
      </c>
      <c r="D362" s="28" t="s">
        <v>959</v>
      </c>
      <c r="E362" s="28" t="str">
        <f>IFERROR(IF(C362&gt;0, D362/C362, 0),"-")</f>
        <v>-</v>
      </c>
    </row>
    <row r="363" spans="1:5" x14ac:dyDescent="0.2">
      <c r="A363" s="27"/>
      <c r="B363" s="27" t="s">
        <v>77</v>
      </c>
      <c r="C363" s="27" t="s">
        <v>959</v>
      </c>
      <c r="D363" s="27" t="s">
        <v>959</v>
      </c>
      <c r="E363" s="27" t="str">
        <f>IFERROR(IF(C363&gt;0, D363/C363, 0),"-")</f>
        <v>-</v>
      </c>
    </row>
    <row r="364" spans="1:5" x14ac:dyDescent="0.2">
      <c r="A364" s="28" t="s">
        <v>508</v>
      </c>
      <c r="B364" s="28" t="s">
        <v>1018</v>
      </c>
      <c r="C364" s="28" t="s">
        <v>959</v>
      </c>
      <c r="D364" s="28" t="s">
        <v>959</v>
      </c>
      <c r="E364" s="28" t="str">
        <f>IFERROR(IF(C364&gt;0, D364/C364, 0),"-")</f>
        <v>-</v>
      </c>
    </row>
    <row r="365" spans="1:5" x14ac:dyDescent="0.2">
      <c r="A365" s="28" t="s">
        <v>507</v>
      </c>
      <c r="B365" s="28" t="s">
        <v>1093</v>
      </c>
      <c r="C365" s="28" t="s">
        <v>959</v>
      </c>
      <c r="D365" s="28" t="s">
        <v>959</v>
      </c>
      <c r="E365" s="28" t="str">
        <f>IFERROR(IF(C365&gt;0, D365/C365, 0),"-")</f>
        <v>-</v>
      </c>
    </row>
    <row r="366" spans="1:5" x14ac:dyDescent="0.2">
      <c r="A366" s="28" t="s">
        <v>509</v>
      </c>
      <c r="B366" s="28" t="s">
        <v>1094</v>
      </c>
      <c r="C366" s="28" t="s">
        <v>959</v>
      </c>
      <c r="D366" s="28" t="s">
        <v>959</v>
      </c>
      <c r="E366" s="28" t="str">
        <f>IFERROR(IF(C366&gt;0, D366/C366, 0),"-")</f>
        <v>-</v>
      </c>
    </row>
    <row r="367" spans="1:5" x14ac:dyDescent="0.2">
      <c r="A367" s="28" t="s">
        <v>512</v>
      </c>
      <c r="B367" s="28" t="s">
        <v>1095</v>
      </c>
      <c r="C367" s="28" t="s">
        <v>959</v>
      </c>
      <c r="D367" s="28" t="s">
        <v>959</v>
      </c>
      <c r="E367" s="28" t="str">
        <f>IFERROR(IF(C367&gt;0, D367/C367, 0),"-")</f>
        <v>-</v>
      </c>
    </row>
    <row r="368" spans="1:5" x14ac:dyDescent="0.2">
      <c r="A368" s="28" t="s">
        <v>511</v>
      </c>
      <c r="B368" s="28" t="s">
        <v>1096</v>
      </c>
      <c r="C368" s="28" t="s">
        <v>959</v>
      </c>
      <c r="D368" s="28" t="s">
        <v>959</v>
      </c>
      <c r="E368" s="28" t="str">
        <f>IFERROR(IF(C368&gt;0, D368/C368, 0),"-")</f>
        <v>-</v>
      </c>
    </row>
    <row r="369" spans="1:5" x14ac:dyDescent="0.2">
      <c r="A369" s="28" t="s">
        <v>506</v>
      </c>
      <c r="B369" s="28" t="s">
        <v>1097</v>
      </c>
      <c r="C369" s="28" t="s">
        <v>959</v>
      </c>
      <c r="D369" s="28" t="s">
        <v>959</v>
      </c>
      <c r="E369" s="28" t="str">
        <f>IFERROR(IF(C369&gt;0, D369/C369, 0),"-")</f>
        <v>-</v>
      </c>
    </row>
    <row r="370" spans="1:5" x14ac:dyDescent="0.2">
      <c r="A370" s="28" t="s">
        <v>510</v>
      </c>
      <c r="B370" s="28" t="s">
        <v>999</v>
      </c>
      <c r="C370" s="28" t="s">
        <v>959</v>
      </c>
      <c r="D370" s="28" t="s">
        <v>959</v>
      </c>
      <c r="E370" s="28" t="str">
        <f>IFERROR(IF(C370&gt;0, D370/C370, 0),"-")</f>
        <v>-</v>
      </c>
    </row>
    <row r="371" spans="1:5" x14ac:dyDescent="0.2">
      <c r="A371" s="27"/>
      <c r="B371" s="27" t="s">
        <v>12</v>
      </c>
      <c r="C371" s="27" t="s">
        <v>959</v>
      </c>
      <c r="D371" s="27" t="s">
        <v>959</v>
      </c>
      <c r="E371" s="27" t="str">
        <f>IFERROR(IF(C371&gt;0, D371/C371, 0),"-")</f>
        <v>-</v>
      </c>
    </row>
    <row r="372" spans="1:5" x14ac:dyDescent="0.2">
      <c r="A372" s="28" t="s">
        <v>517</v>
      </c>
      <c r="B372" s="28" t="s">
        <v>1098</v>
      </c>
      <c r="C372" s="28" t="s">
        <v>959</v>
      </c>
      <c r="D372" s="28" t="s">
        <v>959</v>
      </c>
      <c r="E372" s="28" t="str">
        <f>IFERROR(IF(C372&gt;0, D372/C372, 0),"-")</f>
        <v>-</v>
      </c>
    </row>
    <row r="373" spans="1:5" x14ac:dyDescent="0.2">
      <c r="A373" s="28" t="s">
        <v>514</v>
      </c>
      <c r="B373" s="28" t="s">
        <v>1099</v>
      </c>
      <c r="C373" s="28" t="s">
        <v>959</v>
      </c>
      <c r="D373" s="28" t="s">
        <v>959</v>
      </c>
      <c r="E373" s="28" t="str">
        <f>IFERROR(IF(C373&gt;0, D373/C373, 0),"-")</f>
        <v>-</v>
      </c>
    </row>
    <row r="374" spans="1:5" x14ac:dyDescent="0.2">
      <c r="A374" s="28" t="s">
        <v>519</v>
      </c>
      <c r="B374" s="28" t="s">
        <v>1100</v>
      </c>
      <c r="C374" s="28" t="s">
        <v>959</v>
      </c>
      <c r="D374" s="28" t="s">
        <v>959</v>
      </c>
      <c r="E374" s="28" t="str">
        <f>IFERROR(IF(C374&gt;0, D374/C374, 0),"-")</f>
        <v>-</v>
      </c>
    </row>
    <row r="375" spans="1:5" x14ac:dyDescent="0.2">
      <c r="A375" s="28" t="s">
        <v>516</v>
      </c>
      <c r="B375" s="28" t="s">
        <v>1101</v>
      </c>
      <c r="C375" s="28" t="s">
        <v>959</v>
      </c>
      <c r="D375" s="28" t="s">
        <v>959</v>
      </c>
      <c r="E375" s="28" t="str">
        <f>IFERROR(IF(C375&gt;0, D375/C375, 0),"-")</f>
        <v>-</v>
      </c>
    </row>
    <row r="376" spans="1:5" x14ac:dyDescent="0.2">
      <c r="A376" s="28" t="s">
        <v>513</v>
      </c>
      <c r="B376" s="28" t="s">
        <v>1020</v>
      </c>
      <c r="C376" s="28" t="s">
        <v>959</v>
      </c>
      <c r="D376" s="28" t="s">
        <v>959</v>
      </c>
      <c r="E376" s="28" t="str">
        <f>IFERROR(IF(C376&gt;0, D376/C376, 0),"-")</f>
        <v>-</v>
      </c>
    </row>
    <row r="377" spans="1:5" x14ac:dyDescent="0.2">
      <c r="A377" s="28" t="s">
        <v>515</v>
      </c>
      <c r="B377" s="28" t="s">
        <v>1022</v>
      </c>
      <c r="C377" s="28" t="s">
        <v>959</v>
      </c>
      <c r="D377" s="28" t="s">
        <v>959</v>
      </c>
      <c r="E377" s="28" t="str">
        <f>IFERROR(IF(C377&gt;0, D377/C377, 0),"-")</f>
        <v>-</v>
      </c>
    </row>
    <row r="378" spans="1:5" x14ac:dyDescent="0.2">
      <c r="A378" s="28" t="s">
        <v>518</v>
      </c>
      <c r="B378" s="28" t="s">
        <v>1102</v>
      </c>
      <c r="C378" s="28" t="s">
        <v>959</v>
      </c>
      <c r="D378" s="28" t="s">
        <v>959</v>
      </c>
      <c r="E378" s="28" t="str">
        <f>IFERROR(IF(C378&gt;0, D378/C378, 0),"-")</f>
        <v>-</v>
      </c>
    </row>
    <row r="379" spans="1:5" x14ac:dyDescent="0.2">
      <c r="A379" s="27"/>
      <c r="B379" s="27" t="s">
        <v>59</v>
      </c>
      <c r="C379" s="27" t="s">
        <v>959</v>
      </c>
      <c r="D379" s="27" t="s">
        <v>959</v>
      </c>
      <c r="E379" s="27" t="str">
        <f>IFERROR(IF(C379&gt;0, D379/C379, 0),"-")</f>
        <v>-</v>
      </c>
    </row>
    <row r="380" spans="1:5" x14ac:dyDescent="0.2">
      <c r="A380" s="28" t="s">
        <v>363</v>
      </c>
      <c r="B380" s="28" t="s">
        <v>1103</v>
      </c>
      <c r="C380" s="28" t="s">
        <v>959</v>
      </c>
      <c r="D380" s="28" t="s">
        <v>959</v>
      </c>
      <c r="E380" s="28" t="str">
        <f>IFERROR(IF(C380&gt;0, D380/C380, 0),"-")</f>
        <v>-</v>
      </c>
    </row>
    <row r="381" spans="1:5" x14ac:dyDescent="0.2">
      <c r="A381" s="28" t="s">
        <v>364</v>
      </c>
      <c r="B381" s="28" t="s">
        <v>1104</v>
      </c>
      <c r="C381" s="28" t="s">
        <v>959</v>
      </c>
      <c r="D381" s="28" t="s">
        <v>959</v>
      </c>
      <c r="E381" s="28" t="str">
        <f>IFERROR(IF(C381&gt;0, D381/C381, 0),"-")</f>
        <v>-</v>
      </c>
    </row>
    <row r="382" spans="1:5" x14ac:dyDescent="0.2">
      <c r="A382" s="28" t="s">
        <v>362</v>
      </c>
      <c r="B382" s="28" t="s">
        <v>1105</v>
      </c>
      <c r="C382" s="28" t="s">
        <v>959</v>
      </c>
      <c r="D382" s="28" t="s">
        <v>959</v>
      </c>
      <c r="E382" s="28" t="str">
        <f>IFERROR(IF(C382&gt;0, D382/C382, 0),"-")</f>
        <v>-</v>
      </c>
    </row>
    <row r="383" spans="1:5" x14ac:dyDescent="0.2">
      <c r="A383" s="28" t="s">
        <v>366</v>
      </c>
      <c r="B383" s="28" t="s">
        <v>1106</v>
      </c>
      <c r="C383" s="28" t="s">
        <v>959</v>
      </c>
      <c r="D383" s="28" t="s">
        <v>959</v>
      </c>
      <c r="E383" s="28" t="str">
        <f>IFERROR(IF(C383&gt;0, D383/C383, 0),"-")</f>
        <v>-</v>
      </c>
    </row>
    <row r="384" spans="1:5" x14ac:dyDescent="0.2">
      <c r="A384" s="28" t="s">
        <v>365</v>
      </c>
      <c r="B384" s="28" t="s">
        <v>1107</v>
      </c>
      <c r="C384" s="28" t="s">
        <v>959</v>
      </c>
      <c r="D384" s="28" t="s">
        <v>959</v>
      </c>
      <c r="E384" s="28" t="str">
        <f>IFERROR(IF(C384&gt;0, D384/C384, 0),"-")</f>
        <v>-</v>
      </c>
    </row>
    <row r="385" spans="1:5" x14ac:dyDescent="0.2">
      <c r="A385" s="27"/>
      <c r="B385" s="27" t="s">
        <v>129</v>
      </c>
      <c r="C385" s="27" t="s">
        <v>959</v>
      </c>
      <c r="D385" s="27" t="s">
        <v>959</v>
      </c>
      <c r="E385" s="27" t="str">
        <f>IFERROR(IF(C385&gt;0, D385/C385, 0),"-")</f>
        <v>-</v>
      </c>
    </row>
    <row r="386" spans="1:5" x14ac:dyDescent="0.2">
      <c r="A386" s="28" t="s">
        <v>897</v>
      </c>
      <c r="B386" s="28" t="s">
        <v>1108</v>
      </c>
      <c r="C386" s="28" t="s">
        <v>959</v>
      </c>
      <c r="D386" s="28" t="s">
        <v>959</v>
      </c>
      <c r="E386" s="28" t="str">
        <f>IFERROR(IF(C386&gt;0, D386/C386, 0),"-")</f>
        <v>-</v>
      </c>
    </row>
    <row r="387" spans="1:5" x14ac:dyDescent="0.2">
      <c r="A387" s="28" t="s">
        <v>895</v>
      </c>
      <c r="B387" s="28" t="s">
        <v>1109</v>
      </c>
      <c r="C387" s="28" t="s">
        <v>959</v>
      </c>
      <c r="D387" s="28" t="s">
        <v>959</v>
      </c>
      <c r="E387" s="28" t="str">
        <f>IFERROR(IF(C387&gt;0, D387/C387, 0),"-")</f>
        <v>-</v>
      </c>
    </row>
    <row r="388" spans="1:5" x14ac:dyDescent="0.2">
      <c r="A388" s="28" t="s">
        <v>896</v>
      </c>
      <c r="B388" s="28" t="s">
        <v>1110</v>
      </c>
      <c r="C388" s="28" t="s">
        <v>959</v>
      </c>
      <c r="D388" s="28" t="s">
        <v>959</v>
      </c>
      <c r="E388" s="28" t="str">
        <f>IFERROR(IF(C388&gt;0, D388/C388, 0),"-")</f>
        <v>-</v>
      </c>
    </row>
    <row r="389" spans="1:5" x14ac:dyDescent="0.2">
      <c r="A389" s="28" t="s">
        <v>894</v>
      </c>
      <c r="B389" s="28" t="s">
        <v>1111</v>
      </c>
      <c r="C389" s="28" t="s">
        <v>959</v>
      </c>
      <c r="D389" s="28" t="s">
        <v>959</v>
      </c>
      <c r="E389" s="28" t="str">
        <f>IFERROR(IF(C389&gt;0, D389/C389, 0),"-")</f>
        <v>-</v>
      </c>
    </row>
    <row r="390" spans="1:5" x14ac:dyDescent="0.2">
      <c r="A390" s="27"/>
      <c r="B390" s="27" t="s">
        <v>110</v>
      </c>
      <c r="C390" s="27" t="s">
        <v>959</v>
      </c>
      <c r="D390" s="27" t="s">
        <v>959</v>
      </c>
      <c r="E390" s="27" t="str">
        <f>IFERROR(IF(C390&gt;0, D390/C390, 0),"-")</f>
        <v>-</v>
      </c>
    </row>
    <row r="391" spans="1:5" x14ac:dyDescent="0.2">
      <c r="A391" s="28" t="s">
        <v>796</v>
      </c>
      <c r="B391" s="28" t="s">
        <v>1112</v>
      </c>
      <c r="C391" s="28" t="s">
        <v>959</v>
      </c>
      <c r="D391" s="28" t="s">
        <v>959</v>
      </c>
      <c r="E391" s="28" t="str">
        <f>IFERROR(IF(C391&gt;0, D391/C391, 0),"-")</f>
        <v>-</v>
      </c>
    </row>
    <row r="392" spans="1:5" x14ac:dyDescent="0.2">
      <c r="A392" s="28" t="s">
        <v>800</v>
      </c>
      <c r="B392" s="28" t="s">
        <v>1113</v>
      </c>
      <c r="C392" s="28" t="s">
        <v>959</v>
      </c>
      <c r="D392" s="28" t="s">
        <v>959</v>
      </c>
      <c r="E392" s="28" t="str">
        <f>IFERROR(IF(C392&gt;0, D392/C392, 0),"-")</f>
        <v>-</v>
      </c>
    </row>
    <row r="393" spans="1:5" x14ac:dyDescent="0.2">
      <c r="A393" s="28" t="s">
        <v>798</v>
      </c>
      <c r="B393" s="28" t="s">
        <v>1114</v>
      </c>
      <c r="C393" s="28" t="s">
        <v>959</v>
      </c>
      <c r="D393" s="28" t="s">
        <v>959</v>
      </c>
      <c r="E393" s="28" t="str">
        <f>IFERROR(IF(C393&gt;0, D393/C393, 0),"-")</f>
        <v>-</v>
      </c>
    </row>
    <row r="394" spans="1:5" x14ac:dyDescent="0.2">
      <c r="A394" s="28" t="s">
        <v>799</v>
      </c>
      <c r="B394" s="28" t="s">
        <v>1115</v>
      </c>
      <c r="C394" s="28" t="s">
        <v>959</v>
      </c>
      <c r="D394" s="28" t="s">
        <v>959</v>
      </c>
      <c r="E394" s="28" t="str">
        <f>IFERROR(IF(C394&gt;0, D394/C394, 0),"-")</f>
        <v>-</v>
      </c>
    </row>
    <row r="395" spans="1:5" x14ac:dyDescent="0.2">
      <c r="A395" s="28" t="s">
        <v>797</v>
      </c>
      <c r="B395" s="28" t="s">
        <v>1116</v>
      </c>
      <c r="C395" s="28" t="s">
        <v>959</v>
      </c>
      <c r="D395" s="28" t="s">
        <v>959</v>
      </c>
      <c r="E395" s="28" t="str">
        <f>IFERROR(IF(C395&gt;0, D395/C395, 0),"-")</f>
        <v>-</v>
      </c>
    </row>
    <row r="396" spans="1:5" x14ac:dyDescent="0.2">
      <c r="A396" s="28" t="s">
        <v>801</v>
      </c>
      <c r="B396" s="28" t="s">
        <v>1117</v>
      </c>
      <c r="C396" s="28" t="s">
        <v>959</v>
      </c>
      <c r="D396" s="28" t="s">
        <v>959</v>
      </c>
      <c r="E396" s="28" t="str">
        <f>IFERROR(IF(C396&gt;0, D396/C396, 0),"-")</f>
        <v>-</v>
      </c>
    </row>
    <row r="397" spans="1:5" x14ac:dyDescent="0.2">
      <c r="A397" s="27"/>
      <c r="B397" s="27" t="s">
        <v>50</v>
      </c>
      <c r="C397" s="27" t="s">
        <v>959</v>
      </c>
      <c r="D397" s="27" t="s">
        <v>959</v>
      </c>
      <c r="E397" s="27" t="str">
        <f>IFERROR(IF(C397&gt;0, D397/C397, 0),"-")</f>
        <v>-</v>
      </c>
    </row>
    <row r="398" spans="1:5" x14ac:dyDescent="0.2">
      <c r="A398" s="28" t="s">
        <v>285</v>
      </c>
      <c r="B398" s="28" t="s">
        <v>1118</v>
      </c>
      <c r="C398" s="28" t="s">
        <v>959</v>
      </c>
      <c r="D398" s="28" t="s">
        <v>959</v>
      </c>
      <c r="E398" s="28" t="str">
        <f>IFERROR(IF(C398&gt;0, D398/C398, 0),"-")</f>
        <v>-</v>
      </c>
    </row>
    <row r="399" spans="1:5" x14ac:dyDescent="0.2">
      <c r="A399" s="28" t="s">
        <v>287</v>
      </c>
      <c r="B399" s="28" t="s">
        <v>1119</v>
      </c>
      <c r="C399" s="28" t="s">
        <v>959</v>
      </c>
      <c r="D399" s="28" t="s">
        <v>959</v>
      </c>
      <c r="E399" s="28" t="str">
        <f>IFERROR(IF(C399&gt;0, D399/C399, 0),"-")</f>
        <v>-</v>
      </c>
    </row>
    <row r="400" spans="1:5" x14ac:dyDescent="0.2">
      <c r="A400" s="28" t="s">
        <v>281</v>
      </c>
      <c r="B400" s="28" t="s">
        <v>1120</v>
      </c>
      <c r="C400" s="28" t="s">
        <v>959</v>
      </c>
      <c r="D400" s="28" t="s">
        <v>959</v>
      </c>
      <c r="E400" s="28" t="str">
        <f>IFERROR(IF(C400&gt;0, D400/C400, 0),"-")</f>
        <v>-</v>
      </c>
    </row>
    <row r="401" spans="1:5" x14ac:dyDescent="0.2">
      <c r="A401" s="28" t="s">
        <v>282</v>
      </c>
      <c r="B401" s="28" t="s">
        <v>1121</v>
      </c>
      <c r="C401" s="28" t="s">
        <v>959</v>
      </c>
      <c r="D401" s="28" t="s">
        <v>959</v>
      </c>
      <c r="E401" s="28" t="str">
        <f>IFERROR(IF(C401&gt;0, D401/C401, 0),"-")</f>
        <v>-</v>
      </c>
    </row>
    <row r="402" spans="1:5" x14ac:dyDescent="0.2">
      <c r="A402" s="28" t="s">
        <v>286</v>
      </c>
      <c r="B402" s="28" t="s">
        <v>1122</v>
      </c>
      <c r="C402" s="28" t="s">
        <v>959</v>
      </c>
      <c r="D402" s="28" t="s">
        <v>959</v>
      </c>
      <c r="E402" s="28" t="str">
        <f>IFERROR(IF(C402&gt;0, D402/C402, 0),"-")</f>
        <v>-</v>
      </c>
    </row>
    <row r="403" spans="1:5" x14ac:dyDescent="0.2">
      <c r="A403" s="28" t="s">
        <v>302</v>
      </c>
      <c r="B403" s="28" t="s">
        <v>1123</v>
      </c>
      <c r="C403" s="28" t="s">
        <v>959</v>
      </c>
      <c r="D403" s="28" t="s">
        <v>959</v>
      </c>
      <c r="E403" s="28" t="str">
        <f>IFERROR(IF(C403&gt;0, D403/C403, 0),"-")</f>
        <v>-</v>
      </c>
    </row>
    <row r="404" spans="1:5" x14ac:dyDescent="0.2">
      <c r="A404" s="28" t="s">
        <v>280</v>
      </c>
      <c r="B404" s="28" t="s">
        <v>1124</v>
      </c>
      <c r="C404" s="28" t="s">
        <v>959</v>
      </c>
      <c r="D404" s="28" t="s">
        <v>959</v>
      </c>
      <c r="E404" s="28" t="str">
        <f>IFERROR(IF(C404&gt;0, D404/C404, 0),"-")</f>
        <v>-</v>
      </c>
    </row>
    <row r="405" spans="1:5" x14ac:dyDescent="0.2">
      <c r="A405" s="28" t="s">
        <v>284</v>
      </c>
      <c r="B405" s="28" t="s">
        <v>1125</v>
      </c>
      <c r="C405" s="28" t="s">
        <v>959</v>
      </c>
      <c r="D405" s="28" t="s">
        <v>959</v>
      </c>
      <c r="E405" s="28" t="str">
        <f>IFERROR(IF(C405&gt;0, D405/C405, 0),"-")</f>
        <v>-</v>
      </c>
    </row>
    <row r="406" spans="1:5" x14ac:dyDescent="0.2">
      <c r="A406" s="28" t="s">
        <v>283</v>
      </c>
      <c r="B406" s="28" t="s">
        <v>1126</v>
      </c>
      <c r="C406" s="28" t="s">
        <v>959</v>
      </c>
      <c r="D406" s="28" t="s">
        <v>959</v>
      </c>
      <c r="E406" s="28" t="str">
        <f>IFERROR(IF(C406&gt;0, D406/C406, 0),"-")</f>
        <v>-</v>
      </c>
    </row>
    <row r="407" spans="1:5" x14ac:dyDescent="0.2">
      <c r="A407" s="27"/>
      <c r="B407" s="27" t="s">
        <v>105</v>
      </c>
      <c r="C407" s="27" t="s">
        <v>959</v>
      </c>
      <c r="D407" s="27" t="s">
        <v>959</v>
      </c>
      <c r="E407" s="27" t="str">
        <f>IFERROR(IF(C407&gt;0, D407/C407, 0),"-")</f>
        <v>-</v>
      </c>
    </row>
    <row r="408" spans="1:5" x14ac:dyDescent="0.2">
      <c r="A408" s="28" t="s">
        <v>757</v>
      </c>
      <c r="B408" s="28" t="s">
        <v>1127</v>
      </c>
      <c r="C408" s="28" t="s">
        <v>959</v>
      </c>
      <c r="D408" s="28" t="s">
        <v>959</v>
      </c>
      <c r="E408" s="28" t="str">
        <f>IFERROR(IF(C408&gt;0, D408/C408, 0),"-")</f>
        <v>-</v>
      </c>
    </row>
    <row r="409" spans="1:5" x14ac:dyDescent="0.2">
      <c r="A409" s="28" t="s">
        <v>759</v>
      </c>
      <c r="B409" s="28" t="s">
        <v>1128</v>
      </c>
      <c r="C409" s="28" t="s">
        <v>959</v>
      </c>
      <c r="D409" s="28" t="s">
        <v>959</v>
      </c>
      <c r="E409" s="28" t="str">
        <f>IFERROR(IF(C409&gt;0, D409/C409, 0),"-")</f>
        <v>-</v>
      </c>
    </row>
    <row r="410" spans="1:5" x14ac:dyDescent="0.2">
      <c r="A410" s="28" t="s">
        <v>758</v>
      </c>
      <c r="B410" s="28" t="s">
        <v>1129</v>
      </c>
      <c r="C410" s="28" t="s">
        <v>959</v>
      </c>
      <c r="D410" s="28" t="s">
        <v>959</v>
      </c>
      <c r="E410" s="28" t="str">
        <f>IFERROR(IF(C410&gt;0, D410/C410, 0),"-")</f>
        <v>-</v>
      </c>
    </row>
    <row r="411" spans="1:5" x14ac:dyDescent="0.2">
      <c r="A411" s="28" t="s">
        <v>768</v>
      </c>
      <c r="B411" s="28" t="s">
        <v>1130</v>
      </c>
      <c r="C411" s="28" t="s">
        <v>959</v>
      </c>
      <c r="D411" s="28" t="s">
        <v>959</v>
      </c>
      <c r="E411" s="28" t="str">
        <f>IFERROR(IF(C411&gt;0, D411/C411, 0),"-")</f>
        <v>-</v>
      </c>
    </row>
    <row r="412" spans="1:5" x14ac:dyDescent="0.2">
      <c r="A412" s="28" t="s">
        <v>754</v>
      </c>
      <c r="B412" s="28" t="s">
        <v>1131</v>
      </c>
      <c r="C412" s="28" t="s">
        <v>959</v>
      </c>
      <c r="D412" s="28" t="s">
        <v>959</v>
      </c>
      <c r="E412" s="28" t="str">
        <f>IFERROR(IF(C412&gt;0, D412/C412, 0),"-")</f>
        <v>-</v>
      </c>
    </row>
    <row r="413" spans="1:5" x14ac:dyDescent="0.2">
      <c r="A413" s="28" t="s">
        <v>756</v>
      </c>
      <c r="B413" s="28" t="s">
        <v>1132</v>
      </c>
      <c r="C413" s="28" t="s">
        <v>959</v>
      </c>
      <c r="D413" s="28" t="s">
        <v>959</v>
      </c>
      <c r="E413" s="28" t="str">
        <f>IFERROR(IF(C413&gt;0, D413/C413, 0),"-")</f>
        <v>-</v>
      </c>
    </row>
    <row r="414" spans="1:5" x14ac:dyDescent="0.2">
      <c r="A414" s="28" t="s">
        <v>755</v>
      </c>
      <c r="B414" s="28" t="s">
        <v>1133</v>
      </c>
      <c r="C414" s="28" t="s">
        <v>959</v>
      </c>
      <c r="D414" s="28" t="s">
        <v>959</v>
      </c>
      <c r="E414" s="28" t="str">
        <f>IFERROR(IF(C414&gt;0, D414/C414, 0),"-")</f>
        <v>-</v>
      </c>
    </row>
    <row r="415" spans="1:5" x14ac:dyDescent="0.2">
      <c r="A415" s="27"/>
      <c r="B415" s="27" t="s">
        <v>100</v>
      </c>
      <c r="C415" s="27" t="s">
        <v>959</v>
      </c>
      <c r="D415" s="27" t="s">
        <v>959</v>
      </c>
      <c r="E415" s="27" t="str">
        <f>IFERROR(IF(C415&gt;0, D415/C415, 0),"-")</f>
        <v>-</v>
      </c>
    </row>
    <row r="416" spans="1:5" x14ac:dyDescent="0.2">
      <c r="A416" s="28" t="s">
        <v>708</v>
      </c>
      <c r="B416" s="28" t="s">
        <v>1134</v>
      </c>
      <c r="C416" s="28" t="s">
        <v>959</v>
      </c>
      <c r="D416" s="28" t="s">
        <v>959</v>
      </c>
      <c r="E416" s="28" t="str">
        <f>IFERROR(IF(C416&gt;0, D416/C416, 0),"-")</f>
        <v>-</v>
      </c>
    </row>
    <row r="417" spans="1:5" x14ac:dyDescent="0.2">
      <c r="A417" s="28" t="s">
        <v>706</v>
      </c>
      <c r="B417" s="28" t="s">
        <v>1135</v>
      </c>
      <c r="C417" s="28" t="s">
        <v>959</v>
      </c>
      <c r="D417" s="28" t="s">
        <v>959</v>
      </c>
      <c r="E417" s="28" t="str">
        <f>IFERROR(IF(C417&gt;0, D417/C417, 0),"-")</f>
        <v>-</v>
      </c>
    </row>
    <row r="418" spans="1:5" x14ac:dyDescent="0.2">
      <c r="A418" s="28" t="s">
        <v>704</v>
      </c>
      <c r="B418" s="28" t="s">
        <v>1136</v>
      </c>
      <c r="C418" s="28" t="s">
        <v>959</v>
      </c>
      <c r="D418" s="28" t="s">
        <v>959</v>
      </c>
      <c r="E418" s="28" t="str">
        <f>IFERROR(IF(C418&gt;0, D418/C418, 0),"-")</f>
        <v>-</v>
      </c>
    </row>
    <row r="419" spans="1:5" x14ac:dyDescent="0.2">
      <c r="A419" s="28" t="s">
        <v>709</v>
      </c>
      <c r="B419" s="28" t="s">
        <v>1137</v>
      </c>
      <c r="C419" s="28" t="s">
        <v>959</v>
      </c>
      <c r="D419" s="28" t="s">
        <v>959</v>
      </c>
      <c r="E419" s="28" t="str">
        <f>IFERROR(IF(C419&gt;0, D419/C419, 0),"-")</f>
        <v>-</v>
      </c>
    </row>
    <row r="420" spans="1:5" x14ac:dyDescent="0.2">
      <c r="A420" s="28" t="s">
        <v>707</v>
      </c>
      <c r="B420" s="28" t="s">
        <v>1138</v>
      </c>
      <c r="C420" s="28" t="s">
        <v>959</v>
      </c>
      <c r="D420" s="28" t="s">
        <v>959</v>
      </c>
      <c r="E420" s="28" t="str">
        <f>IFERROR(IF(C420&gt;0, D420/C420, 0),"-")</f>
        <v>-</v>
      </c>
    </row>
    <row r="421" spans="1:5" x14ac:dyDescent="0.2">
      <c r="A421" s="28" t="s">
        <v>705</v>
      </c>
      <c r="B421" s="28" t="s">
        <v>1139</v>
      </c>
      <c r="C421" s="28" t="s">
        <v>959</v>
      </c>
      <c r="D421" s="28" t="s">
        <v>959</v>
      </c>
      <c r="E421" s="28" t="str">
        <f>IFERROR(IF(C421&gt;0, D421/C421, 0),"-")</f>
        <v>-</v>
      </c>
    </row>
    <row r="422" spans="1:5" x14ac:dyDescent="0.2">
      <c r="A422" s="27"/>
      <c r="B422" s="27" t="s">
        <v>31</v>
      </c>
      <c r="C422" s="27" t="s">
        <v>959</v>
      </c>
      <c r="D422" s="27" t="s">
        <v>959</v>
      </c>
      <c r="E422" s="27" t="str">
        <f>IFERROR(IF(C422&gt;0, D422/C422, 0),"-")</f>
        <v>-</v>
      </c>
    </row>
    <row r="423" spans="1:5" x14ac:dyDescent="0.2">
      <c r="A423" s="28" t="s">
        <v>138</v>
      </c>
      <c r="B423" s="28" t="s">
        <v>1140</v>
      </c>
      <c r="C423" s="28" t="s">
        <v>959</v>
      </c>
      <c r="D423" s="28" t="s">
        <v>959</v>
      </c>
      <c r="E423" s="28" t="str">
        <f>IFERROR(IF(C423&gt;0, D423/C423, 0),"-")</f>
        <v>-</v>
      </c>
    </row>
    <row r="424" spans="1:5" x14ac:dyDescent="0.2">
      <c r="A424" s="28" t="s">
        <v>142</v>
      </c>
      <c r="B424" s="28" t="s">
        <v>1141</v>
      </c>
      <c r="C424" s="28" t="s">
        <v>959</v>
      </c>
      <c r="D424" s="28" t="s">
        <v>959</v>
      </c>
      <c r="E424" s="28" t="str">
        <f>IFERROR(IF(C424&gt;0, D424/C424, 0),"-")</f>
        <v>-</v>
      </c>
    </row>
    <row r="425" spans="1:5" x14ac:dyDescent="0.2">
      <c r="A425" s="28" t="s">
        <v>139</v>
      </c>
      <c r="B425" s="28" t="s">
        <v>1142</v>
      </c>
      <c r="C425" s="28" t="s">
        <v>959</v>
      </c>
      <c r="D425" s="28" t="s">
        <v>959</v>
      </c>
      <c r="E425" s="28" t="str">
        <f>IFERROR(IF(C425&gt;0, D425/C425, 0),"-")</f>
        <v>-</v>
      </c>
    </row>
    <row r="426" spans="1:5" x14ac:dyDescent="0.2">
      <c r="A426" s="28" t="s">
        <v>137</v>
      </c>
      <c r="B426" s="28" t="s">
        <v>1143</v>
      </c>
      <c r="C426" s="28" t="s">
        <v>959</v>
      </c>
      <c r="D426" s="28" t="s">
        <v>959</v>
      </c>
      <c r="E426" s="28" t="str">
        <f>IFERROR(IF(C426&gt;0, D426/C426, 0),"-")</f>
        <v>-</v>
      </c>
    </row>
    <row r="427" spans="1:5" x14ac:dyDescent="0.2">
      <c r="A427" s="28" t="s">
        <v>140</v>
      </c>
      <c r="B427" s="28" t="s">
        <v>1144</v>
      </c>
      <c r="C427" s="28" t="s">
        <v>959</v>
      </c>
      <c r="D427" s="28" t="s">
        <v>959</v>
      </c>
      <c r="E427" s="28" t="str">
        <f>IFERROR(IF(C427&gt;0, D427/C427, 0),"-")</f>
        <v>-</v>
      </c>
    </row>
    <row r="428" spans="1:5" x14ac:dyDescent="0.2">
      <c r="A428" s="28" t="s">
        <v>141</v>
      </c>
      <c r="B428" s="28" t="s">
        <v>1145</v>
      </c>
      <c r="C428" s="28" t="s">
        <v>959</v>
      </c>
      <c r="D428" s="28" t="s">
        <v>959</v>
      </c>
      <c r="E428" s="28" t="str">
        <f>IFERROR(IF(C428&gt;0, D428/C428, 0),"-")</f>
        <v>-</v>
      </c>
    </row>
    <row r="429" spans="1:5" x14ac:dyDescent="0.2">
      <c r="A429" s="28" t="s">
        <v>136</v>
      </c>
      <c r="B429" s="28" t="s">
        <v>1146</v>
      </c>
      <c r="C429" s="28" t="s">
        <v>959</v>
      </c>
      <c r="D429" s="28" t="s">
        <v>959</v>
      </c>
      <c r="E429" s="28" t="str">
        <f>IFERROR(IF(C429&gt;0, D429/C429, 0),"-")</f>
        <v>-</v>
      </c>
    </row>
    <row r="430" spans="1:5" x14ac:dyDescent="0.2">
      <c r="A430" s="27"/>
      <c r="B430" s="27" t="s">
        <v>84</v>
      </c>
      <c r="C430" s="27" t="s">
        <v>959</v>
      </c>
      <c r="D430" s="27" t="s">
        <v>959</v>
      </c>
      <c r="E430" s="27" t="str">
        <f>IFERROR(IF(C430&gt;0, D430/C430, 0),"-")</f>
        <v>-</v>
      </c>
    </row>
    <row r="431" spans="1:5" x14ac:dyDescent="0.2">
      <c r="A431" s="28" t="s">
        <v>578</v>
      </c>
      <c r="B431" s="28" t="s">
        <v>1147</v>
      </c>
      <c r="C431" s="28" t="s">
        <v>959</v>
      </c>
      <c r="D431" s="28" t="s">
        <v>959</v>
      </c>
      <c r="E431" s="28" t="str">
        <f>IFERROR(IF(C431&gt;0, D431/C431, 0),"-")</f>
        <v>-</v>
      </c>
    </row>
    <row r="432" spans="1:5" x14ac:dyDescent="0.2">
      <c r="A432" s="28" t="s">
        <v>565</v>
      </c>
      <c r="B432" s="28" t="s">
        <v>1148</v>
      </c>
      <c r="C432" s="28" t="s">
        <v>959</v>
      </c>
      <c r="D432" s="28" t="s">
        <v>959</v>
      </c>
      <c r="E432" s="28" t="str">
        <f>IFERROR(IF(C432&gt;0, D432/C432, 0),"-")</f>
        <v>-</v>
      </c>
    </row>
    <row r="433" spans="1:5" x14ac:dyDescent="0.2">
      <c r="A433" s="28" t="s">
        <v>563</v>
      </c>
      <c r="B433" s="28" t="s">
        <v>1149</v>
      </c>
      <c r="C433" s="28" t="s">
        <v>959</v>
      </c>
      <c r="D433" s="28" t="s">
        <v>959</v>
      </c>
      <c r="E433" s="28" t="str">
        <f>IFERROR(IF(C433&gt;0, D433/C433, 0),"-")</f>
        <v>-</v>
      </c>
    </row>
    <row r="434" spans="1:5" x14ac:dyDescent="0.2">
      <c r="A434" s="28" t="s">
        <v>564</v>
      </c>
      <c r="B434" s="28" t="s">
        <v>1073</v>
      </c>
      <c r="C434" s="28" t="s">
        <v>959</v>
      </c>
      <c r="D434" s="28" t="s">
        <v>959</v>
      </c>
      <c r="E434" s="28" t="str">
        <f>IFERROR(IF(C434&gt;0, D434/C434, 0),"-")</f>
        <v>-</v>
      </c>
    </row>
    <row r="435" spans="1:5" x14ac:dyDescent="0.2">
      <c r="A435" s="28" t="s">
        <v>562</v>
      </c>
      <c r="B435" s="28" t="s">
        <v>1150</v>
      </c>
      <c r="C435" s="28" t="s">
        <v>959</v>
      </c>
      <c r="D435" s="28" t="s">
        <v>959</v>
      </c>
      <c r="E435" s="28" t="str">
        <f>IFERROR(IF(C435&gt;0, D435/C435, 0),"-")</f>
        <v>-</v>
      </c>
    </row>
    <row r="436" spans="1:5" x14ac:dyDescent="0.2">
      <c r="A436" s="28" t="s">
        <v>561</v>
      </c>
      <c r="B436" s="28" t="s">
        <v>1151</v>
      </c>
      <c r="C436" s="28" t="s">
        <v>959</v>
      </c>
      <c r="D436" s="28" t="s">
        <v>959</v>
      </c>
      <c r="E436" s="28" t="str">
        <f>IFERROR(IF(C436&gt;0, D436/C436, 0),"-")</f>
        <v>-</v>
      </c>
    </row>
    <row r="437" spans="1:5" x14ac:dyDescent="0.2">
      <c r="A437" s="27"/>
      <c r="B437" s="27" t="s">
        <v>14</v>
      </c>
      <c r="C437" s="27" t="s">
        <v>959</v>
      </c>
      <c r="D437" s="27" t="s">
        <v>959</v>
      </c>
      <c r="E437" s="27" t="str">
        <f>IFERROR(IF(C437&gt;0, D437/C437, 0),"-")</f>
        <v>-</v>
      </c>
    </row>
    <row r="438" spans="1:5" x14ac:dyDescent="0.2">
      <c r="A438" s="28" t="s">
        <v>381</v>
      </c>
      <c r="B438" s="28" t="s">
        <v>1152</v>
      </c>
      <c r="C438" s="28" t="s">
        <v>959</v>
      </c>
      <c r="D438" s="28" t="s">
        <v>959</v>
      </c>
      <c r="E438" s="28" t="str">
        <f>IFERROR(IF(C438&gt;0, D438/C438, 0),"-")</f>
        <v>-</v>
      </c>
    </row>
    <row r="439" spans="1:5" x14ac:dyDescent="0.2">
      <c r="A439" s="28" t="s">
        <v>380</v>
      </c>
      <c r="B439" s="28" t="s">
        <v>1153</v>
      </c>
      <c r="C439" s="28" t="s">
        <v>959</v>
      </c>
      <c r="D439" s="28" t="s">
        <v>959</v>
      </c>
      <c r="E439" s="28" t="str">
        <f>IFERROR(IF(C439&gt;0, D439/C439, 0),"-")</f>
        <v>-</v>
      </c>
    </row>
    <row r="440" spans="1:5" x14ac:dyDescent="0.2">
      <c r="A440" s="28" t="s">
        <v>379</v>
      </c>
      <c r="B440" s="28" t="s">
        <v>1154</v>
      </c>
      <c r="C440" s="28" t="s">
        <v>959</v>
      </c>
      <c r="D440" s="28" t="s">
        <v>959</v>
      </c>
      <c r="E440" s="28" t="str">
        <f>IFERROR(IF(C440&gt;0, D440/C440, 0),"-")</f>
        <v>-</v>
      </c>
    </row>
    <row r="441" spans="1:5" x14ac:dyDescent="0.2">
      <c r="A441" s="28" t="s">
        <v>378</v>
      </c>
      <c r="B441" s="28" t="s">
        <v>1155</v>
      </c>
      <c r="C441" s="28" t="s">
        <v>959</v>
      </c>
      <c r="D441" s="28" t="s">
        <v>959</v>
      </c>
      <c r="E441" s="28" t="str">
        <f>IFERROR(IF(C441&gt;0, D441/C441, 0),"-")</f>
        <v>-</v>
      </c>
    </row>
    <row r="442" spans="1:5" x14ac:dyDescent="0.2">
      <c r="A442" s="28" t="s">
        <v>377</v>
      </c>
      <c r="B442" s="28" t="s">
        <v>1156</v>
      </c>
      <c r="C442" s="28" t="s">
        <v>959</v>
      </c>
      <c r="D442" s="28" t="s">
        <v>959</v>
      </c>
      <c r="E442" s="28" t="str">
        <f>IFERROR(IF(C442&gt;0, D442/C442, 0),"-")</f>
        <v>-</v>
      </c>
    </row>
    <row r="443" spans="1:5" x14ac:dyDescent="0.2">
      <c r="A443" s="27"/>
      <c r="B443" s="27" t="s">
        <v>98</v>
      </c>
      <c r="C443" s="27" t="s">
        <v>959</v>
      </c>
      <c r="D443" s="27" t="s">
        <v>959</v>
      </c>
      <c r="E443" s="27" t="str">
        <f>IFERROR(IF(C443&gt;0, D443/C443, 0),"-")</f>
        <v>-</v>
      </c>
    </row>
    <row r="444" spans="1:5" x14ac:dyDescent="0.2">
      <c r="A444" s="28" t="s">
        <v>695</v>
      </c>
      <c r="B444" s="28" t="s">
        <v>1157</v>
      </c>
      <c r="C444" s="28" t="s">
        <v>959</v>
      </c>
      <c r="D444" s="28" t="s">
        <v>959</v>
      </c>
      <c r="E444" s="28" t="str">
        <f>IFERROR(IF(C444&gt;0, D444/C444, 0),"-")</f>
        <v>-</v>
      </c>
    </row>
    <row r="445" spans="1:5" x14ac:dyDescent="0.2">
      <c r="A445" s="28" t="s">
        <v>693</v>
      </c>
      <c r="B445" s="28" t="s">
        <v>1158</v>
      </c>
      <c r="C445" s="28" t="s">
        <v>959</v>
      </c>
      <c r="D445" s="28" t="s">
        <v>959</v>
      </c>
      <c r="E445" s="28" t="str">
        <f>IFERROR(IF(C445&gt;0, D445/C445, 0),"-")</f>
        <v>-</v>
      </c>
    </row>
    <row r="446" spans="1:5" x14ac:dyDescent="0.2">
      <c r="A446" s="28" t="s">
        <v>691</v>
      </c>
      <c r="B446" s="28" t="s">
        <v>1159</v>
      </c>
      <c r="C446" s="28" t="s">
        <v>959</v>
      </c>
      <c r="D446" s="28" t="s">
        <v>959</v>
      </c>
      <c r="E446" s="28" t="str">
        <f>IFERROR(IF(C446&gt;0, D446/C446, 0),"-")</f>
        <v>-</v>
      </c>
    </row>
    <row r="447" spans="1:5" x14ac:dyDescent="0.2">
      <c r="A447" s="28" t="s">
        <v>692</v>
      </c>
      <c r="B447" s="28" t="s">
        <v>1160</v>
      </c>
      <c r="C447" s="28" t="s">
        <v>959</v>
      </c>
      <c r="D447" s="28" t="s">
        <v>959</v>
      </c>
      <c r="E447" s="28" t="str">
        <f>IFERROR(IF(C447&gt;0, D447/C447, 0),"-")</f>
        <v>-</v>
      </c>
    </row>
    <row r="448" spans="1:5" x14ac:dyDescent="0.2">
      <c r="A448" s="28" t="s">
        <v>694</v>
      </c>
      <c r="B448" s="28" t="s">
        <v>1161</v>
      </c>
      <c r="C448" s="28" t="s">
        <v>959</v>
      </c>
      <c r="D448" s="28" t="s">
        <v>959</v>
      </c>
      <c r="E448" s="28" t="str">
        <f>IFERROR(IF(C448&gt;0, D448/C448, 0),"-")</f>
        <v>-</v>
      </c>
    </row>
    <row r="449" spans="1:5" x14ac:dyDescent="0.2">
      <c r="A449" s="27"/>
      <c r="B449" s="27" t="s">
        <v>21</v>
      </c>
      <c r="C449" s="27" t="s">
        <v>959</v>
      </c>
      <c r="D449" s="27" t="s">
        <v>959</v>
      </c>
      <c r="E449" s="27" t="str">
        <f>IFERROR(IF(C449&gt;0, D449/C449, 0),"-")</f>
        <v>-</v>
      </c>
    </row>
    <row r="450" spans="1:5" x14ac:dyDescent="0.2">
      <c r="A450" s="28" t="s">
        <v>651</v>
      </c>
      <c r="B450" s="28" t="s">
        <v>1162</v>
      </c>
      <c r="C450" s="28" t="s">
        <v>959</v>
      </c>
      <c r="D450" s="28" t="s">
        <v>959</v>
      </c>
      <c r="E450" s="28" t="str">
        <f>IFERROR(IF(C450&gt;0, D450/C450, 0),"-")</f>
        <v>-</v>
      </c>
    </row>
    <row r="451" spans="1:5" x14ac:dyDescent="0.2">
      <c r="A451" s="28" t="s">
        <v>653</v>
      </c>
      <c r="B451" s="28" t="s">
        <v>1163</v>
      </c>
      <c r="C451" s="28" t="s">
        <v>959</v>
      </c>
      <c r="D451" s="28" t="s">
        <v>959</v>
      </c>
      <c r="E451" s="28" t="str">
        <f>IFERROR(IF(C451&gt;0, D451/C451, 0),"-")</f>
        <v>-</v>
      </c>
    </row>
    <row r="452" spans="1:5" x14ac:dyDescent="0.2">
      <c r="A452" s="28" t="s">
        <v>655</v>
      </c>
      <c r="B452" s="28" t="s">
        <v>1164</v>
      </c>
      <c r="C452" s="28" t="s">
        <v>959</v>
      </c>
      <c r="D452" s="28" t="s">
        <v>959</v>
      </c>
      <c r="E452" s="28" t="str">
        <f>IFERROR(IF(C452&gt;0, D452/C452, 0),"-")</f>
        <v>-</v>
      </c>
    </row>
    <row r="453" spans="1:5" x14ac:dyDescent="0.2">
      <c r="A453" s="28" t="s">
        <v>652</v>
      </c>
      <c r="B453" s="28" t="s">
        <v>1165</v>
      </c>
      <c r="C453" s="28" t="s">
        <v>959</v>
      </c>
      <c r="D453" s="28" t="s">
        <v>959</v>
      </c>
      <c r="E453" s="28" t="str">
        <f>IFERROR(IF(C453&gt;0, D453/C453, 0),"-")</f>
        <v>-</v>
      </c>
    </row>
    <row r="454" spans="1:5" x14ac:dyDescent="0.2">
      <c r="A454" s="28" t="s">
        <v>654</v>
      </c>
      <c r="B454" s="28" t="s">
        <v>1166</v>
      </c>
      <c r="C454" s="28" t="s">
        <v>959</v>
      </c>
      <c r="D454" s="28" t="s">
        <v>959</v>
      </c>
      <c r="E454" s="28" t="str">
        <f>IFERROR(IF(C454&gt;0, D454/C454, 0),"-")</f>
        <v>-</v>
      </c>
    </row>
    <row r="455" spans="1:5" x14ac:dyDescent="0.2">
      <c r="A455" s="28" t="s">
        <v>647</v>
      </c>
      <c r="B455" s="28" t="s">
        <v>1167</v>
      </c>
      <c r="C455" s="28" t="s">
        <v>959</v>
      </c>
      <c r="D455" s="28" t="s">
        <v>959</v>
      </c>
      <c r="E455" s="28" t="str">
        <f>IFERROR(IF(C455&gt;0, D455/C455, 0),"-")</f>
        <v>-</v>
      </c>
    </row>
    <row r="456" spans="1:5" x14ac:dyDescent="0.2">
      <c r="A456" s="28" t="s">
        <v>650</v>
      </c>
      <c r="B456" s="28" t="s">
        <v>1168</v>
      </c>
      <c r="C456" s="28" t="s">
        <v>959</v>
      </c>
      <c r="D456" s="28" t="s">
        <v>959</v>
      </c>
      <c r="E456" s="28" t="str">
        <f>IFERROR(IF(C456&gt;0, D456/C456, 0),"-")</f>
        <v>-</v>
      </c>
    </row>
    <row r="457" spans="1:5" x14ac:dyDescent="0.2">
      <c r="A457" s="28" t="s">
        <v>648</v>
      </c>
      <c r="B457" s="28" t="s">
        <v>1169</v>
      </c>
      <c r="C457" s="28" t="s">
        <v>959</v>
      </c>
      <c r="D457" s="28" t="s">
        <v>959</v>
      </c>
      <c r="E457" s="28" t="str">
        <f>IFERROR(IF(C457&gt;0, D457/C457, 0),"-")</f>
        <v>-</v>
      </c>
    </row>
    <row r="458" spans="1:5" x14ac:dyDescent="0.2">
      <c r="A458" s="28" t="s">
        <v>649</v>
      </c>
      <c r="B458" s="28" t="s">
        <v>1170</v>
      </c>
      <c r="C458" s="28" t="s">
        <v>959</v>
      </c>
      <c r="D458" s="28" t="s">
        <v>959</v>
      </c>
      <c r="E458" s="28" t="str">
        <f>IFERROR(IF(C458&gt;0, D458/C458, 0),"-")</f>
        <v>-</v>
      </c>
    </row>
    <row r="459" spans="1:5" x14ac:dyDescent="0.2">
      <c r="A459" s="27"/>
      <c r="B459" s="27" t="s">
        <v>65</v>
      </c>
      <c r="C459" s="27" t="s">
        <v>959</v>
      </c>
      <c r="D459" s="27" t="s">
        <v>959</v>
      </c>
      <c r="E459" s="27" t="str">
        <f>IFERROR(IF(C459&gt;0, D459/C459, 0),"-")</f>
        <v>-</v>
      </c>
    </row>
    <row r="460" spans="1:5" x14ac:dyDescent="0.2">
      <c r="A460" s="28" t="s">
        <v>416</v>
      </c>
      <c r="B460" s="28" t="s">
        <v>1171</v>
      </c>
      <c r="C460" s="28" t="s">
        <v>959</v>
      </c>
      <c r="D460" s="28" t="s">
        <v>959</v>
      </c>
      <c r="E460" s="28" t="str">
        <f>IFERROR(IF(C460&gt;0, D460/C460, 0),"-")</f>
        <v>-</v>
      </c>
    </row>
    <row r="461" spans="1:5" x14ac:dyDescent="0.2">
      <c r="A461" s="28" t="s">
        <v>417</v>
      </c>
      <c r="B461" s="28" t="s">
        <v>1172</v>
      </c>
      <c r="C461" s="28" t="s">
        <v>959</v>
      </c>
      <c r="D461" s="28" t="s">
        <v>959</v>
      </c>
      <c r="E461" s="28" t="str">
        <f>IFERROR(IF(C461&gt;0, D461/C461, 0),"-")</f>
        <v>-</v>
      </c>
    </row>
    <row r="462" spans="1:5" x14ac:dyDescent="0.2">
      <c r="A462" s="28" t="s">
        <v>419</v>
      </c>
      <c r="B462" s="28" t="s">
        <v>1173</v>
      </c>
      <c r="C462" s="28" t="s">
        <v>959</v>
      </c>
      <c r="D462" s="28" t="s">
        <v>959</v>
      </c>
      <c r="E462" s="28" t="str">
        <f>IFERROR(IF(C462&gt;0, D462/C462, 0),"-")</f>
        <v>-</v>
      </c>
    </row>
    <row r="463" spans="1:5" x14ac:dyDescent="0.2">
      <c r="A463" s="28" t="s">
        <v>418</v>
      </c>
      <c r="B463" s="28" t="s">
        <v>1174</v>
      </c>
      <c r="C463" s="28" t="s">
        <v>959</v>
      </c>
      <c r="D463" s="28" t="s">
        <v>959</v>
      </c>
      <c r="E463" s="28" t="str">
        <f>IFERROR(IF(C463&gt;0, D463/C463, 0),"-")</f>
        <v>-</v>
      </c>
    </row>
    <row r="464" spans="1:5" x14ac:dyDescent="0.2">
      <c r="A464" s="28" t="s">
        <v>415</v>
      </c>
      <c r="B464" s="28" t="s">
        <v>1175</v>
      </c>
      <c r="C464" s="28" t="s">
        <v>959</v>
      </c>
      <c r="D464" s="28" t="s">
        <v>959</v>
      </c>
      <c r="E464" s="28" t="str">
        <f>IFERROR(IF(C464&gt;0, D464/C464, 0),"-")</f>
        <v>-</v>
      </c>
    </row>
    <row r="465" spans="1:5" x14ac:dyDescent="0.2">
      <c r="A465" s="27"/>
      <c r="B465" s="27" t="s">
        <v>87</v>
      </c>
      <c r="C465" s="27" t="s">
        <v>959</v>
      </c>
      <c r="D465" s="27" t="s">
        <v>959</v>
      </c>
      <c r="E465" s="27" t="str">
        <f>IFERROR(IF(C465&gt;0, D465/C465, 0),"-")</f>
        <v>-</v>
      </c>
    </row>
    <row r="466" spans="1:5" x14ac:dyDescent="0.2">
      <c r="A466" s="28" t="s">
        <v>591</v>
      </c>
      <c r="B466" s="28" t="s">
        <v>1176</v>
      </c>
      <c r="C466" s="28" t="s">
        <v>959</v>
      </c>
      <c r="D466" s="28" t="s">
        <v>959</v>
      </c>
      <c r="E466" s="28" t="str">
        <f>IFERROR(IF(C466&gt;0, D466/C466, 0),"-")</f>
        <v>-</v>
      </c>
    </row>
    <row r="467" spans="1:5" x14ac:dyDescent="0.2">
      <c r="A467" s="28" t="s">
        <v>588</v>
      </c>
      <c r="B467" s="28" t="s">
        <v>1177</v>
      </c>
      <c r="C467" s="28" t="s">
        <v>959</v>
      </c>
      <c r="D467" s="28" t="s">
        <v>959</v>
      </c>
      <c r="E467" s="28" t="str">
        <f>IFERROR(IF(C467&gt;0, D467/C467, 0),"-")</f>
        <v>-</v>
      </c>
    </row>
    <row r="468" spans="1:5" x14ac:dyDescent="0.2">
      <c r="A468" s="28" t="s">
        <v>586</v>
      </c>
      <c r="B468" s="28" t="s">
        <v>1178</v>
      </c>
      <c r="C468" s="28" t="s">
        <v>959</v>
      </c>
      <c r="D468" s="28" t="s">
        <v>959</v>
      </c>
      <c r="E468" s="28" t="str">
        <f>IFERROR(IF(C468&gt;0, D468/C468, 0),"-")</f>
        <v>-</v>
      </c>
    </row>
    <row r="469" spans="1:5" x14ac:dyDescent="0.2">
      <c r="A469" s="28" t="s">
        <v>587</v>
      </c>
      <c r="B469" s="28" t="s">
        <v>1179</v>
      </c>
      <c r="C469" s="28" t="s">
        <v>959</v>
      </c>
      <c r="D469" s="28" t="s">
        <v>959</v>
      </c>
      <c r="E469" s="28" t="str">
        <f>IFERROR(IF(C469&gt;0, D469/C469, 0),"-")</f>
        <v>-</v>
      </c>
    </row>
    <row r="470" spans="1:5" x14ac:dyDescent="0.2">
      <c r="A470" s="28" t="s">
        <v>590</v>
      </c>
      <c r="B470" s="28" t="s">
        <v>1180</v>
      </c>
      <c r="C470" s="28" t="s">
        <v>959</v>
      </c>
      <c r="D470" s="28" t="s">
        <v>959</v>
      </c>
      <c r="E470" s="28" t="str">
        <f>IFERROR(IF(C470&gt;0, D470/C470, 0),"-")</f>
        <v>-</v>
      </c>
    </row>
    <row r="471" spans="1:5" x14ac:dyDescent="0.2">
      <c r="A471" s="28" t="s">
        <v>589</v>
      </c>
      <c r="B471" s="28" t="s">
        <v>1181</v>
      </c>
      <c r="C471" s="28" t="s">
        <v>959</v>
      </c>
      <c r="D471" s="28" t="s">
        <v>959</v>
      </c>
      <c r="E471" s="28" t="str">
        <f>IFERROR(IF(C471&gt;0, D471/C471, 0),"-")</f>
        <v>-</v>
      </c>
    </row>
    <row r="472" spans="1:5" x14ac:dyDescent="0.2">
      <c r="A472" s="27"/>
      <c r="B472" s="27" t="s">
        <v>23</v>
      </c>
      <c r="C472" s="27" t="s">
        <v>959</v>
      </c>
      <c r="D472" s="27" t="s">
        <v>959</v>
      </c>
      <c r="E472" s="27" t="str">
        <f>IFERROR(IF(C472&gt;0, D472/C472, 0),"-")</f>
        <v>-</v>
      </c>
    </row>
    <row r="473" spans="1:5" x14ac:dyDescent="0.2">
      <c r="A473" s="28" t="s">
        <v>721</v>
      </c>
      <c r="B473" s="28" t="s">
        <v>1182</v>
      </c>
      <c r="C473" s="28" t="s">
        <v>959</v>
      </c>
      <c r="D473" s="28" t="s">
        <v>959</v>
      </c>
      <c r="E473" s="28" t="str">
        <f>IFERROR(IF(C473&gt;0, D473/C473, 0),"-")</f>
        <v>-</v>
      </c>
    </row>
    <row r="474" spans="1:5" x14ac:dyDescent="0.2">
      <c r="A474" s="28" t="s">
        <v>719</v>
      </c>
      <c r="B474" s="28" t="s">
        <v>1183</v>
      </c>
      <c r="C474" s="28" t="s">
        <v>959</v>
      </c>
      <c r="D474" s="28" t="s">
        <v>959</v>
      </c>
      <c r="E474" s="28" t="str">
        <f>IFERROR(IF(C474&gt;0, D474/C474, 0),"-")</f>
        <v>-</v>
      </c>
    </row>
    <row r="475" spans="1:5" x14ac:dyDescent="0.2">
      <c r="A475" s="28" t="s">
        <v>720</v>
      </c>
      <c r="B475" s="28" t="s">
        <v>1184</v>
      </c>
      <c r="C475" s="28" t="s">
        <v>959</v>
      </c>
      <c r="D475" s="28" t="s">
        <v>959</v>
      </c>
      <c r="E475" s="28" t="str">
        <f>IFERROR(IF(C475&gt;0, D475/C475, 0),"-")</f>
        <v>-</v>
      </c>
    </row>
    <row r="476" spans="1:5" x14ac:dyDescent="0.2">
      <c r="A476" s="28" t="s">
        <v>726</v>
      </c>
      <c r="B476" s="28" t="s">
        <v>1185</v>
      </c>
      <c r="C476" s="28" t="s">
        <v>959</v>
      </c>
      <c r="D476" s="28" t="s">
        <v>959</v>
      </c>
      <c r="E476" s="28" t="str">
        <f>IFERROR(IF(C476&gt;0, D476/C476, 0),"-")</f>
        <v>-</v>
      </c>
    </row>
    <row r="477" spans="1:5" x14ac:dyDescent="0.2">
      <c r="A477" s="28" t="s">
        <v>722</v>
      </c>
      <c r="B477" s="28" t="s">
        <v>1186</v>
      </c>
      <c r="C477" s="28" t="s">
        <v>959</v>
      </c>
      <c r="D477" s="28" t="s">
        <v>959</v>
      </c>
      <c r="E477" s="28" t="str">
        <f>IFERROR(IF(C477&gt;0, D477/C477, 0),"-")</f>
        <v>-</v>
      </c>
    </row>
    <row r="478" spans="1:5" x14ac:dyDescent="0.2">
      <c r="A478" s="28" t="s">
        <v>723</v>
      </c>
      <c r="B478" s="28" t="s">
        <v>1187</v>
      </c>
      <c r="C478" s="28" t="s">
        <v>959</v>
      </c>
      <c r="D478" s="28" t="s">
        <v>959</v>
      </c>
      <c r="E478" s="28" t="str">
        <f>IFERROR(IF(C478&gt;0, D478/C478, 0),"-")</f>
        <v>-</v>
      </c>
    </row>
    <row r="479" spans="1:5" x14ac:dyDescent="0.2">
      <c r="A479" s="28" t="s">
        <v>725</v>
      </c>
      <c r="B479" s="28" t="s">
        <v>1188</v>
      </c>
      <c r="C479" s="28" t="s">
        <v>959</v>
      </c>
      <c r="D479" s="28" t="s">
        <v>959</v>
      </c>
      <c r="E479" s="28" t="str">
        <f>IFERROR(IF(C479&gt;0, D479/C479, 0),"-")</f>
        <v>-</v>
      </c>
    </row>
    <row r="480" spans="1:5" x14ac:dyDescent="0.2">
      <c r="A480" s="28" t="s">
        <v>724</v>
      </c>
      <c r="B480" s="28" t="s">
        <v>1189</v>
      </c>
      <c r="C480" s="28" t="s">
        <v>959</v>
      </c>
      <c r="D480" s="28" t="s">
        <v>959</v>
      </c>
      <c r="E480" s="28" t="str">
        <f>IFERROR(IF(C480&gt;0, D480/C480, 0),"-")</f>
        <v>-</v>
      </c>
    </row>
    <row r="481" spans="1:5" x14ac:dyDescent="0.2">
      <c r="A481" s="27"/>
      <c r="B481" s="27" t="s">
        <v>127</v>
      </c>
      <c r="C481" s="27" t="s">
        <v>959</v>
      </c>
      <c r="D481" s="27" t="s">
        <v>959</v>
      </c>
      <c r="E481" s="27" t="str">
        <f>IFERROR(IF(C481&gt;0, D481/C481, 0),"-")</f>
        <v>-</v>
      </c>
    </row>
    <row r="482" spans="1:5" x14ac:dyDescent="0.2">
      <c r="A482" s="28" t="s">
        <v>887</v>
      </c>
      <c r="B482" s="28" t="s">
        <v>1190</v>
      </c>
      <c r="C482" s="28" t="s">
        <v>959</v>
      </c>
      <c r="D482" s="28" t="s">
        <v>959</v>
      </c>
      <c r="E482" s="28" t="str">
        <f>IFERROR(IF(C482&gt;0, D482/C482, 0),"-")</f>
        <v>-</v>
      </c>
    </row>
    <row r="483" spans="1:5" x14ac:dyDescent="0.2">
      <c r="A483" s="28" t="s">
        <v>907</v>
      </c>
      <c r="B483" s="28" t="s">
        <v>1191</v>
      </c>
      <c r="C483" s="28" t="s">
        <v>959</v>
      </c>
      <c r="D483" s="28" t="s">
        <v>959</v>
      </c>
      <c r="E483" s="28" t="str">
        <f>IFERROR(IF(C483&gt;0, D483/C483, 0),"-")</f>
        <v>-</v>
      </c>
    </row>
    <row r="484" spans="1:5" x14ac:dyDescent="0.2">
      <c r="A484" s="28" t="s">
        <v>888</v>
      </c>
      <c r="B484" s="28" t="s">
        <v>1192</v>
      </c>
      <c r="C484" s="28" t="s">
        <v>959</v>
      </c>
      <c r="D484" s="28" t="s">
        <v>959</v>
      </c>
      <c r="E484" s="28" t="str">
        <f>IFERROR(IF(C484&gt;0, D484/C484, 0),"-")</f>
        <v>-</v>
      </c>
    </row>
    <row r="485" spans="1:5" x14ac:dyDescent="0.2">
      <c r="A485" s="28" t="s">
        <v>885</v>
      </c>
      <c r="B485" s="28" t="s">
        <v>1193</v>
      </c>
      <c r="C485" s="28" t="s">
        <v>959</v>
      </c>
      <c r="D485" s="28" t="s">
        <v>959</v>
      </c>
      <c r="E485" s="28" t="str">
        <f>IFERROR(IF(C485&gt;0, D485/C485, 0),"-")</f>
        <v>-</v>
      </c>
    </row>
    <row r="486" spans="1:5" x14ac:dyDescent="0.2">
      <c r="A486" s="28" t="s">
        <v>886</v>
      </c>
      <c r="B486" s="28" t="s">
        <v>1194</v>
      </c>
      <c r="C486" s="28" t="s">
        <v>959</v>
      </c>
      <c r="D486" s="28" t="s">
        <v>959</v>
      </c>
      <c r="E486" s="28" t="str">
        <f>IFERROR(IF(C486&gt;0, D486/C486, 0),"-")</f>
        <v>-</v>
      </c>
    </row>
    <row r="487" spans="1:5" x14ac:dyDescent="0.2">
      <c r="A487" s="27"/>
      <c r="B487" s="27" t="s">
        <v>15</v>
      </c>
      <c r="C487" s="27" t="s">
        <v>959</v>
      </c>
      <c r="D487" s="27" t="s">
        <v>959</v>
      </c>
      <c r="E487" s="27" t="str">
        <f>IFERROR(IF(C487&gt;0, D487/C487, 0),"-")</f>
        <v>-</v>
      </c>
    </row>
    <row r="488" spans="1:5" x14ac:dyDescent="0.2">
      <c r="A488" s="28" t="s">
        <v>431</v>
      </c>
      <c r="B488" s="28" t="s">
        <v>1195</v>
      </c>
      <c r="C488" s="28" t="s">
        <v>959</v>
      </c>
      <c r="D488" s="28" t="s">
        <v>959</v>
      </c>
      <c r="E488" s="28" t="str">
        <f>IFERROR(IF(C488&gt;0, D488/C488, 0),"-")</f>
        <v>-</v>
      </c>
    </row>
    <row r="489" spans="1:5" x14ac:dyDescent="0.2">
      <c r="A489" s="28" t="s">
        <v>427</v>
      </c>
      <c r="B489" s="28" t="s">
        <v>1196</v>
      </c>
      <c r="C489" s="28" t="s">
        <v>959</v>
      </c>
      <c r="D489" s="28" t="s">
        <v>959</v>
      </c>
      <c r="E489" s="28" t="str">
        <f>IFERROR(IF(C489&gt;0, D489/C489, 0),"-")</f>
        <v>-</v>
      </c>
    </row>
    <row r="490" spans="1:5" x14ac:dyDescent="0.2">
      <c r="A490" s="28" t="s">
        <v>429</v>
      </c>
      <c r="B490" s="28" t="s">
        <v>1197</v>
      </c>
      <c r="C490" s="28" t="s">
        <v>959</v>
      </c>
      <c r="D490" s="28" t="s">
        <v>959</v>
      </c>
      <c r="E490" s="28" t="str">
        <f>IFERROR(IF(C490&gt;0, D490/C490, 0),"-")</f>
        <v>-</v>
      </c>
    </row>
    <row r="491" spans="1:5" x14ac:dyDescent="0.2">
      <c r="A491" s="28" t="s">
        <v>430</v>
      </c>
      <c r="B491" s="28" t="s">
        <v>1198</v>
      </c>
      <c r="C491" s="28" t="s">
        <v>959</v>
      </c>
      <c r="D491" s="28" t="s">
        <v>959</v>
      </c>
      <c r="E491" s="28" t="str">
        <f>IFERROR(IF(C491&gt;0, D491/C491, 0),"-")</f>
        <v>-</v>
      </c>
    </row>
    <row r="492" spans="1:5" x14ac:dyDescent="0.2">
      <c r="A492" s="28" t="s">
        <v>432</v>
      </c>
      <c r="B492" s="28" t="s">
        <v>1199</v>
      </c>
      <c r="C492" s="28" t="s">
        <v>959</v>
      </c>
      <c r="D492" s="28" t="s">
        <v>959</v>
      </c>
      <c r="E492" s="28" t="str">
        <f>IFERROR(IF(C492&gt;0, D492/C492, 0),"-")</f>
        <v>-</v>
      </c>
    </row>
    <row r="493" spans="1:5" x14ac:dyDescent="0.2">
      <c r="A493" s="28" t="s">
        <v>425</v>
      </c>
      <c r="B493" s="28" t="s">
        <v>1200</v>
      </c>
      <c r="C493" s="28" t="s">
        <v>959</v>
      </c>
      <c r="D493" s="28" t="s">
        <v>959</v>
      </c>
      <c r="E493" s="28" t="str">
        <f>IFERROR(IF(C493&gt;0, D493/C493, 0),"-")</f>
        <v>-</v>
      </c>
    </row>
    <row r="494" spans="1:5" x14ac:dyDescent="0.2">
      <c r="A494" s="28" t="s">
        <v>424</v>
      </c>
      <c r="B494" s="28" t="s">
        <v>1201</v>
      </c>
      <c r="C494" s="28" t="s">
        <v>959</v>
      </c>
      <c r="D494" s="28" t="s">
        <v>959</v>
      </c>
      <c r="E494" s="28" t="str">
        <f>IFERROR(IF(C494&gt;0, D494/C494, 0),"-")</f>
        <v>-</v>
      </c>
    </row>
    <row r="495" spans="1:5" x14ac:dyDescent="0.2">
      <c r="A495" s="28" t="s">
        <v>428</v>
      </c>
      <c r="B495" s="28" t="s">
        <v>1202</v>
      </c>
      <c r="C495" s="28" t="s">
        <v>959</v>
      </c>
      <c r="D495" s="28" t="s">
        <v>959</v>
      </c>
      <c r="E495" s="28" t="str">
        <f>IFERROR(IF(C495&gt;0, D495/C495, 0),"-")</f>
        <v>-</v>
      </c>
    </row>
    <row r="496" spans="1:5" x14ac:dyDescent="0.2">
      <c r="A496" s="28" t="s">
        <v>426</v>
      </c>
      <c r="B496" s="28" t="s">
        <v>1203</v>
      </c>
      <c r="C496" s="28" t="s">
        <v>959</v>
      </c>
      <c r="D496" s="28" t="s">
        <v>959</v>
      </c>
      <c r="E496" s="28" t="str">
        <f>IFERROR(IF(C496&gt;0, D496/C496, 0),"-")</f>
        <v>-</v>
      </c>
    </row>
    <row r="497" spans="1:5" x14ac:dyDescent="0.2">
      <c r="A497" s="27"/>
      <c r="B497" s="27" t="s">
        <v>111</v>
      </c>
      <c r="C497" s="27" t="s">
        <v>959</v>
      </c>
      <c r="D497" s="27" t="s">
        <v>959</v>
      </c>
      <c r="E497" s="27" t="str">
        <f>IFERROR(IF(C497&gt;0, D497/C497, 0),"-")</f>
        <v>-</v>
      </c>
    </row>
    <row r="498" spans="1:5" x14ac:dyDescent="0.2">
      <c r="A498" s="28" t="s">
        <v>805</v>
      </c>
      <c r="B498" s="28" t="s">
        <v>1204</v>
      </c>
      <c r="C498" s="28" t="s">
        <v>959</v>
      </c>
      <c r="D498" s="28" t="s">
        <v>959</v>
      </c>
      <c r="E498" s="28" t="str">
        <f>IFERROR(IF(C498&gt;0, D498/C498, 0),"-")</f>
        <v>-</v>
      </c>
    </row>
    <row r="499" spans="1:5" x14ac:dyDescent="0.2">
      <c r="A499" s="28" t="s">
        <v>806</v>
      </c>
      <c r="B499" s="28" t="s">
        <v>1205</v>
      </c>
      <c r="C499" s="28" t="s">
        <v>959</v>
      </c>
      <c r="D499" s="28" t="s">
        <v>959</v>
      </c>
      <c r="E499" s="28" t="str">
        <f>IFERROR(IF(C499&gt;0, D499/C499, 0),"-")</f>
        <v>-</v>
      </c>
    </row>
    <row r="500" spans="1:5" x14ac:dyDescent="0.2">
      <c r="A500" s="28" t="s">
        <v>808</v>
      </c>
      <c r="B500" s="28" t="s">
        <v>1206</v>
      </c>
      <c r="C500" s="28" t="s">
        <v>959</v>
      </c>
      <c r="D500" s="28" t="s">
        <v>959</v>
      </c>
      <c r="E500" s="28" t="str">
        <f>IFERROR(IF(C500&gt;0, D500/C500, 0),"-")</f>
        <v>-</v>
      </c>
    </row>
    <row r="501" spans="1:5" x14ac:dyDescent="0.2">
      <c r="A501" s="28" t="s">
        <v>804</v>
      </c>
      <c r="B501" s="28" t="s">
        <v>1207</v>
      </c>
      <c r="C501" s="28" t="s">
        <v>959</v>
      </c>
      <c r="D501" s="28" t="s">
        <v>959</v>
      </c>
      <c r="E501" s="28" t="str">
        <f>IFERROR(IF(C501&gt;0, D501/C501, 0),"-")</f>
        <v>-</v>
      </c>
    </row>
    <row r="502" spans="1:5" x14ac:dyDescent="0.2">
      <c r="A502" s="28" t="s">
        <v>809</v>
      </c>
      <c r="B502" s="28" t="s">
        <v>1208</v>
      </c>
      <c r="C502" s="28" t="s">
        <v>959</v>
      </c>
      <c r="D502" s="28" t="s">
        <v>959</v>
      </c>
      <c r="E502" s="28" t="str">
        <f>IFERROR(IF(C502&gt;0, D502/C502, 0),"-")</f>
        <v>-</v>
      </c>
    </row>
    <row r="503" spans="1:5" x14ac:dyDescent="0.2">
      <c r="A503" s="28" t="s">
        <v>807</v>
      </c>
      <c r="B503" s="28" t="s">
        <v>1209</v>
      </c>
      <c r="C503" s="28" t="s">
        <v>959</v>
      </c>
      <c r="D503" s="28" t="s">
        <v>959</v>
      </c>
      <c r="E503" s="28" t="str">
        <f>IFERROR(IF(C503&gt;0, D503/C503, 0),"-")</f>
        <v>-</v>
      </c>
    </row>
    <row r="504" spans="1:5" x14ac:dyDescent="0.2">
      <c r="A504" s="27"/>
      <c r="B504" s="27" t="s">
        <v>83</v>
      </c>
      <c r="C504" s="27" t="s">
        <v>959</v>
      </c>
      <c r="D504" s="27" t="s">
        <v>959</v>
      </c>
      <c r="E504" s="27" t="str">
        <f>IFERROR(IF(C504&gt;0, D504/C504, 0),"-")</f>
        <v>-</v>
      </c>
    </row>
    <row r="505" spans="1:5" x14ac:dyDescent="0.2">
      <c r="A505" s="28" t="s">
        <v>558</v>
      </c>
      <c r="B505" s="28" t="s">
        <v>1210</v>
      </c>
      <c r="C505" s="28" t="s">
        <v>959</v>
      </c>
      <c r="D505" s="28" t="s">
        <v>959</v>
      </c>
      <c r="E505" s="28" t="str">
        <f>IFERROR(IF(C505&gt;0, D505/C505, 0),"-")</f>
        <v>-</v>
      </c>
    </row>
    <row r="506" spans="1:5" x14ac:dyDescent="0.2">
      <c r="A506" s="28" t="s">
        <v>560</v>
      </c>
      <c r="B506" s="28" t="s">
        <v>1211</v>
      </c>
      <c r="C506" s="28" t="s">
        <v>959</v>
      </c>
      <c r="D506" s="28" t="s">
        <v>959</v>
      </c>
      <c r="E506" s="28" t="str">
        <f>IFERROR(IF(C506&gt;0, D506/C506, 0),"-")</f>
        <v>-</v>
      </c>
    </row>
    <row r="507" spans="1:5" x14ac:dyDescent="0.2">
      <c r="A507" s="28" t="s">
        <v>556</v>
      </c>
      <c r="B507" s="28" t="s">
        <v>1212</v>
      </c>
      <c r="C507" s="28" t="s">
        <v>959</v>
      </c>
      <c r="D507" s="28" t="s">
        <v>959</v>
      </c>
      <c r="E507" s="28" t="str">
        <f>IFERROR(IF(C507&gt;0, D507/C507, 0),"-")</f>
        <v>-</v>
      </c>
    </row>
    <row r="508" spans="1:5" x14ac:dyDescent="0.2">
      <c r="A508" s="28" t="s">
        <v>557</v>
      </c>
      <c r="B508" s="28" t="s">
        <v>1213</v>
      </c>
      <c r="C508" s="28" t="s">
        <v>959</v>
      </c>
      <c r="D508" s="28" t="s">
        <v>959</v>
      </c>
      <c r="E508" s="28" t="str">
        <f>IFERROR(IF(C508&gt;0, D508/C508, 0),"-")</f>
        <v>-</v>
      </c>
    </row>
    <row r="509" spans="1:5" x14ac:dyDescent="0.2">
      <c r="A509" s="28" t="s">
        <v>559</v>
      </c>
      <c r="B509" s="28" t="s">
        <v>1214</v>
      </c>
      <c r="C509" s="28" t="s">
        <v>959</v>
      </c>
      <c r="D509" s="28" t="s">
        <v>959</v>
      </c>
      <c r="E509" s="28" t="str">
        <f>IFERROR(IF(C509&gt;0, D509/C509, 0),"-")</f>
        <v>-</v>
      </c>
    </row>
    <row r="510" spans="1:5" x14ac:dyDescent="0.2">
      <c r="A510" s="27"/>
      <c r="B510" s="27" t="s">
        <v>116</v>
      </c>
      <c r="C510" s="27" t="s">
        <v>959</v>
      </c>
      <c r="D510" s="27" t="s">
        <v>959</v>
      </c>
      <c r="E510" s="27" t="str">
        <f>IFERROR(IF(C510&gt;0, D510/C510, 0),"-")</f>
        <v>-</v>
      </c>
    </row>
    <row r="511" spans="1:5" x14ac:dyDescent="0.2">
      <c r="A511" s="28" t="s">
        <v>829</v>
      </c>
      <c r="B511" s="28" t="s">
        <v>1215</v>
      </c>
      <c r="C511" s="28" t="s">
        <v>959</v>
      </c>
      <c r="D511" s="28" t="s">
        <v>959</v>
      </c>
      <c r="E511" s="28" t="str">
        <f>IFERROR(IF(C511&gt;0, D511/C511, 0),"-")</f>
        <v>-</v>
      </c>
    </row>
    <row r="512" spans="1:5" x14ac:dyDescent="0.2">
      <c r="A512" s="28" t="s">
        <v>831</v>
      </c>
      <c r="B512" s="28" t="s">
        <v>1216</v>
      </c>
      <c r="C512" s="28" t="s">
        <v>959</v>
      </c>
      <c r="D512" s="28" t="s">
        <v>959</v>
      </c>
      <c r="E512" s="28" t="str">
        <f>IFERROR(IF(C512&gt;0, D512/C512, 0),"-")</f>
        <v>-</v>
      </c>
    </row>
    <row r="513" spans="1:5" x14ac:dyDescent="0.2">
      <c r="A513" s="28" t="s">
        <v>833</v>
      </c>
      <c r="B513" s="28" t="s">
        <v>1217</v>
      </c>
      <c r="C513" s="28" t="s">
        <v>959</v>
      </c>
      <c r="D513" s="28" t="s">
        <v>959</v>
      </c>
      <c r="E513" s="28" t="str">
        <f>IFERROR(IF(C513&gt;0, D513/C513, 0),"-")</f>
        <v>-</v>
      </c>
    </row>
    <row r="514" spans="1:5" x14ac:dyDescent="0.2">
      <c r="A514" s="28" t="s">
        <v>830</v>
      </c>
      <c r="B514" s="28" t="s">
        <v>1218</v>
      </c>
      <c r="C514" s="28" t="s">
        <v>959</v>
      </c>
      <c r="D514" s="28" t="s">
        <v>959</v>
      </c>
      <c r="E514" s="28" t="str">
        <f>IFERROR(IF(C514&gt;0, D514/C514, 0),"-")</f>
        <v>-</v>
      </c>
    </row>
    <row r="515" spans="1:5" x14ac:dyDescent="0.2">
      <c r="A515" s="28" t="s">
        <v>832</v>
      </c>
      <c r="B515" s="28" t="s">
        <v>1219</v>
      </c>
      <c r="C515" s="28" t="s">
        <v>959</v>
      </c>
      <c r="D515" s="28" t="s">
        <v>959</v>
      </c>
      <c r="E515" s="28" t="str">
        <f>IFERROR(IF(C515&gt;0, D515/C515, 0),"-")</f>
        <v>-</v>
      </c>
    </row>
    <row r="516" spans="1:5" x14ac:dyDescent="0.2">
      <c r="A516" s="27"/>
      <c r="B516" s="27" t="s">
        <v>20</v>
      </c>
      <c r="C516" s="27" t="s">
        <v>959</v>
      </c>
      <c r="D516" s="27" t="s">
        <v>959</v>
      </c>
      <c r="E516" s="27" t="str">
        <f>IFERROR(IF(C516&gt;0, D516/C516, 0),"-")</f>
        <v>-</v>
      </c>
    </row>
    <row r="517" spans="1:5" x14ac:dyDescent="0.2">
      <c r="A517" s="28" t="s">
        <v>678</v>
      </c>
      <c r="B517" s="28" t="s">
        <v>1220</v>
      </c>
      <c r="C517" s="28" t="s">
        <v>959</v>
      </c>
      <c r="D517" s="28" t="s">
        <v>959</v>
      </c>
      <c r="E517" s="28" t="str">
        <f>IFERROR(IF(C517&gt;0, D517/C517, 0),"-")</f>
        <v>-</v>
      </c>
    </row>
    <row r="518" spans="1:5" x14ac:dyDescent="0.2">
      <c r="A518" s="28" t="s">
        <v>677</v>
      </c>
      <c r="B518" s="28" t="s">
        <v>1221</v>
      </c>
      <c r="C518" s="28" t="s">
        <v>959</v>
      </c>
      <c r="D518" s="28" t="s">
        <v>959</v>
      </c>
      <c r="E518" s="28" t="str">
        <f>IFERROR(IF(C518&gt;0, D518/C518, 0),"-")</f>
        <v>-</v>
      </c>
    </row>
    <row r="519" spans="1:5" x14ac:dyDescent="0.2">
      <c r="A519" s="28" t="s">
        <v>697</v>
      </c>
      <c r="B519" s="28" t="s">
        <v>1222</v>
      </c>
      <c r="C519" s="28" t="s">
        <v>959</v>
      </c>
      <c r="D519" s="28" t="s">
        <v>959</v>
      </c>
      <c r="E519" s="28" t="str">
        <f>IFERROR(IF(C519&gt;0, D519/C519, 0),"-")</f>
        <v>-</v>
      </c>
    </row>
    <row r="520" spans="1:5" x14ac:dyDescent="0.2">
      <c r="A520" s="28" t="s">
        <v>696</v>
      </c>
      <c r="B520" s="28" t="s">
        <v>1223</v>
      </c>
      <c r="C520" s="28" t="s">
        <v>959</v>
      </c>
      <c r="D520" s="28" t="s">
        <v>959</v>
      </c>
      <c r="E520" s="28" t="str">
        <f>IFERROR(IF(C520&gt;0, D520/C520, 0),"-")</f>
        <v>-</v>
      </c>
    </row>
    <row r="521" spans="1:5" x14ac:dyDescent="0.2">
      <c r="A521" s="28" t="s">
        <v>698</v>
      </c>
      <c r="B521" s="28" t="s">
        <v>1224</v>
      </c>
      <c r="C521" s="28" t="s">
        <v>959</v>
      </c>
      <c r="D521" s="28" t="s">
        <v>959</v>
      </c>
      <c r="E521" s="28" t="str">
        <f>IFERROR(IF(C521&gt;0, D521/C521, 0),"-")</f>
        <v>-</v>
      </c>
    </row>
    <row r="522" spans="1:5" x14ac:dyDescent="0.2">
      <c r="A522" s="28" t="s">
        <v>681</v>
      </c>
      <c r="B522" s="28" t="s">
        <v>1225</v>
      </c>
      <c r="C522" s="28" t="s">
        <v>959</v>
      </c>
      <c r="D522" s="28" t="s">
        <v>959</v>
      </c>
      <c r="E522" s="28" t="str">
        <f>IFERROR(IF(C522&gt;0, D522/C522, 0),"-")</f>
        <v>-</v>
      </c>
    </row>
    <row r="523" spans="1:5" x14ac:dyDescent="0.2">
      <c r="A523" s="28" t="s">
        <v>683</v>
      </c>
      <c r="B523" s="28" t="s">
        <v>1226</v>
      </c>
      <c r="C523" s="28" t="s">
        <v>959</v>
      </c>
      <c r="D523" s="28" t="s">
        <v>959</v>
      </c>
      <c r="E523" s="28" t="str">
        <f>IFERROR(IF(C523&gt;0, D523/C523, 0),"-")</f>
        <v>-</v>
      </c>
    </row>
    <row r="524" spans="1:5" x14ac:dyDescent="0.2">
      <c r="A524" s="28" t="s">
        <v>684</v>
      </c>
      <c r="B524" s="28" t="s">
        <v>1227</v>
      </c>
      <c r="C524" s="28" t="s">
        <v>959</v>
      </c>
      <c r="D524" s="28" t="s">
        <v>959</v>
      </c>
      <c r="E524" s="28" t="str">
        <f>IFERROR(IF(C524&gt;0, D524/C524, 0),"-")</f>
        <v>-</v>
      </c>
    </row>
    <row r="525" spans="1:5" x14ac:dyDescent="0.2">
      <c r="A525" s="28" t="s">
        <v>679</v>
      </c>
      <c r="B525" s="28" t="s">
        <v>1228</v>
      </c>
      <c r="C525" s="28" t="s">
        <v>959</v>
      </c>
      <c r="D525" s="28" t="s">
        <v>959</v>
      </c>
      <c r="E525" s="28" t="str">
        <f>IFERROR(IF(C525&gt;0, D525/C525, 0),"-")</f>
        <v>-</v>
      </c>
    </row>
    <row r="526" spans="1:5" x14ac:dyDescent="0.2">
      <c r="A526" s="28" t="s">
        <v>680</v>
      </c>
      <c r="B526" s="28" t="s">
        <v>1229</v>
      </c>
      <c r="C526" s="28" t="s">
        <v>959</v>
      </c>
      <c r="D526" s="28" t="s">
        <v>959</v>
      </c>
      <c r="E526" s="28" t="str">
        <f>IFERROR(IF(C526&gt;0, D526/C526, 0),"-")</f>
        <v>-</v>
      </c>
    </row>
    <row r="527" spans="1:5" x14ac:dyDescent="0.2">
      <c r="A527" s="28" t="s">
        <v>682</v>
      </c>
      <c r="B527" s="28" t="s">
        <v>1230</v>
      </c>
      <c r="C527" s="28" t="s">
        <v>959</v>
      </c>
      <c r="D527" s="28" t="s">
        <v>959</v>
      </c>
      <c r="E527" s="28" t="str">
        <f>IFERROR(IF(C527&gt;0, D527/C527, 0),"-")</f>
        <v>-</v>
      </c>
    </row>
    <row r="528" spans="1:5" x14ac:dyDescent="0.2">
      <c r="A528" s="27"/>
      <c r="B528" s="27" t="s">
        <v>131</v>
      </c>
      <c r="C528" s="27" t="s">
        <v>959</v>
      </c>
      <c r="D528" s="27" t="s">
        <v>959</v>
      </c>
      <c r="E528" s="27" t="str">
        <f>IFERROR(IF(C528&gt;0, D528/C528, 0),"-")</f>
        <v>-</v>
      </c>
    </row>
    <row r="529" spans="1:5" x14ac:dyDescent="0.2">
      <c r="A529" s="28" t="s">
        <v>908</v>
      </c>
      <c r="B529" s="28" t="s">
        <v>1231</v>
      </c>
      <c r="C529" s="28" t="s">
        <v>959</v>
      </c>
      <c r="D529" s="28" t="s">
        <v>959</v>
      </c>
      <c r="E529" s="28" t="str">
        <f>IFERROR(IF(C529&gt;0, D529/C529, 0),"-")</f>
        <v>-</v>
      </c>
    </row>
    <row r="530" spans="1:5" x14ac:dyDescent="0.2">
      <c r="A530" s="28" t="s">
        <v>913</v>
      </c>
      <c r="B530" s="28" t="s">
        <v>1232</v>
      </c>
      <c r="C530" s="28" t="s">
        <v>959</v>
      </c>
      <c r="D530" s="28" t="s">
        <v>959</v>
      </c>
      <c r="E530" s="28" t="str">
        <f>IFERROR(IF(C530&gt;0, D530/C530, 0),"-")</f>
        <v>-</v>
      </c>
    </row>
    <row r="531" spans="1:5" x14ac:dyDescent="0.2">
      <c r="A531" s="28" t="s">
        <v>909</v>
      </c>
      <c r="B531" s="28" t="s">
        <v>1233</v>
      </c>
      <c r="C531" s="28" t="s">
        <v>959</v>
      </c>
      <c r="D531" s="28" t="s">
        <v>959</v>
      </c>
      <c r="E531" s="28" t="str">
        <f>IFERROR(IF(C531&gt;0, D531/C531, 0),"-")</f>
        <v>-</v>
      </c>
    </row>
    <row r="532" spans="1:5" x14ac:dyDescent="0.2">
      <c r="A532" s="28" t="s">
        <v>910</v>
      </c>
      <c r="B532" s="28" t="s">
        <v>1234</v>
      </c>
      <c r="C532" s="28" t="s">
        <v>959</v>
      </c>
      <c r="D532" s="28" t="s">
        <v>959</v>
      </c>
      <c r="E532" s="28" t="str">
        <f>IFERROR(IF(C532&gt;0, D532/C532, 0),"-")</f>
        <v>-</v>
      </c>
    </row>
    <row r="533" spans="1:5" x14ac:dyDescent="0.2">
      <c r="A533" s="28" t="s">
        <v>912</v>
      </c>
      <c r="B533" s="28" t="s">
        <v>1235</v>
      </c>
      <c r="C533" s="28" t="s">
        <v>959</v>
      </c>
      <c r="D533" s="28" t="s">
        <v>959</v>
      </c>
      <c r="E533" s="28" t="str">
        <f>IFERROR(IF(C533&gt;0, D533/C533, 0),"-")</f>
        <v>-</v>
      </c>
    </row>
    <row r="534" spans="1:5" x14ac:dyDescent="0.2">
      <c r="A534" s="28" t="s">
        <v>911</v>
      </c>
      <c r="B534" s="28" t="s">
        <v>1236</v>
      </c>
      <c r="C534" s="28" t="s">
        <v>959</v>
      </c>
      <c r="D534" s="28" t="s">
        <v>959</v>
      </c>
      <c r="E534" s="28" t="str">
        <f>IFERROR(IF(C534&gt;0, D534/C534, 0),"-")</f>
        <v>-</v>
      </c>
    </row>
    <row r="535" spans="1:5" x14ac:dyDescent="0.2">
      <c r="A535" s="27"/>
      <c r="B535" s="27" t="s">
        <v>24</v>
      </c>
      <c r="C535" s="27" t="s">
        <v>959</v>
      </c>
      <c r="D535" s="27" t="s">
        <v>959</v>
      </c>
      <c r="E535" s="27" t="str">
        <f>IFERROR(IF(C535&gt;0, D535/C535, 0),"-")</f>
        <v>-</v>
      </c>
    </row>
    <row r="536" spans="1:5" x14ac:dyDescent="0.2">
      <c r="A536" s="28" t="s">
        <v>735</v>
      </c>
      <c r="B536" s="28" t="s">
        <v>1237</v>
      </c>
      <c r="C536" s="28" t="s">
        <v>959</v>
      </c>
      <c r="D536" s="28" t="s">
        <v>959</v>
      </c>
      <c r="E536" s="28" t="str">
        <f>IFERROR(IF(C536&gt;0, D536/C536, 0),"-")</f>
        <v>-</v>
      </c>
    </row>
    <row r="537" spans="1:5" x14ac:dyDescent="0.2">
      <c r="A537" s="28" t="s">
        <v>736</v>
      </c>
      <c r="B537" s="28" t="s">
        <v>1238</v>
      </c>
      <c r="C537" s="28" t="s">
        <v>959</v>
      </c>
      <c r="D537" s="28" t="s">
        <v>959</v>
      </c>
      <c r="E537" s="28" t="str">
        <f>IFERROR(IF(C537&gt;0, D537/C537, 0),"-")</f>
        <v>-</v>
      </c>
    </row>
    <row r="538" spans="1:5" x14ac:dyDescent="0.2">
      <c r="A538" s="28" t="s">
        <v>734</v>
      </c>
      <c r="B538" s="28" t="s">
        <v>1239</v>
      </c>
      <c r="C538" s="28" t="s">
        <v>959</v>
      </c>
      <c r="D538" s="28" t="s">
        <v>959</v>
      </c>
      <c r="E538" s="28" t="str">
        <f>IFERROR(IF(C538&gt;0, D538/C538, 0),"-")</f>
        <v>-</v>
      </c>
    </row>
    <row r="539" spans="1:5" x14ac:dyDescent="0.2">
      <c r="A539" s="28" t="s">
        <v>739</v>
      </c>
      <c r="B539" s="28" t="s">
        <v>1240</v>
      </c>
      <c r="C539" s="28" t="s">
        <v>959</v>
      </c>
      <c r="D539" s="28" t="s">
        <v>959</v>
      </c>
      <c r="E539" s="28" t="str">
        <f>IFERROR(IF(C539&gt;0, D539/C539, 0),"-")</f>
        <v>-</v>
      </c>
    </row>
    <row r="540" spans="1:5" x14ac:dyDescent="0.2">
      <c r="A540" s="28" t="s">
        <v>733</v>
      </c>
      <c r="B540" s="28" t="s">
        <v>1241</v>
      </c>
      <c r="C540" s="28" t="s">
        <v>959</v>
      </c>
      <c r="D540" s="28" t="s">
        <v>959</v>
      </c>
      <c r="E540" s="28" t="str">
        <f>IFERROR(IF(C540&gt;0, D540/C540, 0),"-")</f>
        <v>-</v>
      </c>
    </row>
    <row r="541" spans="1:5" x14ac:dyDescent="0.2">
      <c r="A541" s="28" t="s">
        <v>738</v>
      </c>
      <c r="B541" s="28" t="s">
        <v>1242</v>
      </c>
      <c r="C541" s="28" t="s">
        <v>959</v>
      </c>
      <c r="D541" s="28" t="s">
        <v>959</v>
      </c>
      <c r="E541" s="28" t="str">
        <f>IFERROR(IF(C541&gt;0, D541/C541, 0),"-")</f>
        <v>-</v>
      </c>
    </row>
    <row r="542" spans="1:5" x14ac:dyDescent="0.2">
      <c r="A542" s="28" t="s">
        <v>737</v>
      </c>
      <c r="B542" s="28" t="s">
        <v>1243</v>
      </c>
      <c r="C542" s="28" t="s">
        <v>959</v>
      </c>
      <c r="D542" s="28" t="s">
        <v>959</v>
      </c>
      <c r="E542" s="28" t="str">
        <f>IFERROR(IF(C542&gt;0, D542/C542, 0),"-")</f>
        <v>-</v>
      </c>
    </row>
    <row r="543" spans="1:5" x14ac:dyDescent="0.2">
      <c r="A543" s="27"/>
      <c r="B543" s="27" t="s">
        <v>122</v>
      </c>
      <c r="C543" s="27" t="s">
        <v>959</v>
      </c>
      <c r="D543" s="27" t="s">
        <v>959</v>
      </c>
      <c r="E543" s="27" t="str">
        <f>IFERROR(IF(C543&gt;0, D543/C543, 0),"-")</f>
        <v>-</v>
      </c>
    </row>
    <row r="544" spans="1:5" x14ac:dyDescent="0.2">
      <c r="A544" s="28" t="s">
        <v>863</v>
      </c>
      <c r="B544" s="28" t="s">
        <v>1244</v>
      </c>
      <c r="C544" s="28" t="s">
        <v>959</v>
      </c>
      <c r="D544" s="28" t="s">
        <v>959</v>
      </c>
      <c r="E544" s="28" t="str">
        <f>IFERROR(IF(C544&gt;0, D544/C544, 0),"-")</f>
        <v>-</v>
      </c>
    </row>
    <row r="545" spans="1:5" x14ac:dyDescent="0.2">
      <c r="A545" s="28" t="s">
        <v>866</v>
      </c>
      <c r="B545" s="28" t="s">
        <v>1245</v>
      </c>
      <c r="C545" s="28" t="s">
        <v>959</v>
      </c>
      <c r="D545" s="28" t="s">
        <v>959</v>
      </c>
      <c r="E545" s="28" t="str">
        <f>IFERROR(IF(C545&gt;0, D545/C545, 0),"-")</f>
        <v>-</v>
      </c>
    </row>
    <row r="546" spans="1:5" x14ac:dyDescent="0.2">
      <c r="A546" s="28" t="s">
        <v>865</v>
      </c>
      <c r="B546" s="28" t="s">
        <v>1246</v>
      </c>
      <c r="C546" s="28" t="s">
        <v>959</v>
      </c>
      <c r="D546" s="28" t="s">
        <v>959</v>
      </c>
      <c r="E546" s="28" t="str">
        <f>IFERROR(IF(C546&gt;0, D546/C546, 0),"-")</f>
        <v>-</v>
      </c>
    </row>
    <row r="547" spans="1:5" x14ac:dyDescent="0.2">
      <c r="A547" s="28" t="s">
        <v>864</v>
      </c>
      <c r="B547" s="28" t="s">
        <v>1247</v>
      </c>
      <c r="C547" s="28" t="s">
        <v>959</v>
      </c>
      <c r="D547" s="28" t="s">
        <v>959</v>
      </c>
      <c r="E547" s="28" t="str">
        <f>IFERROR(IF(C547&gt;0, D547/C547, 0),"-")</f>
        <v>-</v>
      </c>
    </row>
    <row r="548" spans="1:5" x14ac:dyDescent="0.2">
      <c r="A548" s="27"/>
      <c r="B548" s="27" t="s">
        <v>133</v>
      </c>
      <c r="C548" s="27" t="s">
        <v>959</v>
      </c>
      <c r="D548" s="27" t="s">
        <v>959</v>
      </c>
      <c r="E548" s="27" t="str">
        <f>IFERROR(IF(C548&gt;0, D548/C548, 0),"-")</f>
        <v>-</v>
      </c>
    </row>
    <row r="549" spans="1:5" x14ac:dyDescent="0.2">
      <c r="A549" s="28" t="s">
        <v>932</v>
      </c>
      <c r="B549" s="28" t="s">
        <v>1248</v>
      </c>
      <c r="C549" s="28" t="s">
        <v>959</v>
      </c>
      <c r="D549" s="28" t="s">
        <v>959</v>
      </c>
      <c r="E549" s="28" t="str">
        <f>IFERROR(IF(C549&gt;0, D549/C549, 0),"-")</f>
        <v>-</v>
      </c>
    </row>
    <row r="550" spans="1:5" x14ac:dyDescent="0.2">
      <c r="A550" s="28" t="s">
        <v>930</v>
      </c>
      <c r="B550" s="28" t="s">
        <v>1249</v>
      </c>
      <c r="C550" s="28" t="s">
        <v>959</v>
      </c>
      <c r="D550" s="28" t="s">
        <v>959</v>
      </c>
      <c r="E550" s="28" t="str">
        <f>IFERROR(IF(C550&gt;0, D550/C550, 0),"-")</f>
        <v>-</v>
      </c>
    </row>
    <row r="551" spans="1:5" x14ac:dyDescent="0.2">
      <c r="A551" s="28" t="s">
        <v>929</v>
      </c>
      <c r="B551" s="28" t="s">
        <v>1250</v>
      </c>
      <c r="C551" s="28" t="s">
        <v>959</v>
      </c>
      <c r="D551" s="28" t="s">
        <v>959</v>
      </c>
      <c r="E551" s="28" t="str">
        <f>IFERROR(IF(C551&gt;0, D551/C551, 0),"-")</f>
        <v>-</v>
      </c>
    </row>
    <row r="552" spans="1:5" x14ac:dyDescent="0.2">
      <c r="A552" s="28" t="s">
        <v>936</v>
      </c>
      <c r="B552" s="28" t="s">
        <v>1251</v>
      </c>
      <c r="C552" s="28" t="s">
        <v>959</v>
      </c>
      <c r="D552" s="28" t="s">
        <v>959</v>
      </c>
      <c r="E552" s="28" t="str">
        <f>IFERROR(IF(C552&gt;0, D552/C552, 0),"-")</f>
        <v>-</v>
      </c>
    </row>
    <row r="553" spans="1:5" x14ac:dyDescent="0.2">
      <c r="A553" s="28" t="s">
        <v>934</v>
      </c>
      <c r="B553" s="28" t="s">
        <v>1252</v>
      </c>
      <c r="C553" s="28" t="s">
        <v>959</v>
      </c>
      <c r="D553" s="28" t="s">
        <v>959</v>
      </c>
      <c r="E553" s="28" t="str">
        <f>IFERROR(IF(C553&gt;0, D553/C553, 0),"-")</f>
        <v>-</v>
      </c>
    </row>
    <row r="554" spans="1:5" x14ac:dyDescent="0.2">
      <c r="A554" s="28" t="s">
        <v>933</v>
      </c>
      <c r="B554" s="28" t="s">
        <v>1253</v>
      </c>
      <c r="C554" s="28" t="s">
        <v>959</v>
      </c>
      <c r="D554" s="28" t="s">
        <v>959</v>
      </c>
      <c r="E554" s="28" t="str">
        <f>IFERROR(IF(C554&gt;0, D554/C554, 0),"-")</f>
        <v>-</v>
      </c>
    </row>
    <row r="555" spans="1:5" x14ac:dyDescent="0.2">
      <c r="A555" s="28" t="s">
        <v>931</v>
      </c>
      <c r="B555" s="28" t="s">
        <v>989</v>
      </c>
      <c r="C555" s="28" t="s">
        <v>959</v>
      </c>
      <c r="D555" s="28" t="s">
        <v>959</v>
      </c>
      <c r="E555" s="28" t="str">
        <f>IFERROR(IF(C555&gt;0, D555/C555, 0),"-")</f>
        <v>-</v>
      </c>
    </row>
    <row r="556" spans="1:5" x14ac:dyDescent="0.2">
      <c r="A556" s="27"/>
      <c r="B556" s="27" t="s">
        <v>108</v>
      </c>
      <c r="C556" s="27" t="s">
        <v>959</v>
      </c>
      <c r="D556" s="27" t="s">
        <v>959</v>
      </c>
      <c r="E556" s="27" t="str">
        <f>IFERROR(IF(C556&gt;0, D556/C556, 0),"-")</f>
        <v>-</v>
      </c>
    </row>
    <row r="557" spans="1:5" x14ac:dyDescent="0.2">
      <c r="A557" s="28" t="s">
        <v>781</v>
      </c>
      <c r="B557" s="28" t="s">
        <v>1254</v>
      </c>
      <c r="C557" s="28" t="s">
        <v>959</v>
      </c>
      <c r="D557" s="28" t="s">
        <v>959</v>
      </c>
      <c r="E557" s="28" t="str">
        <f>IFERROR(IF(C557&gt;0, D557/C557, 0),"-")</f>
        <v>-</v>
      </c>
    </row>
    <row r="558" spans="1:5" x14ac:dyDescent="0.2">
      <c r="A558" s="28" t="s">
        <v>780</v>
      </c>
      <c r="B558" s="28" t="s">
        <v>1255</v>
      </c>
      <c r="C558" s="28" t="s">
        <v>959</v>
      </c>
      <c r="D558" s="28" t="s">
        <v>959</v>
      </c>
      <c r="E558" s="28" t="str">
        <f>IFERROR(IF(C558&gt;0, D558/C558, 0),"-")</f>
        <v>-</v>
      </c>
    </row>
    <row r="559" spans="1:5" x14ac:dyDescent="0.2">
      <c r="A559" s="28" t="s">
        <v>776</v>
      </c>
      <c r="B559" s="28" t="s">
        <v>1256</v>
      </c>
      <c r="C559" s="28" t="s">
        <v>959</v>
      </c>
      <c r="D559" s="28" t="s">
        <v>959</v>
      </c>
      <c r="E559" s="28" t="str">
        <f>IFERROR(IF(C559&gt;0, D559/C559, 0),"-")</f>
        <v>-</v>
      </c>
    </row>
    <row r="560" spans="1:5" x14ac:dyDescent="0.2">
      <c r="A560" s="28" t="s">
        <v>775</v>
      </c>
      <c r="B560" s="28" t="s">
        <v>1257</v>
      </c>
      <c r="C560" s="28" t="s">
        <v>959</v>
      </c>
      <c r="D560" s="28" t="s">
        <v>959</v>
      </c>
      <c r="E560" s="28" t="str">
        <f>IFERROR(IF(C560&gt;0, D560/C560, 0),"-")</f>
        <v>-</v>
      </c>
    </row>
    <row r="561" spans="1:5" x14ac:dyDescent="0.2">
      <c r="A561" s="28" t="s">
        <v>779</v>
      </c>
      <c r="B561" s="28" t="s">
        <v>989</v>
      </c>
      <c r="C561" s="28" t="s">
        <v>959</v>
      </c>
      <c r="D561" s="28" t="s">
        <v>959</v>
      </c>
      <c r="E561" s="28" t="str">
        <f>IFERROR(IF(C561&gt;0, D561/C561, 0),"-")</f>
        <v>-</v>
      </c>
    </row>
    <row r="562" spans="1:5" x14ac:dyDescent="0.2">
      <c r="A562" s="28" t="s">
        <v>777</v>
      </c>
      <c r="B562" s="28" t="s">
        <v>1258</v>
      </c>
      <c r="C562" s="28" t="s">
        <v>959</v>
      </c>
      <c r="D562" s="28" t="s">
        <v>959</v>
      </c>
      <c r="E562" s="28" t="str">
        <f>IFERROR(IF(C562&gt;0, D562/C562, 0),"-")</f>
        <v>-</v>
      </c>
    </row>
    <row r="563" spans="1:5" x14ac:dyDescent="0.2">
      <c r="A563" s="28" t="s">
        <v>778</v>
      </c>
      <c r="B563" s="28" t="s">
        <v>1259</v>
      </c>
      <c r="C563" s="28" t="s">
        <v>959</v>
      </c>
      <c r="D563" s="28" t="s">
        <v>959</v>
      </c>
      <c r="E563" s="28" t="str">
        <f>IFERROR(IF(C563&gt;0, D563/C563, 0),"-")</f>
        <v>-</v>
      </c>
    </row>
    <row r="564" spans="1:5" x14ac:dyDescent="0.2">
      <c r="A564" s="27"/>
      <c r="B564" s="27" t="s">
        <v>85</v>
      </c>
      <c r="C564" s="27" t="s">
        <v>959</v>
      </c>
      <c r="D564" s="27" t="s">
        <v>959</v>
      </c>
      <c r="E564" s="27" t="str">
        <f>IFERROR(IF(C564&gt;0, D564/C564, 0),"-")</f>
        <v>-</v>
      </c>
    </row>
    <row r="565" spans="1:5" x14ac:dyDescent="0.2">
      <c r="A565" s="28" t="s">
        <v>577</v>
      </c>
      <c r="B565" s="28" t="s">
        <v>1260</v>
      </c>
      <c r="C565" s="28" t="s">
        <v>959</v>
      </c>
      <c r="D565" s="28" t="s">
        <v>959</v>
      </c>
      <c r="E565" s="28" t="str">
        <f>IFERROR(IF(C565&gt;0, D565/C565, 0),"-")</f>
        <v>-</v>
      </c>
    </row>
    <row r="566" spans="1:5" x14ac:dyDescent="0.2">
      <c r="A566" s="28" t="s">
        <v>569</v>
      </c>
      <c r="B566" s="28" t="s">
        <v>1261</v>
      </c>
      <c r="C566" s="28" t="s">
        <v>959</v>
      </c>
      <c r="D566" s="28" t="s">
        <v>959</v>
      </c>
      <c r="E566" s="28" t="str">
        <f>IFERROR(IF(C566&gt;0, D566/C566, 0),"-")</f>
        <v>-</v>
      </c>
    </row>
    <row r="567" spans="1:5" x14ac:dyDescent="0.2">
      <c r="A567" s="28" t="s">
        <v>572</v>
      </c>
      <c r="B567" s="28" t="s">
        <v>1262</v>
      </c>
      <c r="C567" s="28" t="s">
        <v>959</v>
      </c>
      <c r="D567" s="28" t="s">
        <v>959</v>
      </c>
      <c r="E567" s="28" t="str">
        <f>IFERROR(IF(C567&gt;0, D567/C567, 0),"-")</f>
        <v>-</v>
      </c>
    </row>
    <row r="568" spans="1:5" x14ac:dyDescent="0.2">
      <c r="A568" s="28" t="s">
        <v>575</v>
      </c>
      <c r="B568" s="28" t="s">
        <v>1263</v>
      </c>
      <c r="C568" s="28" t="s">
        <v>959</v>
      </c>
      <c r="D568" s="28" t="s">
        <v>959</v>
      </c>
      <c r="E568" s="28" t="str">
        <f>IFERROR(IF(C568&gt;0, D568/C568, 0),"-")</f>
        <v>-</v>
      </c>
    </row>
    <row r="569" spans="1:5" x14ac:dyDescent="0.2">
      <c r="A569" s="28" t="s">
        <v>576</v>
      </c>
      <c r="B569" s="28" t="s">
        <v>1264</v>
      </c>
      <c r="C569" s="28" t="s">
        <v>959</v>
      </c>
      <c r="D569" s="28" t="s">
        <v>959</v>
      </c>
      <c r="E569" s="28" t="str">
        <f>IFERROR(IF(C569&gt;0, D569/C569, 0),"-")</f>
        <v>-</v>
      </c>
    </row>
    <row r="570" spans="1:5" x14ac:dyDescent="0.2">
      <c r="A570" s="28" t="s">
        <v>579</v>
      </c>
      <c r="B570" s="28" t="s">
        <v>1265</v>
      </c>
      <c r="C570" s="28" t="s">
        <v>959</v>
      </c>
      <c r="D570" s="28" t="s">
        <v>959</v>
      </c>
      <c r="E570" s="28" t="str">
        <f>IFERROR(IF(C570&gt;0, D570/C570, 0),"-")</f>
        <v>-</v>
      </c>
    </row>
    <row r="571" spans="1:5" x14ac:dyDescent="0.2">
      <c r="A571" s="28" t="s">
        <v>574</v>
      </c>
      <c r="B571" s="28" t="s">
        <v>1266</v>
      </c>
      <c r="C571" s="28" t="s">
        <v>959</v>
      </c>
      <c r="D571" s="28" t="s">
        <v>959</v>
      </c>
      <c r="E571" s="28" t="str">
        <f>IFERROR(IF(C571&gt;0, D571/C571, 0),"-")</f>
        <v>-</v>
      </c>
    </row>
    <row r="572" spans="1:5" x14ac:dyDescent="0.2">
      <c r="A572" s="28" t="s">
        <v>570</v>
      </c>
      <c r="B572" s="28" t="s">
        <v>1267</v>
      </c>
      <c r="C572" s="28" t="s">
        <v>959</v>
      </c>
      <c r="D572" s="28" t="s">
        <v>959</v>
      </c>
      <c r="E572" s="28" t="str">
        <f>IFERROR(IF(C572&gt;0, D572/C572, 0),"-")</f>
        <v>-</v>
      </c>
    </row>
    <row r="573" spans="1:5" x14ac:dyDescent="0.2">
      <c r="A573" s="28" t="s">
        <v>571</v>
      </c>
      <c r="B573" s="28" t="s">
        <v>1268</v>
      </c>
      <c r="C573" s="28" t="s">
        <v>959</v>
      </c>
      <c r="D573" s="28" t="s">
        <v>959</v>
      </c>
      <c r="E573" s="28" t="str">
        <f>IFERROR(IF(C573&gt;0, D573/C573, 0),"-")</f>
        <v>-</v>
      </c>
    </row>
    <row r="574" spans="1:5" x14ac:dyDescent="0.2">
      <c r="A574" s="28" t="s">
        <v>573</v>
      </c>
      <c r="B574" s="28" t="s">
        <v>1269</v>
      </c>
      <c r="C574" s="28" t="s">
        <v>959</v>
      </c>
      <c r="D574" s="28" t="s">
        <v>959</v>
      </c>
      <c r="E574" s="28" t="str">
        <f>IFERROR(IF(C574&gt;0, D574/C574, 0),"-")</f>
        <v>-</v>
      </c>
    </row>
    <row r="575" spans="1:5" x14ac:dyDescent="0.2">
      <c r="A575" s="27"/>
      <c r="B575" s="27" t="s">
        <v>132</v>
      </c>
      <c r="C575" s="27" t="s">
        <v>959</v>
      </c>
      <c r="D575" s="27" t="s">
        <v>959</v>
      </c>
      <c r="E575" s="27" t="str">
        <f>IFERROR(IF(C575&gt;0, D575/C575, 0),"-")</f>
        <v>-</v>
      </c>
    </row>
    <row r="576" spans="1:5" x14ac:dyDescent="0.2">
      <c r="A576" s="28" t="s">
        <v>926</v>
      </c>
      <c r="B576" s="28" t="s">
        <v>1270</v>
      </c>
      <c r="C576" s="28" t="s">
        <v>959</v>
      </c>
      <c r="D576" s="28" t="s">
        <v>959</v>
      </c>
      <c r="E576" s="28" t="str">
        <f>IFERROR(IF(C576&gt;0, D576/C576, 0),"-")</f>
        <v>-</v>
      </c>
    </row>
    <row r="577" spans="1:5" x14ac:dyDescent="0.2">
      <c r="A577" s="28" t="s">
        <v>942</v>
      </c>
      <c r="B577" s="28" t="s">
        <v>1271</v>
      </c>
      <c r="C577" s="28" t="s">
        <v>959</v>
      </c>
      <c r="D577" s="28" t="s">
        <v>959</v>
      </c>
      <c r="E577" s="28" t="str">
        <f>IFERROR(IF(C577&gt;0, D577/C577, 0),"-")</f>
        <v>-</v>
      </c>
    </row>
    <row r="578" spans="1:5" x14ac:dyDescent="0.2">
      <c r="A578" s="28" t="s">
        <v>935</v>
      </c>
      <c r="B578" s="28" t="s">
        <v>1272</v>
      </c>
      <c r="C578" s="28" t="s">
        <v>959</v>
      </c>
      <c r="D578" s="28" t="s">
        <v>959</v>
      </c>
      <c r="E578" s="28" t="str">
        <f>IFERROR(IF(C578&gt;0, D578/C578, 0),"-")</f>
        <v>-</v>
      </c>
    </row>
    <row r="579" spans="1:5" x14ac:dyDescent="0.2">
      <c r="A579" s="28" t="s">
        <v>943</v>
      </c>
      <c r="B579" s="28" t="s">
        <v>1273</v>
      </c>
      <c r="C579" s="28" t="s">
        <v>959</v>
      </c>
      <c r="D579" s="28" t="s">
        <v>959</v>
      </c>
      <c r="E579" s="28" t="str">
        <f>IFERROR(IF(C579&gt;0, D579/C579, 0),"-")</f>
        <v>-</v>
      </c>
    </row>
    <row r="580" spans="1:5" x14ac:dyDescent="0.2">
      <c r="A580" s="28" t="s">
        <v>924</v>
      </c>
      <c r="B580" s="28" t="s">
        <v>1274</v>
      </c>
      <c r="C580" s="28" t="s">
        <v>959</v>
      </c>
      <c r="D580" s="28" t="s">
        <v>959</v>
      </c>
      <c r="E580" s="28" t="str">
        <f>IFERROR(IF(C580&gt;0, D580/C580, 0),"-")</f>
        <v>-</v>
      </c>
    </row>
    <row r="581" spans="1:5" x14ac:dyDescent="0.2">
      <c r="A581" s="28" t="s">
        <v>922</v>
      </c>
      <c r="B581" s="28" t="s">
        <v>1275</v>
      </c>
      <c r="C581" s="28" t="s">
        <v>959</v>
      </c>
      <c r="D581" s="28" t="s">
        <v>959</v>
      </c>
      <c r="E581" s="28" t="str">
        <f>IFERROR(IF(C581&gt;0, D581/C581, 0),"-")</f>
        <v>-</v>
      </c>
    </row>
    <row r="582" spans="1:5" x14ac:dyDescent="0.2">
      <c r="A582" s="28" t="s">
        <v>923</v>
      </c>
      <c r="B582" s="28" t="s">
        <v>1276</v>
      </c>
      <c r="C582" s="28" t="s">
        <v>959</v>
      </c>
      <c r="D582" s="28" t="s">
        <v>959</v>
      </c>
      <c r="E582" s="28" t="str">
        <f>IFERROR(IF(C582&gt;0, D582/C582, 0),"-")</f>
        <v>-</v>
      </c>
    </row>
    <row r="583" spans="1:5" x14ac:dyDescent="0.2">
      <c r="A583" s="28" t="s">
        <v>927</v>
      </c>
      <c r="B583" s="28" t="s">
        <v>1277</v>
      </c>
      <c r="C583" s="28" t="s">
        <v>959</v>
      </c>
      <c r="D583" s="28" t="s">
        <v>959</v>
      </c>
      <c r="E583" s="28" t="str">
        <f>IFERROR(IF(C583&gt;0, D583/C583, 0),"-")</f>
        <v>-</v>
      </c>
    </row>
    <row r="584" spans="1:5" x14ac:dyDescent="0.2">
      <c r="A584" s="28" t="s">
        <v>925</v>
      </c>
      <c r="B584" s="28" t="s">
        <v>1278</v>
      </c>
      <c r="C584" s="28" t="s">
        <v>959</v>
      </c>
      <c r="D584" s="28" t="s">
        <v>959</v>
      </c>
      <c r="E584" s="28" t="str">
        <f>IFERROR(IF(C584&gt;0, D584/C584, 0),"-")</f>
        <v>-</v>
      </c>
    </row>
    <row r="585" spans="1:5" x14ac:dyDescent="0.2">
      <c r="A585" s="27"/>
      <c r="B585" s="27" t="s">
        <v>96</v>
      </c>
      <c r="C585" s="27" t="s">
        <v>959</v>
      </c>
      <c r="D585" s="27" t="s">
        <v>959</v>
      </c>
      <c r="E585" s="27" t="str">
        <f>IFERROR(IF(C585&gt;0, D585/C585, 0),"-")</f>
        <v>-</v>
      </c>
    </row>
    <row r="586" spans="1:5" x14ac:dyDescent="0.2">
      <c r="A586" s="28" t="s">
        <v>664</v>
      </c>
      <c r="B586" s="28" t="s">
        <v>1279</v>
      </c>
      <c r="C586" s="28" t="s">
        <v>959</v>
      </c>
      <c r="D586" s="28" t="s">
        <v>959</v>
      </c>
      <c r="E586" s="28" t="str">
        <f>IFERROR(IF(C586&gt;0, D586/C586, 0),"-")</f>
        <v>-</v>
      </c>
    </row>
    <row r="587" spans="1:5" x14ac:dyDescent="0.2">
      <c r="A587" s="28" t="s">
        <v>669</v>
      </c>
      <c r="B587" s="28" t="s">
        <v>1280</v>
      </c>
      <c r="C587" s="28" t="s">
        <v>959</v>
      </c>
      <c r="D587" s="28" t="s">
        <v>959</v>
      </c>
      <c r="E587" s="28" t="str">
        <f>IFERROR(IF(C587&gt;0, D587/C587, 0),"-")</f>
        <v>-</v>
      </c>
    </row>
    <row r="588" spans="1:5" x14ac:dyDescent="0.2">
      <c r="A588" s="28" t="s">
        <v>670</v>
      </c>
      <c r="B588" s="28" t="s">
        <v>1281</v>
      </c>
      <c r="C588" s="28" t="s">
        <v>959</v>
      </c>
      <c r="D588" s="28" t="s">
        <v>959</v>
      </c>
      <c r="E588" s="28" t="str">
        <f>IFERROR(IF(C588&gt;0, D588/C588, 0),"-")</f>
        <v>-</v>
      </c>
    </row>
    <row r="589" spans="1:5" x14ac:dyDescent="0.2">
      <c r="A589" s="28" t="s">
        <v>666</v>
      </c>
      <c r="B589" s="28" t="s">
        <v>1282</v>
      </c>
      <c r="C589" s="28" t="s">
        <v>959</v>
      </c>
      <c r="D589" s="28" t="s">
        <v>959</v>
      </c>
      <c r="E589" s="28" t="str">
        <f>IFERROR(IF(C589&gt;0, D589/C589, 0),"-")</f>
        <v>-</v>
      </c>
    </row>
    <row r="590" spans="1:5" x14ac:dyDescent="0.2">
      <c r="A590" s="28" t="s">
        <v>665</v>
      </c>
      <c r="B590" s="28" t="s">
        <v>1283</v>
      </c>
      <c r="C590" s="28" t="s">
        <v>959</v>
      </c>
      <c r="D590" s="28" t="s">
        <v>959</v>
      </c>
      <c r="E590" s="28" t="str">
        <f>IFERROR(IF(C590&gt;0, D590/C590, 0),"-")</f>
        <v>-</v>
      </c>
    </row>
    <row r="591" spans="1:5" x14ac:dyDescent="0.2">
      <c r="A591" s="28" t="s">
        <v>667</v>
      </c>
      <c r="B591" s="28" t="s">
        <v>1284</v>
      </c>
      <c r="C591" s="28" t="s">
        <v>959</v>
      </c>
      <c r="D591" s="28" t="s">
        <v>959</v>
      </c>
      <c r="E591" s="28" t="str">
        <f>IFERROR(IF(C591&gt;0, D591/C591, 0),"-")</f>
        <v>-</v>
      </c>
    </row>
    <row r="592" spans="1:5" x14ac:dyDescent="0.2">
      <c r="A592" s="28" t="s">
        <v>668</v>
      </c>
      <c r="B592" s="28" t="s">
        <v>1285</v>
      </c>
      <c r="C592" s="28" t="s">
        <v>959</v>
      </c>
      <c r="D592" s="28" t="s">
        <v>959</v>
      </c>
      <c r="E592" s="28" t="str">
        <f>IFERROR(IF(C592&gt;0, D592/C592, 0),"-")</f>
        <v>-</v>
      </c>
    </row>
    <row r="593" spans="1:5" x14ac:dyDescent="0.2">
      <c r="A593" s="27"/>
      <c r="B593" s="27" t="s">
        <v>117</v>
      </c>
      <c r="C593" s="27" t="s">
        <v>959</v>
      </c>
      <c r="D593" s="27" t="s">
        <v>959</v>
      </c>
      <c r="E593" s="27" t="str">
        <f>IFERROR(IF(C593&gt;0, D593/C593, 0),"-")</f>
        <v>-</v>
      </c>
    </row>
    <row r="594" spans="1:5" x14ac:dyDescent="0.2">
      <c r="A594" s="28" t="s">
        <v>839</v>
      </c>
      <c r="B594" s="28" t="s">
        <v>1286</v>
      </c>
      <c r="C594" s="28" t="s">
        <v>959</v>
      </c>
      <c r="D594" s="28" t="s">
        <v>959</v>
      </c>
      <c r="E594" s="28" t="str">
        <f>IFERROR(IF(C594&gt;0, D594/C594, 0),"-")</f>
        <v>-</v>
      </c>
    </row>
    <row r="595" spans="1:5" x14ac:dyDescent="0.2">
      <c r="A595" s="28" t="s">
        <v>837</v>
      </c>
      <c r="B595" s="28" t="s">
        <v>1287</v>
      </c>
      <c r="C595" s="28" t="s">
        <v>959</v>
      </c>
      <c r="D595" s="28" t="s">
        <v>959</v>
      </c>
      <c r="E595" s="28" t="str">
        <f>IFERROR(IF(C595&gt;0, D595/C595, 0),"-")</f>
        <v>-</v>
      </c>
    </row>
    <row r="596" spans="1:5" x14ac:dyDescent="0.2">
      <c r="A596" s="28" t="s">
        <v>835</v>
      </c>
      <c r="B596" s="28" t="s">
        <v>1288</v>
      </c>
      <c r="C596" s="28" t="s">
        <v>959</v>
      </c>
      <c r="D596" s="28" t="s">
        <v>959</v>
      </c>
      <c r="E596" s="28" t="str">
        <f>IFERROR(IF(C596&gt;0, D596/C596, 0),"-")</f>
        <v>-</v>
      </c>
    </row>
    <row r="597" spans="1:5" x14ac:dyDescent="0.2">
      <c r="A597" s="28" t="s">
        <v>836</v>
      </c>
      <c r="B597" s="28" t="s">
        <v>1289</v>
      </c>
      <c r="C597" s="28" t="s">
        <v>959</v>
      </c>
      <c r="D597" s="28" t="s">
        <v>959</v>
      </c>
      <c r="E597" s="28" t="str">
        <f>IFERROR(IF(C597&gt;0, D597/C597, 0),"-")</f>
        <v>-</v>
      </c>
    </row>
    <row r="598" spans="1:5" x14ac:dyDescent="0.2">
      <c r="A598" s="28" t="s">
        <v>838</v>
      </c>
      <c r="B598" s="28" t="s">
        <v>1290</v>
      </c>
      <c r="C598" s="28" t="s">
        <v>959</v>
      </c>
      <c r="D598" s="28" t="s">
        <v>959</v>
      </c>
      <c r="E598" s="28" t="str">
        <f>IFERROR(IF(C598&gt;0, D598/C598, 0),"-")</f>
        <v>-</v>
      </c>
    </row>
    <row r="599" spans="1:5" x14ac:dyDescent="0.2">
      <c r="A599" s="28" t="s">
        <v>834</v>
      </c>
      <c r="B599" s="28" t="s">
        <v>1291</v>
      </c>
      <c r="C599" s="28" t="s">
        <v>959</v>
      </c>
      <c r="D599" s="28" t="s">
        <v>959</v>
      </c>
      <c r="E599" s="28" t="str">
        <f>IFERROR(IF(C599&gt;0, D599/C599, 0),"-")</f>
        <v>-</v>
      </c>
    </row>
    <row r="600" spans="1:5" x14ac:dyDescent="0.2">
      <c r="A600" s="27"/>
      <c r="B600" s="27" t="s">
        <v>49</v>
      </c>
      <c r="C600" s="27" t="s">
        <v>959</v>
      </c>
      <c r="D600" s="27" t="s">
        <v>959</v>
      </c>
      <c r="E600" s="27" t="str">
        <f>IFERROR(IF(C600&gt;0, D600/C600, 0),"-")</f>
        <v>-</v>
      </c>
    </row>
    <row r="601" spans="1:5" x14ac:dyDescent="0.2">
      <c r="A601" s="28" t="s">
        <v>270</v>
      </c>
      <c r="B601" s="28" t="s">
        <v>1292</v>
      </c>
      <c r="C601" s="28" t="s">
        <v>959</v>
      </c>
      <c r="D601" s="28" t="s">
        <v>959</v>
      </c>
      <c r="E601" s="28" t="str">
        <f>IFERROR(IF(C601&gt;0, D601/C601, 0),"-")</f>
        <v>-</v>
      </c>
    </row>
    <row r="602" spans="1:5" x14ac:dyDescent="0.2">
      <c r="A602" s="28" t="s">
        <v>273</v>
      </c>
      <c r="B602" s="28" t="s">
        <v>1293</v>
      </c>
      <c r="C602" s="28" t="s">
        <v>959</v>
      </c>
      <c r="D602" s="28" t="s">
        <v>959</v>
      </c>
      <c r="E602" s="28" t="str">
        <f>IFERROR(IF(C602&gt;0, D602/C602, 0),"-")</f>
        <v>-</v>
      </c>
    </row>
    <row r="603" spans="1:5" x14ac:dyDescent="0.2">
      <c r="A603" s="28" t="s">
        <v>268</v>
      </c>
      <c r="B603" s="28" t="s">
        <v>1294</v>
      </c>
      <c r="C603" s="28" t="s">
        <v>959</v>
      </c>
      <c r="D603" s="28" t="s">
        <v>959</v>
      </c>
      <c r="E603" s="28" t="str">
        <f>IFERROR(IF(C603&gt;0, D603/C603, 0),"-")</f>
        <v>-</v>
      </c>
    </row>
    <row r="604" spans="1:5" x14ac:dyDescent="0.2">
      <c r="A604" s="28" t="s">
        <v>271</v>
      </c>
      <c r="B604" s="28" t="s">
        <v>1295</v>
      </c>
      <c r="C604" s="28" t="s">
        <v>959</v>
      </c>
      <c r="D604" s="28" t="s">
        <v>959</v>
      </c>
      <c r="E604" s="28" t="str">
        <f>IFERROR(IF(C604&gt;0, D604/C604, 0),"-")</f>
        <v>-</v>
      </c>
    </row>
    <row r="605" spans="1:5" x14ac:dyDescent="0.2">
      <c r="A605" s="28" t="s">
        <v>269</v>
      </c>
      <c r="B605" s="28" t="s">
        <v>1296</v>
      </c>
      <c r="C605" s="28" t="s">
        <v>959</v>
      </c>
      <c r="D605" s="28" t="s">
        <v>959</v>
      </c>
      <c r="E605" s="28" t="str">
        <f>IFERROR(IF(C605&gt;0, D605/C605, 0),"-")</f>
        <v>-</v>
      </c>
    </row>
    <row r="606" spans="1:5" x14ac:dyDescent="0.2">
      <c r="A606" s="28" t="s">
        <v>272</v>
      </c>
      <c r="B606" s="28" t="s">
        <v>1297</v>
      </c>
      <c r="C606" s="28" t="s">
        <v>959</v>
      </c>
      <c r="D606" s="28" t="s">
        <v>959</v>
      </c>
      <c r="E606" s="28" t="str">
        <f>IFERROR(IF(C606&gt;0, D606/C606, 0),"-")</f>
        <v>-</v>
      </c>
    </row>
    <row r="607" spans="1:5" x14ac:dyDescent="0.2">
      <c r="A607" s="27"/>
      <c r="B607" s="27" t="s">
        <v>70</v>
      </c>
      <c r="C607" s="27" t="s">
        <v>959</v>
      </c>
      <c r="D607" s="27" t="s">
        <v>959</v>
      </c>
      <c r="E607" s="27" t="str">
        <f>IFERROR(IF(C607&gt;0, D607/C607, 0),"-")</f>
        <v>-</v>
      </c>
    </row>
    <row r="608" spans="1:5" x14ac:dyDescent="0.2">
      <c r="A608" s="28" t="s">
        <v>466</v>
      </c>
      <c r="B608" s="28" t="s">
        <v>1298</v>
      </c>
      <c r="C608" s="28" t="s">
        <v>959</v>
      </c>
      <c r="D608" s="28" t="s">
        <v>959</v>
      </c>
      <c r="E608" s="28" t="str">
        <f>IFERROR(IF(C608&gt;0, D608/C608, 0),"-")</f>
        <v>-</v>
      </c>
    </row>
    <row r="609" spans="1:5" x14ac:dyDescent="0.2">
      <c r="A609" s="28" t="s">
        <v>462</v>
      </c>
      <c r="B609" s="28" t="s">
        <v>1299</v>
      </c>
      <c r="C609" s="28" t="s">
        <v>959</v>
      </c>
      <c r="D609" s="28" t="s">
        <v>959</v>
      </c>
      <c r="E609" s="28" t="str">
        <f>IFERROR(IF(C609&gt;0, D609/C609, 0),"-")</f>
        <v>-</v>
      </c>
    </row>
    <row r="610" spans="1:5" x14ac:dyDescent="0.2">
      <c r="A610" s="28" t="s">
        <v>467</v>
      </c>
      <c r="B610" s="28" t="s">
        <v>1300</v>
      </c>
      <c r="C610" s="28" t="s">
        <v>959</v>
      </c>
      <c r="D610" s="28" t="s">
        <v>959</v>
      </c>
      <c r="E610" s="28" t="str">
        <f>IFERROR(IF(C610&gt;0, D610/C610, 0),"-")</f>
        <v>-</v>
      </c>
    </row>
    <row r="611" spans="1:5" x14ac:dyDescent="0.2">
      <c r="A611" s="28" t="s">
        <v>464</v>
      </c>
      <c r="B611" s="28" t="s">
        <v>1301</v>
      </c>
      <c r="C611" s="28" t="s">
        <v>959</v>
      </c>
      <c r="D611" s="28" t="s">
        <v>959</v>
      </c>
      <c r="E611" s="28" t="str">
        <f>IFERROR(IF(C611&gt;0, D611/C611, 0),"-")</f>
        <v>-</v>
      </c>
    </row>
    <row r="612" spans="1:5" x14ac:dyDescent="0.2">
      <c r="A612" s="28" t="s">
        <v>463</v>
      </c>
      <c r="B612" s="28" t="s">
        <v>1302</v>
      </c>
      <c r="C612" s="28" t="s">
        <v>959</v>
      </c>
      <c r="D612" s="28" t="s">
        <v>959</v>
      </c>
      <c r="E612" s="28" t="str">
        <f>IFERROR(IF(C612&gt;0, D612/C612, 0),"-")</f>
        <v>-</v>
      </c>
    </row>
    <row r="613" spans="1:5" x14ac:dyDescent="0.2">
      <c r="A613" s="28" t="s">
        <v>465</v>
      </c>
      <c r="B613" s="28" t="s">
        <v>1303</v>
      </c>
      <c r="C613" s="28" t="s">
        <v>959</v>
      </c>
      <c r="D613" s="28" t="s">
        <v>959</v>
      </c>
      <c r="E613" s="28" t="str">
        <f>IFERROR(IF(C613&gt;0, D613/C613, 0),"-")</f>
        <v>-</v>
      </c>
    </row>
    <row r="614" spans="1:5" x14ac:dyDescent="0.2">
      <c r="A614" s="27"/>
      <c r="B614" s="27" t="s">
        <v>76</v>
      </c>
      <c r="C614" s="27" t="s">
        <v>959</v>
      </c>
      <c r="D614" s="27" t="s">
        <v>959</v>
      </c>
      <c r="E614" s="27" t="str">
        <f>IFERROR(IF(C614&gt;0, D614/C614, 0),"-")</f>
        <v>-</v>
      </c>
    </row>
    <row r="615" spans="1:5" x14ac:dyDescent="0.2">
      <c r="A615" s="28" t="s">
        <v>501</v>
      </c>
      <c r="B615" s="28" t="s">
        <v>1304</v>
      </c>
      <c r="C615" s="28" t="s">
        <v>959</v>
      </c>
      <c r="D615" s="28" t="s">
        <v>959</v>
      </c>
      <c r="E615" s="28" t="str">
        <f>IFERROR(IF(C615&gt;0, D615/C615, 0),"-")</f>
        <v>-</v>
      </c>
    </row>
    <row r="616" spans="1:5" x14ac:dyDescent="0.2">
      <c r="A616" s="28" t="s">
        <v>504</v>
      </c>
      <c r="B616" s="28" t="s">
        <v>1305</v>
      </c>
      <c r="C616" s="28" t="s">
        <v>959</v>
      </c>
      <c r="D616" s="28" t="s">
        <v>959</v>
      </c>
      <c r="E616" s="28" t="str">
        <f>IFERROR(IF(C616&gt;0, D616/C616, 0),"-")</f>
        <v>-</v>
      </c>
    </row>
    <row r="617" spans="1:5" x14ac:dyDescent="0.2">
      <c r="A617" s="28" t="s">
        <v>520</v>
      </c>
      <c r="B617" s="28" t="s">
        <v>1306</v>
      </c>
      <c r="C617" s="28" t="s">
        <v>959</v>
      </c>
      <c r="D617" s="28" t="s">
        <v>959</v>
      </c>
      <c r="E617" s="28" t="str">
        <f>IFERROR(IF(C617&gt;0, D617/C617, 0),"-")</f>
        <v>-</v>
      </c>
    </row>
    <row r="618" spans="1:5" x14ac:dyDescent="0.2">
      <c r="A618" s="28" t="s">
        <v>505</v>
      </c>
      <c r="B618" s="28" t="s">
        <v>1307</v>
      </c>
      <c r="C618" s="28" t="s">
        <v>959</v>
      </c>
      <c r="D618" s="28" t="s">
        <v>959</v>
      </c>
      <c r="E618" s="28" t="str">
        <f>IFERROR(IF(C618&gt;0, D618/C618, 0),"-")</f>
        <v>-</v>
      </c>
    </row>
    <row r="619" spans="1:5" x14ac:dyDescent="0.2">
      <c r="A619" s="28" t="s">
        <v>502</v>
      </c>
      <c r="B619" s="28" t="s">
        <v>1308</v>
      </c>
      <c r="C619" s="28" t="s">
        <v>959</v>
      </c>
      <c r="D619" s="28" t="s">
        <v>959</v>
      </c>
      <c r="E619" s="28" t="str">
        <f>IFERROR(IF(C619&gt;0, D619/C619, 0),"-")</f>
        <v>-</v>
      </c>
    </row>
    <row r="620" spans="1:5" x14ac:dyDescent="0.2">
      <c r="A620" s="28" t="s">
        <v>503</v>
      </c>
      <c r="B620" s="28" t="s">
        <v>1309</v>
      </c>
      <c r="C620" s="28" t="s">
        <v>959</v>
      </c>
      <c r="D620" s="28" t="s">
        <v>959</v>
      </c>
      <c r="E620" s="28" t="str">
        <f>IFERROR(IF(C620&gt;0, D620/C620, 0),"-")</f>
        <v>-</v>
      </c>
    </row>
    <row r="621" spans="1:5" x14ac:dyDescent="0.2">
      <c r="A621" s="27"/>
      <c r="B621" s="27" t="s">
        <v>102</v>
      </c>
      <c r="C621" s="27" t="s">
        <v>959</v>
      </c>
      <c r="D621" s="27" t="s">
        <v>959</v>
      </c>
      <c r="E621" s="27" t="str">
        <f>IFERROR(IF(C621&gt;0, D621/C621, 0),"-")</f>
        <v>-</v>
      </c>
    </row>
    <row r="622" spans="1:5" x14ac:dyDescent="0.2">
      <c r="A622" s="28" t="s">
        <v>731</v>
      </c>
      <c r="B622" s="28" t="s">
        <v>1310</v>
      </c>
      <c r="C622" s="28" t="s">
        <v>959</v>
      </c>
      <c r="D622" s="28" t="s">
        <v>959</v>
      </c>
      <c r="E622" s="28" t="str">
        <f>IFERROR(IF(C622&gt;0, D622/C622, 0),"-")</f>
        <v>-</v>
      </c>
    </row>
    <row r="623" spans="1:5" x14ac:dyDescent="0.2">
      <c r="A623" s="28" t="s">
        <v>729</v>
      </c>
      <c r="B623" s="28" t="s">
        <v>1311</v>
      </c>
      <c r="C623" s="28" t="s">
        <v>959</v>
      </c>
      <c r="D623" s="28" t="s">
        <v>959</v>
      </c>
      <c r="E623" s="28" t="str">
        <f>IFERROR(IF(C623&gt;0, D623/C623, 0),"-")</f>
        <v>-</v>
      </c>
    </row>
    <row r="624" spans="1:5" x14ac:dyDescent="0.2">
      <c r="A624" s="28" t="s">
        <v>728</v>
      </c>
      <c r="B624" s="28" t="s">
        <v>1312</v>
      </c>
      <c r="C624" s="28" t="s">
        <v>959</v>
      </c>
      <c r="D624" s="28" t="s">
        <v>959</v>
      </c>
      <c r="E624" s="28" t="str">
        <f>IFERROR(IF(C624&gt;0, D624/C624, 0),"-")</f>
        <v>-</v>
      </c>
    </row>
    <row r="625" spans="1:5" x14ac:dyDescent="0.2">
      <c r="A625" s="28" t="s">
        <v>727</v>
      </c>
      <c r="B625" s="28" t="s">
        <v>1313</v>
      </c>
      <c r="C625" s="28" t="s">
        <v>959</v>
      </c>
      <c r="D625" s="28" t="s">
        <v>959</v>
      </c>
      <c r="E625" s="28" t="str">
        <f>IFERROR(IF(C625&gt;0, D625/C625, 0),"-")</f>
        <v>-</v>
      </c>
    </row>
    <row r="626" spans="1:5" x14ac:dyDescent="0.2">
      <c r="A626" s="28" t="s">
        <v>730</v>
      </c>
      <c r="B626" s="28" t="s">
        <v>1314</v>
      </c>
      <c r="C626" s="28" t="s">
        <v>959</v>
      </c>
      <c r="D626" s="28" t="s">
        <v>959</v>
      </c>
      <c r="E626" s="28" t="str">
        <f>IFERROR(IF(C626&gt;0, D626/C626, 0),"-")</f>
        <v>-</v>
      </c>
    </row>
    <row r="627" spans="1:5" x14ac:dyDescent="0.2">
      <c r="A627" s="27"/>
      <c r="B627" s="27" t="s">
        <v>33</v>
      </c>
      <c r="C627" s="27" t="s">
        <v>959</v>
      </c>
      <c r="D627" s="27" t="s">
        <v>959</v>
      </c>
      <c r="E627" s="27" t="str">
        <f>IFERROR(IF(C627&gt;0, D627/C627, 0),"-")</f>
        <v>-</v>
      </c>
    </row>
    <row r="628" spans="1:5" x14ac:dyDescent="0.2">
      <c r="A628" s="28" t="s">
        <v>151</v>
      </c>
      <c r="B628" s="28" t="s">
        <v>1315</v>
      </c>
      <c r="C628" s="28" t="s">
        <v>959</v>
      </c>
      <c r="D628" s="28" t="s">
        <v>959</v>
      </c>
      <c r="E628" s="28" t="str">
        <f>IFERROR(IF(C628&gt;0, D628/C628, 0),"-")</f>
        <v>-</v>
      </c>
    </row>
    <row r="629" spans="1:5" x14ac:dyDescent="0.2">
      <c r="A629" s="28" t="s">
        <v>152</v>
      </c>
      <c r="B629" s="28" t="s">
        <v>1316</v>
      </c>
      <c r="C629" s="28" t="s">
        <v>959</v>
      </c>
      <c r="D629" s="28" t="s">
        <v>959</v>
      </c>
      <c r="E629" s="28" t="str">
        <f>IFERROR(IF(C629&gt;0, D629/C629, 0),"-")</f>
        <v>-</v>
      </c>
    </row>
    <row r="630" spans="1:5" x14ac:dyDescent="0.2">
      <c r="A630" s="28" t="s">
        <v>154</v>
      </c>
      <c r="B630" s="28" t="s">
        <v>1317</v>
      </c>
      <c r="C630" s="28" t="s">
        <v>959</v>
      </c>
      <c r="D630" s="28" t="s">
        <v>959</v>
      </c>
      <c r="E630" s="28" t="str">
        <f>IFERROR(IF(C630&gt;0, D630/C630, 0),"-")</f>
        <v>-</v>
      </c>
    </row>
    <row r="631" spans="1:5" x14ac:dyDescent="0.2">
      <c r="A631" s="28" t="s">
        <v>153</v>
      </c>
      <c r="B631" s="28" t="s">
        <v>1318</v>
      </c>
      <c r="C631" s="28" t="s">
        <v>959</v>
      </c>
      <c r="D631" s="28" t="s">
        <v>959</v>
      </c>
      <c r="E631" s="28" t="str">
        <f>IFERROR(IF(C631&gt;0, D631/C631, 0),"-")</f>
        <v>-</v>
      </c>
    </row>
    <row r="632" spans="1:5" x14ac:dyDescent="0.2">
      <c r="A632" s="27"/>
      <c r="B632" s="27" t="s">
        <v>67</v>
      </c>
      <c r="C632" s="27" t="s">
        <v>959</v>
      </c>
      <c r="D632" s="27" t="s">
        <v>959</v>
      </c>
      <c r="E632" s="27" t="str">
        <f>IFERROR(IF(C632&gt;0, D632/C632, 0),"-")</f>
        <v>-</v>
      </c>
    </row>
    <row r="633" spans="1:5" x14ac:dyDescent="0.2">
      <c r="A633" s="28" t="s">
        <v>446</v>
      </c>
      <c r="B633" s="28" t="s">
        <v>1319</v>
      </c>
      <c r="C633" s="28" t="s">
        <v>959</v>
      </c>
      <c r="D633" s="28" t="s">
        <v>959</v>
      </c>
      <c r="E633" s="28" t="str">
        <f>IFERROR(IF(C633&gt;0, D633/C633, 0),"-")</f>
        <v>-</v>
      </c>
    </row>
    <row r="634" spans="1:5" x14ac:dyDescent="0.2">
      <c r="A634" s="28" t="s">
        <v>444</v>
      </c>
      <c r="B634" s="28" t="s">
        <v>1320</v>
      </c>
      <c r="C634" s="28" t="s">
        <v>959</v>
      </c>
      <c r="D634" s="28" t="s">
        <v>959</v>
      </c>
      <c r="E634" s="28" t="str">
        <f>IFERROR(IF(C634&gt;0, D634/C634, 0),"-")</f>
        <v>-</v>
      </c>
    </row>
    <row r="635" spans="1:5" x14ac:dyDescent="0.2">
      <c r="A635" s="28" t="s">
        <v>443</v>
      </c>
      <c r="B635" s="28" t="s">
        <v>1321</v>
      </c>
      <c r="C635" s="28" t="s">
        <v>959</v>
      </c>
      <c r="D635" s="28" t="s">
        <v>959</v>
      </c>
      <c r="E635" s="28" t="str">
        <f>IFERROR(IF(C635&gt;0, D635/C635, 0),"-")</f>
        <v>-</v>
      </c>
    </row>
    <row r="636" spans="1:5" x14ac:dyDescent="0.2">
      <c r="A636" s="28" t="s">
        <v>440</v>
      </c>
      <c r="B636" s="28" t="s">
        <v>1322</v>
      </c>
      <c r="C636" s="28" t="s">
        <v>959</v>
      </c>
      <c r="D636" s="28" t="s">
        <v>959</v>
      </c>
      <c r="E636" s="28" t="str">
        <f>IFERROR(IF(C636&gt;0, D636/C636, 0),"-")</f>
        <v>-</v>
      </c>
    </row>
    <row r="637" spans="1:5" x14ac:dyDescent="0.2">
      <c r="A637" s="28" t="s">
        <v>441</v>
      </c>
      <c r="B637" s="28" t="s">
        <v>1323</v>
      </c>
      <c r="C637" s="28" t="s">
        <v>959</v>
      </c>
      <c r="D637" s="28" t="s">
        <v>959</v>
      </c>
      <c r="E637" s="28" t="str">
        <f>IFERROR(IF(C637&gt;0, D637/C637, 0),"-")</f>
        <v>-</v>
      </c>
    </row>
    <row r="638" spans="1:5" x14ac:dyDescent="0.2">
      <c r="A638" s="28" t="s">
        <v>442</v>
      </c>
      <c r="B638" s="28" t="s">
        <v>1324</v>
      </c>
      <c r="C638" s="28" t="s">
        <v>959</v>
      </c>
      <c r="D638" s="28" t="s">
        <v>959</v>
      </c>
      <c r="E638" s="28" t="str">
        <f>IFERROR(IF(C638&gt;0, D638/C638, 0),"-")</f>
        <v>-</v>
      </c>
    </row>
    <row r="639" spans="1:5" x14ac:dyDescent="0.2">
      <c r="A639" s="28" t="s">
        <v>445</v>
      </c>
      <c r="B639" s="28" t="s">
        <v>1325</v>
      </c>
      <c r="C639" s="28" t="s">
        <v>959</v>
      </c>
      <c r="D639" s="28" t="s">
        <v>959</v>
      </c>
      <c r="E639" s="28" t="str">
        <f>IFERROR(IF(C639&gt;0, D639/C639, 0),"-")</f>
        <v>-</v>
      </c>
    </row>
    <row r="640" spans="1:5" x14ac:dyDescent="0.2">
      <c r="A640" s="27"/>
      <c r="B640" s="27" t="s">
        <v>135</v>
      </c>
      <c r="C640" s="27" t="s">
        <v>959</v>
      </c>
      <c r="D640" s="27" t="s">
        <v>959</v>
      </c>
      <c r="E640" s="27" t="str">
        <f>IFERROR(IF(C640&gt;0, D640/C640, 0),"-")</f>
        <v>-</v>
      </c>
    </row>
    <row r="641" spans="1:5" x14ac:dyDescent="0.2">
      <c r="A641" s="28" t="s">
        <v>947</v>
      </c>
      <c r="B641" s="28" t="s">
        <v>1326</v>
      </c>
      <c r="C641" s="28" t="s">
        <v>959</v>
      </c>
      <c r="D641" s="28" t="s">
        <v>959</v>
      </c>
      <c r="E641" s="28" t="str">
        <f>IFERROR(IF(C641&gt;0, D641/C641, 0),"-")</f>
        <v>-</v>
      </c>
    </row>
    <row r="642" spans="1:5" x14ac:dyDescent="0.2">
      <c r="A642" s="28" t="s">
        <v>948</v>
      </c>
      <c r="B642" s="28" t="s">
        <v>1327</v>
      </c>
      <c r="C642" s="28" t="s">
        <v>959</v>
      </c>
      <c r="D642" s="28" t="s">
        <v>959</v>
      </c>
      <c r="E642" s="28" t="str">
        <f>IFERROR(IF(C642&gt;0, D642/C642, 0),"-")</f>
        <v>-</v>
      </c>
    </row>
    <row r="643" spans="1:5" x14ac:dyDescent="0.2">
      <c r="A643" s="28" t="s">
        <v>949</v>
      </c>
      <c r="B643" s="28" t="s">
        <v>1328</v>
      </c>
      <c r="C643" s="28" t="s">
        <v>959</v>
      </c>
      <c r="D643" s="28" t="s">
        <v>959</v>
      </c>
      <c r="E643" s="28" t="str">
        <f>IFERROR(IF(C643&gt;0, D643/C643, 0),"-")</f>
        <v>-</v>
      </c>
    </row>
    <row r="644" spans="1:5" x14ac:dyDescent="0.2">
      <c r="A644" s="28" t="s">
        <v>945</v>
      </c>
      <c r="B644" s="28" t="s">
        <v>1329</v>
      </c>
      <c r="C644" s="28" t="s">
        <v>959</v>
      </c>
      <c r="D644" s="28" t="s">
        <v>959</v>
      </c>
      <c r="E644" s="28" t="str">
        <f>IFERROR(IF(C644&gt;0, D644/C644, 0),"-")</f>
        <v>-</v>
      </c>
    </row>
    <row r="645" spans="1:5" x14ac:dyDescent="0.2">
      <c r="A645" s="28" t="s">
        <v>946</v>
      </c>
      <c r="B645" s="28" t="s">
        <v>1330</v>
      </c>
      <c r="C645" s="28" t="s">
        <v>959</v>
      </c>
      <c r="D645" s="28" t="s">
        <v>959</v>
      </c>
      <c r="E645" s="28" t="str">
        <f>IFERROR(IF(C645&gt;0, D645/C645, 0),"-")</f>
        <v>-</v>
      </c>
    </row>
    <row r="646" spans="1:5" x14ac:dyDescent="0.2">
      <c r="A646" s="28" t="s">
        <v>944</v>
      </c>
      <c r="B646" s="28" t="s">
        <v>1331</v>
      </c>
      <c r="C646" s="28" t="s">
        <v>959</v>
      </c>
      <c r="D646" s="28" t="s">
        <v>959</v>
      </c>
      <c r="E646" s="28" t="str">
        <f>IFERROR(IF(C646&gt;0, D646/C646, 0),"-")</f>
        <v>-</v>
      </c>
    </row>
    <row r="647" spans="1:5" x14ac:dyDescent="0.2">
      <c r="A647" s="27"/>
      <c r="B647" s="27" t="s">
        <v>120</v>
      </c>
      <c r="C647" s="27" t="s">
        <v>959</v>
      </c>
      <c r="D647" s="27" t="s">
        <v>959</v>
      </c>
      <c r="E647" s="27" t="str">
        <f>IFERROR(IF(C647&gt;0, D647/C647, 0),"-")</f>
        <v>-</v>
      </c>
    </row>
    <row r="648" spans="1:5" x14ac:dyDescent="0.2">
      <c r="A648" s="28" t="s">
        <v>856</v>
      </c>
      <c r="B648" s="28" t="s">
        <v>1332</v>
      </c>
      <c r="C648" s="28" t="s">
        <v>959</v>
      </c>
      <c r="D648" s="28" t="s">
        <v>959</v>
      </c>
      <c r="E648" s="28" t="str">
        <f>IFERROR(IF(C648&gt;0, D648/C648, 0),"-")</f>
        <v>-</v>
      </c>
    </row>
    <row r="649" spans="1:5" x14ac:dyDescent="0.2">
      <c r="A649" s="28" t="s">
        <v>854</v>
      </c>
      <c r="B649" s="28" t="s">
        <v>1333</v>
      </c>
      <c r="C649" s="28" t="s">
        <v>959</v>
      </c>
      <c r="D649" s="28" t="s">
        <v>959</v>
      </c>
      <c r="E649" s="28" t="str">
        <f>IFERROR(IF(C649&gt;0, D649/C649, 0),"-")</f>
        <v>-</v>
      </c>
    </row>
    <row r="650" spans="1:5" x14ac:dyDescent="0.2">
      <c r="A650" s="28" t="s">
        <v>851</v>
      </c>
      <c r="B650" s="28" t="s">
        <v>1334</v>
      </c>
      <c r="C650" s="28" t="s">
        <v>959</v>
      </c>
      <c r="D650" s="28" t="s">
        <v>959</v>
      </c>
      <c r="E650" s="28" t="str">
        <f>IFERROR(IF(C650&gt;0, D650/C650, 0),"-")</f>
        <v>-</v>
      </c>
    </row>
    <row r="651" spans="1:5" x14ac:dyDescent="0.2">
      <c r="A651" s="28" t="s">
        <v>855</v>
      </c>
      <c r="B651" s="28" t="s">
        <v>1335</v>
      </c>
      <c r="C651" s="28" t="s">
        <v>959</v>
      </c>
      <c r="D651" s="28" t="s">
        <v>959</v>
      </c>
      <c r="E651" s="28" t="str">
        <f>IFERROR(IF(C651&gt;0, D651/C651, 0),"-")</f>
        <v>-</v>
      </c>
    </row>
    <row r="652" spans="1:5" x14ac:dyDescent="0.2">
      <c r="A652" s="28" t="s">
        <v>853</v>
      </c>
      <c r="B652" s="28" t="s">
        <v>1336</v>
      </c>
      <c r="C652" s="28" t="s">
        <v>959</v>
      </c>
      <c r="D652" s="28" t="s">
        <v>959</v>
      </c>
      <c r="E652" s="28" t="str">
        <f>IFERROR(IF(C652&gt;0, D652/C652, 0),"-")</f>
        <v>-</v>
      </c>
    </row>
    <row r="653" spans="1:5" x14ac:dyDescent="0.2">
      <c r="A653" s="28" t="s">
        <v>852</v>
      </c>
      <c r="B653" s="28" t="s">
        <v>1337</v>
      </c>
      <c r="C653" s="28" t="s">
        <v>959</v>
      </c>
      <c r="D653" s="28" t="s">
        <v>959</v>
      </c>
      <c r="E653" s="28" t="str">
        <f>IFERROR(IF(C653&gt;0, D653/C653, 0),"-")</f>
        <v>-</v>
      </c>
    </row>
    <row r="654" spans="1:5" x14ac:dyDescent="0.2">
      <c r="A654" s="27"/>
      <c r="B654" s="27" t="s">
        <v>99</v>
      </c>
      <c r="C654" s="27" t="s">
        <v>959</v>
      </c>
      <c r="D654" s="27" t="s">
        <v>959</v>
      </c>
      <c r="E654" s="27" t="str">
        <f>IFERROR(IF(C654&gt;0, D654/C654, 0),"-")</f>
        <v>-</v>
      </c>
    </row>
    <row r="655" spans="1:5" x14ac:dyDescent="0.2">
      <c r="A655" s="28" t="s">
        <v>701</v>
      </c>
      <c r="B655" s="28" t="s">
        <v>1338</v>
      </c>
      <c r="C655" s="28" t="s">
        <v>959</v>
      </c>
      <c r="D655" s="28" t="s">
        <v>959</v>
      </c>
      <c r="E655" s="28" t="str">
        <f>IFERROR(IF(C655&gt;0, D655/C655, 0),"-")</f>
        <v>-</v>
      </c>
    </row>
    <row r="656" spans="1:5" x14ac:dyDescent="0.2">
      <c r="A656" s="28" t="s">
        <v>703</v>
      </c>
      <c r="B656" s="28" t="s">
        <v>1339</v>
      </c>
      <c r="C656" s="28" t="s">
        <v>959</v>
      </c>
      <c r="D656" s="28" t="s">
        <v>959</v>
      </c>
      <c r="E656" s="28" t="str">
        <f>IFERROR(IF(C656&gt;0, D656/C656, 0),"-")</f>
        <v>-</v>
      </c>
    </row>
    <row r="657" spans="1:5" x14ac:dyDescent="0.2">
      <c r="A657" s="28" t="s">
        <v>702</v>
      </c>
      <c r="B657" s="28" t="s">
        <v>1340</v>
      </c>
      <c r="C657" s="28" t="s">
        <v>959</v>
      </c>
      <c r="D657" s="28" t="s">
        <v>959</v>
      </c>
      <c r="E657" s="28" t="str">
        <f>IFERROR(IF(C657&gt;0, D657/C657, 0),"-")</f>
        <v>-</v>
      </c>
    </row>
    <row r="658" spans="1:5" x14ac:dyDescent="0.2">
      <c r="A658" s="28" t="s">
        <v>700</v>
      </c>
      <c r="B658" s="28" t="s">
        <v>1341</v>
      </c>
      <c r="C658" s="28" t="s">
        <v>959</v>
      </c>
      <c r="D658" s="28" t="s">
        <v>959</v>
      </c>
      <c r="E658" s="28" t="str">
        <f>IFERROR(IF(C658&gt;0, D658/C658, 0),"-")</f>
        <v>-</v>
      </c>
    </row>
    <row r="659" spans="1:5" x14ac:dyDescent="0.2">
      <c r="A659" s="28" t="s">
        <v>710</v>
      </c>
      <c r="B659" s="28" t="s">
        <v>1342</v>
      </c>
      <c r="C659" s="28" t="s">
        <v>959</v>
      </c>
      <c r="D659" s="28" t="s">
        <v>959</v>
      </c>
      <c r="E659" s="28" t="str">
        <f>IFERROR(IF(C659&gt;0, D659/C659, 0),"-")</f>
        <v>-</v>
      </c>
    </row>
    <row r="660" spans="1:5" x14ac:dyDescent="0.2">
      <c r="A660" s="28" t="s">
        <v>699</v>
      </c>
      <c r="B660" s="28" t="s">
        <v>1343</v>
      </c>
      <c r="C660" s="28" t="s">
        <v>959</v>
      </c>
      <c r="D660" s="28" t="s">
        <v>959</v>
      </c>
      <c r="E660" s="28" t="str">
        <f>IFERROR(IF(C660&gt;0, D660/C660, 0),"-")</f>
        <v>-</v>
      </c>
    </row>
    <row r="661" spans="1:5" x14ac:dyDescent="0.2">
      <c r="A661" s="28" t="s">
        <v>711</v>
      </c>
      <c r="B661" s="28" t="s">
        <v>1344</v>
      </c>
      <c r="C661" s="28" t="s">
        <v>959</v>
      </c>
      <c r="D661" s="28" t="s">
        <v>959</v>
      </c>
      <c r="E661" s="28" t="str">
        <f>IFERROR(IF(C661&gt;0, D661/C661, 0),"-")</f>
        <v>-</v>
      </c>
    </row>
    <row r="662" spans="1:5" x14ac:dyDescent="0.2">
      <c r="A662" s="27"/>
      <c r="B662" s="27" t="s">
        <v>89</v>
      </c>
      <c r="C662" s="27" t="s">
        <v>959</v>
      </c>
      <c r="D662" s="27" t="s">
        <v>959</v>
      </c>
      <c r="E662" s="27" t="str">
        <f>IFERROR(IF(C662&gt;0, D662/C662, 0),"-")</f>
        <v>-</v>
      </c>
    </row>
    <row r="663" spans="1:5" x14ac:dyDescent="0.2">
      <c r="A663" s="28" t="s">
        <v>601</v>
      </c>
      <c r="B663" s="28" t="s">
        <v>1345</v>
      </c>
      <c r="C663" s="28" t="s">
        <v>959</v>
      </c>
      <c r="D663" s="28" t="s">
        <v>959</v>
      </c>
      <c r="E663" s="28" t="str">
        <f>IFERROR(IF(C663&gt;0, D663/C663, 0),"-")</f>
        <v>-</v>
      </c>
    </row>
    <row r="664" spans="1:5" x14ac:dyDescent="0.2">
      <c r="A664" s="28" t="s">
        <v>604</v>
      </c>
      <c r="B664" s="28" t="s">
        <v>1346</v>
      </c>
      <c r="C664" s="28" t="s">
        <v>959</v>
      </c>
      <c r="D664" s="28" t="s">
        <v>959</v>
      </c>
      <c r="E664" s="28" t="str">
        <f>IFERROR(IF(C664&gt;0, D664/C664, 0),"-")</f>
        <v>-</v>
      </c>
    </row>
    <row r="665" spans="1:5" x14ac:dyDescent="0.2">
      <c r="A665" s="28" t="s">
        <v>615</v>
      </c>
      <c r="B665" s="28" t="s">
        <v>1347</v>
      </c>
      <c r="C665" s="28" t="s">
        <v>959</v>
      </c>
      <c r="D665" s="28" t="s">
        <v>959</v>
      </c>
      <c r="E665" s="28" t="str">
        <f>IFERROR(IF(C665&gt;0, D665/C665, 0),"-")</f>
        <v>-</v>
      </c>
    </row>
    <row r="666" spans="1:5" x14ac:dyDescent="0.2">
      <c r="A666" s="28" t="s">
        <v>603</v>
      </c>
      <c r="B666" s="28" t="s">
        <v>1348</v>
      </c>
      <c r="C666" s="28" t="s">
        <v>959</v>
      </c>
      <c r="D666" s="28" t="s">
        <v>959</v>
      </c>
      <c r="E666" s="28" t="str">
        <f>IFERROR(IF(C666&gt;0, D666/C666, 0),"-")</f>
        <v>-</v>
      </c>
    </row>
    <row r="667" spans="1:5" x14ac:dyDescent="0.2">
      <c r="A667" s="28" t="s">
        <v>602</v>
      </c>
      <c r="B667" s="28" t="s">
        <v>1349</v>
      </c>
      <c r="C667" s="28" t="s">
        <v>959</v>
      </c>
      <c r="D667" s="28" t="s">
        <v>959</v>
      </c>
      <c r="E667" s="28" t="str">
        <f>IFERROR(IF(C667&gt;0, D667/C667, 0),"-")</f>
        <v>-</v>
      </c>
    </row>
    <row r="668" spans="1:5" x14ac:dyDescent="0.2">
      <c r="A668" s="27"/>
      <c r="B668" s="27" t="s">
        <v>94</v>
      </c>
      <c r="C668" s="27" t="s">
        <v>959</v>
      </c>
      <c r="D668" s="27" t="s">
        <v>959</v>
      </c>
      <c r="E668" s="27" t="str">
        <f>IFERROR(IF(C668&gt;0, D668/C668, 0),"-")</f>
        <v>-</v>
      </c>
    </row>
    <row r="669" spans="1:5" x14ac:dyDescent="0.2">
      <c r="A669" s="28" t="s">
        <v>639</v>
      </c>
      <c r="B669" s="28" t="s">
        <v>1350</v>
      </c>
      <c r="C669" s="28" t="s">
        <v>959</v>
      </c>
      <c r="D669" s="28" t="s">
        <v>959</v>
      </c>
      <c r="E669" s="28" t="str">
        <f>IFERROR(IF(C669&gt;0, D669/C669, 0),"-")</f>
        <v>-</v>
      </c>
    </row>
    <row r="670" spans="1:5" x14ac:dyDescent="0.2">
      <c r="A670" s="28" t="s">
        <v>644</v>
      </c>
      <c r="B670" s="28" t="s">
        <v>1351</v>
      </c>
      <c r="C670" s="28" t="s">
        <v>959</v>
      </c>
      <c r="D670" s="28" t="s">
        <v>959</v>
      </c>
      <c r="E670" s="28" t="str">
        <f>IFERROR(IF(C670&gt;0, D670/C670, 0),"-")</f>
        <v>-</v>
      </c>
    </row>
    <row r="671" spans="1:5" x14ac:dyDescent="0.2">
      <c r="A671" s="28" t="s">
        <v>663</v>
      </c>
      <c r="B671" s="28" t="s">
        <v>1352</v>
      </c>
      <c r="C671" s="28" t="s">
        <v>959</v>
      </c>
      <c r="D671" s="28" t="s">
        <v>959</v>
      </c>
      <c r="E671" s="28" t="str">
        <f>IFERROR(IF(C671&gt;0, D671/C671, 0),"-")</f>
        <v>-</v>
      </c>
    </row>
    <row r="672" spans="1:5" x14ac:dyDescent="0.2">
      <c r="A672" s="28" t="s">
        <v>643</v>
      </c>
      <c r="B672" s="28" t="s">
        <v>1353</v>
      </c>
      <c r="C672" s="28" t="s">
        <v>959</v>
      </c>
      <c r="D672" s="28" t="s">
        <v>959</v>
      </c>
      <c r="E672" s="28" t="str">
        <f>IFERROR(IF(C672&gt;0, D672/C672, 0),"-")</f>
        <v>-</v>
      </c>
    </row>
    <row r="673" spans="1:5" x14ac:dyDescent="0.2">
      <c r="A673" s="28" t="s">
        <v>638</v>
      </c>
      <c r="B673" s="28" t="s">
        <v>1354</v>
      </c>
      <c r="C673" s="28" t="s">
        <v>959</v>
      </c>
      <c r="D673" s="28" t="s">
        <v>959</v>
      </c>
      <c r="E673" s="28" t="str">
        <f>IFERROR(IF(C673&gt;0, D673/C673, 0),"-")</f>
        <v>-</v>
      </c>
    </row>
    <row r="674" spans="1:5" x14ac:dyDescent="0.2">
      <c r="A674" s="28" t="s">
        <v>640</v>
      </c>
      <c r="B674" s="28" t="s">
        <v>1355</v>
      </c>
      <c r="C674" s="28" t="s">
        <v>959</v>
      </c>
      <c r="D674" s="28" t="s">
        <v>959</v>
      </c>
      <c r="E674" s="28" t="str">
        <f>IFERROR(IF(C674&gt;0, D674/C674, 0),"-")</f>
        <v>-</v>
      </c>
    </row>
    <row r="675" spans="1:5" x14ac:dyDescent="0.2">
      <c r="A675" s="28" t="s">
        <v>642</v>
      </c>
      <c r="B675" s="28" t="s">
        <v>1356</v>
      </c>
      <c r="C675" s="28" t="s">
        <v>959</v>
      </c>
      <c r="D675" s="28" t="s">
        <v>959</v>
      </c>
      <c r="E675" s="28" t="str">
        <f>IFERROR(IF(C675&gt;0, D675/C675, 0),"-")</f>
        <v>-</v>
      </c>
    </row>
    <row r="676" spans="1:5" x14ac:dyDescent="0.2">
      <c r="A676" s="28" t="s">
        <v>641</v>
      </c>
      <c r="B676" s="28" t="s">
        <v>1357</v>
      </c>
      <c r="C676" s="28" t="s">
        <v>959</v>
      </c>
      <c r="D676" s="28" t="s">
        <v>959</v>
      </c>
      <c r="E676" s="28" t="str">
        <f>IFERROR(IF(C676&gt;0, D676/C676, 0),"-")</f>
        <v>-</v>
      </c>
    </row>
    <row r="677" spans="1:5" x14ac:dyDescent="0.2">
      <c r="A677" s="28" t="s">
        <v>645</v>
      </c>
      <c r="B677" s="28" t="s">
        <v>1358</v>
      </c>
      <c r="C677" s="28" t="s">
        <v>959</v>
      </c>
      <c r="D677" s="28" t="s">
        <v>959</v>
      </c>
      <c r="E677" s="28" t="str">
        <f>IFERROR(IF(C677&gt;0, D677/C677, 0),"-")</f>
        <v>-</v>
      </c>
    </row>
    <row r="678" spans="1:5" x14ac:dyDescent="0.2">
      <c r="A678" s="27"/>
      <c r="B678" s="27" t="s">
        <v>34</v>
      </c>
      <c r="C678" s="27" t="s">
        <v>959</v>
      </c>
      <c r="D678" s="27" t="s">
        <v>959</v>
      </c>
      <c r="E678" s="27" t="str">
        <f>IFERROR(IF(C678&gt;0, D678/C678, 0),"-")</f>
        <v>-</v>
      </c>
    </row>
    <row r="679" spans="1:5" x14ac:dyDescent="0.2">
      <c r="A679" s="28" t="s">
        <v>155</v>
      </c>
      <c r="B679" s="28" t="s">
        <v>1244</v>
      </c>
      <c r="C679" s="28" t="s">
        <v>959</v>
      </c>
      <c r="D679" s="28" t="s">
        <v>959</v>
      </c>
      <c r="E679" s="28" t="str">
        <f>IFERROR(IF(C679&gt;0, D679/C679, 0),"-")</f>
        <v>-</v>
      </c>
    </row>
    <row r="680" spans="1:5" x14ac:dyDescent="0.2">
      <c r="A680" s="28" t="s">
        <v>156</v>
      </c>
      <c r="B680" s="28" t="s">
        <v>1359</v>
      </c>
      <c r="C680" s="28" t="s">
        <v>959</v>
      </c>
      <c r="D680" s="28" t="s">
        <v>959</v>
      </c>
      <c r="E680" s="28" t="str">
        <f>IFERROR(IF(C680&gt;0, D680/C680, 0),"-")</f>
        <v>-</v>
      </c>
    </row>
    <row r="681" spans="1:5" x14ac:dyDescent="0.2">
      <c r="A681" s="28" t="s">
        <v>157</v>
      </c>
      <c r="B681" s="28" t="s">
        <v>1360</v>
      </c>
      <c r="C681" s="28" t="s">
        <v>959</v>
      </c>
      <c r="D681" s="28" t="s">
        <v>959</v>
      </c>
      <c r="E681" s="28" t="str">
        <f>IFERROR(IF(C681&gt;0, D681/C681, 0),"-")</f>
        <v>-</v>
      </c>
    </row>
    <row r="682" spans="1:5" x14ac:dyDescent="0.2">
      <c r="A682" s="28" t="s">
        <v>158</v>
      </c>
      <c r="B682" s="28" t="s">
        <v>1022</v>
      </c>
      <c r="C682" s="28" t="s">
        <v>959</v>
      </c>
      <c r="D682" s="28" t="s">
        <v>959</v>
      </c>
      <c r="E682" s="28" t="str">
        <f>IFERROR(IF(C682&gt;0, D682/C682, 0),"-")</f>
        <v>-</v>
      </c>
    </row>
    <row r="683" spans="1:5" x14ac:dyDescent="0.2">
      <c r="A683" s="27"/>
      <c r="B683" s="27" t="s">
        <v>5</v>
      </c>
      <c r="C683" s="27" t="s">
        <v>959</v>
      </c>
      <c r="D683" s="27" t="s">
        <v>959</v>
      </c>
      <c r="E683" s="27" t="str">
        <f>IFERROR(IF(C683&gt;0, D683/C683, 0),"-")</f>
        <v>-</v>
      </c>
    </row>
    <row r="684" spans="1:5" x14ac:dyDescent="0.2">
      <c r="A684" s="28" t="s">
        <v>175</v>
      </c>
      <c r="B684" s="28" t="s">
        <v>1361</v>
      </c>
      <c r="C684" s="28" t="s">
        <v>959</v>
      </c>
      <c r="D684" s="28" t="s">
        <v>959</v>
      </c>
      <c r="E684" s="28" t="str">
        <f>IFERROR(IF(C684&gt;0, D684/C684, 0),"-")</f>
        <v>-</v>
      </c>
    </row>
    <row r="685" spans="1:5" x14ac:dyDescent="0.2">
      <c r="A685" s="28" t="s">
        <v>178</v>
      </c>
      <c r="B685" s="28" t="s">
        <v>1362</v>
      </c>
      <c r="C685" s="28" t="s">
        <v>959</v>
      </c>
      <c r="D685" s="28" t="s">
        <v>959</v>
      </c>
      <c r="E685" s="28" t="str">
        <f>IFERROR(IF(C685&gt;0, D685/C685, 0),"-")</f>
        <v>-</v>
      </c>
    </row>
    <row r="686" spans="1:5" x14ac:dyDescent="0.2">
      <c r="A686" s="28" t="s">
        <v>176</v>
      </c>
      <c r="B686" s="28" t="s">
        <v>1363</v>
      </c>
      <c r="C686" s="28" t="s">
        <v>959</v>
      </c>
      <c r="D686" s="28" t="s">
        <v>959</v>
      </c>
      <c r="E686" s="28" t="str">
        <f>IFERROR(IF(C686&gt;0, D686/C686, 0),"-")</f>
        <v>-</v>
      </c>
    </row>
    <row r="687" spans="1:5" x14ac:dyDescent="0.2">
      <c r="A687" s="28" t="s">
        <v>173</v>
      </c>
      <c r="B687" s="28" t="s">
        <v>1364</v>
      </c>
      <c r="C687" s="28" t="s">
        <v>959</v>
      </c>
      <c r="D687" s="28" t="s">
        <v>959</v>
      </c>
      <c r="E687" s="28" t="str">
        <f>IFERROR(IF(C687&gt;0, D687/C687, 0),"-")</f>
        <v>-</v>
      </c>
    </row>
    <row r="688" spans="1:5" x14ac:dyDescent="0.2">
      <c r="A688" s="28" t="s">
        <v>172</v>
      </c>
      <c r="B688" s="28" t="s">
        <v>1365</v>
      </c>
      <c r="C688" s="28" t="s">
        <v>959</v>
      </c>
      <c r="D688" s="28" t="s">
        <v>959</v>
      </c>
      <c r="E688" s="28" t="str">
        <f>IFERROR(IF(C688&gt;0, D688/C688, 0),"-")</f>
        <v>-</v>
      </c>
    </row>
    <row r="689" spans="1:5" x14ac:dyDescent="0.2">
      <c r="A689" s="28" t="s">
        <v>174</v>
      </c>
      <c r="B689" s="28" t="s">
        <v>1366</v>
      </c>
      <c r="C689" s="28" t="s">
        <v>959</v>
      </c>
      <c r="D689" s="28" t="s">
        <v>959</v>
      </c>
      <c r="E689" s="28" t="str">
        <f>IFERROR(IF(C689&gt;0, D689/C689, 0),"-")</f>
        <v>-</v>
      </c>
    </row>
    <row r="690" spans="1:5" x14ac:dyDescent="0.2">
      <c r="A690" s="28" t="s">
        <v>177</v>
      </c>
      <c r="B690" s="28" t="s">
        <v>1367</v>
      </c>
      <c r="C690" s="28" t="s">
        <v>959</v>
      </c>
      <c r="D690" s="28" t="s">
        <v>959</v>
      </c>
      <c r="E690" s="28" t="str">
        <f>IFERROR(IF(C690&gt;0, D690/C690, 0),"-")</f>
        <v>-</v>
      </c>
    </row>
    <row r="691" spans="1:5" x14ac:dyDescent="0.2">
      <c r="A691" s="27"/>
      <c r="B691" s="27" t="s">
        <v>109</v>
      </c>
      <c r="C691" s="27" t="s">
        <v>959</v>
      </c>
      <c r="D691" s="27" t="s">
        <v>959</v>
      </c>
      <c r="E691" s="27" t="str">
        <f>IFERROR(IF(C691&gt;0, D691/C691, 0),"-")</f>
        <v>-</v>
      </c>
    </row>
    <row r="692" spans="1:5" x14ac:dyDescent="0.2">
      <c r="A692" s="28" t="s">
        <v>782</v>
      </c>
      <c r="B692" s="28" t="s">
        <v>1368</v>
      </c>
      <c r="C692" s="28" t="s">
        <v>959</v>
      </c>
      <c r="D692" s="28" t="s">
        <v>959</v>
      </c>
      <c r="E692" s="28" t="str">
        <f>IFERROR(IF(C692&gt;0, D692/C692, 0),"-")</f>
        <v>-</v>
      </c>
    </row>
    <row r="693" spans="1:5" x14ac:dyDescent="0.2">
      <c r="A693" s="28" t="s">
        <v>784</v>
      </c>
      <c r="B693" s="28" t="s">
        <v>1369</v>
      </c>
      <c r="C693" s="28" t="s">
        <v>959</v>
      </c>
      <c r="D693" s="28" t="s">
        <v>959</v>
      </c>
      <c r="E693" s="28" t="str">
        <f>IFERROR(IF(C693&gt;0, D693/C693, 0),"-")</f>
        <v>-</v>
      </c>
    </row>
    <row r="694" spans="1:5" x14ac:dyDescent="0.2">
      <c r="A694" s="28" t="s">
        <v>783</v>
      </c>
      <c r="B694" s="28" t="s">
        <v>1370</v>
      </c>
      <c r="C694" s="28" t="s">
        <v>959</v>
      </c>
      <c r="D694" s="28" t="s">
        <v>959</v>
      </c>
      <c r="E694" s="28" t="str">
        <f>IFERROR(IF(C694&gt;0, D694/C694, 0),"-")</f>
        <v>-</v>
      </c>
    </row>
    <row r="695" spans="1:5" x14ac:dyDescent="0.2">
      <c r="A695" s="28" t="s">
        <v>785</v>
      </c>
      <c r="B695" s="28" t="s">
        <v>1371</v>
      </c>
      <c r="C695" s="28" t="s">
        <v>959</v>
      </c>
      <c r="D695" s="28" t="s">
        <v>959</v>
      </c>
      <c r="E695" s="28" t="str">
        <f>IFERROR(IF(C695&gt;0, D695/C695, 0),"-")</f>
        <v>-</v>
      </c>
    </row>
    <row r="696" spans="1:5" x14ac:dyDescent="0.2">
      <c r="A696" s="28" t="s">
        <v>786</v>
      </c>
      <c r="B696" s="28" t="s">
        <v>1372</v>
      </c>
      <c r="C696" s="28" t="s">
        <v>959</v>
      </c>
      <c r="D696" s="28" t="s">
        <v>959</v>
      </c>
      <c r="E696" s="28" t="str">
        <f>IFERROR(IF(C696&gt;0, D696/C696, 0),"-")</f>
        <v>-</v>
      </c>
    </row>
    <row r="697" spans="1:5" x14ac:dyDescent="0.2">
      <c r="A697" s="27"/>
      <c r="B697" s="27" t="s">
        <v>121</v>
      </c>
      <c r="C697" s="27" t="s">
        <v>959</v>
      </c>
      <c r="D697" s="27" t="s">
        <v>959</v>
      </c>
      <c r="E697" s="27" t="str">
        <f>IFERROR(IF(C697&gt;0, D697/C697, 0),"-")</f>
        <v>-</v>
      </c>
    </row>
    <row r="698" spans="1:5" x14ac:dyDescent="0.2">
      <c r="A698" s="28" t="s">
        <v>861</v>
      </c>
      <c r="B698" s="28" t="s">
        <v>1373</v>
      </c>
      <c r="C698" s="28" t="s">
        <v>959</v>
      </c>
      <c r="D698" s="28" t="s">
        <v>959</v>
      </c>
      <c r="E698" s="28" t="str">
        <f>IFERROR(IF(C698&gt;0, D698/C698, 0),"-")</f>
        <v>-</v>
      </c>
    </row>
    <row r="699" spans="1:5" x14ac:dyDescent="0.2">
      <c r="A699" s="28" t="s">
        <v>858</v>
      </c>
      <c r="B699" s="28" t="s">
        <v>1374</v>
      </c>
      <c r="C699" s="28" t="s">
        <v>959</v>
      </c>
      <c r="D699" s="28" t="s">
        <v>959</v>
      </c>
      <c r="E699" s="28" t="str">
        <f>IFERROR(IF(C699&gt;0, D699/C699, 0),"-")</f>
        <v>-</v>
      </c>
    </row>
    <row r="700" spans="1:5" x14ac:dyDescent="0.2">
      <c r="A700" s="28" t="s">
        <v>859</v>
      </c>
      <c r="B700" s="28" t="s">
        <v>1375</v>
      </c>
      <c r="C700" s="28" t="s">
        <v>959</v>
      </c>
      <c r="D700" s="28" t="s">
        <v>959</v>
      </c>
      <c r="E700" s="28" t="str">
        <f>IFERROR(IF(C700&gt;0, D700/C700, 0),"-")</f>
        <v>-</v>
      </c>
    </row>
    <row r="701" spans="1:5" x14ac:dyDescent="0.2">
      <c r="A701" s="28" t="s">
        <v>860</v>
      </c>
      <c r="B701" s="28" t="s">
        <v>1376</v>
      </c>
      <c r="C701" s="28" t="s">
        <v>959</v>
      </c>
      <c r="D701" s="28" t="s">
        <v>959</v>
      </c>
      <c r="E701" s="28" t="str">
        <f>IFERROR(IF(C701&gt;0, D701/C701, 0),"-")</f>
        <v>-</v>
      </c>
    </row>
    <row r="702" spans="1:5" x14ac:dyDescent="0.2">
      <c r="A702" s="28" t="s">
        <v>862</v>
      </c>
      <c r="B702" s="28" t="s">
        <v>1377</v>
      </c>
      <c r="C702" s="28" t="s">
        <v>959</v>
      </c>
      <c r="D702" s="28" t="s">
        <v>959</v>
      </c>
      <c r="E702" s="28" t="str">
        <f>IFERROR(IF(C702&gt;0, D702/C702, 0),"-")</f>
        <v>-</v>
      </c>
    </row>
    <row r="703" spans="1:5" x14ac:dyDescent="0.2">
      <c r="A703" s="27"/>
      <c r="B703" s="27" t="s">
        <v>9</v>
      </c>
      <c r="C703" s="27" t="s">
        <v>959</v>
      </c>
      <c r="D703" s="27" t="s">
        <v>959</v>
      </c>
      <c r="E703" s="27" t="str">
        <f>IFERROR(IF(C703&gt;0, D703/C703, 0),"-")</f>
        <v>-</v>
      </c>
    </row>
    <row r="704" spans="1:5" x14ac:dyDescent="0.2">
      <c r="A704" s="28" t="s">
        <v>312</v>
      </c>
      <c r="B704" s="28" t="s">
        <v>1378</v>
      </c>
      <c r="C704" s="28" t="s">
        <v>959</v>
      </c>
      <c r="D704" s="28" t="s">
        <v>959</v>
      </c>
      <c r="E704" s="28" t="str">
        <f>IFERROR(IF(C704&gt;0, D704/C704, 0),"-")</f>
        <v>-</v>
      </c>
    </row>
    <row r="705" spans="1:5" x14ac:dyDescent="0.2">
      <c r="A705" s="28" t="s">
        <v>314</v>
      </c>
      <c r="B705" s="28" t="s">
        <v>1379</v>
      </c>
      <c r="C705" s="28" t="s">
        <v>959</v>
      </c>
      <c r="D705" s="28" t="s">
        <v>959</v>
      </c>
      <c r="E705" s="28" t="str">
        <f>IFERROR(IF(C705&gt;0, D705/C705, 0),"-")</f>
        <v>-</v>
      </c>
    </row>
    <row r="706" spans="1:5" x14ac:dyDescent="0.2">
      <c r="A706" s="28" t="s">
        <v>316</v>
      </c>
      <c r="B706" s="28" t="s">
        <v>1380</v>
      </c>
      <c r="C706" s="28" t="s">
        <v>959</v>
      </c>
      <c r="D706" s="28" t="s">
        <v>959</v>
      </c>
      <c r="E706" s="28" t="str">
        <f>IFERROR(IF(C706&gt;0, D706/C706, 0),"-")</f>
        <v>-</v>
      </c>
    </row>
    <row r="707" spans="1:5" x14ac:dyDescent="0.2">
      <c r="A707" s="28" t="s">
        <v>317</v>
      </c>
      <c r="B707" s="28" t="s">
        <v>1381</v>
      </c>
      <c r="C707" s="28" t="s">
        <v>959</v>
      </c>
      <c r="D707" s="28" t="s">
        <v>959</v>
      </c>
      <c r="E707" s="28" t="str">
        <f>IFERROR(IF(C707&gt;0, D707/C707, 0),"-")</f>
        <v>-</v>
      </c>
    </row>
    <row r="708" spans="1:5" x14ac:dyDescent="0.2">
      <c r="A708" s="28" t="s">
        <v>315</v>
      </c>
      <c r="B708" s="28" t="s">
        <v>1382</v>
      </c>
      <c r="C708" s="28" t="s">
        <v>959</v>
      </c>
      <c r="D708" s="28" t="s">
        <v>959</v>
      </c>
      <c r="E708" s="28" t="str">
        <f>IFERROR(IF(C708&gt;0, D708/C708, 0),"-")</f>
        <v>-</v>
      </c>
    </row>
    <row r="709" spans="1:5" x14ac:dyDescent="0.2">
      <c r="A709" s="28" t="s">
        <v>313</v>
      </c>
      <c r="B709" s="28" t="s">
        <v>1383</v>
      </c>
      <c r="C709" s="28" t="s">
        <v>959</v>
      </c>
      <c r="D709" s="28" t="s">
        <v>959</v>
      </c>
      <c r="E709" s="28" t="str">
        <f>IFERROR(IF(C709&gt;0, D709/C709, 0),"-")</f>
        <v>-</v>
      </c>
    </row>
    <row r="710" spans="1:5" x14ac:dyDescent="0.2">
      <c r="A710" s="28" t="s">
        <v>311</v>
      </c>
      <c r="B710" s="28" t="s">
        <v>1384</v>
      </c>
      <c r="C710" s="28" t="s">
        <v>959</v>
      </c>
      <c r="D710" s="28" t="s">
        <v>959</v>
      </c>
      <c r="E710" s="28" t="str">
        <f>IFERROR(IF(C710&gt;0, D710/C710, 0),"-")</f>
        <v>-</v>
      </c>
    </row>
    <row r="711" spans="1:5" x14ac:dyDescent="0.2">
      <c r="A711" s="28" t="s">
        <v>310</v>
      </c>
      <c r="B711" s="28" t="s">
        <v>1385</v>
      </c>
      <c r="C711" s="28" t="s">
        <v>959</v>
      </c>
      <c r="D711" s="28" t="s">
        <v>959</v>
      </c>
      <c r="E711" s="28" t="str">
        <f>IFERROR(IF(C711&gt;0, D711/C711, 0),"-")</f>
        <v>-</v>
      </c>
    </row>
    <row r="712" spans="1:5" x14ac:dyDescent="0.2">
      <c r="A712" s="27"/>
      <c r="B712" s="27" t="s">
        <v>78</v>
      </c>
      <c r="C712" s="27" t="s">
        <v>959</v>
      </c>
      <c r="D712" s="27" t="s">
        <v>959</v>
      </c>
      <c r="E712" s="27" t="str">
        <f>IFERROR(IF(C712&gt;0, D712/C712, 0),"-")</f>
        <v>-</v>
      </c>
    </row>
    <row r="713" spans="1:5" x14ac:dyDescent="0.2">
      <c r="A713" s="28" t="s">
        <v>523</v>
      </c>
      <c r="B713" s="28" t="s">
        <v>1386</v>
      </c>
      <c r="C713" s="28" t="s">
        <v>959</v>
      </c>
      <c r="D713" s="28" t="s">
        <v>959</v>
      </c>
      <c r="E713" s="28" t="str">
        <f>IFERROR(IF(C713&gt;0, D713/C713, 0),"-")</f>
        <v>-</v>
      </c>
    </row>
    <row r="714" spans="1:5" x14ac:dyDescent="0.2">
      <c r="A714" s="28" t="s">
        <v>521</v>
      </c>
      <c r="B714" s="28" t="s">
        <v>1387</v>
      </c>
      <c r="C714" s="28" t="s">
        <v>959</v>
      </c>
      <c r="D714" s="28" t="s">
        <v>959</v>
      </c>
      <c r="E714" s="28" t="str">
        <f>IFERROR(IF(C714&gt;0, D714/C714, 0),"-")</f>
        <v>-</v>
      </c>
    </row>
    <row r="715" spans="1:5" x14ac:dyDescent="0.2">
      <c r="A715" s="28" t="s">
        <v>526</v>
      </c>
      <c r="B715" s="28" t="s">
        <v>1388</v>
      </c>
      <c r="C715" s="28" t="s">
        <v>959</v>
      </c>
      <c r="D715" s="28" t="s">
        <v>959</v>
      </c>
      <c r="E715" s="28" t="str">
        <f>IFERROR(IF(C715&gt;0, D715/C715, 0),"-")</f>
        <v>-</v>
      </c>
    </row>
    <row r="716" spans="1:5" x14ac:dyDescent="0.2">
      <c r="A716" s="28" t="s">
        <v>522</v>
      </c>
      <c r="B716" s="28" t="s">
        <v>1389</v>
      </c>
      <c r="C716" s="28" t="s">
        <v>959</v>
      </c>
      <c r="D716" s="28" t="s">
        <v>959</v>
      </c>
      <c r="E716" s="28" t="str">
        <f>IFERROR(IF(C716&gt;0, D716/C716, 0),"-")</f>
        <v>-</v>
      </c>
    </row>
    <row r="717" spans="1:5" x14ac:dyDescent="0.2">
      <c r="A717" s="28" t="s">
        <v>525</v>
      </c>
      <c r="B717" s="28" t="s">
        <v>1390</v>
      </c>
      <c r="C717" s="28" t="s">
        <v>959</v>
      </c>
      <c r="D717" s="28" t="s">
        <v>959</v>
      </c>
      <c r="E717" s="28" t="str">
        <f>IFERROR(IF(C717&gt;0, D717/C717, 0),"-")</f>
        <v>-</v>
      </c>
    </row>
    <row r="718" spans="1:5" x14ac:dyDescent="0.2">
      <c r="A718" s="28" t="s">
        <v>524</v>
      </c>
      <c r="B718" s="28" t="s">
        <v>1391</v>
      </c>
      <c r="C718" s="28" t="s">
        <v>959</v>
      </c>
      <c r="D718" s="28" t="s">
        <v>959</v>
      </c>
      <c r="E718" s="28" t="str">
        <f>IFERROR(IF(C718&gt;0, D718/C718, 0),"-")</f>
        <v>-</v>
      </c>
    </row>
    <row r="719" spans="1:5" x14ac:dyDescent="0.2">
      <c r="A719" s="27"/>
      <c r="B719" s="27" t="s">
        <v>104</v>
      </c>
      <c r="C719" s="27" t="s">
        <v>959</v>
      </c>
      <c r="D719" s="27" t="s">
        <v>959</v>
      </c>
      <c r="E719" s="27" t="str">
        <f>IFERROR(IF(C719&gt;0, D719/C719, 0),"-")</f>
        <v>-</v>
      </c>
    </row>
    <row r="720" spans="1:5" x14ac:dyDescent="0.2">
      <c r="A720" s="28" t="s">
        <v>745</v>
      </c>
      <c r="B720" s="28" t="s">
        <v>1392</v>
      </c>
      <c r="C720" s="28" t="s">
        <v>959</v>
      </c>
      <c r="D720" s="28" t="s">
        <v>959</v>
      </c>
      <c r="E720" s="28" t="str">
        <f>IFERROR(IF(C720&gt;0, D720/C720, 0),"-")</f>
        <v>-</v>
      </c>
    </row>
    <row r="721" spans="1:5" x14ac:dyDescent="0.2">
      <c r="A721" s="28" t="s">
        <v>750</v>
      </c>
      <c r="B721" s="28" t="s">
        <v>1393</v>
      </c>
      <c r="C721" s="28" t="s">
        <v>959</v>
      </c>
      <c r="D721" s="28" t="s">
        <v>959</v>
      </c>
      <c r="E721" s="28" t="str">
        <f>IFERROR(IF(C721&gt;0, D721/C721, 0),"-")</f>
        <v>-</v>
      </c>
    </row>
    <row r="722" spans="1:5" x14ac:dyDescent="0.2">
      <c r="A722" s="28" t="s">
        <v>751</v>
      </c>
      <c r="B722" s="28" t="s">
        <v>1394</v>
      </c>
      <c r="C722" s="28" t="s">
        <v>959</v>
      </c>
      <c r="D722" s="28" t="s">
        <v>959</v>
      </c>
      <c r="E722" s="28" t="str">
        <f>IFERROR(IF(C722&gt;0, D722/C722, 0),"-")</f>
        <v>-</v>
      </c>
    </row>
    <row r="723" spans="1:5" x14ac:dyDescent="0.2">
      <c r="A723" s="28" t="s">
        <v>748</v>
      </c>
      <c r="B723" s="28" t="s">
        <v>1395</v>
      </c>
      <c r="C723" s="28" t="s">
        <v>959</v>
      </c>
      <c r="D723" s="28" t="s">
        <v>959</v>
      </c>
      <c r="E723" s="28" t="str">
        <f>IFERROR(IF(C723&gt;0, D723/C723, 0),"-")</f>
        <v>-</v>
      </c>
    </row>
    <row r="724" spans="1:5" x14ac:dyDescent="0.2">
      <c r="A724" s="28" t="s">
        <v>752</v>
      </c>
      <c r="B724" s="28" t="s">
        <v>1396</v>
      </c>
      <c r="C724" s="28" t="s">
        <v>959</v>
      </c>
      <c r="D724" s="28" t="s">
        <v>959</v>
      </c>
      <c r="E724" s="28" t="str">
        <f>IFERROR(IF(C724&gt;0, D724/C724, 0),"-")</f>
        <v>-</v>
      </c>
    </row>
    <row r="725" spans="1:5" x14ac:dyDescent="0.2">
      <c r="A725" s="28" t="s">
        <v>753</v>
      </c>
      <c r="B725" s="28" t="s">
        <v>1397</v>
      </c>
      <c r="C725" s="28" t="s">
        <v>959</v>
      </c>
      <c r="D725" s="28" t="s">
        <v>959</v>
      </c>
      <c r="E725" s="28" t="str">
        <f>IFERROR(IF(C725&gt;0, D725/C725, 0),"-")</f>
        <v>-</v>
      </c>
    </row>
    <row r="726" spans="1:5" x14ac:dyDescent="0.2">
      <c r="A726" s="28" t="s">
        <v>746</v>
      </c>
      <c r="B726" s="28" t="s">
        <v>1398</v>
      </c>
      <c r="C726" s="28" t="s">
        <v>959</v>
      </c>
      <c r="D726" s="28" t="s">
        <v>959</v>
      </c>
      <c r="E726" s="28" t="str">
        <f>IFERROR(IF(C726&gt;0, D726/C726, 0),"-")</f>
        <v>-</v>
      </c>
    </row>
    <row r="727" spans="1:5" x14ac:dyDescent="0.2">
      <c r="A727" s="28" t="s">
        <v>749</v>
      </c>
      <c r="B727" s="28" t="s">
        <v>1399</v>
      </c>
      <c r="C727" s="28" t="s">
        <v>959</v>
      </c>
      <c r="D727" s="28" t="s">
        <v>959</v>
      </c>
      <c r="E727" s="28" t="str">
        <f>IFERROR(IF(C727&gt;0, D727/C727, 0),"-")</f>
        <v>-</v>
      </c>
    </row>
    <row r="728" spans="1:5" x14ac:dyDescent="0.2">
      <c r="A728" s="28" t="s">
        <v>747</v>
      </c>
      <c r="B728" s="28" t="s">
        <v>1400</v>
      </c>
      <c r="C728" s="28" t="s">
        <v>959</v>
      </c>
      <c r="D728" s="28" t="s">
        <v>959</v>
      </c>
      <c r="E728" s="28" t="str">
        <f>IFERROR(IF(C728&gt;0, D728/C728, 0),"-")</f>
        <v>-</v>
      </c>
    </row>
    <row r="729" spans="1:5" x14ac:dyDescent="0.2">
      <c r="A729" s="27"/>
      <c r="B729" s="27" t="s">
        <v>119</v>
      </c>
      <c r="C729" s="27" t="s">
        <v>959</v>
      </c>
      <c r="D729" s="27" t="s">
        <v>959</v>
      </c>
      <c r="E729" s="27" t="str">
        <f>IFERROR(IF(C729&gt;0, D729/C729, 0),"-")</f>
        <v>-</v>
      </c>
    </row>
    <row r="730" spans="1:5" x14ac:dyDescent="0.2">
      <c r="A730" s="28" t="s">
        <v>849</v>
      </c>
      <c r="B730" s="28" t="s">
        <v>1401</v>
      </c>
      <c r="C730" s="28" t="s">
        <v>959</v>
      </c>
      <c r="D730" s="28" t="s">
        <v>959</v>
      </c>
      <c r="E730" s="28" t="str">
        <f>IFERROR(IF(C730&gt;0, D730/C730, 0),"-")</f>
        <v>-</v>
      </c>
    </row>
    <row r="731" spans="1:5" x14ac:dyDescent="0.2">
      <c r="A731" s="28" t="s">
        <v>848</v>
      </c>
      <c r="B731" s="28" t="s">
        <v>1402</v>
      </c>
      <c r="C731" s="28" t="s">
        <v>959</v>
      </c>
      <c r="D731" s="28" t="s">
        <v>959</v>
      </c>
      <c r="E731" s="28" t="str">
        <f>IFERROR(IF(C731&gt;0, D731/C731, 0),"-")</f>
        <v>-</v>
      </c>
    </row>
    <row r="732" spans="1:5" x14ac:dyDescent="0.2">
      <c r="A732" s="28" t="s">
        <v>847</v>
      </c>
      <c r="B732" s="28" t="s">
        <v>1403</v>
      </c>
      <c r="C732" s="28" t="s">
        <v>959</v>
      </c>
      <c r="D732" s="28" t="s">
        <v>959</v>
      </c>
      <c r="E732" s="28" t="str">
        <f>IFERROR(IF(C732&gt;0, D732/C732, 0),"-")</f>
        <v>-</v>
      </c>
    </row>
    <row r="733" spans="1:5" x14ac:dyDescent="0.2">
      <c r="A733" s="28" t="s">
        <v>857</v>
      </c>
      <c r="B733" s="28" t="s">
        <v>1404</v>
      </c>
      <c r="C733" s="28" t="s">
        <v>959</v>
      </c>
      <c r="D733" s="28" t="s">
        <v>959</v>
      </c>
      <c r="E733" s="28" t="str">
        <f>IFERROR(IF(C733&gt;0, D733/C733, 0),"-")</f>
        <v>-</v>
      </c>
    </row>
    <row r="734" spans="1:5" x14ac:dyDescent="0.2">
      <c r="A734" s="28" t="s">
        <v>846</v>
      </c>
      <c r="B734" s="28" t="s">
        <v>1405</v>
      </c>
      <c r="C734" s="28" t="s">
        <v>959</v>
      </c>
      <c r="D734" s="28" t="s">
        <v>959</v>
      </c>
      <c r="E734" s="28" t="str">
        <f>IFERROR(IF(C734&gt;0, D734/C734, 0),"-")</f>
        <v>-</v>
      </c>
    </row>
    <row r="735" spans="1:5" x14ac:dyDescent="0.2">
      <c r="A735" s="28" t="s">
        <v>850</v>
      </c>
      <c r="B735" s="28" t="s">
        <v>1406</v>
      </c>
      <c r="C735" s="28" t="s">
        <v>959</v>
      </c>
      <c r="D735" s="28" t="s">
        <v>959</v>
      </c>
      <c r="E735" s="28" t="str">
        <f>IFERROR(IF(C735&gt;0, D735/C735, 0),"-")</f>
        <v>-</v>
      </c>
    </row>
    <row r="736" spans="1:5" x14ac:dyDescent="0.2">
      <c r="A736" s="27"/>
      <c r="B736" s="27" t="s">
        <v>39</v>
      </c>
      <c r="C736" s="27" t="s">
        <v>959</v>
      </c>
      <c r="D736" s="27" t="s">
        <v>959</v>
      </c>
      <c r="E736" s="27" t="str">
        <f>IFERROR(IF(C736&gt;0, D736/C736, 0),"-")</f>
        <v>-</v>
      </c>
    </row>
    <row r="737" spans="1:5" x14ac:dyDescent="0.2">
      <c r="A737" s="28" t="s">
        <v>199</v>
      </c>
      <c r="B737" s="28" t="s">
        <v>1407</v>
      </c>
      <c r="C737" s="28" t="s">
        <v>959</v>
      </c>
      <c r="D737" s="28" t="s">
        <v>959</v>
      </c>
      <c r="E737" s="28" t="str">
        <f>IFERROR(IF(C737&gt;0, D737/C737, 0),"-")</f>
        <v>-</v>
      </c>
    </row>
    <row r="738" spans="1:5" x14ac:dyDescent="0.2">
      <c r="A738" s="28" t="s">
        <v>202</v>
      </c>
      <c r="B738" s="28" t="s">
        <v>1408</v>
      </c>
      <c r="C738" s="28" t="s">
        <v>959</v>
      </c>
      <c r="D738" s="28" t="s">
        <v>959</v>
      </c>
      <c r="E738" s="28" t="str">
        <f>IFERROR(IF(C738&gt;0, D738/C738, 0),"-")</f>
        <v>-</v>
      </c>
    </row>
    <row r="739" spans="1:5" x14ac:dyDescent="0.2">
      <c r="A739" s="28" t="s">
        <v>201</v>
      </c>
      <c r="B739" s="28" t="s">
        <v>1409</v>
      </c>
      <c r="C739" s="28" t="s">
        <v>959</v>
      </c>
      <c r="D739" s="28" t="s">
        <v>959</v>
      </c>
      <c r="E739" s="28" t="str">
        <f>IFERROR(IF(C739&gt;0, D739/C739, 0),"-")</f>
        <v>-</v>
      </c>
    </row>
    <row r="740" spans="1:5" x14ac:dyDescent="0.2">
      <c r="A740" s="28" t="s">
        <v>207</v>
      </c>
      <c r="B740" s="28" t="s">
        <v>1410</v>
      </c>
      <c r="C740" s="28" t="s">
        <v>959</v>
      </c>
      <c r="D740" s="28" t="s">
        <v>959</v>
      </c>
      <c r="E740" s="28" t="str">
        <f>IFERROR(IF(C740&gt;0, D740/C740, 0),"-")</f>
        <v>-</v>
      </c>
    </row>
    <row r="741" spans="1:5" x14ac:dyDescent="0.2">
      <c r="A741" s="28" t="s">
        <v>206</v>
      </c>
      <c r="B741" s="28" t="s">
        <v>1411</v>
      </c>
      <c r="C741" s="28" t="s">
        <v>959</v>
      </c>
      <c r="D741" s="28" t="s">
        <v>959</v>
      </c>
      <c r="E741" s="28" t="str">
        <f>IFERROR(IF(C741&gt;0, D741/C741, 0),"-")</f>
        <v>-</v>
      </c>
    </row>
    <row r="742" spans="1:5" x14ac:dyDescent="0.2">
      <c r="A742" s="28" t="s">
        <v>200</v>
      </c>
      <c r="B742" s="28" t="s">
        <v>1412</v>
      </c>
      <c r="C742" s="28" t="s">
        <v>959</v>
      </c>
      <c r="D742" s="28" t="s">
        <v>959</v>
      </c>
      <c r="E742" s="28" t="str">
        <f>IFERROR(IF(C742&gt;0, D742/C742, 0),"-")</f>
        <v>-</v>
      </c>
    </row>
    <row r="743" spans="1:5" x14ac:dyDescent="0.2">
      <c r="A743" s="28" t="s">
        <v>203</v>
      </c>
      <c r="B743" s="28" t="s">
        <v>1413</v>
      </c>
      <c r="C743" s="28" t="s">
        <v>959</v>
      </c>
      <c r="D743" s="28" t="s">
        <v>959</v>
      </c>
      <c r="E743" s="28" t="str">
        <f>IFERROR(IF(C743&gt;0, D743/C743, 0),"-")</f>
        <v>-</v>
      </c>
    </row>
    <row r="744" spans="1:5" x14ac:dyDescent="0.2">
      <c r="A744" s="28" t="s">
        <v>204</v>
      </c>
      <c r="B744" s="28" t="s">
        <v>1414</v>
      </c>
      <c r="C744" s="28" t="s">
        <v>959</v>
      </c>
      <c r="D744" s="28" t="s">
        <v>959</v>
      </c>
      <c r="E744" s="28" t="str">
        <f>IFERROR(IF(C744&gt;0, D744/C744, 0),"-")</f>
        <v>-</v>
      </c>
    </row>
    <row r="745" spans="1:5" x14ac:dyDescent="0.2">
      <c r="A745" s="27"/>
      <c r="B745" s="27" t="s">
        <v>25</v>
      </c>
      <c r="C745" s="27" t="s">
        <v>959</v>
      </c>
      <c r="D745" s="27" t="s">
        <v>959</v>
      </c>
      <c r="E745" s="27" t="str">
        <f>IFERROR(IF(C745&gt;0, D745/C745, 0),"-")</f>
        <v>-</v>
      </c>
    </row>
    <row r="746" spans="1:5" x14ac:dyDescent="0.2">
      <c r="A746" s="28" t="s">
        <v>769</v>
      </c>
      <c r="B746" s="28" t="s">
        <v>1415</v>
      </c>
      <c r="C746" s="28" t="s">
        <v>959</v>
      </c>
      <c r="D746" s="28" t="s">
        <v>959</v>
      </c>
      <c r="E746" s="28" t="str">
        <f>IFERROR(IF(C746&gt;0, D746/C746, 0),"-")</f>
        <v>-</v>
      </c>
    </row>
    <row r="747" spans="1:5" x14ac:dyDescent="0.2">
      <c r="A747" s="28" t="s">
        <v>770</v>
      </c>
      <c r="B747" s="28" t="s">
        <v>1416</v>
      </c>
      <c r="C747" s="28" t="s">
        <v>959</v>
      </c>
      <c r="D747" s="28" t="s">
        <v>959</v>
      </c>
      <c r="E747" s="28" t="str">
        <f>IFERROR(IF(C747&gt;0, D747/C747, 0),"-")</f>
        <v>-</v>
      </c>
    </row>
    <row r="748" spans="1:5" x14ac:dyDescent="0.2">
      <c r="A748" s="28" t="s">
        <v>794</v>
      </c>
      <c r="B748" s="28" t="s">
        <v>1417</v>
      </c>
      <c r="C748" s="28" t="s">
        <v>959</v>
      </c>
      <c r="D748" s="28" t="s">
        <v>959</v>
      </c>
      <c r="E748" s="28" t="str">
        <f>IFERROR(IF(C748&gt;0, D748/C748, 0),"-")</f>
        <v>-</v>
      </c>
    </row>
    <row r="749" spans="1:5" x14ac:dyDescent="0.2">
      <c r="A749" s="28" t="s">
        <v>795</v>
      </c>
      <c r="B749" s="28" t="s">
        <v>1418</v>
      </c>
      <c r="C749" s="28" t="s">
        <v>959</v>
      </c>
      <c r="D749" s="28" t="s">
        <v>959</v>
      </c>
      <c r="E749" s="28" t="str">
        <f>IFERROR(IF(C749&gt;0, D749/C749, 0),"-")</f>
        <v>-</v>
      </c>
    </row>
    <row r="750" spans="1:5" x14ac:dyDescent="0.2">
      <c r="A750" s="27"/>
      <c r="B750" s="27" t="s">
        <v>115</v>
      </c>
      <c r="C750" s="27" t="s">
        <v>959</v>
      </c>
      <c r="D750" s="27" t="s">
        <v>959</v>
      </c>
      <c r="E750" s="27" t="str">
        <f>IFERROR(IF(C750&gt;0, D750/C750, 0),"-")</f>
        <v>-</v>
      </c>
    </row>
    <row r="751" spans="1:5" x14ac:dyDescent="0.2">
      <c r="A751" s="28" t="s">
        <v>828</v>
      </c>
      <c r="B751" s="28" t="s">
        <v>1419</v>
      </c>
      <c r="C751" s="28" t="s">
        <v>959</v>
      </c>
      <c r="D751" s="28" t="s">
        <v>959</v>
      </c>
      <c r="E751" s="28" t="str">
        <f>IFERROR(IF(C751&gt;0, D751/C751, 0),"-")</f>
        <v>-</v>
      </c>
    </row>
    <row r="752" spans="1:5" x14ac:dyDescent="0.2">
      <c r="A752" s="28" t="s">
        <v>827</v>
      </c>
      <c r="B752" s="28" t="s">
        <v>1420</v>
      </c>
      <c r="C752" s="28" t="s">
        <v>959</v>
      </c>
      <c r="D752" s="28" t="s">
        <v>959</v>
      </c>
      <c r="E752" s="28" t="str">
        <f>IFERROR(IF(C752&gt;0, D752/C752, 0),"-")</f>
        <v>-</v>
      </c>
    </row>
    <row r="753" spans="1:5" x14ac:dyDescent="0.2">
      <c r="A753" s="28" t="s">
        <v>825</v>
      </c>
      <c r="B753" s="28" t="s">
        <v>1421</v>
      </c>
      <c r="C753" s="28" t="s">
        <v>959</v>
      </c>
      <c r="D753" s="28" t="s">
        <v>959</v>
      </c>
      <c r="E753" s="28" t="str">
        <f>IFERROR(IF(C753&gt;0, D753/C753, 0),"-")</f>
        <v>-</v>
      </c>
    </row>
    <row r="754" spans="1:5" x14ac:dyDescent="0.2">
      <c r="A754" s="28" t="s">
        <v>824</v>
      </c>
      <c r="B754" s="28" t="s">
        <v>1422</v>
      </c>
      <c r="C754" s="28" t="s">
        <v>959</v>
      </c>
      <c r="D754" s="28" t="s">
        <v>959</v>
      </c>
      <c r="E754" s="28" t="str">
        <f>IFERROR(IF(C754&gt;0, D754/C754, 0),"-")</f>
        <v>-</v>
      </c>
    </row>
    <row r="755" spans="1:5" x14ac:dyDescent="0.2">
      <c r="A755" s="28" t="s">
        <v>826</v>
      </c>
      <c r="B755" s="28" t="s">
        <v>1423</v>
      </c>
      <c r="C755" s="28" t="s">
        <v>959</v>
      </c>
      <c r="D755" s="28" t="s">
        <v>959</v>
      </c>
      <c r="E755" s="28" t="str">
        <f>IFERROR(IF(C755&gt;0, D755/C755, 0),"-")</f>
        <v>-</v>
      </c>
    </row>
    <row r="756" spans="1:5" x14ac:dyDescent="0.2">
      <c r="A756" s="27"/>
      <c r="B756" s="27" t="s">
        <v>6</v>
      </c>
      <c r="C756" s="27" t="s">
        <v>959</v>
      </c>
      <c r="D756" s="27" t="s">
        <v>959</v>
      </c>
      <c r="E756" s="27" t="str">
        <f>IFERROR(IF(C756&gt;0, D756/C756, 0),"-")</f>
        <v>-</v>
      </c>
    </row>
    <row r="757" spans="1:5" x14ac:dyDescent="0.2">
      <c r="A757" s="28" t="s">
        <v>180</v>
      </c>
      <c r="B757" s="28" t="s">
        <v>1424</v>
      </c>
      <c r="C757" s="28" t="s">
        <v>959</v>
      </c>
      <c r="D757" s="28" t="s">
        <v>959</v>
      </c>
      <c r="E757" s="28" t="str">
        <f>IFERROR(IF(C757&gt;0, D757/C757, 0),"-")</f>
        <v>-</v>
      </c>
    </row>
    <row r="758" spans="1:5" x14ac:dyDescent="0.2">
      <c r="A758" s="28" t="s">
        <v>216</v>
      </c>
      <c r="B758" s="28" t="s">
        <v>1425</v>
      </c>
      <c r="C758" s="28" t="s">
        <v>959</v>
      </c>
      <c r="D758" s="28" t="s">
        <v>959</v>
      </c>
      <c r="E758" s="28" t="str">
        <f>IFERROR(IF(C758&gt;0, D758/C758, 0),"-")</f>
        <v>-</v>
      </c>
    </row>
    <row r="759" spans="1:5" x14ac:dyDescent="0.2">
      <c r="A759" s="28" t="s">
        <v>162</v>
      </c>
      <c r="B759" s="28" t="s">
        <v>1426</v>
      </c>
      <c r="C759" s="28" t="s">
        <v>959</v>
      </c>
      <c r="D759" s="28" t="s">
        <v>959</v>
      </c>
      <c r="E759" s="28" t="str">
        <f>IFERROR(IF(C759&gt;0, D759/C759, 0),"-")</f>
        <v>-</v>
      </c>
    </row>
    <row r="760" spans="1:5" x14ac:dyDescent="0.2">
      <c r="A760" s="28" t="s">
        <v>161</v>
      </c>
      <c r="B760" s="28" t="s">
        <v>1427</v>
      </c>
      <c r="C760" s="28" t="s">
        <v>959</v>
      </c>
      <c r="D760" s="28" t="s">
        <v>959</v>
      </c>
      <c r="E760" s="28" t="str">
        <f>IFERROR(IF(C760&gt;0, D760/C760, 0),"-")</f>
        <v>-</v>
      </c>
    </row>
    <row r="761" spans="1:5" x14ac:dyDescent="0.2">
      <c r="A761" s="28" t="s">
        <v>182</v>
      </c>
      <c r="B761" s="28" t="s">
        <v>1428</v>
      </c>
      <c r="C761" s="28" t="s">
        <v>959</v>
      </c>
      <c r="D761" s="28" t="s">
        <v>959</v>
      </c>
      <c r="E761" s="28" t="str">
        <f>IFERROR(IF(C761&gt;0, D761/C761, 0),"-")</f>
        <v>-</v>
      </c>
    </row>
    <row r="762" spans="1:5" x14ac:dyDescent="0.2">
      <c r="A762" s="28" t="s">
        <v>164</v>
      </c>
      <c r="B762" s="28" t="s">
        <v>1429</v>
      </c>
      <c r="C762" s="28" t="s">
        <v>959</v>
      </c>
      <c r="D762" s="28" t="s">
        <v>959</v>
      </c>
      <c r="E762" s="28" t="str">
        <f>IFERROR(IF(C762&gt;0, D762/C762, 0),"-")</f>
        <v>-</v>
      </c>
    </row>
    <row r="763" spans="1:5" x14ac:dyDescent="0.2">
      <c r="A763" s="28" t="s">
        <v>163</v>
      </c>
      <c r="B763" s="28" t="s">
        <v>1430</v>
      </c>
      <c r="C763" s="28" t="s">
        <v>959</v>
      </c>
      <c r="D763" s="28" t="s">
        <v>959</v>
      </c>
      <c r="E763" s="28" t="str">
        <f>IFERROR(IF(C763&gt;0, D763/C763, 0),"-")</f>
        <v>-</v>
      </c>
    </row>
    <row r="764" spans="1:5" x14ac:dyDescent="0.2">
      <c r="A764" s="28" t="s">
        <v>160</v>
      </c>
      <c r="B764" s="28" t="s">
        <v>1431</v>
      </c>
      <c r="C764" s="28" t="s">
        <v>959</v>
      </c>
      <c r="D764" s="28" t="s">
        <v>959</v>
      </c>
      <c r="E764" s="28" t="str">
        <f>IFERROR(IF(C764&gt;0, D764/C764, 0),"-")</f>
        <v>-</v>
      </c>
    </row>
    <row r="765" spans="1:5" x14ac:dyDescent="0.2">
      <c r="A765" s="28" t="s">
        <v>179</v>
      </c>
      <c r="B765" s="28" t="s">
        <v>1432</v>
      </c>
      <c r="C765" s="28" t="s">
        <v>959</v>
      </c>
      <c r="D765" s="28" t="s">
        <v>959</v>
      </c>
      <c r="E765" s="28" t="str">
        <f>IFERROR(IF(C765&gt;0, D765/C765, 0),"-")</f>
        <v>-</v>
      </c>
    </row>
    <row r="766" spans="1:5" x14ac:dyDescent="0.2">
      <c r="A766" s="28" t="s">
        <v>159</v>
      </c>
      <c r="B766" s="28" t="s">
        <v>1433</v>
      </c>
      <c r="C766" s="28" t="s">
        <v>959</v>
      </c>
      <c r="D766" s="28" t="s">
        <v>959</v>
      </c>
      <c r="E766" s="28" t="str">
        <f>IFERROR(IF(C766&gt;0, D766/C766, 0),"-")</f>
        <v>-</v>
      </c>
    </row>
    <row r="767" spans="1:5" x14ac:dyDescent="0.2">
      <c r="A767" s="27"/>
      <c r="B767" s="27" t="s">
        <v>40</v>
      </c>
      <c r="C767" s="27" t="s">
        <v>959</v>
      </c>
      <c r="D767" s="27" t="s">
        <v>959</v>
      </c>
      <c r="E767" s="27" t="str">
        <f>IFERROR(IF(C767&gt;0, D767/C767, 0),"-")</f>
        <v>-</v>
      </c>
    </row>
    <row r="768" spans="1:5" x14ac:dyDescent="0.2">
      <c r="A768" s="28" t="s">
        <v>213</v>
      </c>
      <c r="B768" s="28" t="s">
        <v>1434</v>
      </c>
      <c r="C768" s="28" t="s">
        <v>959</v>
      </c>
      <c r="D768" s="28" t="s">
        <v>959</v>
      </c>
      <c r="E768" s="28" t="str">
        <f>IFERROR(IF(C768&gt;0, D768/C768, 0),"-")</f>
        <v>-</v>
      </c>
    </row>
    <row r="769" spans="1:5" x14ac:dyDescent="0.2">
      <c r="A769" s="28" t="s">
        <v>227</v>
      </c>
      <c r="B769" s="28" t="s">
        <v>1435</v>
      </c>
      <c r="C769" s="28" t="s">
        <v>959</v>
      </c>
      <c r="D769" s="28" t="s">
        <v>959</v>
      </c>
      <c r="E769" s="28" t="str">
        <f>IFERROR(IF(C769&gt;0, D769/C769, 0),"-")</f>
        <v>-</v>
      </c>
    </row>
    <row r="770" spans="1:5" x14ac:dyDescent="0.2">
      <c r="A770" s="28" t="s">
        <v>228</v>
      </c>
      <c r="B770" s="28" t="s">
        <v>1436</v>
      </c>
      <c r="C770" s="28" t="s">
        <v>959</v>
      </c>
      <c r="D770" s="28" t="s">
        <v>959</v>
      </c>
      <c r="E770" s="28" t="str">
        <f>IFERROR(IF(C770&gt;0, D770/C770, 0),"-")</f>
        <v>-</v>
      </c>
    </row>
    <row r="771" spans="1:5" x14ac:dyDescent="0.2">
      <c r="A771" s="28" t="s">
        <v>226</v>
      </c>
      <c r="B771" s="28" t="s">
        <v>1437</v>
      </c>
      <c r="C771" s="28" t="s">
        <v>959</v>
      </c>
      <c r="D771" s="28" t="s">
        <v>959</v>
      </c>
      <c r="E771" s="28" t="str">
        <f>IFERROR(IF(C771&gt;0, D771/C771, 0),"-")</f>
        <v>-</v>
      </c>
    </row>
    <row r="772" spans="1:5" x14ac:dyDescent="0.2">
      <c r="A772" s="28" t="s">
        <v>209</v>
      </c>
      <c r="B772" s="28" t="s">
        <v>1438</v>
      </c>
      <c r="C772" s="28" t="s">
        <v>959</v>
      </c>
      <c r="D772" s="28" t="s">
        <v>959</v>
      </c>
      <c r="E772" s="28" t="str">
        <f>IFERROR(IF(C772&gt;0, D772/C772, 0),"-")</f>
        <v>-</v>
      </c>
    </row>
    <row r="773" spans="1:5" x14ac:dyDescent="0.2">
      <c r="A773" s="28" t="s">
        <v>212</v>
      </c>
      <c r="B773" s="28" t="s">
        <v>1439</v>
      </c>
      <c r="C773" s="28" t="s">
        <v>959</v>
      </c>
      <c r="D773" s="28" t="s">
        <v>959</v>
      </c>
      <c r="E773" s="28" t="str">
        <f>IFERROR(IF(C773&gt;0, D773/C773, 0),"-")</f>
        <v>-</v>
      </c>
    </row>
    <row r="774" spans="1:5" x14ac:dyDescent="0.2">
      <c r="A774" s="28" t="s">
        <v>211</v>
      </c>
      <c r="B774" s="28" t="s">
        <v>1437</v>
      </c>
      <c r="C774" s="28" t="s">
        <v>959</v>
      </c>
      <c r="D774" s="28" t="s">
        <v>959</v>
      </c>
      <c r="E774" s="28" t="str">
        <f>IFERROR(IF(C774&gt;0, D774/C774, 0),"-")</f>
        <v>-</v>
      </c>
    </row>
    <row r="775" spans="1:5" x14ac:dyDescent="0.2">
      <c r="A775" s="28" t="s">
        <v>210</v>
      </c>
      <c r="B775" s="28" t="s">
        <v>1440</v>
      </c>
      <c r="C775" s="28" t="s">
        <v>959</v>
      </c>
      <c r="D775" s="28" t="s">
        <v>959</v>
      </c>
      <c r="E775" s="28" t="str">
        <f>IFERROR(IF(C775&gt;0, D775/C775, 0),"-")</f>
        <v>-</v>
      </c>
    </row>
    <row r="776" spans="1:5" x14ac:dyDescent="0.2">
      <c r="A776" s="28" t="s">
        <v>215</v>
      </c>
      <c r="B776" s="28" t="s">
        <v>1441</v>
      </c>
      <c r="C776" s="28" t="s">
        <v>959</v>
      </c>
      <c r="D776" s="28" t="s">
        <v>959</v>
      </c>
      <c r="E776" s="28" t="str">
        <f>IFERROR(IF(C776&gt;0, D776/C776, 0),"-")</f>
        <v>-</v>
      </c>
    </row>
    <row r="777" spans="1:5" x14ac:dyDescent="0.2">
      <c r="A777" s="28" t="s">
        <v>214</v>
      </c>
      <c r="B777" s="28" t="s">
        <v>1442</v>
      </c>
      <c r="C777" s="28" t="s">
        <v>959</v>
      </c>
      <c r="D777" s="28" t="s">
        <v>959</v>
      </c>
      <c r="E777" s="28" t="str">
        <f>IFERROR(IF(C777&gt;0, D777/C777, 0),"-")</f>
        <v>-</v>
      </c>
    </row>
    <row r="778" spans="1:5" x14ac:dyDescent="0.2">
      <c r="A778" s="28" t="s">
        <v>208</v>
      </c>
      <c r="B778" s="28" t="s">
        <v>1443</v>
      </c>
      <c r="C778" s="28" t="s">
        <v>959</v>
      </c>
      <c r="D778" s="28" t="s">
        <v>959</v>
      </c>
      <c r="E778" s="28" t="str">
        <f>IFERROR(IF(C778&gt;0, D778/C778, 0),"-")</f>
        <v>-</v>
      </c>
    </row>
    <row r="779" spans="1:5" x14ac:dyDescent="0.2">
      <c r="A779" s="27"/>
      <c r="B779" s="27" t="s">
        <v>58</v>
      </c>
      <c r="C779" s="27" t="s">
        <v>959</v>
      </c>
      <c r="D779" s="27" t="s">
        <v>959</v>
      </c>
      <c r="E779" s="27" t="str">
        <f>IFERROR(IF(C779&gt;0, D779/C779, 0),"-")</f>
        <v>-</v>
      </c>
    </row>
    <row r="780" spans="1:5" x14ac:dyDescent="0.2">
      <c r="A780" s="28" t="s">
        <v>361</v>
      </c>
      <c r="B780" s="28" t="s">
        <v>989</v>
      </c>
      <c r="C780" s="28" t="s">
        <v>959</v>
      </c>
      <c r="D780" s="28" t="s">
        <v>959</v>
      </c>
      <c r="E780" s="28" t="str">
        <f>IFERROR(IF(C780&gt;0, D780/C780, 0),"-")</f>
        <v>-</v>
      </c>
    </row>
    <row r="781" spans="1:5" x14ac:dyDescent="0.2">
      <c r="A781" s="28" t="s">
        <v>358</v>
      </c>
      <c r="B781" s="28" t="s">
        <v>1444</v>
      </c>
      <c r="C781" s="28" t="s">
        <v>959</v>
      </c>
      <c r="D781" s="28" t="s">
        <v>959</v>
      </c>
      <c r="E781" s="28" t="str">
        <f>IFERROR(IF(C781&gt;0, D781/C781, 0),"-")</f>
        <v>-</v>
      </c>
    </row>
    <row r="782" spans="1:5" x14ac:dyDescent="0.2">
      <c r="A782" s="28" t="s">
        <v>357</v>
      </c>
      <c r="B782" s="28" t="s">
        <v>1445</v>
      </c>
      <c r="C782" s="28" t="s">
        <v>959</v>
      </c>
      <c r="D782" s="28" t="s">
        <v>959</v>
      </c>
      <c r="E782" s="28" t="str">
        <f>IFERROR(IF(C782&gt;0, D782/C782, 0),"-")</f>
        <v>-</v>
      </c>
    </row>
    <row r="783" spans="1:5" x14ac:dyDescent="0.2">
      <c r="A783" s="28" t="s">
        <v>360</v>
      </c>
      <c r="B783" s="28" t="s">
        <v>1446</v>
      </c>
      <c r="C783" s="28" t="s">
        <v>959</v>
      </c>
      <c r="D783" s="28" t="s">
        <v>959</v>
      </c>
      <c r="E783" s="28" t="str">
        <f>IFERROR(IF(C783&gt;0, D783/C783, 0),"-")</f>
        <v>-</v>
      </c>
    </row>
    <row r="784" spans="1:5" x14ac:dyDescent="0.2">
      <c r="A784" s="28" t="s">
        <v>367</v>
      </c>
      <c r="B784" s="28" t="s">
        <v>1447</v>
      </c>
      <c r="C784" s="28" t="s">
        <v>959</v>
      </c>
      <c r="D784" s="28" t="s">
        <v>959</v>
      </c>
      <c r="E784" s="28" t="str">
        <f>IFERROR(IF(C784&gt;0, D784/C784, 0),"-")</f>
        <v>-</v>
      </c>
    </row>
    <row r="785" spans="1:5" x14ac:dyDescent="0.2">
      <c r="A785" s="28" t="s">
        <v>359</v>
      </c>
      <c r="B785" s="28" t="s">
        <v>1448</v>
      </c>
      <c r="C785" s="28" t="s">
        <v>959</v>
      </c>
      <c r="D785" s="28" t="s">
        <v>959</v>
      </c>
      <c r="E785" s="28" t="str">
        <f>IFERROR(IF(C785&gt;0, D785/C785, 0),"-")</f>
        <v>-</v>
      </c>
    </row>
    <row r="786" spans="1:5" x14ac:dyDescent="0.2">
      <c r="A786" s="27"/>
      <c r="B786" s="27" t="s">
        <v>43</v>
      </c>
      <c r="C786" s="27" t="s">
        <v>959</v>
      </c>
      <c r="D786" s="27" t="s">
        <v>959</v>
      </c>
      <c r="E786" s="27" t="str">
        <f>IFERROR(IF(C786&gt;0, D786/C786, 0),"-")</f>
        <v>-</v>
      </c>
    </row>
    <row r="787" spans="1:5" x14ac:dyDescent="0.2">
      <c r="A787" s="28" t="s">
        <v>229</v>
      </c>
      <c r="B787" s="28" t="s">
        <v>1449</v>
      </c>
      <c r="C787" s="28" t="s">
        <v>959</v>
      </c>
      <c r="D787" s="28" t="s">
        <v>959</v>
      </c>
      <c r="E787" s="28" t="str">
        <f>IFERROR(IF(C787&gt;0, D787/C787, 0),"-")</f>
        <v>-</v>
      </c>
    </row>
    <row r="788" spans="1:5" x14ac:dyDescent="0.2">
      <c r="A788" s="28" t="s">
        <v>232</v>
      </c>
      <c r="B788" s="28" t="s">
        <v>1450</v>
      </c>
      <c r="C788" s="28" t="s">
        <v>959</v>
      </c>
      <c r="D788" s="28" t="s">
        <v>959</v>
      </c>
      <c r="E788" s="28" t="str">
        <f>IFERROR(IF(C788&gt;0, D788/C788, 0),"-")</f>
        <v>-</v>
      </c>
    </row>
    <row r="789" spans="1:5" x14ac:dyDescent="0.2">
      <c r="A789" s="28" t="s">
        <v>236</v>
      </c>
      <c r="B789" s="28" t="s">
        <v>1451</v>
      </c>
      <c r="C789" s="28" t="s">
        <v>959</v>
      </c>
      <c r="D789" s="28" t="s">
        <v>959</v>
      </c>
      <c r="E789" s="28" t="str">
        <f>IFERROR(IF(C789&gt;0, D789/C789, 0),"-")</f>
        <v>-</v>
      </c>
    </row>
    <row r="790" spans="1:5" x14ac:dyDescent="0.2">
      <c r="A790" s="28" t="s">
        <v>235</v>
      </c>
      <c r="B790" s="28" t="s">
        <v>1452</v>
      </c>
      <c r="C790" s="28" t="s">
        <v>959</v>
      </c>
      <c r="D790" s="28" t="s">
        <v>959</v>
      </c>
      <c r="E790" s="28" t="str">
        <f>IFERROR(IF(C790&gt;0, D790/C790, 0),"-")</f>
        <v>-</v>
      </c>
    </row>
    <row r="791" spans="1:5" x14ac:dyDescent="0.2">
      <c r="A791" s="28" t="s">
        <v>234</v>
      </c>
      <c r="B791" s="28" t="s">
        <v>1453</v>
      </c>
      <c r="C791" s="28" t="s">
        <v>959</v>
      </c>
      <c r="D791" s="28" t="s">
        <v>959</v>
      </c>
      <c r="E791" s="28" t="str">
        <f>IFERROR(IF(C791&gt;0, D791/C791, 0),"-")</f>
        <v>-</v>
      </c>
    </row>
    <row r="792" spans="1:5" x14ac:dyDescent="0.2">
      <c r="A792" s="28" t="s">
        <v>231</v>
      </c>
      <c r="B792" s="28" t="s">
        <v>1446</v>
      </c>
      <c r="C792" s="28" t="s">
        <v>959</v>
      </c>
      <c r="D792" s="28" t="s">
        <v>959</v>
      </c>
      <c r="E792" s="28" t="str">
        <f>IFERROR(IF(C792&gt;0, D792/C792, 0),"-")</f>
        <v>-</v>
      </c>
    </row>
    <row r="793" spans="1:5" x14ac:dyDescent="0.2">
      <c r="A793" s="28" t="s">
        <v>237</v>
      </c>
      <c r="B793" s="28" t="s">
        <v>1454</v>
      </c>
      <c r="C793" s="28" t="s">
        <v>959</v>
      </c>
      <c r="D793" s="28" t="s">
        <v>959</v>
      </c>
      <c r="E793" s="28" t="str">
        <f>IFERROR(IF(C793&gt;0, D793/C793, 0),"-")</f>
        <v>-</v>
      </c>
    </row>
    <row r="794" spans="1:5" x14ac:dyDescent="0.2">
      <c r="A794" s="28" t="s">
        <v>230</v>
      </c>
      <c r="B794" s="28" t="s">
        <v>1455</v>
      </c>
      <c r="C794" s="28" t="s">
        <v>959</v>
      </c>
      <c r="D794" s="28" t="s">
        <v>959</v>
      </c>
      <c r="E794" s="28" t="str">
        <f>IFERROR(IF(C794&gt;0, D794/C794, 0),"-")</f>
        <v>-</v>
      </c>
    </row>
    <row r="795" spans="1:5" x14ac:dyDescent="0.2">
      <c r="A795" s="28" t="s">
        <v>233</v>
      </c>
      <c r="B795" s="28" t="s">
        <v>1106</v>
      </c>
      <c r="C795" s="28" t="s">
        <v>959</v>
      </c>
      <c r="D795" s="28" t="s">
        <v>959</v>
      </c>
      <c r="E795" s="28" t="str">
        <f>IFERROR(IF(C795&gt;0, D795/C795, 0),"-")</f>
        <v>-</v>
      </c>
    </row>
    <row r="796" spans="1:5" x14ac:dyDescent="0.2">
      <c r="A796" s="27"/>
      <c r="B796" s="27" t="s">
        <v>101</v>
      </c>
      <c r="C796" s="27" t="s">
        <v>959</v>
      </c>
      <c r="D796" s="27" t="s">
        <v>959</v>
      </c>
      <c r="E796" s="27" t="str">
        <f>IFERROR(IF(C796&gt;0, D796/C796, 0),"-")</f>
        <v>-</v>
      </c>
    </row>
    <row r="797" spans="1:5" x14ac:dyDescent="0.2">
      <c r="A797" s="28" t="s">
        <v>712</v>
      </c>
      <c r="B797" s="28" t="s">
        <v>1456</v>
      </c>
      <c r="C797" s="28" t="s">
        <v>959</v>
      </c>
      <c r="D797" s="28" t="s">
        <v>959</v>
      </c>
      <c r="E797" s="28" t="str">
        <f>IFERROR(IF(C797&gt;0, D797/C797, 0),"-")</f>
        <v>-</v>
      </c>
    </row>
    <row r="798" spans="1:5" x14ac:dyDescent="0.2">
      <c r="A798" s="28" t="s">
        <v>716</v>
      </c>
      <c r="B798" s="28" t="s">
        <v>1457</v>
      </c>
      <c r="C798" s="28" t="s">
        <v>959</v>
      </c>
      <c r="D798" s="28" t="s">
        <v>959</v>
      </c>
      <c r="E798" s="28" t="str">
        <f>IFERROR(IF(C798&gt;0, D798/C798, 0),"-")</f>
        <v>-</v>
      </c>
    </row>
    <row r="799" spans="1:5" x14ac:dyDescent="0.2">
      <c r="A799" s="28" t="s">
        <v>718</v>
      </c>
      <c r="B799" s="28" t="s">
        <v>1458</v>
      </c>
      <c r="C799" s="28" t="s">
        <v>959</v>
      </c>
      <c r="D799" s="28" t="s">
        <v>959</v>
      </c>
      <c r="E799" s="28" t="str">
        <f>IFERROR(IF(C799&gt;0, D799/C799, 0),"-")</f>
        <v>-</v>
      </c>
    </row>
    <row r="800" spans="1:5" x14ac:dyDescent="0.2">
      <c r="A800" s="28" t="s">
        <v>715</v>
      </c>
      <c r="B800" s="28" t="s">
        <v>1459</v>
      </c>
      <c r="C800" s="28" t="s">
        <v>959</v>
      </c>
      <c r="D800" s="28" t="s">
        <v>959</v>
      </c>
      <c r="E800" s="28" t="str">
        <f>IFERROR(IF(C800&gt;0, D800/C800, 0),"-")</f>
        <v>-</v>
      </c>
    </row>
    <row r="801" spans="1:5" x14ac:dyDescent="0.2">
      <c r="A801" s="28" t="s">
        <v>714</v>
      </c>
      <c r="B801" s="28" t="s">
        <v>1460</v>
      </c>
      <c r="C801" s="28" t="s">
        <v>959</v>
      </c>
      <c r="D801" s="28" t="s">
        <v>959</v>
      </c>
      <c r="E801" s="28" t="str">
        <f>IFERROR(IF(C801&gt;0, D801/C801, 0),"-")</f>
        <v>-</v>
      </c>
    </row>
    <row r="802" spans="1:5" x14ac:dyDescent="0.2">
      <c r="A802" s="28" t="s">
        <v>717</v>
      </c>
      <c r="B802" s="28" t="s">
        <v>1461</v>
      </c>
      <c r="C802" s="28" t="s">
        <v>959</v>
      </c>
      <c r="D802" s="28" t="s">
        <v>959</v>
      </c>
      <c r="E802" s="28" t="str">
        <f>IFERROR(IF(C802&gt;0, D802/C802, 0),"-")</f>
        <v>-</v>
      </c>
    </row>
    <row r="803" spans="1:5" x14ac:dyDescent="0.2">
      <c r="A803" s="28" t="s">
        <v>732</v>
      </c>
      <c r="B803" s="28" t="s">
        <v>1462</v>
      </c>
      <c r="C803" s="28" t="s">
        <v>959</v>
      </c>
      <c r="D803" s="28" t="s">
        <v>959</v>
      </c>
      <c r="E803" s="28" t="str">
        <f>IFERROR(IF(C803&gt;0, D803/C803, 0),"-")</f>
        <v>-</v>
      </c>
    </row>
    <row r="804" spans="1:5" x14ac:dyDescent="0.2">
      <c r="A804" s="28" t="s">
        <v>713</v>
      </c>
      <c r="B804" s="28" t="s">
        <v>1463</v>
      </c>
      <c r="C804" s="28" t="s">
        <v>959</v>
      </c>
      <c r="D804" s="28" t="s">
        <v>959</v>
      </c>
      <c r="E804" s="28" t="str">
        <f>IFERROR(IF(C804&gt;0, D804/C804, 0),"-")</f>
        <v>-</v>
      </c>
    </row>
    <row r="805" spans="1:5" x14ac:dyDescent="0.2">
      <c r="A805" s="27"/>
      <c r="B805" s="27" t="s">
        <v>57</v>
      </c>
      <c r="C805" s="27" t="s">
        <v>959</v>
      </c>
      <c r="D805" s="27" t="s">
        <v>959</v>
      </c>
      <c r="E805" s="27" t="str">
        <f>IFERROR(IF(C805&gt;0, D805/C805, 0),"-")</f>
        <v>-</v>
      </c>
    </row>
    <row r="806" spans="1:5" x14ac:dyDescent="0.2">
      <c r="A806" s="28" t="s">
        <v>356</v>
      </c>
      <c r="B806" s="28" t="s">
        <v>1464</v>
      </c>
      <c r="C806" s="28" t="s">
        <v>959</v>
      </c>
      <c r="D806" s="28" t="s">
        <v>959</v>
      </c>
      <c r="E806" s="28" t="str">
        <f>IFERROR(IF(C806&gt;0, D806/C806, 0),"-")</f>
        <v>-</v>
      </c>
    </row>
    <row r="807" spans="1:5" x14ac:dyDescent="0.2">
      <c r="A807" s="28" t="s">
        <v>353</v>
      </c>
      <c r="B807" s="28" t="s">
        <v>1465</v>
      </c>
      <c r="C807" s="28" t="s">
        <v>959</v>
      </c>
      <c r="D807" s="28" t="s">
        <v>959</v>
      </c>
      <c r="E807" s="28" t="str">
        <f>IFERROR(IF(C807&gt;0, D807/C807, 0),"-")</f>
        <v>-</v>
      </c>
    </row>
    <row r="808" spans="1:5" x14ac:dyDescent="0.2">
      <c r="A808" s="28" t="s">
        <v>354</v>
      </c>
      <c r="B808" s="28" t="s">
        <v>1466</v>
      </c>
      <c r="C808" s="28" t="s">
        <v>959</v>
      </c>
      <c r="D808" s="28" t="s">
        <v>959</v>
      </c>
      <c r="E808" s="28" t="str">
        <f>IFERROR(IF(C808&gt;0, D808/C808, 0),"-")</f>
        <v>-</v>
      </c>
    </row>
    <row r="809" spans="1:5" x14ac:dyDescent="0.2">
      <c r="A809" s="28" t="s">
        <v>355</v>
      </c>
      <c r="B809" s="28" t="s">
        <v>1467</v>
      </c>
      <c r="C809" s="28" t="s">
        <v>959</v>
      </c>
      <c r="D809" s="28" t="s">
        <v>959</v>
      </c>
      <c r="E809" s="28" t="str">
        <f>IFERROR(IF(C809&gt;0, D809/C809, 0),"-")</f>
        <v>-</v>
      </c>
    </row>
    <row r="810" spans="1:5" x14ac:dyDescent="0.2">
      <c r="A810" s="27"/>
      <c r="B810" s="27" t="s">
        <v>80</v>
      </c>
      <c r="C810" s="27" t="s">
        <v>959</v>
      </c>
      <c r="D810" s="27" t="s">
        <v>959</v>
      </c>
      <c r="E810" s="27" t="str">
        <f>IFERROR(IF(C810&gt;0, D810/C810, 0),"-")</f>
        <v>-</v>
      </c>
    </row>
    <row r="811" spans="1:5" x14ac:dyDescent="0.2">
      <c r="A811" s="28" t="s">
        <v>535</v>
      </c>
      <c r="B811" s="28" t="s">
        <v>1468</v>
      </c>
      <c r="C811" s="28" t="s">
        <v>959</v>
      </c>
      <c r="D811" s="28" t="s">
        <v>959</v>
      </c>
      <c r="E811" s="28" t="str">
        <f>IFERROR(IF(C811&gt;0, D811/C811, 0),"-")</f>
        <v>-</v>
      </c>
    </row>
    <row r="812" spans="1:5" x14ac:dyDescent="0.2">
      <c r="A812" s="28" t="s">
        <v>536</v>
      </c>
      <c r="B812" s="28" t="s">
        <v>1469</v>
      </c>
      <c r="C812" s="28" t="s">
        <v>959</v>
      </c>
      <c r="D812" s="28" t="s">
        <v>959</v>
      </c>
      <c r="E812" s="28" t="str">
        <f>IFERROR(IF(C812&gt;0, D812/C812, 0),"-")</f>
        <v>-</v>
      </c>
    </row>
    <row r="813" spans="1:5" x14ac:dyDescent="0.2">
      <c r="A813" s="28" t="s">
        <v>538</v>
      </c>
      <c r="B813" s="28" t="s">
        <v>1470</v>
      </c>
      <c r="C813" s="28" t="s">
        <v>959</v>
      </c>
      <c r="D813" s="28" t="s">
        <v>959</v>
      </c>
      <c r="E813" s="28" t="str">
        <f>IFERROR(IF(C813&gt;0, D813/C813, 0),"-")</f>
        <v>-</v>
      </c>
    </row>
    <row r="814" spans="1:5" x14ac:dyDescent="0.2">
      <c r="A814" s="28" t="s">
        <v>537</v>
      </c>
      <c r="B814" s="28" t="s">
        <v>1471</v>
      </c>
      <c r="C814" s="28" t="s">
        <v>959</v>
      </c>
      <c r="D814" s="28" t="s">
        <v>959</v>
      </c>
      <c r="E814" s="28" t="str">
        <f>IFERROR(IF(C814&gt;0, D814/C814, 0),"-")</f>
        <v>-</v>
      </c>
    </row>
    <row r="815" spans="1:5" x14ac:dyDescent="0.2">
      <c r="A815" s="27"/>
      <c r="B815" s="27" t="s">
        <v>45</v>
      </c>
      <c r="C815" s="27" t="s">
        <v>959</v>
      </c>
      <c r="D815" s="27" t="s">
        <v>959</v>
      </c>
      <c r="E815" s="27" t="str">
        <f>IFERROR(IF(C815&gt;0, D815/C815, 0),"-")</f>
        <v>-</v>
      </c>
    </row>
    <row r="816" spans="1:5" x14ac:dyDescent="0.2">
      <c r="A816" s="28" t="s">
        <v>244</v>
      </c>
      <c r="B816" s="28" t="s">
        <v>1472</v>
      </c>
      <c r="C816" s="28" t="s">
        <v>959</v>
      </c>
      <c r="D816" s="28" t="s">
        <v>959</v>
      </c>
      <c r="E816" s="28" t="str">
        <f>IFERROR(IF(C816&gt;0, D816/C816, 0),"-")</f>
        <v>-</v>
      </c>
    </row>
    <row r="817" spans="1:5" x14ac:dyDescent="0.2">
      <c r="A817" s="28" t="s">
        <v>247</v>
      </c>
      <c r="B817" s="28" t="s">
        <v>1473</v>
      </c>
      <c r="C817" s="28" t="s">
        <v>959</v>
      </c>
      <c r="D817" s="28" t="s">
        <v>959</v>
      </c>
      <c r="E817" s="28" t="str">
        <f>IFERROR(IF(C817&gt;0, D817/C817, 0),"-")</f>
        <v>-</v>
      </c>
    </row>
    <row r="818" spans="1:5" x14ac:dyDescent="0.2">
      <c r="A818" s="28" t="s">
        <v>267</v>
      </c>
      <c r="B818" s="28" t="s">
        <v>1474</v>
      </c>
      <c r="C818" s="28" t="s">
        <v>959</v>
      </c>
      <c r="D818" s="28" t="s">
        <v>959</v>
      </c>
      <c r="E818" s="28" t="str">
        <f>IFERROR(IF(C818&gt;0, D818/C818, 0),"-")</f>
        <v>-</v>
      </c>
    </row>
    <row r="819" spans="1:5" x14ac:dyDescent="0.2">
      <c r="A819" s="28" t="s">
        <v>246</v>
      </c>
      <c r="B819" s="28" t="s">
        <v>1475</v>
      </c>
      <c r="C819" s="28" t="s">
        <v>959</v>
      </c>
      <c r="D819" s="28" t="s">
        <v>959</v>
      </c>
      <c r="E819" s="28" t="str">
        <f>IFERROR(IF(C819&gt;0, D819/C819, 0),"-")</f>
        <v>-</v>
      </c>
    </row>
    <row r="820" spans="1:5" x14ac:dyDescent="0.2">
      <c r="A820" s="28" t="s">
        <v>245</v>
      </c>
      <c r="B820" s="28" t="s">
        <v>1476</v>
      </c>
      <c r="C820" s="28" t="s">
        <v>959</v>
      </c>
      <c r="D820" s="28" t="s">
        <v>959</v>
      </c>
      <c r="E820" s="28" t="str">
        <f>IFERROR(IF(C820&gt;0, D820/C820, 0),"-")</f>
        <v>-</v>
      </c>
    </row>
    <row r="821" spans="1:5" x14ac:dyDescent="0.2">
      <c r="A821" s="28" t="s">
        <v>242</v>
      </c>
      <c r="B821" s="28" t="s">
        <v>1477</v>
      </c>
      <c r="C821" s="28" t="s">
        <v>959</v>
      </c>
      <c r="D821" s="28" t="s">
        <v>959</v>
      </c>
      <c r="E821" s="28" t="str">
        <f>IFERROR(IF(C821&gt;0, D821/C821, 0),"-")</f>
        <v>-</v>
      </c>
    </row>
    <row r="822" spans="1:5" x14ac:dyDescent="0.2">
      <c r="A822" s="28" t="s">
        <v>243</v>
      </c>
      <c r="B822" s="28" t="s">
        <v>1478</v>
      </c>
      <c r="C822" s="28" t="s">
        <v>959</v>
      </c>
      <c r="D822" s="28" t="s">
        <v>959</v>
      </c>
      <c r="E822" s="28" t="str">
        <f>IFERROR(IF(C822&gt;0, D822/C822, 0),"-")</f>
        <v>-</v>
      </c>
    </row>
    <row r="823" spans="1:5" x14ac:dyDescent="0.2">
      <c r="A823" s="28" t="s">
        <v>248</v>
      </c>
      <c r="B823" s="28" t="s">
        <v>1479</v>
      </c>
      <c r="C823" s="28" t="s">
        <v>959</v>
      </c>
      <c r="D823" s="28" t="s">
        <v>959</v>
      </c>
      <c r="E823" s="28" t="str">
        <f>IFERROR(IF(C823&gt;0, D823/C823, 0),"-")</f>
        <v>-</v>
      </c>
    </row>
    <row r="824" spans="1:5" x14ac:dyDescent="0.2">
      <c r="A824" s="27"/>
      <c r="B824" s="27" t="s">
        <v>90</v>
      </c>
      <c r="C824" s="27" t="s">
        <v>959</v>
      </c>
      <c r="D824" s="27" t="s">
        <v>959</v>
      </c>
      <c r="E824" s="27" t="str">
        <f>IFERROR(IF(C824&gt;0, D824/C824, 0),"-")</f>
        <v>-</v>
      </c>
    </row>
    <row r="825" spans="1:5" x14ac:dyDescent="0.2">
      <c r="A825" s="28" t="s">
        <v>612</v>
      </c>
      <c r="B825" s="28" t="s">
        <v>1480</v>
      </c>
      <c r="C825" s="28" t="s">
        <v>959</v>
      </c>
      <c r="D825" s="28" t="s">
        <v>959</v>
      </c>
      <c r="E825" s="28" t="str">
        <f>IFERROR(IF(C825&gt;0, D825/C825, 0),"-")</f>
        <v>-</v>
      </c>
    </row>
    <row r="826" spans="1:5" x14ac:dyDescent="0.2">
      <c r="A826" s="28" t="s">
        <v>610</v>
      </c>
      <c r="B826" s="28" t="s">
        <v>1481</v>
      </c>
      <c r="C826" s="28" t="s">
        <v>959</v>
      </c>
      <c r="D826" s="28" t="s">
        <v>959</v>
      </c>
      <c r="E826" s="28" t="str">
        <f>IFERROR(IF(C826&gt;0, D826/C826, 0),"-")</f>
        <v>-</v>
      </c>
    </row>
    <row r="827" spans="1:5" x14ac:dyDescent="0.2">
      <c r="A827" s="28" t="s">
        <v>613</v>
      </c>
      <c r="B827" s="28" t="s">
        <v>1482</v>
      </c>
      <c r="C827" s="28" t="s">
        <v>959</v>
      </c>
      <c r="D827" s="28" t="s">
        <v>959</v>
      </c>
      <c r="E827" s="28" t="str">
        <f>IFERROR(IF(C827&gt;0, D827/C827, 0),"-")</f>
        <v>-</v>
      </c>
    </row>
    <row r="828" spans="1:5" x14ac:dyDescent="0.2">
      <c r="A828" s="28" t="s">
        <v>608</v>
      </c>
      <c r="B828" s="28" t="s">
        <v>1483</v>
      </c>
      <c r="C828" s="28" t="s">
        <v>959</v>
      </c>
      <c r="D828" s="28" t="s">
        <v>959</v>
      </c>
      <c r="E828" s="28" t="str">
        <f>IFERROR(IF(C828&gt;0, D828/C828, 0),"-")</f>
        <v>-</v>
      </c>
    </row>
    <row r="829" spans="1:5" x14ac:dyDescent="0.2">
      <c r="A829" s="28" t="s">
        <v>622</v>
      </c>
      <c r="B829" s="28" t="s">
        <v>1484</v>
      </c>
      <c r="C829" s="28" t="s">
        <v>959</v>
      </c>
      <c r="D829" s="28" t="s">
        <v>959</v>
      </c>
      <c r="E829" s="28" t="str">
        <f>IFERROR(IF(C829&gt;0, D829/C829, 0),"-")</f>
        <v>-</v>
      </c>
    </row>
    <row r="830" spans="1:5" x14ac:dyDescent="0.2">
      <c r="A830" s="28" t="s">
        <v>609</v>
      </c>
      <c r="B830" s="28" t="s">
        <v>1485</v>
      </c>
      <c r="C830" s="28" t="s">
        <v>959</v>
      </c>
      <c r="D830" s="28" t="s">
        <v>959</v>
      </c>
      <c r="E830" s="28" t="str">
        <f>IFERROR(IF(C830&gt;0, D830/C830, 0),"-")</f>
        <v>-</v>
      </c>
    </row>
    <row r="831" spans="1:5" x14ac:dyDescent="0.2">
      <c r="A831" s="28" t="s">
        <v>607</v>
      </c>
      <c r="B831" s="28" t="s">
        <v>1486</v>
      </c>
      <c r="C831" s="28" t="s">
        <v>959</v>
      </c>
      <c r="D831" s="28" t="s">
        <v>959</v>
      </c>
      <c r="E831" s="28" t="str">
        <f>IFERROR(IF(C831&gt;0, D831/C831, 0),"-")</f>
        <v>-</v>
      </c>
    </row>
    <row r="832" spans="1:5" x14ac:dyDescent="0.2">
      <c r="A832" s="28" t="s">
        <v>611</v>
      </c>
      <c r="B832" s="28" t="s">
        <v>1487</v>
      </c>
      <c r="C832" s="28" t="s">
        <v>959</v>
      </c>
      <c r="D832" s="28" t="s">
        <v>959</v>
      </c>
      <c r="E832" s="28" t="str">
        <f>IFERROR(IF(C832&gt;0, D832/C832, 0),"-")</f>
        <v>-</v>
      </c>
    </row>
    <row r="833" spans="1:5" x14ac:dyDescent="0.2">
      <c r="A833" s="27"/>
      <c r="B833" s="27" t="s">
        <v>114</v>
      </c>
      <c r="C833" s="27" t="s">
        <v>959</v>
      </c>
      <c r="D833" s="27" t="s">
        <v>959</v>
      </c>
      <c r="E833" s="27" t="str">
        <f>IFERROR(IF(C833&gt;0, D833/C833, 0),"-")</f>
        <v>-</v>
      </c>
    </row>
    <row r="834" spans="1:5" x14ac:dyDescent="0.2">
      <c r="A834" s="28" t="s">
        <v>821</v>
      </c>
      <c r="B834" s="28" t="s">
        <v>1488</v>
      </c>
      <c r="C834" s="28" t="s">
        <v>959</v>
      </c>
      <c r="D834" s="28" t="s">
        <v>959</v>
      </c>
      <c r="E834" s="28" t="str">
        <f>IFERROR(IF(C834&gt;0, D834/C834, 0),"-")</f>
        <v>-</v>
      </c>
    </row>
    <row r="835" spans="1:5" x14ac:dyDescent="0.2">
      <c r="A835" s="28" t="s">
        <v>823</v>
      </c>
      <c r="B835" s="28" t="s">
        <v>1489</v>
      </c>
      <c r="C835" s="28" t="s">
        <v>959</v>
      </c>
      <c r="D835" s="28" t="s">
        <v>959</v>
      </c>
      <c r="E835" s="28" t="str">
        <f>IFERROR(IF(C835&gt;0, D835/C835, 0),"-")</f>
        <v>-</v>
      </c>
    </row>
    <row r="836" spans="1:5" x14ac:dyDescent="0.2">
      <c r="A836" s="28" t="s">
        <v>840</v>
      </c>
      <c r="B836" s="28" t="s">
        <v>1490</v>
      </c>
      <c r="C836" s="28" t="s">
        <v>959</v>
      </c>
      <c r="D836" s="28" t="s">
        <v>959</v>
      </c>
      <c r="E836" s="28" t="str">
        <f>IFERROR(IF(C836&gt;0, D836/C836, 0),"-")</f>
        <v>-</v>
      </c>
    </row>
    <row r="837" spans="1:5" x14ac:dyDescent="0.2">
      <c r="A837" s="28" t="s">
        <v>822</v>
      </c>
      <c r="B837" s="28" t="s">
        <v>1491</v>
      </c>
      <c r="C837" s="28" t="s">
        <v>959</v>
      </c>
      <c r="D837" s="28" t="s">
        <v>959</v>
      </c>
      <c r="E837" s="28" t="str">
        <f>IFERROR(IF(C837&gt;0, D837/C837, 0),"-")</f>
        <v>-</v>
      </c>
    </row>
    <row r="838" spans="1:5" x14ac:dyDescent="0.2">
      <c r="A838" s="27"/>
      <c r="B838" s="27" t="s">
        <v>10</v>
      </c>
      <c r="C838" s="27" t="s">
        <v>959</v>
      </c>
      <c r="D838" s="27" t="s">
        <v>959</v>
      </c>
      <c r="E838" s="27" t="str">
        <f>IFERROR(IF(C838&gt;0, D838/C838, 0),"-")</f>
        <v>-</v>
      </c>
    </row>
    <row r="839" spans="1:5" x14ac:dyDescent="0.2">
      <c r="A839" s="28" t="s">
        <v>337</v>
      </c>
      <c r="B839" s="28" t="s">
        <v>1492</v>
      </c>
      <c r="C839" s="28" t="s">
        <v>959</v>
      </c>
      <c r="D839" s="28" t="s">
        <v>959</v>
      </c>
      <c r="E839" s="28" t="str">
        <f>IFERROR(IF(C839&gt;0, D839/C839, 0),"-")</f>
        <v>-</v>
      </c>
    </row>
    <row r="840" spans="1:5" x14ac:dyDescent="0.2">
      <c r="A840" s="28" t="s">
        <v>329</v>
      </c>
      <c r="B840" s="28" t="s">
        <v>1493</v>
      </c>
      <c r="C840" s="28" t="s">
        <v>959</v>
      </c>
      <c r="D840" s="28" t="s">
        <v>959</v>
      </c>
      <c r="E840" s="28" t="str">
        <f>IFERROR(IF(C840&gt;0, D840/C840, 0),"-")</f>
        <v>-</v>
      </c>
    </row>
    <row r="841" spans="1:5" x14ac:dyDescent="0.2">
      <c r="A841" s="28" t="s">
        <v>328</v>
      </c>
      <c r="B841" s="28" t="s">
        <v>1494</v>
      </c>
      <c r="C841" s="28" t="s">
        <v>959</v>
      </c>
      <c r="D841" s="28" t="s">
        <v>959</v>
      </c>
      <c r="E841" s="28" t="str">
        <f>IFERROR(IF(C841&gt;0, D841/C841, 0),"-")</f>
        <v>-</v>
      </c>
    </row>
    <row r="842" spans="1:5" x14ac:dyDescent="0.2">
      <c r="A842" s="28" t="s">
        <v>330</v>
      </c>
      <c r="B842" s="28" t="s">
        <v>1495</v>
      </c>
      <c r="C842" s="28" t="s">
        <v>959</v>
      </c>
      <c r="D842" s="28" t="s">
        <v>959</v>
      </c>
      <c r="E842" s="28" t="str">
        <f>IFERROR(IF(C842&gt;0, D842/C842, 0),"-")</f>
        <v>-</v>
      </c>
    </row>
    <row r="843" spans="1:5" x14ac:dyDescent="0.2">
      <c r="A843" s="28" t="s">
        <v>327</v>
      </c>
      <c r="B843" s="28" t="s">
        <v>1496</v>
      </c>
      <c r="C843" s="28" t="s">
        <v>959</v>
      </c>
      <c r="D843" s="28" t="s">
        <v>959</v>
      </c>
      <c r="E843" s="28" t="str">
        <f>IFERROR(IF(C843&gt;0, D843/C843, 0),"-")</f>
        <v>-</v>
      </c>
    </row>
    <row r="844" spans="1:5" x14ac:dyDescent="0.2">
      <c r="A844" s="27"/>
      <c r="B844" s="27" t="s">
        <v>107</v>
      </c>
      <c r="C844" s="27" t="s">
        <v>959</v>
      </c>
      <c r="D844" s="27" t="s">
        <v>959</v>
      </c>
      <c r="E844" s="27" t="str">
        <f>IFERROR(IF(C844&gt;0, D844/C844, 0),"-")</f>
        <v>-</v>
      </c>
    </row>
    <row r="845" spans="1:5" x14ac:dyDescent="0.2">
      <c r="A845" s="28" t="s">
        <v>774</v>
      </c>
      <c r="B845" s="28" t="s">
        <v>1497</v>
      </c>
      <c r="C845" s="28" t="s">
        <v>959</v>
      </c>
      <c r="D845" s="28" t="s">
        <v>959</v>
      </c>
      <c r="E845" s="28" t="str">
        <f>IFERROR(IF(C845&gt;0, D845/C845, 0),"-")</f>
        <v>-</v>
      </c>
    </row>
    <row r="846" spans="1:5" x14ac:dyDescent="0.2">
      <c r="A846" s="28" t="s">
        <v>772</v>
      </c>
      <c r="B846" s="28" t="s">
        <v>1498</v>
      </c>
      <c r="C846" s="28" t="s">
        <v>959</v>
      </c>
      <c r="D846" s="28" t="s">
        <v>959</v>
      </c>
      <c r="E846" s="28" t="str">
        <f>IFERROR(IF(C846&gt;0, D846/C846, 0),"-")</f>
        <v>-</v>
      </c>
    </row>
    <row r="847" spans="1:5" x14ac:dyDescent="0.2">
      <c r="A847" s="28" t="s">
        <v>771</v>
      </c>
      <c r="B847" s="28" t="s">
        <v>1499</v>
      </c>
      <c r="C847" s="28" t="s">
        <v>959</v>
      </c>
      <c r="D847" s="28" t="s">
        <v>959</v>
      </c>
      <c r="E847" s="28" t="str">
        <f>IFERROR(IF(C847&gt;0, D847/C847, 0),"-")</f>
        <v>-</v>
      </c>
    </row>
    <row r="848" spans="1:5" x14ac:dyDescent="0.2">
      <c r="A848" s="28" t="s">
        <v>773</v>
      </c>
      <c r="B848" s="28" t="s">
        <v>1500</v>
      </c>
      <c r="C848" s="28" t="s">
        <v>959</v>
      </c>
      <c r="D848" s="28" t="s">
        <v>959</v>
      </c>
      <c r="E848" s="28" t="str">
        <f>IFERROR(IF(C848&gt;0, D848/C848, 0),"-")</f>
        <v>-</v>
      </c>
    </row>
    <row r="849" spans="1:5" x14ac:dyDescent="0.2">
      <c r="A849" s="27"/>
      <c r="B849" s="27" t="s">
        <v>36</v>
      </c>
      <c r="C849" s="27" t="s">
        <v>959</v>
      </c>
      <c r="D849" s="27" t="s">
        <v>959</v>
      </c>
      <c r="E849" s="27" t="str">
        <f>IFERROR(IF(C849&gt;0, D849/C849, 0),"-")</f>
        <v>-</v>
      </c>
    </row>
    <row r="850" spans="1:5" x14ac:dyDescent="0.2">
      <c r="A850" s="28" t="s">
        <v>188</v>
      </c>
      <c r="B850" s="28" t="s">
        <v>1501</v>
      </c>
      <c r="C850" s="28" t="s">
        <v>959</v>
      </c>
      <c r="D850" s="28" t="s">
        <v>959</v>
      </c>
      <c r="E850" s="28" t="str">
        <f>IFERROR(IF(C850&gt;0, D850/C850, 0),"-")</f>
        <v>-</v>
      </c>
    </row>
    <row r="851" spans="1:5" x14ac:dyDescent="0.2">
      <c r="A851" s="28" t="s">
        <v>205</v>
      </c>
      <c r="B851" s="28" t="s">
        <v>1502</v>
      </c>
      <c r="C851" s="28" t="s">
        <v>959</v>
      </c>
      <c r="D851" s="28" t="s">
        <v>959</v>
      </c>
      <c r="E851" s="28" t="str">
        <f>IFERROR(IF(C851&gt;0, D851/C851, 0),"-")</f>
        <v>-</v>
      </c>
    </row>
    <row r="852" spans="1:5" x14ac:dyDescent="0.2">
      <c r="A852" s="28" t="s">
        <v>191</v>
      </c>
      <c r="B852" s="28" t="s">
        <v>1503</v>
      </c>
      <c r="C852" s="28" t="s">
        <v>959</v>
      </c>
      <c r="D852" s="28" t="s">
        <v>959</v>
      </c>
      <c r="E852" s="28" t="str">
        <f>IFERROR(IF(C852&gt;0, D852/C852, 0),"-")</f>
        <v>-</v>
      </c>
    </row>
    <row r="853" spans="1:5" x14ac:dyDescent="0.2">
      <c r="A853" s="28" t="s">
        <v>190</v>
      </c>
      <c r="B853" s="28" t="s">
        <v>1504</v>
      </c>
      <c r="C853" s="28" t="s">
        <v>959</v>
      </c>
      <c r="D853" s="28" t="s">
        <v>959</v>
      </c>
      <c r="E853" s="28" t="str">
        <f>IFERROR(IF(C853&gt;0, D853/C853, 0),"-")</f>
        <v>-</v>
      </c>
    </row>
    <row r="854" spans="1:5" x14ac:dyDescent="0.2">
      <c r="A854" s="28" t="s">
        <v>181</v>
      </c>
      <c r="B854" s="28" t="s">
        <v>1505</v>
      </c>
      <c r="C854" s="28" t="s">
        <v>959</v>
      </c>
      <c r="D854" s="28" t="s">
        <v>959</v>
      </c>
      <c r="E854" s="28" t="str">
        <f>IFERROR(IF(C854&gt;0, D854/C854, 0),"-")</f>
        <v>-</v>
      </c>
    </row>
    <row r="855" spans="1:5" x14ac:dyDescent="0.2">
      <c r="A855" s="28" t="s">
        <v>189</v>
      </c>
      <c r="B855" s="28" t="s">
        <v>1506</v>
      </c>
      <c r="C855" s="28" t="s">
        <v>959</v>
      </c>
      <c r="D855" s="28" t="s">
        <v>959</v>
      </c>
      <c r="E855" s="28" t="str">
        <f>IFERROR(IF(C855&gt;0, D855/C855, 0),"-")</f>
        <v>-</v>
      </c>
    </row>
    <row r="856" spans="1:5" x14ac:dyDescent="0.2">
      <c r="A856" s="28" t="s">
        <v>192</v>
      </c>
      <c r="B856" s="28" t="s">
        <v>1507</v>
      </c>
      <c r="C856" s="28" t="s">
        <v>959</v>
      </c>
      <c r="D856" s="28" t="s">
        <v>959</v>
      </c>
      <c r="E856" s="28" t="str">
        <f>IFERROR(IF(C856&gt;0, D856/C856, 0),"-")</f>
        <v>-</v>
      </c>
    </row>
    <row r="857" spans="1:5" x14ac:dyDescent="0.2">
      <c r="A857" s="27"/>
      <c r="B857" s="27" t="s">
        <v>51</v>
      </c>
      <c r="C857" s="27" t="s">
        <v>959</v>
      </c>
      <c r="D857" s="27" t="s">
        <v>959</v>
      </c>
      <c r="E857" s="27" t="str">
        <f>IFERROR(IF(C857&gt;0, D857/C857, 0),"-")</f>
        <v>-</v>
      </c>
    </row>
    <row r="858" spans="1:5" x14ac:dyDescent="0.2">
      <c r="A858" s="28" t="s">
        <v>297</v>
      </c>
      <c r="B858" s="28" t="s">
        <v>1508</v>
      </c>
      <c r="C858" s="28" t="s">
        <v>959</v>
      </c>
      <c r="D858" s="28" t="s">
        <v>959</v>
      </c>
      <c r="E858" s="28" t="str">
        <f>IFERROR(IF(C858&gt;0, D858/C858, 0),"-")</f>
        <v>-</v>
      </c>
    </row>
    <row r="859" spans="1:5" x14ac:dyDescent="0.2">
      <c r="A859" s="28" t="s">
        <v>301</v>
      </c>
      <c r="B859" s="28" t="s">
        <v>1509</v>
      </c>
      <c r="C859" s="28" t="s">
        <v>959</v>
      </c>
      <c r="D859" s="28" t="s">
        <v>959</v>
      </c>
      <c r="E859" s="28" t="str">
        <f>IFERROR(IF(C859&gt;0, D859/C859, 0),"-")</f>
        <v>-</v>
      </c>
    </row>
    <row r="860" spans="1:5" x14ac:dyDescent="0.2">
      <c r="A860" s="28" t="s">
        <v>293</v>
      </c>
      <c r="B860" s="28" t="s">
        <v>1510</v>
      </c>
      <c r="C860" s="28" t="s">
        <v>959</v>
      </c>
      <c r="D860" s="28" t="s">
        <v>959</v>
      </c>
      <c r="E860" s="28" t="str">
        <f>IFERROR(IF(C860&gt;0, D860/C860, 0),"-")</f>
        <v>-</v>
      </c>
    </row>
    <row r="861" spans="1:5" x14ac:dyDescent="0.2">
      <c r="A861" s="28" t="s">
        <v>295</v>
      </c>
      <c r="B861" s="28" t="s">
        <v>1511</v>
      </c>
      <c r="C861" s="28" t="s">
        <v>959</v>
      </c>
      <c r="D861" s="28" t="s">
        <v>959</v>
      </c>
      <c r="E861" s="28" t="str">
        <f>IFERROR(IF(C861&gt;0, D861/C861, 0),"-")</f>
        <v>-</v>
      </c>
    </row>
    <row r="862" spans="1:5" x14ac:dyDescent="0.2">
      <c r="A862" s="28" t="s">
        <v>294</v>
      </c>
      <c r="B862" s="28" t="s">
        <v>1512</v>
      </c>
      <c r="C862" s="28" t="s">
        <v>959</v>
      </c>
      <c r="D862" s="28" t="s">
        <v>959</v>
      </c>
      <c r="E862" s="28" t="str">
        <f>IFERROR(IF(C862&gt;0, D862/C862, 0),"-")</f>
        <v>-</v>
      </c>
    </row>
    <row r="863" spans="1:5" x14ac:dyDescent="0.2">
      <c r="A863" s="28" t="s">
        <v>296</v>
      </c>
      <c r="B863" s="28" t="s">
        <v>1513</v>
      </c>
      <c r="C863" s="28" t="s">
        <v>959</v>
      </c>
      <c r="D863" s="28" t="s">
        <v>959</v>
      </c>
      <c r="E863" s="28" t="str">
        <f>IFERROR(IF(C863&gt;0, D863/C863, 0),"-")</f>
        <v>-</v>
      </c>
    </row>
    <row r="864" spans="1:5" x14ac:dyDescent="0.2">
      <c r="A864" s="27"/>
      <c r="B864" s="27" t="s">
        <v>75</v>
      </c>
      <c r="C864" s="27" t="s">
        <v>959</v>
      </c>
      <c r="D864" s="27" t="s">
        <v>959</v>
      </c>
      <c r="E864" s="27" t="str">
        <f>IFERROR(IF(C864&gt;0, D864/C864, 0),"-")</f>
        <v>-</v>
      </c>
    </row>
    <row r="865" spans="1:5" x14ac:dyDescent="0.2">
      <c r="A865" s="28" t="s">
        <v>498</v>
      </c>
      <c r="B865" s="28" t="s">
        <v>1514</v>
      </c>
      <c r="C865" s="28" t="s">
        <v>959</v>
      </c>
      <c r="D865" s="28" t="s">
        <v>959</v>
      </c>
      <c r="E865" s="28" t="str">
        <f>IFERROR(IF(C865&gt;0, D865/C865, 0),"-")</f>
        <v>-</v>
      </c>
    </row>
    <row r="866" spans="1:5" x14ac:dyDescent="0.2">
      <c r="A866" s="28" t="s">
        <v>499</v>
      </c>
      <c r="B866" s="28" t="s">
        <v>1515</v>
      </c>
      <c r="C866" s="28" t="s">
        <v>959</v>
      </c>
      <c r="D866" s="28" t="s">
        <v>959</v>
      </c>
      <c r="E866" s="28" t="str">
        <f>IFERROR(IF(C866&gt;0, D866/C866, 0),"-")</f>
        <v>-</v>
      </c>
    </row>
    <row r="867" spans="1:5" x14ac:dyDescent="0.2">
      <c r="A867" s="28" t="s">
        <v>497</v>
      </c>
      <c r="B867" s="28" t="s">
        <v>1516</v>
      </c>
      <c r="C867" s="28" t="s">
        <v>959</v>
      </c>
      <c r="D867" s="28" t="s">
        <v>959</v>
      </c>
      <c r="E867" s="28" t="str">
        <f>IFERROR(IF(C867&gt;0, D867/C867, 0),"-")</f>
        <v>-</v>
      </c>
    </row>
    <row r="868" spans="1:5" x14ac:dyDescent="0.2">
      <c r="A868" s="28" t="s">
        <v>500</v>
      </c>
      <c r="B868" s="28" t="s">
        <v>1517</v>
      </c>
      <c r="C868" s="28" t="s">
        <v>959</v>
      </c>
      <c r="D868" s="28" t="s">
        <v>959</v>
      </c>
      <c r="E868" s="28" t="str">
        <f>IFERROR(IF(C868&gt;0, D868/C868, 0),"-")</f>
        <v>-</v>
      </c>
    </row>
    <row r="869" spans="1:5" x14ac:dyDescent="0.2">
      <c r="A869" s="27"/>
      <c r="B869" s="27" t="s">
        <v>8</v>
      </c>
      <c r="C869" s="27" t="s">
        <v>959</v>
      </c>
      <c r="D869" s="27" t="s">
        <v>959</v>
      </c>
      <c r="E869" s="27" t="str">
        <f>IFERROR(IF(C869&gt;0, D869/C869, 0),"-")</f>
        <v>-</v>
      </c>
    </row>
    <row r="870" spans="1:5" x14ac:dyDescent="0.2">
      <c r="A870" s="28" t="s">
        <v>290</v>
      </c>
      <c r="B870" s="28" t="s">
        <v>1518</v>
      </c>
      <c r="C870" s="28" t="s">
        <v>959</v>
      </c>
      <c r="D870" s="28" t="s">
        <v>959</v>
      </c>
      <c r="E870" s="28" t="str">
        <f>IFERROR(IF(C870&gt;0, D870/C870, 0),"-")</f>
        <v>-</v>
      </c>
    </row>
    <row r="871" spans="1:5" x14ac:dyDescent="0.2">
      <c r="A871" s="28" t="s">
        <v>292</v>
      </c>
      <c r="B871" s="28" t="s">
        <v>1519</v>
      </c>
      <c r="C871" s="28" t="s">
        <v>959</v>
      </c>
      <c r="D871" s="28" t="s">
        <v>959</v>
      </c>
      <c r="E871" s="28" t="str">
        <f>IFERROR(IF(C871&gt;0, D871/C871, 0),"-")</f>
        <v>-</v>
      </c>
    </row>
    <row r="872" spans="1:5" x14ac:dyDescent="0.2">
      <c r="A872" s="28" t="s">
        <v>289</v>
      </c>
      <c r="B872" s="28" t="s">
        <v>1520</v>
      </c>
      <c r="C872" s="28" t="s">
        <v>959</v>
      </c>
      <c r="D872" s="28" t="s">
        <v>959</v>
      </c>
      <c r="E872" s="28" t="str">
        <f>IFERROR(IF(C872&gt;0, D872/C872, 0),"-")</f>
        <v>-</v>
      </c>
    </row>
    <row r="873" spans="1:5" x14ac:dyDescent="0.2">
      <c r="A873" s="28" t="s">
        <v>288</v>
      </c>
      <c r="B873" s="28" t="s">
        <v>1521</v>
      </c>
      <c r="C873" s="28" t="s">
        <v>959</v>
      </c>
      <c r="D873" s="28" t="s">
        <v>959</v>
      </c>
      <c r="E873" s="28" t="str">
        <f>IFERROR(IF(C873&gt;0, D873/C873, 0),"-")</f>
        <v>-</v>
      </c>
    </row>
    <row r="874" spans="1:5" x14ac:dyDescent="0.2">
      <c r="A874" s="28" t="s">
        <v>291</v>
      </c>
      <c r="B874" s="28" t="s">
        <v>1522</v>
      </c>
      <c r="C874" s="28" t="s">
        <v>959</v>
      </c>
      <c r="D874" s="28" t="s">
        <v>959</v>
      </c>
      <c r="E874" s="28" t="str">
        <f>IFERROR(IF(C874&gt;0, D874/C874, 0),"-")</f>
        <v>-</v>
      </c>
    </row>
    <row r="875" spans="1:5" x14ac:dyDescent="0.2">
      <c r="A875" s="27"/>
      <c r="B875" s="27" t="s">
        <v>41</v>
      </c>
      <c r="C875" s="27" t="s">
        <v>959</v>
      </c>
      <c r="D875" s="27" t="s">
        <v>959</v>
      </c>
      <c r="E875" s="27" t="str">
        <f>IFERROR(IF(C875&gt;0, D875/C875, 0),"-")</f>
        <v>-</v>
      </c>
    </row>
    <row r="876" spans="1:5" x14ac:dyDescent="0.2">
      <c r="A876" s="28" t="s">
        <v>217</v>
      </c>
      <c r="B876" s="28" t="s">
        <v>1523</v>
      </c>
      <c r="C876" s="28" t="s">
        <v>959</v>
      </c>
      <c r="D876" s="28" t="s">
        <v>959</v>
      </c>
      <c r="E876" s="28" t="str">
        <f>IFERROR(IF(C876&gt;0, D876/C876, 0),"-")</f>
        <v>-</v>
      </c>
    </row>
    <row r="877" spans="1:5" x14ac:dyDescent="0.2">
      <c r="A877" s="28" t="s">
        <v>218</v>
      </c>
      <c r="B877" s="28" t="s">
        <v>1524</v>
      </c>
      <c r="C877" s="28" t="s">
        <v>959</v>
      </c>
      <c r="D877" s="28" t="s">
        <v>959</v>
      </c>
      <c r="E877" s="28" t="str">
        <f>IFERROR(IF(C877&gt;0, D877/C877, 0),"-")</f>
        <v>-</v>
      </c>
    </row>
    <row r="878" spans="1:5" x14ac:dyDescent="0.2">
      <c r="A878" s="28" t="s">
        <v>219</v>
      </c>
      <c r="B878" s="28" t="s">
        <v>1525</v>
      </c>
      <c r="C878" s="28" t="s">
        <v>959</v>
      </c>
      <c r="D878" s="28" t="s">
        <v>959</v>
      </c>
      <c r="E878" s="28" t="str">
        <f>IFERROR(IF(C878&gt;0, D878/C878, 0),"-")</f>
        <v>-</v>
      </c>
    </row>
    <row r="879" spans="1:5" x14ac:dyDescent="0.2">
      <c r="A879" s="27"/>
      <c r="B879" s="27" t="s">
        <v>26</v>
      </c>
      <c r="C879" s="27" t="s">
        <v>959</v>
      </c>
      <c r="D879" s="27" t="s">
        <v>959</v>
      </c>
      <c r="E879" s="27" t="str">
        <f>IFERROR(IF(C879&gt;0, D879/C879, 0),"-")</f>
        <v>-</v>
      </c>
    </row>
    <row r="880" spans="1:5" x14ac:dyDescent="0.2">
      <c r="A880" s="28" t="s">
        <v>787</v>
      </c>
      <c r="B880" s="28" t="s">
        <v>1526</v>
      </c>
      <c r="C880" s="28" t="s">
        <v>959</v>
      </c>
      <c r="D880" s="28" t="s">
        <v>959</v>
      </c>
      <c r="E880" s="28" t="str">
        <f>IFERROR(IF(C880&gt;0, D880/C880, 0),"-")</f>
        <v>-</v>
      </c>
    </row>
    <row r="881" spans="1:5" x14ac:dyDescent="0.2">
      <c r="A881" s="28" t="s">
        <v>802</v>
      </c>
      <c r="B881" s="28" t="s">
        <v>1527</v>
      </c>
      <c r="C881" s="28" t="s">
        <v>959</v>
      </c>
      <c r="D881" s="28" t="s">
        <v>959</v>
      </c>
      <c r="E881" s="28" t="str">
        <f>IFERROR(IF(C881&gt;0, D881/C881, 0),"-")</f>
        <v>-</v>
      </c>
    </row>
    <row r="882" spans="1:5" x14ac:dyDescent="0.2">
      <c r="A882" s="28" t="s">
        <v>791</v>
      </c>
      <c r="B882" s="28" t="s">
        <v>1528</v>
      </c>
      <c r="C882" s="28" t="s">
        <v>959</v>
      </c>
      <c r="D882" s="28" t="s">
        <v>959</v>
      </c>
      <c r="E882" s="28" t="str">
        <f>IFERROR(IF(C882&gt;0, D882/C882, 0),"-")</f>
        <v>-</v>
      </c>
    </row>
    <row r="883" spans="1:5" x14ac:dyDescent="0.2">
      <c r="A883" s="28" t="s">
        <v>790</v>
      </c>
      <c r="B883" s="28" t="s">
        <v>1529</v>
      </c>
      <c r="C883" s="28" t="s">
        <v>959</v>
      </c>
      <c r="D883" s="28" t="s">
        <v>959</v>
      </c>
      <c r="E883" s="28" t="str">
        <f>IFERROR(IF(C883&gt;0, D883/C883, 0),"-")</f>
        <v>-</v>
      </c>
    </row>
    <row r="884" spans="1:5" x14ac:dyDescent="0.2">
      <c r="A884" s="28" t="s">
        <v>789</v>
      </c>
      <c r="B884" s="28" t="s">
        <v>1259</v>
      </c>
      <c r="C884" s="28" t="s">
        <v>959</v>
      </c>
      <c r="D884" s="28" t="s">
        <v>959</v>
      </c>
      <c r="E884" s="28" t="str">
        <f>IFERROR(IF(C884&gt;0, D884/C884, 0),"-")</f>
        <v>-</v>
      </c>
    </row>
    <row r="885" spans="1:5" x14ac:dyDescent="0.2">
      <c r="A885" s="28" t="s">
        <v>793</v>
      </c>
      <c r="B885" s="28" t="s">
        <v>1530</v>
      </c>
      <c r="C885" s="28" t="s">
        <v>959</v>
      </c>
      <c r="D885" s="28" t="s">
        <v>959</v>
      </c>
      <c r="E885" s="28" t="str">
        <f>IFERROR(IF(C885&gt;0, D885/C885, 0),"-")</f>
        <v>-</v>
      </c>
    </row>
    <row r="886" spans="1:5" x14ac:dyDescent="0.2">
      <c r="A886" s="28" t="s">
        <v>792</v>
      </c>
      <c r="B886" s="28" t="s">
        <v>1531</v>
      </c>
      <c r="C886" s="28" t="s">
        <v>959</v>
      </c>
      <c r="D886" s="28" t="s">
        <v>959</v>
      </c>
      <c r="E886" s="28" t="str">
        <f>IFERROR(IF(C886&gt;0, D886/C886, 0),"-")</f>
        <v>-</v>
      </c>
    </row>
    <row r="887" spans="1:5" x14ac:dyDescent="0.2">
      <c r="A887" s="28" t="s">
        <v>803</v>
      </c>
      <c r="B887" s="28" t="s">
        <v>989</v>
      </c>
      <c r="C887" s="28" t="s">
        <v>959</v>
      </c>
      <c r="D887" s="28" t="s">
        <v>959</v>
      </c>
      <c r="E887" s="28" t="str">
        <f>IFERROR(IF(C887&gt;0, D887/C887, 0),"-")</f>
        <v>-</v>
      </c>
    </row>
    <row r="888" spans="1:5" x14ac:dyDescent="0.2">
      <c r="A888" s="28" t="s">
        <v>788</v>
      </c>
      <c r="B888" s="28" t="s">
        <v>1532</v>
      </c>
      <c r="C888" s="28" t="s">
        <v>959</v>
      </c>
      <c r="D888" s="28" t="s">
        <v>959</v>
      </c>
      <c r="E888" s="28" t="str">
        <f>IFERROR(IF(C888&gt;0, D888/C888, 0),"-")</f>
        <v>-</v>
      </c>
    </row>
    <row r="889" spans="1:5" x14ac:dyDescent="0.2">
      <c r="A889" s="27"/>
      <c r="B889" s="27" t="s">
        <v>103</v>
      </c>
      <c r="C889" s="27" t="s">
        <v>959</v>
      </c>
      <c r="D889" s="27" t="s">
        <v>959</v>
      </c>
      <c r="E889" s="27" t="str">
        <f>IFERROR(IF(C889&gt;0, D889/C889, 0),"-")</f>
        <v>-</v>
      </c>
    </row>
    <row r="890" spans="1:5" x14ac:dyDescent="0.2">
      <c r="A890" s="28" t="s">
        <v>742</v>
      </c>
      <c r="B890" s="28" t="s">
        <v>1533</v>
      </c>
      <c r="C890" s="28" t="s">
        <v>959</v>
      </c>
      <c r="D890" s="28" t="s">
        <v>959</v>
      </c>
      <c r="E890" s="28" t="str">
        <f>IFERROR(IF(C890&gt;0, D890/C890, 0),"-")</f>
        <v>-</v>
      </c>
    </row>
    <row r="891" spans="1:5" x14ac:dyDescent="0.2">
      <c r="A891" s="28" t="s">
        <v>743</v>
      </c>
      <c r="B891" s="28" t="s">
        <v>1534</v>
      </c>
      <c r="C891" s="28" t="s">
        <v>959</v>
      </c>
      <c r="D891" s="28" t="s">
        <v>959</v>
      </c>
      <c r="E891" s="28" t="str">
        <f>IFERROR(IF(C891&gt;0, D891/C891, 0),"-")</f>
        <v>-</v>
      </c>
    </row>
    <row r="892" spans="1:5" x14ac:dyDescent="0.2">
      <c r="A892" s="28" t="s">
        <v>741</v>
      </c>
      <c r="B892" s="28" t="s">
        <v>1535</v>
      </c>
      <c r="C892" s="28" t="s">
        <v>959</v>
      </c>
      <c r="D892" s="28" t="s">
        <v>959</v>
      </c>
      <c r="E892" s="28" t="str">
        <f>IFERROR(IF(C892&gt;0, D892/C892, 0),"-")</f>
        <v>-</v>
      </c>
    </row>
    <row r="893" spans="1:5" x14ac:dyDescent="0.2">
      <c r="A893" s="28" t="s">
        <v>744</v>
      </c>
      <c r="B893" s="28" t="s">
        <v>1536</v>
      </c>
      <c r="C893" s="28" t="s">
        <v>959</v>
      </c>
      <c r="D893" s="28" t="s">
        <v>959</v>
      </c>
      <c r="E893" s="28" t="str">
        <f>IFERROR(IF(C893&gt;0, D893/C893, 0),"-")</f>
        <v>-</v>
      </c>
    </row>
    <row r="894" spans="1:5" x14ac:dyDescent="0.2">
      <c r="A894" s="28" t="s">
        <v>740</v>
      </c>
      <c r="B894" s="28" t="s">
        <v>1537</v>
      </c>
      <c r="C894" s="28" t="s">
        <v>959</v>
      </c>
      <c r="D894" s="28" t="s">
        <v>959</v>
      </c>
      <c r="E894" s="28" t="str">
        <f>IFERROR(IF(C894&gt;0, D894/C894, 0),"-")</f>
        <v>-</v>
      </c>
    </row>
    <row r="895" spans="1:5" x14ac:dyDescent="0.2">
      <c r="A895" s="27"/>
      <c r="B895" s="27" t="s">
        <v>13</v>
      </c>
      <c r="C895" s="27" t="s">
        <v>959</v>
      </c>
      <c r="D895" s="27" t="s">
        <v>959</v>
      </c>
      <c r="E895" s="27" t="str">
        <f>IFERROR(IF(C895&gt;0, D895/C895, 0),"-")</f>
        <v>-</v>
      </c>
    </row>
    <row r="896" spans="1:5" x14ac:dyDescent="0.2">
      <c r="A896" s="28" t="s">
        <v>376</v>
      </c>
      <c r="B896" s="28" t="s">
        <v>1538</v>
      </c>
      <c r="C896" s="28" t="s">
        <v>959</v>
      </c>
      <c r="D896" s="28" t="s">
        <v>959</v>
      </c>
      <c r="E896" s="28" t="str">
        <f>IFERROR(IF(C896&gt;0, D896/C896, 0),"-")</f>
        <v>-</v>
      </c>
    </row>
    <row r="897" spans="1:5" x14ac:dyDescent="0.2">
      <c r="A897" s="28" t="s">
        <v>375</v>
      </c>
      <c r="B897" s="28" t="s">
        <v>1539</v>
      </c>
      <c r="C897" s="28" t="s">
        <v>959</v>
      </c>
      <c r="D897" s="28" t="s">
        <v>959</v>
      </c>
      <c r="E897" s="28" t="str">
        <f>IFERROR(IF(C897&gt;0, D897/C897, 0),"-")</f>
        <v>-</v>
      </c>
    </row>
    <row r="898" spans="1:5" x14ac:dyDescent="0.2">
      <c r="A898" s="28" t="s">
        <v>370</v>
      </c>
      <c r="B898" s="28" t="s">
        <v>1540</v>
      </c>
      <c r="C898" s="28" t="s">
        <v>959</v>
      </c>
      <c r="D898" s="28" t="s">
        <v>959</v>
      </c>
      <c r="E898" s="28" t="str">
        <f>IFERROR(IF(C898&gt;0, D898/C898, 0),"-")</f>
        <v>-</v>
      </c>
    </row>
    <row r="899" spans="1:5" x14ac:dyDescent="0.2">
      <c r="A899" s="28" t="s">
        <v>374</v>
      </c>
      <c r="B899" s="28" t="s">
        <v>1541</v>
      </c>
      <c r="C899" s="28" t="s">
        <v>959</v>
      </c>
      <c r="D899" s="28" t="s">
        <v>959</v>
      </c>
      <c r="E899" s="28" t="str">
        <f>IFERROR(IF(C899&gt;0, D899/C899, 0),"-")</f>
        <v>-</v>
      </c>
    </row>
    <row r="900" spans="1:5" x14ac:dyDescent="0.2">
      <c r="A900" s="28" t="s">
        <v>372</v>
      </c>
      <c r="B900" s="28" t="s">
        <v>1542</v>
      </c>
      <c r="C900" s="28" t="s">
        <v>959</v>
      </c>
      <c r="D900" s="28" t="s">
        <v>959</v>
      </c>
      <c r="E900" s="28" t="str">
        <f>IFERROR(IF(C900&gt;0, D900/C900, 0),"-")</f>
        <v>-</v>
      </c>
    </row>
    <row r="901" spans="1:5" x14ac:dyDescent="0.2">
      <c r="A901" s="28" t="s">
        <v>373</v>
      </c>
      <c r="B901" s="28" t="s">
        <v>1543</v>
      </c>
      <c r="C901" s="28" t="s">
        <v>959</v>
      </c>
      <c r="D901" s="28" t="s">
        <v>959</v>
      </c>
      <c r="E901" s="28" t="str">
        <f>IFERROR(IF(C901&gt;0, D901/C901, 0),"-")</f>
        <v>-</v>
      </c>
    </row>
    <row r="902" spans="1:5" x14ac:dyDescent="0.2">
      <c r="A902" s="28" t="s">
        <v>371</v>
      </c>
      <c r="B902" s="28" t="s">
        <v>1544</v>
      </c>
      <c r="C902" s="28" t="s">
        <v>959</v>
      </c>
      <c r="D902" s="28" t="s">
        <v>959</v>
      </c>
      <c r="E902" s="28" t="str">
        <f>IFERROR(IF(C902&gt;0, D902/C902, 0),"-")</f>
        <v>-</v>
      </c>
    </row>
    <row r="903" spans="1:5" x14ac:dyDescent="0.2">
      <c r="A903" s="27"/>
      <c r="B903" s="27" t="s">
        <v>128</v>
      </c>
      <c r="C903" s="27" t="s">
        <v>959</v>
      </c>
      <c r="D903" s="27" t="s">
        <v>959</v>
      </c>
      <c r="E903" s="27" t="str">
        <f>IFERROR(IF(C903&gt;0, D903/C903, 0),"-")</f>
        <v>-</v>
      </c>
    </row>
    <row r="904" spans="1:5" x14ac:dyDescent="0.2">
      <c r="A904" s="28" t="s">
        <v>889</v>
      </c>
      <c r="B904" s="28" t="s">
        <v>1545</v>
      </c>
      <c r="C904" s="28" t="s">
        <v>959</v>
      </c>
      <c r="D904" s="28" t="s">
        <v>959</v>
      </c>
      <c r="E904" s="28" t="str">
        <f>IFERROR(IF(C904&gt;0, D904/C904, 0),"-")</f>
        <v>-</v>
      </c>
    </row>
    <row r="905" spans="1:5" x14ac:dyDescent="0.2">
      <c r="A905" s="28" t="s">
        <v>892</v>
      </c>
      <c r="B905" s="28" t="s">
        <v>1546</v>
      </c>
      <c r="C905" s="28" t="s">
        <v>959</v>
      </c>
      <c r="D905" s="28" t="s">
        <v>959</v>
      </c>
      <c r="E905" s="28" t="str">
        <f>IFERROR(IF(C905&gt;0, D905/C905, 0),"-")</f>
        <v>-</v>
      </c>
    </row>
    <row r="906" spans="1:5" x14ac:dyDescent="0.2">
      <c r="A906" s="28" t="s">
        <v>891</v>
      </c>
      <c r="B906" s="28" t="s">
        <v>1547</v>
      </c>
      <c r="C906" s="28" t="s">
        <v>959</v>
      </c>
      <c r="D906" s="28" t="s">
        <v>959</v>
      </c>
      <c r="E906" s="28" t="str">
        <f>IFERROR(IF(C906&gt;0, D906/C906, 0),"-")</f>
        <v>-</v>
      </c>
    </row>
    <row r="907" spans="1:5" x14ac:dyDescent="0.2">
      <c r="A907" s="28" t="s">
        <v>890</v>
      </c>
      <c r="B907" s="28" t="s">
        <v>1548</v>
      </c>
      <c r="C907" s="28" t="s">
        <v>959</v>
      </c>
      <c r="D907" s="28" t="s">
        <v>959</v>
      </c>
      <c r="E907" s="28" t="str">
        <f>IFERROR(IF(C907&gt;0, D907/C907, 0),"-")</f>
        <v>-</v>
      </c>
    </row>
    <row r="908" spans="1:5" x14ac:dyDescent="0.2">
      <c r="A908" s="28" t="s">
        <v>893</v>
      </c>
      <c r="B908" s="28" t="s">
        <v>1549</v>
      </c>
      <c r="C908" s="28" t="s">
        <v>959</v>
      </c>
      <c r="D908" s="28" t="s">
        <v>959</v>
      </c>
      <c r="E908" s="28" t="str">
        <f>IFERROR(IF(C908&gt;0, D908/C908, 0),"-")</f>
        <v>-</v>
      </c>
    </row>
    <row r="909" spans="1:5" x14ac:dyDescent="0.2">
      <c r="A909" s="27"/>
      <c r="B909" s="27" t="s">
        <v>46</v>
      </c>
      <c r="C909" s="27" t="s">
        <v>959</v>
      </c>
      <c r="D909" s="27" t="s">
        <v>959</v>
      </c>
      <c r="E909" s="27" t="str">
        <f>IFERROR(IF(C909&gt;0, D909/C909, 0),"-")</f>
        <v>-</v>
      </c>
    </row>
    <row r="910" spans="1:5" x14ac:dyDescent="0.2">
      <c r="A910" s="28" t="s">
        <v>255</v>
      </c>
      <c r="B910" s="28" t="s">
        <v>1550</v>
      </c>
      <c r="C910" s="28" t="s">
        <v>959</v>
      </c>
      <c r="D910" s="28" t="s">
        <v>959</v>
      </c>
      <c r="E910" s="28" t="str">
        <f>IFERROR(IF(C910&gt;0, D910/C910, 0),"-")</f>
        <v>-</v>
      </c>
    </row>
    <row r="911" spans="1:5" x14ac:dyDescent="0.2">
      <c r="A911" s="28" t="s">
        <v>251</v>
      </c>
      <c r="B911" s="28" t="s">
        <v>1551</v>
      </c>
      <c r="C911" s="28" t="s">
        <v>959</v>
      </c>
      <c r="D911" s="28" t="s">
        <v>959</v>
      </c>
      <c r="E911" s="28" t="str">
        <f>IFERROR(IF(C911&gt;0, D911/C911, 0),"-")</f>
        <v>-</v>
      </c>
    </row>
    <row r="912" spans="1:5" x14ac:dyDescent="0.2">
      <c r="A912" s="28" t="s">
        <v>250</v>
      </c>
      <c r="B912" s="28" t="s">
        <v>1552</v>
      </c>
      <c r="C912" s="28" t="s">
        <v>959</v>
      </c>
      <c r="D912" s="28" t="s">
        <v>959</v>
      </c>
      <c r="E912" s="28" t="str">
        <f>IFERROR(IF(C912&gt;0, D912/C912, 0),"-")</f>
        <v>-</v>
      </c>
    </row>
    <row r="913" spans="1:5" x14ac:dyDescent="0.2">
      <c r="A913" s="28" t="s">
        <v>249</v>
      </c>
      <c r="B913" s="28" t="s">
        <v>1553</v>
      </c>
      <c r="C913" s="28" t="s">
        <v>959</v>
      </c>
      <c r="D913" s="28" t="s">
        <v>959</v>
      </c>
      <c r="E913" s="28" t="str">
        <f>IFERROR(IF(C913&gt;0, D913/C913, 0),"-")</f>
        <v>-</v>
      </c>
    </row>
    <row r="914" spans="1:5" x14ac:dyDescent="0.2">
      <c r="A914" s="28" t="s">
        <v>254</v>
      </c>
      <c r="B914" s="28" t="s">
        <v>1554</v>
      </c>
      <c r="C914" s="28" t="s">
        <v>959</v>
      </c>
      <c r="D914" s="28" t="s">
        <v>959</v>
      </c>
      <c r="E914" s="28" t="str">
        <f>IFERROR(IF(C914&gt;0, D914/C914, 0),"-")</f>
        <v>-</v>
      </c>
    </row>
    <row r="915" spans="1:5" x14ac:dyDescent="0.2">
      <c r="A915" s="28" t="s">
        <v>252</v>
      </c>
      <c r="B915" s="28" t="s">
        <v>1555</v>
      </c>
      <c r="C915" s="28" t="s">
        <v>959</v>
      </c>
      <c r="D915" s="28" t="s">
        <v>959</v>
      </c>
      <c r="E915" s="28" t="str">
        <f>IFERROR(IF(C915&gt;0, D915/C915, 0),"-")</f>
        <v>-</v>
      </c>
    </row>
    <row r="916" spans="1:5" x14ac:dyDescent="0.2">
      <c r="A916" s="28" t="s">
        <v>253</v>
      </c>
      <c r="B916" s="28" t="s">
        <v>1556</v>
      </c>
      <c r="C916" s="28" t="s">
        <v>959</v>
      </c>
      <c r="D916" s="28" t="s">
        <v>959</v>
      </c>
      <c r="E916" s="28" t="str">
        <f>IFERROR(IF(C916&gt;0, D916/C916, 0),"-")</f>
        <v>-</v>
      </c>
    </row>
    <row r="917" spans="1:5" x14ac:dyDescent="0.2">
      <c r="A917" s="27"/>
      <c r="B917" s="27" t="s">
        <v>124</v>
      </c>
      <c r="C917" s="27" t="s">
        <v>959</v>
      </c>
      <c r="D917" s="27" t="s">
        <v>959</v>
      </c>
      <c r="E917" s="27" t="str">
        <f>IFERROR(IF(C917&gt;0, D917/C917, 0),"-")</f>
        <v>-</v>
      </c>
    </row>
    <row r="918" spans="1:5" x14ac:dyDescent="0.2">
      <c r="A918" s="28" t="s">
        <v>872</v>
      </c>
      <c r="B918" s="28" t="s">
        <v>1557</v>
      </c>
      <c r="C918" s="28" t="s">
        <v>959</v>
      </c>
      <c r="D918" s="28" t="s">
        <v>959</v>
      </c>
      <c r="E918" s="28" t="str">
        <f>IFERROR(IF(C918&gt;0, D918/C918, 0),"-")</f>
        <v>-</v>
      </c>
    </row>
    <row r="919" spans="1:5" x14ac:dyDescent="0.2">
      <c r="A919" s="28" t="s">
        <v>874</v>
      </c>
      <c r="B919" s="28" t="s">
        <v>1558</v>
      </c>
      <c r="C919" s="28" t="s">
        <v>959</v>
      </c>
      <c r="D919" s="28" t="s">
        <v>959</v>
      </c>
      <c r="E919" s="28" t="str">
        <f>IFERROR(IF(C919&gt;0, D919/C919, 0),"-")</f>
        <v>-</v>
      </c>
    </row>
    <row r="920" spans="1:5" x14ac:dyDescent="0.2">
      <c r="A920" s="28" t="s">
        <v>875</v>
      </c>
      <c r="B920" s="28" t="s">
        <v>1559</v>
      </c>
      <c r="C920" s="28" t="s">
        <v>959</v>
      </c>
      <c r="D920" s="28" t="s">
        <v>959</v>
      </c>
      <c r="E920" s="28" t="str">
        <f>IFERROR(IF(C920&gt;0, D920/C920, 0),"-")</f>
        <v>-</v>
      </c>
    </row>
    <row r="921" spans="1:5" x14ac:dyDescent="0.2">
      <c r="A921" s="28" t="s">
        <v>876</v>
      </c>
      <c r="B921" s="28" t="s">
        <v>1560</v>
      </c>
      <c r="C921" s="28" t="s">
        <v>959</v>
      </c>
      <c r="D921" s="28" t="s">
        <v>959</v>
      </c>
      <c r="E921" s="28" t="str">
        <f>IFERROR(IF(C921&gt;0, D921/C921, 0),"-")</f>
        <v>-</v>
      </c>
    </row>
    <row r="922" spans="1:5" x14ac:dyDescent="0.2">
      <c r="A922" s="28" t="s">
        <v>873</v>
      </c>
      <c r="B922" s="28" t="s">
        <v>1561</v>
      </c>
      <c r="C922" s="28" t="s">
        <v>959</v>
      </c>
      <c r="D922" s="28" t="s">
        <v>959</v>
      </c>
      <c r="E922" s="28" t="str">
        <f>IFERROR(IF(C922&gt;0, D922/C922, 0),"-")</f>
        <v>-</v>
      </c>
    </row>
    <row r="923" spans="1:5" x14ac:dyDescent="0.2">
      <c r="A923" s="27"/>
      <c r="B923" s="27" t="s">
        <v>52</v>
      </c>
      <c r="C923" s="27" t="s">
        <v>959</v>
      </c>
      <c r="D923" s="27" t="s">
        <v>959</v>
      </c>
      <c r="E923" s="27" t="str">
        <f>IFERROR(IF(C923&gt;0, D923/C923, 0),"-")</f>
        <v>-</v>
      </c>
    </row>
    <row r="924" spans="1:5" x14ac:dyDescent="0.2">
      <c r="A924" s="28" t="s">
        <v>305</v>
      </c>
      <c r="B924" s="28" t="s">
        <v>1562</v>
      </c>
      <c r="C924" s="28" t="s">
        <v>959</v>
      </c>
      <c r="D924" s="28" t="s">
        <v>959</v>
      </c>
      <c r="E924" s="28" t="str">
        <f>IFERROR(IF(C924&gt;0, D924/C924, 0),"-")</f>
        <v>-</v>
      </c>
    </row>
    <row r="925" spans="1:5" x14ac:dyDescent="0.2">
      <c r="A925" s="28" t="s">
        <v>303</v>
      </c>
      <c r="B925" s="28" t="s">
        <v>1563</v>
      </c>
      <c r="C925" s="28" t="s">
        <v>959</v>
      </c>
      <c r="D925" s="28" t="s">
        <v>959</v>
      </c>
      <c r="E925" s="28" t="str">
        <f>IFERROR(IF(C925&gt;0, D925/C925, 0),"-")</f>
        <v>-</v>
      </c>
    </row>
    <row r="926" spans="1:5" x14ac:dyDescent="0.2">
      <c r="A926" s="28" t="s">
        <v>308</v>
      </c>
      <c r="B926" s="28" t="s">
        <v>1564</v>
      </c>
      <c r="C926" s="28" t="s">
        <v>959</v>
      </c>
      <c r="D926" s="28" t="s">
        <v>959</v>
      </c>
      <c r="E926" s="28" t="str">
        <f>IFERROR(IF(C926&gt;0, D926/C926, 0),"-")</f>
        <v>-</v>
      </c>
    </row>
    <row r="927" spans="1:5" x14ac:dyDescent="0.2">
      <c r="A927" s="28" t="s">
        <v>306</v>
      </c>
      <c r="B927" s="28" t="s">
        <v>1565</v>
      </c>
      <c r="C927" s="28" t="s">
        <v>959</v>
      </c>
      <c r="D927" s="28" t="s">
        <v>959</v>
      </c>
      <c r="E927" s="28" t="str">
        <f>IFERROR(IF(C927&gt;0, D927/C927, 0),"-")</f>
        <v>-</v>
      </c>
    </row>
    <row r="928" spans="1:5" x14ac:dyDescent="0.2">
      <c r="A928" s="28" t="s">
        <v>309</v>
      </c>
      <c r="B928" s="28" t="s">
        <v>1566</v>
      </c>
      <c r="C928" s="28" t="s">
        <v>959</v>
      </c>
      <c r="D928" s="28" t="s">
        <v>959</v>
      </c>
      <c r="E928" s="28" t="str">
        <f>IFERROR(IF(C928&gt;0, D928/C928, 0),"-")</f>
        <v>-</v>
      </c>
    </row>
    <row r="929" spans="1:5" x14ac:dyDescent="0.2">
      <c r="A929" s="28" t="s">
        <v>307</v>
      </c>
      <c r="B929" s="28" t="s">
        <v>1567</v>
      </c>
      <c r="C929" s="28" t="s">
        <v>959</v>
      </c>
      <c r="D929" s="28" t="s">
        <v>959</v>
      </c>
      <c r="E929" s="28" t="str">
        <f>IFERROR(IF(C929&gt;0, D929/C929, 0),"-")</f>
        <v>-</v>
      </c>
    </row>
    <row r="930" spans="1:5" x14ac:dyDescent="0.2">
      <c r="A930" s="28" t="s">
        <v>304</v>
      </c>
      <c r="B930" s="28" t="s">
        <v>1568</v>
      </c>
      <c r="C930" s="28" t="s">
        <v>959</v>
      </c>
      <c r="D930" s="28" t="s">
        <v>959</v>
      </c>
      <c r="E930" s="28" t="str">
        <f>IFERROR(IF(C930&gt;0, D930/C930, 0),"-")</f>
        <v>-</v>
      </c>
    </row>
    <row r="931" spans="1:5" x14ac:dyDescent="0.2">
      <c r="A931" s="27"/>
      <c r="B931" s="27" t="s">
        <v>60</v>
      </c>
      <c r="C931" s="27" t="s">
        <v>959</v>
      </c>
      <c r="D931" s="27" t="s">
        <v>959</v>
      </c>
      <c r="E931" s="27" t="str">
        <f>IFERROR(IF(C931&gt;0, D931/C931, 0),"-")</f>
        <v>-</v>
      </c>
    </row>
    <row r="932" spans="1:5" x14ac:dyDescent="0.2">
      <c r="A932" s="28" t="s">
        <v>383</v>
      </c>
      <c r="B932" s="28" t="s">
        <v>1569</v>
      </c>
      <c r="C932" s="28" t="s">
        <v>959</v>
      </c>
      <c r="D932" s="28" t="s">
        <v>959</v>
      </c>
      <c r="E932" s="28" t="str">
        <f>IFERROR(IF(C932&gt;0, D932/C932, 0),"-")</f>
        <v>-</v>
      </c>
    </row>
    <row r="933" spans="1:5" x14ac:dyDescent="0.2">
      <c r="A933" s="28" t="s">
        <v>382</v>
      </c>
      <c r="B933" s="28" t="s">
        <v>1570</v>
      </c>
      <c r="C933" s="28" t="s">
        <v>959</v>
      </c>
      <c r="D933" s="28" t="s">
        <v>959</v>
      </c>
      <c r="E933" s="28" t="str">
        <f>IFERROR(IF(C933&gt;0, D933/C933, 0),"-")</f>
        <v>-</v>
      </c>
    </row>
    <row r="934" spans="1:5" x14ac:dyDescent="0.2">
      <c r="A934" s="28" t="s">
        <v>386</v>
      </c>
      <c r="B934" s="28" t="s">
        <v>1571</v>
      </c>
      <c r="C934" s="28" t="s">
        <v>959</v>
      </c>
      <c r="D934" s="28" t="s">
        <v>959</v>
      </c>
      <c r="E934" s="28" t="str">
        <f>IFERROR(IF(C934&gt;0, D934/C934, 0),"-")</f>
        <v>-</v>
      </c>
    </row>
    <row r="935" spans="1:5" x14ac:dyDescent="0.2">
      <c r="A935" s="28" t="s">
        <v>384</v>
      </c>
      <c r="B935" s="28" t="s">
        <v>1572</v>
      </c>
      <c r="C935" s="28" t="s">
        <v>959</v>
      </c>
      <c r="D935" s="28" t="s">
        <v>959</v>
      </c>
      <c r="E935" s="28" t="str">
        <f>IFERROR(IF(C935&gt;0, D935/C935, 0),"-")</f>
        <v>-</v>
      </c>
    </row>
    <row r="936" spans="1:5" x14ac:dyDescent="0.2">
      <c r="A936" s="28" t="s">
        <v>385</v>
      </c>
      <c r="B936" s="28" t="s">
        <v>1444</v>
      </c>
      <c r="C936" s="28" t="s">
        <v>959</v>
      </c>
      <c r="D936" s="28" t="s">
        <v>959</v>
      </c>
      <c r="E936" s="28" t="str">
        <f>IFERROR(IF(C936&gt;0, D936/C936, 0),"-")</f>
        <v>-</v>
      </c>
    </row>
    <row r="937" spans="1:5" x14ac:dyDescent="0.2">
      <c r="A937" s="27"/>
      <c r="B937" s="27" t="s">
        <v>126</v>
      </c>
      <c r="C937" s="27" t="s">
        <v>959</v>
      </c>
      <c r="D937" s="27" t="s">
        <v>959</v>
      </c>
      <c r="E937" s="27" t="str">
        <f>IFERROR(IF(C937&gt;0, D937/C937, 0),"-")</f>
        <v>-</v>
      </c>
    </row>
    <row r="938" spans="1:5" x14ac:dyDescent="0.2">
      <c r="A938" s="28" t="s">
        <v>883</v>
      </c>
      <c r="B938" s="28" t="s">
        <v>1573</v>
      </c>
      <c r="C938" s="28" t="s">
        <v>959</v>
      </c>
      <c r="D938" s="28" t="s">
        <v>959</v>
      </c>
      <c r="E938" s="28" t="str">
        <f>IFERROR(IF(C938&gt;0, D938/C938, 0),"-")</f>
        <v>-</v>
      </c>
    </row>
    <row r="939" spans="1:5" x14ac:dyDescent="0.2">
      <c r="A939" s="28" t="s">
        <v>884</v>
      </c>
      <c r="B939" s="28" t="s">
        <v>1574</v>
      </c>
      <c r="C939" s="28" t="s">
        <v>959</v>
      </c>
      <c r="D939" s="28" t="s">
        <v>959</v>
      </c>
      <c r="E939" s="28" t="str">
        <f>IFERROR(IF(C939&gt;0, D939/C939, 0),"-")</f>
        <v>-</v>
      </c>
    </row>
    <row r="940" spans="1:5" x14ac:dyDescent="0.2">
      <c r="A940" s="27"/>
      <c r="B940" s="27" t="s">
        <v>93</v>
      </c>
      <c r="C940" s="27" t="s">
        <v>959</v>
      </c>
      <c r="D940" s="27" t="s">
        <v>959</v>
      </c>
      <c r="E940" s="27" t="str">
        <f>IFERROR(IF(C940&gt;0, D940/C940, 0),"-")</f>
        <v>-</v>
      </c>
    </row>
    <row r="941" spans="1:5" x14ac:dyDescent="0.2">
      <c r="A941" s="28" t="s">
        <v>646</v>
      </c>
      <c r="B941" s="28" t="s">
        <v>1575</v>
      </c>
      <c r="C941" s="28" t="s">
        <v>959</v>
      </c>
      <c r="D941" s="28" t="s">
        <v>959</v>
      </c>
      <c r="E941" s="28" t="str">
        <f>IFERROR(IF(C941&gt;0, D941/C941, 0),"-")</f>
        <v>-</v>
      </c>
    </row>
    <row r="942" spans="1:5" x14ac:dyDescent="0.2">
      <c r="A942" s="28" t="s">
        <v>634</v>
      </c>
      <c r="B942" s="28" t="s">
        <v>1576</v>
      </c>
      <c r="C942" s="28" t="s">
        <v>959</v>
      </c>
      <c r="D942" s="28" t="s">
        <v>959</v>
      </c>
      <c r="E942" s="28" t="str">
        <f>IFERROR(IF(C942&gt;0, D942/C942, 0),"-")</f>
        <v>-</v>
      </c>
    </row>
    <row r="943" spans="1:5" x14ac:dyDescent="0.2">
      <c r="A943" s="28" t="s">
        <v>633</v>
      </c>
      <c r="B943" s="28" t="s">
        <v>1577</v>
      </c>
      <c r="C943" s="28" t="s">
        <v>959</v>
      </c>
      <c r="D943" s="28" t="s">
        <v>959</v>
      </c>
      <c r="E943" s="28" t="str">
        <f>IFERROR(IF(C943&gt;0, D943/C943, 0),"-")</f>
        <v>-</v>
      </c>
    </row>
    <row r="944" spans="1:5" x14ac:dyDescent="0.2">
      <c r="A944" s="28" t="s">
        <v>632</v>
      </c>
      <c r="B944" s="28" t="s">
        <v>1578</v>
      </c>
      <c r="C944" s="28" t="s">
        <v>959</v>
      </c>
      <c r="D944" s="28" t="s">
        <v>959</v>
      </c>
      <c r="E944" s="28" t="str">
        <f>IFERROR(IF(C944&gt;0, D944/C944, 0),"-")</f>
        <v>-</v>
      </c>
    </row>
    <row r="945" spans="1:5" x14ac:dyDescent="0.2">
      <c r="A945" s="28" t="s">
        <v>635</v>
      </c>
      <c r="B945" s="28" t="s">
        <v>1579</v>
      </c>
      <c r="C945" s="28" t="s">
        <v>959</v>
      </c>
      <c r="D945" s="28" t="s">
        <v>959</v>
      </c>
      <c r="E945" s="28" t="str">
        <f>IFERROR(IF(C945&gt;0, D945/C945, 0),"-")</f>
        <v>-</v>
      </c>
    </row>
    <row r="946" spans="1:5" x14ac:dyDescent="0.2">
      <c r="A946" s="28" t="s">
        <v>631</v>
      </c>
      <c r="B946" s="28" t="s">
        <v>1580</v>
      </c>
      <c r="C946" s="28" t="s">
        <v>959</v>
      </c>
      <c r="D946" s="28" t="s">
        <v>959</v>
      </c>
      <c r="E946" s="28" t="str">
        <f>IFERROR(IF(C946&gt;0, D946/C946, 0),"-")</f>
        <v>-</v>
      </c>
    </row>
    <row r="947" spans="1:5" x14ac:dyDescent="0.2">
      <c r="A947" s="28" t="s">
        <v>637</v>
      </c>
      <c r="B947" s="28" t="s">
        <v>1581</v>
      </c>
      <c r="C947" s="28" t="s">
        <v>959</v>
      </c>
      <c r="D947" s="28" t="s">
        <v>959</v>
      </c>
      <c r="E947" s="28" t="str">
        <f>IFERROR(IF(C947&gt;0, D947/C947, 0),"-")</f>
        <v>-</v>
      </c>
    </row>
    <row r="948" spans="1:5" x14ac:dyDescent="0.2">
      <c r="A948" s="28" t="s">
        <v>636</v>
      </c>
      <c r="B948" s="28" t="s">
        <v>1582</v>
      </c>
      <c r="C948" s="28" t="s">
        <v>959</v>
      </c>
      <c r="D948" s="28" t="s">
        <v>959</v>
      </c>
      <c r="E948" s="28" t="str">
        <f>IFERROR(IF(C948&gt;0, D948/C948, 0),"-")</f>
        <v>-</v>
      </c>
    </row>
    <row r="949" spans="1:5" x14ac:dyDescent="0.2">
      <c r="A949" s="27"/>
      <c r="B949" s="27" t="s">
        <v>54</v>
      </c>
      <c r="C949" s="27" t="s">
        <v>959</v>
      </c>
      <c r="D949" s="27" t="s">
        <v>959</v>
      </c>
      <c r="E949" s="27" t="str">
        <f>IFERROR(IF(C949&gt;0, D949/C949, 0),"-")</f>
        <v>-</v>
      </c>
    </row>
    <row r="950" spans="1:5" x14ac:dyDescent="0.2">
      <c r="A950" s="28" t="s">
        <v>331</v>
      </c>
      <c r="B950" s="28" t="s">
        <v>1583</v>
      </c>
      <c r="C950" s="28" t="s">
        <v>959</v>
      </c>
      <c r="D950" s="28" t="s">
        <v>959</v>
      </c>
      <c r="E950" s="28" t="str">
        <f>IFERROR(IF(C950&gt;0, D950/C950, 0),"-")</f>
        <v>-</v>
      </c>
    </row>
    <row r="951" spans="1:5" x14ac:dyDescent="0.2">
      <c r="A951" s="28" t="s">
        <v>335</v>
      </c>
      <c r="B951" s="28" t="s">
        <v>1584</v>
      </c>
      <c r="C951" s="28" t="s">
        <v>959</v>
      </c>
      <c r="D951" s="28" t="s">
        <v>959</v>
      </c>
      <c r="E951" s="28" t="str">
        <f>IFERROR(IF(C951&gt;0, D951/C951, 0),"-")</f>
        <v>-</v>
      </c>
    </row>
    <row r="952" spans="1:5" x14ac:dyDescent="0.2">
      <c r="A952" s="28" t="s">
        <v>333</v>
      </c>
      <c r="B952" s="28" t="s">
        <v>1585</v>
      </c>
      <c r="C952" s="28" t="s">
        <v>959</v>
      </c>
      <c r="D952" s="28" t="s">
        <v>959</v>
      </c>
      <c r="E952" s="28" t="str">
        <f>IFERROR(IF(C952&gt;0, D952/C952, 0),"-")</f>
        <v>-</v>
      </c>
    </row>
    <row r="953" spans="1:5" x14ac:dyDescent="0.2">
      <c r="A953" s="28" t="s">
        <v>334</v>
      </c>
      <c r="B953" s="28" t="s">
        <v>1586</v>
      </c>
      <c r="C953" s="28" t="s">
        <v>959</v>
      </c>
      <c r="D953" s="28" t="s">
        <v>959</v>
      </c>
      <c r="E953" s="28" t="str">
        <f>IFERROR(IF(C953&gt;0, D953/C953, 0),"-")</f>
        <v>-</v>
      </c>
    </row>
    <row r="954" spans="1:5" x14ac:dyDescent="0.2">
      <c r="A954" s="28" t="s">
        <v>336</v>
      </c>
      <c r="B954" s="28" t="s">
        <v>1587</v>
      </c>
      <c r="C954" s="28" t="s">
        <v>959</v>
      </c>
      <c r="D954" s="28" t="s">
        <v>959</v>
      </c>
      <c r="E954" s="28" t="str">
        <f>IFERROR(IF(C954&gt;0, D954/C954, 0),"-")</f>
        <v>-</v>
      </c>
    </row>
    <row r="955" spans="1:5" x14ac:dyDescent="0.2">
      <c r="A955" s="28" t="s">
        <v>332</v>
      </c>
      <c r="B955" s="28" t="s">
        <v>1588</v>
      </c>
      <c r="C955" s="28" t="s">
        <v>959</v>
      </c>
      <c r="D955" s="28" t="s">
        <v>959</v>
      </c>
      <c r="E955" s="28" t="str">
        <f>IFERROR(IF(C955&gt;0, D955/C955, 0),"-")</f>
        <v>-</v>
      </c>
    </row>
    <row r="956" spans="1:5" x14ac:dyDescent="0.2">
      <c r="A956" s="27"/>
      <c r="B956" s="27" t="s">
        <v>62</v>
      </c>
      <c r="C956" s="27" t="s">
        <v>959</v>
      </c>
      <c r="D956" s="27" t="s">
        <v>959</v>
      </c>
      <c r="E956" s="27" t="str">
        <f>IFERROR(IF(C956&gt;0, D956/C956, 0),"-")</f>
        <v>-</v>
      </c>
    </row>
    <row r="957" spans="1:5" x14ac:dyDescent="0.2">
      <c r="A957" s="28" t="s">
        <v>396</v>
      </c>
      <c r="B957" s="28" t="s">
        <v>1589</v>
      </c>
      <c r="C957" s="28" t="s">
        <v>959</v>
      </c>
      <c r="D957" s="28" t="s">
        <v>959</v>
      </c>
      <c r="E957" s="28" t="str">
        <f>IFERROR(IF(C957&gt;0, D957/C957, 0),"-")</f>
        <v>-</v>
      </c>
    </row>
    <row r="958" spans="1:5" x14ac:dyDescent="0.2">
      <c r="A958" s="28" t="s">
        <v>398</v>
      </c>
      <c r="B958" s="28" t="s">
        <v>1590</v>
      </c>
      <c r="C958" s="28" t="s">
        <v>959</v>
      </c>
      <c r="D958" s="28" t="s">
        <v>959</v>
      </c>
      <c r="E958" s="28" t="str">
        <f>IFERROR(IF(C958&gt;0, D958/C958, 0),"-")</f>
        <v>-</v>
      </c>
    </row>
    <row r="959" spans="1:5" x14ac:dyDescent="0.2">
      <c r="A959" s="28" t="s">
        <v>397</v>
      </c>
      <c r="B959" s="28" t="s">
        <v>1591</v>
      </c>
      <c r="C959" s="28" t="s">
        <v>959</v>
      </c>
      <c r="D959" s="28" t="s">
        <v>959</v>
      </c>
      <c r="E959" s="28" t="str">
        <f>IFERROR(IF(C959&gt;0, D959/C959, 0),"-")</f>
        <v>-</v>
      </c>
    </row>
    <row r="960" spans="1:5" x14ac:dyDescent="0.2">
      <c r="A960" s="28" t="s">
        <v>394</v>
      </c>
      <c r="B960" s="28" t="s">
        <v>1592</v>
      </c>
      <c r="C960" s="28" t="s">
        <v>959</v>
      </c>
      <c r="D960" s="28" t="s">
        <v>959</v>
      </c>
      <c r="E960" s="28" t="str">
        <f>IFERROR(IF(C960&gt;0, D960/C960, 0),"-")</f>
        <v>-</v>
      </c>
    </row>
    <row r="961" spans="1:5" x14ac:dyDescent="0.2">
      <c r="A961" s="28" t="s">
        <v>395</v>
      </c>
      <c r="B961" s="28" t="s">
        <v>1593</v>
      </c>
      <c r="C961" s="28" t="s">
        <v>959</v>
      </c>
      <c r="D961" s="28" t="s">
        <v>959</v>
      </c>
      <c r="E961" s="28" t="str">
        <f>IFERROR(IF(C961&gt;0, D961/C961, 0),"-")</f>
        <v>-</v>
      </c>
    </row>
    <row r="962" spans="1:5" x14ac:dyDescent="0.2">
      <c r="A962" s="27"/>
      <c r="B962" s="27" t="s">
        <v>106</v>
      </c>
      <c r="C962" s="27" t="s">
        <v>959</v>
      </c>
      <c r="D962" s="27" t="s">
        <v>959</v>
      </c>
      <c r="E962" s="27" t="str">
        <f>IFERROR(IF(C962&gt;0, D962/C962, 0),"-")</f>
        <v>-</v>
      </c>
    </row>
    <row r="963" spans="1:5" x14ac:dyDescent="0.2">
      <c r="A963" s="28" t="s">
        <v>766</v>
      </c>
      <c r="B963" s="28" t="s">
        <v>1594</v>
      </c>
      <c r="C963" s="28" t="s">
        <v>959</v>
      </c>
      <c r="D963" s="28" t="s">
        <v>959</v>
      </c>
      <c r="E963" s="28" t="str">
        <f>IFERROR(IF(C963&gt;0, D963/C963, 0),"-")</f>
        <v>-</v>
      </c>
    </row>
    <row r="964" spans="1:5" x14ac:dyDescent="0.2">
      <c r="A964" s="28" t="s">
        <v>762</v>
      </c>
      <c r="B964" s="28" t="s">
        <v>1595</v>
      </c>
      <c r="C964" s="28" t="s">
        <v>959</v>
      </c>
      <c r="D964" s="28" t="s">
        <v>959</v>
      </c>
      <c r="E964" s="28" t="str">
        <f>IFERROR(IF(C964&gt;0, D964/C964, 0),"-")</f>
        <v>-</v>
      </c>
    </row>
    <row r="965" spans="1:5" x14ac:dyDescent="0.2">
      <c r="A965" s="28" t="s">
        <v>765</v>
      </c>
      <c r="B965" s="28" t="s">
        <v>1596</v>
      </c>
      <c r="C965" s="28" t="s">
        <v>959</v>
      </c>
      <c r="D965" s="28" t="s">
        <v>959</v>
      </c>
      <c r="E965" s="28" t="str">
        <f>IFERROR(IF(C965&gt;0, D965/C965, 0),"-")</f>
        <v>-</v>
      </c>
    </row>
    <row r="966" spans="1:5" x14ac:dyDescent="0.2">
      <c r="A966" s="28" t="s">
        <v>764</v>
      </c>
      <c r="B966" s="28" t="s">
        <v>1597</v>
      </c>
      <c r="C966" s="28" t="s">
        <v>959</v>
      </c>
      <c r="D966" s="28" t="s">
        <v>959</v>
      </c>
      <c r="E966" s="28" t="str">
        <f>IFERROR(IF(C966&gt;0, D966/C966, 0),"-")</f>
        <v>-</v>
      </c>
    </row>
    <row r="967" spans="1:5" x14ac:dyDescent="0.2">
      <c r="A967" s="28" t="s">
        <v>760</v>
      </c>
      <c r="B967" s="28" t="s">
        <v>1598</v>
      </c>
      <c r="C967" s="28" t="s">
        <v>959</v>
      </c>
      <c r="D967" s="28" t="s">
        <v>959</v>
      </c>
      <c r="E967" s="28" t="str">
        <f>IFERROR(IF(C967&gt;0, D967/C967, 0),"-")</f>
        <v>-</v>
      </c>
    </row>
    <row r="968" spans="1:5" x14ac:dyDescent="0.2">
      <c r="A968" s="28" t="s">
        <v>763</v>
      </c>
      <c r="B968" s="28" t="s">
        <v>1599</v>
      </c>
      <c r="C968" s="28" t="s">
        <v>959</v>
      </c>
      <c r="D968" s="28" t="s">
        <v>959</v>
      </c>
      <c r="E968" s="28" t="str">
        <f>IFERROR(IF(C968&gt;0, D968/C968, 0),"-")</f>
        <v>-</v>
      </c>
    </row>
    <row r="969" spans="1:5" x14ac:dyDescent="0.2">
      <c r="A969" s="28" t="s">
        <v>761</v>
      </c>
      <c r="B969" s="28" t="s">
        <v>1600</v>
      </c>
      <c r="C969" s="28" t="s">
        <v>959</v>
      </c>
      <c r="D969" s="28" t="s">
        <v>959</v>
      </c>
      <c r="E969" s="28" t="str">
        <f>IFERROR(IF(C969&gt;0, D969/C969, 0),"-")</f>
        <v>-</v>
      </c>
    </row>
    <row r="970" spans="1:5" x14ac:dyDescent="0.2">
      <c r="A970" s="28" t="s">
        <v>767</v>
      </c>
      <c r="B970" s="28" t="s">
        <v>1601</v>
      </c>
      <c r="C970" s="28" t="s">
        <v>959</v>
      </c>
      <c r="D970" s="28" t="s">
        <v>959</v>
      </c>
      <c r="E970" s="28" t="str">
        <f>IFERROR(IF(C970&gt;0, D970/C970, 0),"-")</f>
        <v>-</v>
      </c>
    </row>
    <row r="971" spans="1:5" x14ac:dyDescent="0.2">
      <c r="A971" s="27"/>
      <c r="B971" s="27" t="s">
        <v>134</v>
      </c>
      <c r="C971" s="27" t="s">
        <v>959</v>
      </c>
      <c r="D971" s="27" t="s">
        <v>959</v>
      </c>
      <c r="E971" s="27" t="str">
        <f>IFERROR(IF(C971&gt;0, D971/C971, 0),"-")</f>
        <v>-</v>
      </c>
    </row>
    <row r="972" spans="1:5" x14ac:dyDescent="0.2">
      <c r="A972" s="28" t="s">
        <v>938</v>
      </c>
      <c r="B972" s="28" t="s">
        <v>1602</v>
      </c>
      <c r="C972" s="28" t="s">
        <v>959</v>
      </c>
      <c r="D972" s="28" t="s">
        <v>959</v>
      </c>
      <c r="E972" s="28" t="str">
        <f>IFERROR(IF(C972&gt;0, D972/C972, 0),"-")</f>
        <v>-</v>
      </c>
    </row>
    <row r="973" spans="1:5" x14ac:dyDescent="0.2">
      <c r="A973" s="28" t="s">
        <v>940</v>
      </c>
      <c r="B973" s="28" t="s">
        <v>1603</v>
      </c>
      <c r="C973" s="28" t="s">
        <v>959</v>
      </c>
      <c r="D973" s="28" t="s">
        <v>959</v>
      </c>
      <c r="E973" s="28" t="str">
        <f>IFERROR(IF(C973&gt;0, D973/C973, 0),"-")</f>
        <v>-</v>
      </c>
    </row>
    <row r="974" spans="1:5" x14ac:dyDescent="0.2">
      <c r="A974" s="28" t="s">
        <v>941</v>
      </c>
      <c r="B974" s="28" t="s">
        <v>1604</v>
      </c>
      <c r="C974" s="28" t="s">
        <v>959</v>
      </c>
      <c r="D974" s="28" t="s">
        <v>959</v>
      </c>
      <c r="E974" s="28" t="str">
        <f>IFERROR(IF(C974&gt;0, D974/C974, 0),"-")</f>
        <v>-</v>
      </c>
    </row>
    <row r="975" spans="1:5" x14ac:dyDescent="0.2">
      <c r="A975" s="28" t="s">
        <v>950</v>
      </c>
      <c r="B975" s="28" t="s">
        <v>1605</v>
      </c>
      <c r="C975" s="28" t="s">
        <v>959</v>
      </c>
      <c r="D975" s="28" t="s">
        <v>959</v>
      </c>
      <c r="E975" s="28" t="str">
        <f>IFERROR(IF(C975&gt;0, D975/C975, 0),"-")</f>
        <v>-</v>
      </c>
    </row>
    <row r="976" spans="1:5" x14ac:dyDescent="0.2">
      <c r="A976" s="28" t="s">
        <v>939</v>
      </c>
      <c r="B976" s="28" t="s">
        <v>1606</v>
      </c>
      <c r="C976" s="28" t="s">
        <v>959</v>
      </c>
      <c r="D976" s="28" t="s">
        <v>959</v>
      </c>
      <c r="E976" s="28" t="str">
        <f>IFERROR(IF(C976&gt;0, D976/C976, 0),"-")</f>
        <v>-</v>
      </c>
    </row>
    <row r="977" spans="1:5" x14ac:dyDescent="0.2">
      <c r="A977" s="28" t="s">
        <v>937</v>
      </c>
      <c r="B977" s="28" t="s">
        <v>1607</v>
      </c>
      <c r="C977" s="28" t="s">
        <v>959</v>
      </c>
      <c r="D977" s="28" t="s">
        <v>959</v>
      </c>
      <c r="E977" s="28" t="str">
        <f>IFERROR(IF(C977&gt;0, D977/C977, 0),"-")</f>
        <v>-</v>
      </c>
    </row>
    <row r="978" spans="1:5" x14ac:dyDescent="0.2">
      <c r="A978" s="27"/>
      <c r="B978" s="27" t="s">
        <v>113</v>
      </c>
      <c r="C978" s="27" t="s">
        <v>959</v>
      </c>
      <c r="D978" s="27" t="s">
        <v>959</v>
      </c>
      <c r="E978" s="27" t="str">
        <f>IFERROR(IF(C978&gt;0, D978/C978, 0),"-")</f>
        <v>-</v>
      </c>
    </row>
    <row r="979" spans="1:5" x14ac:dyDescent="0.2">
      <c r="A979" s="28" t="s">
        <v>816</v>
      </c>
      <c r="B979" s="28" t="s">
        <v>1608</v>
      </c>
      <c r="C979" s="28" t="s">
        <v>959</v>
      </c>
      <c r="D979" s="28" t="s">
        <v>959</v>
      </c>
      <c r="E979" s="28" t="str">
        <f>IFERROR(IF(C979&gt;0, D979/C979, 0),"-")</f>
        <v>-</v>
      </c>
    </row>
    <row r="980" spans="1:5" x14ac:dyDescent="0.2">
      <c r="A980" s="28" t="s">
        <v>819</v>
      </c>
      <c r="B980" s="28" t="s">
        <v>1609</v>
      </c>
      <c r="C980" s="28" t="s">
        <v>959</v>
      </c>
      <c r="D980" s="28" t="s">
        <v>959</v>
      </c>
      <c r="E980" s="28" t="str">
        <f>IFERROR(IF(C980&gt;0, D980/C980, 0),"-")</f>
        <v>-</v>
      </c>
    </row>
    <row r="981" spans="1:5" x14ac:dyDescent="0.2">
      <c r="A981" s="28" t="s">
        <v>820</v>
      </c>
      <c r="B981" s="28" t="s">
        <v>1610</v>
      </c>
      <c r="C981" s="28" t="s">
        <v>959</v>
      </c>
      <c r="D981" s="28" t="s">
        <v>959</v>
      </c>
      <c r="E981" s="28" t="str">
        <f>IFERROR(IF(C981&gt;0, D981/C981, 0),"-")</f>
        <v>-</v>
      </c>
    </row>
    <row r="982" spans="1:5" x14ac:dyDescent="0.2">
      <c r="A982" s="28" t="s">
        <v>818</v>
      </c>
      <c r="B982" s="28" t="s">
        <v>1611</v>
      </c>
      <c r="C982" s="28" t="s">
        <v>959</v>
      </c>
      <c r="D982" s="28" t="s">
        <v>959</v>
      </c>
      <c r="E982" s="28" t="str">
        <f>IFERROR(IF(C982&gt;0, D982/C982, 0),"-")</f>
        <v>-</v>
      </c>
    </row>
    <row r="983" spans="1:5" x14ac:dyDescent="0.2">
      <c r="A983" s="28" t="s">
        <v>817</v>
      </c>
      <c r="B983" s="28" t="s">
        <v>1612</v>
      </c>
      <c r="C983" s="28" t="s">
        <v>959</v>
      </c>
      <c r="D983" s="28" t="s">
        <v>959</v>
      </c>
      <c r="E983" s="28" t="str">
        <f>IFERROR(IF(C983&gt;0, D983/C983, 0),"-")</f>
        <v>-</v>
      </c>
    </row>
    <row r="984" spans="1:5" x14ac:dyDescent="0.2">
      <c r="A984" s="27"/>
      <c r="B984" s="27" t="s">
        <v>95</v>
      </c>
      <c r="C984" s="27" t="s">
        <v>959</v>
      </c>
      <c r="D984" s="27" t="s">
        <v>959</v>
      </c>
      <c r="E984" s="27" t="str">
        <f>IFERROR(IF(C984&gt;0, D984/C984, 0),"-")</f>
        <v>-</v>
      </c>
    </row>
    <row r="985" spans="1:5" x14ac:dyDescent="0.2">
      <c r="A985" s="28" t="s">
        <v>656</v>
      </c>
      <c r="B985" s="28" t="s">
        <v>1613</v>
      </c>
      <c r="C985" s="28" t="s">
        <v>959</v>
      </c>
      <c r="D985" s="28" t="s">
        <v>959</v>
      </c>
      <c r="E985" s="28" t="str">
        <f>IFERROR(IF(C985&gt;0, D985/C985, 0),"-")</f>
        <v>-</v>
      </c>
    </row>
    <row r="986" spans="1:5" x14ac:dyDescent="0.2">
      <c r="A986" s="28" t="s">
        <v>658</v>
      </c>
      <c r="B986" s="28" t="s">
        <v>1614</v>
      </c>
      <c r="C986" s="28" t="s">
        <v>959</v>
      </c>
      <c r="D986" s="28" t="s">
        <v>959</v>
      </c>
      <c r="E986" s="28" t="str">
        <f>IFERROR(IF(C986&gt;0, D986/C986, 0),"-")</f>
        <v>-</v>
      </c>
    </row>
    <row r="987" spans="1:5" x14ac:dyDescent="0.2">
      <c r="A987" s="28" t="s">
        <v>662</v>
      </c>
      <c r="B987" s="28" t="s">
        <v>1615</v>
      </c>
      <c r="C987" s="28" t="s">
        <v>959</v>
      </c>
      <c r="D987" s="28" t="s">
        <v>959</v>
      </c>
      <c r="E987" s="28" t="str">
        <f>IFERROR(IF(C987&gt;0, D987/C987, 0),"-")</f>
        <v>-</v>
      </c>
    </row>
    <row r="988" spans="1:5" x14ac:dyDescent="0.2">
      <c r="A988" s="28" t="s">
        <v>660</v>
      </c>
      <c r="B988" s="28" t="s">
        <v>1616</v>
      </c>
      <c r="C988" s="28" t="s">
        <v>959</v>
      </c>
      <c r="D988" s="28" t="s">
        <v>959</v>
      </c>
      <c r="E988" s="28" t="str">
        <f>IFERROR(IF(C988&gt;0, D988/C988, 0),"-")</f>
        <v>-</v>
      </c>
    </row>
    <row r="989" spans="1:5" x14ac:dyDescent="0.2">
      <c r="A989" s="28" t="s">
        <v>657</v>
      </c>
      <c r="B989" s="28" t="s">
        <v>1617</v>
      </c>
      <c r="C989" s="28" t="s">
        <v>959</v>
      </c>
      <c r="D989" s="28" t="s">
        <v>959</v>
      </c>
      <c r="E989" s="28" t="str">
        <f>IFERROR(IF(C989&gt;0, D989/C989, 0),"-")</f>
        <v>-</v>
      </c>
    </row>
    <row r="990" spans="1:5" x14ac:dyDescent="0.2">
      <c r="A990" s="28" t="s">
        <v>659</v>
      </c>
      <c r="B990" s="28" t="s">
        <v>1618</v>
      </c>
      <c r="C990" s="28" t="s">
        <v>959</v>
      </c>
      <c r="D990" s="28" t="s">
        <v>959</v>
      </c>
      <c r="E990" s="28" t="str">
        <f>IFERROR(IF(C990&gt;0, D990/C990, 0),"-")</f>
        <v>-</v>
      </c>
    </row>
    <row r="991" spans="1:5" x14ac:dyDescent="0.2">
      <c r="A991" s="28" t="s">
        <v>661</v>
      </c>
      <c r="B991" s="28" t="s">
        <v>1619</v>
      </c>
      <c r="C991" s="28" t="s">
        <v>959</v>
      </c>
      <c r="D991" s="28" t="s">
        <v>959</v>
      </c>
      <c r="E991" s="28" t="str">
        <f>IFERROR(IF(C991&gt;0, D991/C991, 0),"-")</f>
        <v>-</v>
      </c>
    </row>
    <row r="992" spans="1:5" x14ac:dyDescent="0.2">
      <c r="A992" s="27"/>
      <c r="B992" s="27" t="s">
        <v>66</v>
      </c>
      <c r="C992" s="27" t="s">
        <v>959</v>
      </c>
      <c r="D992" s="27" t="s">
        <v>959</v>
      </c>
      <c r="E992" s="27" t="str">
        <f>IFERROR(IF(C992&gt;0, D992/C992, 0),"-")</f>
        <v>-</v>
      </c>
    </row>
    <row r="993" spans="1:5" x14ac:dyDescent="0.2">
      <c r="A993" s="28" t="s">
        <v>422</v>
      </c>
      <c r="B993" s="28" t="s">
        <v>1620</v>
      </c>
      <c r="C993" s="28" t="s">
        <v>959</v>
      </c>
      <c r="D993" s="28" t="s">
        <v>959</v>
      </c>
      <c r="E993" s="28" t="str">
        <f>IFERROR(IF(C993&gt;0, D993/C993, 0),"-")</f>
        <v>-</v>
      </c>
    </row>
    <row r="994" spans="1:5" x14ac:dyDescent="0.2">
      <c r="A994" s="28" t="s">
        <v>421</v>
      </c>
      <c r="B994" s="28" t="s">
        <v>1621</v>
      </c>
      <c r="C994" s="28" t="s">
        <v>959</v>
      </c>
      <c r="D994" s="28" t="s">
        <v>959</v>
      </c>
      <c r="E994" s="28" t="str">
        <f>IFERROR(IF(C994&gt;0, D994/C994, 0),"-")</f>
        <v>-</v>
      </c>
    </row>
    <row r="995" spans="1:5" x14ac:dyDescent="0.2">
      <c r="A995" s="28" t="s">
        <v>420</v>
      </c>
      <c r="B995" s="28" t="s">
        <v>1622</v>
      </c>
      <c r="C995" s="28" t="s">
        <v>959</v>
      </c>
      <c r="D995" s="28" t="s">
        <v>959</v>
      </c>
      <c r="E995" s="28" t="str">
        <f>IFERROR(IF(C995&gt;0, D995/C995, 0),"-")</f>
        <v>-</v>
      </c>
    </row>
    <row r="996" spans="1:5" x14ac:dyDescent="0.2">
      <c r="A996" s="28" t="s">
        <v>423</v>
      </c>
      <c r="B996" s="28" t="s">
        <v>1623</v>
      </c>
      <c r="C996" s="28" t="s">
        <v>959</v>
      </c>
      <c r="D996" s="28" t="s">
        <v>959</v>
      </c>
      <c r="E996" s="28" t="str">
        <f>IFERROR(IF(C996&gt;0, D996/C996, 0),"-")</f>
        <v>-</v>
      </c>
    </row>
    <row r="997" spans="1:5" x14ac:dyDescent="0.2">
      <c r="A997" s="27"/>
      <c r="B997" s="27" t="s">
        <v>44</v>
      </c>
      <c r="C997" s="27" t="s">
        <v>959</v>
      </c>
      <c r="D997" s="27" t="s">
        <v>959</v>
      </c>
      <c r="E997" s="27" t="str">
        <f>IFERROR(IF(C997&gt;0, D997/C997, 0),"-")</f>
        <v>-</v>
      </c>
    </row>
    <row r="998" spans="1:5" x14ac:dyDescent="0.2">
      <c r="A998" s="28" t="s">
        <v>239</v>
      </c>
      <c r="B998" s="28" t="s">
        <v>1624</v>
      </c>
      <c r="C998" s="28" t="s">
        <v>959</v>
      </c>
      <c r="D998" s="28" t="s">
        <v>959</v>
      </c>
      <c r="E998" s="28" t="str">
        <f>IFERROR(IF(C998&gt;0, D998/C998, 0),"-")</f>
        <v>-</v>
      </c>
    </row>
    <row r="999" spans="1:5" x14ac:dyDescent="0.2">
      <c r="A999" s="28" t="s">
        <v>240</v>
      </c>
      <c r="B999" s="28" t="s">
        <v>1625</v>
      </c>
      <c r="C999" s="28" t="s">
        <v>959</v>
      </c>
      <c r="D999" s="28" t="s">
        <v>959</v>
      </c>
      <c r="E999" s="28" t="str">
        <f>IFERROR(IF(C999&gt;0, D999/C999, 0),"-")</f>
        <v>-</v>
      </c>
    </row>
    <row r="1000" spans="1:5" x14ac:dyDescent="0.2">
      <c r="A1000" s="28" t="s">
        <v>238</v>
      </c>
      <c r="B1000" s="28" t="s">
        <v>1626</v>
      </c>
      <c r="C1000" s="28" t="s">
        <v>959</v>
      </c>
      <c r="D1000" s="28" t="s">
        <v>959</v>
      </c>
      <c r="E1000" s="28" t="str">
        <f>IFERROR(IF(C1000&gt;0, D1000/C1000, 0),"-")</f>
        <v>-</v>
      </c>
    </row>
    <row r="1001" spans="1:5" x14ac:dyDescent="0.2">
      <c r="A1001" s="28" t="s">
        <v>241</v>
      </c>
      <c r="B1001" s="28" t="s">
        <v>1627</v>
      </c>
      <c r="C1001" s="28" t="s">
        <v>959</v>
      </c>
      <c r="D1001" s="28" t="s">
        <v>959</v>
      </c>
      <c r="E1001" s="28" t="str">
        <f>IFERROR(IF(C1001&gt;0, D1001/C1001, 0),"-")</f>
        <v>-</v>
      </c>
    </row>
    <row r="1002" spans="1:5" x14ac:dyDescent="0.2">
      <c r="A1002" s="27"/>
      <c r="B1002" s="27" t="s">
        <v>61</v>
      </c>
      <c r="C1002" s="27" t="s">
        <v>959</v>
      </c>
      <c r="D1002" s="27" t="s">
        <v>959</v>
      </c>
      <c r="E1002" s="27" t="str">
        <f>IFERROR(IF(C1002&gt;0, D1002/C1002, 0),"-")</f>
        <v>-</v>
      </c>
    </row>
    <row r="1003" spans="1:5" x14ac:dyDescent="0.2">
      <c r="A1003" s="28" t="s">
        <v>387</v>
      </c>
      <c r="B1003" s="28" t="s">
        <v>1628</v>
      </c>
      <c r="C1003" s="28" t="s">
        <v>959</v>
      </c>
      <c r="D1003" s="28" t="s">
        <v>959</v>
      </c>
      <c r="E1003" s="28" t="str">
        <f>IFERROR(IF(C1003&gt;0, D1003/C1003, 0),"-")</f>
        <v>-</v>
      </c>
    </row>
    <row r="1004" spans="1:5" x14ac:dyDescent="0.2">
      <c r="A1004" s="28" t="s">
        <v>391</v>
      </c>
      <c r="B1004" s="28" t="s">
        <v>1629</v>
      </c>
      <c r="C1004" s="28" t="s">
        <v>959</v>
      </c>
      <c r="D1004" s="28" t="s">
        <v>959</v>
      </c>
      <c r="E1004" s="28" t="str">
        <f>IFERROR(IF(C1004&gt;0, D1004/C1004, 0),"-")</f>
        <v>-</v>
      </c>
    </row>
    <row r="1005" spans="1:5" x14ac:dyDescent="0.2">
      <c r="A1005" s="28" t="s">
        <v>390</v>
      </c>
      <c r="B1005" s="28" t="s">
        <v>1630</v>
      </c>
      <c r="C1005" s="28" t="s">
        <v>959</v>
      </c>
      <c r="D1005" s="28" t="s">
        <v>959</v>
      </c>
      <c r="E1005" s="28" t="str">
        <f>IFERROR(IF(C1005&gt;0, D1005/C1005, 0),"-")</f>
        <v>-</v>
      </c>
    </row>
    <row r="1006" spans="1:5" x14ac:dyDescent="0.2">
      <c r="A1006" s="28" t="s">
        <v>392</v>
      </c>
      <c r="B1006" s="28" t="s">
        <v>1631</v>
      </c>
      <c r="C1006" s="28" t="s">
        <v>959</v>
      </c>
      <c r="D1006" s="28" t="s">
        <v>959</v>
      </c>
      <c r="E1006" s="28" t="str">
        <f>IFERROR(IF(C1006&gt;0, D1006/C1006, 0),"-")</f>
        <v>-</v>
      </c>
    </row>
    <row r="1007" spans="1:5" x14ac:dyDescent="0.2">
      <c r="A1007" s="28" t="s">
        <v>393</v>
      </c>
      <c r="B1007" s="28" t="s">
        <v>1632</v>
      </c>
      <c r="C1007" s="28" t="s">
        <v>959</v>
      </c>
      <c r="D1007" s="28" t="s">
        <v>959</v>
      </c>
      <c r="E1007" s="28" t="str">
        <f>IFERROR(IF(C1007&gt;0, D1007/C1007, 0),"-")</f>
        <v>-</v>
      </c>
    </row>
    <row r="1008" spans="1:5" x14ac:dyDescent="0.2">
      <c r="A1008" s="28" t="s">
        <v>388</v>
      </c>
      <c r="B1008" s="28" t="s">
        <v>1633</v>
      </c>
      <c r="C1008" s="28" t="s">
        <v>959</v>
      </c>
      <c r="D1008" s="28" t="s">
        <v>959</v>
      </c>
      <c r="E1008" s="28" t="str">
        <f>IFERROR(IF(C1008&gt;0, D1008/C1008, 0),"-")</f>
        <v>-</v>
      </c>
    </row>
    <row r="1009" spans="1:5" x14ac:dyDescent="0.2">
      <c r="A1009" s="28" t="s">
        <v>389</v>
      </c>
      <c r="B1009" s="28" t="s">
        <v>1634</v>
      </c>
      <c r="C1009" s="28" t="s">
        <v>959</v>
      </c>
      <c r="D1009" s="28" t="s">
        <v>959</v>
      </c>
      <c r="E1009" s="28" t="str">
        <f>IFERROR(IF(C1009&gt;0, D1009/C1009, 0),"-")</f>
        <v>-</v>
      </c>
    </row>
    <row r="1010" spans="1:5" x14ac:dyDescent="0.2">
      <c r="A1010" s="27"/>
      <c r="B1010" s="27" t="s">
        <v>130</v>
      </c>
      <c r="C1010" s="27" t="s">
        <v>959</v>
      </c>
      <c r="D1010" s="27" t="s">
        <v>959</v>
      </c>
      <c r="E1010" s="27" t="str">
        <f>IFERROR(IF(C1010&gt;0, D1010/C1010, 0),"-")</f>
        <v>-</v>
      </c>
    </row>
    <row r="1011" spans="1:5" x14ac:dyDescent="0.2">
      <c r="A1011" s="28" t="s">
        <v>903</v>
      </c>
      <c r="B1011" s="28" t="s">
        <v>1635</v>
      </c>
      <c r="C1011" s="28" t="s">
        <v>959</v>
      </c>
      <c r="D1011" s="28" t="s">
        <v>959</v>
      </c>
      <c r="E1011" s="28" t="str">
        <f>IFERROR(IF(C1011&gt;0, D1011/C1011, 0),"-")</f>
        <v>-</v>
      </c>
    </row>
    <row r="1012" spans="1:5" x14ac:dyDescent="0.2">
      <c r="A1012" s="28" t="s">
        <v>904</v>
      </c>
      <c r="B1012" s="28" t="s">
        <v>1636</v>
      </c>
      <c r="C1012" s="28" t="s">
        <v>959</v>
      </c>
      <c r="D1012" s="28" t="s">
        <v>959</v>
      </c>
      <c r="E1012" s="28" t="str">
        <f>IFERROR(IF(C1012&gt;0, D1012/C1012, 0),"-")</f>
        <v>-</v>
      </c>
    </row>
    <row r="1013" spans="1:5" x14ac:dyDescent="0.2">
      <c r="A1013" s="28" t="s">
        <v>906</v>
      </c>
      <c r="B1013" s="28" t="s">
        <v>1637</v>
      </c>
      <c r="C1013" s="28" t="s">
        <v>959</v>
      </c>
      <c r="D1013" s="28" t="s">
        <v>959</v>
      </c>
      <c r="E1013" s="28" t="str">
        <f>IFERROR(IF(C1013&gt;0, D1013/C1013, 0),"-")</f>
        <v>-</v>
      </c>
    </row>
    <row r="1014" spans="1:5" x14ac:dyDescent="0.2">
      <c r="A1014" s="28" t="s">
        <v>899</v>
      </c>
      <c r="B1014" s="28" t="s">
        <v>1638</v>
      </c>
      <c r="C1014" s="28" t="s">
        <v>959</v>
      </c>
      <c r="D1014" s="28" t="s">
        <v>959</v>
      </c>
      <c r="E1014" s="28" t="str">
        <f>IFERROR(IF(C1014&gt;0, D1014/C1014, 0),"-")</f>
        <v>-</v>
      </c>
    </row>
    <row r="1015" spans="1:5" x14ac:dyDescent="0.2">
      <c r="A1015" s="28" t="s">
        <v>900</v>
      </c>
      <c r="B1015" s="28" t="s">
        <v>1639</v>
      </c>
      <c r="C1015" s="28" t="s">
        <v>959</v>
      </c>
      <c r="D1015" s="28" t="s">
        <v>959</v>
      </c>
      <c r="E1015" s="28" t="str">
        <f>IFERROR(IF(C1015&gt;0, D1015/C1015, 0),"-")</f>
        <v>-</v>
      </c>
    </row>
    <row r="1016" spans="1:5" x14ac:dyDescent="0.2">
      <c r="A1016" s="28" t="s">
        <v>902</v>
      </c>
      <c r="B1016" s="28" t="s">
        <v>1640</v>
      </c>
      <c r="C1016" s="28" t="s">
        <v>959</v>
      </c>
      <c r="D1016" s="28" t="s">
        <v>959</v>
      </c>
      <c r="E1016" s="28" t="str">
        <f>IFERROR(IF(C1016&gt;0, D1016/C1016, 0),"-")</f>
        <v>-</v>
      </c>
    </row>
    <row r="1017" spans="1:5" x14ac:dyDescent="0.2">
      <c r="A1017" s="28" t="s">
        <v>898</v>
      </c>
      <c r="B1017" s="28" t="s">
        <v>1641</v>
      </c>
      <c r="C1017" s="28" t="s">
        <v>959</v>
      </c>
      <c r="D1017" s="28" t="s">
        <v>959</v>
      </c>
      <c r="E1017" s="28" t="str">
        <f>IFERROR(IF(C1017&gt;0, D1017/C1017, 0),"-")</f>
        <v>-</v>
      </c>
    </row>
    <row r="1018" spans="1:5" x14ac:dyDescent="0.2">
      <c r="A1018" s="28" t="s">
        <v>905</v>
      </c>
      <c r="B1018" s="28" t="s">
        <v>1642</v>
      </c>
      <c r="C1018" s="28" t="s">
        <v>959</v>
      </c>
      <c r="D1018" s="28" t="s">
        <v>959</v>
      </c>
      <c r="E1018" s="28" t="str">
        <f>IFERROR(IF(C1018&gt;0, D1018/C1018, 0),"-")</f>
        <v>-</v>
      </c>
    </row>
    <row r="1019" spans="1:5" x14ac:dyDescent="0.2">
      <c r="A1019" s="28" t="s">
        <v>901</v>
      </c>
      <c r="B1019" s="28" t="s">
        <v>1643</v>
      </c>
      <c r="C1019" s="28" t="s">
        <v>959</v>
      </c>
      <c r="D1019" s="28" t="s">
        <v>959</v>
      </c>
      <c r="E1019" s="28" t="str">
        <f>IFERROR(IF(C1019&gt;0, D1019/C1019, 0),"-")</f>
        <v>-</v>
      </c>
    </row>
    <row r="1020" spans="1:5" x14ac:dyDescent="0.2">
      <c r="A1020" s="27"/>
      <c r="B1020" s="27" t="s">
        <v>73</v>
      </c>
      <c r="C1020" s="27" t="s">
        <v>959</v>
      </c>
      <c r="D1020" s="27" t="s">
        <v>959</v>
      </c>
      <c r="E1020" s="27" t="str">
        <f>IFERROR(IF(C1020&gt;0, D1020/C1020, 0),"-")</f>
        <v>-</v>
      </c>
    </row>
    <row r="1021" spans="1:5" x14ac:dyDescent="0.2">
      <c r="A1021" s="28" t="s">
        <v>496</v>
      </c>
      <c r="B1021" s="28" t="s">
        <v>1644</v>
      </c>
      <c r="C1021" s="28" t="s">
        <v>959</v>
      </c>
      <c r="D1021" s="28" t="s">
        <v>959</v>
      </c>
      <c r="E1021" s="28" t="str">
        <f>IFERROR(IF(C1021&gt;0, D1021/C1021, 0),"-")</f>
        <v>-</v>
      </c>
    </row>
    <row r="1022" spans="1:5" x14ac:dyDescent="0.2">
      <c r="A1022" s="28" t="s">
        <v>486</v>
      </c>
      <c r="B1022" s="28" t="s">
        <v>1645</v>
      </c>
      <c r="C1022" s="28" t="s">
        <v>959</v>
      </c>
      <c r="D1022" s="28" t="s">
        <v>959</v>
      </c>
      <c r="E1022" s="28" t="str">
        <f>IFERROR(IF(C1022&gt;0, D1022/C1022, 0),"-")</f>
        <v>-</v>
      </c>
    </row>
    <row r="1023" spans="1:5" x14ac:dyDescent="0.2">
      <c r="A1023" s="28" t="s">
        <v>489</v>
      </c>
      <c r="B1023" s="28" t="s">
        <v>1646</v>
      </c>
      <c r="C1023" s="28" t="s">
        <v>959</v>
      </c>
      <c r="D1023" s="28" t="s">
        <v>959</v>
      </c>
      <c r="E1023" s="28" t="str">
        <f>IFERROR(IF(C1023&gt;0, D1023/C1023, 0),"-")</f>
        <v>-</v>
      </c>
    </row>
    <row r="1024" spans="1:5" x14ac:dyDescent="0.2">
      <c r="A1024" s="28" t="s">
        <v>487</v>
      </c>
      <c r="B1024" s="28" t="s">
        <v>1647</v>
      </c>
      <c r="C1024" s="28" t="s">
        <v>959</v>
      </c>
      <c r="D1024" s="28" t="s">
        <v>959</v>
      </c>
      <c r="E1024" s="28" t="str">
        <f>IFERROR(IF(C1024&gt;0, D1024/C1024, 0),"-")</f>
        <v>-</v>
      </c>
    </row>
    <row r="1025" spans="1:5" x14ac:dyDescent="0.2">
      <c r="A1025" s="28" t="s">
        <v>488</v>
      </c>
      <c r="B1025" s="28" t="s">
        <v>1648</v>
      </c>
      <c r="C1025" s="28" t="s">
        <v>959</v>
      </c>
      <c r="D1025" s="28" t="s">
        <v>959</v>
      </c>
      <c r="E1025" s="28" t="str">
        <f>IFERROR(IF(C1025&gt;0, D1025/C1025, 0),"-")</f>
        <v>-</v>
      </c>
    </row>
    <row r="1026" spans="1:5" x14ac:dyDescent="0.2">
      <c r="A1026" s="28" t="s">
        <v>490</v>
      </c>
      <c r="B1026" s="28" t="s">
        <v>1649</v>
      </c>
      <c r="C1026" s="28" t="s">
        <v>959</v>
      </c>
      <c r="D1026" s="28" t="s">
        <v>959</v>
      </c>
      <c r="E1026" s="28" t="str">
        <f>IFERROR(IF(C1026&gt;0, D1026/C1026, 0),"-")</f>
        <v>-</v>
      </c>
    </row>
    <row r="1027" spans="1:5" x14ac:dyDescent="0.2">
      <c r="A1027" s="28" t="s">
        <v>485</v>
      </c>
      <c r="B1027" s="28" t="s">
        <v>1650</v>
      </c>
      <c r="C1027" s="28" t="s">
        <v>959</v>
      </c>
      <c r="D1027" s="28" t="s">
        <v>959</v>
      </c>
      <c r="E1027" s="28" t="str">
        <f>IFERROR(IF(C1027&gt;0, D1027/C1027, 0),"-")</f>
        <v>-</v>
      </c>
    </row>
    <row r="1028" spans="1:5" x14ac:dyDescent="0.2">
      <c r="A1028" s="27"/>
      <c r="B1028" s="27" t="s">
        <v>27</v>
      </c>
      <c r="C1028" s="27" t="s">
        <v>959</v>
      </c>
      <c r="D1028" s="27" t="s">
        <v>959</v>
      </c>
      <c r="E1028" s="27" t="str">
        <f>IFERROR(IF(C1028&gt;0, D1028/C1028, 0),"-")</f>
        <v>-</v>
      </c>
    </row>
    <row r="1029" spans="1:5" x14ac:dyDescent="0.2">
      <c r="A1029" s="28" t="s">
        <v>814</v>
      </c>
      <c r="B1029" s="28" t="s">
        <v>1651</v>
      </c>
      <c r="C1029" s="28" t="s">
        <v>959</v>
      </c>
      <c r="D1029" s="28" t="s">
        <v>959</v>
      </c>
      <c r="E1029" s="28" t="str">
        <f>IFERROR(IF(C1029&gt;0, D1029/C1029, 0),"-")</f>
        <v>-</v>
      </c>
    </row>
    <row r="1030" spans="1:5" x14ac:dyDescent="0.2">
      <c r="A1030" s="28" t="s">
        <v>815</v>
      </c>
      <c r="B1030" s="28" t="s">
        <v>1652</v>
      </c>
      <c r="C1030" s="28" t="s">
        <v>959</v>
      </c>
      <c r="D1030" s="28" t="s">
        <v>959</v>
      </c>
      <c r="E1030" s="28" t="str">
        <f>IFERROR(IF(C1030&gt;0, D1030/C1030, 0),"-")</f>
        <v>-</v>
      </c>
    </row>
    <row r="1031" spans="1:5" x14ac:dyDescent="0.2">
      <c r="A1031" s="27"/>
      <c r="B1031" s="27" t="s">
        <v>82</v>
      </c>
      <c r="C1031" s="27" t="s">
        <v>959</v>
      </c>
      <c r="D1031" s="27" t="s">
        <v>959</v>
      </c>
      <c r="E1031" s="27" t="str">
        <f>IFERROR(IF(C1031&gt;0, D1031/C1031, 0),"-")</f>
        <v>-</v>
      </c>
    </row>
    <row r="1032" spans="1:5" x14ac:dyDescent="0.2">
      <c r="A1032" s="28" t="s">
        <v>545</v>
      </c>
      <c r="B1032" s="28" t="s">
        <v>1653</v>
      </c>
      <c r="C1032" s="28" t="s">
        <v>959</v>
      </c>
      <c r="D1032" s="28" t="s">
        <v>959</v>
      </c>
      <c r="E1032" s="28" t="str">
        <f>IFERROR(IF(C1032&gt;0, D1032/C1032, 0),"-")</f>
        <v>-</v>
      </c>
    </row>
    <row r="1033" spans="1:5" x14ac:dyDescent="0.2">
      <c r="A1033" s="28" t="s">
        <v>547</v>
      </c>
      <c r="B1033" s="28" t="s">
        <v>1654</v>
      </c>
      <c r="C1033" s="28" t="s">
        <v>959</v>
      </c>
      <c r="D1033" s="28" t="s">
        <v>959</v>
      </c>
      <c r="E1033" s="28" t="str">
        <f>IFERROR(IF(C1033&gt;0, D1033/C1033, 0),"-")</f>
        <v>-</v>
      </c>
    </row>
    <row r="1034" spans="1:5" x14ac:dyDescent="0.2">
      <c r="A1034" s="28" t="s">
        <v>544</v>
      </c>
      <c r="B1034" s="28" t="s">
        <v>1655</v>
      </c>
      <c r="C1034" s="28" t="s">
        <v>959</v>
      </c>
      <c r="D1034" s="28" t="s">
        <v>959</v>
      </c>
      <c r="E1034" s="28" t="str">
        <f>IFERROR(IF(C1034&gt;0, D1034/C1034, 0),"-")</f>
        <v>-</v>
      </c>
    </row>
    <row r="1035" spans="1:5" x14ac:dyDescent="0.2">
      <c r="A1035" s="28" t="s">
        <v>548</v>
      </c>
      <c r="B1035" s="28" t="s">
        <v>1656</v>
      </c>
      <c r="C1035" s="28" t="s">
        <v>959</v>
      </c>
      <c r="D1035" s="28" t="s">
        <v>959</v>
      </c>
      <c r="E1035" s="28" t="str">
        <f>IFERROR(IF(C1035&gt;0, D1035/C1035, 0),"-")</f>
        <v>-</v>
      </c>
    </row>
    <row r="1036" spans="1:5" x14ac:dyDescent="0.2">
      <c r="A1036" s="28" t="s">
        <v>546</v>
      </c>
      <c r="B1036" s="28" t="s">
        <v>1657</v>
      </c>
      <c r="C1036" s="28" t="s">
        <v>959</v>
      </c>
      <c r="D1036" s="28" t="s">
        <v>959</v>
      </c>
      <c r="E1036" s="28" t="str">
        <f>IFERROR(IF(C1036&gt;0, D1036/C1036, 0),"-")</f>
        <v>-</v>
      </c>
    </row>
    <row r="1037" spans="1:5" x14ac:dyDescent="0.2">
      <c r="A1037" s="27"/>
      <c r="B1037" s="27" t="s">
        <v>4</v>
      </c>
      <c r="C1037" s="27" t="s">
        <v>959</v>
      </c>
      <c r="D1037" s="27" t="s">
        <v>959</v>
      </c>
      <c r="E1037" s="27" t="str">
        <f>IFERROR(IF(C1037&gt;0, D1037/C1037, 0),"-")</f>
        <v>-</v>
      </c>
    </row>
    <row r="1038" spans="1:5" x14ac:dyDescent="0.2">
      <c r="A1038" s="28" t="s">
        <v>434</v>
      </c>
      <c r="B1038" s="28" t="s">
        <v>1658</v>
      </c>
      <c r="C1038" s="28" t="s">
        <v>959</v>
      </c>
      <c r="D1038" s="28" t="s">
        <v>959</v>
      </c>
      <c r="E1038" s="28" t="str">
        <f>IFERROR(IF(C1038&gt;0, D1038/C1038, 0),"-")</f>
        <v>-</v>
      </c>
    </row>
    <row r="1039" spans="1:5" x14ac:dyDescent="0.2">
      <c r="A1039" s="28" t="s">
        <v>439</v>
      </c>
      <c r="B1039" s="28" t="s">
        <v>1410</v>
      </c>
      <c r="C1039" s="28" t="s">
        <v>959</v>
      </c>
      <c r="D1039" s="28" t="s">
        <v>959</v>
      </c>
      <c r="E1039" s="28" t="str">
        <f>IFERROR(IF(C1039&gt;0, D1039/C1039, 0),"-")</f>
        <v>-</v>
      </c>
    </row>
    <row r="1040" spans="1:5" x14ac:dyDescent="0.2">
      <c r="A1040" s="28" t="s">
        <v>437</v>
      </c>
      <c r="B1040" s="28" t="s">
        <v>1659</v>
      </c>
      <c r="C1040" s="28" t="s">
        <v>959</v>
      </c>
      <c r="D1040" s="28" t="s">
        <v>959</v>
      </c>
      <c r="E1040" s="28" t="str">
        <f>IFERROR(IF(C1040&gt;0, D1040/C1040, 0),"-")</f>
        <v>-</v>
      </c>
    </row>
    <row r="1041" spans="1:5" x14ac:dyDescent="0.2">
      <c r="A1041" s="28" t="s">
        <v>436</v>
      </c>
      <c r="B1041" s="28" t="s">
        <v>991</v>
      </c>
      <c r="C1041" s="28" t="s">
        <v>959</v>
      </c>
      <c r="D1041" s="28" t="s">
        <v>959</v>
      </c>
      <c r="E1041" s="28" t="str">
        <f>IFERROR(IF(C1041&gt;0, D1041/C1041, 0),"-")</f>
        <v>-</v>
      </c>
    </row>
    <row r="1042" spans="1:5" x14ac:dyDescent="0.2">
      <c r="A1042" s="28" t="s">
        <v>435</v>
      </c>
      <c r="B1042" s="28" t="s">
        <v>1660</v>
      </c>
      <c r="C1042" s="28" t="s">
        <v>959</v>
      </c>
      <c r="D1042" s="28" t="s">
        <v>959</v>
      </c>
      <c r="E1042" s="28" t="str">
        <f>IFERROR(IF(C1042&gt;0, D1042/C1042, 0),"-")</f>
        <v>-</v>
      </c>
    </row>
    <row r="1043" spans="1:5" x14ac:dyDescent="0.2">
      <c r="A1043" s="28" t="s">
        <v>438</v>
      </c>
      <c r="B1043" s="28" t="s">
        <v>1661</v>
      </c>
      <c r="C1043" s="28" t="s">
        <v>959</v>
      </c>
      <c r="D1043" s="28" t="s">
        <v>959</v>
      </c>
      <c r="E1043" s="28" t="str">
        <f>IFERROR(IF(C1043&gt;0, D1043/C1043, 0),"-")</f>
        <v>-</v>
      </c>
    </row>
    <row r="1044" spans="1:5" x14ac:dyDescent="0.2">
      <c r="A1044" s="28" t="s">
        <v>433</v>
      </c>
      <c r="B1044" s="28" t="s">
        <v>1662</v>
      </c>
      <c r="C1044" s="28" t="s">
        <v>959</v>
      </c>
      <c r="D1044" s="28" t="s">
        <v>959</v>
      </c>
      <c r="E1044" s="28" t="str">
        <f>IFERROR(IF(C1044&gt;0, D1044/C1044, 0),"-")</f>
        <v>-</v>
      </c>
    </row>
    <row r="1045" spans="1:5" x14ac:dyDescent="0.2">
      <c r="A1045" s="27"/>
      <c r="B1045" s="27" t="s">
        <v>32</v>
      </c>
      <c r="C1045" s="27" t="s">
        <v>959</v>
      </c>
      <c r="D1045" s="27" t="s">
        <v>959</v>
      </c>
      <c r="E1045" s="27" t="str">
        <f>IFERROR(IF(C1045&gt;0, D1045/C1045, 0),"-")</f>
        <v>-</v>
      </c>
    </row>
    <row r="1046" spans="1:5" x14ac:dyDescent="0.2">
      <c r="A1046" s="28" t="s">
        <v>148</v>
      </c>
      <c r="B1046" s="28" t="s">
        <v>1663</v>
      </c>
      <c r="C1046" s="28" t="s">
        <v>959</v>
      </c>
      <c r="D1046" s="28" t="s">
        <v>959</v>
      </c>
      <c r="E1046" s="28" t="str">
        <f>IFERROR(IF(C1046&gt;0, D1046/C1046, 0),"-")</f>
        <v>-</v>
      </c>
    </row>
    <row r="1047" spans="1:5" x14ac:dyDescent="0.2">
      <c r="A1047" s="28" t="s">
        <v>145</v>
      </c>
      <c r="B1047" s="28" t="s">
        <v>1664</v>
      </c>
      <c r="C1047" s="28" t="s">
        <v>959</v>
      </c>
      <c r="D1047" s="28" t="s">
        <v>959</v>
      </c>
      <c r="E1047" s="28" t="str">
        <f>IFERROR(IF(C1047&gt;0, D1047/C1047, 0),"-")</f>
        <v>-</v>
      </c>
    </row>
    <row r="1048" spans="1:5" x14ac:dyDescent="0.2">
      <c r="A1048" s="28" t="s">
        <v>146</v>
      </c>
      <c r="B1048" s="28" t="s">
        <v>1665</v>
      </c>
      <c r="C1048" s="28" t="s">
        <v>959</v>
      </c>
      <c r="D1048" s="28" t="s">
        <v>959</v>
      </c>
      <c r="E1048" s="28" t="str">
        <f>IFERROR(IF(C1048&gt;0, D1048/C1048, 0),"-")</f>
        <v>-</v>
      </c>
    </row>
    <row r="1049" spans="1:5" x14ac:dyDescent="0.2">
      <c r="A1049" s="28" t="s">
        <v>144</v>
      </c>
      <c r="B1049" s="28" t="s">
        <v>1666</v>
      </c>
      <c r="C1049" s="28" t="s">
        <v>959</v>
      </c>
      <c r="D1049" s="28" t="s">
        <v>959</v>
      </c>
      <c r="E1049" s="28" t="str">
        <f>IFERROR(IF(C1049&gt;0, D1049/C1049, 0),"-")</f>
        <v>-</v>
      </c>
    </row>
    <row r="1050" spans="1:5" x14ac:dyDescent="0.2">
      <c r="A1050" s="28" t="s">
        <v>150</v>
      </c>
      <c r="B1050" s="28" t="s">
        <v>986</v>
      </c>
      <c r="C1050" s="28" t="s">
        <v>959</v>
      </c>
      <c r="D1050" s="28" t="s">
        <v>959</v>
      </c>
      <c r="E1050" s="28" t="str">
        <f>IFERROR(IF(C1050&gt;0, D1050/C1050, 0),"-")</f>
        <v>-</v>
      </c>
    </row>
    <row r="1051" spans="1:5" x14ac:dyDescent="0.2">
      <c r="A1051" s="28" t="s">
        <v>143</v>
      </c>
      <c r="B1051" s="28" t="s">
        <v>1412</v>
      </c>
      <c r="C1051" s="28" t="s">
        <v>959</v>
      </c>
      <c r="D1051" s="28" t="s">
        <v>959</v>
      </c>
      <c r="E1051" s="28" t="str">
        <f>IFERROR(IF(C1051&gt;0, D1051/C1051, 0),"-")</f>
        <v>-</v>
      </c>
    </row>
    <row r="1052" spans="1:5" x14ac:dyDescent="0.2">
      <c r="A1052" s="28" t="s">
        <v>149</v>
      </c>
      <c r="B1052" s="28" t="s">
        <v>1667</v>
      </c>
      <c r="C1052" s="28" t="s">
        <v>959</v>
      </c>
      <c r="D1052" s="28" t="s">
        <v>959</v>
      </c>
      <c r="E1052" s="28" t="str">
        <f>IFERROR(IF(C1052&gt;0, D1052/C1052, 0),"-")</f>
        <v>-</v>
      </c>
    </row>
    <row r="1053" spans="1:5" x14ac:dyDescent="0.2">
      <c r="A1053" s="28" t="s">
        <v>147</v>
      </c>
      <c r="B1053" s="28" t="s">
        <v>1668</v>
      </c>
      <c r="C1053" s="28" t="s">
        <v>959</v>
      </c>
      <c r="D1053" s="28" t="s">
        <v>959</v>
      </c>
      <c r="E1053" s="28" t="str">
        <f>IFERROR(IF(C1053&gt;0, D1053/C1053, 0),"-")</f>
        <v>-</v>
      </c>
    </row>
    <row r="1054" spans="1:5" x14ac:dyDescent="0.2">
      <c r="A1054" s="27"/>
      <c r="B1054" s="27" t="s">
        <v>69</v>
      </c>
      <c r="C1054" s="27" t="s">
        <v>959</v>
      </c>
      <c r="D1054" s="27" t="s">
        <v>959</v>
      </c>
      <c r="E1054" s="27" t="str">
        <f>IFERROR(IF(C1054&gt;0, D1054/C1054, 0),"-")</f>
        <v>-</v>
      </c>
    </row>
    <row r="1055" spans="1:5" x14ac:dyDescent="0.2">
      <c r="A1055" s="28" t="s">
        <v>456</v>
      </c>
      <c r="B1055" s="28" t="s">
        <v>1669</v>
      </c>
      <c r="C1055" s="28" t="s">
        <v>959</v>
      </c>
      <c r="D1055" s="28" t="s">
        <v>959</v>
      </c>
      <c r="E1055" s="28" t="str">
        <f>IFERROR(IF(C1055&gt;0, D1055/C1055, 0),"-")</f>
        <v>-</v>
      </c>
    </row>
    <row r="1056" spans="1:5" x14ac:dyDescent="0.2">
      <c r="A1056" s="28" t="s">
        <v>458</v>
      </c>
      <c r="B1056" s="28" t="s">
        <v>1670</v>
      </c>
      <c r="C1056" s="28" t="s">
        <v>959</v>
      </c>
      <c r="D1056" s="28" t="s">
        <v>959</v>
      </c>
      <c r="E1056" s="28" t="str">
        <f>IFERROR(IF(C1056&gt;0, D1056/C1056, 0),"-")</f>
        <v>-</v>
      </c>
    </row>
    <row r="1057" spans="1:5" x14ac:dyDescent="0.2">
      <c r="A1057" s="28" t="s">
        <v>461</v>
      </c>
      <c r="B1057" s="28" t="s">
        <v>1671</v>
      </c>
      <c r="C1057" s="28" t="s">
        <v>959</v>
      </c>
      <c r="D1057" s="28" t="s">
        <v>959</v>
      </c>
      <c r="E1057" s="28" t="str">
        <f>IFERROR(IF(C1057&gt;0, D1057/C1057, 0),"-")</f>
        <v>-</v>
      </c>
    </row>
    <row r="1058" spans="1:5" x14ac:dyDescent="0.2">
      <c r="A1058" s="28" t="s">
        <v>457</v>
      </c>
      <c r="B1058" s="28" t="s">
        <v>1672</v>
      </c>
      <c r="C1058" s="28" t="s">
        <v>959</v>
      </c>
      <c r="D1058" s="28" t="s">
        <v>959</v>
      </c>
      <c r="E1058" s="28" t="str">
        <f>IFERROR(IF(C1058&gt;0, D1058/C1058, 0),"-")</f>
        <v>-</v>
      </c>
    </row>
    <row r="1059" spans="1:5" x14ac:dyDescent="0.2">
      <c r="A1059" s="28" t="s">
        <v>459</v>
      </c>
      <c r="B1059" s="28" t="s">
        <v>1673</v>
      </c>
      <c r="C1059" s="28" t="s">
        <v>959</v>
      </c>
      <c r="D1059" s="28" t="s">
        <v>959</v>
      </c>
      <c r="E1059" s="28" t="str">
        <f>IFERROR(IF(C1059&gt;0, D1059/C1059, 0),"-")</f>
        <v>-</v>
      </c>
    </row>
    <row r="1060" spans="1:5" x14ac:dyDescent="0.2">
      <c r="A1060" s="28" t="s">
        <v>460</v>
      </c>
      <c r="B1060" s="28" t="s">
        <v>1674</v>
      </c>
      <c r="C1060" s="28" t="s">
        <v>959</v>
      </c>
      <c r="D1060" s="28" t="s">
        <v>959</v>
      </c>
      <c r="E1060" s="28" t="str">
        <f>IFERROR(IF(C1060&gt;0, D1060/C1060, 0),"-")</f>
        <v>-</v>
      </c>
    </row>
    <row r="1061" spans="1:5" x14ac:dyDescent="0.2">
      <c r="A1061" s="27"/>
      <c r="B1061" s="27" t="s">
        <v>63</v>
      </c>
      <c r="C1061" s="27" t="s">
        <v>959</v>
      </c>
      <c r="D1061" s="27" t="s">
        <v>959</v>
      </c>
      <c r="E1061" s="27" t="str">
        <f>IFERROR(IF(C1061&gt;0, D1061/C1061, 0),"-")</f>
        <v>-</v>
      </c>
    </row>
    <row r="1062" spans="1:5" x14ac:dyDescent="0.2">
      <c r="A1062" s="28" t="s">
        <v>399</v>
      </c>
      <c r="B1062" s="28" t="s">
        <v>1675</v>
      </c>
      <c r="C1062" s="28" t="s">
        <v>959</v>
      </c>
      <c r="D1062" s="28" t="s">
        <v>959</v>
      </c>
      <c r="E1062" s="28" t="str">
        <f>IFERROR(IF(C1062&gt;0, D1062/C1062, 0),"-")</f>
        <v>-</v>
      </c>
    </row>
    <row r="1063" spans="1:5" x14ac:dyDescent="0.2">
      <c r="A1063" s="28" t="s">
        <v>407</v>
      </c>
      <c r="B1063" s="28" t="s">
        <v>989</v>
      </c>
      <c r="C1063" s="28" t="s">
        <v>959</v>
      </c>
      <c r="D1063" s="28" t="s">
        <v>959</v>
      </c>
      <c r="E1063" s="28" t="str">
        <f>IFERROR(IF(C1063&gt;0, D1063/C1063, 0),"-")</f>
        <v>-</v>
      </c>
    </row>
    <row r="1064" spans="1:5" x14ac:dyDescent="0.2">
      <c r="A1064" s="28" t="s">
        <v>402</v>
      </c>
      <c r="B1064" s="28" t="s">
        <v>1676</v>
      </c>
      <c r="C1064" s="28" t="s">
        <v>959</v>
      </c>
      <c r="D1064" s="28" t="s">
        <v>959</v>
      </c>
      <c r="E1064" s="28" t="str">
        <f>IFERROR(IF(C1064&gt;0, D1064/C1064, 0),"-")</f>
        <v>-</v>
      </c>
    </row>
    <row r="1065" spans="1:5" x14ac:dyDescent="0.2">
      <c r="A1065" s="28" t="s">
        <v>406</v>
      </c>
      <c r="B1065" s="28" t="s">
        <v>1677</v>
      </c>
      <c r="C1065" s="28" t="s">
        <v>959</v>
      </c>
      <c r="D1065" s="28" t="s">
        <v>959</v>
      </c>
      <c r="E1065" s="28" t="str">
        <f>IFERROR(IF(C1065&gt;0, D1065/C1065, 0),"-")</f>
        <v>-</v>
      </c>
    </row>
    <row r="1066" spans="1:5" x14ac:dyDescent="0.2">
      <c r="A1066" s="28" t="s">
        <v>403</v>
      </c>
      <c r="B1066" s="28" t="s">
        <v>1678</v>
      </c>
      <c r="C1066" s="28" t="s">
        <v>959</v>
      </c>
      <c r="D1066" s="28" t="s">
        <v>959</v>
      </c>
      <c r="E1066" s="28" t="str">
        <f>IFERROR(IF(C1066&gt;0, D1066/C1066, 0),"-")</f>
        <v>-</v>
      </c>
    </row>
    <row r="1067" spans="1:5" x14ac:dyDescent="0.2">
      <c r="A1067" s="28" t="s">
        <v>408</v>
      </c>
      <c r="B1067" s="28" t="s">
        <v>1679</v>
      </c>
      <c r="C1067" s="28" t="s">
        <v>959</v>
      </c>
      <c r="D1067" s="28" t="s">
        <v>959</v>
      </c>
      <c r="E1067" s="28" t="str">
        <f>IFERROR(IF(C1067&gt;0, D1067/C1067, 0),"-")</f>
        <v>-</v>
      </c>
    </row>
    <row r="1068" spans="1:5" x14ac:dyDescent="0.2">
      <c r="A1068" s="28" t="s">
        <v>404</v>
      </c>
      <c r="B1068" s="28" t="s">
        <v>1680</v>
      </c>
      <c r="C1068" s="28" t="s">
        <v>959</v>
      </c>
      <c r="D1068" s="28" t="s">
        <v>959</v>
      </c>
      <c r="E1068" s="28" t="str">
        <f>IFERROR(IF(C1068&gt;0, D1068/C1068, 0),"-")</f>
        <v>-</v>
      </c>
    </row>
    <row r="1069" spans="1:5" x14ac:dyDescent="0.2">
      <c r="A1069" s="28" t="s">
        <v>400</v>
      </c>
      <c r="B1069" s="28" t="s">
        <v>1681</v>
      </c>
      <c r="C1069" s="28" t="s">
        <v>959</v>
      </c>
      <c r="D1069" s="28" t="s">
        <v>959</v>
      </c>
      <c r="E1069" s="28" t="str">
        <f>IFERROR(IF(C1069&gt;0, D1069/C1069, 0),"-")</f>
        <v>-</v>
      </c>
    </row>
    <row r="1070" spans="1:5" x14ac:dyDescent="0.2">
      <c r="A1070" s="28" t="s">
        <v>405</v>
      </c>
      <c r="B1070" s="28" t="s">
        <v>1682</v>
      </c>
      <c r="C1070" s="28" t="s">
        <v>959</v>
      </c>
      <c r="D1070" s="28" t="s">
        <v>959</v>
      </c>
      <c r="E1070" s="28" t="str">
        <f>IFERROR(IF(C1070&gt;0, D1070/C1070, 0),"-")</f>
        <v>-</v>
      </c>
    </row>
    <row r="1071" spans="1:5" x14ac:dyDescent="0.2">
      <c r="A1071" s="28" t="s">
        <v>401</v>
      </c>
      <c r="B1071" s="28" t="s">
        <v>1683</v>
      </c>
      <c r="C1071" s="28" t="s">
        <v>959</v>
      </c>
      <c r="D1071" s="28" t="s">
        <v>959</v>
      </c>
      <c r="E1071" s="28" t="str">
        <f>IFERROR(IF(C1071&gt;0, D1071/C1071, 0),"-")</f>
        <v>-</v>
      </c>
    </row>
    <row r="1072" spans="1:5" x14ac:dyDescent="0.2">
      <c r="A1072" s="27"/>
      <c r="B1072" s="27" t="s">
        <v>47</v>
      </c>
      <c r="C1072" s="27" t="s">
        <v>959</v>
      </c>
      <c r="D1072" s="27" t="s">
        <v>959</v>
      </c>
      <c r="E1072" s="27" t="str">
        <f>IFERROR(IF(C1072&gt;0, D1072/C1072, 0),"-")</f>
        <v>-</v>
      </c>
    </row>
    <row r="1073" spans="1:5" x14ac:dyDescent="0.2">
      <c r="A1073" s="28" t="s">
        <v>274</v>
      </c>
      <c r="B1073" s="28" t="s">
        <v>1684</v>
      </c>
      <c r="C1073" s="28" t="s">
        <v>959</v>
      </c>
      <c r="D1073" s="28" t="s">
        <v>959</v>
      </c>
      <c r="E1073" s="28" t="str">
        <f>IFERROR(IF(C1073&gt;0, D1073/C1073, 0),"-")</f>
        <v>-</v>
      </c>
    </row>
    <row r="1074" spans="1:5" x14ac:dyDescent="0.2">
      <c r="A1074" s="28" t="s">
        <v>260</v>
      </c>
      <c r="B1074" s="28" t="s">
        <v>1685</v>
      </c>
      <c r="C1074" s="28" t="s">
        <v>959</v>
      </c>
      <c r="D1074" s="28" t="s">
        <v>959</v>
      </c>
      <c r="E1074" s="28" t="str">
        <f>IFERROR(IF(C1074&gt;0, D1074/C1074, 0),"-")</f>
        <v>-</v>
      </c>
    </row>
    <row r="1075" spans="1:5" x14ac:dyDescent="0.2">
      <c r="A1075" s="28" t="s">
        <v>259</v>
      </c>
      <c r="B1075" s="28" t="s">
        <v>1686</v>
      </c>
      <c r="C1075" s="28" t="s">
        <v>959</v>
      </c>
      <c r="D1075" s="28" t="s">
        <v>959</v>
      </c>
      <c r="E1075" s="28" t="str">
        <f>IFERROR(IF(C1075&gt;0, D1075/C1075, 0),"-")</f>
        <v>-</v>
      </c>
    </row>
    <row r="1076" spans="1:5" x14ac:dyDescent="0.2">
      <c r="A1076" s="28" t="s">
        <v>257</v>
      </c>
      <c r="B1076" s="28" t="s">
        <v>1687</v>
      </c>
      <c r="C1076" s="28" t="s">
        <v>959</v>
      </c>
      <c r="D1076" s="28" t="s">
        <v>959</v>
      </c>
      <c r="E1076" s="28" t="str">
        <f>IFERROR(IF(C1076&gt;0, D1076/C1076, 0),"-")</f>
        <v>-</v>
      </c>
    </row>
    <row r="1077" spans="1:5" x14ac:dyDescent="0.2">
      <c r="A1077" s="28" t="s">
        <v>256</v>
      </c>
      <c r="B1077" s="28" t="s">
        <v>1688</v>
      </c>
      <c r="C1077" s="28" t="s">
        <v>959</v>
      </c>
      <c r="D1077" s="28" t="s">
        <v>959</v>
      </c>
      <c r="E1077" s="28" t="str">
        <f>IFERROR(IF(C1077&gt;0, D1077/C1077, 0),"-")</f>
        <v>-</v>
      </c>
    </row>
    <row r="1078" spans="1:5" x14ac:dyDescent="0.2">
      <c r="A1078" s="28" t="s">
        <v>258</v>
      </c>
      <c r="B1078" s="28" t="s">
        <v>1689</v>
      </c>
      <c r="C1078" s="28" t="s">
        <v>959</v>
      </c>
      <c r="D1078" s="28" t="s">
        <v>959</v>
      </c>
      <c r="E1078" s="28" t="str">
        <f>IFERROR(IF(C1078&gt;0, D1078/C1078, 0),"-")</f>
        <v>-</v>
      </c>
    </row>
    <row r="1079" spans="1:5" x14ac:dyDescent="0.2">
      <c r="A1079" s="27"/>
      <c r="B1079" s="27" t="s">
        <v>71</v>
      </c>
      <c r="C1079" s="27" t="s">
        <v>959</v>
      </c>
      <c r="D1079" s="27" t="s">
        <v>959</v>
      </c>
      <c r="E1079" s="27" t="str">
        <f>IFERROR(IF(C1079&gt;0, D1079/C1079, 0),"-")</f>
        <v>-</v>
      </c>
    </row>
    <row r="1080" spans="1:5" x14ac:dyDescent="0.2">
      <c r="A1080" s="28" t="s">
        <v>479</v>
      </c>
      <c r="B1080" s="28" t="s">
        <v>1690</v>
      </c>
      <c r="C1080" s="28" t="s">
        <v>959</v>
      </c>
      <c r="D1080" s="28" t="s">
        <v>959</v>
      </c>
      <c r="E1080" s="28" t="str">
        <f>IFERROR(IF(C1080&gt;0, D1080/C1080, 0),"-")</f>
        <v>-</v>
      </c>
    </row>
    <row r="1081" spans="1:5" x14ac:dyDescent="0.2">
      <c r="A1081" s="28" t="s">
        <v>476</v>
      </c>
      <c r="B1081" s="28" t="s">
        <v>1691</v>
      </c>
      <c r="C1081" s="28" t="s">
        <v>959</v>
      </c>
      <c r="D1081" s="28" t="s">
        <v>959</v>
      </c>
      <c r="E1081" s="28" t="str">
        <f>IFERROR(IF(C1081&gt;0, D1081/C1081, 0),"-")</f>
        <v>-</v>
      </c>
    </row>
    <row r="1082" spans="1:5" x14ac:dyDescent="0.2">
      <c r="A1082" s="28" t="s">
        <v>477</v>
      </c>
      <c r="B1082" s="28" t="s">
        <v>1692</v>
      </c>
      <c r="C1082" s="28" t="s">
        <v>959</v>
      </c>
      <c r="D1082" s="28" t="s">
        <v>959</v>
      </c>
      <c r="E1082" s="28" t="str">
        <f>IFERROR(IF(C1082&gt;0, D1082/C1082, 0),"-")</f>
        <v>-</v>
      </c>
    </row>
    <row r="1083" spans="1:5" x14ac:dyDescent="0.2">
      <c r="A1083" s="28" t="s">
        <v>474</v>
      </c>
      <c r="B1083" s="28" t="s">
        <v>1693</v>
      </c>
      <c r="C1083" s="28" t="s">
        <v>959</v>
      </c>
      <c r="D1083" s="28" t="s">
        <v>959</v>
      </c>
      <c r="E1083" s="28" t="str">
        <f>IFERROR(IF(C1083&gt;0, D1083/C1083, 0),"-")</f>
        <v>-</v>
      </c>
    </row>
    <row r="1084" spans="1:5" x14ac:dyDescent="0.2">
      <c r="A1084" s="28" t="s">
        <v>475</v>
      </c>
      <c r="B1084" s="28" t="s">
        <v>1694</v>
      </c>
      <c r="C1084" s="28" t="s">
        <v>959</v>
      </c>
      <c r="D1084" s="28" t="s">
        <v>959</v>
      </c>
      <c r="E1084" s="28" t="str">
        <f>IFERROR(IF(C1084&gt;0, D1084/C1084, 0),"-")</f>
        <v>-</v>
      </c>
    </row>
    <row r="1085" spans="1:5" x14ac:dyDescent="0.2">
      <c r="A1085" s="28" t="s">
        <v>495</v>
      </c>
      <c r="B1085" s="28" t="s">
        <v>1695</v>
      </c>
      <c r="C1085" s="28" t="s">
        <v>959</v>
      </c>
      <c r="D1085" s="28" t="s">
        <v>959</v>
      </c>
      <c r="E1085" s="28" t="str">
        <f>IFERROR(IF(C1085&gt;0, D1085/C1085, 0),"-")</f>
        <v>-</v>
      </c>
    </row>
    <row r="1086" spans="1:5" x14ac:dyDescent="0.2">
      <c r="A1086" s="28" t="s">
        <v>478</v>
      </c>
      <c r="B1086" s="28" t="s">
        <v>1696</v>
      </c>
      <c r="C1086" s="28" t="s">
        <v>959</v>
      </c>
      <c r="D1086" s="28" t="s">
        <v>959</v>
      </c>
      <c r="E1086" s="28" t="str">
        <f>IFERROR(IF(C1086&gt;0, D1086/C1086, 0),"-")</f>
        <v>-</v>
      </c>
    </row>
    <row r="1087" spans="1:5" x14ac:dyDescent="0.2">
      <c r="A1087" s="27"/>
      <c r="B1087" s="27" t="s">
        <v>64</v>
      </c>
      <c r="C1087" s="27" t="s">
        <v>959</v>
      </c>
      <c r="D1087" s="27" t="s">
        <v>959</v>
      </c>
      <c r="E1087" s="27" t="str">
        <f>IFERROR(IF(C1087&gt;0, D1087/C1087, 0),"-")</f>
        <v>-</v>
      </c>
    </row>
    <row r="1088" spans="1:5" x14ac:dyDescent="0.2">
      <c r="A1088" s="28" t="s">
        <v>412</v>
      </c>
      <c r="B1088" s="28" t="s">
        <v>1697</v>
      </c>
      <c r="C1088" s="28" t="s">
        <v>959</v>
      </c>
      <c r="D1088" s="28" t="s">
        <v>959</v>
      </c>
      <c r="E1088" s="28" t="str">
        <f>IFERROR(IF(C1088&gt;0, D1088/C1088, 0),"-")</f>
        <v>-</v>
      </c>
    </row>
    <row r="1089" spans="1:5" x14ac:dyDescent="0.2">
      <c r="A1089" s="28" t="s">
        <v>409</v>
      </c>
      <c r="B1089" s="28" t="s">
        <v>1698</v>
      </c>
      <c r="C1089" s="28" t="s">
        <v>959</v>
      </c>
      <c r="D1089" s="28" t="s">
        <v>959</v>
      </c>
      <c r="E1089" s="28" t="str">
        <f>IFERROR(IF(C1089&gt;0, D1089/C1089, 0),"-")</f>
        <v>-</v>
      </c>
    </row>
    <row r="1090" spans="1:5" x14ac:dyDescent="0.2">
      <c r="A1090" s="28" t="s">
        <v>413</v>
      </c>
      <c r="B1090" s="28" t="s">
        <v>1699</v>
      </c>
      <c r="C1090" s="28" t="s">
        <v>959</v>
      </c>
      <c r="D1090" s="28" t="s">
        <v>959</v>
      </c>
      <c r="E1090" s="28" t="str">
        <f>IFERROR(IF(C1090&gt;0, D1090/C1090, 0),"-")</f>
        <v>-</v>
      </c>
    </row>
    <row r="1091" spans="1:5" x14ac:dyDescent="0.2">
      <c r="A1091" s="28" t="s">
        <v>411</v>
      </c>
      <c r="B1091" s="28" t="s">
        <v>1700</v>
      </c>
      <c r="C1091" s="28" t="s">
        <v>959</v>
      </c>
      <c r="D1091" s="28" t="s">
        <v>959</v>
      </c>
      <c r="E1091" s="28" t="str">
        <f>IFERROR(IF(C1091&gt;0, D1091/C1091, 0),"-")</f>
        <v>-</v>
      </c>
    </row>
    <row r="1092" spans="1:5" x14ac:dyDescent="0.2">
      <c r="A1092" s="28" t="s">
        <v>410</v>
      </c>
      <c r="B1092" s="28" t="s">
        <v>1701</v>
      </c>
      <c r="C1092" s="28" t="s">
        <v>959</v>
      </c>
      <c r="D1092" s="28" t="s">
        <v>959</v>
      </c>
      <c r="E1092" s="28" t="str">
        <f>IFERROR(IF(C1092&gt;0, D1092/C1092, 0),"-")</f>
        <v>-</v>
      </c>
    </row>
    <row r="1093" spans="1:5" x14ac:dyDescent="0.2">
      <c r="A1093" s="28" t="s">
        <v>414</v>
      </c>
      <c r="B1093" s="28" t="s">
        <v>1702</v>
      </c>
      <c r="C1093" s="28" t="s">
        <v>959</v>
      </c>
      <c r="D1093" s="28" t="s">
        <v>959</v>
      </c>
      <c r="E1093" s="28" t="str">
        <f>IFERROR(IF(C1093&gt;0, D1093/C1093, 0),"-")</f>
        <v>-</v>
      </c>
    </row>
    <row r="1094" spans="1:5" x14ac:dyDescent="0.2">
      <c r="A1094" s="27"/>
      <c r="B1094" s="27" t="s">
        <v>81</v>
      </c>
      <c r="C1094" s="27" t="s">
        <v>959</v>
      </c>
      <c r="D1094" s="27" t="s">
        <v>959</v>
      </c>
      <c r="E1094" s="27" t="str">
        <f>IFERROR(IF(C1094&gt;0, D1094/C1094, 0),"-")</f>
        <v>-</v>
      </c>
    </row>
    <row r="1095" spans="1:5" x14ac:dyDescent="0.2">
      <c r="A1095" s="28" t="s">
        <v>539</v>
      </c>
      <c r="B1095" s="28" t="s">
        <v>1703</v>
      </c>
      <c r="C1095" s="28" t="s">
        <v>959</v>
      </c>
      <c r="D1095" s="28" t="s">
        <v>959</v>
      </c>
      <c r="E1095" s="28" t="str">
        <f>IFERROR(IF(C1095&gt;0, D1095/C1095, 0),"-")</f>
        <v>-</v>
      </c>
    </row>
    <row r="1096" spans="1:5" x14ac:dyDescent="0.2">
      <c r="A1096" s="28" t="s">
        <v>541</v>
      </c>
      <c r="B1096" s="28" t="s">
        <v>1704</v>
      </c>
      <c r="C1096" s="28" t="s">
        <v>959</v>
      </c>
      <c r="D1096" s="28" t="s">
        <v>959</v>
      </c>
      <c r="E1096" s="28" t="str">
        <f>IFERROR(IF(C1096&gt;0, D1096/C1096, 0),"-")</f>
        <v>-</v>
      </c>
    </row>
    <row r="1097" spans="1:5" x14ac:dyDescent="0.2">
      <c r="A1097" s="28" t="s">
        <v>542</v>
      </c>
      <c r="B1097" s="28" t="s">
        <v>1705</v>
      </c>
      <c r="C1097" s="28" t="s">
        <v>959</v>
      </c>
      <c r="D1097" s="28" t="s">
        <v>959</v>
      </c>
      <c r="E1097" s="28" t="str">
        <f>IFERROR(IF(C1097&gt;0, D1097/C1097, 0),"-")</f>
        <v>-</v>
      </c>
    </row>
    <row r="1098" spans="1:5" x14ac:dyDescent="0.2">
      <c r="A1098" s="28" t="s">
        <v>540</v>
      </c>
      <c r="B1098" s="28" t="s">
        <v>1706</v>
      </c>
      <c r="C1098" s="28" t="s">
        <v>959</v>
      </c>
      <c r="D1098" s="28" t="s">
        <v>959</v>
      </c>
      <c r="E1098" s="28" t="str">
        <f>IFERROR(IF(C1098&gt;0, D1098/C1098, 0),"-")</f>
        <v>-</v>
      </c>
    </row>
    <row r="1099" spans="1:5" x14ac:dyDescent="0.2">
      <c r="A1099" s="28" t="s">
        <v>543</v>
      </c>
      <c r="B1099" s="28" t="s">
        <v>1707</v>
      </c>
      <c r="C1099" s="28" t="s">
        <v>959</v>
      </c>
      <c r="D1099" s="28" t="s">
        <v>959</v>
      </c>
      <c r="E1099" s="28" t="str">
        <f>IFERROR(IF(C1099&gt;0, D1099/C1099, 0),"-")</f>
        <v>-</v>
      </c>
    </row>
    <row r="1100" spans="1:5" x14ac:dyDescent="0.2">
      <c r="A1100" s="27"/>
      <c r="B1100" s="27" t="s">
        <v>72</v>
      </c>
      <c r="C1100" s="27" t="s">
        <v>959</v>
      </c>
      <c r="D1100" s="27" t="s">
        <v>959</v>
      </c>
      <c r="E1100" s="27" t="str">
        <f>IFERROR(IF(C1100&gt;0, D1100/C1100, 0),"-")</f>
        <v>-</v>
      </c>
    </row>
    <row r="1101" spans="1:5" x14ac:dyDescent="0.2">
      <c r="A1101" s="28" t="s">
        <v>484</v>
      </c>
      <c r="B1101" s="28" t="s">
        <v>1708</v>
      </c>
      <c r="C1101" s="28" t="s">
        <v>959</v>
      </c>
      <c r="D1101" s="28" t="s">
        <v>959</v>
      </c>
      <c r="E1101" s="28" t="str">
        <f>IFERROR(IF(C1101&gt;0, D1101/C1101, 0),"-")</f>
        <v>-</v>
      </c>
    </row>
    <row r="1102" spans="1:5" x14ac:dyDescent="0.2">
      <c r="A1102" s="28" t="s">
        <v>483</v>
      </c>
      <c r="B1102" s="28" t="s">
        <v>1709</v>
      </c>
      <c r="C1102" s="28" t="s">
        <v>959</v>
      </c>
      <c r="D1102" s="28" t="s">
        <v>959</v>
      </c>
      <c r="E1102" s="28" t="str">
        <f>IFERROR(IF(C1102&gt;0, D1102/C1102, 0),"-")</f>
        <v>-</v>
      </c>
    </row>
    <row r="1103" spans="1:5" x14ac:dyDescent="0.2">
      <c r="A1103" s="28" t="s">
        <v>480</v>
      </c>
      <c r="B1103" s="28" t="s">
        <v>1710</v>
      </c>
      <c r="C1103" s="28" t="s">
        <v>959</v>
      </c>
      <c r="D1103" s="28" t="s">
        <v>959</v>
      </c>
      <c r="E1103" s="28" t="str">
        <f>IFERROR(IF(C1103&gt;0, D1103/C1103, 0),"-")</f>
        <v>-</v>
      </c>
    </row>
    <row r="1104" spans="1:5" x14ac:dyDescent="0.2">
      <c r="A1104" s="28" t="s">
        <v>481</v>
      </c>
      <c r="B1104" s="28" t="s">
        <v>1711</v>
      </c>
      <c r="C1104" s="28" t="s">
        <v>959</v>
      </c>
      <c r="D1104" s="28" t="s">
        <v>959</v>
      </c>
      <c r="E1104" s="28" t="str">
        <f>IFERROR(IF(C1104&gt;0, D1104/C1104, 0),"-")</f>
        <v>-</v>
      </c>
    </row>
    <row r="1105" spans="1:5" x14ac:dyDescent="0.2">
      <c r="A1105" s="28" t="s">
        <v>482</v>
      </c>
      <c r="B1105" s="28" t="s">
        <v>1712</v>
      </c>
      <c r="C1105" s="28" t="s">
        <v>959</v>
      </c>
      <c r="D1105" s="28" t="s">
        <v>959</v>
      </c>
      <c r="E1105" s="28" t="str">
        <f>IFERROR(IF(C1105&gt;0, D1105/C1105, 0),"-")</f>
        <v>-</v>
      </c>
    </row>
    <row r="1106" spans="1:5" x14ac:dyDescent="0.2">
      <c r="A1106" s="27"/>
      <c r="B1106" s="27" t="s">
        <v>118</v>
      </c>
      <c r="C1106" s="27" t="s">
        <v>959</v>
      </c>
      <c r="D1106" s="27" t="s">
        <v>959</v>
      </c>
      <c r="E1106" s="27" t="str">
        <f>IFERROR(IF(C1106&gt;0, D1106/C1106, 0),"-")</f>
        <v>-</v>
      </c>
    </row>
    <row r="1107" spans="1:5" x14ac:dyDescent="0.2">
      <c r="A1107" s="28" t="s">
        <v>842</v>
      </c>
      <c r="B1107" s="28" t="s">
        <v>1713</v>
      </c>
      <c r="C1107" s="28" t="s">
        <v>959</v>
      </c>
      <c r="D1107" s="28" t="s">
        <v>959</v>
      </c>
      <c r="E1107" s="28" t="str">
        <f>IFERROR(IF(C1107&gt;0, D1107/C1107, 0),"-")</f>
        <v>-</v>
      </c>
    </row>
    <row r="1108" spans="1:5" x14ac:dyDescent="0.2">
      <c r="A1108" s="28" t="s">
        <v>841</v>
      </c>
      <c r="B1108" s="28" t="s">
        <v>1714</v>
      </c>
      <c r="C1108" s="28" t="s">
        <v>959</v>
      </c>
      <c r="D1108" s="28" t="s">
        <v>959</v>
      </c>
      <c r="E1108" s="28" t="str">
        <f>IFERROR(IF(C1108&gt;0, D1108/C1108, 0),"-")</f>
        <v>-</v>
      </c>
    </row>
    <row r="1109" spans="1:5" x14ac:dyDescent="0.2">
      <c r="A1109" s="28" t="s">
        <v>843</v>
      </c>
      <c r="B1109" s="28" t="s">
        <v>1715</v>
      </c>
      <c r="C1109" s="28" t="s">
        <v>959</v>
      </c>
      <c r="D1109" s="28" t="s">
        <v>959</v>
      </c>
      <c r="E1109" s="28" t="str">
        <f>IFERROR(IF(C1109&gt;0, D1109/C1109, 0),"-")</f>
        <v>-</v>
      </c>
    </row>
    <row r="1110" spans="1:5" x14ac:dyDescent="0.2">
      <c r="A1110" s="28" t="s">
        <v>844</v>
      </c>
      <c r="B1110" s="28" t="s">
        <v>1716</v>
      </c>
      <c r="C1110" s="28" t="s">
        <v>959</v>
      </c>
      <c r="D1110" s="28" t="s">
        <v>959</v>
      </c>
      <c r="E1110" s="28" t="str">
        <f>IFERROR(IF(C1110&gt;0, D1110/C1110, 0),"-")</f>
        <v>-</v>
      </c>
    </row>
    <row r="1111" spans="1:5" x14ac:dyDescent="0.2">
      <c r="A1111" s="28" t="s">
        <v>845</v>
      </c>
      <c r="B1111" s="28" t="s">
        <v>1717</v>
      </c>
      <c r="C1111" s="28" t="s">
        <v>959</v>
      </c>
      <c r="D1111" s="28" t="s">
        <v>959</v>
      </c>
      <c r="E1111" s="28" t="str">
        <f>IFERROR(IF(C1111&gt;0, D1111/C1111, 0),"-")</f>
        <v>-</v>
      </c>
    </row>
    <row r="1112" spans="1:5" x14ac:dyDescent="0.2">
      <c r="A1112" s="27"/>
      <c r="B1112" s="27" t="s">
        <v>37</v>
      </c>
      <c r="C1112" s="27" t="s">
        <v>959</v>
      </c>
      <c r="D1112" s="27" t="s">
        <v>959</v>
      </c>
      <c r="E1112" s="27" t="str">
        <f>IFERROR(IF(C1112&gt;0, D1112/C1112, 0),"-")</f>
        <v>-</v>
      </c>
    </row>
    <row r="1113" spans="1:5" x14ac:dyDescent="0.2">
      <c r="A1113" s="28" t="s">
        <v>187</v>
      </c>
      <c r="B1113" s="28" t="s">
        <v>1718</v>
      </c>
      <c r="C1113" s="28" t="s">
        <v>959</v>
      </c>
      <c r="D1113" s="28" t="s">
        <v>959</v>
      </c>
      <c r="E1113" s="28" t="str">
        <f>IFERROR(IF(C1113&gt;0, D1113/C1113, 0),"-")</f>
        <v>-</v>
      </c>
    </row>
    <row r="1114" spans="1:5" x14ac:dyDescent="0.2">
      <c r="A1114" s="28" t="s">
        <v>184</v>
      </c>
      <c r="B1114" s="28" t="s">
        <v>1719</v>
      </c>
      <c r="C1114" s="28" t="s">
        <v>959</v>
      </c>
      <c r="D1114" s="28" t="s">
        <v>959</v>
      </c>
      <c r="E1114" s="28" t="str">
        <f>IFERROR(IF(C1114&gt;0, D1114/C1114, 0),"-")</f>
        <v>-</v>
      </c>
    </row>
    <row r="1115" spans="1:5" x14ac:dyDescent="0.2">
      <c r="A1115" s="28" t="s">
        <v>183</v>
      </c>
      <c r="B1115" s="28" t="s">
        <v>1720</v>
      </c>
      <c r="C1115" s="28" t="s">
        <v>959</v>
      </c>
      <c r="D1115" s="28" t="s">
        <v>959</v>
      </c>
      <c r="E1115" s="28" t="str">
        <f>IFERROR(IF(C1115&gt;0, D1115/C1115, 0),"-")</f>
        <v>-</v>
      </c>
    </row>
    <row r="1116" spans="1:5" x14ac:dyDescent="0.2">
      <c r="A1116" s="28" t="s">
        <v>185</v>
      </c>
      <c r="B1116" s="28" t="s">
        <v>1721</v>
      </c>
      <c r="C1116" s="28" t="s">
        <v>959</v>
      </c>
      <c r="D1116" s="28" t="s">
        <v>959</v>
      </c>
      <c r="E1116" s="28" t="str">
        <f>IFERROR(IF(C1116&gt;0, D1116/C1116, 0),"-")</f>
        <v>-</v>
      </c>
    </row>
    <row r="1117" spans="1:5" x14ac:dyDescent="0.2">
      <c r="A1117" s="28" t="s">
        <v>186</v>
      </c>
      <c r="B1117" s="28" t="s">
        <v>1722</v>
      </c>
      <c r="C1117" s="28" t="s">
        <v>959</v>
      </c>
      <c r="D1117" s="28" t="s">
        <v>959</v>
      </c>
      <c r="E1117" s="28" t="str">
        <f>IFERROR(IF(C1117&gt;0, D1117/C1117, 0),"-")</f>
        <v>-</v>
      </c>
    </row>
    <row r="1118" spans="1:5" x14ac:dyDescent="0.2">
      <c r="A1118" s="28" t="s">
        <v>220</v>
      </c>
      <c r="B1118" s="28" t="s">
        <v>1723</v>
      </c>
      <c r="C1118" s="28" t="s">
        <v>959</v>
      </c>
      <c r="D1118" s="28" t="s">
        <v>959</v>
      </c>
      <c r="E1118" s="28" t="str">
        <f>IFERROR(IF(C1118&gt;0, D1118/C1118, 0),"-")</f>
        <v>-</v>
      </c>
    </row>
    <row r="1119" spans="1:5" x14ac:dyDescent="0.2">
      <c r="A1119" s="27"/>
      <c r="B1119" s="27" t="s">
        <v>123</v>
      </c>
      <c r="C1119" s="27" t="s">
        <v>959</v>
      </c>
      <c r="D1119" s="27" t="s">
        <v>959</v>
      </c>
      <c r="E1119" s="27" t="str">
        <f>IFERROR(IF(C1119&gt;0, D1119/C1119, 0),"-")</f>
        <v>-</v>
      </c>
    </row>
    <row r="1120" spans="1:5" x14ac:dyDescent="0.2">
      <c r="A1120" s="28" t="s">
        <v>871</v>
      </c>
      <c r="B1120" s="28" t="s">
        <v>1724</v>
      </c>
      <c r="C1120" s="28" t="s">
        <v>959</v>
      </c>
      <c r="D1120" s="28" t="s">
        <v>959</v>
      </c>
      <c r="E1120" s="28" t="str">
        <f>IFERROR(IF(C1120&gt;0, D1120/C1120, 0),"-")</f>
        <v>-</v>
      </c>
    </row>
    <row r="1121" spans="1:5" x14ac:dyDescent="0.2">
      <c r="A1121" s="28" t="s">
        <v>869</v>
      </c>
      <c r="B1121" s="28" t="s">
        <v>1725</v>
      </c>
      <c r="C1121" s="28" t="s">
        <v>959</v>
      </c>
      <c r="D1121" s="28" t="s">
        <v>959</v>
      </c>
      <c r="E1121" s="28" t="str">
        <f>IFERROR(IF(C1121&gt;0, D1121/C1121, 0),"-")</f>
        <v>-</v>
      </c>
    </row>
    <row r="1122" spans="1:5" x14ac:dyDescent="0.2">
      <c r="A1122" s="28" t="s">
        <v>867</v>
      </c>
      <c r="B1122" s="28" t="s">
        <v>1726</v>
      </c>
      <c r="C1122" s="28" t="s">
        <v>959</v>
      </c>
      <c r="D1122" s="28" t="s">
        <v>959</v>
      </c>
      <c r="E1122" s="28" t="str">
        <f>IFERROR(IF(C1122&gt;0, D1122/C1122, 0),"-")</f>
        <v>-</v>
      </c>
    </row>
    <row r="1123" spans="1:5" x14ac:dyDescent="0.2">
      <c r="A1123" s="28" t="s">
        <v>868</v>
      </c>
      <c r="B1123" s="28" t="s">
        <v>1727</v>
      </c>
      <c r="C1123" s="28" t="s">
        <v>959</v>
      </c>
      <c r="D1123" s="28" t="s">
        <v>959</v>
      </c>
      <c r="E1123" s="28" t="str">
        <f>IFERROR(IF(C1123&gt;0, D1123/C1123, 0),"-")</f>
        <v>-</v>
      </c>
    </row>
    <row r="1124" spans="1:5" x14ac:dyDescent="0.2">
      <c r="A1124" s="28" t="s">
        <v>870</v>
      </c>
      <c r="B1124" s="28" t="s">
        <v>1728</v>
      </c>
      <c r="C1124" s="28" t="s">
        <v>959</v>
      </c>
      <c r="D1124" s="28" t="s">
        <v>959</v>
      </c>
      <c r="E1124" s="28" t="str">
        <f>IFERROR(IF(C1124&gt;0, D1124/C1124, 0),"-")</f>
        <v>-</v>
      </c>
    </row>
    <row r="1125" spans="1:5" x14ac:dyDescent="0.2">
      <c r="A1125" s="27"/>
      <c r="B1125" s="27" t="s">
        <v>22</v>
      </c>
      <c r="C1125" s="27" t="s">
        <v>959</v>
      </c>
      <c r="D1125" s="27" t="s">
        <v>959</v>
      </c>
      <c r="E1125" s="27" t="str">
        <f>IFERROR(IF(C1125&gt;0, D1125/C1125, 0),"-")</f>
        <v>-</v>
      </c>
    </row>
    <row r="1126" spans="1:5" x14ac:dyDescent="0.2">
      <c r="A1126" s="28" t="s">
        <v>675</v>
      </c>
      <c r="B1126" s="28" t="s">
        <v>1729</v>
      </c>
      <c r="C1126" s="28" t="s">
        <v>959</v>
      </c>
      <c r="D1126" s="28" t="s">
        <v>959</v>
      </c>
      <c r="E1126" s="28" t="str">
        <f>IFERROR(IF(C1126&gt;0, D1126/C1126, 0),"-")</f>
        <v>-</v>
      </c>
    </row>
    <row r="1127" spans="1:5" x14ac:dyDescent="0.2">
      <c r="A1127" s="28" t="s">
        <v>674</v>
      </c>
      <c r="B1127" s="28" t="s">
        <v>1730</v>
      </c>
      <c r="C1127" s="28" t="s">
        <v>959</v>
      </c>
      <c r="D1127" s="28" t="s">
        <v>959</v>
      </c>
      <c r="E1127" s="28" t="str">
        <f>IFERROR(IF(C1127&gt;0, D1127/C1127, 0),"-")</f>
        <v>-</v>
      </c>
    </row>
    <row r="1128" spans="1:5" x14ac:dyDescent="0.2">
      <c r="A1128" s="28" t="s">
        <v>673</v>
      </c>
      <c r="B1128" s="28" t="s">
        <v>1731</v>
      </c>
      <c r="C1128" s="28" t="s">
        <v>959</v>
      </c>
      <c r="D1128" s="28" t="s">
        <v>959</v>
      </c>
      <c r="E1128" s="28" t="str">
        <f>IFERROR(IF(C1128&gt;0, D1128/C1128, 0),"-")</f>
        <v>-</v>
      </c>
    </row>
    <row r="1129" spans="1:5" x14ac:dyDescent="0.2">
      <c r="A1129" s="28" t="s">
        <v>676</v>
      </c>
      <c r="B1129" s="28" t="s">
        <v>1732</v>
      </c>
      <c r="C1129" s="28" t="s">
        <v>959</v>
      </c>
      <c r="D1129" s="28" t="s">
        <v>959</v>
      </c>
      <c r="E1129" s="28" t="str">
        <f>IFERROR(IF(C1129&gt;0, D1129/C1129, 0),"-")</f>
        <v>-</v>
      </c>
    </row>
    <row r="1130" spans="1:5" x14ac:dyDescent="0.2">
      <c r="A1130" s="28" t="s">
        <v>672</v>
      </c>
      <c r="B1130" s="28" t="s">
        <v>1733</v>
      </c>
      <c r="C1130" s="28" t="s">
        <v>959</v>
      </c>
      <c r="D1130" s="28" t="s">
        <v>959</v>
      </c>
      <c r="E1130" s="28" t="str">
        <f>IFERROR(IF(C1130&gt;0, D1130/C1130, 0),"-")</f>
        <v>-</v>
      </c>
    </row>
    <row r="1131" spans="1:5" x14ac:dyDescent="0.2">
      <c r="A1131" s="28" t="s">
        <v>671</v>
      </c>
      <c r="B1131" s="28" t="s">
        <v>1734</v>
      </c>
      <c r="C1131" s="28" t="s">
        <v>959</v>
      </c>
      <c r="D1131" s="28" t="s">
        <v>959</v>
      </c>
      <c r="E1131" s="28" t="str">
        <f>IFERROR(IF(C1131&gt;0, D1131/C1131, 0),"-")</f>
        <v>-</v>
      </c>
    </row>
    <row r="1132" spans="1:5" x14ac:dyDescent="0.2">
      <c r="A1132" s="27"/>
      <c r="B1132" s="27" t="s">
        <v>1</v>
      </c>
      <c r="C1132" s="27" t="s">
        <v>959</v>
      </c>
      <c r="D1132" s="27" t="s">
        <v>959</v>
      </c>
      <c r="E1132" s="27" t="str">
        <f>IFERROR(IF(C1132&gt;0, D1132/C1132, 0),"-")</f>
        <v>-</v>
      </c>
    </row>
    <row r="1133" spans="1:5" x14ac:dyDescent="0.2">
      <c r="A1133" s="28" t="s">
        <v>300</v>
      </c>
      <c r="B1133" s="28" t="s">
        <v>1735</v>
      </c>
      <c r="C1133" s="28" t="s">
        <v>959</v>
      </c>
      <c r="D1133" s="28" t="s">
        <v>959</v>
      </c>
      <c r="E1133" s="28" t="str">
        <f>IFERROR(IF(C1133&gt;0, D1133/C1133, 0),"-")</f>
        <v>-</v>
      </c>
    </row>
    <row r="1134" spans="1:5" x14ac:dyDescent="0.2">
      <c r="A1134" s="28" t="s">
        <v>299</v>
      </c>
      <c r="B1134" s="28" t="s">
        <v>1736</v>
      </c>
      <c r="C1134" s="28" t="s">
        <v>959</v>
      </c>
      <c r="D1134" s="28" t="s">
        <v>959</v>
      </c>
      <c r="E1134" s="28" t="str">
        <f>IFERROR(IF(C1134&gt;0, D1134/C1134, 0),"-")</f>
        <v>-</v>
      </c>
    </row>
    <row r="1135" spans="1:5" x14ac:dyDescent="0.2">
      <c r="A1135" s="28" t="s">
        <v>277</v>
      </c>
      <c r="B1135" s="28" t="s">
        <v>1737</v>
      </c>
      <c r="C1135" s="28" t="s">
        <v>959</v>
      </c>
      <c r="D1135" s="28" t="s">
        <v>959</v>
      </c>
      <c r="E1135" s="28" t="str">
        <f>IFERROR(IF(C1135&gt;0, D1135/C1135, 0),"-")</f>
        <v>-</v>
      </c>
    </row>
    <row r="1136" spans="1:5" x14ac:dyDescent="0.2">
      <c r="A1136" s="28" t="s">
        <v>275</v>
      </c>
      <c r="B1136" s="28" t="s">
        <v>1738</v>
      </c>
      <c r="C1136" s="28" t="s">
        <v>959</v>
      </c>
      <c r="D1136" s="28" t="s">
        <v>959</v>
      </c>
      <c r="E1136" s="28" t="str">
        <f>IFERROR(IF(C1136&gt;0, D1136/C1136, 0),"-")</f>
        <v>-</v>
      </c>
    </row>
    <row r="1137" spans="1:5" x14ac:dyDescent="0.2">
      <c r="A1137" s="28" t="s">
        <v>276</v>
      </c>
      <c r="B1137" s="28" t="s">
        <v>1739</v>
      </c>
      <c r="C1137" s="28" t="s">
        <v>959</v>
      </c>
      <c r="D1137" s="28" t="s">
        <v>959</v>
      </c>
      <c r="E1137" s="28" t="str">
        <f>IFERROR(IF(C1137&gt;0, D1137/C1137, 0),"-")</f>
        <v>-</v>
      </c>
    </row>
    <row r="1138" spans="1:5" x14ac:dyDescent="0.2">
      <c r="A1138" s="28" t="s">
        <v>279</v>
      </c>
      <c r="B1138" s="28" t="s">
        <v>1740</v>
      </c>
      <c r="C1138" s="28" t="s">
        <v>959</v>
      </c>
      <c r="D1138" s="28" t="s">
        <v>959</v>
      </c>
      <c r="E1138" s="28" t="str">
        <f>IFERROR(IF(C1138&gt;0, D1138/C1138, 0),"-")</f>
        <v>-</v>
      </c>
    </row>
    <row r="1139" spans="1:5" x14ac:dyDescent="0.2">
      <c r="A1139" s="28" t="s">
        <v>278</v>
      </c>
      <c r="B1139" s="28" t="s">
        <v>1741</v>
      </c>
      <c r="C1139" s="28" t="s">
        <v>959</v>
      </c>
      <c r="D1139" s="28" t="s">
        <v>959</v>
      </c>
      <c r="E1139" s="28" t="str">
        <f>IFERROR(IF(C1139&gt;0, D1139/C1139, 0),"-")</f>
        <v>-</v>
      </c>
    </row>
    <row r="1140" spans="1:5" x14ac:dyDescent="0.2">
      <c r="A1140" s="28" t="s">
        <v>298</v>
      </c>
      <c r="B1140" s="28" t="s">
        <v>1742</v>
      </c>
      <c r="C1140" s="28" t="s">
        <v>959</v>
      </c>
      <c r="D1140" s="28" t="s">
        <v>959</v>
      </c>
      <c r="E1140" s="28" t="str">
        <f>IFERROR(IF(C1140&gt;0, D1140/C1140, 0),"-")</f>
        <v>-</v>
      </c>
    </row>
    <row r="1141" spans="1:5" x14ac:dyDescent="0.2">
      <c r="A1141" s="27"/>
      <c r="B1141" s="27" t="s">
        <v>97</v>
      </c>
      <c r="C1141" s="27" t="s">
        <v>959</v>
      </c>
      <c r="D1141" s="27" t="s">
        <v>959</v>
      </c>
      <c r="E1141" s="27" t="str">
        <f>IFERROR(IF(C1141&gt;0, D1141/C1141, 0),"-")</f>
        <v>-</v>
      </c>
    </row>
    <row r="1142" spans="1:5" x14ac:dyDescent="0.2">
      <c r="A1142" s="28" t="s">
        <v>685</v>
      </c>
      <c r="B1142" s="28" t="s">
        <v>1743</v>
      </c>
      <c r="C1142" s="28" t="s">
        <v>959</v>
      </c>
      <c r="D1142" s="28" t="s">
        <v>959</v>
      </c>
      <c r="E1142" s="28" t="str">
        <f>IFERROR(IF(C1142&gt;0, D1142/C1142, 0),"-")</f>
        <v>-</v>
      </c>
    </row>
    <row r="1143" spans="1:5" x14ac:dyDescent="0.2">
      <c r="A1143" s="28" t="s">
        <v>689</v>
      </c>
      <c r="B1143" s="28" t="s">
        <v>1744</v>
      </c>
      <c r="C1143" s="28" t="s">
        <v>959</v>
      </c>
      <c r="D1143" s="28" t="s">
        <v>959</v>
      </c>
      <c r="E1143" s="28" t="str">
        <f>IFERROR(IF(C1143&gt;0, D1143/C1143, 0),"-")</f>
        <v>-</v>
      </c>
    </row>
    <row r="1144" spans="1:5" x14ac:dyDescent="0.2">
      <c r="A1144" s="28" t="s">
        <v>686</v>
      </c>
      <c r="B1144" s="28" t="s">
        <v>1745</v>
      </c>
      <c r="C1144" s="28" t="s">
        <v>959</v>
      </c>
      <c r="D1144" s="28" t="s">
        <v>959</v>
      </c>
      <c r="E1144" s="28" t="str">
        <f>IFERROR(IF(C1144&gt;0, D1144/C1144, 0),"-")</f>
        <v>-</v>
      </c>
    </row>
    <row r="1145" spans="1:5" x14ac:dyDescent="0.2">
      <c r="A1145" s="28" t="s">
        <v>690</v>
      </c>
      <c r="B1145" s="28" t="s">
        <v>1746</v>
      </c>
      <c r="C1145" s="28" t="s">
        <v>959</v>
      </c>
      <c r="D1145" s="28" t="s">
        <v>959</v>
      </c>
      <c r="E1145" s="28" t="str">
        <f>IFERROR(IF(C1145&gt;0, D1145/C1145, 0),"-")</f>
        <v>-</v>
      </c>
    </row>
    <row r="1146" spans="1:5" x14ac:dyDescent="0.2">
      <c r="A1146" s="28" t="s">
        <v>688</v>
      </c>
      <c r="B1146" s="28" t="s">
        <v>1747</v>
      </c>
      <c r="C1146" s="28" t="s">
        <v>959</v>
      </c>
      <c r="D1146" s="28" t="s">
        <v>959</v>
      </c>
      <c r="E1146" s="28" t="str">
        <f>IFERROR(IF(C1146&gt;0, D1146/C1146, 0),"-")</f>
        <v>-</v>
      </c>
    </row>
    <row r="1147" spans="1:5" x14ac:dyDescent="0.2">
      <c r="A1147" s="28" t="s">
        <v>687</v>
      </c>
      <c r="B1147" s="28" t="s">
        <v>1748</v>
      </c>
      <c r="C1147" s="28" t="s">
        <v>959</v>
      </c>
      <c r="D1147" s="28" t="s">
        <v>959</v>
      </c>
      <c r="E1147" s="28" t="str">
        <f>IFERROR(IF(C1147&gt;0, D1147/C1147, 0),"-")</f>
        <v>-</v>
      </c>
    </row>
    <row r="1148" spans="1:5" x14ac:dyDescent="0.2">
      <c r="A1148" s="27"/>
      <c r="B1148" s="27" t="s">
        <v>55</v>
      </c>
      <c r="C1148" s="27" t="s">
        <v>959</v>
      </c>
      <c r="D1148" s="27" t="s">
        <v>959</v>
      </c>
      <c r="E1148" s="27" t="str">
        <f>IFERROR(IF(C1148&gt;0, D1148/C1148, 0),"-")</f>
        <v>-</v>
      </c>
    </row>
    <row r="1149" spans="1:5" x14ac:dyDescent="0.2">
      <c r="A1149" s="28" t="s">
        <v>341</v>
      </c>
      <c r="B1149" s="28" t="s">
        <v>1749</v>
      </c>
      <c r="C1149" s="28" t="s">
        <v>959</v>
      </c>
      <c r="D1149" s="28" t="s">
        <v>959</v>
      </c>
      <c r="E1149" s="28" t="str">
        <f>IFERROR(IF(C1149&gt;0, D1149/C1149, 0),"-")</f>
        <v>-</v>
      </c>
    </row>
    <row r="1150" spans="1:5" x14ac:dyDescent="0.2">
      <c r="A1150" s="28" t="s">
        <v>368</v>
      </c>
      <c r="B1150" s="28" t="s">
        <v>1750</v>
      </c>
      <c r="C1150" s="28" t="s">
        <v>959</v>
      </c>
      <c r="D1150" s="28" t="s">
        <v>959</v>
      </c>
      <c r="E1150" s="28" t="str">
        <f>IFERROR(IF(C1150&gt;0, D1150/C1150, 0),"-")</f>
        <v>-</v>
      </c>
    </row>
    <row r="1151" spans="1:5" x14ac:dyDescent="0.2">
      <c r="A1151" s="28" t="s">
        <v>343</v>
      </c>
      <c r="B1151" s="28" t="s">
        <v>1751</v>
      </c>
      <c r="C1151" s="28" t="s">
        <v>959</v>
      </c>
      <c r="D1151" s="28" t="s">
        <v>959</v>
      </c>
      <c r="E1151" s="28" t="str">
        <f>IFERROR(IF(C1151&gt;0, D1151/C1151, 0),"-")</f>
        <v>-</v>
      </c>
    </row>
    <row r="1152" spans="1:5" x14ac:dyDescent="0.2">
      <c r="A1152" s="28" t="s">
        <v>339</v>
      </c>
      <c r="B1152" s="28" t="s">
        <v>1752</v>
      </c>
      <c r="C1152" s="28" t="s">
        <v>959</v>
      </c>
      <c r="D1152" s="28" t="s">
        <v>959</v>
      </c>
      <c r="E1152" s="28" t="str">
        <f>IFERROR(IF(C1152&gt;0, D1152/C1152, 0),"-")</f>
        <v>-</v>
      </c>
    </row>
    <row r="1153" spans="1:5" x14ac:dyDescent="0.2">
      <c r="A1153" s="28" t="s">
        <v>342</v>
      </c>
      <c r="B1153" s="28" t="s">
        <v>1753</v>
      </c>
      <c r="C1153" s="28" t="s">
        <v>959</v>
      </c>
      <c r="D1153" s="28" t="s">
        <v>959</v>
      </c>
      <c r="E1153" s="28" t="str">
        <f>IFERROR(IF(C1153&gt;0, D1153/C1153, 0),"-")</f>
        <v>-</v>
      </c>
    </row>
    <row r="1154" spans="1:5" x14ac:dyDescent="0.2">
      <c r="A1154" s="28" t="s">
        <v>369</v>
      </c>
      <c r="B1154" s="28" t="s">
        <v>1754</v>
      </c>
      <c r="C1154" s="28" t="s">
        <v>959</v>
      </c>
      <c r="D1154" s="28" t="s">
        <v>959</v>
      </c>
      <c r="E1154" s="28" t="str">
        <f>IFERROR(IF(C1154&gt;0, D1154/C1154, 0),"-")</f>
        <v>-</v>
      </c>
    </row>
    <row r="1155" spans="1:5" x14ac:dyDescent="0.2">
      <c r="A1155" s="28" t="s">
        <v>338</v>
      </c>
      <c r="B1155" s="28" t="s">
        <v>1755</v>
      </c>
      <c r="C1155" s="28" t="s">
        <v>959</v>
      </c>
      <c r="D1155" s="28" t="s">
        <v>959</v>
      </c>
      <c r="E1155" s="28" t="str">
        <f>IFERROR(IF(C1155&gt;0, D1155/C1155, 0),"-")</f>
        <v>-</v>
      </c>
    </row>
    <row r="1156" spans="1:5" x14ac:dyDescent="0.2">
      <c r="A1156" s="28" t="s">
        <v>340</v>
      </c>
      <c r="B1156" s="28" t="s">
        <v>1756</v>
      </c>
      <c r="C1156" s="28" t="s">
        <v>959</v>
      </c>
      <c r="D1156" s="28" t="s">
        <v>959</v>
      </c>
      <c r="E1156" s="28" t="str">
        <f>IFERROR(IF(C1156&gt;0, D1156/C1156, 0),"-")</f>
        <v>-</v>
      </c>
    </row>
    <row r="1157" spans="1:5" x14ac:dyDescent="0.2">
      <c r="A1157" s="27"/>
      <c r="B1157" s="27" t="s">
        <v>38</v>
      </c>
      <c r="C1157" s="27" t="s">
        <v>959</v>
      </c>
      <c r="D1157" s="27" t="s">
        <v>959</v>
      </c>
      <c r="E1157" s="27" t="str">
        <f>IFERROR(IF(C1157&gt;0, D1157/C1157, 0),"-")</f>
        <v>-</v>
      </c>
    </row>
    <row r="1158" spans="1:5" x14ac:dyDescent="0.2">
      <c r="A1158" s="28" t="s">
        <v>196</v>
      </c>
      <c r="B1158" s="28" t="s">
        <v>1757</v>
      </c>
      <c r="C1158" s="28" t="s">
        <v>959</v>
      </c>
      <c r="D1158" s="28" t="s">
        <v>959</v>
      </c>
      <c r="E1158" s="28" t="str">
        <f>IFERROR(IF(C1158&gt;0, D1158/C1158, 0),"-")</f>
        <v>-</v>
      </c>
    </row>
    <row r="1159" spans="1:5" x14ac:dyDescent="0.2">
      <c r="A1159" s="28" t="s">
        <v>194</v>
      </c>
      <c r="B1159" s="28" t="s">
        <v>1329</v>
      </c>
      <c r="C1159" s="28" t="s">
        <v>959</v>
      </c>
      <c r="D1159" s="28" t="s">
        <v>959</v>
      </c>
      <c r="E1159" s="28" t="str">
        <f>IFERROR(IF(C1159&gt;0, D1159/C1159, 0),"-")</f>
        <v>-</v>
      </c>
    </row>
    <row r="1160" spans="1:5" x14ac:dyDescent="0.2">
      <c r="A1160" s="28" t="s">
        <v>195</v>
      </c>
      <c r="B1160" s="28" t="s">
        <v>1758</v>
      </c>
      <c r="C1160" s="28" t="s">
        <v>959</v>
      </c>
      <c r="D1160" s="28" t="s">
        <v>959</v>
      </c>
      <c r="E1160" s="28" t="str">
        <f>IFERROR(IF(C1160&gt;0, D1160/C1160, 0),"-")</f>
        <v>-</v>
      </c>
    </row>
    <row r="1161" spans="1:5" x14ac:dyDescent="0.2">
      <c r="A1161" s="28" t="s">
        <v>198</v>
      </c>
      <c r="B1161" s="28" t="s">
        <v>1759</v>
      </c>
      <c r="C1161" s="28" t="s">
        <v>959</v>
      </c>
      <c r="D1161" s="28" t="s">
        <v>959</v>
      </c>
      <c r="E1161" s="28" t="str">
        <f>IFERROR(IF(C1161&gt;0, D1161/C1161, 0),"-")</f>
        <v>-</v>
      </c>
    </row>
    <row r="1162" spans="1:5" x14ac:dyDescent="0.2">
      <c r="A1162" s="28" t="s">
        <v>193</v>
      </c>
      <c r="B1162" s="28" t="s">
        <v>1760</v>
      </c>
      <c r="C1162" s="28" t="s">
        <v>959</v>
      </c>
      <c r="D1162" s="28" t="s">
        <v>959</v>
      </c>
      <c r="E1162" s="28" t="str">
        <f>IFERROR(IF(C1162&gt;0, D1162/C1162, 0),"-")</f>
        <v>-</v>
      </c>
    </row>
    <row r="1163" spans="1:5" x14ac:dyDescent="0.2">
      <c r="A1163" s="28" t="s">
        <v>197</v>
      </c>
      <c r="B1163" s="28" t="s">
        <v>1002</v>
      </c>
      <c r="C1163" s="28" t="s">
        <v>959</v>
      </c>
      <c r="D1163" s="28" t="s">
        <v>959</v>
      </c>
      <c r="E1163" s="28" t="str">
        <f>IFERROR(IF(C1163&gt;0, D1163/C1163, 0),"-")</f>
        <v>-</v>
      </c>
    </row>
    <row r="1164" spans="1:5" x14ac:dyDescent="0.2">
      <c r="A1164" s="27"/>
      <c r="B1164" s="27" t="s">
        <v>86</v>
      </c>
      <c r="C1164" s="27" t="s">
        <v>959</v>
      </c>
      <c r="D1164" s="27" t="s">
        <v>959</v>
      </c>
      <c r="E1164" s="27" t="str">
        <f>IFERROR(IF(C1164&gt;0, D1164/C1164, 0),"-")</f>
        <v>-</v>
      </c>
    </row>
    <row r="1165" spans="1:5" x14ac:dyDescent="0.2">
      <c r="A1165" s="28" t="s">
        <v>592</v>
      </c>
      <c r="B1165" s="28" t="s">
        <v>1761</v>
      </c>
      <c r="C1165" s="28" t="s">
        <v>959</v>
      </c>
      <c r="D1165" s="28" t="s">
        <v>959</v>
      </c>
      <c r="E1165" s="28" t="str">
        <f>IFERROR(IF(C1165&gt;0, D1165/C1165, 0),"-")</f>
        <v>-</v>
      </c>
    </row>
    <row r="1166" spans="1:5" x14ac:dyDescent="0.2">
      <c r="A1166" s="28" t="s">
        <v>580</v>
      </c>
      <c r="B1166" s="28" t="s">
        <v>1762</v>
      </c>
      <c r="C1166" s="28" t="s">
        <v>959</v>
      </c>
      <c r="D1166" s="28" t="s">
        <v>959</v>
      </c>
      <c r="E1166" s="28" t="str">
        <f>IFERROR(IF(C1166&gt;0, D1166/C1166, 0),"-")</f>
        <v>-</v>
      </c>
    </row>
    <row r="1167" spans="1:5" x14ac:dyDescent="0.2">
      <c r="A1167" s="28" t="s">
        <v>606</v>
      </c>
      <c r="B1167" s="28" t="s">
        <v>1763</v>
      </c>
      <c r="C1167" s="28" t="s">
        <v>959</v>
      </c>
      <c r="D1167" s="28" t="s">
        <v>959</v>
      </c>
      <c r="E1167" s="28" t="str">
        <f>IFERROR(IF(C1167&gt;0, D1167/C1167, 0),"-")</f>
        <v>-</v>
      </c>
    </row>
    <row r="1168" spans="1:5" x14ac:dyDescent="0.2">
      <c r="A1168" s="28" t="s">
        <v>605</v>
      </c>
      <c r="B1168" s="28" t="s">
        <v>1764</v>
      </c>
      <c r="C1168" s="28" t="s">
        <v>959</v>
      </c>
      <c r="D1168" s="28" t="s">
        <v>959</v>
      </c>
      <c r="E1168" s="28" t="str">
        <f>IFERROR(IF(C1168&gt;0, D1168/C1168, 0),"-")</f>
        <v>-</v>
      </c>
    </row>
    <row r="1169" spans="1:5" x14ac:dyDescent="0.2">
      <c r="A1169" s="28" t="s">
        <v>593</v>
      </c>
      <c r="B1169" s="28" t="s">
        <v>1765</v>
      </c>
      <c r="C1169" s="28" t="s">
        <v>959</v>
      </c>
      <c r="D1169" s="28" t="s">
        <v>959</v>
      </c>
      <c r="E1169" s="28" t="str">
        <f>IFERROR(IF(C1169&gt;0, D1169/C1169, 0),"-")</f>
        <v>-</v>
      </c>
    </row>
    <row r="1170" spans="1:5" x14ac:dyDescent="0.2">
      <c r="A1170" s="28" t="s">
        <v>583</v>
      </c>
      <c r="B1170" s="28" t="s">
        <v>1766</v>
      </c>
      <c r="C1170" s="28" t="s">
        <v>959</v>
      </c>
      <c r="D1170" s="28" t="s">
        <v>959</v>
      </c>
      <c r="E1170" s="28" t="str">
        <f>IFERROR(IF(C1170&gt;0, D1170/C1170, 0),"-")</f>
        <v>-</v>
      </c>
    </row>
    <row r="1171" spans="1:5" x14ac:dyDescent="0.2">
      <c r="A1171" s="28" t="s">
        <v>582</v>
      </c>
      <c r="B1171" s="28" t="s">
        <v>1767</v>
      </c>
      <c r="C1171" s="28" t="s">
        <v>959</v>
      </c>
      <c r="D1171" s="28" t="s">
        <v>959</v>
      </c>
      <c r="E1171" s="28" t="str">
        <f>IFERROR(IF(C1171&gt;0, D1171/C1171, 0),"-")</f>
        <v>-</v>
      </c>
    </row>
    <row r="1172" spans="1:5" x14ac:dyDescent="0.2">
      <c r="A1172" s="28" t="s">
        <v>584</v>
      </c>
      <c r="B1172" s="28" t="s">
        <v>1768</v>
      </c>
      <c r="C1172" s="28" t="s">
        <v>959</v>
      </c>
      <c r="D1172" s="28" t="s">
        <v>959</v>
      </c>
      <c r="E1172" s="28" t="str">
        <f>IFERROR(IF(C1172&gt;0, D1172/C1172, 0),"-")</f>
        <v>-</v>
      </c>
    </row>
    <row r="1173" spans="1:5" x14ac:dyDescent="0.2">
      <c r="A1173" s="28" t="s">
        <v>614</v>
      </c>
      <c r="B1173" s="28" t="s">
        <v>1769</v>
      </c>
      <c r="C1173" s="28" t="s">
        <v>959</v>
      </c>
      <c r="D1173" s="28" t="s">
        <v>959</v>
      </c>
      <c r="E1173" s="28" t="str">
        <f>IFERROR(IF(C1173&gt;0, D1173/C1173, 0),"-")</f>
        <v>-</v>
      </c>
    </row>
    <row r="1174" spans="1:5" x14ac:dyDescent="0.2">
      <c r="A1174" s="28" t="s">
        <v>585</v>
      </c>
      <c r="B1174" s="28" t="s">
        <v>1770</v>
      </c>
      <c r="C1174" s="28" t="s">
        <v>959</v>
      </c>
      <c r="D1174" s="28" t="s">
        <v>959</v>
      </c>
      <c r="E1174" s="28" t="str">
        <f>IFERROR(IF(C1174&gt;0, D1174/C1174, 0),"-")</f>
        <v>-</v>
      </c>
    </row>
    <row r="1175" spans="1:5" x14ac:dyDescent="0.2">
      <c r="A1175" s="28" t="s">
        <v>581</v>
      </c>
      <c r="B1175" s="28" t="s">
        <v>1771</v>
      </c>
      <c r="C1175" s="28" t="s">
        <v>959</v>
      </c>
      <c r="D1175" s="28" t="s">
        <v>959</v>
      </c>
      <c r="E1175" s="28" t="str">
        <f>IFERROR(IF(C1175&gt;0, D1175/C1175, 0),"-")</f>
        <v>-</v>
      </c>
    </row>
    <row r="1176" spans="1:5" x14ac:dyDescent="0.2">
      <c r="A1176" s="27"/>
      <c r="B1176" s="27" t="s">
        <v>112</v>
      </c>
      <c r="C1176" s="27" t="s">
        <v>959</v>
      </c>
      <c r="D1176" s="27" t="s">
        <v>959</v>
      </c>
      <c r="E1176" s="27" t="str">
        <f>IFERROR(IF(C1176&gt;0, D1176/C1176, 0),"-")</f>
        <v>-</v>
      </c>
    </row>
    <row r="1177" spans="1:5" x14ac:dyDescent="0.2">
      <c r="A1177" s="28" t="s">
        <v>811</v>
      </c>
      <c r="B1177" s="28" t="s">
        <v>1772</v>
      </c>
      <c r="C1177" s="28" t="s">
        <v>959</v>
      </c>
      <c r="D1177" s="28" t="s">
        <v>959</v>
      </c>
      <c r="E1177" s="28" t="str">
        <f>IFERROR(IF(C1177&gt;0, D1177/C1177, 0),"-")</f>
        <v>-</v>
      </c>
    </row>
    <row r="1178" spans="1:5" x14ac:dyDescent="0.2">
      <c r="A1178" s="28" t="s">
        <v>813</v>
      </c>
      <c r="B1178" s="28" t="s">
        <v>1773</v>
      </c>
      <c r="C1178" s="28" t="s">
        <v>959</v>
      </c>
      <c r="D1178" s="28" t="s">
        <v>959</v>
      </c>
      <c r="E1178" s="28" t="str">
        <f>IFERROR(IF(C1178&gt;0, D1178/C1178, 0),"-")</f>
        <v>-</v>
      </c>
    </row>
    <row r="1179" spans="1:5" x14ac:dyDescent="0.2">
      <c r="A1179" s="28" t="s">
        <v>810</v>
      </c>
      <c r="B1179" s="28" t="s">
        <v>1774</v>
      </c>
      <c r="C1179" s="28" t="s">
        <v>959</v>
      </c>
      <c r="D1179" s="28" t="s">
        <v>959</v>
      </c>
      <c r="E1179" s="28" t="str">
        <f>IFERROR(IF(C1179&gt;0, D1179/C1179, 0),"-")</f>
        <v>-</v>
      </c>
    </row>
    <row r="1180" spans="1:5" x14ac:dyDescent="0.2">
      <c r="A1180" s="28" t="s">
        <v>812</v>
      </c>
      <c r="B1180" s="28" t="s">
        <v>1775</v>
      </c>
      <c r="C1180" s="28" t="s">
        <v>959</v>
      </c>
      <c r="D1180" s="28" t="s">
        <v>959</v>
      </c>
      <c r="E1180" s="28" t="str">
        <f>IFERROR(IF(C1180&gt;0, D1180/C1180, 0),"-")</f>
        <v>-</v>
      </c>
    </row>
    <row r="1181" spans="1:5" x14ac:dyDescent="0.2">
      <c r="A1181" s="14"/>
      <c r="B1181" s="14" t="s">
        <v>953</v>
      </c>
      <c r="C1181" s="14">
        <v>2</v>
      </c>
      <c r="D1181" s="14" t="s">
        <v>959</v>
      </c>
      <c r="E1181" s="14" t="str">
        <f>IFERROR(IF(C1181&gt;0, D1181/C1181, 0),"-")</f>
        <v>-</v>
      </c>
    </row>
  </sheetData>
  <mergeCells count="47">
    <mergeCell ref="A233:E233"/>
    <mergeCell ref="A235:E235"/>
    <mergeCell ref="A236:A237"/>
    <mergeCell ref="B236:B237"/>
    <mergeCell ref="C236:E236"/>
    <mergeCell ref="C237:C238"/>
    <mergeCell ref="D237:D238"/>
    <mergeCell ref="E237:E238"/>
    <mergeCell ref="B218:E218"/>
    <mergeCell ref="B220:E220"/>
    <mergeCell ref="B221:B222"/>
    <mergeCell ref="C221:E221"/>
    <mergeCell ref="C222:C223"/>
    <mergeCell ref="D222:D223"/>
    <mergeCell ref="E222:E223"/>
    <mergeCell ref="B203:E203"/>
    <mergeCell ref="B205:E205"/>
    <mergeCell ref="B206:B207"/>
    <mergeCell ref="C206:E206"/>
    <mergeCell ref="C207:C208"/>
    <mergeCell ref="D207:D208"/>
    <mergeCell ref="E207:E208"/>
    <mergeCell ref="B188:E188"/>
    <mergeCell ref="B190:E190"/>
    <mergeCell ref="B191:B192"/>
    <mergeCell ref="C191:E191"/>
    <mergeCell ref="C192:C193"/>
    <mergeCell ref="D192:D193"/>
    <mergeCell ref="E192:E193"/>
    <mergeCell ref="B53:E53"/>
    <mergeCell ref="B54:B55"/>
    <mergeCell ref="C54:E54"/>
    <mergeCell ref="C55:C56"/>
    <mergeCell ref="D55:D56"/>
    <mergeCell ref="E55:E56"/>
    <mergeCell ref="B15:E15"/>
    <mergeCell ref="B16:B17"/>
    <mergeCell ref="C16:E16"/>
    <mergeCell ref="C17:C18"/>
    <mergeCell ref="D17:D18"/>
    <mergeCell ref="E17:E18"/>
    <mergeCell ref="B2:E2"/>
    <mergeCell ref="B3:B4"/>
    <mergeCell ref="C3:E3"/>
    <mergeCell ref="C4:C5"/>
    <mergeCell ref="D4:D5"/>
    <mergeCell ref="E4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B2D6-FF42-504C-96E4-AFFE0D90FA19}">
  <sheetPr codeName="Sheet5"/>
  <dimension ref="A2:Y1181"/>
  <sheetViews>
    <sheetView workbookViewId="0"/>
  </sheetViews>
  <sheetFormatPr baseColWidth="10" defaultRowHeight="15" x14ac:dyDescent="0.2"/>
  <cols>
    <col min="1" max="1" width="8.1640625" bestFit="1" customWidth="1"/>
    <col min="2" max="2" width="35.6640625" bestFit="1" customWidth="1"/>
    <col min="3" max="4" width="11.1640625" bestFit="1" customWidth="1"/>
    <col min="5" max="5" width="9.1640625" bestFit="1" customWidth="1"/>
    <col min="6" max="6" width="10.33203125" bestFit="1" customWidth="1"/>
    <col min="7" max="7" width="9.1640625" bestFit="1" customWidth="1"/>
    <col min="8" max="8" width="8.83203125" bestFit="1" customWidth="1"/>
    <col min="9" max="9" width="9.1640625" bestFit="1" customWidth="1"/>
    <col min="10" max="10" width="10.33203125" bestFit="1" customWidth="1"/>
    <col min="11" max="11" width="9.1640625" bestFit="1" customWidth="1"/>
    <col min="12" max="12" width="8.83203125" bestFit="1" customWidth="1"/>
    <col min="13" max="13" width="9.1640625" bestFit="1" customWidth="1"/>
    <col min="14" max="14" width="10.33203125" bestFit="1" customWidth="1"/>
    <col min="15" max="15" width="9.1640625" bestFit="1" customWidth="1"/>
    <col min="16" max="16" width="8.83203125" bestFit="1" customWidth="1"/>
    <col min="17" max="17" width="9.1640625" bestFit="1" customWidth="1"/>
    <col min="18" max="18" width="10.33203125" bestFit="1" customWidth="1"/>
    <col min="19" max="19" width="7" bestFit="1" customWidth="1"/>
    <col min="20" max="20" width="8.6640625" bestFit="1" customWidth="1"/>
    <col min="21" max="21" width="8.33203125" bestFit="1" customWidth="1"/>
    <col min="22" max="22" width="8.6640625" bestFit="1" customWidth="1"/>
    <col min="23" max="23" width="8.33203125" bestFit="1" customWidth="1"/>
    <col min="24" max="24" width="5.5" bestFit="1" customWidth="1"/>
    <col min="25" max="25" width="14.6640625" bestFit="1" customWidth="1"/>
  </cols>
  <sheetData>
    <row r="2" spans="2:25" x14ac:dyDescent="0.2">
      <c r="B2" s="2" t="s">
        <v>1782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2:25" x14ac:dyDescent="0.2">
      <c r="B3" s="6" t="s">
        <v>958</v>
      </c>
      <c r="C3" s="2" t="s">
        <v>968</v>
      </c>
      <c r="D3" s="2"/>
      <c r="E3" s="2"/>
      <c r="F3" s="2"/>
      <c r="G3" s="2" t="s">
        <v>969</v>
      </c>
      <c r="H3" s="2"/>
      <c r="I3" s="2"/>
      <c r="J3" s="2"/>
      <c r="K3" s="2" t="s">
        <v>970</v>
      </c>
      <c r="L3" s="2"/>
      <c r="M3" s="2"/>
      <c r="N3" s="2"/>
      <c r="O3" s="2" t="s">
        <v>960</v>
      </c>
      <c r="P3" s="2"/>
      <c r="Q3" s="2"/>
      <c r="R3" s="2"/>
      <c r="S3" s="2" t="s">
        <v>951</v>
      </c>
      <c r="T3" s="2"/>
      <c r="U3" s="2"/>
      <c r="V3" s="2"/>
      <c r="W3" s="2"/>
      <c r="X3" s="7" t="s">
        <v>971</v>
      </c>
      <c r="Y3" s="7"/>
    </row>
    <row r="4" spans="2:25" x14ac:dyDescent="0.2">
      <c r="B4" s="6"/>
      <c r="C4" s="8" t="s">
        <v>961</v>
      </c>
      <c r="D4" s="9" t="s">
        <v>972</v>
      </c>
      <c r="E4" s="8" t="s">
        <v>955</v>
      </c>
      <c r="F4" s="10" t="s">
        <v>956</v>
      </c>
      <c r="G4" s="8" t="s">
        <v>961</v>
      </c>
      <c r="H4" s="9" t="s">
        <v>972</v>
      </c>
      <c r="I4" s="8" t="s">
        <v>973</v>
      </c>
      <c r="J4" s="10" t="s">
        <v>956</v>
      </c>
      <c r="K4" s="8" t="s">
        <v>961</v>
      </c>
      <c r="L4" s="9" t="s">
        <v>972</v>
      </c>
      <c r="M4" s="8" t="s">
        <v>973</v>
      </c>
      <c r="N4" s="10" t="s">
        <v>956</v>
      </c>
      <c r="O4" s="8" t="s">
        <v>961</v>
      </c>
      <c r="P4" s="9" t="s">
        <v>972</v>
      </c>
      <c r="Q4" s="8" t="s">
        <v>973</v>
      </c>
      <c r="R4" s="10" t="s">
        <v>956</v>
      </c>
      <c r="S4" s="8" t="s">
        <v>961</v>
      </c>
      <c r="T4" s="2" t="s">
        <v>962</v>
      </c>
      <c r="U4" s="2"/>
      <c r="V4" s="2" t="s">
        <v>963</v>
      </c>
      <c r="W4" s="2"/>
      <c r="X4" s="22" t="s">
        <v>974</v>
      </c>
      <c r="Y4" s="23" t="s">
        <v>975</v>
      </c>
    </row>
    <row r="5" spans="2:25" x14ac:dyDescent="0.2">
      <c r="C5" s="8"/>
      <c r="D5" s="9"/>
      <c r="E5" s="8"/>
      <c r="F5" s="10"/>
      <c r="G5" s="8"/>
      <c r="H5" s="9"/>
      <c r="I5" s="8"/>
      <c r="J5" s="10"/>
      <c r="K5" s="8"/>
      <c r="L5" s="9"/>
      <c r="M5" s="8"/>
      <c r="N5" s="10"/>
      <c r="O5" s="8"/>
      <c r="P5" s="9"/>
      <c r="Q5" s="8"/>
      <c r="R5" s="10"/>
      <c r="S5" s="8"/>
      <c r="T5" s="11" t="s">
        <v>964</v>
      </c>
      <c r="U5" s="11" t="s">
        <v>965</v>
      </c>
      <c r="V5" s="11" t="s">
        <v>964</v>
      </c>
      <c r="W5" s="11" t="s">
        <v>965</v>
      </c>
      <c r="X5" s="12"/>
      <c r="Y5" s="13"/>
    </row>
    <row r="6" spans="2:25" x14ac:dyDescent="0.2">
      <c r="B6" s="17" t="s">
        <v>2</v>
      </c>
      <c r="C6" s="18">
        <v>2169</v>
      </c>
      <c r="D6" s="19">
        <v>2153</v>
      </c>
      <c r="E6" s="18">
        <f>IF(OR(D6="-",D6="",D6=0),IF(C6="-","-",C6),C6-D6)</f>
        <v>16</v>
      </c>
      <c r="F6" s="20">
        <f>IFERROR(IF(C6&gt;0, D6/C6, 0),"-")</f>
        <v>0.99262332872291381</v>
      </c>
      <c r="G6" s="18">
        <v>7</v>
      </c>
      <c r="H6" s="19">
        <v>4</v>
      </c>
      <c r="I6" s="18">
        <f>IF(OR(H6="-",H6="",H6=0),IF(G6="-","-",G6),G6-H6)</f>
        <v>3</v>
      </c>
      <c r="J6" s="20">
        <f>IFERROR(IF(G6&gt;0, H6/G6, 0),"-")</f>
        <v>0.5714285714285714</v>
      </c>
      <c r="K6" s="18">
        <v>4</v>
      </c>
      <c r="L6" s="19">
        <v>2</v>
      </c>
      <c r="M6" s="18">
        <f>IF(OR(L6="-",L6="",L6=0),IF(K6="-","-",K6),K6-L6)</f>
        <v>2</v>
      </c>
      <c r="N6" s="20">
        <f>IFERROR(IF(K6&gt;0, L6/K6, 0),"-")</f>
        <v>0.5</v>
      </c>
      <c r="O6" s="18">
        <v>1</v>
      </c>
      <c r="P6" s="19" t="s">
        <v>959</v>
      </c>
      <c r="Q6" s="18">
        <f>IF(OR(P6="-",P6="",P6=0),IF(O6="-","-",O6),O6-P6)</f>
        <v>1</v>
      </c>
      <c r="R6" s="20" t="str">
        <f>IFERROR(IF(O6&gt;0, P6/O6, 0),"-")</f>
        <v>-</v>
      </c>
      <c r="S6" s="18">
        <v>6</v>
      </c>
      <c r="T6" s="18" t="s">
        <v>959</v>
      </c>
      <c r="U6" s="18" t="s">
        <v>959</v>
      </c>
      <c r="V6" s="19" t="s">
        <v>959</v>
      </c>
      <c r="W6" s="19" t="s">
        <v>959</v>
      </c>
      <c r="X6" s="24">
        <f>RANK(F6,$F$6:$F$10,0)</f>
        <v>1</v>
      </c>
      <c r="Y6" s="3" t="str">
        <f>IF(OR(ISERROR(F6),F6="-",NOT(ISNUMBER(F6))),"● N/A",IF(ROUND(F6, 4) &gt;= ROUND($F$11, 4),"▲ Above Average","▼ Below Average"))</f>
        <v>▲ Above Average</v>
      </c>
    </row>
    <row r="7" spans="2:25" x14ac:dyDescent="0.2">
      <c r="B7" s="17" t="s">
        <v>7</v>
      </c>
      <c r="C7" s="18">
        <v>17345</v>
      </c>
      <c r="D7" s="19">
        <v>17093</v>
      </c>
      <c r="E7" s="18">
        <f>IF(OR(D7="-",D7="",D7=0),IF(C7="-","-",C7),C7-D7)</f>
        <v>252</v>
      </c>
      <c r="F7" s="20">
        <f>IFERROR(IF(C7&gt;0, D7/C7, 0),"-")</f>
        <v>0.98547131738253102</v>
      </c>
      <c r="G7" s="18">
        <v>86</v>
      </c>
      <c r="H7" s="19">
        <v>17</v>
      </c>
      <c r="I7" s="18">
        <f>IF(OR(H7="-",H7="",H7=0),IF(G7="-","-",G7),G7-H7)</f>
        <v>69</v>
      </c>
      <c r="J7" s="20">
        <f>IFERROR(IF(G7&gt;0, H7/G7, 0),"-")</f>
        <v>0.19767441860465115</v>
      </c>
      <c r="K7" s="18">
        <v>63</v>
      </c>
      <c r="L7" s="19">
        <v>14</v>
      </c>
      <c r="M7" s="18">
        <f>IF(OR(L7="-",L7="",L7=0),IF(K7="-","-",K7),K7-L7)</f>
        <v>49</v>
      </c>
      <c r="N7" s="20">
        <f>IFERROR(IF(K7&gt;0, L7/K7, 0),"-")</f>
        <v>0.22222222222222221</v>
      </c>
      <c r="O7" s="18">
        <v>56</v>
      </c>
      <c r="P7" s="19">
        <v>7</v>
      </c>
      <c r="Q7" s="18">
        <f>IF(OR(P7="-",P7="",P7=0),IF(O7="-","-",O7),O7-P7)</f>
        <v>49</v>
      </c>
      <c r="R7" s="20">
        <f>IFERROR(IF(O7&gt;0, P7/O7, 0),"-")</f>
        <v>0.125</v>
      </c>
      <c r="S7" s="18">
        <v>109</v>
      </c>
      <c r="T7" s="18">
        <v>6</v>
      </c>
      <c r="U7" s="18">
        <v>105345</v>
      </c>
      <c r="V7" s="19" t="s">
        <v>959</v>
      </c>
      <c r="W7" s="19" t="s">
        <v>959</v>
      </c>
      <c r="X7" s="24">
        <f>RANK(F7,$F$6:$F$10,0)</f>
        <v>2</v>
      </c>
      <c r="Y7" s="3" t="str">
        <f>IF(OR(ISERROR(F7),F7="-",NOT(ISNUMBER(F7))),"● N/A",IF(ROUND(F7, 4) &gt;= ROUND($F$11, 4),"▲ Above Average","▼ Below Average"))</f>
        <v>▲ Above Average</v>
      </c>
    </row>
    <row r="8" spans="2:25" x14ac:dyDescent="0.2">
      <c r="B8" s="17" t="s">
        <v>20</v>
      </c>
      <c r="C8" s="18">
        <v>18422</v>
      </c>
      <c r="D8" s="19">
        <v>18100</v>
      </c>
      <c r="E8" s="18">
        <f>IF(OR(D8="-",D8="",D8=0),IF(C8="-","-",C8),C8-D8)</f>
        <v>322</v>
      </c>
      <c r="F8" s="20">
        <f>IFERROR(IF(C8&gt;0, D8/C8, 0),"-")</f>
        <v>0.98252089892519812</v>
      </c>
      <c r="G8" s="18">
        <v>104</v>
      </c>
      <c r="H8" s="19">
        <v>22</v>
      </c>
      <c r="I8" s="18">
        <f>IF(OR(H8="-",H8="",H8=0),IF(G8="-","-",G8),G8-H8)</f>
        <v>82</v>
      </c>
      <c r="J8" s="20">
        <f>IFERROR(IF(G8&gt;0, H8/G8, 0),"-")</f>
        <v>0.21153846153846154</v>
      </c>
      <c r="K8" s="18">
        <v>35</v>
      </c>
      <c r="L8" s="19">
        <v>3</v>
      </c>
      <c r="M8" s="18">
        <f>IF(OR(L8="-",L8="",L8=0),IF(K8="-","-",K8),K8-L8)</f>
        <v>32</v>
      </c>
      <c r="N8" s="20">
        <f>IFERROR(IF(K8&gt;0, L8/K8, 0),"-")</f>
        <v>8.5714285714285715E-2</v>
      </c>
      <c r="O8" s="18">
        <v>54</v>
      </c>
      <c r="P8" s="19">
        <v>9</v>
      </c>
      <c r="Q8" s="18">
        <f>IF(OR(P8="-",P8="",P8=0),IF(O8="-","-",O8),O8-P8)</f>
        <v>45</v>
      </c>
      <c r="R8" s="20">
        <f>IFERROR(IF(O8&gt;0, P8/O8, 0),"-")</f>
        <v>0.16666666666666666</v>
      </c>
      <c r="S8" s="18">
        <v>81</v>
      </c>
      <c r="T8" s="18">
        <v>5</v>
      </c>
      <c r="U8" s="18">
        <v>9880</v>
      </c>
      <c r="V8" s="19" t="s">
        <v>959</v>
      </c>
      <c r="W8" s="19" t="s">
        <v>959</v>
      </c>
      <c r="X8" s="24">
        <f>RANK(F8,$F$6:$F$10,0)</f>
        <v>3</v>
      </c>
      <c r="Y8" s="3" t="str">
        <f>IF(OR(ISERROR(F8),F8="-",NOT(ISNUMBER(F8))),"● N/A",IF(ROUND(F8, 4) &gt;= ROUND($F$11, 4),"▲ Above Average","▼ Below Average"))</f>
        <v>▲ Above Average</v>
      </c>
    </row>
    <row r="9" spans="2:25" x14ac:dyDescent="0.2">
      <c r="B9" s="17" t="s">
        <v>1</v>
      </c>
      <c r="C9" s="18">
        <v>24064</v>
      </c>
      <c r="D9" s="19">
        <v>23450</v>
      </c>
      <c r="E9" s="18">
        <f>IF(OR(D9="-",D9="",D9=0),IF(C9="-","-",C9),C9-D9)</f>
        <v>614</v>
      </c>
      <c r="F9" s="20">
        <f>IFERROR(IF(C9&gt;0, D9/C9, 0),"-")</f>
        <v>0.97448470744680848</v>
      </c>
      <c r="G9" s="18">
        <v>264</v>
      </c>
      <c r="H9" s="19">
        <v>56</v>
      </c>
      <c r="I9" s="18">
        <f>IF(OR(H9="-",H9="",H9=0),IF(G9="-","-",G9),G9-H9)</f>
        <v>208</v>
      </c>
      <c r="J9" s="20">
        <f>IFERROR(IF(G9&gt;0, H9/G9, 0),"-")</f>
        <v>0.21212121212121213</v>
      </c>
      <c r="K9" s="18">
        <v>141</v>
      </c>
      <c r="L9" s="19">
        <v>17</v>
      </c>
      <c r="M9" s="18">
        <f>IF(OR(L9="-",L9="",L9=0),IF(K9="-","-",K9),K9-L9)</f>
        <v>124</v>
      </c>
      <c r="N9" s="20">
        <f>IFERROR(IF(K9&gt;0, L9/K9, 0),"-")</f>
        <v>0.12056737588652482</v>
      </c>
      <c r="O9" s="18">
        <v>86</v>
      </c>
      <c r="P9" s="19">
        <v>9</v>
      </c>
      <c r="Q9" s="18">
        <f>IF(OR(P9="-",P9="",P9=0),IF(O9="-","-",O9),O9-P9)</f>
        <v>77</v>
      </c>
      <c r="R9" s="20">
        <f>IFERROR(IF(O9&gt;0, P9/O9, 0),"-")</f>
        <v>0.10465116279069768</v>
      </c>
      <c r="S9" s="18">
        <v>118</v>
      </c>
      <c r="T9" s="18">
        <v>8</v>
      </c>
      <c r="U9" s="18">
        <v>26020</v>
      </c>
      <c r="V9" s="19" t="s">
        <v>959</v>
      </c>
      <c r="W9" s="19" t="s">
        <v>959</v>
      </c>
      <c r="X9" s="24">
        <f>RANK(F9,$F$6:$F$10,0)</f>
        <v>4</v>
      </c>
      <c r="Y9" s="3" t="str">
        <f>IF(OR(ISERROR(F9),F9="-",NOT(ISNUMBER(F9))),"● N/A",IF(ROUND(F9, 4) &gt;= ROUND($F$11, 4),"▲ Above Average","▼ Below Average"))</f>
        <v>▼ Below Average</v>
      </c>
    </row>
    <row r="10" spans="2:25" x14ac:dyDescent="0.2">
      <c r="B10" s="17" t="s">
        <v>0</v>
      </c>
      <c r="C10" s="18">
        <v>3331</v>
      </c>
      <c r="D10" s="19">
        <v>3204</v>
      </c>
      <c r="E10" s="18">
        <f>IF(OR(D10="-",D10="",D10=0),IF(C10="-","-",C10),C10-D10)</f>
        <v>127</v>
      </c>
      <c r="F10" s="20">
        <f>IFERROR(IF(C10&gt;0, D10/C10, 0),"-")</f>
        <v>0.96187331131792253</v>
      </c>
      <c r="G10" s="18">
        <v>56</v>
      </c>
      <c r="H10" s="19">
        <v>27</v>
      </c>
      <c r="I10" s="18">
        <f>IF(OR(H10="-",H10="",H10=0),IF(G10="-","-",G10),G10-H10)</f>
        <v>29</v>
      </c>
      <c r="J10" s="20">
        <f>IFERROR(IF(G10&gt;0, H10/G10, 0),"-")</f>
        <v>0.48214285714285715</v>
      </c>
      <c r="K10" s="18">
        <v>23</v>
      </c>
      <c r="L10" s="19">
        <v>9</v>
      </c>
      <c r="M10" s="18">
        <f>IF(OR(L10="-",L10="",L10=0),IF(K10="-","-",K10),K10-L10)</f>
        <v>14</v>
      </c>
      <c r="N10" s="20">
        <f>IFERROR(IF(K10&gt;0, L10/K10, 0),"-")</f>
        <v>0.39130434782608697</v>
      </c>
      <c r="O10" s="18">
        <v>5</v>
      </c>
      <c r="P10" s="19" t="s">
        <v>959</v>
      </c>
      <c r="Q10" s="18">
        <f>IF(OR(P10="-",P10="",P10=0),IF(O10="-","-",O10),O10-P10)</f>
        <v>5</v>
      </c>
      <c r="R10" s="20" t="str">
        <f>IFERROR(IF(O10&gt;0, P10/O10, 0),"-")</f>
        <v>-</v>
      </c>
      <c r="S10" s="18">
        <v>9</v>
      </c>
      <c r="T10" s="18">
        <v>2</v>
      </c>
      <c r="U10" s="18">
        <v>7700</v>
      </c>
      <c r="V10" s="19" t="s">
        <v>959</v>
      </c>
      <c r="W10" s="19" t="s">
        <v>959</v>
      </c>
      <c r="X10" s="24">
        <f>RANK(F10,$F$6:$F$10,0)</f>
        <v>5</v>
      </c>
      <c r="Y10" s="3" t="str">
        <f>IF(OR(ISERROR(F10),F10="-",NOT(ISNUMBER(F10))),"● N/A",IF(ROUND(F10, 4) &gt;= ROUND($F$11, 4),"▲ Above Average","▼ Below Average"))</f>
        <v>▼ Below Average</v>
      </c>
    </row>
    <row r="11" spans="2:25" x14ac:dyDescent="0.2">
      <c r="B11" s="15" t="s">
        <v>953</v>
      </c>
      <c r="C11" s="16">
        <f>SUM(C6:C10)</f>
        <v>65331</v>
      </c>
      <c r="D11" s="16">
        <f>SUM(D6:D10)</f>
        <v>64000</v>
      </c>
      <c r="E11" s="16">
        <f>C11-D11</f>
        <v>1331</v>
      </c>
      <c r="F11" s="21">
        <f>IF(C11&gt;0, D11/C11, 0)</f>
        <v>0.97962682340695839</v>
      </c>
      <c r="G11" s="16">
        <f>SUM(G6:G10)</f>
        <v>517</v>
      </c>
      <c r="H11" s="16">
        <f>SUM(H6:H10)</f>
        <v>126</v>
      </c>
      <c r="I11" s="16">
        <f>G11-H11</f>
        <v>391</v>
      </c>
      <c r="J11" s="21">
        <f>IF(G11&gt;0, H11/G11, 0)</f>
        <v>0.2437137330754352</v>
      </c>
      <c r="K11" s="16">
        <f>SUM(K6:K10)</f>
        <v>266</v>
      </c>
      <c r="L11" s="16">
        <f>SUM(L6:L10)</f>
        <v>45</v>
      </c>
      <c r="M11" s="16">
        <f>K11-L11</f>
        <v>221</v>
      </c>
      <c r="N11" s="21">
        <f>IF(K11&gt;0, L11/K11, 0)</f>
        <v>0.16917293233082706</v>
      </c>
      <c r="O11" s="16">
        <f>SUM(O6:O10)</f>
        <v>202</v>
      </c>
      <c r="P11" s="16">
        <f>SUM(P6:P10)</f>
        <v>25</v>
      </c>
      <c r="Q11" s="16">
        <f>O11-P11</f>
        <v>177</v>
      </c>
      <c r="R11" s="21">
        <f>IF(O11&gt;0, P11/O11, 0)</f>
        <v>0.12376237623762376</v>
      </c>
      <c r="S11" s="16">
        <f>SUM(S6:S10)</f>
        <v>323</v>
      </c>
      <c r="T11" s="16">
        <f>SUM(T6:T10)</f>
        <v>21</v>
      </c>
      <c r="U11" s="16">
        <f>SUM(U6:U10)</f>
        <v>148945</v>
      </c>
      <c r="V11" s="16">
        <f>SUM(V6:V10)</f>
        <v>0</v>
      </c>
      <c r="W11" s="16">
        <f>SUM(W6:W10)</f>
        <v>0</v>
      </c>
      <c r="X11" s="25" t="s">
        <v>959</v>
      </c>
      <c r="Y11" s="25" t="s">
        <v>959</v>
      </c>
    </row>
    <row r="15" spans="2:25" x14ac:dyDescent="0.2">
      <c r="B15" s="2" t="s">
        <v>1783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25" x14ac:dyDescent="0.2">
      <c r="B16" s="6" t="s">
        <v>957</v>
      </c>
      <c r="C16" s="2" t="s">
        <v>968</v>
      </c>
      <c r="D16" s="2"/>
      <c r="E16" s="2"/>
      <c r="F16" s="2"/>
      <c r="G16" s="2" t="s">
        <v>969</v>
      </c>
      <c r="H16" s="2"/>
      <c r="I16" s="2"/>
      <c r="J16" s="2"/>
      <c r="K16" s="2" t="s">
        <v>970</v>
      </c>
      <c r="L16" s="2"/>
      <c r="M16" s="2"/>
      <c r="N16" s="2"/>
      <c r="O16" s="2" t="s">
        <v>960</v>
      </c>
      <c r="P16" s="2"/>
      <c r="Q16" s="2"/>
      <c r="R16" s="2"/>
      <c r="S16" s="2" t="s">
        <v>951</v>
      </c>
      <c r="T16" s="2"/>
      <c r="U16" s="2"/>
      <c r="V16" s="2"/>
      <c r="W16" s="2"/>
      <c r="X16" s="7" t="s">
        <v>971</v>
      </c>
      <c r="Y16" s="7"/>
    </row>
    <row r="17" spans="2:25" x14ac:dyDescent="0.2">
      <c r="B17" s="6"/>
      <c r="C17" s="8" t="s">
        <v>961</v>
      </c>
      <c r="D17" s="9" t="s">
        <v>972</v>
      </c>
      <c r="E17" s="8" t="s">
        <v>955</v>
      </c>
      <c r="F17" s="10" t="s">
        <v>956</v>
      </c>
      <c r="G17" s="8" t="s">
        <v>961</v>
      </c>
      <c r="H17" s="9" t="s">
        <v>972</v>
      </c>
      <c r="I17" s="8" t="s">
        <v>973</v>
      </c>
      <c r="J17" s="10" t="s">
        <v>956</v>
      </c>
      <c r="K17" s="8" t="s">
        <v>961</v>
      </c>
      <c r="L17" s="9" t="s">
        <v>972</v>
      </c>
      <c r="M17" s="8" t="s">
        <v>973</v>
      </c>
      <c r="N17" s="10" t="s">
        <v>956</v>
      </c>
      <c r="O17" s="8" t="s">
        <v>961</v>
      </c>
      <c r="P17" s="9" t="s">
        <v>972</v>
      </c>
      <c r="Q17" s="8" t="s">
        <v>973</v>
      </c>
      <c r="R17" s="10" t="s">
        <v>956</v>
      </c>
      <c r="S17" s="8" t="s">
        <v>961</v>
      </c>
      <c r="T17" s="2" t="s">
        <v>962</v>
      </c>
      <c r="U17" s="2"/>
      <c r="V17" s="2" t="s">
        <v>963</v>
      </c>
      <c r="W17" s="2"/>
      <c r="X17" s="22" t="s">
        <v>974</v>
      </c>
      <c r="Y17" s="23" t="s">
        <v>975</v>
      </c>
    </row>
    <row r="18" spans="2:25" x14ac:dyDescent="0.2">
      <c r="C18" s="8"/>
      <c r="D18" s="9"/>
      <c r="E18" s="8"/>
      <c r="F18" s="10"/>
      <c r="G18" s="8"/>
      <c r="H18" s="9"/>
      <c r="I18" s="8"/>
      <c r="J18" s="10"/>
      <c r="K18" s="8"/>
      <c r="L18" s="9"/>
      <c r="M18" s="8"/>
      <c r="N18" s="10"/>
      <c r="O18" s="8"/>
      <c r="P18" s="9"/>
      <c r="Q18" s="8"/>
      <c r="R18" s="10"/>
      <c r="S18" s="8"/>
      <c r="T18" s="11" t="s">
        <v>964</v>
      </c>
      <c r="U18" s="11" t="s">
        <v>965</v>
      </c>
      <c r="V18" s="11" t="s">
        <v>964</v>
      </c>
      <c r="W18" s="11" t="s">
        <v>965</v>
      </c>
      <c r="X18" s="12"/>
      <c r="Y18" s="13"/>
    </row>
    <row r="19" spans="2:25" x14ac:dyDescent="0.2">
      <c r="B19" s="17" t="s">
        <v>25</v>
      </c>
      <c r="C19" s="18">
        <v>2169</v>
      </c>
      <c r="D19" s="19">
        <v>2153</v>
      </c>
      <c r="E19" s="18">
        <f>IF(OR(D19="-",D19="",D19=0),IF(C19="-","-",C19),C19-D19)</f>
        <v>16</v>
      </c>
      <c r="F19" s="20">
        <f>IFERROR(IF(C19&gt;0, D19/C19, 0),"-")</f>
        <v>0.99262332872291381</v>
      </c>
      <c r="G19" s="18">
        <v>7</v>
      </c>
      <c r="H19" s="19">
        <v>4</v>
      </c>
      <c r="I19" s="18">
        <f>IF(OR(H19="-",H19="",H19=0),IF(G19="-","-",G19),G19-H19)</f>
        <v>3</v>
      </c>
      <c r="J19" s="20">
        <f>IFERROR(IF(G19&gt;0, H19/G19, 0),"-")</f>
        <v>0.5714285714285714</v>
      </c>
      <c r="K19" s="18">
        <v>4</v>
      </c>
      <c r="L19" s="19">
        <v>2</v>
      </c>
      <c r="M19" s="18">
        <f>IF(OR(L19="-",L19="",L19=0),IF(K19="-","-",K19),K19-L19)</f>
        <v>2</v>
      </c>
      <c r="N19" s="20">
        <f>IFERROR(IF(K19&gt;0, L19/K19, 0),"-")</f>
        <v>0.5</v>
      </c>
      <c r="O19" s="18">
        <v>1</v>
      </c>
      <c r="P19" s="19" t="s">
        <v>959</v>
      </c>
      <c r="Q19" s="18">
        <f>IF(OR(P19="-",P19="",P19=0),IF(O19="-","-",O19),O19-P19)</f>
        <v>1</v>
      </c>
      <c r="R19" s="20" t="str">
        <f>IFERROR(IF(O19&gt;0, P19/O19, 0),"-")</f>
        <v>-</v>
      </c>
      <c r="S19" s="18">
        <v>6</v>
      </c>
      <c r="T19" s="18" t="s">
        <v>959</v>
      </c>
      <c r="U19" s="18" t="s">
        <v>959</v>
      </c>
      <c r="V19" s="19" t="s">
        <v>959</v>
      </c>
      <c r="W19" s="19" t="s">
        <v>959</v>
      </c>
      <c r="X19" s="24">
        <f>RANK(F19,$F$19:$F$48,0)</f>
        <v>1</v>
      </c>
      <c r="Y19" s="3" t="str">
        <f>IF(OR(ISERROR(F19),F19="-",NOT(ISNUMBER(F19))),"● N/A",IF(ROUND(F19, 4) &gt;= ROUND($F$49, 4),"▲ Above Average","▼ Below Average"))</f>
        <v>▲ Above Average</v>
      </c>
    </row>
    <row r="20" spans="2:25" x14ac:dyDescent="0.2">
      <c r="B20" s="17" t="s">
        <v>16</v>
      </c>
      <c r="C20" s="18">
        <v>2033</v>
      </c>
      <c r="D20" s="19">
        <v>2018</v>
      </c>
      <c r="E20" s="18">
        <f>IF(OR(D20="-",D20="",D20=0),IF(C20="-","-",C20),C20-D20)</f>
        <v>15</v>
      </c>
      <c r="F20" s="20">
        <f>IFERROR(IF(C20&gt;0, D20/C20, 0),"-")</f>
        <v>0.99262174126906055</v>
      </c>
      <c r="G20" s="18">
        <v>9</v>
      </c>
      <c r="H20" s="19">
        <v>3</v>
      </c>
      <c r="I20" s="18">
        <f>IF(OR(H20="-",H20="",H20=0),IF(G20="-","-",G20),G20-H20)</f>
        <v>6</v>
      </c>
      <c r="J20" s="20">
        <f>IFERROR(IF(G20&gt;0, H20/G20, 0),"-")</f>
        <v>0.33333333333333331</v>
      </c>
      <c r="K20" s="18">
        <v>3</v>
      </c>
      <c r="L20" s="19" t="s">
        <v>959</v>
      </c>
      <c r="M20" s="18">
        <f>IF(OR(L20="-",L20="",L20=0),IF(K20="-","-",K20),K20-L20)</f>
        <v>3</v>
      </c>
      <c r="N20" s="20" t="str">
        <f>IFERROR(IF(K20&gt;0, L20/K20, 0),"-")</f>
        <v>-</v>
      </c>
      <c r="O20" s="18">
        <v>3</v>
      </c>
      <c r="P20" s="19">
        <v>1</v>
      </c>
      <c r="Q20" s="18">
        <f>IF(OR(P20="-",P20="",P20=0),IF(O20="-","-",O20),O20-P20)</f>
        <v>2</v>
      </c>
      <c r="R20" s="20">
        <f>IFERROR(IF(O20&gt;0, P20/O20, 0),"-")</f>
        <v>0.33333333333333331</v>
      </c>
      <c r="S20" s="18">
        <v>7</v>
      </c>
      <c r="T20" s="18">
        <v>1</v>
      </c>
      <c r="U20" s="18">
        <v>2000</v>
      </c>
      <c r="V20" s="19" t="s">
        <v>959</v>
      </c>
      <c r="W20" s="19" t="s">
        <v>959</v>
      </c>
      <c r="X20" s="24">
        <f>RANK(F20,$F$19:$F$48,0)</f>
        <v>2</v>
      </c>
      <c r="Y20" s="3" t="str">
        <f>IF(OR(ISERROR(F20),F20="-",NOT(ISNUMBER(F20))),"● N/A",IF(ROUND(F20, 4) &gt;= ROUND($F$49, 4),"▲ Above Average","▼ Below Average"))</f>
        <v>▲ Above Average</v>
      </c>
    </row>
    <row r="21" spans="2:25" x14ac:dyDescent="0.2">
      <c r="B21" s="17" t="s">
        <v>30</v>
      </c>
      <c r="C21" s="18">
        <v>1942</v>
      </c>
      <c r="D21" s="19">
        <v>1926</v>
      </c>
      <c r="E21" s="18">
        <f>IF(OR(D21="-",D21="",D21=0),IF(C21="-","-",C21),C21-D21)</f>
        <v>16</v>
      </c>
      <c r="F21" s="20">
        <f>IFERROR(IF(C21&gt;0, D21/C21, 0),"-")</f>
        <v>0.99176107106076206</v>
      </c>
      <c r="G21" s="18">
        <v>10</v>
      </c>
      <c r="H21" s="19">
        <v>3</v>
      </c>
      <c r="I21" s="18">
        <f>IF(OR(H21="-",H21="",H21=0),IF(G21="-","-",G21),G21-H21)</f>
        <v>7</v>
      </c>
      <c r="J21" s="20">
        <f>IFERROR(IF(G21&gt;0, H21/G21, 0),"-")</f>
        <v>0.3</v>
      </c>
      <c r="K21" s="18">
        <v>1</v>
      </c>
      <c r="L21" s="19" t="s">
        <v>959</v>
      </c>
      <c r="M21" s="18">
        <f>IF(OR(L21="-",L21="",L21=0),IF(K21="-","-",K21),K21-L21)</f>
        <v>1</v>
      </c>
      <c r="N21" s="20" t="str">
        <f>IFERROR(IF(K21&gt;0, L21/K21, 0),"-")</f>
        <v>-</v>
      </c>
      <c r="O21" s="18">
        <v>2</v>
      </c>
      <c r="P21" s="19" t="s">
        <v>959</v>
      </c>
      <c r="Q21" s="18">
        <f>IF(OR(P21="-",P21="",P21=0),IF(O21="-","-",O21),O21-P21)</f>
        <v>2</v>
      </c>
      <c r="R21" s="20" t="str">
        <f>IFERROR(IF(O21&gt;0, P21/O21, 0),"-")</f>
        <v>-</v>
      </c>
      <c r="S21" s="18">
        <v>2</v>
      </c>
      <c r="T21" s="18" t="s">
        <v>959</v>
      </c>
      <c r="U21" s="18" t="s">
        <v>959</v>
      </c>
      <c r="V21" s="19" t="s">
        <v>959</v>
      </c>
      <c r="W21" s="19" t="s">
        <v>959</v>
      </c>
      <c r="X21" s="24">
        <f>RANK(F21,$F$19:$F$48,0)</f>
        <v>3</v>
      </c>
      <c r="Y21" s="3" t="str">
        <f>IF(OR(ISERROR(F21),F21="-",NOT(ISNUMBER(F21))),"● N/A",IF(ROUND(F21, 4) &gt;= ROUND($F$49, 4),"▲ Above Average","▼ Below Average"))</f>
        <v>▲ Above Average</v>
      </c>
    </row>
    <row r="22" spans="2:25" x14ac:dyDescent="0.2">
      <c r="B22" s="17" t="s">
        <v>24</v>
      </c>
      <c r="C22" s="18">
        <v>1143</v>
      </c>
      <c r="D22" s="19">
        <v>1132</v>
      </c>
      <c r="E22" s="18">
        <f>IF(OR(D22="-",D22="",D22=0),IF(C22="-","-",C22),C22-D22)</f>
        <v>11</v>
      </c>
      <c r="F22" s="20">
        <f>IFERROR(IF(C22&gt;0, D22/C22, 0),"-")</f>
        <v>0.99037620297462814</v>
      </c>
      <c r="G22" s="18">
        <v>5</v>
      </c>
      <c r="H22" s="19">
        <v>1</v>
      </c>
      <c r="I22" s="18">
        <f>IF(OR(H22="-",H22="",H22=0),IF(G22="-","-",G22),G22-H22)</f>
        <v>4</v>
      </c>
      <c r="J22" s="20">
        <f>IFERROR(IF(G22&gt;0, H22/G22, 0),"-")</f>
        <v>0.2</v>
      </c>
      <c r="K22" s="18">
        <v>1</v>
      </c>
      <c r="L22" s="19" t="s">
        <v>959</v>
      </c>
      <c r="M22" s="18">
        <f>IF(OR(L22="-",L22="",L22=0),IF(K22="-","-",K22),K22-L22)</f>
        <v>1</v>
      </c>
      <c r="N22" s="20" t="str">
        <f>IFERROR(IF(K22&gt;0, L22/K22, 0),"-")</f>
        <v>-</v>
      </c>
      <c r="O22" s="18">
        <v>4</v>
      </c>
      <c r="P22" s="19">
        <v>1</v>
      </c>
      <c r="Q22" s="18">
        <f>IF(OR(P22="-",P22="",P22=0),IF(O22="-","-",O22),O22-P22)</f>
        <v>3</v>
      </c>
      <c r="R22" s="20">
        <f>IFERROR(IF(O22&gt;0, P22/O22, 0),"-")</f>
        <v>0.25</v>
      </c>
      <c r="S22" s="18">
        <v>2</v>
      </c>
      <c r="T22" s="18" t="s">
        <v>959</v>
      </c>
      <c r="U22" s="18" t="s">
        <v>959</v>
      </c>
      <c r="V22" s="19" t="s">
        <v>959</v>
      </c>
      <c r="W22" s="19" t="s">
        <v>959</v>
      </c>
      <c r="X22" s="24">
        <f>RANK(F22,$F$19:$F$48,0)</f>
        <v>4</v>
      </c>
      <c r="Y22" s="3" t="str">
        <f>IF(OR(ISERROR(F22),F22="-",NOT(ISNUMBER(F22))),"● N/A",IF(ROUND(F22, 4) &gt;= ROUND($F$49, 4),"▲ Above Average","▼ Below Average"))</f>
        <v>▲ Above Average</v>
      </c>
    </row>
    <row r="23" spans="2:25" x14ac:dyDescent="0.2">
      <c r="B23" s="17" t="s">
        <v>26</v>
      </c>
      <c r="C23" s="18">
        <v>2093</v>
      </c>
      <c r="D23" s="19">
        <v>2072</v>
      </c>
      <c r="E23" s="18">
        <f>IF(OR(D23="-",D23="",D23=0),IF(C23="-","-",C23),C23-D23)</f>
        <v>21</v>
      </c>
      <c r="F23" s="20">
        <f>IFERROR(IF(C23&gt;0, D23/C23, 0),"-")</f>
        <v>0.98996655518394649</v>
      </c>
      <c r="G23" s="18">
        <v>14</v>
      </c>
      <c r="H23" s="19">
        <v>1</v>
      </c>
      <c r="I23" s="18">
        <f>IF(OR(H23="-",H23="",H23=0),IF(G23="-","-",G23),G23-H23)</f>
        <v>13</v>
      </c>
      <c r="J23" s="20">
        <f>IFERROR(IF(G23&gt;0, H23/G23, 0),"-")</f>
        <v>7.1428571428571425E-2</v>
      </c>
      <c r="K23" s="18">
        <v>5</v>
      </c>
      <c r="L23" s="19">
        <v>2</v>
      </c>
      <c r="M23" s="18">
        <f>IF(OR(L23="-",L23="",L23=0),IF(K23="-","-",K23),K23-L23)</f>
        <v>3</v>
      </c>
      <c r="N23" s="20">
        <f>IFERROR(IF(K23&gt;0, L23/K23, 0),"-")</f>
        <v>0.4</v>
      </c>
      <c r="O23" s="18">
        <v>10</v>
      </c>
      <c r="P23" s="19">
        <v>1</v>
      </c>
      <c r="Q23" s="18">
        <f>IF(OR(P23="-",P23="",P23=0),IF(O23="-","-",O23),O23-P23)</f>
        <v>9</v>
      </c>
      <c r="R23" s="20">
        <f>IFERROR(IF(O23&gt;0, P23/O23, 0),"-")</f>
        <v>0.1</v>
      </c>
      <c r="S23" s="18">
        <v>11</v>
      </c>
      <c r="T23" s="18" t="s">
        <v>959</v>
      </c>
      <c r="U23" s="18" t="s">
        <v>959</v>
      </c>
      <c r="V23" s="19" t="s">
        <v>959</v>
      </c>
      <c r="W23" s="19" t="s">
        <v>959</v>
      </c>
      <c r="X23" s="24">
        <f>RANK(F23,$F$19:$F$48,0)</f>
        <v>5</v>
      </c>
      <c r="Y23" s="3" t="str">
        <f>IF(OR(ISERROR(F23),F23="-",NOT(ISNUMBER(F23))),"● N/A",IF(ROUND(F23, 4) &gt;= ROUND($F$49, 4),"▲ Above Average","▼ Below Average"))</f>
        <v>▲ Above Average</v>
      </c>
    </row>
    <row r="24" spans="2:25" x14ac:dyDescent="0.2">
      <c r="B24" s="17" t="s">
        <v>5</v>
      </c>
      <c r="C24" s="18">
        <v>1622</v>
      </c>
      <c r="D24" s="19">
        <v>1605</v>
      </c>
      <c r="E24" s="18">
        <f>IF(OR(D24="-",D24="",D24=0),IF(C24="-","-",C24),C24-D24)</f>
        <v>17</v>
      </c>
      <c r="F24" s="20">
        <f>IFERROR(IF(C24&gt;0, D24/C24, 0),"-")</f>
        <v>0.98951911220715172</v>
      </c>
      <c r="G24" s="18">
        <v>6</v>
      </c>
      <c r="H24" s="19">
        <v>1</v>
      </c>
      <c r="I24" s="18">
        <f>IF(OR(H24="-",H24="",H24=0),IF(G24="-","-",G24),G24-H24)</f>
        <v>5</v>
      </c>
      <c r="J24" s="20">
        <f>IFERROR(IF(G24&gt;0, H24/G24, 0),"-")</f>
        <v>0.16666666666666666</v>
      </c>
      <c r="K24" s="18">
        <v>5</v>
      </c>
      <c r="L24" s="19">
        <v>1</v>
      </c>
      <c r="M24" s="18">
        <f>IF(OR(L24="-",L24="",L24=0),IF(K24="-","-",K24),K24-L24)</f>
        <v>4</v>
      </c>
      <c r="N24" s="20">
        <f>IFERROR(IF(K24&gt;0, L24/K24, 0),"-")</f>
        <v>0.2</v>
      </c>
      <c r="O24" s="18">
        <v>4</v>
      </c>
      <c r="P24" s="19">
        <v>1</v>
      </c>
      <c r="Q24" s="18">
        <f>IF(OR(P24="-",P24="",P24=0),IF(O24="-","-",O24),O24-P24)</f>
        <v>3</v>
      </c>
      <c r="R24" s="20">
        <f>IFERROR(IF(O24&gt;0, P24/O24, 0),"-")</f>
        <v>0.25</v>
      </c>
      <c r="S24" s="18">
        <v>5</v>
      </c>
      <c r="T24" s="18" t="s">
        <v>959</v>
      </c>
      <c r="U24" s="18" t="s">
        <v>959</v>
      </c>
      <c r="V24" s="19" t="s">
        <v>959</v>
      </c>
      <c r="W24" s="19" t="s">
        <v>959</v>
      </c>
      <c r="X24" s="24">
        <f>RANK(F24,$F$19:$F$48,0)</f>
        <v>6</v>
      </c>
      <c r="Y24" s="3" t="str">
        <f>IF(OR(ISERROR(F24),F24="-",NOT(ISNUMBER(F24))),"● N/A",IF(ROUND(F24, 4) &gt;= ROUND($F$49, 4),"▲ Above Average","▼ Below Average"))</f>
        <v>▲ Above Average</v>
      </c>
    </row>
    <row r="25" spans="2:25" x14ac:dyDescent="0.2">
      <c r="B25" s="17" t="s">
        <v>8</v>
      </c>
      <c r="C25" s="18">
        <v>2111</v>
      </c>
      <c r="D25" s="19">
        <v>2086</v>
      </c>
      <c r="E25" s="18">
        <f>IF(OR(D25="-",D25="",D25=0),IF(C25="-","-",C25),C25-D25)</f>
        <v>25</v>
      </c>
      <c r="F25" s="20">
        <f>IFERROR(IF(C25&gt;0, D25/C25, 0),"-")</f>
        <v>0.98815727143533871</v>
      </c>
      <c r="G25" s="18">
        <v>11</v>
      </c>
      <c r="H25" s="19">
        <v>3</v>
      </c>
      <c r="I25" s="18">
        <f>IF(OR(H25="-",H25="",H25=0),IF(G25="-","-",G25),G25-H25)</f>
        <v>8</v>
      </c>
      <c r="J25" s="20">
        <f>IFERROR(IF(G25&gt;0, H25/G25, 0),"-")</f>
        <v>0.27272727272727271</v>
      </c>
      <c r="K25" s="18">
        <v>8</v>
      </c>
      <c r="L25" s="19">
        <v>1</v>
      </c>
      <c r="M25" s="18">
        <f>IF(OR(L25="-",L25="",L25=0),IF(K25="-","-",K25),K25-L25)</f>
        <v>7</v>
      </c>
      <c r="N25" s="20">
        <f>IFERROR(IF(K25&gt;0, L25/K25, 0),"-")</f>
        <v>0.125</v>
      </c>
      <c r="O25" s="18">
        <v>4</v>
      </c>
      <c r="P25" s="19">
        <v>3</v>
      </c>
      <c r="Q25" s="18">
        <f>IF(OR(P25="-",P25="",P25=0),IF(O25="-","-",O25),O25-P25)</f>
        <v>1</v>
      </c>
      <c r="R25" s="20">
        <f>IFERROR(IF(O25&gt;0, P25/O25, 0),"-")</f>
        <v>0.75</v>
      </c>
      <c r="S25" s="18">
        <v>5</v>
      </c>
      <c r="T25" s="18">
        <v>1</v>
      </c>
      <c r="U25" s="18">
        <v>500</v>
      </c>
      <c r="V25" s="19" t="s">
        <v>959</v>
      </c>
      <c r="W25" s="19" t="s">
        <v>959</v>
      </c>
      <c r="X25" s="24">
        <f>RANK(F25,$F$19:$F$48,0)</f>
        <v>7</v>
      </c>
      <c r="Y25" s="3" t="str">
        <f>IF(OR(ISERROR(F25),F25="-",NOT(ISNUMBER(F25))),"● N/A",IF(ROUND(F25, 4) &gt;= ROUND($F$49, 4),"▲ Above Average","▼ Below Average"))</f>
        <v>▲ Above Average</v>
      </c>
    </row>
    <row r="26" spans="2:25" x14ac:dyDescent="0.2">
      <c r="B26" s="17" t="s">
        <v>12</v>
      </c>
      <c r="C26" s="18">
        <v>1925</v>
      </c>
      <c r="D26" s="19">
        <v>1902</v>
      </c>
      <c r="E26" s="18">
        <f>IF(OR(D26="-",D26="",D26=0),IF(C26="-","-",C26),C26-D26)</f>
        <v>23</v>
      </c>
      <c r="F26" s="20">
        <f>IFERROR(IF(C26&gt;0, D26/C26, 0),"-")</f>
        <v>0.98805194805194807</v>
      </c>
      <c r="G26" s="18">
        <v>11</v>
      </c>
      <c r="H26" s="19">
        <v>2</v>
      </c>
      <c r="I26" s="18">
        <f>IF(OR(H26="-",H26="",H26=0),IF(G26="-","-",G26),G26-H26)</f>
        <v>9</v>
      </c>
      <c r="J26" s="20">
        <f>IFERROR(IF(G26&gt;0, H26/G26, 0),"-")</f>
        <v>0.18181818181818182</v>
      </c>
      <c r="K26" s="18">
        <v>9</v>
      </c>
      <c r="L26" s="19">
        <v>4</v>
      </c>
      <c r="M26" s="18">
        <f>IF(OR(L26="-",L26="",L26=0),IF(K26="-","-",K26),K26-L26)</f>
        <v>5</v>
      </c>
      <c r="N26" s="20">
        <f>IFERROR(IF(K26&gt;0, L26/K26, 0),"-")</f>
        <v>0.44444444444444442</v>
      </c>
      <c r="O26" s="18">
        <v>3</v>
      </c>
      <c r="P26" s="19">
        <v>1</v>
      </c>
      <c r="Q26" s="18">
        <f>IF(OR(P26="-",P26="",P26=0),IF(O26="-","-",O26),O26-P26)</f>
        <v>2</v>
      </c>
      <c r="R26" s="20">
        <f>IFERROR(IF(O26&gt;0, P26/O26, 0),"-")</f>
        <v>0.33333333333333331</v>
      </c>
      <c r="S26" s="18">
        <v>16</v>
      </c>
      <c r="T26" s="18">
        <v>1</v>
      </c>
      <c r="U26" s="18">
        <v>3235</v>
      </c>
      <c r="V26" s="19" t="s">
        <v>959</v>
      </c>
      <c r="W26" s="19" t="s">
        <v>959</v>
      </c>
      <c r="X26" s="24">
        <f>RANK(F26,$F$19:$F$48,0)</f>
        <v>8</v>
      </c>
      <c r="Y26" s="3" t="str">
        <f>IF(OR(ISERROR(F26),F26="-",NOT(ISNUMBER(F26))),"● N/A",IF(ROUND(F26, 4) &gt;= ROUND($F$49, 4),"▲ Above Average","▼ Below Average"))</f>
        <v>▲ Above Average</v>
      </c>
    </row>
    <row r="27" spans="2:25" x14ac:dyDescent="0.2">
      <c r="B27" s="17" t="s">
        <v>17</v>
      </c>
      <c r="C27" s="18">
        <v>1594</v>
      </c>
      <c r="D27" s="19">
        <v>1572</v>
      </c>
      <c r="E27" s="18">
        <f>IF(OR(D27="-",D27="",D27=0),IF(C27="-","-",C27),C27-D27)</f>
        <v>22</v>
      </c>
      <c r="F27" s="20">
        <f>IFERROR(IF(C27&gt;0, D27/C27, 0),"-")</f>
        <v>0.98619824341279805</v>
      </c>
      <c r="G27" s="18">
        <v>16</v>
      </c>
      <c r="H27" s="19">
        <v>7</v>
      </c>
      <c r="I27" s="18">
        <f>IF(OR(H27="-",H27="",H27=0),IF(G27="-","-",G27),G27-H27)</f>
        <v>9</v>
      </c>
      <c r="J27" s="20">
        <f>IFERROR(IF(G27&gt;0, H27/G27, 0),"-")</f>
        <v>0.4375</v>
      </c>
      <c r="K27" s="18">
        <v>12</v>
      </c>
      <c r="L27" s="19">
        <v>3</v>
      </c>
      <c r="M27" s="18">
        <f>IF(OR(L27="-",L27="",L27=0),IF(K27="-","-",K27),K27-L27)</f>
        <v>9</v>
      </c>
      <c r="N27" s="20">
        <f>IFERROR(IF(K27&gt;0, L27/K27, 0),"-")</f>
        <v>0.25</v>
      </c>
      <c r="O27" s="18">
        <v>9</v>
      </c>
      <c r="P27" s="19">
        <v>1</v>
      </c>
      <c r="Q27" s="18">
        <f>IF(OR(P27="-",P27="",P27=0),IF(O27="-","-",O27),O27-P27)</f>
        <v>8</v>
      </c>
      <c r="R27" s="20">
        <f>IFERROR(IF(O27&gt;0, P27/O27, 0),"-")</f>
        <v>0.1111111111111111</v>
      </c>
      <c r="S27" s="18">
        <v>6</v>
      </c>
      <c r="T27" s="18" t="s">
        <v>959</v>
      </c>
      <c r="U27" s="18" t="s">
        <v>959</v>
      </c>
      <c r="V27" s="19" t="s">
        <v>959</v>
      </c>
      <c r="W27" s="19" t="s">
        <v>959</v>
      </c>
      <c r="X27" s="24">
        <f>RANK(F27,$F$19:$F$48,0)</f>
        <v>9</v>
      </c>
      <c r="Y27" s="3" t="str">
        <f>IF(OR(ISERROR(F27),F27="-",NOT(ISNUMBER(F27))),"● N/A",IF(ROUND(F27, 4) &gt;= ROUND($F$49, 4),"▲ Above Average","▼ Below Average"))</f>
        <v>▲ Above Average</v>
      </c>
    </row>
    <row r="28" spans="2:25" x14ac:dyDescent="0.2">
      <c r="B28" s="17" t="s">
        <v>14</v>
      </c>
      <c r="C28" s="18">
        <v>1774</v>
      </c>
      <c r="D28" s="19">
        <v>1749</v>
      </c>
      <c r="E28" s="18">
        <f>IF(OR(D28="-",D28="",D28=0),IF(C28="-","-",C28),C28-D28)</f>
        <v>25</v>
      </c>
      <c r="F28" s="20">
        <f>IFERROR(IF(C28&gt;0, D28/C28, 0),"-")</f>
        <v>0.98590755355129656</v>
      </c>
      <c r="G28" s="18">
        <v>21</v>
      </c>
      <c r="H28" s="19">
        <v>4</v>
      </c>
      <c r="I28" s="18">
        <f>IF(OR(H28="-",H28="",H28=0),IF(G28="-","-",G28),G28-H28)</f>
        <v>17</v>
      </c>
      <c r="J28" s="20">
        <f>IFERROR(IF(G28&gt;0, H28/G28, 0),"-")</f>
        <v>0.19047619047619047</v>
      </c>
      <c r="K28" s="18">
        <v>7</v>
      </c>
      <c r="L28" s="19">
        <v>1</v>
      </c>
      <c r="M28" s="18">
        <f>IF(OR(L28="-",L28="",L28=0),IF(K28="-","-",K28),K28-L28)</f>
        <v>6</v>
      </c>
      <c r="N28" s="20">
        <f>IFERROR(IF(K28&gt;0, L28/K28, 0),"-")</f>
        <v>0.14285714285714285</v>
      </c>
      <c r="O28" s="18">
        <v>1</v>
      </c>
      <c r="P28" s="19" t="s">
        <v>959</v>
      </c>
      <c r="Q28" s="18">
        <f>IF(OR(P28="-",P28="",P28=0),IF(O28="-","-",O28),O28-P28)</f>
        <v>1</v>
      </c>
      <c r="R28" s="20" t="str">
        <f>IFERROR(IF(O28&gt;0, P28/O28, 0),"-")</f>
        <v>-</v>
      </c>
      <c r="S28" s="18">
        <v>1</v>
      </c>
      <c r="T28" s="18" t="s">
        <v>959</v>
      </c>
      <c r="U28" s="18" t="s">
        <v>959</v>
      </c>
      <c r="V28" s="19" t="s">
        <v>959</v>
      </c>
      <c r="W28" s="19" t="s">
        <v>959</v>
      </c>
      <c r="X28" s="24">
        <f>RANK(F28,$F$19:$F$48,0)</f>
        <v>10</v>
      </c>
      <c r="Y28" s="3" t="str">
        <f>IF(OR(ISERROR(F28),F28="-",NOT(ISNUMBER(F28))),"● N/A",IF(ROUND(F28, 4) &gt;= ROUND($F$49, 4),"▲ Above Average","▼ Below Average"))</f>
        <v>▲ Above Average</v>
      </c>
    </row>
    <row r="29" spans="2:25" x14ac:dyDescent="0.2">
      <c r="B29" s="17" t="s">
        <v>7</v>
      </c>
      <c r="C29" s="18">
        <v>2677</v>
      </c>
      <c r="D29" s="19">
        <v>2639</v>
      </c>
      <c r="E29" s="18">
        <f>IF(OR(D29="-",D29="",D29=0),IF(C29="-","-",C29),C29-D29)</f>
        <v>38</v>
      </c>
      <c r="F29" s="20">
        <f>IFERROR(IF(C29&gt;0, D29/C29, 0),"-")</f>
        <v>0.98580500560328721</v>
      </c>
      <c r="G29" s="18">
        <v>10</v>
      </c>
      <c r="H29" s="19">
        <v>4</v>
      </c>
      <c r="I29" s="18">
        <f>IF(OR(H29="-",H29="",H29=0),IF(G29="-","-",G29),G29-H29)</f>
        <v>6</v>
      </c>
      <c r="J29" s="20">
        <f>IFERROR(IF(G29&gt;0, H29/G29, 0),"-")</f>
        <v>0.4</v>
      </c>
      <c r="K29" s="18">
        <v>13</v>
      </c>
      <c r="L29" s="19">
        <v>4</v>
      </c>
      <c r="M29" s="18">
        <f>IF(OR(L29="-",L29="",L29=0),IF(K29="-","-",K29),K29-L29)</f>
        <v>9</v>
      </c>
      <c r="N29" s="20">
        <f>IFERROR(IF(K29&gt;0, L29/K29, 0),"-")</f>
        <v>0.30769230769230771</v>
      </c>
      <c r="O29" s="18">
        <v>13</v>
      </c>
      <c r="P29" s="19">
        <v>2</v>
      </c>
      <c r="Q29" s="18">
        <f>IF(OR(P29="-",P29="",P29=0),IF(O29="-","-",O29),O29-P29)</f>
        <v>11</v>
      </c>
      <c r="R29" s="20">
        <f>IFERROR(IF(O29&gt;0, P29/O29, 0),"-")</f>
        <v>0.15384615384615385</v>
      </c>
      <c r="S29" s="18">
        <v>19</v>
      </c>
      <c r="T29" s="18">
        <v>1</v>
      </c>
      <c r="U29" s="18">
        <v>5390</v>
      </c>
      <c r="V29" s="19" t="s">
        <v>959</v>
      </c>
      <c r="W29" s="19" t="s">
        <v>959</v>
      </c>
      <c r="X29" s="24">
        <f>RANK(F29,$F$19:$F$48,0)</f>
        <v>11</v>
      </c>
      <c r="Y29" s="3" t="str">
        <f>IF(OR(ISERROR(F29),F29="-",NOT(ISNUMBER(F29))),"● N/A",IF(ROUND(F29, 4) &gt;= ROUND($F$49, 4),"▲ Above Average","▼ Below Average"))</f>
        <v>▲ Above Average</v>
      </c>
    </row>
    <row r="30" spans="2:25" x14ac:dyDescent="0.2">
      <c r="B30" s="17" t="s">
        <v>4</v>
      </c>
      <c r="C30" s="18">
        <v>2157</v>
      </c>
      <c r="D30" s="19">
        <v>2124</v>
      </c>
      <c r="E30" s="18">
        <f>IF(OR(D30="-",D30="",D30=0),IF(C30="-","-",C30),C30-D30)</f>
        <v>33</v>
      </c>
      <c r="F30" s="20">
        <f>IFERROR(IF(C30&gt;0, D30/C30, 0),"-")</f>
        <v>0.98470097357440889</v>
      </c>
      <c r="G30" s="18">
        <v>8</v>
      </c>
      <c r="H30" s="19">
        <v>1</v>
      </c>
      <c r="I30" s="18">
        <f>IF(OR(H30="-",H30="",H30=0),IF(G30="-","-",G30),G30-H30)</f>
        <v>7</v>
      </c>
      <c r="J30" s="20">
        <f>IFERROR(IF(G30&gt;0, H30/G30, 0),"-")</f>
        <v>0.125</v>
      </c>
      <c r="K30" s="18">
        <v>3</v>
      </c>
      <c r="L30" s="19" t="s">
        <v>959</v>
      </c>
      <c r="M30" s="18">
        <f>IF(OR(L30="-",L30="",L30=0),IF(K30="-","-",K30),K30-L30)</f>
        <v>3</v>
      </c>
      <c r="N30" s="20" t="str">
        <f>IFERROR(IF(K30&gt;0, L30/K30, 0),"-")</f>
        <v>-</v>
      </c>
      <c r="O30" s="18">
        <v>3</v>
      </c>
      <c r="P30" s="19">
        <v>1</v>
      </c>
      <c r="Q30" s="18">
        <f>IF(OR(P30="-",P30="",P30=0),IF(O30="-","-",O30),O30-P30)</f>
        <v>2</v>
      </c>
      <c r="R30" s="20">
        <f>IFERROR(IF(O30&gt;0, P30/O30, 0),"-")</f>
        <v>0.33333333333333331</v>
      </c>
      <c r="S30" s="18">
        <v>8</v>
      </c>
      <c r="T30" s="18">
        <v>1</v>
      </c>
      <c r="U30" s="18">
        <v>50000</v>
      </c>
      <c r="V30" s="19" t="s">
        <v>959</v>
      </c>
      <c r="W30" s="19" t="s">
        <v>959</v>
      </c>
      <c r="X30" s="24">
        <f>RANK(F30,$F$19:$F$48,0)</f>
        <v>12</v>
      </c>
      <c r="Y30" s="3" t="str">
        <f>IF(OR(ISERROR(F30),F30="-",NOT(ISNUMBER(F30))),"● N/A",IF(ROUND(F30, 4) &gt;= ROUND($F$49, 4),"▲ Above Average","▼ Below Average"))</f>
        <v>▲ Above Average</v>
      </c>
    </row>
    <row r="31" spans="2:25" x14ac:dyDescent="0.2">
      <c r="B31" s="17" t="s">
        <v>19</v>
      </c>
      <c r="C31" s="18">
        <v>2656</v>
      </c>
      <c r="D31" s="19">
        <v>2615</v>
      </c>
      <c r="E31" s="18">
        <f>IF(OR(D31="-",D31="",D31=0),IF(C31="-","-",C31),C31-D31)</f>
        <v>41</v>
      </c>
      <c r="F31" s="20">
        <f>IFERROR(IF(C31&gt;0, D31/C31, 0),"-")</f>
        <v>0.98456325301204817</v>
      </c>
      <c r="G31" s="18">
        <v>14</v>
      </c>
      <c r="H31" s="19">
        <v>4</v>
      </c>
      <c r="I31" s="18">
        <f>IF(OR(H31="-",H31="",H31=0),IF(G31="-","-",G31),G31-H31)</f>
        <v>10</v>
      </c>
      <c r="J31" s="20">
        <f>IFERROR(IF(G31&gt;0, H31/G31, 0),"-")</f>
        <v>0.2857142857142857</v>
      </c>
      <c r="K31" s="18">
        <v>6</v>
      </c>
      <c r="L31" s="19">
        <v>1</v>
      </c>
      <c r="M31" s="18">
        <f>IF(OR(L31="-",L31="",L31=0),IF(K31="-","-",K31),K31-L31)</f>
        <v>5</v>
      </c>
      <c r="N31" s="20">
        <f>IFERROR(IF(K31&gt;0, L31/K31, 0),"-")</f>
        <v>0.16666666666666666</v>
      </c>
      <c r="O31" s="18">
        <v>13</v>
      </c>
      <c r="P31" s="19">
        <v>1</v>
      </c>
      <c r="Q31" s="18">
        <f>IF(OR(P31="-",P31="",P31=0),IF(O31="-","-",O31),O31-P31)</f>
        <v>12</v>
      </c>
      <c r="R31" s="20">
        <f>IFERROR(IF(O31&gt;0, P31/O31, 0),"-")</f>
        <v>7.6923076923076927E-2</v>
      </c>
      <c r="S31" s="18">
        <v>12</v>
      </c>
      <c r="T31" s="18" t="s">
        <v>959</v>
      </c>
      <c r="U31" s="18" t="s">
        <v>959</v>
      </c>
      <c r="V31" s="19" t="s">
        <v>959</v>
      </c>
      <c r="W31" s="19" t="s">
        <v>959</v>
      </c>
      <c r="X31" s="24">
        <f>RANK(F31,$F$19:$F$48,0)</f>
        <v>13</v>
      </c>
      <c r="Y31" s="3" t="str">
        <f>IF(OR(ISERROR(F31),F31="-",NOT(ISNUMBER(F31))),"● N/A",IF(ROUND(F31, 4) &gt;= ROUND($F$49, 4),"▲ Above Average","▼ Below Average"))</f>
        <v>▲ Above Average</v>
      </c>
    </row>
    <row r="32" spans="2:25" x14ac:dyDescent="0.2">
      <c r="B32" s="17" t="s">
        <v>952</v>
      </c>
      <c r="C32" s="18">
        <v>2338</v>
      </c>
      <c r="D32" s="19">
        <v>2301</v>
      </c>
      <c r="E32" s="18">
        <f>IF(OR(D32="-",D32="",D32=0),IF(C32="-","-",C32),C32-D32)</f>
        <v>37</v>
      </c>
      <c r="F32" s="20">
        <f>IFERROR(IF(C32&gt;0, D32/C32, 0),"-")</f>
        <v>0.9841745081266039</v>
      </c>
      <c r="G32" s="18">
        <v>18</v>
      </c>
      <c r="H32" s="19">
        <v>4</v>
      </c>
      <c r="I32" s="18">
        <f>IF(OR(H32="-",H32="",H32=0),IF(G32="-","-",G32),G32-H32)</f>
        <v>14</v>
      </c>
      <c r="J32" s="20">
        <f>IFERROR(IF(G32&gt;0, H32/G32, 0),"-")</f>
        <v>0.22222222222222221</v>
      </c>
      <c r="K32" s="18">
        <v>4</v>
      </c>
      <c r="L32" s="19" t="s">
        <v>959</v>
      </c>
      <c r="M32" s="18">
        <f>IF(OR(L32="-",L32="",L32=0),IF(K32="-","-",K32),K32-L32)</f>
        <v>4</v>
      </c>
      <c r="N32" s="20" t="str">
        <f>IFERROR(IF(K32&gt;0, L32/K32, 0),"-")</f>
        <v>-</v>
      </c>
      <c r="O32" s="18">
        <v>9</v>
      </c>
      <c r="P32" s="19">
        <v>1</v>
      </c>
      <c r="Q32" s="18">
        <f>IF(OR(P32="-",P32="",P32=0),IF(O32="-","-",O32),O32-P32)</f>
        <v>8</v>
      </c>
      <c r="R32" s="20">
        <f>IFERROR(IF(O32&gt;0, P32/O32, 0),"-")</f>
        <v>0.1111111111111111</v>
      </c>
      <c r="S32" s="18">
        <v>5</v>
      </c>
      <c r="T32" s="18" t="s">
        <v>959</v>
      </c>
      <c r="U32" s="18" t="s">
        <v>959</v>
      </c>
      <c r="V32" s="19" t="s">
        <v>959</v>
      </c>
      <c r="W32" s="19" t="s">
        <v>959</v>
      </c>
      <c r="X32" s="24">
        <f>RANK(F32,$F$19:$F$48,0)</f>
        <v>14</v>
      </c>
      <c r="Y32" s="3" t="str">
        <f>IF(OR(ISERROR(F32),F32="-",NOT(ISNUMBER(F32))),"● N/A",IF(ROUND(F32, 4) &gt;= ROUND($F$49, 4),"▲ Above Average","▼ Below Average"))</f>
        <v>▲ Above Average</v>
      </c>
    </row>
    <row r="33" spans="2:25" x14ac:dyDescent="0.2">
      <c r="B33" s="17" t="s">
        <v>28</v>
      </c>
      <c r="C33" s="18">
        <v>1362</v>
      </c>
      <c r="D33" s="19">
        <v>1340</v>
      </c>
      <c r="E33" s="18">
        <f>IF(OR(D33="-",D33="",D33=0),IF(C33="-","-",C33),C33-D33)</f>
        <v>22</v>
      </c>
      <c r="F33" s="20">
        <f>IFERROR(IF(C33&gt;0, D33/C33, 0),"-")</f>
        <v>0.98384728340675476</v>
      </c>
      <c r="G33" s="18">
        <v>5</v>
      </c>
      <c r="H33" s="19" t="s">
        <v>959</v>
      </c>
      <c r="I33" s="18">
        <f>IF(OR(H33="-",H33="",H33=0),IF(G33="-","-",G33),G33-H33)</f>
        <v>5</v>
      </c>
      <c r="J33" s="20" t="str">
        <f>IFERROR(IF(G33&gt;0, H33/G33, 0),"-")</f>
        <v>-</v>
      </c>
      <c r="K33" s="18">
        <v>3</v>
      </c>
      <c r="L33" s="19" t="s">
        <v>959</v>
      </c>
      <c r="M33" s="18">
        <f>IF(OR(L33="-",L33="",L33=0),IF(K33="-","-",K33),K33-L33)</f>
        <v>3</v>
      </c>
      <c r="N33" s="20" t="str">
        <f>IFERROR(IF(K33&gt;0, L33/K33, 0),"-")</f>
        <v>-</v>
      </c>
      <c r="O33" s="18">
        <v>4</v>
      </c>
      <c r="P33" s="19">
        <v>1</v>
      </c>
      <c r="Q33" s="18">
        <f>IF(OR(P33="-",P33="",P33=0),IF(O33="-","-",O33),O33-P33)</f>
        <v>3</v>
      </c>
      <c r="R33" s="20">
        <f>IFERROR(IF(O33&gt;0, P33/O33, 0),"-")</f>
        <v>0.25</v>
      </c>
      <c r="S33" s="18">
        <v>6</v>
      </c>
      <c r="T33" s="18" t="s">
        <v>959</v>
      </c>
      <c r="U33" s="18" t="s">
        <v>959</v>
      </c>
      <c r="V33" s="19" t="s">
        <v>959</v>
      </c>
      <c r="W33" s="19" t="s">
        <v>959</v>
      </c>
      <c r="X33" s="24">
        <f>RANK(F33,$F$19:$F$48,0)</f>
        <v>15</v>
      </c>
      <c r="Y33" s="3" t="str">
        <f>IF(OR(ISERROR(F33),F33="-",NOT(ISNUMBER(F33))),"● N/A",IF(ROUND(F33, 4) &gt;= ROUND($F$49, 4),"▲ Above Average","▼ Below Average"))</f>
        <v>▲ Above Average</v>
      </c>
    </row>
    <row r="34" spans="2:25" x14ac:dyDescent="0.2">
      <c r="B34" s="17" t="s">
        <v>20</v>
      </c>
      <c r="C34" s="18">
        <v>2534</v>
      </c>
      <c r="D34" s="19">
        <v>2492</v>
      </c>
      <c r="E34" s="18">
        <f>IF(OR(D34="-",D34="",D34=0),IF(C34="-","-",C34),C34-D34)</f>
        <v>42</v>
      </c>
      <c r="F34" s="20">
        <f>IFERROR(IF(C34&gt;0, D34/C34, 0),"-")</f>
        <v>0.98342541436464093</v>
      </c>
      <c r="G34" s="18">
        <v>10</v>
      </c>
      <c r="H34" s="19">
        <v>2</v>
      </c>
      <c r="I34" s="18">
        <f>IF(OR(H34="-",H34="",H34=0),IF(G34="-","-",G34),G34-H34)</f>
        <v>8</v>
      </c>
      <c r="J34" s="20">
        <f>IFERROR(IF(G34&gt;0, H34/G34, 0),"-")</f>
        <v>0.2</v>
      </c>
      <c r="K34" s="18">
        <v>6</v>
      </c>
      <c r="L34" s="19" t="s">
        <v>959</v>
      </c>
      <c r="M34" s="18">
        <f>IF(OR(L34="-",L34="",L34=0),IF(K34="-","-",K34),K34-L34)</f>
        <v>6</v>
      </c>
      <c r="N34" s="20" t="str">
        <f>IFERROR(IF(K34&gt;0, L34/K34, 0),"-")</f>
        <v>-</v>
      </c>
      <c r="O34" s="18">
        <v>6</v>
      </c>
      <c r="P34" s="19" t="s">
        <v>959</v>
      </c>
      <c r="Q34" s="18">
        <f>IF(OR(P34="-",P34="",P34=0),IF(O34="-","-",O34),O34-P34)</f>
        <v>6</v>
      </c>
      <c r="R34" s="20" t="str">
        <f>IFERROR(IF(O34&gt;0, P34/O34, 0),"-")</f>
        <v>-</v>
      </c>
      <c r="S34" s="18">
        <v>13</v>
      </c>
      <c r="T34" s="18">
        <v>1</v>
      </c>
      <c r="U34" s="18">
        <v>100</v>
      </c>
      <c r="V34" s="19" t="s">
        <v>959</v>
      </c>
      <c r="W34" s="19" t="s">
        <v>959</v>
      </c>
      <c r="X34" s="24">
        <f>RANK(F34,$F$19:$F$48,0)</f>
        <v>16</v>
      </c>
      <c r="Y34" s="3" t="str">
        <f>IF(OR(ISERROR(F34),F34="-",NOT(ISNUMBER(F34))),"● N/A",IF(ROUND(F34, 4) &gt;= ROUND($F$49, 4),"▲ Above Average","▼ Below Average"))</f>
        <v>▲ Above Average</v>
      </c>
    </row>
    <row r="35" spans="2:25" x14ac:dyDescent="0.2">
      <c r="B35" s="17" t="s">
        <v>11</v>
      </c>
      <c r="C35" s="18">
        <v>3159</v>
      </c>
      <c r="D35" s="19">
        <v>3106</v>
      </c>
      <c r="E35" s="18">
        <f>IF(OR(D35="-",D35="",D35=0),IF(C35="-","-",C35),C35-D35)</f>
        <v>53</v>
      </c>
      <c r="F35" s="20">
        <f>IFERROR(IF(C35&gt;0, D35/C35, 0),"-")</f>
        <v>0.98322253877809429</v>
      </c>
      <c r="G35" s="18">
        <v>18</v>
      </c>
      <c r="H35" s="19">
        <v>4</v>
      </c>
      <c r="I35" s="18">
        <f>IF(OR(H35="-",H35="",H35=0),IF(G35="-","-",G35),G35-H35)</f>
        <v>14</v>
      </c>
      <c r="J35" s="20">
        <f>IFERROR(IF(G35&gt;0, H35/G35, 0),"-")</f>
        <v>0.22222222222222221</v>
      </c>
      <c r="K35" s="18">
        <v>17</v>
      </c>
      <c r="L35" s="19">
        <v>2</v>
      </c>
      <c r="M35" s="18">
        <f>IF(OR(L35="-",L35="",L35=0),IF(K35="-","-",K35),K35-L35)</f>
        <v>15</v>
      </c>
      <c r="N35" s="20">
        <f>IFERROR(IF(K35&gt;0, L35/K35, 0),"-")</f>
        <v>0.11764705882352941</v>
      </c>
      <c r="O35" s="18">
        <v>13</v>
      </c>
      <c r="P35" s="19" t="s">
        <v>959</v>
      </c>
      <c r="Q35" s="18">
        <f>IF(OR(P35="-",P35="",P35=0),IF(O35="-","-",O35),O35-P35)</f>
        <v>13</v>
      </c>
      <c r="R35" s="20" t="str">
        <f>IFERROR(IF(O35&gt;0, P35/O35, 0),"-")</f>
        <v>-</v>
      </c>
      <c r="S35" s="18">
        <v>17</v>
      </c>
      <c r="T35" s="18">
        <v>1</v>
      </c>
      <c r="U35" s="18">
        <v>32640</v>
      </c>
      <c r="V35" s="19" t="s">
        <v>959</v>
      </c>
      <c r="W35" s="19" t="s">
        <v>959</v>
      </c>
      <c r="X35" s="24">
        <f>RANK(F35,$F$19:$F$48,0)</f>
        <v>17</v>
      </c>
      <c r="Y35" s="3" t="str">
        <f>IF(OR(ISERROR(F35),F35="-",NOT(ISNUMBER(F35))),"● N/A",IF(ROUND(F35, 4) &gt;= ROUND($F$49, 4),"▲ Above Average","▼ Below Average"))</f>
        <v>▲ Above Average</v>
      </c>
    </row>
    <row r="36" spans="2:25" x14ac:dyDescent="0.2">
      <c r="B36" s="17" t="s">
        <v>13</v>
      </c>
      <c r="C36" s="18">
        <v>2424</v>
      </c>
      <c r="D36" s="19">
        <v>2381</v>
      </c>
      <c r="E36" s="18">
        <f>IF(OR(D36="-",D36="",D36=0),IF(C36="-","-",C36),C36-D36)</f>
        <v>43</v>
      </c>
      <c r="F36" s="20">
        <f>IFERROR(IF(C36&gt;0, D36/C36, 0),"-")</f>
        <v>0.98226072607260728</v>
      </c>
      <c r="G36" s="18">
        <v>8</v>
      </c>
      <c r="H36" s="19">
        <v>1</v>
      </c>
      <c r="I36" s="18">
        <f>IF(OR(H36="-",H36="",H36=0),IF(G36="-","-",G36),G36-H36)</f>
        <v>7</v>
      </c>
      <c r="J36" s="20">
        <f>IFERROR(IF(G36&gt;0, H36/G36, 0),"-")</f>
        <v>0.125</v>
      </c>
      <c r="K36" s="18">
        <v>3</v>
      </c>
      <c r="L36" s="19">
        <v>1</v>
      </c>
      <c r="M36" s="18">
        <f>IF(OR(L36="-",L36="",L36=0),IF(K36="-","-",K36),K36-L36)</f>
        <v>2</v>
      </c>
      <c r="N36" s="20">
        <f>IFERROR(IF(K36&gt;0, L36/K36, 0),"-")</f>
        <v>0.33333333333333331</v>
      </c>
      <c r="O36" s="18">
        <v>5</v>
      </c>
      <c r="P36" s="19">
        <v>1</v>
      </c>
      <c r="Q36" s="18">
        <f>IF(OR(P36="-",P36="",P36=0),IF(O36="-","-",O36),O36-P36)</f>
        <v>4</v>
      </c>
      <c r="R36" s="20">
        <f>IFERROR(IF(O36&gt;0, P36/O36, 0),"-")</f>
        <v>0.2</v>
      </c>
      <c r="S36" s="18">
        <v>25</v>
      </c>
      <c r="T36" s="18">
        <v>1</v>
      </c>
      <c r="U36" s="18">
        <v>8080</v>
      </c>
      <c r="V36" s="19" t="s">
        <v>959</v>
      </c>
      <c r="W36" s="19" t="s">
        <v>959</v>
      </c>
      <c r="X36" s="24">
        <f>RANK(F36,$F$19:$F$48,0)</f>
        <v>18</v>
      </c>
      <c r="Y36" s="3" t="str">
        <f>IF(OR(ISERROR(F36),F36="-",NOT(ISNUMBER(F36))),"● N/A",IF(ROUND(F36, 4) &gt;= ROUND($F$49, 4),"▲ Above Average","▼ Below Average"))</f>
        <v>▲ Above Average</v>
      </c>
    </row>
    <row r="37" spans="2:25" x14ac:dyDescent="0.2">
      <c r="B37" s="17" t="s">
        <v>21</v>
      </c>
      <c r="C37" s="18">
        <v>2131</v>
      </c>
      <c r="D37" s="19">
        <v>2092</v>
      </c>
      <c r="E37" s="18">
        <f>IF(OR(D37="-",D37="",D37=0),IF(C37="-","-",C37),C37-D37)</f>
        <v>39</v>
      </c>
      <c r="F37" s="20">
        <f>IFERROR(IF(C37&gt;0, D37/C37, 0),"-")</f>
        <v>0.98169873298920696</v>
      </c>
      <c r="G37" s="18">
        <v>16</v>
      </c>
      <c r="H37" s="19">
        <v>2</v>
      </c>
      <c r="I37" s="18">
        <f>IF(OR(H37="-",H37="",H37=0),IF(G37="-","-",G37),G37-H37)</f>
        <v>14</v>
      </c>
      <c r="J37" s="20">
        <f>IFERROR(IF(G37&gt;0, H37/G37, 0),"-")</f>
        <v>0.125</v>
      </c>
      <c r="K37" s="18">
        <v>4</v>
      </c>
      <c r="L37" s="19">
        <v>1</v>
      </c>
      <c r="M37" s="18">
        <f>IF(OR(L37="-",L37="",L37=0),IF(K37="-","-",K37),K37-L37)</f>
        <v>3</v>
      </c>
      <c r="N37" s="20">
        <f>IFERROR(IF(K37&gt;0, L37/K37, 0),"-")</f>
        <v>0.25</v>
      </c>
      <c r="O37" s="18">
        <v>11</v>
      </c>
      <c r="P37" s="19">
        <v>1</v>
      </c>
      <c r="Q37" s="18">
        <f>IF(OR(P37="-",P37="",P37=0),IF(O37="-","-",O37),O37-P37)</f>
        <v>10</v>
      </c>
      <c r="R37" s="20">
        <f>IFERROR(IF(O37&gt;0, P37/O37, 0),"-")</f>
        <v>9.0909090909090912E-2</v>
      </c>
      <c r="S37" s="18">
        <v>13</v>
      </c>
      <c r="T37" s="18">
        <v>1</v>
      </c>
      <c r="U37" s="18">
        <v>3235</v>
      </c>
      <c r="V37" s="19" t="s">
        <v>959</v>
      </c>
      <c r="W37" s="19" t="s">
        <v>959</v>
      </c>
      <c r="X37" s="24">
        <f>RANK(F37,$F$19:$F$48,0)</f>
        <v>19</v>
      </c>
      <c r="Y37" s="3" t="str">
        <f>IF(OR(ISERROR(F37),F37="-",NOT(ISNUMBER(F37))),"● N/A",IF(ROUND(F37, 4) &gt;= ROUND($F$49, 4),"▲ Above Average","▼ Below Average"))</f>
        <v>▲ Above Average</v>
      </c>
    </row>
    <row r="38" spans="2:25" x14ac:dyDescent="0.2">
      <c r="B38" s="17" t="s">
        <v>9</v>
      </c>
      <c r="C38" s="18">
        <v>1288</v>
      </c>
      <c r="D38" s="19">
        <v>1264</v>
      </c>
      <c r="E38" s="18">
        <f>IF(OR(D38="-",D38="",D38=0),IF(C38="-","-",C38),C38-D38)</f>
        <v>24</v>
      </c>
      <c r="F38" s="20">
        <f>IFERROR(IF(C38&gt;0, D38/C38, 0),"-")</f>
        <v>0.98136645962732916</v>
      </c>
      <c r="G38" s="18">
        <v>11</v>
      </c>
      <c r="H38" s="19">
        <v>3</v>
      </c>
      <c r="I38" s="18">
        <f>IF(OR(H38="-",H38="",H38=0),IF(G38="-","-",G38),G38-H38)</f>
        <v>8</v>
      </c>
      <c r="J38" s="20">
        <f>IFERROR(IF(G38&gt;0, H38/G38, 0),"-")</f>
        <v>0.27272727272727271</v>
      </c>
      <c r="K38" s="18">
        <v>8</v>
      </c>
      <c r="L38" s="19" t="s">
        <v>959</v>
      </c>
      <c r="M38" s="18">
        <f>IF(OR(L38="-",L38="",L38=0),IF(K38="-","-",K38),K38-L38)</f>
        <v>8</v>
      </c>
      <c r="N38" s="20" t="str">
        <f>IFERROR(IF(K38&gt;0, L38/K38, 0),"-")</f>
        <v>-</v>
      </c>
      <c r="O38" s="18">
        <v>5</v>
      </c>
      <c r="P38" s="19" t="s">
        <v>959</v>
      </c>
      <c r="Q38" s="18">
        <f>IF(OR(P38="-",P38="",P38=0),IF(O38="-","-",O38),O38-P38)</f>
        <v>5</v>
      </c>
      <c r="R38" s="20" t="str">
        <f>IFERROR(IF(O38&gt;0, P38/O38, 0),"-")</f>
        <v>-</v>
      </c>
      <c r="S38" s="18">
        <v>8</v>
      </c>
      <c r="T38" s="18">
        <v>1</v>
      </c>
      <c r="U38" s="18">
        <v>6000</v>
      </c>
      <c r="V38" s="19" t="s">
        <v>959</v>
      </c>
      <c r="W38" s="19" t="s">
        <v>959</v>
      </c>
      <c r="X38" s="24">
        <f>RANK(F38,$F$19:$F$48,0)</f>
        <v>20</v>
      </c>
      <c r="Y38" s="3" t="str">
        <f>IF(OR(ISERROR(F38),F38="-",NOT(ISNUMBER(F38))),"● N/A",IF(ROUND(F38, 4) &gt;= ROUND($F$49, 4),"▲ Above Average","▼ Below Average"))</f>
        <v>▲ Above Average</v>
      </c>
    </row>
    <row r="39" spans="2:25" x14ac:dyDescent="0.2">
      <c r="B39" s="17" t="s">
        <v>23</v>
      </c>
      <c r="C39" s="18">
        <v>2614</v>
      </c>
      <c r="D39" s="19">
        <v>2564</v>
      </c>
      <c r="E39" s="18">
        <f>IF(OR(D39="-",D39="",D39=0),IF(C39="-","-",C39),C39-D39)</f>
        <v>50</v>
      </c>
      <c r="F39" s="20">
        <f>IFERROR(IF(C39&gt;0, D39/C39, 0),"-")</f>
        <v>0.98087222647283856</v>
      </c>
      <c r="G39" s="18">
        <v>18</v>
      </c>
      <c r="H39" s="19">
        <v>7</v>
      </c>
      <c r="I39" s="18">
        <f>IF(OR(H39="-",H39="",H39=0),IF(G39="-","-",G39),G39-H39)</f>
        <v>11</v>
      </c>
      <c r="J39" s="20">
        <f>IFERROR(IF(G39&gt;0, H39/G39, 0),"-")</f>
        <v>0.3888888888888889</v>
      </c>
      <c r="K39" s="18">
        <v>10</v>
      </c>
      <c r="L39" s="19">
        <v>3</v>
      </c>
      <c r="M39" s="18">
        <f>IF(OR(L39="-",L39="",L39=0),IF(K39="-","-",K39),K39-L39)</f>
        <v>7</v>
      </c>
      <c r="N39" s="20">
        <f>IFERROR(IF(K39&gt;0, L39/K39, 0),"-")</f>
        <v>0.3</v>
      </c>
      <c r="O39" s="18">
        <v>7</v>
      </c>
      <c r="P39" s="19">
        <v>2</v>
      </c>
      <c r="Q39" s="18">
        <f>IF(OR(P39="-",P39="",P39=0),IF(O39="-","-",O39),O39-P39)</f>
        <v>5</v>
      </c>
      <c r="R39" s="20">
        <f>IFERROR(IF(O39&gt;0, P39/O39, 0),"-")</f>
        <v>0.2857142857142857</v>
      </c>
      <c r="S39" s="18">
        <v>15</v>
      </c>
      <c r="T39" s="18">
        <v>1</v>
      </c>
      <c r="U39" s="18">
        <v>5710</v>
      </c>
      <c r="V39" s="19" t="s">
        <v>959</v>
      </c>
      <c r="W39" s="19" t="s">
        <v>959</v>
      </c>
      <c r="X39" s="24">
        <f>RANK(F39,$F$19:$F$48,0)</f>
        <v>21</v>
      </c>
      <c r="Y39" s="3" t="str">
        <f>IF(OR(ISERROR(F39),F39="-",NOT(ISNUMBER(F39))),"● N/A",IF(ROUND(F39, 4) &gt;= ROUND($F$49, 4),"▲ Above Average","▼ Below Average"))</f>
        <v>▲ Above Average</v>
      </c>
    </row>
    <row r="40" spans="2:25" x14ac:dyDescent="0.2">
      <c r="B40" s="17" t="s">
        <v>1</v>
      </c>
      <c r="C40" s="18">
        <v>3161</v>
      </c>
      <c r="D40" s="19">
        <v>3079</v>
      </c>
      <c r="E40" s="18">
        <f>IF(OR(D40="-",D40="",D40=0),IF(C40="-","-",C40),C40-D40)</f>
        <v>82</v>
      </c>
      <c r="F40" s="20">
        <f>IFERROR(IF(C40&gt;0, D40/C40, 0),"-")</f>
        <v>0.97405884213856375</v>
      </c>
      <c r="G40" s="18">
        <v>44</v>
      </c>
      <c r="H40" s="19">
        <v>9</v>
      </c>
      <c r="I40" s="18">
        <f>IF(OR(H40="-",H40="",H40=0),IF(G40="-","-",G40),G40-H40)</f>
        <v>35</v>
      </c>
      <c r="J40" s="20">
        <f>IFERROR(IF(G40&gt;0, H40/G40, 0),"-")</f>
        <v>0.20454545454545456</v>
      </c>
      <c r="K40" s="18">
        <v>25</v>
      </c>
      <c r="L40" s="19">
        <v>2</v>
      </c>
      <c r="M40" s="18">
        <f>IF(OR(L40="-",L40="",L40=0),IF(K40="-","-",K40),K40-L40)</f>
        <v>23</v>
      </c>
      <c r="N40" s="20">
        <f>IFERROR(IF(K40&gt;0, L40/K40, 0),"-")</f>
        <v>0.08</v>
      </c>
      <c r="O40" s="18">
        <v>19</v>
      </c>
      <c r="P40" s="19">
        <v>1</v>
      </c>
      <c r="Q40" s="18">
        <f>IF(OR(P40="-",P40="",P40=0),IF(O40="-","-",O40),O40-P40)</f>
        <v>18</v>
      </c>
      <c r="R40" s="20">
        <f>IFERROR(IF(O40&gt;0, P40/O40, 0),"-")</f>
        <v>5.2631578947368418E-2</v>
      </c>
      <c r="S40" s="18">
        <v>21</v>
      </c>
      <c r="T40" s="18" t="s">
        <v>959</v>
      </c>
      <c r="U40" s="18" t="s">
        <v>959</v>
      </c>
      <c r="V40" s="19" t="s">
        <v>959</v>
      </c>
      <c r="W40" s="19" t="s">
        <v>959</v>
      </c>
      <c r="X40" s="24">
        <f>RANK(F40,$F$19:$F$48,0)</f>
        <v>22</v>
      </c>
      <c r="Y40" s="3" t="str">
        <f>IF(OR(ISERROR(F40),F40="-",NOT(ISNUMBER(F40))),"● N/A",IF(ROUND(F40, 4) &gt;= ROUND($F$49, 4),"▲ Above Average","▼ Below Average"))</f>
        <v>▼ Below Average</v>
      </c>
    </row>
    <row r="41" spans="2:25" x14ac:dyDescent="0.2">
      <c r="B41" s="17" t="s">
        <v>18</v>
      </c>
      <c r="C41" s="18">
        <v>3006</v>
      </c>
      <c r="D41" s="19">
        <v>2928</v>
      </c>
      <c r="E41" s="18">
        <f>IF(OR(D41="-",D41="",D41=0),IF(C41="-","-",C41),C41-D41)</f>
        <v>78</v>
      </c>
      <c r="F41" s="20">
        <f>IFERROR(IF(C41&gt;0, D41/C41, 0),"-")</f>
        <v>0.97405189620758481</v>
      </c>
      <c r="G41" s="18">
        <v>31</v>
      </c>
      <c r="H41" s="19">
        <v>6</v>
      </c>
      <c r="I41" s="18">
        <f>IF(OR(H41="-",H41="",H41=0),IF(G41="-","-",G41),G41-H41)</f>
        <v>25</v>
      </c>
      <c r="J41" s="20">
        <f>IFERROR(IF(G41&gt;0, H41/G41, 0),"-")</f>
        <v>0.19354838709677419</v>
      </c>
      <c r="K41" s="18">
        <v>18</v>
      </c>
      <c r="L41" s="19">
        <v>1</v>
      </c>
      <c r="M41" s="18">
        <f>IF(OR(L41="-",L41="",L41=0),IF(K41="-","-",K41),K41-L41)</f>
        <v>17</v>
      </c>
      <c r="N41" s="20">
        <f>IFERROR(IF(K41&gt;0, L41/K41, 0),"-")</f>
        <v>5.5555555555555552E-2</v>
      </c>
      <c r="O41" s="18">
        <v>6</v>
      </c>
      <c r="P41" s="19">
        <v>2</v>
      </c>
      <c r="Q41" s="18">
        <f>IF(OR(P41="-",P41="",P41=0),IF(O41="-","-",O41),O41-P41)</f>
        <v>4</v>
      </c>
      <c r="R41" s="20">
        <f>IFERROR(IF(O41&gt;0, P41/O41, 0),"-")</f>
        <v>0.33333333333333331</v>
      </c>
      <c r="S41" s="18">
        <v>9</v>
      </c>
      <c r="T41" s="18">
        <v>3</v>
      </c>
      <c r="U41" s="18">
        <v>8570</v>
      </c>
      <c r="V41" s="19" t="s">
        <v>959</v>
      </c>
      <c r="W41" s="19" t="s">
        <v>959</v>
      </c>
      <c r="X41" s="24">
        <f>RANK(F41,$F$19:$F$48,0)</f>
        <v>23</v>
      </c>
      <c r="Y41" s="3" t="str">
        <f>IF(OR(ISERROR(F41),F41="-",NOT(ISNUMBER(F41))),"● N/A",IF(ROUND(F41, 4) &gt;= ROUND($F$49, 4),"▲ Above Average","▼ Below Average"))</f>
        <v>▼ Below Average</v>
      </c>
    </row>
    <row r="42" spans="2:25" x14ac:dyDescent="0.2">
      <c r="B42" s="17" t="s">
        <v>3</v>
      </c>
      <c r="C42" s="18">
        <v>1787</v>
      </c>
      <c r="D42" s="19">
        <v>1737</v>
      </c>
      <c r="E42" s="18">
        <f>IF(OR(D42="-",D42="",D42=0),IF(C42="-","-",C42),C42-D42)</f>
        <v>50</v>
      </c>
      <c r="F42" s="20">
        <f>IFERROR(IF(C42&gt;0, D42/C42, 0),"-")</f>
        <v>0.9720201454952434</v>
      </c>
      <c r="G42" s="18">
        <v>20</v>
      </c>
      <c r="H42" s="19">
        <v>6</v>
      </c>
      <c r="I42" s="18">
        <f>IF(OR(H42="-",H42="",H42=0),IF(G42="-","-",G42),G42-H42)</f>
        <v>14</v>
      </c>
      <c r="J42" s="20">
        <f>IFERROR(IF(G42&gt;0, H42/G42, 0),"-")</f>
        <v>0.3</v>
      </c>
      <c r="K42" s="18">
        <v>8</v>
      </c>
      <c r="L42" s="19">
        <v>2</v>
      </c>
      <c r="M42" s="18">
        <f>IF(OR(L42="-",L42="",L42=0),IF(K42="-","-",K42),K42-L42)</f>
        <v>6</v>
      </c>
      <c r="N42" s="20">
        <f>IFERROR(IF(K42&gt;0, L42/K42, 0),"-")</f>
        <v>0.25</v>
      </c>
      <c r="O42" s="18">
        <v>2</v>
      </c>
      <c r="P42" s="19" t="s">
        <v>959</v>
      </c>
      <c r="Q42" s="18">
        <f>IF(OR(P42="-",P42="",P42=0),IF(O42="-","-",O42),O42-P42)</f>
        <v>2</v>
      </c>
      <c r="R42" s="20" t="str">
        <f>IFERROR(IF(O42&gt;0, P42/O42, 0),"-")</f>
        <v>-</v>
      </c>
      <c r="S42" s="18">
        <v>15</v>
      </c>
      <c r="T42" s="18">
        <v>3</v>
      </c>
      <c r="U42" s="18">
        <v>8540</v>
      </c>
      <c r="V42" s="19" t="s">
        <v>959</v>
      </c>
      <c r="W42" s="19" t="s">
        <v>959</v>
      </c>
      <c r="X42" s="24">
        <f>RANK(F42,$F$19:$F$48,0)</f>
        <v>24</v>
      </c>
      <c r="Y42" s="3" t="str">
        <f>IF(OR(ISERROR(F42),F42="-",NOT(ISNUMBER(F42))),"● N/A",IF(ROUND(F42, 4) &gt;= ROUND($F$49, 4),"▲ Above Average","▼ Below Average"))</f>
        <v>▼ Below Average</v>
      </c>
    </row>
    <row r="43" spans="2:25" x14ac:dyDescent="0.2">
      <c r="B43" s="17" t="s">
        <v>22</v>
      </c>
      <c r="C43" s="18">
        <v>2691</v>
      </c>
      <c r="D43" s="19">
        <v>2606</v>
      </c>
      <c r="E43" s="18">
        <f>IF(OR(D43="-",D43="",D43=0),IF(C43="-","-",C43),C43-D43)</f>
        <v>85</v>
      </c>
      <c r="F43" s="20">
        <f>IFERROR(IF(C43&gt;0, D43/C43, 0),"-")</f>
        <v>0.9684132292827945</v>
      </c>
      <c r="G43" s="18">
        <v>26</v>
      </c>
      <c r="H43" s="19">
        <v>5</v>
      </c>
      <c r="I43" s="18">
        <f>IF(OR(H43="-",H43="",H43=0),IF(G43="-","-",G43),G43-H43)</f>
        <v>21</v>
      </c>
      <c r="J43" s="20">
        <f>IFERROR(IF(G43&gt;0, H43/G43, 0),"-")</f>
        <v>0.19230769230769232</v>
      </c>
      <c r="K43" s="18">
        <v>15</v>
      </c>
      <c r="L43" s="19" t="s">
        <v>959</v>
      </c>
      <c r="M43" s="18">
        <f>IF(OR(L43="-",L43="",L43=0),IF(K43="-","-",K43),K43-L43)</f>
        <v>15</v>
      </c>
      <c r="N43" s="20" t="str">
        <f>IFERROR(IF(K43&gt;0, L43/K43, 0),"-")</f>
        <v>-</v>
      </c>
      <c r="O43" s="18">
        <v>13</v>
      </c>
      <c r="P43" s="19" t="s">
        <v>959</v>
      </c>
      <c r="Q43" s="18">
        <f>IF(OR(P43="-",P43="",P43=0),IF(O43="-","-",O43),O43-P43)</f>
        <v>13</v>
      </c>
      <c r="R43" s="20" t="str">
        <f>IFERROR(IF(O43&gt;0, P43/O43, 0),"-")</f>
        <v>-</v>
      </c>
      <c r="S43" s="18">
        <v>28</v>
      </c>
      <c r="T43" s="18" t="s">
        <v>959</v>
      </c>
      <c r="U43" s="18" t="s">
        <v>959</v>
      </c>
      <c r="V43" s="19" t="s">
        <v>959</v>
      </c>
      <c r="W43" s="19" t="s">
        <v>959</v>
      </c>
      <c r="X43" s="24">
        <f>RANK(F43,$F$19:$F$48,0)</f>
        <v>25</v>
      </c>
      <c r="Y43" s="3" t="str">
        <f>IF(OR(ISERROR(F43),F43="-",NOT(ISNUMBER(F43))),"● N/A",IF(ROUND(F43, 4) &gt;= ROUND($F$49, 4),"▲ Above Average","▼ Below Average"))</f>
        <v>▼ Below Average</v>
      </c>
    </row>
    <row r="44" spans="2:25" x14ac:dyDescent="0.2">
      <c r="B44" s="17" t="s">
        <v>10</v>
      </c>
      <c r="C44" s="18">
        <v>2817</v>
      </c>
      <c r="D44" s="19">
        <v>2724</v>
      </c>
      <c r="E44" s="18">
        <f>IF(OR(D44="-",D44="",D44=0),IF(C44="-","-",C44),C44-D44)</f>
        <v>93</v>
      </c>
      <c r="F44" s="20">
        <f>IFERROR(IF(C44&gt;0, D44/C44, 0),"-")</f>
        <v>0.96698615548455802</v>
      </c>
      <c r="G44" s="18">
        <v>28</v>
      </c>
      <c r="H44" s="19">
        <v>2</v>
      </c>
      <c r="I44" s="18">
        <f>IF(OR(H44="-",H44="",H44=0),IF(G44="-","-",G44),G44-H44)</f>
        <v>26</v>
      </c>
      <c r="J44" s="20">
        <f>IFERROR(IF(G44&gt;0, H44/G44, 0),"-")</f>
        <v>7.1428571428571425E-2</v>
      </c>
      <c r="K44" s="18">
        <v>20</v>
      </c>
      <c r="L44" s="19">
        <v>2</v>
      </c>
      <c r="M44" s="18">
        <f>IF(OR(L44="-",L44="",L44=0),IF(K44="-","-",K44),K44-L44)</f>
        <v>18</v>
      </c>
      <c r="N44" s="20">
        <f>IFERROR(IF(K44&gt;0, L44/K44, 0),"-")</f>
        <v>0.1</v>
      </c>
      <c r="O44" s="18">
        <v>7</v>
      </c>
      <c r="P44" s="19">
        <v>1</v>
      </c>
      <c r="Q44" s="18">
        <f>IF(OR(P44="-",P44="",P44=0),IF(O44="-","-",O44),O44-P44)</f>
        <v>6</v>
      </c>
      <c r="R44" s="20">
        <f>IFERROR(IF(O44&gt;0, P44/O44, 0),"-")</f>
        <v>0.14285714285714285</v>
      </c>
      <c r="S44" s="18">
        <v>8</v>
      </c>
      <c r="T44" s="18" t="s">
        <v>959</v>
      </c>
      <c r="U44" s="18" t="s">
        <v>959</v>
      </c>
      <c r="V44" s="19" t="s">
        <v>959</v>
      </c>
      <c r="W44" s="19" t="s">
        <v>959</v>
      </c>
      <c r="X44" s="24">
        <f>RANK(F44,$F$19:$F$48,0)</f>
        <v>26</v>
      </c>
      <c r="Y44" s="3" t="str">
        <f>IF(OR(ISERROR(F44),F44="-",NOT(ISNUMBER(F44))),"● N/A",IF(ROUND(F44, 4) &gt;= ROUND($F$49, 4),"▲ Above Average","▼ Below Average"))</f>
        <v>▼ Below Average</v>
      </c>
    </row>
    <row r="45" spans="2:25" x14ac:dyDescent="0.2">
      <c r="B45" s="17" t="s">
        <v>29</v>
      </c>
      <c r="C45" s="18">
        <v>1639</v>
      </c>
      <c r="D45" s="19">
        <v>1578</v>
      </c>
      <c r="E45" s="18">
        <f>IF(OR(D45="-",D45="",D45=0),IF(C45="-","-",C45),C45-D45)</f>
        <v>61</v>
      </c>
      <c r="F45" s="20">
        <f>IFERROR(IF(C45&gt;0, D45/C45, 0),"-")</f>
        <v>0.96278218425869433</v>
      </c>
      <c r="G45" s="18">
        <v>28</v>
      </c>
      <c r="H45" s="19">
        <v>13</v>
      </c>
      <c r="I45" s="18">
        <f>IF(OR(H45="-",H45="",H45=0),IF(G45="-","-",G45),G45-H45)</f>
        <v>15</v>
      </c>
      <c r="J45" s="20">
        <f>IFERROR(IF(G45&gt;0, H45/G45, 0),"-")</f>
        <v>0.4642857142857143</v>
      </c>
      <c r="K45" s="18">
        <v>13</v>
      </c>
      <c r="L45" s="19">
        <v>5</v>
      </c>
      <c r="M45" s="18">
        <f>IF(OR(L45="-",L45="",L45=0),IF(K45="-","-",K45),K45-L45)</f>
        <v>8</v>
      </c>
      <c r="N45" s="20">
        <f>IFERROR(IF(K45&gt;0, L45/K45, 0),"-")</f>
        <v>0.38461538461538464</v>
      </c>
      <c r="O45" s="18">
        <v>2</v>
      </c>
      <c r="P45" s="19" t="s">
        <v>959</v>
      </c>
      <c r="Q45" s="18">
        <f>IF(OR(P45="-",P45="",P45=0),IF(O45="-","-",O45),O45-P45)</f>
        <v>2</v>
      </c>
      <c r="R45" s="20" t="str">
        <f>IFERROR(IF(O45&gt;0, P45/O45, 0),"-")</f>
        <v>-</v>
      </c>
      <c r="S45" s="18">
        <v>5</v>
      </c>
      <c r="T45" s="18">
        <v>1</v>
      </c>
      <c r="U45" s="18">
        <v>2400</v>
      </c>
      <c r="V45" s="19" t="s">
        <v>959</v>
      </c>
      <c r="W45" s="19" t="s">
        <v>959</v>
      </c>
      <c r="X45" s="24">
        <f>RANK(F45,$F$19:$F$48,0)</f>
        <v>27</v>
      </c>
      <c r="Y45" s="3" t="str">
        <f>IF(OR(ISERROR(F45),F45="-",NOT(ISNUMBER(F45))),"● N/A",IF(ROUND(F45, 4) &gt;= ROUND($F$49, 4),"▲ Above Average","▼ Below Average"))</f>
        <v>▼ Below Average</v>
      </c>
    </row>
    <row r="46" spans="2:25" x14ac:dyDescent="0.2">
      <c r="B46" s="17" t="s">
        <v>27</v>
      </c>
      <c r="C46" s="18">
        <v>1692</v>
      </c>
      <c r="D46" s="19">
        <v>1626</v>
      </c>
      <c r="E46" s="18">
        <f>IF(OR(D46="-",D46="",D46=0),IF(C46="-","-",C46),C46-D46)</f>
        <v>66</v>
      </c>
      <c r="F46" s="20">
        <f>IFERROR(IF(C46&gt;0, D46/C46, 0),"-")</f>
        <v>0.96099290780141844</v>
      </c>
      <c r="G46" s="18">
        <v>28</v>
      </c>
      <c r="H46" s="19">
        <v>14</v>
      </c>
      <c r="I46" s="18">
        <f>IF(OR(H46="-",H46="",H46=0),IF(G46="-","-",G46),G46-H46)</f>
        <v>14</v>
      </c>
      <c r="J46" s="20">
        <f>IFERROR(IF(G46&gt;0, H46/G46, 0),"-")</f>
        <v>0.5</v>
      </c>
      <c r="K46" s="18">
        <v>10</v>
      </c>
      <c r="L46" s="19">
        <v>4</v>
      </c>
      <c r="M46" s="18">
        <f>IF(OR(L46="-",L46="",L46=0),IF(K46="-","-",K46),K46-L46)</f>
        <v>6</v>
      </c>
      <c r="N46" s="20">
        <f>IFERROR(IF(K46&gt;0, L46/K46, 0),"-")</f>
        <v>0.4</v>
      </c>
      <c r="O46" s="18">
        <v>3</v>
      </c>
      <c r="P46" s="19" t="s">
        <v>959</v>
      </c>
      <c r="Q46" s="18">
        <f>IF(OR(P46="-",P46="",P46=0),IF(O46="-","-",O46),O46-P46)</f>
        <v>3</v>
      </c>
      <c r="R46" s="20" t="str">
        <f>IFERROR(IF(O46&gt;0, P46/O46, 0),"-")</f>
        <v>-</v>
      </c>
      <c r="S46" s="18">
        <v>4</v>
      </c>
      <c r="T46" s="18">
        <v>1</v>
      </c>
      <c r="U46" s="18">
        <v>5300</v>
      </c>
      <c r="V46" s="19" t="s">
        <v>959</v>
      </c>
      <c r="W46" s="19" t="s">
        <v>959</v>
      </c>
      <c r="X46" s="24">
        <f>RANK(F46,$F$19:$F$48,0)</f>
        <v>28</v>
      </c>
      <c r="Y46" s="3" t="str">
        <f>IF(OR(ISERROR(F46),F46="-",NOT(ISNUMBER(F46))),"● N/A",IF(ROUND(F46, 4) &gt;= ROUND($F$49, 4),"▲ Above Average","▼ Below Average"))</f>
        <v>▼ Below Average</v>
      </c>
    </row>
    <row r="47" spans="2:25" x14ac:dyDescent="0.2">
      <c r="B47" s="17" t="s">
        <v>6</v>
      </c>
      <c r="C47" s="18">
        <v>2282</v>
      </c>
      <c r="D47" s="19">
        <v>2190</v>
      </c>
      <c r="E47" s="18">
        <f>IF(OR(D47="-",D47="",D47=0),IF(C47="-","-",C47),C47-D47)</f>
        <v>92</v>
      </c>
      <c r="F47" s="20">
        <f>IFERROR(IF(C47&gt;0, D47/C47, 0),"-")</f>
        <v>0.9596844872918493</v>
      </c>
      <c r="G47" s="18">
        <v>42</v>
      </c>
      <c r="H47" s="19">
        <v>6</v>
      </c>
      <c r="I47" s="18">
        <f>IF(OR(H47="-",H47="",H47=0),IF(G47="-","-",G47),G47-H47)</f>
        <v>36</v>
      </c>
      <c r="J47" s="20">
        <f>IFERROR(IF(G47&gt;0, H47/G47, 0),"-")</f>
        <v>0.14285714285714285</v>
      </c>
      <c r="K47" s="18">
        <v>22</v>
      </c>
      <c r="L47" s="19">
        <v>3</v>
      </c>
      <c r="M47" s="18">
        <f>IF(OR(L47="-",L47="",L47=0),IF(K47="-","-",K47),K47-L47)</f>
        <v>19</v>
      </c>
      <c r="N47" s="20">
        <f>IFERROR(IF(K47&gt;0, L47/K47, 0),"-")</f>
        <v>0.13636363636363635</v>
      </c>
      <c r="O47" s="18">
        <v>13</v>
      </c>
      <c r="P47" s="19">
        <v>1</v>
      </c>
      <c r="Q47" s="18">
        <f>IF(OR(P47="-",P47="",P47=0),IF(O47="-","-",O47),O47-P47)</f>
        <v>12</v>
      </c>
      <c r="R47" s="20">
        <f>IFERROR(IF(O47&gt;0, P47/O47, 0),"-")</f>
        <v>7.6923076923076927E-2</v>
      </c>
      <c r="S47" s="18">
        <v>10</v>
      </c>
      <c r="T47" s="18">
        <v>1</v>
      </c>
      <c r="U47" s="18">
        <v>3200</v>
      </c>
      <c r="V47" s="19" t="s">
        <v>959</v>
      </c>
      <c r="W47" s="19" t="s">
        <v>959</v>
      </c>
      <c r="X47" s="24">
        <f>RANK(F47,$F$19:$F$48,0)</f>
        <v>29</v>
      </c>
      <c r="Y47" s="3" t="str">
        <f>IF(OR(ISERROR(F47),F47="-",NOT(ISNUMBER(F47))),"● N/A",IF(ROUND(F47, 4) &gt;= ROUND($F$49, 4),"▲ Above Average","▼ Below Average"))</f>
        <v>▼ Below Average</v>
      </c>
    </row>
    <row r="48" spans="2:25" x14ac:dyDescent="0.2">
      <c r="B48" s="17" t="s">
        <v>15</v>
      </c>
      <c r="C48" s="18">
        <v>2510</v>
      </c>
      <c r="D48" s="19">
        <v>2399</v>
      </c>
      <c r="E48" s="18">
        <f>IF(OR(D48="-",D48="",D48=0),IF(C48="-","-",C48),C48-D48)</f>
        <v>111</v>
      </c>
      <c r="F48" s="20">
        <f>IFERROR(IF(C48&gt;0, D48/C48, 0),"-")</f>
        <v>0.95577689243027886</v>
      </c>
      <c r="G48" s="18">
        <v>24</v>
      </c>
      <c r="H48" s="19">
        <v>4</v>
      </c>
      <c r="I48" s="18">
        <f>IF(OR(H48="-",H48="",H48=0),IF(G48="-","-",G48),G48-H48)</f>
        <v>20</v>
      </c>
      <c r="J48" s="20">
        <f>IFERROR(IF(G48&gt;0, H48/G48, 0),"-")</f>
        <v>0.16666666666666666</v>
      </c>
      <c r="K48" s="18">
        <v>3</v>
      </c>
      <c r="L48" s="19" t="s">
        <v>959</v>
      </c>
      <c r="M48" s="18">
        <f>IF(OR(L48="-",L48="",L48=0),IF(K48="-","-",K48),K48-L48)</f>
        <v>3</v>
      </c>
      <c r="N48" s="20" t="str">
        <f>IFERROR(IF(K48&gt;0, L48/K48, 0),"-")</f>
        <v>-</v>
      </c>
      <c r="O48" s="18">
        <v>7</v>
      </c>
      <c r="P48" s="19">
        <v>1</v>
      </c>
      <c r="Q48" s="18">
        <f>IF(OR(P48="-",P48="",P48=0),IF(O48="-","-",O48),O48-P48)</f>
        <v>6</v>
      </c>
      <c r="R48" s="20">
        <f>IFERROR(IF(O48&gt;0, P48/O48, 0),"-")</f>
        <v>0.14285714285714285</v>
      </c>
      <c r="S48" s="18">
        <v>21</v>
      </c>
      <c r="T48" s="18">
        <v>1</v>
      </c>
      <c r="U48" s="18">
        <v>4045</v>
      </c>
      <c r="V48" s="19" t="s">
        <v>959</v>
      </c>
      <c r="W48" s="19" t="s">
        <v>959</v>
      </c>
      <c r="X48" s="24">
        <f>RANK(F48,$F$19:$F$48,0)</f>
        <v>30</v>
      </c>
      <c r="Y48" s="3" t="str">
        <f>IF(OR(ISERROR(F48),F48="-",NOT(ISNUMBER(F48))),"● N/A",IF(ROUND(F48, 4) &gt;= ROUND($F$49, 4),"▲ Above Average","▼ Below Average"))</f>
        <v>▼ Below Average</v>
      </c>
    </row>
    <row r="49" spans="2:25" x14ac:dyDescent="0.2">
      <c r="B49" s="15" t="s">
        <v>953</v>
      </c>
      <c r="C49" s="16">
        <f>SUM(C19:C48)</f>
        <v>65331</v>
      </c>
      <c r="D49" s="16">
        <f>SUM(D19:D48)</f>
        <v>64000</v>
      </c>
      <c r="E49" s="16">
        <f>C49-D49</f>
        <v>1331</v>
      </c>
      <c r="F49" s="21">
        <f>IF(C49&gt;0, D49/C49, 0)</f>
        <v>0.97962682340695839</v>
      </c>
      <c r="G49" s="16">
        <f>SUM(G19:G48)</f>
        <v>517</v>
      </c>
      <c r="H49" s="16">
        <f>SUM(H19:H48)</f>
        <v>126</v>
      </c>
      <c r="I49" s="16">
        <f>G49-H49</f>
        <v>391</v>
      </c>
      <c r="J49" s="21">
        <f>IF(G49&gt;0, H49/G49, 0)</f>
        <v>0.2437137330754352</v>
      </c>
      <c r="K49" s="16">
        <f>SUM(K19:K48)</f>
        <v>266</v>
      </c>
      <c r="L49" s="16">
        <f>SUM(L19:L48)</f>
        <v>45</v>
      </c>
      <c r="M49" s="16">
        <f>K49-L49</f>
        <v>221</v>
      </c>
      <c r="N49" s="21">
        <f>IF(K49&gt;0, L49/K49, 0)</f>
        <v>0.16917293233082706</v>
      </c>
      <c r="O49" s="16">
        <f>SUM(O19:O48)</f>
        <v>202</v>
      </c>
      <c r="P49" s="16">
        <f>SUM(P19:P48)</f>
        <v>25</v>
      </c>
      <c r="Q49" s="16">
        <f>O49-P49</f>
        <v>177</v>
      </c>
      <c r="R49" s="21">
        <f>IF(O49&gt;0, P49/O49, 0)</f>
        <v>0.12376237623762376</v>
      </c>
      <c r="S49" s="16">
        <f>SUM(S19:S48)</f>
        <v>323</v>
      </c>
      <c r="T49" s="16">
        <f>SUM(T19:T48)</f>
        <v>21</v>
      </c>
      <c r="U49" s="16">
        <f>SUM(U19:U48)</f>
        <v>148945</v>
      </c>
      <c r="V49" s="16">
        <f>SUM(V19:V48)</f>
        <v>0</v>
      </c>
      <c r="W49" s="16">
        <f>SUM(W19:W48)</f>
        <v>0</v>
      </c>
      <c r="X49" s="25" t="s">
        <v>959</v>
      </c>
      <c r="Y49" s="25" t="s">
        <v>959</v>
      </c>
    </row>
    <row r="53" spans="2:25" x14ac:dyDescent="0.2">
      <c r="B53" s="2" t="s">
        <v>1784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2:25" x14ac:dyDescent="0.2">
      <c r="B54" s="6" t="s">
        <v>954</v>
      </c>
      <c r="C54" s="2" t="s">
        <v>968</v>
      </c>
      <c r="D54" s="2"/>
      <c r="E54" s="2"/>
      <c r="F54" s="2"/>
      <c r="G54" s="2" t="s">
        <v>969</v>
      </c>
      <c r="H54" s="2"/>
      <c r="I54" s="2"/>
      <c r="J54" s="2"/>
      <c r="K54" s="2" t="s">
        <v>970</v>
      </c>
      <c r="L54" s="2"/>
      <c r="M54" s="2"/>
      <c r="N54" s="2"/>
      <c r="O54" s="2" t="s">
        <v>960</v>
      </c>
      <c r="P54" s="2"/>
      <c r="Q54" s="2"/>
      <c r="R54" s="2"/>
      <c r="S54" s="2" t="s">
        <v>951</v>
      </c>
      <c r="T54" s="2"/>
      <c r="U54" s="2"/>
      <c r="V54" s="2"/>
      <c r="W54" s="2"/>
      <c r="X54" s="7" t="s">
        <v>971</v>
      </c>
      <c r="Y54" s="7"/>
    </row>
    <row r="55" spans="2:25" x14ac:dyDescent="0.2">
      <c r="B55" s="6"/>
      <c r="C55" s="8" t="s">
        <v>961</v>
      </c>
      <c r="D55" s="9" t="s">
        <v>972</v>
      </c>
      <c r="E55" s="8" t="s">
        <v>955</v>
      </c>
      <c r="F55" s="10" t="s">
        <v>956</v>
      </c>
      <c r="G55" s="8" t="s">
        <v>961</v>
      </c>
      <c r="H55" s="9" t="s">
        <v>972</v>
      </c>
      <c r="I55" s="8" t="s">
        <v>973</v>
      </c>
      <c r="J55" s="10" t="s">
        <v>956</v>
      </c>
      <c r="K55" s="8" t="s">
        <v>961</v>
      </c>
      <c r="L55" s="9" t="s">
        <v>972</v>
      </c>
      <c r="M55" s="8" t="s">
        <v>973</v>
      </c>
      <c r="N55" s="10" t="s">
        <v>956</v>
      </c>
      <c r="O55" s="8" t="s">
        <v>961</v>
      </c>
      <c r="P55" s="9" t="s">
        <v>972</v>
      </c>
      <c r="Q55" s="8" t="s">
        <v>973</v>
      </c>
      <c r="R55" s="10" t="s">
        <v>956</v>
      </c>
      <c r="S55" s="8" t="s">
        <v>961</v>
      </c>
      <c r="T55" s="2" t="s">
        <v>962</v>
      </c>
      <c r="U55" s="2"/>
      <c r="V55" s="2" t="s">
        <v>963</v>
      </c>
      <c r="W55" s="2"/>
      <c r="X55" s="22" t="s">
        <v>974</v>
      </c>
      <c r="Y55" s="23" t="s">
        <v>975</v>
      </c>
    </row>
    <row r="56" spans="2:25" x14ac:dyDescent="0.2">
      <c r="C56" s="8"/>
      <c r="D56" s="9"/>
      <c r="E56" s="8"/>
      <c r="F56" s="10"/>
      <c r="G56" s="8"/>
      <c r="H56" s="9"/>
      <c r="I56" s="8"/>
      <c r="J56" s="10"/>
      <c r="K56" s="8"/>
      <c r="L56" s="9"/>
      <c r="M56" s="8"/>
      <c r="N56" s="10"/>
      <c r="O56" s="8"/>
      <c r="P56" s="9"/>
      <c r="Q56" s="8"/>
      <c r="R56" s="10"/>
      <c r="S56" s="8"/>
      <c r="T56" s="11" t="s">
        <v>964</v>
      </c>
      <c r="U56" s="11" t="s">
        <v>965</v>
      </c>
      <c r="V56" s="11" t="s">
        <v>964</v>
      </c>
      <c r="W56" s="11" t="s">
        <v>965</v>
      </c>
      <c r="X56" s="12"/>
      <c r="Y56" s="13"/>
    </row>
    <row r="57" spans="2:25" x14ac:dyDescent="0.2">
      <c r="B57" s="17" t="s">
        <v>107</v>
      </c>
      <c r="C57" s="18">
        <v>315</v>
      </c>
      <c r="D57" s="19">
        <v>315</v>
      </c>
      <c r="E57" s="18">
        <f>IF(OR(D57="-",D57="",D57=0),IF(C57="-","-",C57),C57-D57)</f>
        <v>0</v>
      </c>
      <c r="F57" s="20">
        <f>IFERROR(IF(C57&gt;0, D57/C57, 0),"-")</f>
        <v>1</v>
      </c>
      <c r="G57" s="18">
        <v>1</v>
      </c>
      <c r="H57" s="19" t="s">
        <v>959</v>
      </c>
      <c r="I57" s="18">
        <f>IF(OR(H57="-",H57="",H57=0),IF(G57="-","-",G57),G57-H57)</f>
        <v>1</v>
      </c>
      <c r="J57" s="20" t="str">
        <f>IFERROR(IF(G57&gt;0, H57/G57, 0),"-")</f>
        <v>-</v>
      </c>
      <c r="K57" s="18" t="s">
        <v>959</v>
      </c>
      <c r="L57" s="19" t="s">
        <v>959</v>
      </c>
      <c r="M57" s="18" t="str">
        <f>IF(OR(L57="-",L57="",L57=0),IF(K57="-","-",K57),K57-L57)</f>
        <v>-</v>
      </c>
      <c r="N57" s="20" t="str">
        <f>IFERROR(IF(K57&gt;0, L57/K57, 0),"-")</f>
        <v>-</v>
      </c>
      <c r="O57" s="18" t="s">
        <v>959</v>
      </c>
      <c r="P57" s="19" t="s">
        <v>959</v>
      </c>
      <c r="Q57" s="18" t="str">
        <f>IF(OR(P57="-",P57="",P57=0),IF(O57="-","-",O57),O57-P57)</f>
        <v>-</v>
      </c>
      <c r="R57" s="20" t="str">
        <f>IFERROR(IF(O57&gt;0, P57/O57, 0),"-")</f>
        <v>-</v>
      </c>
      <c r="S57" s="18" t="s">
        <v>959</v>
      </c>
      <c r="T57" s="18" t="s">
        <v>959</v>
      </c>
      <c r="U57" s="18" t="s">
        <v>959</v>
      </c>
      <c r="V57" s="19" t="s">
        <v>959</v>
      </c>
      <c r="W57" s="19" t="s">
        <v>959</v>
      </c>
      <c r="X57" s="24">
        <f>RANK(F57,$F$57:$F$183,0)</f>
        <v>1</v>
      </c>
      <c r="Y57" s="3" t="str">
        <f>IF(OR(ISERROR(F57),F57="-",NOT(ISNUMBER(F57))),"● N/A",IF(ROUND(F57, 4) &gt;= ROUND($F$184, 4),"▲ Above Average","▼ Below Average"))</f>
        <v>▲ Above Average</v>
      </c>
    </row>
    <row r="58" spans="2:25" x14ac:dyDescent="0.2">
      <c r="B58" s="17" t="s">
        <v>113</v>
      </c>
      <c r="C58" s="18">
        <v>508</v>
      </c>
      <c r="D58" s="19">
        <v>508</v>
      </c>
      <c r="E58" s="18">
        <f>IF(OR(D58="-",D58="",D58=0),IF(C58="-","-",C58),C58-D58)</f>
        <v>0</v>
      </c>
      <c r="F58" s="20">
        <f>IFERROR(IF(C58&gt;0, D58/C58, 0),"-")</f>
        <v>1</v>
      </c>
      <c r="G58" s="18">
        <v>1</v>
      </c>
      <c r="H58" s="19" t="s">
        <v>959</v>
      </c>
      <c r="I58" s="18">
        <f>IF(OR(H58="-",H58="",H58=0),IF(G58="-","-",G58),G58-H58)</f>
        <v>1</v>
      </c>
      <c r="J58" s="20" t="str">
        <f>IFERROR(IF(G58&gt;0, H58/G58, 0),"-")</f>
        <v>-</v>
      </c>
      <c r="K58" s="18" t="s">
        <v>959</v>
      </c>
      <c r="L58" s="19" t="s">
        <v>959</v>
      </c>
      <c r="M58" s="18" t="str">
        <f>IF(OR(L58="-",L58="",L58=0),IF(K58="-","-",K58),K58-L58)</f>
        <v>-</v>
      </c>
      <c r="N58" s="20" t="str">
        <f>IFERROR(IF(K58&gt;0, L58/K58, 0),"-")</f>
        <v>-</v>
      </c>
      <c r="O58" s="18" t="s">
        <v>959</v>
      </c>
      <c r="P58" s="19" t="s">
        <v>959</v>
      </c>
      <c r="Q58" s="18" t="str">
        <f>IF(OR(P58="-",P58="",P58=0),IF(O58="-","-",O58),O58-P58)</f>
        <v>-</v>
      </c>
      <c r="R58" s="20" t="str">
        <f>IFERROR(IF(O58&gt;0, P58/O58, 0),"-")</f>
        <v>-</v>
      </c>
      <c r="S58" s="18" t="s">
        <v>959</v>
      </c>
      <c r="T58" s="18" t="s">
        <v>959</v>
      </c>
      <c r="U58" s="18" t="s">
        <v>959</v>
      </c>
      <c r="V58" s="19" t="s">
        <v>959</v>
      </c>
      <c r="W58" s="19" t="s">
        <v>959</v>
      </c>
      <c r="X58" s="24">
        <f>RANK(F58,$F$57:$F$183,0)</f>
        <v>1</v>
      </c>
      <c r="Y58" s="3" t="str">
        <f>IF(OR(ISERROR(F58),F58="-",NOT(ISNUMBER(F58))),"● N/A",IF(ROUND(F58, 4) &gt;= ROUND($F$184, 4),"▲ Above Average","▼ Below Average"))</f>
        <v>▲ Above Average</v>
      </c>
    </row>
    <row r="59" spans="2:25" x14ac:dyDescent="0.2">
      <c r="B59" s="17" t="s">
        <v>130</v>
      </c>
      <c r="C59" s="18">
        <v>644</v>
      </c>
      <c r="D59" s="19">
        <v>643</v>
      </c>
      <c r="E59" s="18">
        <f>IF(OR(D59="-",D59="",D59=0),IF(C59="-","-",C59),C59-D59)</f>
        <v>1</v>
      </c>
      <c r="F59" s="20">
        <f>IFERROR(IF(C59&gt;0, D59/C59, 0),"-")</f>
        <v>0.99844720496894412</v>
      </c>
      <c r="G59" s="18">
        <v>6</v>
      </c>
      <c r="H59" s="19">
        <v>3</v>
      </c>
      <c r="I59" s="18">
        <f>IF(OR(H59="-",H59="",H59=0),IF(G59="-","-",G59),G59-H59)</f>
        <v>3</v>
      </c>
      <c r="J59" s="20">
        <f>IFERROR(IF(G59&gt;0, H59/G59, 0),"-")</f>
        <v>0.5</v>
      </c>
      <c r="K59" s="18" t="s">
        <v>959</v>
      </c>
      <c r="L59" s="19" t="s">
        <v>959</v>
      </c>
      <c r="M59" s="18" t="str">
        <f>IF(OR(L59="-",L59="",L59=0),IF(K59="-","-",K59),K59-L59)</f>
        <v>-</v>
      </c>
      <c r="N59" s="20" t="str">
        <f>IFERROR(IF(K59&gt;0, L59/K59, 0),"-")</f>
        <v>-</v>
      </c>
      <c r="O59" s="18" t="s">
        <v>959</v>
      </c>
      <c r="P59" s="19" t="s">
        <v>959</v>
      </c>
      <c r="Q59" s="18" t="str">
        <f>IF(OR(P59="-",P59="",P59=0),IF(O59="-","-",O59),O59-P59)</f>
        <v>-</v>
      </c>
      <c r="R59" s="20" t="str">
        <f>IFERROR(IF(O59&gt;0, P59/O59, 0),"-")</f>
        <v>-</v>
      </c>
      <c r="S59" s="18">
        <v>1</v>
      </c>
      <c r="T59" s="18" t="s">
        <v>959</v>
      </c>
      <c r="U59" s="18" t="s">
        <v>959</v>
      </c>
      <c r="V59" s="19" t="s">
        <v>959</v>
      </c>
      <c r="W59" s="19" t="s">
        <v>959</v>
      </c>
      <c r="X59" s="24">
        <f>RANK(F59,$F$57:$F$183,0)</f>
        <v>3</v>
      </c>
      <c r="Y59" s="3" t="str">
        <f>IF(OR(ISERROR(F59),F59="-",NOT(ISNUMBER(F59))),"● N/A",IF(ROUND(F59, 4) &gt;= ROUND($F$184, 4),"▲ Above Average","▼ Below Average"))</f>
        <v>▲ Above Average</v>
      </c>
    </row>
    <row r="60" spans="2:25" x14ac:dyDescent="0.2">
      <c r="B60" s="17" t="s">
        <v>38</v>
      </c>
      <c r="C60" s="18">
        <v>474</v>
      </c>
      <c r="D60" s="19">
        <v>473</v>
      </c>
      <c r="E60" s="18">
        <f>IF(OR(D60="-",D60="",D60=0),IF(C60="-","-",C60),C60-D60)</f>
        <v>1</v>
      </c>
      <c r="F60" s="20">
        <f>IFERROR(IF(C60&gt;0, D60/C60, 0),"-")</f>
        <v>0.99789029535864981</v>
      </c>
      <c r="G60" s="18" t="s">
        <v>959</v>
      </c>
      <c r="H60" s="19" t="s">
        <v>959</v>
      </c>
      <c r="I60" s="18" t="str">
        <f>IF(OR(H60="-",H60="",H60=0),IF(G60="-","-",G60),G60-H60)</f>
        <v>-</v>
      </c>
      <c r="J60" s="20" t="str">
        <f>IFERROR(IF(G60&gt;0, H60/G60, 0),"-")</f>
        <v>-</v>
      </c>
      <c r="K60" s="18" t="s">
        <v>959</v>
      </c>
      <c r="L60" s="19" t="s">
        <v>959</v>
      </c>
      <c r="M60" s="18" t="str">
        <f>IF(OR(L60="-",L60="",L60=0),IF(K60="-","-",K60),K60-L60)</f>
        <v>-</v>
      </c>
      <c r="N60" s="20" t="str">
        <f>IFERROR(IF(K60&gt;0, L60/K60, 0),"-")</f>
        <v>-</v>
      </c>
      <c r="O60" s="18">
        <v>1</v>
      </c>
      <c r="P60" s="19">
        <v>1</v>
      </c>
      <c r="Q60" s="18">
        <f>IF(OR(P60="-",P60="",P60=0),IF(O60="-","-",O60),O60-P60)</f>
        <v>0</v>
      </c>
      <c r="R60" s="20">
        <f>IFERROR(IF(O60&gt;0, P60/O60, 0),"-")</f>
        <v>1</v>
      </c>
      <c r="S60" s="18" t="s">
        <v>959</v>
      </c>
      <c r="T60" s="18" t="s">
        <v>959</v>
      </c>
      <c r="U60" s="18" t="s">
        <v>959</v>
      </c>
      <c r="V60" s="19" t="s">
        <v>959</v>
      </c>
      <c r="W60" s="19" t="s">
        <v>959</v>
      </c>
      <c r="X60" s="24">
        <f>RANK(F60,$F$57:$F$183,0)</f>
        <v>4</v>
      </c>
      <c r="Y60" s="3" t="str">
        <f>IF(OR(ISERROR(F60),F60="-",NOT(ISNUMBER(F60))),"● N/A",IF(ROUND(F60, 4) &gt;= ROUND($F$184, 4),"▲ Above Average","▼ Below Average"))</f>
        <v>▲ Above Average</v>
      </c>
    </row>
    <row r="61" spans="2:25" x14ac:dyDescent="0.2">
      <c r="B61" s="17" t="s">
        <v>50</v>
      </c>
      <c r="C61" s="18">
        <v>469</v>
      </c>
      <c r="D61" s="19">
        <v>468</v>
      </c>
      <c r="E61" s="18">
        <f>IF(OR(D61="-",D61="",D61=0),IF(C61="-","-",C61),C61-D61)</f>
        <v>1</v>
      </c>
      <c r="F61" s="20">
        <f>IFERROR(IF(C61&gt;0, D61/C61, 0),"-")</f>
        <v>0.99786780383795304</v>
      </c>
      <c r="G61" s="18">
        <v>1</v>
      </c>
      <c r="H61" s="19">
        <v>1</v>
      </c>
      <c r="I61" s="18">
        <f>IF(OR(H61="-",H61="",H61=0),IF(G61="-","-",G61),G61-H61)</f>
        <v>0</v>
      </c>
      <c r="J61" s="20">
        <f>IFERROR(IF(G61&gt;0, H61/G61, 0),"-")</f>
        <v>1</v>
      </c>
      <c r="K61" s="18">
        <v>3</v>
      </c>
      <c r="L61" s="19" t="s">
        <v>959</v>
      </c>
      <c r="M61" s="18">
        <f>IF(OR(L61="-",L61="",L61=0),IF(K61="-","-",K61),K61-L61)</f>
        <v>3</v>
      </c>
      <c r="N61" s="20" t="str">
        <f>IFERROR(IF(K61&gt;0, L61/K61, 0),"-")</f>
        <v>-</v>
      </c>
      <c r="O61" s="18" t="s">
        <v>959</v>
      </c>
      <c r="P61" s="19" t="s">
        <v>959</v>
      </c>
      <c r="Q61" s="18" t="str">
        <f>IF(OR(P61="-",P61="",P61=0),IF(O61="-","-",O61),O61-P61)</f>
        <v>-</v>
      </c>
      <c r="R61" s="20" t="str">
        <f>IFERROR(IF(O61&gt;0, P61/O61, 0),"-")</f>
        <v>-</v>
      </c>
      <c r="S61" s="18">
        <v>4</v>
      </c>
      <c r="T61" s="18" t="s">
        <v>959</v>
      </c>
      <c r="U61" s="18" t="s">
        <v>959</v>
      </c>
      <c r="V61" s="19" t="s">
        <v>959</v>
      </c>
      <c r="W61" s="19" t="s">
        <v>959</v>
      </c>
      <c r="X61" s="24">
        <f>RANK(F61,$F$57:$F$183,0)</f>
        <v>5</v>
      </c>
      <c r="Y61" s="3" t="str">
        <f>IF(OR(ISERROR(F61),F61="-",NOT(ISNUMBER(F61))),"● N/A",IF(ROUND(F61, 4) &gt;= ROUND($F$184, 4),"▲ Above Average","▼ Below Average"))</f>
        <v>▲ Above Average</v>
      </c>
    </row>
    <row r="62" spans="2:25" x14ac:dyDescent="0.2">
      <c r="B62" s="17" t="s">
        <v>100</v>
      </c>
      <c r="C62" s="18">
        <v>313</v>
      </c>
      <c r="D62" s="19">
        <v>312</v>
      </c>
      <c r="E62" s="18">
        <f>IF(OR(D62="-",D62="",D62=0),IF(C62="-","-",C62),C62-D62)</f>
        <v>1</v>
      </c>
      <c r="F62" s="20">
        <f>IFERROR(IF(C62&gt;0, D62/C62, 0),"-")</f>
        <v>0.99680511182108622</v>
      </c>
      <c r="G62" s="18" t="s">
        <v>959</v>
      </c>
      <c r="H62" s="19" t="s">
        <v>959</v>
      </c>
      <c r="I62" s="18" t="str">
        <f>IF(OR(H62="-",H62="",H62=0),IF(G62="-","-",G62),G62-H62)</f>
        <v>-</v>
      </c>
      <c r="J62" s="20" t="str">
        <f>IFERROR(IF(G62&gt;0, H62/G62, 0),"-")</f>
        <v>-</v>
      </c>
      <c r="K62" s="18" t="s">
        <v>959</v>
      </c>
      <c r="L62" s="19" t="s">
        <v>959</v>
      </c>
      <c r="M62" s="18" t="str">
        <f>IF(OR(L62="-",L62="",L62=0),IF(K62="-","-",K62),K62-L62)</f>
        <v>-</v>
      </c>
      <c r="N62" s="20" t="str">
        <f>IFERROR(IF(K62&gt;0, L62/K62, 0),"-")</f>
        <v>-</v>
      </c>
      <c r="O62" s="18" t="s">
        <v>959</v>
      </c>
      <c r="P62" s="19" t="s">
        <v>959</v>
      </c>
      <c r="Q62" s="18" t="str">
        <f>IF(OR(P62="-",P62="",P62=0),IF(O62="-","-",O62),O62-P62)</f>
        <v>-</v>
      </c>
      <c r="R62" s="20" t="str">
        <f>IFERROR(IF(O62&gt;0, P62/O62, 0),"-")</f>
        <v>-</v>
      </c>
      <c r="S62" s="18" t="s">
        <v>959</v>
      </c>
      <c r="T62" s="18" t="s">
        <v>959</v>
      </c>
      <c r="U62" s="18" t="s">
        <v>959</v>
      </c>
      <c r="V62" s="19" t="s">
        <v>959</v>
      </c>
      <c r="W62" s="19" t="s">
        <v>959</v>
      </c>
      <c r="X62" s="24">
        <f>RANK(F62,$F$57:$F$183,0)</f>
        <v>6</v>
      </c>
      <c r="Y62" s="3" t="str">
        <f>IF(OR(ISERROR(F62),F62="-",NOT(ISNUMBER(F62))),"● N/A",IF(ROUND(F62, 4) &gt;= ROUND($F$184, 4),"▲ Above Average","▼ Below Average"))</f>
        <v>▲ Above Average</v>
      </c>
    </row>
    <row r="63" spans="2:25" x14ac:dyDescent="0.2">
      <c r="B63" s="17" t="s">
        <v>34</v>
      </c>
      <c r="C63" s="18">
        <v>274</v>
      </c>
      <c r="D63" s="19">
        <v>273</v>
      </c>
      <c r="E63" s="18">
        <f>IF(OR(D63="-",D63="",D63=0),IF(C63="-","-",C63),C63-D63)</f>
        <v>1</v>
      </c>
      <c r="F63" s="20">
        <f>IFERROR(IF(C63&gt;0, D63/C63, 0),"-")</f>
        <v>0.9963503649635036</v>
      </c>
      <c r="G63" s="18">
        <v>1</v>
      </c>
      <c r="H63" s="19" t="s">
        <v>959</v>
      </c>
      <c r="I63" s="18">
        <f>IF(OR(H63="-",H63="",H63=0),IF(G63="-","-",G63),G63-H63)</f>
        <v>1</v>
      </c>
      <c r="J63" s="20" t="str">
        <f>IFERROR(IF(G63&gt;0, H63/G63, 0),"-")</f>
        <v>-</v>
      </c>
      <c r="K63" s="18">
        <v>1</v>
      </c>
      <c r="L63" s="19" t="s">
        <v>959</v>
      </c>
      <c r="M63" s="18">
        <f>IF(OR(L63="-",L63="",L63=0),IF(K63="-","-",K63),K63-L63)</f>
        <v>1</v>
      </c>
      <c r="N63" s="20" t="str">
        <f>IFERROR(IF(K63&gt;0, L63/K63, 0),"-")</f>
        <v>-</v>
      </c>
      <c r="O63" s="18" t="s">
        <v>959</v>
      </c>
      <c r="P63" s="19" t="s">
        <v>959</v>
      </c>
      <c r="Q63" s="18" t="str">
        <f>IF(OR(P63="-",P63="",P63=0),IF(O63="-","-",O63),O63-P63)</f>
        <v>-</v>
      </c>
      <c r="R63" s="20" t="str">
        <f>IFERROR(IF(O63&gt;0, P63/O63, 0),"-")</f>
        <v>-</v>
      </c>
      <c r="S63" s="18" t="s">
        <v>959</v>
      </c>
      <c r="T63" s="18" t="s">
        <v>959</v>
      </c>
      <c r="U63" s="18" t="s">
        <v>959</v>
      </c>
      <c r="V63" s="19" t="s">
        <v>959</v>
      </c>
      <c r="W63" s="19" t="s">
        <v>959</v>
      </c>
      <c r="X63" s="24">
        <f>RANK(F63,$F$57:$F$183,0)</f>
        <v>7</v>
      </c>
      <c r="Y63" s="3" t="str">
        <f>IF(OR(ISERROR(F63),F63="-",NOT(ISNUMBER(F63))),"● N/A",IF(ROUND(F63, 4) &gt;= ROUND($F$184, 4),"▲ Above Average","▼ Below Average"))</f>
        <v>▲ Above Average</v>
      </c>
    </row>
    <row r="64" spans="2:25" x14ac:dyDescent="0.2">
      <c r="B64" s="17" t="s">
        <v>126</v>
      </c>
      <c r="C64" s="18">
        <v>267</v>
      </c>
      <c r="D64" s="19">
        <v>266</v>
      </c>
      <c r="E64" s="18">
        <f>IF(OR(D64="-",D64="",D64=0),IF(C64="-","-",C64),C64-D64)</f>
        <v>1</v>
      </c>
      <c r="F64" s="20">
        <f>IFERROR(IF(C64&gt;0, D64/C64, 0),"-")</f>
        <v>0.99625468164794007</v>
      </c>
      <c r="G64" s="18" t="s">
        <v>959</v>
      </c>
      <c r="H64" s="19" t="s">
        <v>959</v>
      </c>
      <c r="I64" s="18" t="str">
        <f>IF(OR(H64="-",H64="",H64=0),IF(G64="-","-",G64),G64-H64)</f>
        <v>-</v>
      </c>
      <c r="J64" s="20" t="str">
        <f>IFERROR(IF(G64&gt;0, H64/G64, 0),"-")</f>
        <v>-</v>
      </c>
      <c r="K64" s="18" t="s">
        <v>959</v>
      </c>
      <c r="L64" s="19" t="s">
        <v>959</v>
      </c>
      <c r="M64" s="18" t="str">
        <f>IF(OR(L64="-",L64="",L64=0),IF(K64="-","-",K64),K64-L64)</f>
        <v>-</v>
      </c>
      <c r="N64" s="20" t="str">
        <f>IFERROR(IF(K64&gt;0, L64/K64, 0),"-")</f>
        <v>-</v>
      </c>
      <c r="O64" s="18">
        <v>1</v>
      </c>
      <c r="P64" s="19" t="s">
        <v>959</v>
      </c>
      <c r="Q64" s="18">
        <f>IF(OR(P64="-",P64="",P64=0),IF(O64="-","-",O64),O64-P64)</f>
        <v>1</v>
      </c>
      <c r="R64" s="20" t="str">
        <f>IFERROR(IF(O64&gt;0, P64/O64, 0),"-")</f>
        <v>-</v>
      </c>
      <c r="S64" s="18" t="s">
        <v>959</v>
      </c>
      <c r="T64" s="18" t="s">
        <v>959</v>
      </c>
      <c r="U64" s="18" t="s">
        <v>959</v>
      </c>
      <c r="V64" s="19" t="s">
        <v>959</v>
      </c>
      <c r="W64" s="19" t="s">
        <v>959</v>
      </c>
      <c r="X64" s="24">
        <f>RANK(F64,$F$57:$F$183,0)</f>
        <v>8</v>
      </c>
      <c r="Y64" s="3" t="str">
        <f>IF(OR(ISERROR(F64),F64="-",NOT(ISNUMBER(F64))),"● N/A",IF(ROUND(F64, 4) &gt;= ROUND($F$184, 4),"▲ Above Average","▼ Below Average"))</f>
        <v>▲ Above Average</v>
      </c>
    </row>
    <row r="65" spans="2:25" x14ac:dyDescent="0.2">
      <c r="B65" s="17" t="s">
        <v>51</v>
      </c>
      <c r="C65" s="18">
        <v>531</v>
      </c>
      <c r="D65" s="19">
        <v>529</v>
      </c>
      <c r="E65" s="18">
        <f>IF(OR(D65="-",D65="",D65=0),IF(C65="-","-",C65),C65-D65)</f>
        <v>2</v>
      </c>
      <c r="F65" s="20">
        <f>IFERROR(IF(C65&gt;0, D65/C65, 0),"-")</f>
        <v>0.99623352165725043</v>
      </c>
      <c r="G65" s="18">
        <v>5</v>
      </c>
      <c r="H65" s="19">
        <v>2</v>
      </c>
      <c r="I65" s="18">
        <f>IF(OR(H65="-",H65="",H65=0),IF(G65="-","-",G65),G65-H65)</f>
        <v>3</v>
      </c>
      <c r="J65" s="20">
        <f>IFERROR(IF(G65&gt;0, H65/G65, 0),"-")</f>
        <v>0.4</v>
      </c>
      <c r="K65" s="18">
        <v>4</v>
      </c>
      <c r="L65" s="19" t="s">
        <v>959</v>
      </c>
      <c r="M65" s="18">
        <f>IF(OR(L65="-",L65="",L65=0),IF(K65="-","-",K65),K65-L65)</f>
        <v>4</v>
      </c>
      <c r="N65" s="20" t="str">
        <f>IFERROR(IF(K65&gt;0, L65/K65, 0),"-")</f>
        <v>-</v>
      </c>
      <c r="O65" s="18">
        <v>2</v>
      </c>
      <c r="P65" s="19">
        <v>1</v>
      </c>
      <c r="Q65" s="18">
        <f>IF(OR(P65="-",P65="",P65=0),IF(O65="-","-",O65),O65-P65)</f>
        <v>1</v>
      </c>
      <c r="R65" s="20">
        <f>IFERROR(IF(O65&gt;0, P65/O65, 0),"-")</f>
        <v>0.5</v>
      </c>
      <c r="S65" s="18" t="s">
        <v>959</v>
      </c>
      <c r="T65" s="18" t="s">
        <v>959</v>
      </c>
      <c r="U65" s="18" t="s">
        <v>959</v>
      </c>
      <c r="V65" s="19" t="s">
        <v>959</v>
      </c>
      <c r="W65" s="19" t="s">
        <v>959</v>
      </c>
      <c r="X65" s="24">
        <f>RANK(F65,$F$57:$F$183,0)</f>
        <v>9</v>
      </c>
      <c r="Y65" s="3" t="str">
        <f>IF(OR(ISERROR(F65),F65="-",NOT(ISNUMBER(F65))),"● N/A",IF(ROUND(F65, 4) &gt;= ROUND($F$184, 4),"▲ Above Average","▼ Below Average"))</f>
        <v>▲ Above Average</v>
      </c>
    </row>
    <row r="66" spans="2:25" x14ac:dyDescent="0.2">
      <c r="B66" s="17" t="s">
        <v>115</v>
      </c>
      <c r="C66" s="18">
        <v>483</v>
      </c>
      <c r="D66" s="19">
        <v>481</v>
      </c>
      <c r="E66" s="18">
        <f>IF(OR(D66="-",D66="",D66=0),IF(C66="-","-",C66),C66-D66)</f>
        <v>2</v>
      </c>
      <c r="F66" s="20">
        <f>IFERROR(IF(C66&gt;0, D66/C66, 0),"-")</f>
        <v>0.99585921325051763</v>
      </c>
      <c r="G66" s="18" t="s">
        <v>959</v>
      </c>
      <c r="H66" s="19" t="s">
        <v>959</v>
      </c>
      <c r="I66" s="18" t="str">
        <f>IF(OR(H66="-",H66="",H66=0),IF(G66="-","-",G66),G66-H66)</f>
        <v>-</v>
      </c>
      <c r="J66" s="20" t="str">
        <f>IFERROR(IF(G66&gt;0, H66/G66, 0),"-")</f>
        <v>-</v>
      </c>
      <c r="K66" s="18" t="s">
        <v>959</v>
      </c>
      <c r="L66" s="19" t="s">
        <v>959</v>
      </c>
      <c r="M66" s="18" t="str">
        <f>IF(OR(L66="-",L66="",L66=0),IF(K66="-","-",K66),K66-L66)</f>
        <v>-</v>
      </c>
      <c r="N66" s="20" t="str">
        <f>IFERROR(IF(K66&gt;0, L66/K66, 0),"-")</f>
        <v>-</v>
      </c>
      <c r="O66" s="18" t="s">
        <v>959</v>
      </c>
      <c r="P66" s="19" t="s">
        <v>959</v>
      </c>
      <c r="Q66" s="18" t="str">
        <f>IF(OR(P66="-",P66="",P66=0),IF(O66="-","-",O66),O66-P66)</f>
        <v>-</v>
      </c>
      <c r="R66" s="20" t="str">
        <f>IFERROR(IF(O66&gt;0, P66/O66, 0),"-")</f>
        <v>-</v>
      </c>
      <c r="S66" s="18" t="s">
        <v>959</v>
      </c>
      <c r="T66" s="18" t="s">
        <v>959</v>
      </c>
      <c r="U66" s="18" t="s">
        <v>959</v>
      </c>
      <c r="V66" s="19" t="s">
        <v>959</v>
      </c>
      <c r="W66" s="19" t="s">
        <v>959</v>
      </c>
      <c r="X66" s="24">
        <f>RANK(F66,$F$57:$F$183,0)</f>
        <v>10</v>
      </c>
      <c r="Y66" s="3" t="str">
        <f>IF(OR(ISERROR(F66),F66="-",NOT(ISNUMBER(F66))),"● N/A",IF(ROUND(F66, 4) &gt;= ROUND($F$184, 4),"▲ Above Average","▼ Below Average"))</f>
        <v>▲ Above Average</v>
      </c>
    </row>
    <row r="67" spans="2:25" x14ac:dyDescent="0.2">
      <c r="B67" s="17" t="s">
        <v>73</v>
      </c>
      <c r="C67" s="18">
        <v>462</v>
      </c>
      <c r="D67" s="19">
        <v>460</v>
      </c>
      <c r="E67" s="18">
        <f>IF(OR(D67="-",D67="",D67=0),IF(C67="-","-",C67),C67-D67)</f>
        <v>2</v>
      </c>
      <c r="F67" s="20">
        <f>IFERROR(IF(C67&gt;0, D67/C67, 0),"-")</f>
        <v>0.99567099567099571</v>
      </c>
      <c r="G67" s="18" t="s">
        <v>959</v>
      </c>
      <c r="H67" s="19" t="s">
        <v>959</v>
      </c>
      <c r="I67" s="18" t="str">
        <f>IF(OR(H67="-",H67="",H67=0),IF(G67="-","-",G67),G67-H67)</f>
        <v>-</v>
      </c>
      <c r="J67" s="20" t="str">
        <f>IFERROR(IF(G67&gt;0, H67/G67, 0),"-")</f>
        <v>-</v>
      </c>
      <c r="K67" s="18" t="s">
        <v>959</v>
      </c>
      <c r="L67" s="19" t="s">
        <v>959</v>
      </c>
      <c r="M67" s="18" t="str">
        <f>IF(OR(L67="-",L67="",L67=0),IF(K67="-","-",K67),K67-L67)</f>
        <v>-</v>
      </c>
      <c r="N67" s="20" t="str">
        <f>IFERROR(IF(K67&gt;0, L67/K67, 0),"-")</f>
        <v>-</v>
      </c>
      <c r="O67" s="18">
        <v>2</v>
      </c>
      <c r="P67" s="19">
        <v>1</v>
      </c>
      <c r="Q67" s="18">
        <f>IF(OR(P67="-",P67="",P67=0),IF(O67="-","-",O67),O67-P67)</f>
        <v>1</v>
      </c>
      <c r="R67" s="20">
        <f>IFERROR(IF(O67&gt;0, P67/O67, 0),"-")</f>
        <v>0.5</v>
      </c>
      <c r="S67" s="18">
        <v>6</v>
      </c>
      <c r="T67" s="18">
        <v>1</v>
      </c>
      <c r="U67" s="18">
        <v>2000</v>
      </c>
      <c r="V67" s="19" t="s">
        <v>959</v>
      </c>
      <c r="W67" s="19" t="s">
        <v>959</v>
      </c>
      <c r="X67" s="24">
        <f>RANK(F67,$F$57:$F$183,0)</f>
        <v>11</v>
      </c>
      <c r="Y67" s="3" t="str">
        <f>IF(OR(ISERROR(F67),F67="-",NOT(ISNUMBER(F67))),"● N/A",IF(ROUND(F67, 4) &gt;= ROUND($F$184, 4),"▲ Above Average","▼ Below Average"))</f>
        <v>▲ Above Average</v>
      </c>
    </row>
    <row r="68" spans="2:25" x14ac:dyDescent="0.2">
      <c r="B68" s="17" t="s">
        <v>25</v>
      </c>
      <c r="C68" s="18">
        <v>419</v>
      </c>
      <c r="D68" s="19">
        <v>417</v>
      </c>
      <c r="E68" s="18">
        <f>IF(OR(D68="-",D68="",D68=0),IF(C68="-","-",C68),C68-D68)</f>
        <v>2</v>
      </c>
      <c r="F68" s="20">
        <f>IFERROR(IF(C68&gt;0, D68/C68, 0),"-")</f>
        <v>0.99522673031026254</v>
      </c>
      <c r="G68" s="18" t="s">
        <v>959</v>
      </c>
      <c r="H68" s="19" t="s">
        <v>959</v>
      </c>
      <c r="I68" s="18" t="str">
        <f>IF(OR(H68="-",H68="",H68=0),IF(G68="-","-",G68),G68-H68)</f>
        <v>-</v>
      </c>
      <c r="J68" s="20" t="str">
        <f>IFERROR(IF(G68&gt;0, H68/G68, 0),"-")</f>
        <v>-</v>
      </c>
      <c r="K68" s="18">
        <v>1</v>
      </c>
      <c r="L68" s="19">
        <v>1</v>
      </c>
      <c r="M68" s="18">
        <f>IF(OR(L68="-",L68="",L68=0),IF(K68="-","-",K68),K68-L68)</f>
        <v>0</v>
      </c>
      <c r="N68" s="20">
        <f>IFERROR(IF(K68&gt;0, L68/K68, 0),"-")</f>
        <v>1</v>
      </c>
      <c r="O68" s="18" t="s">
        <v>959</v>
      </c>
      <c r="P68" s="19" t="s">
        <v>959</v>
      </c>
      <c r="Q68" s="18" t="str">
        <f>IF(OR(P68="-",P68="",P68=0),IF(O68="-","-",O68),O68-P68)</f>
        <v>-</v>
      </c>
      <c r="R68" s="20" t="str">
        <f>IFERROR(IF(O68&gt;0, P68/O68, 0),"-")</f>
        <v>-</v>
      </c>
      <c r="S68" s="18">
        <v>1</v>
      </c>
      <c r="T68" s="18" t="s">
        <v>959</v>
      </c>
      <c r="U68" s="18" t="s">
        <v>959</v>
      </c>
      <c r="V68" s="19" t="s">
        <v>959</v>
      </c>
      <c r="W68" s="19" t="s">
        <v>959</v>
      </c>
      <c r="X68" s="24">
        <f>RANK(F68,$F$57:$F$183,0)</f>
        <v>12</v>
      </c>
      <c r="Y68" s="3" t="str">
        <f>IF(OR(ISERROR(F68),F68="-",NOT(ISNUMBER(F68))),"● N/A",IF(ROUND(F68, 4) &gt;= ROUND($F$184, 4),"▲ Above Average","▼ Below Average"))</f>
        <v>▲ Above Average</v>
      </c>
    </row>
    <row r="69" spans="2:25" x14ac:dyDescent="0.2">
      <c r="B69" s="17" t="s">
        <v>123</v>
      </c>
      <c r="C69" s="18">
        <v>384</v>
      </c>
      <c r="D69" s="19">
        <v>382</v>
      </c>
      <c r="E69" s="18">
        <f>IF(OR(D69="-",D69="",D69=0),IF(C69="-","-",C69),C69-D69)</f>
        <v>2</v>
      </c>
      <c r="F69" s="20">
        <f>IFERROR(IF(C69&gt;0, D69/C69, 0),"-")</f>
        <v>0.99479166666666663</v>
      </c>
      <c r="G69" s="18" t="s">
        <v>959</v>
      </c>
      <c r="H69" s="19" t="s">
        <v>959</v>
      </c>
      <c r="I69" s="18" t="str">
        <f>IF(OR(H69="-",H69="",H69=0),IF(G69="-","-",G69),G69-H69)</f>
        <v>-</v>
      </c>
      <c r="J69" s="20" t="str">
        <f>IFERROR(IF(G69&gt;0, H69/G69, 0),"-")</f>
        <v>-</v>
      </c>
      <c r="K69" s="18">
        <v>1</v>
      </c>
      <c r="L69" s="19">
        <v>1</v>
      </c>
      <c r="M69" s="18">
        <f>IF(OR(L69="-",L69="",L69=0),IF(K69="-","-",K69),K69-L69)</f>
        <v>0</v>
      </c>
      <c r="N69" s="20">
        <f>IFERROR(IF(K69&gt;0, L69/K69, 0),"-")</f>
        <v>1</v>
      </c>
      <c r="O69" s="18">
        <v>3</v>
      </c>
      <c r="P69" s="19" t="s">
        <v>959</v>
      </c>
      <c r="Q69" s="18">
        <f>IF(OR(P69="-",P69="",P69=0),IF(O69="-","-",O69),O69-P69)</f>
        <v>3</v>
      </c>
      <c r="R69" s="20" t="str">
        <f>IFERROR(IF(O69&gt;0, P69/O69, 0),"-")</f>
        <v>-</v>
      </c>
      <c r="S69" s="18">
        <v>1</v>
      </c>
      <c r="T69" s="18" t="s">
        <v>959</v>
      </c>
      <c r="U69" s="18" t="s">
        <v>959</v>
      </c>
      <c r="V69" s="19" t="s">
        <v>959</v>
      </c>
      <c r="W69" s="19" t="s">
        <v>959</v>
      </c>
      <c r="X69" s="24">
        <f>RANK(F69,$F$57:$F$183,0)</f>
        <v>13</v>
      </c>
      <c r="Y69" s="3" t="str">
        <f>IF(OR(ISERROR(F69),F69="-",NOT(ISNUMBER(F69))),"● N/A",IF(ROUND(F69, 4) &gt;= ROUND($F$184, 4),"▲ Above Average","▼ Below Average"))</f>
        <v>▲ Above Average</v>
      </c>
    </row>
    <row r="70" spans="2:25" x14ac:dyDescent="0.2">
      <c r="B70" s="17" t="s">
        <v>109</v>
      </c>
      <c r="C70" s="18">
        <v>383</v>
      </c>
      <c r="D70" s="19">
        <v>381</v>
      </c>
      <c r="E70" s="18">
        <f>IF(OR(D70="-",D70="",D70=0),IF(C70="-","-",C70),C70-D70)</f>
        <v>2</v>
      </c>
      <c r="F70" s="20">
        <f>IFERROR(IF(C70&gt;0, D70/C70, 0),"-")</f>
        <v>0.99477806788511747</v>
      </c>
      <c r="G70" s="18">
        <v>3</v>
      </c>
      <c r="H70" s="19" t="s">
        <v>959</v>
      </c>
      <c r="I70" s="18">
        <f>IF(OR(H70="-",H70="",H70=0),IF(G70="-","-",G70),G70-H70)</f>
        <v>3</v>
      </c>
      <c r="J70" s="20" t="str">
        <f>IFERROR(IF(G70&gt;0, H70/G70, 0),"-")</f>
        <v>-</v>
      </c>
      <c r="K70" s="18" t="s">
        <v>959</v>
      </c>
      <c r="L70" s="19" t="s">
        <v>959</v>
      </c>
      <c r="M70" s="18" t="str">
        <f>IF(OR(L70="-",L70="",L70=0),IF(K70="-","-",K70),K70-L70)</f>
        <v>-</v>
      </c>
      <c r="N70" s="20" t="str">
        <f>IFERROR(IF(K70&gt;0, L70/K70, 0),"-")</f>
        <v>-</v>
      </c>
      <c r="O70" s="18">
        <v>2</v>
      </c>
      <c r="P70" s="19" t="s">
        <v>959</v>
      </c>
      <c r="Q70" s="18">
        <f>IF(OR(P70="-",P70="",P70=0),IF(O70="-","-",O70),O70-P70)</f>
        <v>2</v>
      </c>
      <c r="R70" s="20" t="str">
        <f>IFERROR(IF(O70&gt;0, P70/O70, 0),"-")</f>
        <v>-</v>
      </c>
      <c r="S70" s="18">
        <v>5</v>
      </c>
      <c r="T70" s="18" t="s">
        <v>959</v>
      </c>
      <c r="U70" s="18" t="s">
        <v>959</v>
      </c>
      <c r="V70" s="19" t="s">
        <v>959</v>
      </c>
      <c r="W70" s="19" t="s">
        <v>959</v>
      </c>
      <c r="X70" s="24">
        <f>RANK(F70,$F$57:$F$183,0)</f>
        <v>14</v>
      </c>
      <c r="Y70" s="3" t="str">
        <f>IF(OR(ISERROR(F70),F70="-",NOT(ISNUMBER(F70))),"● N/A",IF(ROUND(F70, 4) &gt;= ROUND($F$184, 4),"▲ Above Average","▼ Below Average"))</f>
        <v>▲ Above Average</v>
      </c>
    </row>
    <row r="71" spans="2:25" x14ac:dyDescent="0.2">
      <c r="B71" s="17" t="s">
        <v>24</v>
      </c>
      <c r="C71" s="18">
        <v>365</v>
      </c>
      <c r="D71" s="19">
        <v>363</v>
      </c>
      <c r="E71" s="18">
        <f>IF(OR(D71="-",D71="",D71=0),IF(C71="-","-",C71),C71-D71)</f>
        <v>2</v>
      </c>
      <c r="F71" s="20">
        <f>IFERROR(IF(C71&gt;0, D71/C71, 0),"-")</f>
        <v>0.9945205479452055</v>
      </c>
      <c r="G71" s="18" t="s">
        <v>959</v>
      </c>
      <c r="H71" s="19" t="s">
        <v>959</v>
      </c>
      <c r="I71" s="18" t="str">
        <f>IF(OR(H71="-",H71="",H71=0),IF(G71="-","-",G71),G71-H71)</f>
        <v>-</v>
      </c>
      <c r="J71" s="20" t="str">
        <f>IFERROR(IF(G71&gt;0, H71/G71, 0),"-")</f>
        <v>-</v>
      </c>
      <c r="K71" s="18">
        <v>1</v>
      </c>
      <c r="L71" s="19" t="s">
        <v>959</v>
      </c>
      <c r="M71" s="18">
        <f>IF(OR(L71="-",L71="",L71=0),IF(K71="-","-",K71),K71-L71)</f>
        <v>1</v>
      </c>
      <c r="N71" s="20" t="str">
        <f>IFERROR(IF(K71&gt;0, L71/K71, 0),"-")</f>
        <v>-</v>
      </c>
      <c r="O71" s="18" t="s">
        <v>959</v>
      </c>
      <c r="P71" s="19" t="s">
        <v>959</v>
      </c>
      <c r="Q71" s="18" t="str">
        <f>IF(OR(P71="-",P71="",P71=0),IF(O71="-","-",O71),O71-P71)</f>
        <v>-</v>
      </c>
      <c r="R71" s="20" t="str">
        <f>IFERROR(IF(O71&gt;0, P71/O71, 0),"-")</f>
        <v>-</v>
      </c>
      <c r="S71" s="18">
        <v>1</v>
      </c>
      <c r="T71" s="18" t="s">
        <v>959</v>
      </c>
      <c r="U71" s="18" t="s">
        <v>959</v>
      </c>
      <c r="V71" s="19" t="s">
        <v>959</v>
      </c>
      <c r="W71" s="19" t="s">
        <v>959</v>
      </c>
      <c r="X71" s="24">
        <f>RANK(F71,$F$57:$F$183,0)</f>
        <v>15</v>
      </c>
      <c r="Y71" s="3" t="str">
        <f>IF(OR(ISERROR(F71),F71="-",NOT(ISNUMBER(F71))),"● N/A",IF(ROUND(F71, 4) &gt;= ROUND($F$184, 4),"▲ Above Average","▼ Below Average"))</f>
        <v>▲ Above Average</v>
      </c>
    </row>
    <row r="72" spans="2:25" x14ac:dyDescent="0.2">
      <c r="B72" s="17" t="s">
        <v>76</v>
      </c>
      <c r="C72" s="18">
        <v>531</v>
      </c>
      <c r="D72" s="19">
        <v>528</v>
      </c>
      <c r="E72" s="18">
        <f>IF(OR(D72="-",D72="",D72=0),IF(C72="-","-",C72),C72-D72)</f>
        <v>3</v>
      </c>
      <c r="F72" s="20">
        <f>IFERROR(IF(C72&gt;0, D72/C72, 0),"-")</f>
        <v>0.99435028248587576</v>
      </c>
      <c r="G72" s="18">
        <v>3</v>
      </c>
      <c r="H72" s="19">
        <v>3</v>
      </c>
      <c r="I72" s="18">
        <f>IF(OR(H72="-",H72="",H72=0),IF(G72="-","-",G72),G72-H72)</f>
        <v>0</v>
      </c>
      <c r="J72" s="20">
        <f>IFERROR(IF(G72&gt;0, H72/G72, 0),"-")</f>
        <v>1</v>
      </c>
      <c r="K72" s="18" t="s">
        <v>959</v>
      </c>
      <c r="L72" s="19" t="s">
        <v>959</v>
      </c>
      <c r="M72" s="18" t="str">
        <f>IF(OR(L72="-",L72="",L72=0),IF(K72="-","-",K72),K72-L72)</f>
        <v>-</v>
      </c>
      <c r="N72" s="20" t="str">
        <f>IFERROR(IF(K72&gt;0, L72/K72, 0),"-")</f>
        <v>-</v>
      </c>
      <c r="O72" s="18" t="s">
        <v>959</v>
      </c>
      <c r="P72" s="19" t="s">
        <v>959</v>
      </c>
      <c r="Q72" s="18" t="str">
        <f>IF(OR(P72="-",P72="",P72=0),IF(O72="-","-",O72),O72-P72)</f>
        <v>-</v>
      </c>
      <c r="R72" s="20" t="str">
        <f>IFERROR(IF(O72&gt;0, P72/O72, 0),"-")</f>
        <v>-</v>
      </c>
      <c r="S72" s="18" t="s">
        <v>959</v>
      </c>
      <c r="T72" s="18" t="s">
        <v>959</v>
      </c>
      <c r="U72" s="18" t="s">
        <v>959</v>
      </c>
      <c r="V72" s="19" t="s">
        <v>959</v>
      </c>
      <c r="W72" s="19" t="s">
        <v>959</v>
      </c>
      <c r="X72" s="24">
        <f>RANK(F72,$F$57:$F$183,0)</f>
        <v>16</v>
      </c>
      <c r="Y72" s="3" t="str">
        <f>IF(OR(ISERROR(F72),F72="-",NOT(ISNUMBER(F72))),"● N/A",IF(ROUND(F72, 4) &gt;= ROUND($F$184, 4),"▲ Above Average","▼ Below Average"))</f>
        <v>▲ Above Average</v>
      </c>
    </row>
    <row r="73" spans="2:25" x14ac:dyDescent="0.2">
      <c r="B73" s="17" t="s">
        <v>16</v>
      </c>
      <c r="C73" s="18">
        <v>699</v>
      </c>
      <c r="D73" s="19">
        <v>695</v>
      </c>
      <c r="E73" s="18">
        <f>IF(OR(D73="-",D73="",D73=0),IF(C73="-","-",C73),C73-D73)</f>
        <v>4</v>
      </c>
      <c r="F73" s="20">
        <f>IFERROR(IF(C73&gt;0, D73/C73, 0),"-")</f>
        <v>0.99427753934191698</v>
      </c>
      <c r="G73" s="18">
        <v>4</v>
      </c>
      <c r="H73" s="19">
        <v>2</v>
      </c>
      <c r="I73" s="18">
        <f>IF(OR(H73="-",H73="",H73=0),IF(G73="-","-",G73),G73-H73)</f>
        <v>2</v>
      </c>
      <c r="J73" s="20">
        <f>IFERROR(IF(G73&gt;0, H73/G73, 0),"-")</f>
        <v>0.5</v>
      </c>
      <c r="K73" s="18">
        <v>3</v>
      </c>
      <c r="L73" s="19" t="s">
        <v>959</v>
      </c>
      <c r="M73" s="18">
        <f>IF(OR(L73="-",L73="",L73=0),IF(K73="-","-",K73),K73-L73)</f>
        <v>3</v>
      </c>
      <c r="N73" s="20" t="str">
        <f>IFERROR(IF(K73&gt;0, L73/K73, 0),"-")</f>
        <v>-</v>
      </c>
      <c r="O73" s="18" t="s">
        <v>959</v>
      </c>
      <c r="P73" s="19" t="s">
        <v>959</v>
      </c>
      <c r="Q73" s="18" t="str">
        <f>IF(OR(P73="-",P73="",P73=0),IF(O73="-","-",O73),O73-P73)</f>
        <v>-</v>
      </c>
      <c r="R73" s="20" t="str">
        <f>IFERROR(IF(O73&gt;0, P73/O73, 0),"-")</f>
        <v>-</v>
      </c>
      <c r="S73" s="18" t="s">
        <v>959</v>
      </c>
      <c r="T73" s="18" t="s">
        <v>959</v>
      </c>
      <c r="U73" s="18" t="s">
        <v>959</v>
      </c>
      <c r="V73" s="19" t="s">
        <v>959</v>
      </c>
      <c r="W73" s="19" t="s">
        <v>959</v>
      </c>
      <c r="X73" s="24">
        <f>RANK(F73,$F$57:$F$183,0)</f>
        <v>17</v>
      </c>
      <c r="Y73" s="3" t="str">
        <f>IF(OR(ISERROR(F73),F73="-",NOT(ISNUMBER(F73))),"● N/A",IF(ROUND(F73, 4) &gt;= ROUND($F$184, 4),"▲ Above Average","▼ Below Average"))</f>
        <v>▲ Above Average</v>
      </c>
    </row>
    <row r="74" spans="2:25" x14ac:dyDescent="0.2">
      <c r="B74" s="17" t="s">
        <v>19</v>
      </c>
      <c r="C74" s="18">
        <v>647</v>
      </c>
      <c r="D74" s="19">
        <v>643</v>
      </c>
      <c r="E74" s="18">
        <f>IF(OR(D74="-",D74="",D74=0),IF(C74="-","-",C74),C74-D74)</f>
        <v>4</v>
      </c>
      <c r="F74" s="20">
        <f>IFERROR(IF(C74&gt;0, D74/C74, 0),"-")</f>
        <v>0.99381761978361671</v>
      </c>
      <c r="G74" s="18">
        <v>2</v>
      </c>
      <c r="H74" s="19" t="s">
        <v>959</v>
      </c>
      <c r="I74" s="18">
        <f>IF(OR(H74="-",H74="",H74=0),IF(G74="-","-",G74),G74-H74)</f>
        <v>2</v>
      </c>
      <c r="J74" s="20" t="str">
        <f>IFERROR(IF(G74&gt;0, H74/G74, 0),"-")</f>
        <v>-</v>
      </c>
      <c r="K74" s="18">
        <v>1</v>
      </c>
      <c r="L74" s="19">
        <v>1</v>
      </c>
      <c r="M74" s="18">
        <f>IF(OR(L74="-",L74="",L74=0),IF(K74="-","-",K74),K74-L74)</f>
        <v>0</v>
      </c>
      <c r="N74" s="20">
        <f>IFERROR(IF(K74&gt;0, L74/K74, 0),"-")</f>
        <v>1</v>
      </c>
      <c r="O74" s="18">
        <v>1</v>
      </c>
      <c r="P74" s="19" t="s">
        <v>959</v>
      </c>
      <c r="Q74" s="18">
        <f>IF(OR(P74="-",P74="",P74=0),IF(O74="-","-",O74),O74-P74)</f>
        <v>1</v>
      </c>
      <c r="R74" s="20" t="str">
        <f>IFERROR(IF(O74&gt;0, P74/O74, 0),"-")</f>
        <v>-</v>
      </c>
      <c r="S74" s="18">
        <v>1</v>
      </c>
      <c r="T74" s="18" t="s">
        <v>959</v>
      </c>
      <c r="U74" s="18" t="s">
        <v>959</v>
      </c>
      <c r="V74" s="19" t="s">
        <v>959</v>
      </c>
      <c r="W74" s="19" t="s">
        <v>959</v>
      </c>
      <c r="X74" s="24">
        <f>RANK(F74,$F$57:$F$183,0)</f>
        <v>18</v>
      </c>
      <c r="Y74" s="3" t="str">
        <f>IF(OR(ISERROR(F74),F74="-",NOT(ISNUMBER(F74))),"● N/A",IF(ROUND(F74, 4) &gt;= ROUND($F$184, 4),"▲ Above Average","▼ Below Average"))</f>
        <v>▲ Above Average</v>
      </c>
    </row>
    <row r="75" spans="2:25" x14ac:dyDescent="0.2">
      <c r="B75" s="17" t="s">
        <v>89</v>
      </c>
      <c r="C75" s="18">
        <v>318</v>
      </c>
      <c r="D75" s="19">
        <v>316</v>
      </c>
      <c r="E75" s="18">
        <f>IF(OR(D75="-",D75="",D75=0),IF(C75="-","-",C75),C75-D75)</f>
        <v>2</v>
      </c>
      <c r="F75" s="20">
        <f>IFERROR(IF(C75&gt;0, D75/C75, 0),"-")</f>
        <v>0.99371069182389937</v>
      </c>
      <c r="G75" s="18">
        <v>1</v>
      </c>
      <c r="H75" s="19" t="s">
        <v>959</v>
      </c>
      <c r="I75" s="18">
        <f>IF(OR(H75="-",H75="",H75=0),IF(G75="-","-",G75),G75-H75)</f>
        <v>1</v>
      </c>
      <c r="J75" s="20" t="str">
        <f>IFERROR(IF(G75&gt;0, H75/G75, 0),"-")</f>
        <v>-</v>
      </c>
      <c r="K75" s="18">
        <v>2</v>
      </c>
      <c r="L75" s="19" t="s">
        <v>959</v>
      </c>
      <c r="M75" s="18">
        <f>IF(OR(L75="-",L75="",L75=0),IF(K75="-","-",K75),K75-L75)</f>
        <v>2</v>
      </c>
      <c r="N75" s="20" t="str">
        <f>IFERROR(IF(K75&gt;0, L75/K75, 0),"-")</f>
        <v>-</v>
      </c>
      <c r="O75" s="18" t="s">
        <v>959</v>
      </c>
      <c r="P75" s="19" t="s">
        <v>959</v>
      </c>
      <c r="Q75" s="18" t="str">
        <f>IF(OR(P75="-",P75="",P75=0),IF(O75="-","-",O75),O75-P75)</f>
        <v>-</v>
      </c>
      <c r="R75" s="20" t="str">
        <f>IFERROR(IF(O75&gt;0, P75/O75, 0),"-")</f>
        <v>-</v>
      </c>
      <c r="S75" s="18">
        <v>1</v>
      </c>
      <c r="T75" s="18" t="s">
        <v>959</v>
      </c>
      <c r="U75" s="18" t="s">
        <v>959</v>
      </c>
      <c r="V75" s="19" t="s">
        <v>959</v>
      </c>
      <c r="W75" s="19" t="s">
        <v>959</v>
      </c>
      <c r="X75" s="24">
        <f>RANK(F75,$F$57:$F$183,0)</f>
        <v>19</v>
      </c>
      <c r="Y75" s="3" t="str">
        <f>IF(OR(ISERROR(F75),F75="-",NOT(ISNUMBER(F75))),"● N/A",IF(ROUND(F75, 4) &gt;= ROUND($F$184, 4),"▲ Above Average","▼ Below Average"))</f>
        <v>▲ Above Average</v>
      </c>
    </row>
    <row r="76" spans="2:25" x14ac:dyDescent="0.2">
      <c r="B76" s="17" t="s">
        <v>61</v>
      </c>
      <c r="C76" s="18">
        <v>425</v>
      </c>
      <c r="D76" s="19">
        <v>422</v>
      </c>
      <c r="E76" s="18">
        <f>IF(OR(D76="-",D76="",D76=0),IF(C76="-","-",C76),C76-D76)</f>
        <v>3</v>
      </c>
      <c r="F76" s="20">
        <f>IFERROR(IF(C76&gt;0, D76/C76, 0),"-")</f>
        <v>0.99294117647058822</v>
      </c>
      <c r="G76" s="18" t="s">
        <v>959</v>
      </c>
      <c r="H76" s="19" t="s">
        <v>959</v>
      </c>
      <c r="I76" s="18" t="str">
        <f>IF(OR(H76="-",H76="",H76=0),IF(G76="-","-",G76),G76-H76)</f>
        <v>-</v>
      </c>
      <c r="J76" s="20" t="str">
        <f>IFERROR(IF(G76&gt;0, H76/G76, 0),"-")</f>
        <v>-</v>
      </c>
      <c r="K76" s="18" t="s">
        <v>959</v>
      </c>
      <c r="L76" s="19" t="s">
        <v>959</v>
      </c>
      <c r="M76" s="18" t="str">
        <f>IF(OR(L76="-",L76="",L76=0),IF(K76="-","-",K76),K76-L76)</f>
        <v>-</v>
      </c>
      <c r="N76" s="20" t="str">
        <f>IFERROR(IF(K76&gt;0, L76/K76, 0),"-")</f>
        <v>-</v>
      </c>
      <c r="O76" s="18" t="s">
        <v>959</v>
      </c>
      <c r="P76" s="19" t="s">
        <v>959</v>
      </c>
      <c r="Q76" s="18" t="str">
        <f>IF(OR(P76="-",P76="",P76=0),IF(O76="-","-",O76),O76-P76)</f>
        <v>-</v>
      </c>
      <c r="R76" s="20" t="str">
        <f>IFERROR(IF(O76&gt;0, P76/O76, 0),"-")</f>
        <v>-</v>
      </c>
      <c r="S76" s="18" t="s">
        <v>959</v>
      </c>
      <c r="T76" s="18" t="s">
        <v>959</v>
      </c>
      <c r="U76" s="18" t="s">
        <v>959</v>
      </c>
      <c r="V76" s="19" t="s">
        <v>959</v>
      </c>
      <c r="W76" s="19" t="s">
        <v>959</v>
      </c>
      <c r="X76" s="24">
        <f>RANK(F76,$F$57:$F$183,0)</f>
        <v>20</v>
      </c>
      <c r="Y76" s="3" t="str">
        <f>IF(OR(ISERROR(F76),F76="-",NOT(ISNUMBER(F76))),"● N/A",IF(ROUND(F76, 4) &gt;= ROUND($F$184, 4),"▲ Above Average","▼ Below Average"))</f>
        <v>▲ Above Average</v>
      </c>
    </row>
    <row r="77" spans="2:25" x14ac:dyDescent="0.2">
      <c r="B77" s="17" t="s">
        <v>8</v>
      </c>
      <c r="C77" s="18">
        <v>418</v>
      </c>
      <c r="D77" s="19">
        <v>415</v>
      </c>
      <c r="E77" s="18">
        <f>IF(OR(D77="-",D77="",D77=0),IF(C77="-","-",C77),C77-D77)</f>
        <v>3</v>
      </c>
      <c r="F77" s="20">
        <f>IFERROR(IF(C77&gt;0, D77/C77, 0),"-")</f>
        <v>0.99282296650717705</v>
      </c>
      <c r="G77" s="18">
        <v>1</v>
      </c>
      <c r="H77" s="19" t="s">
        <v>959</v>
      </c>
      <c r="I77" s="18">
        <f>IF(OR(H77="-",H77="",H77=0),IF(G77="-","-",G77),G77-H77)</f>
        <v>1</v>
      </c>
      <c r="J77" s="20" t="str">
        <f>IFERROR(IF(G77&gt;0, H77/G77, 0),"-")</f>
        <v>-</v>
      </c>
      <c r="K77" s="18">
        <v>1</v>
      </c>
      <c r="L77" s="19">
        <v>1</v>
      </c>
      <c r="M77" s="18">
        <f>IF(OR(L77="-",L77="",L77=0),IF(K77="-","-",K77),K77-L77)</f>
        <v>0</v>
      </c>
      <c r="N77" s="20">
        <f>IFERROR(IF(K77&gt;0, L77/K77, 0),"-")</f>
        <v>1</v>
      </c>
      <c r="O77" s="18">
        <v>1</v>
      </c>
      <c r="P77" s="19">
        <v>1</v>
      </c>
      <c r="Q77" s="18">
        <f>IF(OR(P77="-",P77="",P77=0),IF(O77="-","-",O77),O77-P77)</f>
        <v>0</v>
      </c>
      <c r="R77" s="20">
        <f>IFERROR(IF(O77&gt;0, P77/O77, 0),"-")</f>
        <v>1</v>
      </c>
      <c r="S77" s="18">
        <v>4</v>
      </c>
      <c r="T77" s="18" t="s">
        <v>959</v>
      </c>
      <c r="U77" s="18" t="s">
        <v>959</v>
      </c>
      <c r="V77" s="19" t="s">
        <v>959</v>
      </c>
      <c r="W77" s="19" t="s">
        <v>959</v>
      </c>
      <c r="X77" s="24">
        <f>RANK(F77,$F$57:$F$183,0)</f>
        <v>21</v>
      </c>
      <c r="Y77" s="3" t="str">
        <f>IF(OR(ISERROR(F77),F77="-",NOT(ISNUMBER(F77))),"● N/A",IF(ROUND(F77, 4) &gt;= ROUND($F$184, 4),"▲ Above Average","▼ Below Average"))</f>
        <v>▲ Above Average</v>
      </c>
    </row>
    <row r="78" spans="2:25" x14ac:dyDescent="0.2">
      <c r="B78" s="17" t="s">
        <v>62</v>
      </c>
      <c r="C78" s="18">
        <v>804</v>
      </c>
      <c r="D78" s="19">
        <v>798</v>
      </c>
      <c r="E78" s="18">
        <f>IF(OR(D78="-",D78="",D78=0),IF(C78="-","-",C78),C78-D78)</f>
        <v>6</v>
      </c>
      <c r="F78" s="20">
        <f>IFERROR(IF(C78&gt;0, D78/C78, 0),"-")</f>
        <v>0.9925373134328358</v>
      </c>
      <c r="G78" s="18">
        <v>17</v>
      </c>
      <c r="H78" s="19">
        <v>4</v>
      </c>
      <c r="I78" s="18">
        <f>IF(OR(H78="-",H78="",H78=0),IF(G78="-","-",G78),G78-H78)</f>
        <v>13</v>
      </c>
      <c r="J78" s="20">
        <f>IFERROR(IF(G78&gt;0, H78/G78, 0),"-")</f>
        <v>0.23529411764705882</v>
      </c>
      <c r="K78" s="18">
        <v>4</v>
      </c>
      <c r="L78" s="19">
        <v>1</v>
      </c>
      <c r="M78" s="18">
        <f>IF(OR(L78="-",L78="",L78=0),IF(K78="-","-",K78),K78-L78)</f>
        <v>3</v>
      </c>
      <c r="N78" s="20">
        <f>IFERROR(IF(K78&gt;0, L78/K78, 0),"-")</f>
        <v>0.25</v>
      </c>
      <c r="O78" s="18">
        <v>1</v>
      </c>
      <c r="P78" s="19" t="s">
        <v>959</v>
      </c>
      <c r="Q78" s="18">
        <f>IF(OR(P78="-",P78="",P78=0),IF(O78="-","-",O78),O78-P78)</f>
        <v>1</v>
      </c>
      <c r="R78" s="20" t="str">
        <f>IFERROR(IF(O78&gt;0, P78/O78, 0),"-")</f>
        <v>-</v>
      </c>
      <c r="S78" s="18" t="s">
        <v>959</v>
      </c>
      <c r="T78" s="18" t="s">
        <v>959</v>
      </c>
      <c r="U78" s="18" t="s">
        <v>959</v>
      </c>
      <c r="V78" s="19" t="s">
        <v>959</v>
      </c>
      <c r="W78" s="19" t="s">
        <v>959</v>
      </c>
      <c r="X78" s="24">
        <f>RANK(F78,$F$57:$F$183,0)</f>
        <v>22</v>
      </c>
      <c r="Y78" s="3" t="str">
        <f>IF(OR(ISERROR(F78),F78="-",NOT(ISNUMBER(F78))),"● N/A",IF(ROUND(F78, 4) &gt;= ROUND($F$184, 4),"▲ Above Average","▼ Below Average"))</f>
        <v>▲ Above Average</v>
      </c>
    </row>
    <row r="79" spans="2:25" x14ac:dyDescent="0.2">
      <c r="B79" s="17" t="s">
        <v>134</v>
      </c>
      <c r="C79" s="18">
        <v>394</v>
      </c>
      <c r="D79" s="19">
        <v>391</v>
      </c>
      <c r="E79" s="18">
        <f>IF(OR(D79="-",D79="",D79=0),IF(C79="-","-",C79),C79-D79)</f>
        <v>3</v>
      </c>
      <c r="F79" s="20">
        <f>IFERROR(IF(C79&gt;0, D79/C79, 0),"-")</f>
        <v>0.99238578680203049</v>
      </c>
      <c r="G79" s="18" t="s">
        <v>959</v>
      </c>
      <c r="H79" s="19" t="s">
        <v>959</v>
      </c>
      <c r="I79" s="18" t="str">
        <f>IF(OR(H79="-",H79="",H79=0),IF(G79="-","-",G79),G79-H79)</f>
        <v>-</v>
      </c>
      <c r="J79" s="20" t="str">
        <f>IFERROR(IF(G79&gt;0, H79/G79, 0),"-")</f>
        <v>-</v>
      </c>
      <c r="K79" s="18">
        <v>1</v>
      </c>
      <c r="L79" s="19" t="s">
        <v>959</v>
      </c>
      <c r="M79" s="18">
        <f>IF(OR(L79="-",L79="",L79=0),IF(K79="-","-",K79),K79-L79)</f>
        <v>1</v>
      </c>
      <c r="N79" s="20" t="str">
        <f>IFERROR(IF(K79&gt;0, L79/K79, 0),"-")</f>
        <v>-</v>
      </c>
      <c r="O79" s="18" t="s">
        <v>959</v>
      </c>
      <c r="P79" s="19" t="s">
        <v>959</v>
      </c>
      <c r="Q79" s="18" t="str">
        <f>IF(OR(P79="-",P79="",P79=0),IF(O79="-","-",O79),O79-P79)</f>
        <v>-</v>
      </c>
      <c r="R79" s="20" t="str">
        <f>IFERROR(IF(O79&gt;0, P79/O79, 0),"-")</f>
        <v>-</v>
      </c>
      <c r="S79" s="18" t="s">
        <v>959</v>
      </c>
      <c r="T79" s="18" t="s">
        <v>959</v>
      </c>
      <c r="U79" s="18" t="s">
        <v>959</v>
      </c>
      <c r="V79" s="19" t="s">
        <v>959</v>
      </c>
      <c r="W79" s="19" t="s">
        <v>959</v>
      </c>
      <c r="X79" s="24">
        <f>RANK(F79,$F$57:$F$183,0)</f>
        <v>23</v>
      </c>
      <c r="Y79" s="3" t="str">
        <f>IF(OR(ISERROR(F79),F79="-",NOT(ISNUMBER(F79))),"● N/A",IF(ROUND(F79, 4) &gt;= ROUND($F$184, 4),"▲ Above Average","▼ Below Average"))</f>
        <v>▲ Above Average</v>
      </c>
    </row>
    <row r="80" spans="2:25" x14ac:dyDescent="0.2">
      <c r="B80" s="17" t="s">
        <v>77</v>
      </c>
      <c r="C80" s="18">
        <v>388</v>
      </c>
      <c r="D80" s="19">
        <v>385</v>
      </c>
      <c r="E80" s="18">
        <f>IF(OR(D80="-",D80="",D80=0),IF(C80="-","-",C80),C80-D80)</f>
        <v>3</v>
      </c>
      <c r="F80" s="20">
        <f>IFERROR(IF(C80&gt;0, D80/C80, 0),"-")</f>
        <v>0.99226804123711343</v>
      </c>
      <c r="G80" s="18">
        <v>3</v>
      </c>
      <c r="H80" s="19" t="s">
        <v>959</v>
      </c>
      <c r="I80" s="18">
        <f>IF(OR(H80="-",H80="",H80=0),IF(G80="-","-",G80),G80-H80)</f>
        <v>3</v>
      </c>
      <c r="J80" s="20" t="str">
        <f>IFERROR(IF(G80&gt;0, H80/G80, 0),"-")</f>
        <v>-</v>
      </c>
      <c r="K80" s="18">
        <v>4</v>
      </c>
      <c r="L80" s="19">
        <v>1</v>
      </c>
      <c r="M80" s="18">
        <f>IF(OR(L80="-",L80="",L80=0),IF(K80="-","-",K80),K80-L80)</f>
        <v>3</v>
      </c>
      <c r="N80" s="20">
        <f>IFERROR(IF(K80&gt;0, L80/K80, 0),"-")</f>
        <v>0.25</v>
      </c>
      <c r="O80" s="18">
        <v>1</v>
      </c>
      <c r="P80" s="19">
        <v>1</v>
      </c>
      <c r="Q80" s="18">
        <f>IF(OR(P80="-",P80="",P80=0),IF(O80="-","-",O80),O80-P80)</f>
        <v>0</v>
      </c>
      <c r="R80" s="20">
        <f>IFERROR(IF(O80&gt;0, P80/O80, 0),"-")</f>
        <v>1</v>
      </c>
      <c r="S80" s="18">
        <v>6</v>
      </c>
      <c r="T80" s="18">
        <v>1</v>
      </c>
      <c r="U80" s="18">
        <v>3235</v>
      </c>
      <c r="V80" s="19" t="s">
        <v>959</v>
      </c>
      <c r="W80" s="19" t="s">
        <v>959</v>
      </c>
      <c r="X80" s="24">
        <f>RANK(F80,$F$57:$F$183,0)</f>
        <v>24</v>
      </c>
      <c r="Y80" s="3" t="str">
        <f>IF(OR(ISERROR(F80),F80="-",NOT(ISNUMBER(F80))),"● N/A",IF(ROUND(F80, 4) &gt;= ROUND($F$184, 4),"▲ Above Average","▼ Below Average"))</f>
        <v>▲ Above Average</v>
      </c>
    </row>
    <row r="81" spans="2:25" x14ac:dyDescent="0.2">
      <c r="B81" s="17" t="s">
        <v>82</v>
      </c>
      <c r="C81" s="18">
        <v>502</v>
      </c>
      <c r="D81" s="19">
        <v>498</v>
      </c>
      <c r="E81" s="18">
        <f>IF(OR(D81="-",D81="",D81=0),IF(C81="-","-",C81),C81-D81)</f>
        <v>4</v>
      </c>
      <c r="F81" s="20">
        <f>IFERROR(IF(C81&gt;0, D81/C81, 0),"-")</f>
        <v>0.99203187250996017</v>
      </c>
      <c r="G81" s="18">
        <v>7</v>
      </c>
      <c r="H81" s="19">
        <v>1</v>
      </c>
      <c r="I81" s="18">
        <f>IF(OR(H81="-",H81="",H81=0),IF(G81="-","-",G81),G81-H81)</f>
        <v>6</v>
      </c>
      <c r="J81" s="20">
        <f>IFERROR(IF(G81&gt;0, H81/G81, 0),"-")</f>
        <v>0.14285714285714285</v>
      </c>
      <c r="K81" s="18">
        <v>1</v>
      </c>
      <c r="L81" s="19" t="s">
        <v>959</v>
      </c>
      <c r="M81" s="18">
        <f>IF(OR(L81="-",L81="",L81=0),IF(K81="-","-",K81),K81-L81)</f>
        <v>1</v>
      </c>
      <c r="N81" s="20" t="str">
        <f>IFERROR(IF(K81&gt;0, L81/K81, 0),"-")</f>
        <v>-</v>
      </c>
      <c r="O81" s="18">
        <v>2</v>
      </c>
      <c r="P81" s="19" t="s">
        <v>959</v>
      </c>
      <c r="Q81" s="18">
        <f>IF(OR(P81="-",P81="",P81=0),IF(O81="-","-",O81),O81-P81)</f>
        <v>2</v>
      </c>
      <c r="R81" s="20" t="str">
        <f>IFERROR(IF(O81&gt;0, P81/O81, 0),"-")</f>
        <v>-</v>
      </c>
      <c r="S81" s="18">
        <v>4</v>
      </c>
      <c r="T81" s="18" t="s">
        <v>959</v>
      </c>
      <c r="U81" s="18" t="s">
        <v>959</v>
      </c>
      <c r="V81" s="19" t="s">
        <v>959</v>
      </c>
      <c r="W81" s="19" t="s">
        <v>959</v>
      </c>
      <c r="X81" s="24">
        <f>RANK(F81,$F$57:$F$183,0)</f>
        <v>25</v>
      </c>
      <c r="Y81" s="3" t="str">
        <f>IF(OR(ISERROR(F81),F81="-",NOT(ISNUMBER(F81))),"● N/A",IF(ROUND(F81, 4) &gt;= ROUND($F$184, 4),"▲ Above Average","▼ Below Average"))</f>
        <v>▲ Above Average</v>
      </c>
    </row>
    <row r="82" spans="2:25" x14ac:dyDescent="0.2">
      <c r="B82" s="17" t="s">
        <v>12</v>
      </c>
      <c r="C82" s="18">
        <v>595</v>
      </c>
      <c r="D82" s="19">
        <v>590</v>
      </c>
      <c r="E82" s="18">
        <f>IF(OR(D82="-",D82="",D82=0),IF(C82="-","-",C82),C82-D82)</f>
        <v>5</v>
      </c>
      <c r="F82" s="20">
        <f>IFERROR(IF(C82&gt;0, D82/C82, 0),"-")</f>
        <v>0.99159663865546221</v>
      </c>
      <c r="G82" s="18">
        <v>4</v>
      </c>
      <c r="H82" s="19">
        <v>2</v>
      </c>
      <c r="I82" s="18">
        <f>IF(OR(H82="-",H82="",H82=0),IF(G82="-","-",G82),G82-H82)</f>
        <v>2</v>
      </c>
      <c r="J82" s="20">
        <f>IFERROR(IF(G82&gt;0, H82/G82, 0),"-")</f>
        <v>0.5</v>
      </c>
      <c r="K82" s="18">
        <v>1</v>
      </c>
      <c r="L82" s="19" t="s">
        <v>959</v>
      </c>
      <c r="M82" s="18">
        <f>IF(OR(L82="-",L82="",L82=0),IF(K82="-","-",K82),K82-L82)</f>
        <v>1</v>
      </c>
      <c r="N82" s="20" t="str">
        <f>IFERROR(IF(K82&gt;0, L82/K82, 0),"-")</f>
        <v>-</v>
      </c>
      <c r="O82" s="18">
        <v>1</v>
      </c>
      <c r="P82" s="19" t="s">
        <v>959</v>
      </c>
      <c r="Q82" s="18">
        <f>IF(OR(P82="-",P82="",P82=0),IF(O82="-","-",O82),O82-P82)</f>
        <v>1</v>
      </c>
      <c r="R82" s="20" t="str">
        <f>IFERROR(IF(O82&gt;0, P82/O82, 0),"-")</f>
        <v>-</v>
      </c>
      <c r="S82" s="18">
        <v>3</v>
      </c>
      <c r="T82" s="18" t="s">
        <v>959</v>
      </c>
      <c r="U82" s="18" t="s">
        <v>959</v>
      </c>
      <c r="V82" s="19" t="s">
        <v>959</v>
      </c>
      <c r="W82" s="19" t="s">
        <v>959</v>
      </c>
      <c r="X82" s="24">
        <f>RANK(F82,$F$57:$F$183,0)</f>
        <v>26</v>
      </c>
      <c r="Y82" s="3" t="str">
        <f>IF(OR(ISERROR(F82),F82="-",NOT(ISNUMBER(F82))),"● N/A",IF(ROUND(F82, 4) &gt;= ROUND($F$184, 4),"▲ Above Average","▼ Below Average"))</f>
        <v>▲ Above Average</v>
      </c>
    </row>
    <row r="83" spans="2:25" x14ac:dyDescent="0.2">
      <c r="B83" s="17" t="s">
        <v>106</v>
      </c>
      <c r="C83" s="18">
        <v>461</v>
      </c>
      <c r="D83" s="19">
        <v>457</v>
      </c>
      <c r="E83" s="18">
        <f>IF(OR(D83="-",D83="",D83=0),IF(C83="-","-",C83),C83-D83)</f>
        <v>4</v>
      </c>
      <c r="F83" s="20">
        <f>IFERROR(IF(C83&gt;0, D83/C83, 0),"-")</f>
        <v>0.99132321041214755</v>
      </c>
      <c r="G83" s="18">
        <v>2</v>
      </c>
      <c r="H83" s="19">
        <v>1</v>
      </c>
      <c r="I83" s="18">
        <f>IF(OR(H83="-",H83="",H83=0),IF(G83="-","-",G83),G83-H83)</f>
        <v>1</v>
      </c>
      <c r="J83" s="20">
        <f>IFERROR(IF(G83&gt;0, H83/G83, 0),"-")</f>
        <v>0.5</v>
      </c>
      <c r="K83" s="18" t="s">
        <v>959</v>
      </c>
      <c r="L83" s="19" t="s">
        <v>959</v>
      </c>
      <c r="M83" s="18" t="str">
        <f>IF(OR(L83="-",L83="",L83=0),IF(K83="-","-",K83),K83-L83)</f>
        <v>-</v>
      </c>
      <c r="N83" s="20" t="str">
        <f>IFERROR(IF(K83&gt;0, L83/K83, 0),"-")</f>
        <v>-</v>
      </c>
      <c r="O83" s="18" t="s">
        <v>959</v>
      </c>
      <c r="P83" s="19" t="s">
        <v>959</v>
      </c>
      <c r="Q83" s="18" t="str">
        <f>IF(OR(P83="-",P83="",P83=0),IF(O83="-","-",O83),O83-P83)</f>
        <v>-</v>
      </c>
      <c r="R83" s="20" t="str">
        <f>IFERROR(IF(O83&gt;0, P83/O83, 0),"-")</f>
        <v>-</v>
      </c>
      <c r="S83" s="18">
        <v>1</v>
      </c>
      <c r="T83" s="18" t="s">
        <v>959</v>
      </c>
      <c r="U83" s="18" t="s">
        <v>959</v>
      </c>
      <c r="V83" s="19" t="s">
        <v>959</v>
      </c>
      <c r="W83" s="19" t="s">
        <v>959</v>
      </c>
      <c r="X83" s="24">
        <f>RANK(F83,$F$57:$F$183,0)</f>
        <v>27</v>
      </c>
      <c r="Y83" s="3" t="str">
        <f>IF(OR(ISERROR(F83),F83="-",NOT(ISNUMBER(F83))),"● N/A",IF(ROUND(F83, 4) &gt;= ROUND($F$184, 4),"▲ Above Average","▼ Below Average"))</f>
        <v>▲ Above Average</v>
      </c>
    </row>
    <row r="84" spans="2:25" x14ac:dyDescent="0.2">
      <c r="B84" s="17" t="s">
        <v>116</v>
      </c>
      <c r="C84" s="18">
        <v>573</v>
      </c>
      <c r="D84" s="19">
        <v>568</v>
      </c>
      <c r="E84" s="18">
        <f>IF(OR(D84="-",D84="",D84=0),IF(C84="-","-",C84),C84-D84)</f>
        <v>5</v>
      </c>
      <c r="F84" s="20">
        <f>IFERROR(IF(C84&gt;0, D84/C84, 0),"-")</f>
        <v>0.99127399650959858</v>
      </c>
      <c r="G84" s="18">
        <v>2</v>
      </c>
      <c r="H84" s="19">
        <v>1</v>
      </c>
      <c r="I84" s="18">
        <f>IF(OR(H84="-",H84="",H84=0),IF(G84="-","-",G84),G84-H84)</f>
        <v>1</v>
      </c>
      <c r="J84" s="20">
        <f>IFERROR(IF(G84&gt;0, H84/G84, 0),"-")</f>
        <v>0.5</v>
      </c>
      <c r="K84" s="18">
        <v>1</v>
      </c>
      <c r="L84" s="19" t="s">
        <v>959</v>
      </c>
      <c r="M84" s="18">
        <f>IF(OR(L84="-",L84="",L84=0),IF(K84="-","-",K84),K84-L84)</f>
        <v>1</v>
      </c>
      <c r="N84" s="20" t="str">
        <f>IFERROR(IF(K84&gt;0, L84/K84, 0),"-")</f>
        <v>-</v>
      </c>
      <c r="O84" s="18">
        <v>1</v>
      </c>
      <c r="P84" s="19" t="s">
        <v>959</v>
      </c>
      <c r="Q84" s="18">
        <f>IF(OR(P84="-",P84="",P84=0),IF(O84="-","-",O84),O84-P84)</f>
        <v>1</v>
      </c>
      <c r="R84" s="20" t="str">
        <f>IFERROR(IF(O84&gt;0, P84/O84, 0),"-")</f>
        <v>-</v>
      </c>
      <c r="S84" s="18">
        <v>2</v>
      </c>
      <c r="T84" s="18" t="s">
        <v>959</v>
      </c>
      <c r="U84" s="18" t="s">
        <v>959</v>
      </c>
      <c r="V84" s="19" t="s">
        <v>959</v>
      </c>
      <c r="W84" s="19" t="s">
        <v>959</v>
      </c>
      <c r="X84" s="24">
        <f>RANK(F84,$F$57:$F$183,0)</f>
        <v>28</v>
      </c>
      <c r="Y84" s="3" t="str">
        <f>IF(OR(ISERROR(F84),F84="-",NOT(ISNUMBER(F84))),"● N/A",IF(ROUND(F84, 4) &gt;= ROUND($F$184, 4),"▲ Above Average","▼ Below Average"))</f>
        <v>▲ Above Average</v>
      </c>
    </row>
    <row r="85" spans="2:25" x14ac:dyDescent="0.2">
      <c r="B85" s="17" t="s">
        <v>119</v>
      </c>
      <c r="C85" s="18">
        <v>340</v>
      </c>
      <c r="D85" s="19">
        <v>337</v>
      </c>
      <c r="E85" s="18">
        <f>IF(OR(D85="-",D85="",D85=0),IF(C85="-","-",C85),C85-D85)</f>
        <v>3</v>
      </c>
      <c r="F85" s="20">
        <f>IFERROR(IF(C85&gt;0, D85/C85, 0),"-")</f>
        <v>0.99117647058823533</v>
      </c>
      <c r="G85" s="18" t="s">
        <v>959</v>
      </c>
      <c r="H85" s="19" t="s">
        <v>959</v>
      </c>
      <c r="I85" s="18" t="str">
        <f>IF(OR(H85="-",H85="",H85=0),IF(G85="-","-",G85),G85-H85)</f>
        <v>-</v>
      </c>
      <c r="J85" s="20" t="str">
        <f>IFERROR(IF(G85&gt;0, H85/G85, 0),"-")</f>
        <v>-</v>
      </c>
      <c r="K85" s="18">
        <v>1</v>
      </c>
      <c r="L85" s="19" t="s">
        <v>959</v>
      </c>
      <c r="M85" s="18">
        <f>IF(OR(L85="-",L85="",L85=0),IF(K85="-","-",K85),K85-L85)</f>
        <v>1</v>
      </c>
      <c r="N85" s="20" t="str">
        <f>IFERROR(IF(K85&gt;0, L85/K85, 0),"-")</f>
        <v>-</v>
      </c>
      <c r="O85" s="18">
        <v>1</v>
      </c>
      <c r="P85" s="19" t="s">
        <v>959</v>
      </c>
      <c r="Q85" s="18">
        <f>IF(OR(P85="-",P85="",P85=0),IF(O85="-","-",O85),O85-P85)</f>
        <v>1</v>
      </c>
      <c r="R85" s="20" t="str">
        <f>IFERROR(IF(O85&gt;0, P85/O85, 0),"-")</f>
        <v>-</v>
      </c>
      <c r="S85" s="18">
        <v>1</v>
      </c>
      <c r="T85" s="18" t="s">
        <v>959</v>
      </c>
      <c r="U85" s="18" t="s">
        <v>959</v>
      </c>
      <c r="V85" s="19" t="s">
        <v>959</v>
      </c>
      <c r="W85" s="19" t="s">
        <v>959</v>
      </c>
      <c r="X85" s="24">
        <f>RANK(F85,$F$57:$F$183,0)</f>
        <v>29</v>
      </c>
      <c r="Y85" s="3" t="str">
        <f>IF(OR(ISERROR(F85),F85="-",NOT(ISNUMBER(F85))),"● N/A",IF(ROUND(F85, 4) &gt;= ROUND($F$184, 4),"▲ Above Average","▼ Below Average"))</f>
        <v>▲ Above Average</v>
      </c>
    </row>
    <row r="86" spans="2:25" x14ac:dyDescent="0.2">
      <c r="B86" s="17" t="s">
        <v>54</v>
      </c>
      <c r="C86" s="18">
        <v>332</v>
      </c>
      <c r="D86" s="19">
        <v>329</v>
      </c>
      <c r="E86" s="18">
        <f>IF(OR(D86="-",D86="",D86=0),IF(C86="-","-",C86),C86-D86)</f>
        <v>3</v>
      </c>
      <c r="F86" s="20">
        <f>IFERROR(IF(C86&gt;0, D86/C86, 0),"-")</f>
        <v>0.99096385542168675</v>
      </c>
      <c r="G86" s="18">
        <v>2</v>
      </c>
      <c r="H86" s="19">
        <v>1</v>
      </c>
      <c r="I86" s="18">
        <f>IF(OR(H86="-",H86="",H86=0),IF(G86="-","-",G86),G86-H86)</f>
        <v>1</v>
      </c>
      <c r="J86" s="20">
        <f>IFERROR(IF(G86&gt;0, H86/G86, 0),"-")</f>
        <v>0.5</v>
      </c>
      <c r="K86" s="18">
        <v>2</v>
      </c>
      <c r="L86" s="19" t="s">
        <v>959</v>
      </c>
      <c r="M86" s="18">
        <f>IF(OR(L86="-",L86="",L86=0),IF(K86="-","-",K86),K86-L86)</f>
        <v>2</v>
      </c>
      <c r="N86" s="20" t="str">
        <f>IFERROR(IF(K86&gt;0, L86/K86, 0),"-")</f>
        <v>-</v>
      </c>
      <c r="O86" s="18">
        <v>2</v>
      </c>
      <c r="P86" s="19" t="s">
        <v>959</v>
      </c>
      <c r="Q86" s="18">
        <f>IF(OR(P86="-",P86="",P86=0),IF(O86="-","-",O86),O86-P86)</f>
        <v>2</v>
      </c>
      <c r="R86" s="20" t="str">
        <f>IFERROR(IF(O86&gt;0, P86/O86, 0),"-")</f>
        <v>-</v>
      </c>
      <c r="S86" s="18">
        <v>1</v>
      </c>
      <c r="T86" s="18" t="s">
        <v>959</v>
      </c>
      <c r="U86" s="18" t="s">
        <v>959</v>
      </c>
      <c r="V86" s="19" t="s">
        <v>959</v>
      </c>
      <c r="W86" s="19" t="s">
        <v>959</v>
      </c>
      <c r="X86" s="24">
        <f>RANK(F86,$F$57:$F$183,0)</f>
        <v>30</v>
      </c>
      <c r="Y86" s="3" t="str">
        <f>IF(OR(ISERROR(F86),F86="-",NOT(ISNUMBER(F86))),"● N/A",IF(ROUND(F86, 4) &gt;= ROUND($F$184, 4),"▲ Above Average","▼ Below Average"))</f>
        <v>▲ Above Average</v>
      </c>
    </row>
    <row r="87" spans="2:25" x14ac:dyDescent="0.2">
      <c r="B87" s="17" t="s">
        <v>108</v>
      </c>
      <c r="C87" s="18">
        <v>550</v>
      </c>
      <c r="D87" s="19">
        <v>545</v>
      </c>
      <c r="E87" s="18">
        <f>IF(OR(D87="-",D87="",D87=0),IF(C87="-","-",C87),C87-D87)</f>
        <v>5</v>
      </c>
      <c r="F87" s="20">
        <f>IFERROR(IF(C87&gt;0, D87/C87, 0),"-")</f>
        <v>0.99090909090909096</v>
      </c>
      <c r="G87" s="18" t="s">
        <v>959</v>
      </c>
      <c r="H87" s="19" t="s">
        <v>959</v>
      </c>
      <c r="I87" s="18" t="str">
        <f>IF(OR(H87="-",H87="",H87=0),IF(G87="-","-",G87),G87-H87)</f>
        <v>-</v>
      </c>
      <c r="J87" s="20" t="str">
        <f>IFERROR(IF(G87&gt;0, H87/G87, 0),"-")</f>
        <v>-</v>
      </c>
      <c r="K87" s="18">
        <v>3</v>
      </c>
      <c r="L87" s="19" t="s">
        <v>959</v>
      </c>
      <c r="M87" s="18">
        <f>IF(OR(L87="-",L87="",L87=0),IF(K87="-","-",K87),K87-L87)</f>
        <v>3</v>
      </c>
      <c r="N87" s="20" t="str">
        <f>IFERROR(IF(K87&gt;0, L87/K87, 0),"-")</f>
        <v>-</v>
      </c>
      <c r="O87" s="18">
        <v>1</v>
      </c>
      <c r="P87" s="19" t="s">
        <v>959</v>
      </c>
      <c r="Q87" s="18">
        <f>IF(OR(P87="-",P87="",P87=0),IF(O87="-","-",O87),O87-P87)</f>
        <v>1</v>
      </c>
      <c r="R87" s="20" t="str">
        <f>IFERROR(IF(O87&gt;0, P87/O87, 0),"-")</f>
        <v>-</v>
      </c>
      <c r="S87" s="18" t="s">
        <v>959</v>
      </c>
      <c r="T87" s="18" t="s">
        <v>959</v>
      </c>
      <c r="U87" s="18" t="s">
        <v>959</v>
      </c>
      <c r="V87" s="19" t="s">
        <v>959</v>
      </c>
      <c r="W87" s="19" t="s">
        <v>959</v>
      </c>
      <c r="X87" s="24">
        <f>RANK(F87,$F$57:$F$183,0)</f>
        <v>31</v>
      </c>
      <c r="Y87" s="3" t="str">
        <f>IF(OR(ISERROR(F87),F87="-",NOT(ISNUMBER(F87))),"● N/A",IF(ROUND(F87, 4) &gt;= ROUND($F$184, 4),"▲ Above Average","▼ Below Average"))</f>
        <v>▲ Above Average</v>
      </c>
    </row>
    <row r="88" spans="2:25" x14ac:dyDescent="0.2">
      <c r="B88" s="17" t="s">
        <v>71</v>
      </c>
      <c r="C88" s="18">
        <v>429</v>
      </c>
      <c r="D88" s="19">
        <v>425</v>
      </c>
      <c r="E88" s="18">
        <f>IF(OR(D88="-",D88="",D88=0),IF(C88="-","-",C88),C88-D88)</f>
        <v>4</v>
      </c>
      <c r="F88" s="20">
        <f>IFERROR(IF(C88&gt;0, D88/C88, 0),"-")</f>
        <v>0.99067599067599066</v>
      </c>
      <c r="G88" s="18">
        <v>1</v>
      </c>
      <c r="H88" s="19" t="s">
        <v>959</v>
      </c>
      <c r="I88" s="18">
        <f>IF(OR(H88="-",H88="",H88=0),IF(G88="-","-",G88),G88-H88)</f>
        <v>1</v>
      </c>
      <c r="J88" s="20" t="str">
        <f>IFERROR(IF(G88&gt;0, H88/G88, 0),"-")</f>
        <v>-</v>
      </c>
      <c r="K88" s="18" t="s">
        <v>959</v>
      </c>
      <c r="L88" s="19" t="s">
        <v>959</v>
      </c>
      <c r="M88" s="18" t="str">
        <f>IF(OR(L88="-",L88="",L88=0),IF(K88="-","-",K88),K88-L88)</f>
        <v>-</v>
      </c>
      <c r="N88" s="20" t="str">
        <f>IFERROR(IF(K88&gt;0, L88/K88, 0),"-")</f>
        <v>-</v>
      </c>
      <c r="O88" s="18">
        <v>1</v>
      </c>
      <c r="P88" s="19" t="s">
        <v>959</v>
      </c>
      <c r="Q88" s="18">
        <f>IF(OR(P88="-",P88="",P88=0),IF(O88="-","-",O88),O88-P88)</f>
        <v>1</v>
      </c>
      <c r="R88" s="20" t="str">
        <f>IFERROR(IF(O88&gt;0, P88/O88, 0),"-")</f>
        <v>-</v>
      </c>
      <c r="S88" s="18">
        <v>1</v>
      </c>
      <c r="T88" s="18" t="s">
        <v>959</v>
      </c>
      <c r="U88" s="18" t="s">
        <v>959</v>
      </c>
      <c r="V88" s="19" t="s">
        <v>959</v>
      </c>
      <c r="W88" s="19" t="s">
        <v>959</v>
      </c>
      <c r="X88" s="24">
        <f>RANK(F88,$F$57:$F$183,0)</f>
        <v>32</v>
      </c>
      <c r="Y88" s="3" t="str">
        <f>IF(OR(ISERROR(F88),F88="-",NOT(ISNUMBER(F88))),"● N/A",IF(ROUND(F88, 4) &gt;= ROUND($F$184, 4),"▲ Above Average","▼ Below Average"))</f>
        <v>▲ Above Average</v>
      </c>
    </row>
    <row r="89" spans="2:25" x14ac:dyDescent="0.2">
      <c r="B89" s="17" t="s">
        <v>79</v>
      </c>
      <c r="C89" s="18">
        <v>503</v>
      </c>
      <c r="D89" s="19">
        <v>498</v>
      </c>
      <c r="E89" s="18">
        <f>IF(OR(D89="-",D89="",D89=0),IF(C89="-","-",C89),C89-D89)</f>
        <v>5</v>
      </c>
      <c r="F89" s="20">
        <f>IFERROR(IF(C89&gt;0, D89/C89, 0),"-")</f>
        <v>0.99005964214711728</v>
      </c>
      <c r="G89" s="18">
        <v>2</v>
      </c>
      <c r="H89" s="19" t="s">
        <v>959</v>
      </c>
      <c r="I89" s="18">
        <f>IF(OR(H89="-",H89="",H89=0),IF(G89="-","-",G89),G89-H89)</f>
        <v>2</v>
      </c>
      <c r="J89" s="20" t="str">
        <f>IFERROR(IF(G89&gt;0, H89/G89, 0),"-")</f>
        <v>-</v>
      </c>
      <c r="K89" s="18">
        <v>2</v>
      </c>
      <c r="L89" s="19">
        <v>2</v>
      </c>
      <c r="M89" s="18">
        <f>IF(OR(L89="-",L89="",L89=0),IF(K89="-","-",K89),K89-L89)</f>
        <v>0</v>
      </c>
      <c r="N89" s="20">
        <f>IFERROR(IF(K89&gt;0, L89/K89, 0),"-")</f>
        <v>1</v>
      </c>
      <c r="O89" s="18">
        <v>1</v>
      </c>
      <c r="P89" s="19" t="s">
        <v>959</v>
      </c>
      <c r="Q89" s="18">
        <f>IF(OR(P89="-",P89="",P89=0),IF(O89="-","-",O89),O89-P89)</f>
        <v>1</v>
      </c>
      <c r="R89" s="20" t="str">
        <f>IFERROR(IF(O89&gt;0, P89/O89, 0),"-")</f>
        <v>-</v>
      </c>
      <c r="S89" s="18">
        <v>5</v>
      </c>
      <c r="T89" s="18" t="s">
        <v>959</v>
      </c>
      <c r="U89" s="18" t="s">
        <v>959</v>
      </c>
      <c r="V89" s="19" t="s">
        <v>959</v>
      </c>
      <c r="W89" s="19" t="s">
        <v>959</v>
      </c>
      <c r="X89" s="24">
        <f>RANK(F89,$F$57:$F$183,0)</f>
        <v>33</v>
      </c>
      <c r="Y89" s="3" t="str">
        <f>IF(OR(ISERROR(F89),F89="-",NOT(ISNUMBER(F89))),"● N/A",IF(ROUND(F89, 4) &gt;= ROUND($F$184, 4),"▲ Above Average","▼ Below Average"))</f>
        <v>▲ Above Average</v>
      </c>
    </row>
    <row r="90" spans="2:25" x14ac:dyDescent="0.2">
      <c r="B90" s="17" t="s">
        <v>110</v>
      </c>
      <c r="C90" s="18">
        <v>694</v>
      </c>
      <c r="D90" s="19">
        <v>687</v>
      </c>
      <c r="E90" s="18">
        <f>IF(OR(D90="-",D90="",D90=0),IF(C90="-","-",C90),C90-D90)</f>
        <v>7</v>
      </c>
      <c r="F90" s="20">
        <f>IFERROR(IF(C90&gt;0, D90/C90, 0),"-")</f>
        <v>0.98991354466858794</v>
      </c>
      <c r="G90" s="18">
        <v>5</v>
      </c>
      <c r="H90" s="19">
        <v>3</v>
      </c>
      <c r="I90" s="18">
        <f>IF(OR(H90="-",H90="",H90=0),IF(G90="-","-",G90),G90-H90)</f>
        <v>2</v>
      </c>
      <c r="J90" s="20">
        <f>IFERROR(IF(G90&gt;0, H90/G90, 0),"-")</f>
        <v>0.6</v>
      </c>
      <c r="K90" s="18">
        <v>2</v>
      </c>
      <c r="L90" s="19">
        <v>1</v>
      </c>
      <c r="M90" s="18">
        <f>IF(OR(L90="-",L90="",L90=0),IF(K90="-","-",K90),K90-L90)</f>
        <v>1</v>
      </c>
      <c r="N90" s="20">
        <f>IFERROR(IF(K90&gt;0, L90/K90, 0),"-")</f>
        <v>0.5</v>
      </c>
      <c r="O90" s="18" t="s">
        <v>959</v>
      </c>
      <c r="P90" s="19" t="s">
        <v>959</v>
      </c>
      <c r="Q90" s="18" t="str">
        <f>IF(OR(P90="-",P90="",P90=0),IF(O90="-","-",O90),O90-P90)</f>
        <v>-</v>
      </c>
      <c r="R90" s="20" t="str">
        <f>IFERROR(IF(O90&gt;0, P90/O90, 0),"-")</f>
        <v>-</v>
      </c>
      <c r="S90" s="18">
        <v>3</v>
      </c>
      <c r="T90" s="18" t="s">
        <v>959</v>
      </c>
      <c r="U90" s="18" t="s">
        <v>959</v>
      </c>
      <c r="V90" s="19" t="s">
        <v>959</v>
      </c>
      <c r="W90" s="19" t="s">
        <v>959</v>
      </c>
      <c r="X90" s="24">
        <f>RANK(F90,$F$57:$F$183,0)</f>
        <v>34</v>
      </c>
      <c r="Y90" s="3" t="str">
        <f>IF(OR(ISERROR(F90),F90="-",NOT(ISNUMBER(F90))),"● N/A",IF(ROUND(F90, 4) &gt;= ROUND($F$184, 4),"▲ Above Average","▼ Below Average"))</f>
        <v>▲ Above Average</v>
      </c>
    </row>
    <row r="91" spans="2:25" x14ac:dyDescent="0.2">
      <c r="B91" s="17" t="s">
        <v>121</v>
      </c>
      <c r="C91" s="18">
        <v>377</v>
      </c>
      <c r="D91" s="19">
        <v>373</v>
      </c>
      <c r="E91" s="18">
        <f>IF(OR(D91="-",D91="",D91=0),IF(C91="-","-",C91),C91-D91)</f>
        <v>4</v>
      </c>
      <c r="F91" s="20">
        <f>IFERROR(IF(C91&gt;0, D91/C91, 0),"-")</f>
        <v>0.98938992042440321</v>
      </c>
      <c r="G91" s="18">
        <v>2</v>
      </c>
      <c r="H91" s="19" t="s">
        <v>959</v>
      </c>
      <c r="I91" s="18">
        <f>IF(OR(H91="-",H91="",H91=0),IF(G91="-","-",G91),G91-H91)</f>
        <v>2</v>
      </c>
      <c r="J91" s="20" t="str">
        <f>IFERROR(IF(G91&gt;0, H91/G91, 0),"-")</f>
        <v>-</v>
      </c>
      <c r="K91" s="18" t="s">
        <v>959</v>
      </c>
      <c r="L91" s="19" t="s">
        <v>959</v>
      </c>
      <c r="M91" s="18" t="str">
        <f>IF(OR(L91="-",L91="",L91=0),IF(K91="-","-",K91),K91-L91)</f>
        <v>-</v>
      </c>
      <c r="N91" s="20" t="str">
        <f>IFERROR(IF(K91&gt;0, L91/K91, 0),"-")</f>
        <v>-</v>
      </c>
      <c r="O91" s="18">
        <v>1</v>
      </c>
      <c r="P91" s="19">
        <v>1</v>
      </c>
      <c r="Q91" s="18">
        <f>IF(OR(P91="-",P91="",P91=0),IF(O91="-","-",O91),O91-P91)</f>
        <v>0</v>
      </c>
      <c r="R91" s="20">
        <f>IFERROR(IF(O91&gt;0, P91/O91, 0),"-")</f>
        <v>1</v>
      </c>
      <c r="S91" s="18">
        <v>1</v>
      </c>
      <c r="T91" s="18" t="s">
        <v>959</v>
      </c>
      <c r="U91" s="18" t="s">
        <v>959</v>
      </c>
      <c r="V91" s="19" t="s">
        <v>959</v>
      </c>
      <c r="W91" s="19" t="s">
        <v>959</v>
      </c>
      <c r="X91" s="24">
        <f>RANK(F91,$F$57:$F$183,0)</f>
        <v>35</v>
      </c>
      <c r="Y91" s="3" t="str">
        <f>IF(OR(ISERROR(F91),F91="-",NOT(ISNUMBER(F91))),"● N/A",IF(ROUND(F91, 4) &gt;= ROUND($F$184, 4),"▲ Above Average","▼ Below Average"))</f>
        <v>▲ Above Average</v>
      </c>
    </row>
    <row r="92" spans="2:25" x14ac:dyDescent="0.2">
      <c r="B92" s="17" t="s">
        <v>40</v>
      </c>
      <c r="C92" s="18">
        <v>752</v>
      </c>
      <c r="D92" s="19">
        <v>744</v>
      </c>
      <c r="E92" s="18">
        <f>IF(OR(D92="-",D92="",D92=0),IF(C92="-","-",C92),C92-D92)</f>
        <v>8</v>
      </c>
      <c r="F92" s="20">
        <f>IFERROR(IF(C92&gt;0, D92/C92, 0),"-")</f>
        <v>0.98936170212765961</v>
      </c>
      <c r="G92" s="18">
        <v>3</v>
      </c>
      <c r="H92" s="19">
        <v>1</v>
      </c>
      <c r="I92" s="18">
        <f>IF(OR(H92="-",H92="",H92=0),IF(G92="-","-",G92),G92-H92)</f>
        <v>2</v>
      </c>
      <c r="J92" s="20">
        <f>IFERROR(IF(G92&gt;0, H92/G92, 0),"-")</f>
        <v>0.33333333333333331</v>
      </c>
      <c r="K92" s="18">
        <v>1</v>
      </c>
      <c r="L92" s="19">
        <v>1</v>
      </c>
      <c r="M92" s="18">
        <f>IF(OR(L92="-",L92="",L92=0),IF(K92="-","-",K92),K92-L92)</f>
        <v>0</v>
      </c>
      <c r="N92" s="20">
        <f>IFERROR(IF(K92&gt;0, L92/K92, 0),"-")</f>
        <v>1</v>
      </c>
      <c r="O92" s="18">
        <v>1</v>
      </c>
      <c r="P92" s="19">
        <v>1</v>
      </c>
      <c r="Q92" s="18">
        <f>IF(OR(P92="-",P92="",P92=0),IF(O92="-","-",O92),O92-P92)</f>
        <v>0</v>
      </c>
      <c r="R92" s="20">
        <f>IFERROR(IF(O92&gt;0, P92/O92, 0),"-")</f>
        <v>1</v>
      </c>
      <c r="S92" s="18">
        <v>3</v>
      </c>
      <c r="T92" s="18">
        <v>1</v>
      </c>
      <c r="U92" s="18">
        <v>5390</v>
      </c>
      <c r="V92" s="19" t="s">
        <v>959</v>
      </c>
      <c r="W92" s="19" t="s">
        <v>959</v>
      </c>
      <c r="X92" s="24">
        <f>RANK(F92,$F$57:$F$183,0)</f>
        <v>36</v>
      </c>
      <c r="Y92" s="3" t="str">
        <f>IF(OR(ISERROR(F92),F92="-",NOT(ISNUMBER(F92))),"● N/A",IF(ROUND(F92, 4) &gt;= ROUND($F$184, 4),"▲ Above Average","▼ Below Average"))</f>
        <v>▲ Above Average</v>
      </c>
    </row>
    <row r="93" spans="2:25" x14ac:dyDescent="0.2">
      <c r="B93" s="17" t="s">
        <v>95</v>
      </c>
      <c r="C93" s="18">
        <v>564</v>
      </c>
      <c r="D93" s="19">
        <v>558</v>
      </c>
      <c r="E93" s="18">
        <f>IF(OR(D93="-",D93="",D93=0),IF(C93="-","-",C93),C93-D93)</f>
        <v>6</v>
      </c>
      <c r="F93" s="20">
        <f>IFERROR(IF(C93&gt;0, D93/C93, 0),"-")</f>
        <v>0.98936170212765961</v>
      </c>
      <c r="G93" s="18">
        <v>1</v>
      </c>
      <c r="H93" s="19" t="s">
        <v>959</v>
      </c>
      <c r="I93" s="18">
        <f>IF(OR(H93="-",H93="",H93=0),IF(G93="-","-",G93),G93-H93)</f>
        <v>1</v>
      </c>
      <c r="J93" s="20" t="str">
        <f>IFERROR(IF(G93&gt;0, H93/G93, 0),"-")</f>
        <v>-</v>
      </c>
      <c r="K93" s="18" t="s">
        <v>959</v>
      </c>
      <c r="L93" s="19" t="s">
        <v>959</v>
      </c>
      <c r="M93" s="18" t="str">
        <f>IF(OR(L93="-",L93="",L93=0),IF(K93="-","-",K93),K93-L93)</f>
        <v>-</v>
      </c>
      <c r="N93" s="20" t="str">
        <f>IFERROR(IF(K93&gt;0, L93/K93, 0),"-")</f>
        <v>-</v>
      </c>
      <c r="O93" s="18">
        <v>2</v>
      </c>
      <c r="P93" s="19" t="s">
        <v>959</v>
      </c>
      <c r="Q93" s="18">
        <f>IF(OR(P93="-",P93="",P93=0),IF(O93="-","-",O93),O93-P93)</f>
        <v>2</v>
      </c>
      <c r="R93" s="20" t="str">
        <f>IFERROR(IF(O93&gt;0, P93/O93, 0),"-")</f>
        <v>-</v>
      </c>
      <c r="S93" s="18">
        <v>8</v>
      </c>
      <c r="T93" s="18" t="s">
        <v>959</v>
      </c>
      <c r="U93" s="18" t="s">
        <v>959</v>
      </c>
      <c r="V93" s="19" t="s">
        <v>959</v>
      </c>
      <c r="W93" s="19" t="s">
        <v>959</v>
      </c>
      <c r="X93" s="24">
        <f>RANK(F93,$F$57:$F$183,0)</f>
        <v>36</v>
      </c>
      <c r="Y93" s="3" t="str">
        <f>IF(OR(ISERROR(F93),F93="-",NOT(ISNUMBER(F93))),"● N/A",IF(ROUND(F93, 4) &gt;= ROUND($F$184, 4),"▲ Above Average","▼ Below Average"))</f>
        <v>▲ Above Average</v>
      </c>
    </row>
    <row r="94" spans="2:25" x14ac:dyDescent="0.2">
      <c r="B94" s="17" t="s">
        <v>5</v>
      </c>
      <c r="C94" s="18">
        <v>563</v>
      </c>
      <c r="D94" s="19">
        <v>557</v>
      </c>
      <c r="E94" s="18">
        <f>IF(OR(D94="-",D94="",D94=0),IF(C94="-","-",C94),C94-D94)</f>
        <v>6</v>
      </c>
      <c r="F94" s="20">
        <f>IFERROR(IF(C94&gt;0, D94/C94, 0),"-")</f>
        <v>0.98934280639431615</v>
      </c>
      <c r="G94" s="18">
        <v>4</v>
      </c>
      <c r="H94" s="19">
        <v>1</v>
      </c>
      <c r="I94" s="18">
        <f>IF(OR(H94="-",H94="",H94=0),IF(G94="-","-",G94),G94-H94)</f>
        <v>3</v>
      </c>
      <c r="J94" s="20">
        <f>IFERROR(IF(G94&gt;0, H94/G94, 0),"-")</f>
        <v>0.25</v>
      </c>
      <c r="K94" s="18">
        <v>1</v>
      </c>
      <c r="L94" s="19" t="s">
        <v>959</v>
      </c>
      <c r="M94" s="18">
        <f>IF(OR(L94="-",L94="",L94=0),IF(K94="-","-",K94),K94-L94)</f>
        <v>1</v>
      </c>
      <c r="N94" s="20" t="str">
        <f>IFERROR(IF(K94&gt;0, L94/K94, 0),"-")</f>
        <v>-</v>
      </c>
      <c r="O94" s="18">
        <v>2</v>
      </c>
      <c r="P94" s="19">
        <v>1</v>
      </c>
      <c r="Q94" s="18">
        <f>IF(OR(P94="-",P94="",P94=0),IF(O94="-","-",O94),O94-P94)</f>
        <v>1</v>
      </c>
      <c r="R94" s="20">
        <f>IFERROR(IF(O94&gt;0, P94/O94, 0),"-")</f>
        <v>0.5</v>
      </c>
      <c r="S94" s="18">
        <v>1</v>
      </c>
      <c r="T94" s="18" t="s">
        <v>959</v>
      </c>
      <c r="U94" s="18" t="s">
        <v>959</v>
      </c>
      <c r="V94" s="19" t="s">
        <v>959</v>
      </c>
      <c r="W94" s="19" t="s">
        <v>959</v>
      </c>
      <c r="X94" s="24">
        <f>RANK(F94,$F$57:$F$183,0)</f>
        <v>38</v>
      </c>
      <c r="Y94" s="3" t="str">
        <f>IF(OR(ISERROR(F94),F94="-",NOT(ISNUMBER(F94))),"● N/A",IF(ROUND(F94, 4) &gt;= ROUND($F$184, 4),"▲ Above Average","▼ Below Average"))</f>
        <v>▲ Above Average</v>
      </c>
    </row>
    <row r="95" spans="2:25" x14ac:dyDescent="0.2">
      <c r="B95" s="17" t="s">
        <v>86</v>
      </c>
      <c r="C95" s="18">
        <v>746</v>
      </c>
      <c r="D95" s="19">
        <v>738</v>
      </c>
      <c r="E95" s="18">
        <f>IF(OR(D95="-",D95="",D95=0),IF(C95="-","-",C95),C95-D95)</f>
        <v>8</v>
      </c>
      <c r="F95" s="20">
        <f>IFERROR(IF(C95&gt;0, D95/C95, 0),"-")</f>
        <v>0.98927613941018766</v>
      </c>
      <c r="G95" s="18">
        <v>7</v>
      </c>
      <c r="H95" s="19">
        <v>2</v>
      </c>
      <c r="I95" s="18">
        <f>IF(OR(H95="-",H95="",H95=0),IF(G95="-","-",G95),G95-H95)</f>
        <v>5</v>
      </c>
      <c r="J95" s="20">
        <f>IFERROR(IF(G95&gt;0, H95/G95, 0),"-")</f>
        <v>0.2857142857142857</v>
      </c>
      <c r="K95" s="18">
        <v>1</v>
      </c>
      <c r="L95" s="19" t="s">
        <v>959</v>
      </c>
      <c r="M95" s="18">
        <f>IF(OR(L95="-",L95="",L95=0),IF(K95="-","-",K95),K95-L95)</f>
        <v>1</v>
      </c>
      <c r="N95" s="20" t="str">
        <f>IFERROR(IF(K95&gt;0, L95/K95, 0),"-")</f>
        <v>-</v>
      </c>
      <c r="O95" s="18">
        <v>4</v>
      </c>
      <c r="P95" s="19">
        <v>1</v>
      </c>
      <c r="Q95" s="18">
        <f>IF(OR(P95="-",P95="",P95=0),IF(O95="-","-",O95),O95-P95)</f>
        <v>3</v>
      </c>
      <c r="R95" s="20">
        <f>IFERROR(IF(O95&gt;0, P95/O95, 0),"-")</f>
        <v>0.25</v>
      </c>
      <c r="S95" s="18">
        <v>1</v>
      </c>
      <c r="T95" s="18" t="s">
        <v>959</v>
      </c>
      <c r="U95" s="18" t="s">
        <v>959</v>
      </c>
      <c r="V95" s="19" t="s">
        <v>959</v>
      </c>
      <c r="W95" s="19" t="s">
        <v>959</v>
      </c>
      <c r="X95" s="24">
        <f>RANK(F95,$F$57:$F$183,0)</f>
        <v>39</v>
      </c>
      <c r="Y95" s="3" t="str">
        <f>IF(OR(ISERROR(F95),F95="-",NOT(ISNUMBER(F95))),"● N/A",IF(ROUND(F95, 4) &gt;= ROUND($F$184, 4),"▲ Above Average","▼ Below Average"))</f>
        <v>▲ Above Average</v>
      </c>
    </row>
    <row r="96" spans="2:25" x14ac:dyDescent="0.2">
      <c r="B96" s="17" t="s">
        <v>45</v>
      </c>
      <c r="C96" s="18">
        <v>556</v>
      </c>
      <c r="D96" s="19">
        <v>550</v>
      </c>
      <c r="E96" s="18">
        <f>IF(OR(D96="-",D96="",D96=0),IF(C96="-","-",C96),C96-D96)</f>
        <v>6</v>
      </c>
      <c r="F96" s="20">
        <f>IFERROR(IF(C96&gt;0, D96/C96, 0),"-")</f>
        <v>0.98920863309352514</v>
      </c>
      <c r="G96" s="18">
        <v>1</v>
      </c>
      <c r="H96" s="19" t="s">
        <v>959</v>
      </c>
      <c r="I96" s="18">
        <f>IF(OR(H96="-",H96="",H96=0),IF(G96="-","-",G96),G96-H96)</f>
        <v>1</v>
      </c>
      <c r="J96" s="20" t="str">
        <f>IFERROR(IF(G96&gt;0, H96/G96, 0),"-")</f>
        <v>-</v>
      </c>
      <c r="K96" s="18">
        <v>2</v>
      </c>
      <c r="L96" s="19" t="s">
        <v>959</v>
      </c>
      <c r="M96" s="18">
        <f>IF(OR(L96="-",L96="",L96=0),IF(K96="-","-",K96),K96-L96)</f>
        <v>2</v>
      </c>
      <c r="N96" s="20" t="str">
        <f>IFERROR(IF(K96&gt;0, L96/K96, 0),"-")</f>
        <v>-</v>
      </c>
      <c r="O96" s="18" t="s">
        <v>959</v>
      </c>
      <c r="P96" s="19" t="s">
        <v>959</v>
      </c>
      <c r="Q96" s="18" t="str">
        <f>IF(OR(P96="-",P96="",P96=0),IF(O96="-","-",O96),O96-P96)</f>
        <v>-</v>
      </c>
      <c r="R96" s="20" t="str">
        <f>IFERROR(IF(O96&gt;0, P96/O96, 0),"-")</f>
        <v>-</v>
      </c>
      <c r="S96" s="18" t="s">
        <v>959</v>
      </c>
      <c r="T96" s="18" t="s">
        <v>959</v>
      </c>
      <c r="U96" s="18" t="s">
        <v>959</v>
      </c>
      <c r="V96" s="19" t="s">
        <v>959</v>
      </c>
      <c r="W96" s="19" t="s">
        <v>959</v>
      </c>
      <c r="X96" s="24">
        <f>RANK(F96,$F$57:$F$183,0)</f>
        <v>40</v>
      </c>
      <c r="Y96" s="3" t="str">
        <f>IF(OR(ISERROR(F96),F96="-",NOT(ISNUMBER(F96))),"● N/A",IF(ROUND(F96, 4) &gt;= ROUND($F$184, 4),"▲ Above Average","▼ Below Average"))</f>
        <v>▲ Above Average</v>
      </c>
    </row>
    <row r="97" spans="2:25" x14ac:dyDescent="0.2">
      <c r="B97" s="17" t="s">
        <v>23</v>
      </c>
      <c r="C97" s="18">
        <v>553</v>
      </c>
      <c r="D97" s="19">
        <v>547</v>
      </c>
      <c r="E97" s="18">
        <f>IF(OR(D97="-",D97="",D97=0),IF(C97="-","-",C97),C97-D97)</f>
        <v>6</v>
      </c>
      <c r="F97" s="20">
        <f>IFERROR(IF(C97&gt;0, D97/C97, 0),"-")</f>
        <v>0.98915009041591317</v>
      </c>
      <c r="G97" s="18">
        <v>3</v>
      </c>
      <c r="H97" s="19">
        <v>2</v>
      </c>
      <c r="I97" s="18">
        <f>IF(OR(H97="-",H97="",H97=0),IF(G97="-","-",G97),G97-H97)</f>
        <v>1</v>
      </c>
      <c r="J97" s="20">
        <f>IFERROR(IF(G97&gt;0, H97/G97, 0),"-")</f>
        <v>0.66666666666666663</v>
      </c>
      <c r="K97" s="18" t="s">
        <v>959</v>
      </c>
      <c r="L97" s="19" t="s">
        <v>959</v>
      </c>
      <c r="M97" s="18" t="str">
        <f>IF(OR(L97="-",L97="",L97=0),IF(K97="-","-",K97),K97-L97)</f>
        <v>-</v>
      </c>
      <c r="N97" s="20" t="str">
        <f>IFERROR(IF(K97&gt;0, L97/K97, 0),"-")</f>
        <v>-</v>
      </c>
      <c r="O97" s="18">
        <v>2</v>
      </c>
      <c r="P97" s="19">
        <v>1</v>
      </c>
      <c r="Q97" s="18">
        <f>IF(OR(P97="-",P97="",P97=0),IF(O97="-","-",O97),O97-P97)</f>
        <v>1</v>
      </c>
      <c r="R97" s="20">
        <f>IFERROR(IF(O97&gt;0, P97/O97, 0),"-")</f>
        <v>0.5</v>
      </c>
      <c r="S97" s="18">
        <v>2</v>
      </c>
      <c r="T97" s="18" t="s">
        <v>959</v>
      </c>
      <c r="U97" s="18" t="s">
        <v>959</v>
      </c>
      <c r="V97" s="19" t="s">
        <v>959</v>
      </c>
      <c r="W97" s="19" t="s">
        <v>959</v>
      </c>
      <c r="X97" s="24">
        <f>RANK(F97,$F$57:$F$183,0)</f>
        <v>41</v>
      </c>
      <c r="Y97" s="3" t="str">
        <f>IF(OR(ISERROR(F97),F97="-",NOT(ISNUMBER(F97))),"● N/A",IF(ROUND(F97, 4) &gt;= ROUND($F$184, 4),"▲ Above Average","▼ Below Average"))</f>
        <v>▲ Above Average</v>
      </c>
    </row>
    <row r="98" spans="2:25" x14ac:dyDescent="0.2">
      <c r="B98" s="17" t="s">
        <v>48</v>
      </c>
      <c r="C98" s="18">
        <v>534</v>
      </c>
      <c r="D98" s="19">
        <v>528</v>
      </c>
      <c r="E98" s="18">
        <f>IF(OR(D98="-",D98="",D98=0),IF(C98="-","-",C98),C98-D98)</f>
        <v>6</v>
      </c>
      <c r="F98" s="20">
        <f>IFERROR(IF(C98&gt;0, D98/C98, 0),"-")</f>
        <v>0.9887640449438202</v>
      </c>
      <c r="G98" s="18">
        <v>2</v>
      </c>
      <c r="H98" s="19" t="s">
        <v>959</v>
      </c>
      <c r="I98" s="18">
        <f>IF(OR(H98="-",H98="",H98=0),IF(G98="-","-",G98),G98-H98)</f>
        <v>2</v>
      </c>
      <c r="J98" s="20" t="str">
        <f>IFERROR(IF(G98&gt;0, H98/G98, 0),"-")</f>
        <v>-</v>
      </c>
      <c r="K98" s="18">
        <v>1</v>
      </c>
      <c r="L98" s="19" t="s">
        <v>959</v>
      </c>
      <c r="M98" s="18">
        <f>IF(OR(L98="-",L98="",L98=0),IF(K98="-","-",K98),K98-L98)</f>
        <v>1</v>
      </c>
      <c r="N98" s="20" t="str">
        <f>IFERROR(IF(K98&gt;0, L98/K98, 0),"-")</f>
        <v>-</v>
      </c>
      <c r="O98" s="18">
        <v>3</v>
      </c>
      <c r="P98" s="19" t="s">
        <v>959</v>
      </c>
      <c r="Q98" s="18">
        <f>IF(OR(P98="-",P98="",P98=0),IF(O98="-","-",O98),O98-P98)</f>
        <v>3</v>
      </c>
      <c r="R98" s="20" t="str">
        <f>IFERROR(IF(O98&gt;0, P98/O98, 0),"-")</f>
        <v>-</v>
      </c>
      <c r="S98" s="18">
        <v>3</v>
      </c>
      <c r="T98" s="18" t="s">
        <v>959</v>
      </c>
      <c r="U98" s="18" t="s">
        <v>959</v>
      </c>
      <c r="V98" s="19" t="s">
        <v>959</v>
      </c>
      <c r="W98" s="19" t="s">
        <v>959</v>
      </c>
      <c r="X98" s="24">
        <f>RANK(F98,$F$57:$F$183,0)</f>
        <v>42</v>
      </c>
      <c r="Y98" s="3" t="str">
        <f>IF(OR(ISERROR(F98),F98="-",NOT(ISNUMBER(F98))),"● N/A",IF(ROUND(F98, 4) &gt;= ROUND($F$184, 4),"▲ Above Average","▼ Below Average"))</f>
        <v>▲ Above Average</v>
      </c>
    </row>
    <row r="99" spans="2:25" x14ac:dyDescent="0.2">
      <c r="B99" s="17" t="s">
        <v>75</v>
      </c>
      <c r="C99" s="18">
        <v>443</v>
      </c>
      <c r="D99" s="19">
        <v>438</v>
      </c>
      <c r="E99" s="18">
        <f>IF(OR(D99="-",D99="",D99=0),IF(C99="-","-",C99),C99-D99)</f>
        <v>5</v>
      </c>
      <c r="F99" s="20">
        <f>IFERROR(IF(C99&gt;0, D99/C99, 0),"-")</f>
        <v>0.98871331828442433</v>
      </c>
      <c r="G99" s="18">
        <v>4</v>
      </c>
      <c r="H99" s="19">
        <v>1</v>
      </c>
      <c r="I99" s="18">
        <f>IF(OR(H99="-",H99="",H99=0),IF(G99="-","-",G99),G99-H99)</f>
        <v>3</v>
      </c>
      <c r="J99" s="20">
        <f>IFERROR(IF(G99&gt;0, H99/G99, 0),"-")</f>
        <v>0.25</v>
      </c>
      <c r="K99" s="18" t="s">
        <v>959</v>
      </c>
      <c r="L99" s="19" t="s">
        <v>959</v>
      </c>
      <c r="M99" s="18" t="str">
        <f>IF(OR(L99="-",L99="",L99=0),IF(K99="-","-",K99),K99-L99)</f>
        <v>-</v>
      </c>
      <c r="N99" s="20" t="str">
        <f>IFERROR(IF(K99&gt;0, L99/K99, 0),"-")</f>
        <v>-</v>
      </c>
      <c r="O99" s="18" t="s">
        <v>959</v>
      </c>
      <c r="P99" s="19" t="s">
        <v>959</v>
      </c>
      <c r="Q99" s="18" t="str">
        <f>IF(OR(P99="-",P99="",P99=0),IF(O99="-","-",O99),O99-P99)</f>
        <v>-</v>
      </c>
      <c r="R99" s="20" t="str">
        <f>IFERROR(IF(O99&gt;0, P99/O99, 0),"-")</f>
        <v>-</v>
      </c>
      <c r="S99" s="18" t="s">
        <v>959</v>
      </c>
      <c r="T99" s="18" t="s">
        <v>959</v>
      </c>
      <c r="U99" s="18" t="s">
        <v>959</v>
      </c>
      <c r="V99" s="19" t="s">
        <v>959</v>
      </c>
      <c r="W99" s="19" t="s">
        <v>959</v>
      </c>
      <c r="X99" s="24">
        <f>RANK(F99,$F$57:$F$183,0)</f>
        <v>43</v>
      </c>
      <c r="Y99" s="3" t="str">
        <f>IF(OR(ISERROR(F99),F99="-",NOT(ISNUMBER(F99))),"● N/A",IF(ROUND(F99, 4) &gt;= ROUND($F$184, 4),"▲ Above Average","▼ Below Average"))</f>
        <v>▲ Above Average</v>
      </c>
    </row>
    <row r="100" spans="2:25" x14ac:dyDescent="0.2">
      <c r="B100" s="17" t="s">
        <v>125</v>
      </c>
      <c r="C100" s="18">
        <v>351</v>
      </c>
      <c r="D100" s="19">
        <v>347</v>
      </c>
      <c r="E100" s="18">
        <f>IF(OR(D100="-",D100="",D100=0),IF(C100="-","-",C100),C100-D100)</f>
        <v>4</v>
      </c>
      <c r="F100" s="20">
        <f>IFERROR(IF(C100&gt;0, D100/C100, 0),"-")</f>
        <v>0.98860398860398857</v>
      </c>
      <c r="G100" s="18">
        <v>3</v>
      </c>
      <c r="H100" s="19">
        <v>1</v>
      </c>
      <c r="I100" s="18">
        <f>IF(OR(H100="-",H100="",H100=0),IF(G100="-","-",G100),G100-H100)</f>
        <v>2</v>
      </c>
      <c r="J100" s="20">
        <f>IFERROR(IF(G100&gt;0, H100/G100, 0),"-")</f>
        <v>0.33333333333333331</v>
      </c>
      <c r="K100" s="18" t="s">
        <v>959</v>
      </c>
      <c r="L100" s="19" t="s">
        <v>959</v>
      </c>
      <c r="M100" s="18" t="str">
        <f>IF(OR(L100="-",L100="",L100=0),IF(K100="-","-",K100),K100-L100)</f>
        <v>-</v>
      </c>
      <c r="N100" s="20" t="str">
        <f>IFERROR(IF(K100&gt;0, L100/K100, 0),"-")</f>
        <v>-</v>
      </c>
      <c r="O100" s="18">
        <v>6</v>
      </c>
      <c r="P100" s="19" t="s">
        <v>959</v>
      </c>
      <c r="Q100" s="18">
        <f>IF(OR(P100="-",P100="",P100=0),IF(O100="-","-",O100),O100-P100)</f>
        <v>6</v>
      </c>
      <c r="R100" s="20" t="str">
        <f>IFERROR(IF(O100&gt;0, P100/O100, 0),"-")</f>
        <v>-</v>
      </c>
      <c r="S100" s="18" t="s">
        <v>959</v>
      </c>
      <c r="T100" s="18" t="s">
        <v>959</v>
      </c>
      <c r="U100" s="18" t="s">
        <v>959</v>
      </c>
      <c r="V100" s="19" t="s">
        <v>959</v>
      </c>
      <c r="W100" s="19" t="s">
        <v>959</v>
      </c>
      <c r="X100" s="24">
        <f>RANK(F100,$F$57:$F$183,0)</f>
        <v>44</v>
      </c>
      <c r="Y100" s="3" t="str">
        <f>IF(OR(ISERROR(F100),F100="-",NOT(ISNUMBER(F100))),"● N/A",IF(ROUND(F100, 4) &gt;= ROUND($F$184, 4),"▲ Above Average","▼ Below Average"))</f>
        <v>▲ Above Average</v>
      </c>
    </row>
    <row r="101" spans="2:25" x14ac:dyDescent="0.2">
      <c r="B101" s="17" t="s">
        <v>57</v>
      </c>
      <c r="C101" s="18">
        <v>257</v>
      </c>
      <c r="D101" s="19">
        <v>254</v>
      </c>
      <c r="E101" s="18">
        <f>IF(OR(D101="-",D101="",D101=0),IF(C101="-","-",C101),C101-D101)</f>
        <v>3</v>
      </c>
      <c r="F101" s="20">
        <f>IFERROR(IF(C101&gt;0, D101/C101, 0),"-")</f>
        <v>0.98832684824902728</v>
      </c>
      <c r="G101" s="18">
        <v>1</v>
      </c>
      <c r="H101" s="19" t="s">
        <v>959</v>
      </c>
      <c r="I101" s="18">
        <f>IF(OR(H101="-",H101="",H101=0),IF(G101="-","-",G101),G101-H101)</f>
        <v>1</v>
      </c>
      <c r="J101" s="20" t="str">
        <f>IFERROR(IF(G101&gt;0, H101/G101, 0),"-")</f>
        <v>-</v>
      </c>
      <c r="K101" s="18">
        <v>2</v>
      </c>
      <c r="L101" s="19" t="s">
        <v>959</v>
      </c>
      <c r="M101" s="18">
        <f>IF(OR(L101="-",L101="",L101=0),IF(K101="-","-",K101),K101-L101)</f>
        <v>2</v>
      </c>
      <c r="N101" s="20" t="str">
        <f>IFERROR(IF(K101&gt;0, L101/K101, 0),"-")</f>
        <v>-</v>
      </c>
      <c r="O101" s="18">
        <v>2</v>
      </c>
      <c r="P101" s="19" t="s">
        <v>959</v>
      </c>
      <c r="Q101" s="18">
        <f>IF(OR(P101="-",P101="",P101=0),IF(O101="-","-",O101),O101-P101)</f>
        <v>2</v>
      </c>
      <c r="R101" s="20" t="str">
        <f>IFERROR(IF(O101&gt;0, P101/O101, 0),"-")</f>
        <v>-</v>
      </c>
      <c r="S101" s="18">
        <v>1</v>
      </c>
      <c r="T101" s="18" t="s">
        <v>959</v>
      </c>
      <c r="U101" s="18" t="s">
        <v>959</v>
      </c>
      <c r="V101" s="19" t="s">
        <v>959</v>
      </c>
      <c r="W101" s="19" t="s">
        <v>959</v>
      </c>
      <c r="X101" s="24">
        <f>RANK(F101,$F$57:$F$183,0)</f>
        <v>45</v>
      </c>
      <c r="Y101" s="3" t="str">
        <f>IF(OR(ISERROR(F101),F101="-",NOT(ISNUMBER(F101))),"● N/A",IF(ROUND(F101, 4) &gt;= ROUND($F$184, 4),"▲ Above Average","▼ Below Average"))</f>
        <v>▲ Above Average</v>
      </c>
    </row>
    <row r="102" spans="2:25" x14ac:dyDescent="0.2">
      <c r="B102" s="17" t="s">
        <v>58</v>
      </c>
      <c r="C102" s="18">
        <v>342</v>
      </c>
      <c r="D102" s="19">
        <v>338</v>
      </c>
      <c r="E102" s="18">
        <f>IF(OR(D102="-",D102="",D102=0),IF(C102="-","-",C102),C102-D102)</f>
        <v>4</v>
      </c>
      <c r="F102" s="20">
        <f>IFERROR(IF(C102&gt;0, D102/C102, 0),"-")</f>
        <v>0.98830409356725146</v>
      </c>
      <c r="G102" s="18">
        <v>1</v>
      </c>
      <c r="H102" s="19" t="s">
        <v>959</v>
      </c>
      <c r="I102" s="18">
        <f>IF(OR(H102="-",H102="",H102=0),IF(G102="-","-",G102),G102-H102)</f>
        <v>1</v>
      </c>
      <c r="J102" s="20" t="str">
        <f>IFERROR(IF(G102&gt;0, H102/G102, 0),"-")</f>
        <v>-</v>
      </c>
      <c r="K102" s="18" t="s">
        <v>959</v>
      </c>
      <c r="L102" s="19" t="s">
        <v>959</v>
      </c>
      <c r="M102" s="18" t="str">
        <f>IF(OR(L102="-",L102="",L102=0),IF(K102="-","-",K102),K102-L102)</f>
        <v>-</v>
      </c>
      <c r="N102" s="20" t="str">
        <f>IFERROR(IF(K102&gt;0, L102/K102, 0),"-")</f>
        <v>-</v>
      </c>
      <c r="O102" s="18" t="s">
        <v>959</v>
      </c>
      <c r="P102" s="19" t="s">
        <v>959</v>
      </c>
      <c r="Q102" s="18" t="str">
        <f>IF(OR(P102="-",P102="",P102=0),IF(O102="-","-",O102),O102-P102)</f>
        <v>-</v>
      </c>
      <c r="R102" s="20" t="str">
        <f>IFERROR(IF(O102&gt;0, P102/O102, 0),"-")</f>
        <v>-</v>
      </c>
      <c r="S102" s="18">
        <v>2</v>
      </c>
      <c r="T102" s="18" t="s">
        <v>959</v>
      </c>
      <c r="U102" s="18" t="s">
        <v>959</v>
      </c>
      <c r="V102" s="19" t="s">
        <v>959</v>
      </c>
      <c r="W102" s="19" t="s">
        <v>959</v>
      </c>
      <c r="X102" s="24">
        <f>RANK(F102,$F$57:$F$183,0)</f>
        <v>46</v>
      </c>
      <c r="Y102" s="3" t="str">
        <f>IF(OR(ISERROR(F102),F102="-",NOT(ISNUMBER(F102))),"● N/A",IF(ROUND(F102, 4) &gt;= ROUND($F$184, 4),"▲ Above Average","▼ Below Average"))</f>
        <v>▲ Above Average</v>
      </c>
    </row>
    <row r="103" spans="2:25" x14ac:dyDescent="0.2">
      <c r="B103" s="17" t="s">
        <v>72</v>
      </c>
      <c r="C103" s="18">
        <v>427</v>
      </c>
      <c r="D103" s="19">
        <v>422</v>
      </c>
      <c r="E103" s="18">
        <f>IF(OR(D103="-",D103="",D103=0),IF(C103="-","-",C103),C103-D103)</f>
        <v>5</v>
      </c>
      <c r="F103" s="20">
        <f>IFERROR(IF(C103&gt;0, D103/C103, 0),"-")</f>
        <v>0.98829039812646369</v>
      </c>
      <c r="G103" s="18">
        <v>3</v>
      </c>
      <c r="H103" s="19">
        <v>1</v>
      </c>
      <c r="I103" s="18">
        <f>IF(OR(H103="-",H103="",H103=0),IF(G103="-","-",G103),G103-H103)</f>
        <v>2</v>
      </c>
      <c r="J103" s="20">
        <f>IFERROR(IF(G103&gt;0, H103/G103, 0),"-")</f>
        <v>0.33333333333333331</v>
      </c>
      <c r="K103" s="18">
        <v>3</v>
      </c>
      <c r="L103" s="19" t="s">
        <v>959</v>
      </c>
      <c r="M103" s="18">
        <f>IF(OR(L103="-",L103="",L103=0),IF(K103="-","-",K103),K103-L103)</f>
        <v>3</v>
      </c>
      <c r="N103" s="20" t="str">
        <f>IFERROR(IF(K103&gt;0, L103/K103, 0),"-")</f>
        <v>-</v>
      </c>
      <c r="O103" s="18">
        <v>2</v>
      </c>
      <c r="P103" s="19" t="s">
        <v>959</v>
      </c>
      <c r="Q103" s="18">
        <f>IF(OR(P103="-",P103="",P103=0),IF(O103="-","-",O103),O103-P103)</f>
        <v>2</v>
      </c>
      <c r="R103" s="20" t="str">
        <f>IFERROR(IF(O103&gt;0, P103/O103, 0),"-")</f>
        <v>-</v>
      </c>
      <c r="S103" s="18">
        <v>4</v>
      </c>
      <c r="T103" s="18" t="s">
        <v>959</v>
      </c>
      <c r="U103" s="18" t="s">
        <v>959</v>
      </c>
      <c r="V103" s="19" t="s">
        <v>959</v>
      </c>
      <c r="W103" s="19" t="s">
        <v>959</v>
      </c>
      <c r="X103" s="24">
        <f>RANK(F103,$F$57:$F$183,0)</f>
        <v>47</v>
      </c>
      <c r="Y103" s="3" t="str">
        <f>IF(OR(ISERROR(F103),F103="-",NOT(ISNUMBER(F103))),"● N/A",IF(ROUND(F103, 4) &gt;= ROUND($F$184, 4),"▲ Above Average","▼ Below Average"))</f>
        <v>▲ Above Average</v>
      </c>
    </row>
    <row r="104" spans="2:25" x14ac:dyDescent="0.2">
      <c r="B104" s="17" t="s">
        <v>99</v>
      </c>
      <c r="C104" s="18">
        <v>511</v>
      </c>
      <c r="D104" s="19">
        <v>505</v>
      </c>
      <c r="E104" s="18">
        <f>IF(OR(D104="-",D104="",D104=0),IF(C104="-","-",C104),C104-D104)</f>
        <v>6</v>
      </c>
      <c r="F104" s="20">
        <f>IFERROR(IF(C104&gt;0, D104/C104, 0),"-")</f>
        <v>0.98825831702544031</v>
      </c>
      <c r="G104" s="18">
        <v>3</v>
      </c>
      <c r="H104" s="19">
        <v>2</v>
      </c>
      <c r="I104" s="18">
        <f>IF(OR(H104="-",H104="",H104=0),IF(G104="-","-",G104),G104-H104)</f>
        <v>1</v>
      </c>
      <c r="J104" s="20">
        <f>IFERROR(IF(G104&gt;0, H104/G104, 0),"-")</f>
        <v>0.66666666666666663</v>
      </c>
      <c r="K104" s="18">
        <v>2</v>
      </c>
      <c r="L104" s="19" t="s">
        <v>959</v>
      </c>
      <c r="M104" s="18">
        <f>IF(OR(L104="-",L104="",L104=0),IF(K104="-","-",K104),K104-L104)</f>
        <v>2</v>
      </c>
      <c r="N104" s="20" t="str">
        <f>IFERROR(IF(K104&gt;0, L104/K104, 0),"-")</f>
        <v>-</v>
      </c>
      <c r="O104" s="18">
        <v>1</v>
      </c>
      <c r="P104" s="19" t="s">
        <v>959</v>
      </c>
      <c r="Q104" s="18">
        <f>IF(OR(P104="-",P104="",P104=0),IF(O104="-","-",O104),O104-P104)</f>
        <v>1</v>
      </c>
      <c r="R104" s="20" t="str">
        <f>IFERROR(IF(O104&gt;0, P104/O104, 0),"-")</f>
        <v>-</v>
      </c>
      <c r="S104" s="18">
        <v>4</v>
      </c>
      <c r="T104" s="18" t="s">
        <v>959</v>
      </c>
      <c r="U104" s="18" t="s">
        <v>959</v>
      </c>
      <c r="V104" s="19" t="s">
        <v>959</v>
      </c>
      <c r="W104" s="19" t="s">
        <v>959</v>
      </c>
      <c r="X104" s="24">
        <f>RANK(F104,$F$57:$F$183,0)</f>
        <v>48</v>
      </c>
      <c r="Y104" s="3" t="str">
        <f>IF(OR(ISERROR(F104),F104="-",NOT(ISNUMBER(F104))),"● N/A",IF(ROUND(F104, 4) &gt;= ROUND($F$184, 4),"▲ Above Average","▼ Below Average"))</f>
        <v>▲ Above Average</v>
      </c>
    </row>
    <row r="105" spans="2:25" x14ac:dyDescent="0.2">
      <c r="B105" s="17" t="s">
        <v>41</v>
      </c>
      <c r="C105" s="18">
        <v>487</v>
      </c>
      <c r="D105" s="19">
        <v>481</v>
      </c>
      <c r="E105" s="18">
        <f>IF(OR(D105="-",D105="",D105=0),IF(C105="-","-",C105),C105-D105)</f>
        <v>6</v>
      </c>
      <c r="F105" s="20">
        <f>IFERROR(IF(C105&gt;0, D105/C105, 0),"-")</f>
        <v>0.98767967145790558</v>
      </c>
      <c r="G105" s="18">
        <v>4</v>
      </c>
      <c r="H105" s="19">
        <v>1</v>
      </c>
      <c r="I105" s="18">
        <f>IF(OR(H105="-",H105="",H105=0),IF(G105="-","-",G105),G105-H105)</f>
        <v>3</v>
      </c>
      <c r="J105" s="20">
        <f>IFERROR(IF(G105&gt;0, H105/G105, 0),"-")</f>
        <v>0.25</v>
      </c>
      <c r="K105" s="18">
        <v>1</v>
      </c>
      <c r="L105" s="19" t="s">
        <v>959</v>
      </c>
      <c r="M105" s="18">
        <f>IF(OR(L105="-",L105="",L105=0),IF(K105="-","-",K105),K105-L105)</f>
        <v>1</v>
      </c>
      <c r="N105" s="20" t="str">
        <f>IFERROR(IF(K105&gt;0, L105/K105, 0),"-")</f>
        <v>-</v>
      </c>
      <c r="O105" s="18">
        <v>1</v>
      </c>
      <c r="P105" s="19" t="s">
        <v>959</v>
      </c>
      <c r="Q105" s="18">
        <f>IF(OR(P105="-",P105="",P105=0),IF(O105="-","-",O105),O105-P105)</f>
        <v>1</v>
      </c>
      <c r="R105" s="20" t="str">
        <f>IFERROR(IF(O105&gt;0, P105/O105, 0),"-")</f>
        <v>-</v>
      </c>
      <c r="S105" s="18" t="s">
        <v>959</v>
      </c>
      <c r="T105" s="18" t="s">
        <v>959</v>
      </c>
      <c r="U105" s="18" t="s">
        <v>959</v>
      </c>
      <c r="V105" s="19" t="s">
        <v>959</v>
      </c>
      <c r="W105" s="19" t="s">
        <v>959</v>
      </c>
      <c r="X105" s="24">
        <f>RANK(F105,$F$57:$F$183,0)</f>
        <v>49</v>
      </c>
      <c r="Y105" s="3" t="str">
        <f>IF(OR(ISERROR(F105),F105="-",NOT(ISNUMBER(F105))),"● N/A",IF(ROUND(F105, 4) &gt;= ROUND($F$184, 4),"▲ Above Average","▼ Below Average"))</f>
        <v>▲ Above Average</v>
      </c>
    </row>
    <row r="106" spans="2:25" x14ac:dyDescent="0.2">
      <c r="B106" s="17" t="s">
        <v>102</v>
      </c>
      <c r="C106" s="18">
        <v>646</v>
      </c>
      <c r="D106" s="19">
        <v>638</v>
      </c>
      <c r="E106" s="18">
        <f>IF(OR(D106="-",D106="",D106=0),IF(C106="-","-",C106),C106-D106)</f>
        <v>8</v>
      </c>
      <c r="F106" s="20">
        <f>IFERROR(IF(C106&gt;0, D106/C106, 0),"-")</f>
        <v>0.9876160990712074</v>
      </c>
      <c r="G106" s="18">
        <v>1</v>
      </c>
      <c r="H106" s="19" t="s">
        <v>959</v>
      </c>
      <c r="I106" s="18">
        <f>IF(OR(H106="-",H106="",H106=0),IF(G106="-","-",G106),G106-H106)</f>
        <v>1</v>
      </c>
      <c r="J106" s="20" t="str">
        <f>IFERROR(IF(G106&gt;0, H106/G106, 0),"-")</f>
        <v>-</v>
      </c>
      <c r="K106" s="18">
        <v>1</v>
      </c>
      <c r="L106" s="19" t="s">
        <v>959</v>
      </c>
      <c r="M106" s="18">
        <f>IF(OR(L106="-",L106="",L106=0),IF(K106="-","-",K106),K106-L106)</f>
        <v>1</v>
      </c>
      <c r="N106" s="20" t="str">
        <f>IFERROR(IF(K106&gt;0, L106/K106, 0),"-")</f>
        <v>-</v>
      </c>
      <c r="O106" s="18" t="s">
        <v>959</v>
      </c>
      <c r="P106" s="19" t="s">
        <v>959</v>
      </c>
      <c r="Q106" s="18" t="str">
        <f>IF(OR(P106="-",P106="",P106=0),IF(O106="-","-",O106),O106-P106)</f>
        <v>-</v>
      </c>
      <c r="R106" s="20" t="str">
        <f>IFERROR(IF(O106&gt;0, P106/O106, 0),"-")</f>
        <v>-</v>
      </c>
      <c r="S106" s="18">
        <v>2</v>
      </c>
      <c r="T106" s="18" t="s">
        <v>959</v>
      </c>
      <c r="U106" s="18" t="s">
        <v>959</v>
      </c>
      <c r="V106" s="19" t="s">
        <v>959</v>
      </c>
      <c r="W106" s="19" t="s">
        <v>959</v>
      </c>
      <c r="X106" s="24">
        <f>RANK(F106,$F$57:$F$183,0)</f>
        <v>50</v>
      </c>
      <c r="Y106" s="3" t="str">
        <f>IF(OR(ISERROR(F106),F106="-",NOT(ISNUMBER(F106))),"● N/A",IF(ROUND(F106, 4) &gt;= ROUND($F$184, 4),"▲ Above Average","▼ Below Average"))</f>
        <v>▲ Above Average</v>
      </c>
    </row>
    <row r="107" spans="2:25" x14ac:dyDescent="0.2">
      <c r="B107" s="17" t="s">
        <v>90</v>
      </c>
      <c r="C107" s="18">
        <v>479</v>
      </c>
      <c r="D107" s="19">
        <v>473</v>
      </c>
      <c r="E107" s="18">
        <f>IF(OR(D107="-",D107="",D107=0),IF(C107="-","-",C107),C107-D107)</f>
        <v>6</v>
      </c>
      <c r="F107" s="20">
        <f>IFERROR(IF(C107&gt;0, D107/C107, 0),"-")</f>
        <v>0.98747390396659707</v>
      </c>
      <c r="G107" s="18">
        <v>1</v>
      </c>
      <c r="H107" s="19" t="s">
        <v>959</v>
      </c>
      <c r="I107" s="18">
        <f>IF(OR(H107="-",H107="",H107=0),IF(G107="-","-",G107),G107-H107)</f>
        <v>1</v>
      </c>
      <c r="J107" s="20" t="str">
        <f>IFERROR(IF(G107&gt;0, H107/G107, 0),"-")</f>
        <v>-</v>
      </c>
      <c r="K107" s="18" t="s">
        <v>959</v>
      </c>
      <c r="L107" s="19" t="s">
        <v>959</v>
      </c>
      <c r="M107" s="18" t="str">
        <f>IF(OR(L107="-",L107="",L107=0),IF(K107="-","-",K107),K107-L107)</f>
        <v>-</v>
      </c>
      <c r="N107" s="20" t="str">
        <f>IFERROR(IF(K107&gt;0, L107/K107, 0),"-")</f>
        <v>-</v>
      </c>
      <c r="O107" s="18">
        <v>2</v>
      </c>
      <c r="P107" s="19" t="s">
        <v>959</v>
      </c>
      <c r="Q107" s="18">
        <f>IF(OR(P107="-",P107="",P107=0),IF(O107="-","-",O107),O107-P107)</f>
        <v>2</v>
      </c>
      <c r="R107" s="20" t="str">
        <f>IFERROR(IF(O107&gt;0, P107/O107, 0),"-")</f>
        <v>-</v>
      </c>
      <c r="S107" s="18">
        <v>4</v>
      </c>
      <c r="T107" s="18" t="s">
        <v>959</v>
      </c>
      <c r="U107" s="18" t="s">
        <v>959</v>
      </c>
      <c r="V107" s="19" t="s">
        <v>959</v>
      </c>
      <c r="W107" s="19" t="s">
        <v>959</v>
      </c>
      <c r="X107" s="24">
        <f>RANK(F107,$F$57:$F$183,0)</f>
        <v>51</v>
      </c>
      <c r="Y107" s="3" t="str">
        <f>IF(OR(ISERROR(F107),F107="-",NOT(ISNUMBER(F107))),"● N/A",IF(ROUND(F107, 4) &gt;= ROUND($F$184, 4),"▲ Above Average","▼ Below Average"))</f>
        <v>▲ Above Average</v>
      </c>
    </row>
    <row r="108" spans="2:25" x14ac:dyDescent="0.2">
      <c r="B108" s="17" t="s">
        <v>133</v>
      </c>
      <c r="C108" s="18">
        <v>395</v>
      </c>
      <c r="D108" s="19">
        <v>390</v>
      </c>
      <c r="E108" s="18">
        <f>IF(OR(D108="-",D108="",D108=0),IF(C108="-","-",C108),C108-D108)</f>
        <v>5</v>
      </c>
      <c r="F108" s="20">
        <f>IFERROR(IF(C108&gt;0, D108/C108, 0),"-")</f>
        <v>0.98734177215189878</v>
      </c>
      <c r="G108" s="18">
        <v>1</v>
      </c>
      <c r="H108" s="19" t="s">
        <v>959</v>
      </c>
      <c r="I108" s="18">
        <f>IF(OR(H108="-",H108="",H108=0),IF(G108="-","-",G108),G108-H108)</f>
        <v>1</v>
      </c>
      <c r="J108" s="20" t="str">
        <f>IFERROR(IF(G108&gt;0, H108/G108, 0),"-")</f>
        <v>-</v>
      </c>
      <c r="K108" s="18" t="s">
        <v>959</v>
      </c>
      <c r="L108" s="19" t="s">
        <v>959</v>
      </c>
      <c r="M108" s="18" t="str">
        <f>IF(OR(L108="-",L108="",L108=0),IF(K108="-","-",K108),K108-L108)</f>
        <v>-</v>
      </c>
      <c r="N108" s="20" t="str">
        <f>IFERROR(IF(K108&gt;0, L108/K108, 0),"-")</f>
        <v>-</v>
      </c>
      <c r="O108" s="18">
        <v>2</v>
      </c>
      <c r="P108" s="19" t="s">
        <v>959</v>
      </c>
      <c r="Q108" s="18">
        <f>IF(OR(P108="-",P108="",P108=0),IF(O108="-","-",O108),O108-P108)</f>
        <v>2</v>
      </c>
      <c r="R108" s="20" t="str">
        <f>IFERROR(IF(O108&gt;0, P108/O108, 0),"-")</f>
        <v>-</v>
      </c>
      <c r="S108" s="18" t="s">
        <v>959</v>
      </c>
      <c r="T108" s="18" t="s">
        <v>959</v>
      </c>
      <c r="U108" s="18" t="s">
        <v>959</v>
      </c>
      <c r="V108" s="19" t="s">
        <v>959</v>
      </c>
      <c r="W108" s="19" t="s">
        <v>959</v>
      </c>
      <c r="X108" s="24">
        <f>RANK(F108,$F$57:$F$183,0)</f>
        <v>52</v>
      </c>
      <c r="Y108" s="3" t="str">
        <f>IF(OR(ISERROR(F108),F108="-",NOT(ISNUMBER(F108))),"● N/A",IF(ROUND(F108, 4) &gt;= ROUND($F$184, 4),"▲ Above Average","▼ Below Average"))</f>
        <v>▲ Above Average</v>
      </c>
    </row>
    <row r="109" spans="2:25" x14ac:dyDescent="0.2">
      <c r="B109" s="17" t="s">
        <v>129</v>
      </c>
      <c r="C109" s="18">
        <v>232</v>
      </c>
      <c r="D109" s="19">
        <v>229</v>
      </c>
      <c r="E109" s="18">
        <f>IF(OR(D109="-",D109="",D109=0),IF(C109="-","-",C109),C109-D109)</f>
        <v>3</v>
      </c>
      <c r="F109" s="20">
        <f>IFERROR(IF(C109&gt;0, D109/C109, 0),"-")</f>
        <v>0.98706896551724133</v>
      </c>
      <c r="G109" s="18" t="s">
        <v>959</v>
      </c>
      <c r="H109" s="19" t="s">
        <v>959</v>
      </c>
      <c r="I109" s="18" t="str">
        <f>IF(OR(H109="-",H109="",H109=0),IF(G109="-","-",G109),G109-H109)</f>
        <v>-</v>
      </c>
      <c r="J109" s="20" t="str">
        <f>IFERROR(IF(G109&gt;0, H109/G109, 0),"-")</f>
        <v>-</v>
      </c>
      <c r="K109" s="18" t="s">
        <v>959</v>
      </c>
      <c r="L109" s="19" t="s">
        <v>959</v>
      </c>
      <c r="M109" s="18" t="str">
        <f>IF(OR(L109="-",L109="",L109=0),IF(K109="-","-",K109),K109-L109)</f>
        <v>-</v>
      </c>
      <c r="N109" s="20" t="str">
        <f>IFERROR(IF(K109&gt;0, L109/K109, 0),"-")</f>
        <v>-</v>
      </c>
      <c r="O109" s="18" t="s">
        <v>959</v>
      </c>
      <c r="P109" s="19" t="s">
        <v>959</v>
      </c>
      <c r="Q109" s="18" t="str">
        <f>IF(OR(P109="-",P109="",P109=0),IF(O109="-","-",O109),O109-P109)</f>
        <v>-</v>
      </c>
      <c r="R109" s="20" t="str">
        <f>IFERROR(IF(O109&gt;0, P109/O109, 0),"-")</f>
        <v>-</v>
      </c>
      <c r="S109" s="18" t="s">
        <v>959</v>
      </c>
      <c r="T109" s="18" t="s">
        <v>959</v>
      </c>
      <c r="U109" s="18" t="s">
        <v>959</v>
      </c>
      <c r="V109" s="19" t="s">
        <v>959</v>
      </c>
      <c r="W109" s="19" t="s">
        <v>959</v>
      </c>
      <c r="X109" s="24">
        <f>RANK(F109,$F$57:$F$183,0)</f>
        <v>53</v>
      </c>
      <c r="Y109" s="3" t="str">
        <f>IF(OR(ISERROR(F109),F109="-",NOT(ISNUMBER(F109))),"● N/A",IF(ROUND(F109, 4) &gt;= ROUND($F$184, 4),"▲ Above Average","▼ Below Average"))</f>
        <v>▲ Above Average</v>
      </c>
    </row>
    <row r="110" spans="2:25" x14ac:dyDescent="0.2">
      <c r="B110" s="17" t="s">
        <v>64</v>
      </c>
      <c r="C110" s="18">
        <v>463</v>
      </c>
      <c r="D110" s="19">
        <v>457</v>
      </c>
      <c r="E110" s="18">
        <f>IF(OR(D110="-",D110="",D110=0),IF(C110="-","-",C110),C110-D110)</f>
        <v>6</v>
      </c>
      <c r="F110" s="20">
        <f>IFERROR(IF(C110&gt;0, D110/C110, 0),"-")</f>
        <v>0.98704103671706267</v>
      </c>
      <c r="G110" s="18" t="s">
        <v>959</v>
      </c>
      <c r="H110" s="19" t="s">
        <v>959</v>
      </c>
      <c r="I110" s="18" t="str">
        <f>IF(OR(H110="-",H110="",H110=0),IF(G110="-","-",G110),G110-H110)</f>
        <v>-</v>
      </c>
      <c r="J110" s="20" t="str">
        <f>IFERROR(IF(G110&gt;0, H110/G110, 0),"-")</f>
        <v>-</v>
      </c>
      <c r="K110" s="18" t="s">
        <v>959</v>
      </c>
      <c r="L110" s="19" t="s">
        <v>959</v>
      </c>
      <c r="M110" s="18" t="str">
        <f>IF(OR(L110="-",L110="",L110=0),IF(K110="-","-",K110),K110-L110)</f>
        <v>-</v>
      </c>
      <c r="N110" s="20" t="str">
        <f>IFERROR(IF(K110&gt;0, L110/K110, 0),"-")</f>
        <v>-</v>
      </c>
      <c r="O110" s="18">
        <v>2</v>
      </c>
      <c r="P110" s="19" t="s">
        <v>959</v>
      </c>
      <c r="Q110" s="18">
        <f>IF(OR(P110="-",P110="",P110=0),IF(O110="-","-",O110),O110-P110)</f>
        <v>2</v>
      </c>
      <c r="R110" s="20" t="str">
        <f>IFERROR(IF(O110&gt;0, P110/O110, 0),"-")</f>
        <v>-</v>
      </c>
      <c r="S110" s="18">
        <v>4</v>
      </c>
      <c r="T110" s="18" t="s">
        <v>959</v>
      </c>
      <c r="U110" s="18" t="s">
        <v>959</v>
      </c>
      <c r="V110" s="19" t="s">
        <v>959</v>
      </c>
      <c r="W110" s="19" t="s">
        <v>959</v>
      </c>
      <c r="X110" s="24">
        <f>RANK(F110,$F$57:$F$183,0)</f>
        <v>54</v>
      </c>
      <c r="Y110" s="3" t="str">
        <f>IF(OR(ISERROR(F110),F110="-",NOT(ISNUMBER(F110))),"● N/A",IF(ROUND(F110, 4) &gt;= ROUND($F$184, 4),"▲ Above Average","▼ Below Average"))</f>
        <v>▲ Above Average</v>
      </c>
    </row>
    <row r="111" spans="2:25" x14ac:dyDescent="0.2">
      <c r="B111" s="17" t="s">
        <v>35</v>
      </c>
      <c r="C111" s="18">
        <v>528</v>
      </c>
      <c r="D111" s="19">
        <v>521</v>
      </c>
      <c r="E111" s="18">
        <f>IF(OR(D111="-",D111="",D111=0),IF(C111="-","-",C111),C111-D111)</f>
        <v>7</v>
      </c>
      <c r="F111" s="20">
        <f>IFERROR(IF(C111&gt;0, D111/C111, 0),"-")</f>
        <v>0.9867424242424242</v>
      </c>
      <c r="G111" s="18" t="s">
        <v>959</v>
      </c>
      <c r="H111" s="19" t="s">
        <v>959</v>
      </c>
      <c r="I111" s="18" t="str">
        <f>IF(OR(H111="-",H111="",H111=0),IF(G111="-","-",G111),G111-H111)</f>
        <v>-</v>
      </c>
      <c r="J111" s="20" t="str">
        <f>IFERROR(IF(G111&gt;0, H111/G111, 0),"-")</f>
        <v>-</v>
      </c>
      <c r="K111" s="18">
        <v>1</v>
      </c>
      <c r="L111" s="19">
        <v>1</v>
      </c>
      <c r="M111" s="18">
        <f>IF(OR(L111="-",L111="",L111=0),IF(K111="-","-",K111),K111-L111)</f>
        <v>0</v>
      </c>
      <c r="N111" s="20">
        <f>IFERROR(IF(K111&gt;0, L111/K111, 0),"-")</f>
        <v>1</v>
      </c>
      <c r="O111" s="18" t="s">
        <v>959</v>
      </c>
      <c r="P111" s="19" t="s">
        <v>959</v>
      </c>
      <c r="Q111" s="18" t="str">
        <f>IF(OR(P111="-",P111="",P111=0),IF(O111="-","-",O111),O111-P111)</f>
        <v>-</v>
      </c>
      <c r="R111" s="20" t="str">
        <f>IFERROR(IF(O111&gt;0, P111/O111, 0),"-")</f>
        <v>-</v>
      </c>
      <c r="S111" s="18">
        <v>3</v>
      </c>
      <c r="T111" s="18" t="s">
        <v>959</v>
      </c>
      <c r="U111" s="18" t="s">
        <v>959</v>
      </c>
      <c r="V111" s="19" t="s">
        <v>959</v>
      </c>
      <c r="W111" s="19" t="s">
        <v>959</v>
      </c>
      <c r="X111" s="24">
        <f>RANK(F111,$F$57:$F$183,0)</f>
        <v>55</v>
      </c>
      <c r="Y111" s="3" t="str">
        <f>IF(OR(ISERROR(F111),F111="-",NOT(ISNUMBER(F111))),"● N/A",IF(ROUND(F111, 4) &gt;= ROUND($F$184, 4),"▲ Above Average","▼ Below Average"))</f>
        <v>▲ Above Average</v>
      </c>
    </row>
    <row r="112" spans="2:25" x14ac:dyDescent="0.2">
      <c r="B112" s="17" t="s">
        <v>21</v>
      </c>
      <c r="C112" s="18">
        <v>518</v>
      </c>
      <c r="D112" s="19">
        <v>511</v>
      </c>
      <c r="E112" s="18">
        <f>IF(OR(D112="-",D112="",D112=0),IF(C112="-","-",C112),C112-D112)</f>
        <v>7</v>
      </c>
      <c r="F112" s="20">
        <f>IFERROR(IF(C112&gt;0, D112/C112, 0),"-")</f>
        <v>0.98648648648648651</v>
      </c>
      <c r="G112" s="18">
        <v>1</v>
      </c>
      <c r="H112" s="19" t="s">
        <v>959</v>
      </c>
      <c r="I112" s="18">
        <f>IF(OR(H112="-",H112="",H112=0),IF(G112="-","-",G112),G112-H112)</f>
        <v>1</v>
      </c>
      <c r="J112" s="20" t="str">
        <f>IFERROR(IF(G112&gt;0, H112/G112, 0),"-")</f>
        <v>-</v>
      </c>
      <c r="K112" s="18" t="s">
        <v>959</v>
      </c>
      <c r="L112" s="19" t="s">
        <v>959</v>
      </c>
      <c r="M112" s="18" t="str">
        <f>IF(OR(L112="-",L112="",L112=0),IF(K112="-","-",K112),K112-L112)</f>
        <v>-</v>
      </c>
      <c r="N112" s="20" t="str">
        <f>IFERROR(IF(K112&gt;0, L112/K112, 0),"-")</f>
        <v>-</v>
      </c>
      <c r="O112" s="18" t="s">
        <v>959</v>
      </c>
      <c r="P112" s="19" t="s">
        <v>959</v>
      </c>
      <c r="Q112" s="18" t="str">
        <f>IF(OR(P112="-",P112="",P112=0),IF(O112="-","-",O112),O112-P112)</f>
        <v>-</v>
      </c>
      <c r="R112" s="20" t="str">
        <f>IFERROR(IF(O112&gt;0, P112/O112, 0),"-")</f>
        <v>-</v>
      </c>
      <c r="S112" s="18">
        <v>1</v>
      </c>
      <c r="T112" s="18" t="s">
        <v>959</v>
      </c>
      <c r="U112" s="18" t="s">
        <v>959</v>
      </c>
      <c r="V112" s="19" t="s">
        <v>959</v>
      </c>
      <c r="W112" s="19" t="s">
        <v>959</v>
      </c>
      <c r="X112" s="24">
        <f>RANK(F112,$F$57:$F$183,0)</f>
        <v>56</v>
      </c>
      <c r="Y112" s="3" t="str">
        <f>IF(OR(ISERROR(F112),F112="-",NOT(ISNUMBER(F112))),"● N/A",IF(ROUND(F112, 4) &gt;= ROUND($F$184, 4),"▲ Above Average","▼ Below Average"))</f>
        <v>▲ Above Average</v>
      </c>
    </row>
    <row r="113" spans="2:25" x14ac:dyDescent="0.2">
      <c r="B113" s="17" t="s">
        <v>131</v>
      </c>
      <c r="C113" s="18">
        <v>587</v>
      </c>
      <c r="D113" s="19">
        <v>579</v>
      </c>
      <c r="E113" s="18">
        <f>IF(OR(D113="-",D113="",D113=0),IF(C113="-","-",C113),C113-D113)</f>
        <v>8</v>
      </c>
      <c r="F113" s="20">
        <f>IFERROR(IF(C113&gt;0, D113/C113, 0),"-")</f>
        <v>0.98637137989778534</v>
      </c>
      <c r="G113" s="18">
        <v>7</v>
      </c>
      <c r="H113" s="19">
        <v>1</v>
      </c>
      <c r="I113" s="18">
        <f>IF(OR(H113="-",H113="",H113=0),IF(G113="-","-",G113),G113-H113)</f>
        <v>6</v>
      </c>
      <c r="J113" s="20">
        <f>IFERROR(IF(G113&gt;0, H113/G113, 0),"-")</f>
        <v>0.14285714285714285</v>
      </c>
      <c r="K113" s="18" t="s">
        <v>959</v>
      </c>
      <c r="L113" s="19" t="s">
        <v>959</v>
      </c>
      <c r="M113" s="18" t="str">
        <f>IF(OR(L113="-",L113="",L113=0),IF(K113="-","-",K113),K113-L113)</f>
        <v>-</v>
      </c>
      <c r="N113" s="20" t="str">
        <f>IFERROR(IF(K113&gt;0, L113/K113, 0),"-")</f>
        <v>-</v>
      </c>
      <c r="O113" s="18">
        <v>2</v>
      </c>
      <c r="P113" s="19">
        <v>1</v>
      </c>
      <c r="Q113" s="18">
        <f>IF(OR(P113="-",P113="",P113=0),IF(O113="-","-",O113),O113-P113)</f>
        <v>1</v>
      </c>
      <c r="R113" s="20">
        <f>IFERROR(IF(O113&gt;0, P113/O113, 0),"-")</f>
        <v>0.5</v>
      </c>
      <c r="S113" s="18">
        <v>1</v>
      </c>
      <c r="T113" s="18" t="s">
        <v>959</v>
      </c>
      <c r="U113" s="18" t="s">
        <v>959</v>
      </c>
      <c r="V113" s="19" t="s">
        <v>959</v>
      </c>
      <c r="W113" s="19" t="s">
        <v>959</v>
      </c>
      <c r="X113" s="24">
        <f>RANK(F113,$F$57:$F$183,0)</f>
        <v>57</v>
      </c>
      <c r="Y113" s="3" t="str">
        <f>IF(OR(ISERROR(F113),F113="-",NOT(ISNUMBER(F113))),"● N/A",IF(ROUND(F113, 4) &gt;= ROUND($F$184, 4),"▲ Above Average","▼ Below Average"))</f>
        <v>▲ Above Average</v>
      </c>
    </row>
    <row r="114" spans="2:25" x14ac:dyDescent="0.2">
      <c r="B114" s="17" t="s">
        <v>30</v>
      </c>
      <c r="C114" s="18">
        <v>509</v>
      </c>
      <c r="D114" s="19">
        <v>502</v>
      </c>
      <c r="E114" s="18">
        <f>IF(OR(D114="-",D114="",D114=0),IF(C114="-","-",C114),C114-D114)</f>
        <v>7</v>
      </c>
      <c r="F114" s="20">
        <f>IFERROR(IF(C114&gt;0, D114/C114, 0),"-")</f>
        <v>0.98624754420432215</v>
      </c>
      <c r="G114" s="18">
        <v>3</v>
      </c>
      <c r="H114" s="19" t="s">
        <v>959</v>
      </c>
      <c r="I114" s="18">
        <f>IF(OR(H114="-",H114="",H114=0),IF(G114="-","-",G114),G114-H114)</f>
        <v>3</v>
      </c>
      <c r="J114" s="20" t="str">
        <f>IFERROR(IF(G114&gt;0, H114/G114, 0),"-")</f>
        <v>-</v>
      </c>
      <c r="K114" s="18" t="s">
        <v>959</v>
      </c>
      <c r="L114" s="19" t="s">
        <v>959</v>
      </c>
      <c r="M114" s="18" t="str">
        <f>IF(OR(L114="-",L114="",L114=0),IF(K114="-","-",K114),K114-L114)</f>
        <v>-</v>
      </c>
      <c r="N114" s="20" t="str">
        <f>IFERROR(IF(K114&gt;0, L114/K114, 0),"-")</f>
        <v>-</v>
      </c>
      <c r="O114" s="18" t="s">
        <v>959</v>
      </c>
      <c r="P114" s="19" t="s">
        <v>959</v>
      </c>
      <c r="Q114" s="18" t="str">
        <f>IF(OR(P114="-",P114="",P114=0),IF(O114="-","-",O114),O114-P114)</f>
        <v>-</v>
      </c>
      <c r="R114" s="20" t="str">
        <f>IFERROR(IF(O114&gt;0, P114/O114, 0),"-")</f>
        <v>-</v>
      </c>
      <c r="S114" s="18">
        <v>1</v>
      </c>
      <c r="T114" s="18" t="s">
        <v>959</v>
      </c>
      <c r="U114" s="18" t="s">
        <v>959</v>
      </c>
      <c r="V114" s="19" t="s">
        <v>959</v>
      </c>
      <c r="W114" s="19" t="s">
        <v>959</v>
      </c>
      <c r="X114" s="24">
        <f>RANK(F114,$F$57:$F$183,0)</f>
        <v>58</v>
      </c>
      <c r="Y114" s="3" t="str">
        <f>IF(OR(ISERROR(F114),F114="-",NOT(ISNUMBER(F114))),"● N/A",IF(ROUND(F114, 4) &gt;= ROUND($F$184, 4),"▲ Above Average","▼ Below Average"))</f>
        <v>▲ Above Average</v>
      </c>
    </row>
    <row r="115" spans="2:25" x14ac:dyDescent="0.2">
      <c r="B115" s="17" t="s">
        <v>4</v>
      </c>
      <c r="C115" s="18">
        <v>436</v>
      </c>
      <c r="D115" s="19">
        <v>430</v>
      </c>
      <c r="E115" s="18">
        <f>IF(OR(D115="-",D115="",D115=0),IF(C115="-","-",C115),C115-D115)</f>
        <v>6</v>
      </c>
      <c r="F115" s="20">
        <f>IFERROR(IF(C115&gt;0, D115/C115, 0),"-")</f>
        <v>0.98623853211009171</v>
      </c>
      <c r="G115" s="18">
        <v>3</v>
      </c>
      <c r="H115" s="19" t="s">
        <v>959</v>
      </c>
      <c r="I115" s="18">
        <f>IF(OR(H115="-",H115="",H115=0),IF(G115="-","-",G115),G115-H115)</f>
        <v>3</v>
      </c>
      <c r="J115" s="20" t="str">
        <f>IFERROR(IF(G115&gt;0, H115/G115, 0),"-")</f>
        <v>-</v>
      </c>
      <c r="K115" s="18">
        <v>1</v>
      </c>
      <c r="L115" s="19" t="s">
        <v>959</v>
      </c>
      <c r="M115" s="18">
        <f>IF(OR(L115="-",L115="",L115=0),IF(K115="-","-",K115),K115-L115)</f>
        <v>1</v>
      </c>
      <c r="N115" s="20" t="str">
        <f>IFERROR(IF(K115&gt;0, L115/K115, 0),"-")</f>
        <v>-</v>
      </c>
      <c r="O115" s="18">
        <v>1</v>
      </c>
      <c r="P115" s="19" t="s">
        <v>959</v>
      </c>
      <c r="Q115" s="18">
        <f>IF(OR(P115="-",P115="",P115=0),IF(O115="-","-",O115),O115-P115)</f>
        <v>1</v>
      </c>
      <c r="R115" s="20" t="str">
        <f>IFERROR(IF(O115&gt;0, P115/O115, 0),"-")</f>
        <v>-</v>
      </c>
      <c r="S115" s="18">
        <v>2</v>
      </c>
      <c r="T115" s="18" t="s">
        <v>959</v>
      </c>
      <c r="U115" s="18" t="s">
        <v>959</v>
      </c>
      <c r="V115" s="19" t="s">
        <v>959</v>
      </c>
      <c r="W115" s="19" t="s">
        <v>959</v>
      </c>
      <c r="X115" s="24">
        <f>RANK(F115,$F$57:$F$183,0)</f>
        <v>59</v>
      </c>
      <c r="Y115" s="3" t="str">
        <f>IF(OR(ISERROR(F115),F115="-",NOT(ISNUMBER(F115))),"● N/A",IF(ROUND(F115, 4) &gt;= ROUND($F$184, 4),"▲ Above Average","▼ Below Average"))</f>
        <v>▲ Above Average</v>
      </c>
    </row>
    <row r="116" spans="2:25" x14ac:dyDescent="0.2">
      <c r="B116" s="17" t="s">
        <v>33</v>
      </c>
      <c r="C116" s="18">
        <v>289</v>
      </c>
      <c r="D116" s="19">
        <v>285</v>
      </c>
      <c r="E116" s="18">
        <f>IF(OR(D116="-",D116="",D116=0),IF(C116="-","-",C116),C116-D116)</f>
        <v>4</v>
      </c>
      <c r="F116" s="20">
        <f>IFERROR(IF(C116&gt;0, D116/C116, 0),"-")</f>
        <v>0.98615916955017302</v>
      </c>
      <c r="G116" s="18">
        <v>1</v>
      </c>
      <c r="H116" s="19" t="s">
        <v>959</v>
      </c>
      <c r="I116" s="18">
        <f>IF(OR(H116="-",H116="",H116=0),IF(G116="-","-",G116),G116-H116)</f>
        <v>1</v>
      </c>
      <c r="J116" s="20" t="str">
        <f>IFERROR(IF(G116&gt;0, H116/G116, 0),"-")</f>
        <v>-</v>
      </c>
      <c r="K116" s="18">
        <v>1</v>
      </c>
      <c r="L116" s="19" t="s">
        <v>959</v>
      </c>
      <c r="M116" s="18">
        <f>IF(OR(L116="-",L116="",L116=0),IF(K116="-","-",K116),K116-L116)</f>
        <v>1</v>
      </c>
      <c r="N116" s="20" t="str">
        <f>IFERROR(IF(K116&gt;0, L116/K116, 0),"-")</f>
        <v>-</v>
      </c>
      <c r="O116" s="18">
        <v>1</v>
      </c>
      <c r="P116" s="19" t="s">
        <v>959</v>
      </c>
      <c r="Q116" s="18">
        <f>IF(OR(P116="-",P116="",P116=0),IF(O116="-","-",O116),O116-P116)</f>
        <v>1</v>
      </c>
      <c r="R116" s="20" t="str">
        <f>IFERROR(IF(O116&gt;0, P116/O116, 0),"-")</f>
        <v>-</v>
      </c>
      <c r="S116" s="18">
        <v>3</v>
      </c>
      <c r="T116" s="18">
        <v>2</v>
      </c>
      <c r="U116" s="18">
        <v>4500</v>
      </c>
      <c r="V116" s="19" t="s">
        <v>959</v>
      </c>
      <c r="W116" s="19" t="s">
        <v>959</v>
      </c>
      <c r="X116" s="24">
        <f>RANK(F116,$F$57:$F$183,0)</f>
        <v>60</v>
      </c>
      <c r="Y116" s="3" t="str">
        <f>IF(OR(ISERROR(F116),F116="-",NOT(ISNUMBER(F116))),"● N/A",IF(ROUND(F116, 4) &gt;= ROUND($F$184, 4),"▲ Above Average","▼ Below Average"))</f>
        <v>▲ Above Average</v>
      </c>
    </row>
    <row r="117" spans="2:25" x14ac:dyDescent="0.2">
      <c r="B117" s="17" t="s">
        <v>91</v>
      </c>
      <c r="C117" s="18">
        <v>360</v>
      </c>
      <c r="D117" s="19">
        <v>355</v>
      </c>
      <c r="E117" s="18">
        <f>IF(OR(D117="-",D117="",D117=0),IF(C117="-","-",C117),C117-D117)</f>
        <v>5</v>
      </c>
      <c r="F117" s="20">
        <f>IFERROR(IF(C117&gt;0, D117/C117, 0),"-")</f>
        <v>0.98611111111111116</v>
      </c>
      <c r="G117" s="18" t="s">
        <v>959</v>
      </c>
      <c r="H117" s="19" t="s">
        <v>959</v>
      </c>
      <c r="I117" s="18" t="str">
        <f>IF(OR(H117="-",H117="",H117=0),IF(G117="-","-",G117),G117-H117)</f>
        <v>-</v>
      </c>
      <c r="J117" s="20" t="str">
        <f>IFERROR(IF(G117&gt;0, H117/G117, 0),"-")</f>
        <v>-</v>
      </c>
      <c r="K117" s="18" t="s">
        <v>959</v>
      </c>
      <c r="L117" s="19" t="s">
        <v>959</v>
      </c>
      <c r="M117" s="18" t="str">
        <f>IF(OR(L117="-",L117="",L117=0),IF(K117="-","-",K117),K117-L117)</f>
        <v>-</v>
      </c>
      <c r="N117" s="20" t="str">
        <f>IFERROR(IF(K117&gt;0, L117/K117, 0),"-")</f>
        <v>-</v>
      </c>
      <c r="O117" s="18">
        <v>2</v>
      </c>
      <c r="P117" s="19" t="s">
        <v>959</v>
      </c>
      <c r="Q117" s="18">
        <f>IF(OR(P117="-",P117="",P117=0),IF(O117="-","-",O117),O117-P117)</f>
        <v>2</v>
      </c>
      <c r="R117" s="20" t="str">
        <f>IFERROR(IF(O117&gt;0, P117/O117, 0),"-")</f>
        <v>-</v>
      </c>
      <c r="S117" s="18" t="s">
        <v>959</v>
      </c>
      <c r="T117" s="18" t="s">
        <v>959</v>
      </c>
      <c r="U117" s="18" t="s">
        <v>959</v>
      </c>
      <c r="V117" s="19" t="s">
        <v>959</v>
      </c>
      <c r="W117" s="19" t="s">
        <v>959</v>
      </c>
      <c r="X117" s="24">
        <f>RANK(F117,$F$57:$F$183,0)</f>
        <v>61</v>
      </c>
      <c r="Y117" s="3" t="str">
        <f>IF(OR(ISERROR(F117),F117="-",NOT(ISNUMBER(F117))),"● N/A",IF(ROUND(F117, 4) &gt;= ROUND($F$184, 4),"▲ Above Average","▼ Below Average"))</f>
        <v>▲ Above Average</v>
      </c>
    </row>
    <row r="118" spans="2:25" x14ac:dyDescent="0.2">
      <c r="B118" s="17" t="s">
        <v>127</v>
      </c>
      <c r="C118" s="18">
        <v>864</v>
      </c>
      <c r="D118" s="19">
        <v>852</v>
      </c>
      <c r="E118" s="18">
        <f>IF(OR(D118="-",D118="",D118=0),IF(C118="-","-",C118),C118-D118)</f>
        <v>12</v>
      </c>
      <c r="F118" s="20">
        <f>IFERROR(IF(C118&gt;0, D118/C118, 0),"-")</f>
        <v>0.98611111111111116</v>
      </c>
      <c r="G118" s="18">
        <v>5</v>
      </c>
      <c r="H118" s="19">
        <v>3</v>
      </c>
      <c r="I118" s="18">
        <f>IF(OR(H118="-",H118="",H118=0),IF(G118="-","-",G118),G118-H118)</f>
        <v>2</v>
      </c>
      <c r="J118" s="20">
        <f>IFERROR(IF(G118&gt;0, H118/G118, 0),"-")</f>
        <v>0.6</v>
      </c>
      <c r="K118" s="18">
        <v>1</v>
      </c>
      <c r="L118" s="19" t="s">
        <v>959</v>
      </c>
      <c r="M118" s="18">
        <f>IF(OR(L118="-",L118="",L118=0),IF(K118="-","-",K118),K118-L118)</f>
        <v>1</v>
      </c>
      <c r="N118" s="20" t="str">
        <f>IFERROR(IF(K118&gt;0, L118/K118, 0),"-")</f>
        <v>-</v>
      </c>
      <c r="O118" s="18">
        <v>5</v>
      </c>
      <c r="P118" s="19" t="s">
        <v>959</v>
      </c>
      <c r="Q118" s="18">
        <f>IF(OR(P118="-",P118="",P118=0),IF(O118="-","-",O118),O118-P118)</f>
        <v>5</v>
      </c>
      <c r="R118" s="20" t="str">
        <f>IFERROR(IF(O118&gt;0, P118/O118, 0),"-")</f>
        <v>-</v>
      </c>
      <c r="S118" s="18">
        <v>2</v>
      </c>
      <c r="T118" s="18" t="s">
        <v>959</v>
      </c>
      <c r="U118" s="18" t="s">
        <v>959</v>
      </c>
      <c r="V118" s="19" t="s">
        <v>959</v>
      </c>
      <c r="W118" s="19" t="s">
        <v>959</v>
      </c>
      <c r="X118" s="24">
        <f>RANK(F118,$F$57:$F$183,0)</f>
        <v>61</v>
      </c>
      <c r="Y118" s="3" t="str">
        <f>IF(OR(ISERROR(F118),F118="-",NOT(ISNUMBER(F118))),"● N/A",IF(ROUND(F118, 4) &gt;= ROUND($F$184, 4),"▲ Above Average","▼ Below Average"))</f>
        <v>▲ Above Average</v>
      </c>
    </row>
    <row r="119" spans="2:25" x14ac:dyDescent="0.2">
      <c r="B119" s="17" t="s">
        <v>128</v>
      </c>
      <c r="C119" s="18">
        <v>203</v>
      </c>
      <c r="D119" s="19">
        <v>200</v>
      </c>
      <c r="E119" s="18">
        <f>IF(OR(D119="-",D119="",D119=0),IF(C119="-","-",C119),C119-D119)</f>
        <v>3</v>
      </c>
      <c r="F119" s="20">
        <f>IFERROR(IF(C119&gt;0, D119/C119, 0),"-")</f>
        <v>0.98522167487684731</v>
      </c>
      <c r="G119" s="18">
        <v>1</v>
      </c>
      <c r="H119" s="19">
        <v>1</v>
      </c>
      <c r="I119" s="18">
        <f>IF(OR(H119="-",H119="",H119=0),IF(G119="-","-",G119),G119-H119)</f>
        <v>0</v>
      </c>
      <c r="J119" s="20">
        <f>IFERROR(IF(G119&gt;0, H119/G119, 0),"-")</f>
        <v>1</v>
      </c>
      <c r="K119" s="18">
        <v>3</v>
      </c>
      <c r="L119" s="19">
        <v>1</v>
      </c>
      <c r="M119" s="18">
        <f>IF(OR(L119="-",L119="",L119=0),IF(K119="-","-",K119),K119-L119)</f>
        <v>2</v>
      </c>
      <c r="N119" s="20">
        <f>IFERROR(IF(K119&gt;0, L119/K119, 0),"-")</f>
        <v>0.33333333333333331</v>
      </c>
      <c r="O119" s="18" t="s">
        <v>959</v>
      </c>
      <c r="P119" s="19" t="s">
        <v>959</v>
      </c>
      <c r="Q119" s="18" t="str">
        <f>IF(OR(P119="-",P119="",P119=0),IF(O119="-","-",O119),O119-P119)</f>
        <v>-</v>
      </c>
      <c r="R119" s="20" t="str">
        <f>IFERROR(IF(O119&gt;0, P119/O119, 0),"-")</f>
        <v>-</v>
      </c>
      <c r="S119" s="18" t="s">
        <v>959</v>
      </c>
      <c r="T119" s="18" t="s">
        <v>959</v>
      </c>
      <c r="U119" s="18" t="s">
        <v>959</v>
      </c>
      <c r="V119" s="19" t="s">
        <v>959</v>
      </c>
      <c r="W119" s="19" t="s">
        <v>959</v>
      </c>
      <c r="X119" s="24">
        <f>RANK(F119,$F$57:$F$183,0)</f>
        <v>63</v>
      </c>
      <c r="Y119" s="3" t="str">
        <f>IF(OR(ISERROR(F119),F119="-",NOT(ISNUMBER(F119))),"● N/A",IF(ROUND(F119, 4) &gt;= ROUND($F$184, 4),"▲ Above Average","▼ Below Average"))</f>
        <v>▲ Above Average</v>
      </c>
    </row>
    <row r="120" spans="2:25" x14ac:dyDescent="0.2">
      <c r="B120" s="17" t="s">
        <v>37</v>
      </c>
      <c r="C120" s="18">
        <v>535</v>
      </c>
      <c r="D120" s="19">
        <v>527</v>
      </c>
      <c r="E120" s="18">
        <f>IF(OR(D120="-",D120="",D120=0),IF(C120="-","-",C120),C120-D120)</f>
        <v>8</v>
      </c>
      <c r="F120" s="20">
        <f>IFERROR(IF(C120&gt;0, D120/C120, 0),"-")</f>
        <v>0.98504672897196266</v>
      </c>
      <c r="G120" s="18">
        <v>5</v>
      </c>
      <c r="H120" s="19">
        <v>2</v>
      </c>
      <c r="I120" s="18">
        <f>IF(OR(H120="-",H120="",H120=0),IF(G120="-","-",G120),G120-H120)</f>
        <v>3</v>
      </c>
      <c r="J120" s="20">
        <f>IFERROR(IF(G120&gt;0, H120/G120, 0),"-")</f>
        <v>0.4</v>
      </c>
      <c r="K120" s="18" t="s">
        <v>959</v>
      </c>
      <c r="L120" s="19" t="s">
        <v>959</v>
      </c>
      <c r="M120" s="18" t="str">
        <f>IF(OR(L120="-",L120="",L120=0),IF(K120="-","-",K120),K120-L120)</f>
        <v>-</v>
      </c>
      <c r="N120" s="20" t="str">
        <f>IFERROR(IF(K120&gt;0, L120/K120, 0),"-")</f>
        <v>-</v>
      </c>
      <c r="O120" s="18">
        <v>2</v>
      </c>
      <c r="P120" s="19">
        <v>1</v>
      </c>
      <c r="Q120" s="18">
        <f>IF(OR(P120="-",P120="",P120=0),IF(O120="-","-",O120),O120-P120)</f>
        <v>1</v>
      </c>
      <c r="R120" s="20">
        <f>IFERROR(IF(O120&gt;0, P120/O120, 0),"-")</f>
        <v>0.5</v>
      </c>
      <c r="S120" s="18">
        <v>2</v>
      </c>
      <c r="T120" s="18" t="s">
        <v>959</v>
      </c>
      <c r="U120" s="18" t="s">
        <v>959</v>
      </c>
      <c r="V120" s="19" t="s">
        <v>959</v>
      </c>
      <c r="W120" s="19" t="s">
        <v>959</v>
      </c>
      <c r="X120" s="24">
        <f>RANK(F120,$F$57:$F$183,0)</f>
        <v>64</v>
      </c>
      <c r="Y120" s="3" t="str">
        <f>IF(OR(ISERROR(F120),F120="-",NOT(ISNUMBER(F120))),"● N/A",IF(ROUND(F120, 4) &gt;= ROUND($F$184, 4),"▲ Above Average","▼ Below Average"))</f>
        <v>▲ Above Average</v>
      </c>
    </row>
    <row r="121" spans="2:25" x14ac:dyDescent="0.2">
      <c r="B121" s="17" t="s">
        <v>43</v>
      </c>
      <c r="C121" s="18">
        <v>599</v>
      </c>
      <c r="D121" s="19">
        <v>590</v>
      </c>
      <c r="E121" s="18">
        <f>IF(OR(D121="-",D121="",D121=0),IF(C121="-","-",C121),C121-D121)</f>
        <v>9</v>
      </c>
      <c r="F121" s="20">
        <f>IFERROR(IF(C121&gt;0, D121/C121, 0),"-")</f>
        <v>0.9849749582637729</v>
      </c>
      <c r="G121" s="18">
        <v>2</v>
      </c>
      <c r="H121" s="19" t="s">
        <v>959</v>
      </c>
      <c r="I121" s="18">
        <f>IF(OR(H121="-",H121="",H121=0),IF(G121="-","-",G121),G121-H121)</f>
        <v>2</v>
      </c>
      <c r="J121" s="20" t="str">
        <f>IFERROR(IF(G121&gt;0, H121/G121, 0),"-")</f>
        <v>-</v>
      </c>
      <c r="K121" s="18">
        <v>1</v>
      </c>
      <c r="L121" s="19">
        <v>1</v>
      </c>
      <c r="M121" s="18">
        <f>IF(OR(L121="-",L121="",L121=0),IF(K121="-","-",K121),K121-L121)</f>
        <v>0</v>
      </c>
      <c r="N121" s="20">
        <f>IFERROR(IF(K121&gt;0, L121/K121, 0),"-")</f>
        <v>1</v>
      </c>
      <c r="O121" s="18">
        <v>4</v>
      </c>
      <c r="P121" s="19" t="s">
        <v>959</v>
      </c>
      <c r="Q121" s="18">
        <f>IF(OR(P121="-",P121="",P121=0),IF(O121="-","-",O121),O121-P121)</f>
        <v>4</v>
      </c>
      <c r="R121" s="20" t="str">
        <f>IFERROR(IF(O121&gt;0, P121/O121, 0),"-")</f>
        <v>-</v>
      </c>
      <c r="S121" s="18">
        <v>2</v>
      </c>
      <c r="T121" s="18" t="s">
        <v>959</v>
      </c>
      <c r="U121" s="18" t="s">
        <v>959</v>
      </c>
      <c r="V121" s="19" t="s">
        <v>959</v>
      </c>
      <c r="W121" s="19" t="s">
        <v>959</v>
      </c>
      <c r="X121" s="24">
        <f>RANK(F121,$F$57:$F$183,0)</f>
        <v>65</v>
      </c>
      <c r="Y121" s="3" t="str">
        <f>IF(OR(ISERROR(F121),F121="-",NOT(ISNUMBER(F121))),"● N/A",IF(ROUND(F121, 4) &gt;= ROUND($F$184, 4),"▲ Above Average","▼ Below Average"))</f>
        <v>▲ Above Average</v>
      </c>
    </row>
    <row r="122" spans="2:25" x14ac:dyDescent="0.2">
      <c r="B122" s="17" t="s">
        <v>120</v>
      </c>
      <c r="C122" s="18">
        <v>521</v>
      </c>
      <c r="D122" s="19">
        <v>513</v>
      </c>
      <c r="E122" s="18">
        <f>IF(OR(D122="-",D122="",D122=0),IF(C122="-","-",C122),C122-D122)</f>
        <v>8</v>
      </c>
      <c r="F122" s="20">
        <f>IFERROR(IF(C122&gt;0, D122/C122, 0),"-")</f>
        <v>0.98464491362763917</v>
      </c>
      <c r="G122" s="18">
        <v>1</v>
      </c>
      <c r="H122" s="19" t="s">
        <v>959</v>
      </c>
      <c r="I122" s="18">
        <f>IF(OR(H122="-",H122="",H122=0),IF(G122="-","-",G122),G122-H122)</f>
        <v>1</v>
      </c>
      <c r="J122" s="20" t="str">
        <f>IFERROR(IF(G122&gt;0, H122/G122, 0),"-")</f>
        <v>-</v>
      </c>
      <c r="K122" s="18">
        <v>2</v>
      </c>
      <c r="L122" s="19" t="s">
        <v>959</v>
      </c>
      <c r="M122" s="18">
        <f>IF(OR(L122="-",L122="",L122=0),IF(K122="-","-",K122),K122-L122)</f>
        <v>2</v>
      </c>
      <c r="N122" s="20" t="str">
        <f>IFERROR(IF(K122&gt;0, L122/K122, 0),"-")</f>
        <v>-</v>
      </c>
      <c r="O122" s="18">
        <v>2</v>
      </c>
      <c r="P122" s="19" t="s">
        <v>959</v>
      </c>
      <c r="Q122" s="18">
        <f>IF(OR(P122="-",P122="",P122=0),IF(O122="-","-",O122),O122-P122)</f>
        <v>2</v>
      </c>
      <c r="R122" s="20" t="str">
        <f>IFERROR(IF(O122&gt;0, P122/O122, 0),"-")</f>
        <v>-</v>
      </c>
      <c r="S122" s="18">
        <v>3</v>
      </c>
      <c r="T122" s="18" t="s">
        <v>959</v>
      </c>
      <c r="U122" s="18" t="s">
        <v>959</v>
      </c>
      <c r="V122" s="19" t="s">
        <v>959</v>
      </c>
      <c r="W122" s="19" t="s">
        <v>959</v>
      </c>
      <c r="X122" s="24">
        <f>RANK(F122,$F$57:$F$183,0)</f>
        <v>66</v>
      </c>
      <c r="Y122" s="3" t="str">
        <f>IF(OR(ISERROR(F122),F122="-",NOT(ISNUMBER(F122))),"● N/A",IF(ROUND(F122, 4) &gt;= ROUND($F$184, 4),"▲ Above Average","▼ Below Average"))</f>
        <v>▲ Above Average</v>
      </c>
    </row>
    <row r="123" spans="2:25" x14ac:dyDescent="0.2">
      <c r="B123" s="17" t="s">
        <v>103</v>
      </c>
      <c r="C123" s="18">
        <v>317</v>
      </c>
      <c r="D123" s="19">
        <v>312</v>
      </c>
      <c r="E123" s="18">
        <f>IF(OR(D123="-",D123="",D123=0),IF(C123="-","-",C123),C123-D123)</f>
        <v>5</v>
      </c>
      <c r="F123" s="20">
        <f>IFERROR(IF(C123&gt;0, D123/C123, 0),"-")</f>
        <v>0.98422712933753942</v>
      </c>
      <c r="G123" s="18">
        <v>3</v>
      </c>
      <c r="H123" s="19" t="s">
        <v>959</v>
      </c>
      <c r="I123" s="18">
        <f>IF(OR(H123="-",H123="",H123=0),IF(G123="-","-",G123),G123-H123)</f>
        <v>3</v>
      </c>
      <c r="J123" s="20" t="str">
        <f>IFERROR(IF(G123&gt;0, H123/G123, 0),"-")</f>
        <v>-</v>
      </c>
      <c r="K123" s="18" t="s">
        <v>959</v>
      </c>
      <c r="L123" s="19" t="s">
        <v>959</v>
      </c>
      <c r="M123" s="18" t="str">
        <f>IF(OR(L123="-",L123="",L123=0),IF(K123="-","-",K123),K123-L123)</f>
        <v>-</v>
      </c>
      <c r="N123" s="20" t="str">
        <f>IFERROR(IF(K123&gt;0, L123/K123, 0),"-")</f>
        <v>-</v>
      </c>
      <c r="O123" s="18">
        <v>4</v>
      </c>
      <c r="P123" s="19">
        <v>1</v>
      </c>
      <c r="Q123" s="18">
        <f>IF(OR(P123="-",P123="",P123=0),IF(O123="-","-",O123),O123-P123)</f>
        <v>3</v>
      </c>
      <c r="R123" s="20">
        <f>IFERROR(IF(O123&gt;0, P123/O123, 0),"-")</f>
        <v>0.25</v>
      </c>
      <c r="S123" s="18" t="s">
        <v>959</v>
      </c>
      <c r="T123" s="18" t="s">
        <v>959</v>
      </c>
      <c r="U123" s="18" t="s">
        <v>959</v>
      </c>
      <c r="V123" s="19" t="s">
        <v>959</v>
      </c>
      <c r="W123" s="19" t="s">
        <v>959</v>
      </c>
      <c r="X123" s="24">
        <f>RANK(F123,$F$57:$F$183,0)</f>
        <v>67</v>
      </c>
      <c r="Y123" s="3" t="str">
        <f>IF(OR(ISERROR(F123),F123="-",NOT(ISNUMBER(F123))),"● N/A",IF(ROUND(F123, 4) &gt;= ROUND($F$184, 4),"▲ Above Average","▼ Below Average"))</f>
        <v>▲ Above Average</v>
      </c>
    </row>
    <row r="124" spans="2:25" x14ac:dyDescent="0.2">
      <c r="B124" s="17" t="s">
        <v>20</v>
      </c>
      <c r="C124" s="18">
        <v>854</v>
      </c>
      <c r="D124" s="19">
        <v>840</v>
      </c>
      <c r="E124" s="18">
        <f>IF(OR(D124="-",D124="",D124=0),IF(C124="-","-",C124),C124-D124)</f>
        <v>14</v>
      </c>
      <c r="F124" s="20">
        <f>IFERROR(IF(C124&gt;0, D124/C124, 0),"-")</f>
        <v>0.98360655737704916</v>
      </c>
      <c r="G124" s="18">
        <v>3</v>
      </c>
      <c r="H124" s="19" t="s">
        <v>959</v>
      </c>
      <c r="I124" s="18">
        <f>IF(OR(H124="-",H124="",H124=0),IF(G124="-","-",G124),G124-H124)</f>
        <v>3</v>
      </c>
      <c r="J124" s="20" t="str">
        <f>IFERROR(IF(G124&gt;0, H124/G124, 0),"-")</f>
        <v>-</v>
      </c>
      <c r="K124" s="18">
        <v>1</v>
      </c>
      <c r="L124" s="19" t="s">
        <v>959</v>
      </c>
      <c r="M124" s="18">
        <f>IF(OR(L124="-",L124="",L124=0),IF(K124="-","-",K124),K124-L124)</f>
        <v>1</v>
      </c>
      <c r="N124" s="20" t="str">
        <f>IFERROR(IF(K124&gt;0, L124/K124, 0),"-")</f>
        <v>-</v>
      </c>
      <c r="O124" s="18">
        <v>3</v>
      </c>
      <c r="P124" s="19" t="s">
        <v>959</v>
      </c>
      <c r="Q124" s="18">
        <f>IF(OR(P124="-",P124="",P124=0),IF(O124="-","-",O124),O124-P124)</f>
        <v>3</v>
      </c>
      <c r="R124" s="20" t="str">
        <f>IFERROR(IF(O124&gt;0, P124/O124, 0),"-")</f>
        <v>-</v>
      </c>
      <c r="S124" s="18">
        <v>2</v>
      </c>
      <c r="T124" s="18" t="s">
        <v>959</v>
      </c>
      <c r="U124" s="18" t="s">
        <v>959</v>
      </c>
      <c r="V124" s="19" t="s">
        <v>959</v>
      </c>
      <c r="W124" s="19" t="s">
        <v>959</v>
      </c>
      <c r="X124" s="24">
        <f>RANK(F124,$F$57:$F$183,0)</f>
        <v>68</v>
      </c>
      <c r="Y124" s="3" t="str">
        <f>IF(OR(ISERROR(F124),F124="-",NOT(ISNUMBER(F124))),"● N/A",IF(ROUND(F124, 4) &gt;= ROUND($F$184, 4),"▲ Above Average","▼ Below Average"))</f>
        <v>▲ Above Average</v>
      </c>
    </row>
    <row r="125" spans="2:25" x14ac:dyDescent="0.2">
      <c r="B125" s="17" t="s">
        <v>97</v>
      </c>
      <c r="C125" s="18">
        <v>593</v>
      </c>
      <c r="D125" s="19">
        <v>583</v>
      </c>
      <c r="E125" s="18">
        <f>IF(OR(D125="-",D125="",D125=0),IF(C125="-","-",C125),C125-D125)</f>
        <v>10</v>
      </c>
      <c r="F125" s="20">
        <f>IFERROR(IF(C125&gt;0, D125/C125, 0),"-")</f>
        <v>0.98313659359190553</v>
      </c>
      <c r="G125" s="18">
        <v>2</v>
      </c>
      <c r="H125" s="19" t="s">
        <v>959</v>
      </c>
      <c r="I125" s="18">
        <f>IF(OR(H125="-",H125="",H125=0),IF(G125="-","-",G125),G125-H125)</f>
        <v>2</v>
      </c>
      <c r="J125" s="20" t="str">
        <f>IFERROR(IF(G125&gt;0, H125/G125, 0),"-")</f>
        <v>-</v>
      </c>
      <c r="K125" s="18">
        <v>1</v>
      </c>
      <c r="L125" s="19" t="s">
        <v>959</v>
      </c>
      <c r="M125" s="18">
        <f>IF(OR(L125="-",L125="",L125=0),IF(K125="-","-",K125),K125-L125)</f>
        <v>1</v>
      </c>
      <c r="N125" s="20" t="str">
        <f>IFERROR(IF(K125&gt;0, L125/K125, 0),"-")</f>
        <v>-</v>
      </c>
      <c r="O125" s="18">
        <v>3</v>
      </c>
      <c r="P125" s="19" t="s">
        <v>959</v>
      </c>
      <c r="Q125" s="18">
        <f>IF(OR(P125="-",P125="",P125=0),IF(O125="-","-",O125),O125-P125)</f>
        <v>3</v>
      </c>
      <c r="R125" s="20" t="str">
        <f>IFERROR(IF(O125&gt;0, P125/O125, 0),"-")</f>
        <v>-</v>
      </c>
      <c r="S125" s="18">
        <v>5</v>
      </c>
      <c r="T125" s="18" t="s">
        <v>959</v>
      </c>
      <c r="U125" s="18" t="s">
        <v>959</v>
      </c>
      <c r="V125" s="19" t="s">
        <v>959</v>
      </c>
      <c r="W125" s="19" t="s">
        <v>959</v>
      </c>
      <c r="X125" s="24">
        <f>RANK(F125,$F$57:$F$183,0)</f>
        <v>69</v>
      </c>
      <c r="Y125" s="3" t="str">
        <f>IF(OR(ISERROR(F125),F125="-",NOT(ISNUMBER(F125))),"● N/A",IF(ROUND(F125, 4) &gt;= ROUND($F$184, 4),"▲ Above Average","▼ Below Average"))</f>
        <v>▲ Above Average</v>
      </c>
    </row>
    <row r="126" spans="2:25" x14ac:dyDescent="0.2">
      <c r="B126" s="17" t="s">
        <v>74</v>
      </c>
      <c r="C126" s="18">
        <v>232</v>
      </c>
      <c r="D126" s="19">
        <v>228</v>
      </c>
      <c r="E126" s="18">
        <f>IF(OR(D126="-",D126="",D126=0),IF(C126="-","-",C126),C126-D126)</f>
        <v>4</v>
      </c>
      <c r="F126" s="20">
        <f>IFERROR(IF(C126&gt;0, D126/C126, 0),"-")</f>
        <v>0.98275862068965514</v>
      </c>
      <c r="G126" s="18">
        <v>1</v>
      </c>
      <c r="H126" s="19" t="s">
        <v>959</v>
      </c>
      <c r="I126" s="18">
        <f>IF(OR(H126="-",H126="",H126=0),IF(G126="-","-",G126),G126-H126)</f>
        <v>1</v>
      </c>
      <c r="J126" s="20" t="str">
        <f>IFERROR(IF(G126&gt;0, H126/G126, 0),"-")</f>
        <v>-</v>
      </c>
      <c r="K126" s="18" t="s">
        <v>959</v>
      </c>
      <c r="L126" s="19" t="s">
        <v>959</v>
      </c>
      <c r="M126" s="18" t="str">
        <f>IF(OR(L126="-",L126="",L126=0),IF(K126="-","-",K126),K126-L126)</f>
        <v>-</v>
      </c>
      <c r="N126" s="20" t="str">
        <f>IFERROR(IF(K126&gt;0, L126/K126, 0),"-")</f>
        <v>-</v>
      </c>
      <c r="O126" s="18" t="s">
        <v>959</v>
      </c>
      <c r="P126" s="19" t="s">
        <v>959</v>
      </c>
      <c r="Q126" s="18" t="str">
        <f>IF(OR(P126="-",P126="",P126=0),IF(O126="-","-",O126),O126-P126)</f>
        <v>-</v>
      </c>
      <c r="R126" s="20" t="str">
        <f>IFERROR(IF(O126&gt;0, P126/O126, 0),"-")</f>
        <v>-</v>
      </c>
      <c r="S126" s="18" t="s">
        <v>959</v>
      </c>
      <c r="T126" s="18" t="s">
        <v>959</v>
      </c>
      <c r="U126" s="18" t="s">
        <v>959</v>
      </c>
      <c r="V126" s="19" t="s">
        <v>959</v>
      </c>
      <c r="W126" s="19" t="s">
        <v>959</v>
      </c>
      <c r="X126" s="24">
        <f>RANK(F126,$F$57:$F$183,0)</f>
        <v>70</v>
      </c>
      <c r="Y126" s="3" t="str">
        <f>IF(OR(ISERROR(F126),F126="-",NOT(ISNUMBER(F126))),"● N/A",IF(ROUND(F126, 4) &gt;= ROUND($F$184, 4),"▲ Above Average","▼ Below Average"))</f>
        <v>▲ Above Average</v>
      </c>
    </row>
    <row r="127" spans="2:25" x14ac:dyDescent="0.2">
      <c r="B127" s="17" t="s">
        <v>13</v>
      </c>
      <c r="C127" s="18">
        <v>403</v>
      </c>
      <c r="D127" s="19">
        <v>396</v>
      </c>
      <c r="E127" s="18">
        <f>IF(OR(D127="-",D127="",D127=0),IF(C127="-","-",C127),C127-D127)</f>
        <v>7</v>
      </c>
      <c r="F127" s="20">
        <f>IFERROR(IF(C127&gt;0, D127/C127, 0),"-")</f>
        <v>0.98263027295285355</v>
      </c>
      <c r="G127" s="18">
        <v>2</v>
      </c>
      <c r="H127" s="19">
        <v>1</v>
      </c>
      <c r="I127" s="18">
        <f>IF(OR(H127="-",H127="",H127=0),IF(G127="-","-",G127),G127-H127)</f>
        <v>1</v>
      </c>
      <c r="J127" s="20">
        <f>IFERROR(IF(G127&gt;0, H127/G127, 0),"-")</f>
        <v>0.5</v>
      </c>
      <c r="K127" s="18">
        <v>1</v>
      </c>
      <c r="L127" s="19">
        <v>1</v>
      </c>
      <c r="M127" s="18">
        <f>IF(OR(L127="-",L127="",L127=0),IF(K127="-","-",K127),K127-L127)</f>
        <v>0</v>
      </c>
      <c r="N127" s="20">
        <f>IFERROR(IF(K127&gt;0, L127/K127, 0),"-")</f>
        <v>1</v>
      </c>
      <c r="O127" s="18">
        <v>2</v>
      </c>
      <c r="P127" s="19" t="s">
        <v>959</v>
      </c>
      <c r="Q127" s="18">
        <f>IF(OR(P127="-",P127="",P127=0),IF(O127="-","-",O127),O127-P127)</f>
        <v>2</v>
      </c>
      <c r="R127" s="20" t="str">
        <f>IFERROR(IF(O127&gt;0, P127/O127, 0),"-")</f>
        <v>-</v>
      </c>
      <c r="S127" s="18">
        <v>3</v>
      </c>
      <c r="T127" s="18" t="s">
        <v>959</v>
      </c>
      <c r="U127" s="18" t="s">
        <v>959</v>
      </c>
      <c r="V127" s="19" t="s">
        <v>959</v>
      </c>
      <c r="W127" s="19" t="s">
        <v>959</v>
      </c>
      <c r="X127" s="24">
        <f>RANK(F127,$F$57:$F$183,0)</f>
        <v>71</v>
      </c>
      <c r="Y127" s="3" t="str">
        <f>IF(OR(ISERROR(F127),F127="-",NOT(ISNUMBER(F127))),"● N/A",IF(ROUND(F127, 4) &gt;= ROUND($F$184, 4),"▲ Above Average","▼ Below Average"))</f>
        <v>▲ Above Average</v>
      </c>
    </row>
    <row r="128" spans="2:25" x14ac:dyDescent="0.2">
      <c r="B128" s="17" t="s">
        <v>66</v>
      </c>
      <c r="C128" s="18">
        <v>286</v>
      </c>
      <c r="D128" s="19">
        <v>281</v>
      </c>
      <c r="E128" s="18">
        <f>IF(OR(D128="-",D128="",D128=0),IF(C128="-","-",C128),C128-D128)</f>
        <v>5</v>
      </c>
      <c r="F128" s="20">
        <f>IFERROR(IF(C128&gt;0, D128/C128, 0),"-")</f>
        <v>0.9825174825174825</v>
      </c>
      <c r="G128" s="18" t="s">
        <v>959</v>
      </c>
      <c r="H128" s="19" t="s">
        <v>959</v>
      </c>
      <c r="I128" s="18" t="str">
        <f>IF(OR(H128="-",H128="",H128=0),IF(G128="-","-",G128),G128-H128)</f>
        <v>-</v>
      </c>
      <c r="J128" s="20" t="str">
        <f>IFERROR(IF(G128&gt;0, H128/G128, 0),"-")</f>
        <v>-</v>
      </c>
      <c r="K128" s="18">
        <v>2</v>
      </c>
      <c r="L128" s="19" t="s">
        <v>959</v>
      </c>
      <c r="M128" s="18">
        <f>IF(OR(L128="-",L128="",L128=0),IF(K128="-","-",K128),K128-L128)</f>
        <v>2</v>
      </c>
      <c r="N128" s="20" t="str">
        <f>IFERROR(IF(K128&gt;0, L128/K128, 0),"-")</f>
        <v>-</v>
      </c>
      <c r="O128" s="18" t="s">
        <v>959</v>
      </c>
      <c r="P128" s="19" t="s">
        <v>959</v>
      </c>
      <c r="Q128" s="18" t="str">
        <f>IF(OR(P128="-",P128="",P128=0),IF(O128="-","-",O128),O128-P128)</f>
        <v>-</v>
      </c>
      <c r="R128" s="20" t="str">
        <f>IFERROR(IF(O128&gt;0, P128/O128, 0),"-")</f>
        <v>-</v>
      </c>
      <c r="S128" s="18">
        <v>1</v>
      </c>
      <c r="T128" s="18" t="s">
        <v>959</v>
      </c>
      <c r="U128" s="18" t="s">
        <v>959</v>
      </c>
      <c r="V128" s="19" t="s">
        <v>959</v>
      </c>
      <c r="W128" s="19" t="s">
        <v>959</v>
      </c>
      <c r="X128" s="24">
        <f>RANK(F128,$F$57:$F$183,0)</f>
        <v>72</v>
      </c>
      <c r="Y128" s="3" t="str">
        <f>IF(OR(ISERROR(F128),F128="-",NOT(ISNUMBER(F128))),"● N/A",IF(ROUND(F128, 4) &gt;= ROUND($F$184, 4),"▲ Above Average","▼ Below Average"))</f>
        <v>▲ Above Average</v>
      </c>
    </row>
    <row r="129" spans="2:25" x14ac:dyDescent="0.2">
      <c r="B129" s="17" t="s">
        <v>68</v>
      </c>
      <c r="C129" s="18">
        <v>281</v>
      </c>
      <c r="D129" s="19">
        <v>276</v>
      </c>
      <c r="E129" s="18">
        <f>IF(OR(D129="-",D129="",D129=0),IF(C129="-","-",C129),C129-D129)</f>
        <v>5</v>
      </c>
      <c r="F129" s="20">
        <f>IFERROR(IF(C129&gt;0, D129/C129, 0),"-")</f>
        <v>0.98220640569395012</v>
      </c>
      <c r="G129" s="18" t="s">
        <v>959</v>
      </c>
      <c r="H129" s="19" t="s">
        <v>959</v>
      </c>
      <c r="I129" s="18" t="str">
        <f>IF(OR(H129="-",H129="",H129=0),IF(G129="-","-",G129),G129-H129)</f>
        <v>-</v>
      </c>
      <c r="J129" s="20" t="str">
        <f>IFERROR(IF(G129&gt;0, H129/G129, 0),"-")</f>
        <v>-</v>
      </c>
      <c r="K129" s="18">
        <v>3</v>
      </c>
      <c r="L129" s="19">
        <v>1</v>
      </c>
      <c r="M129" s="18">
        <f>IF(OR(L129="-",L129="",L129=0),IF(K129="-","-",K129),K129-L129)</f>
        <v>2</v>
      </c>
      <c r="N129" s="20">
        <f>IFERROR(IF(K129&gt;0, L129/K129, 0),"-")</f>
        <v>0.33333333333333331</v>
      </c>
      <c r="O129" s="18">
        <v>3</v>
      </c>
      <c r="P129" s="19" t="s">
        <v>959</v>
      </c>
      <c r="Q129" s="18">
        <f>IF(OR(P129="-",P129="",P129=0),IF(O129="-","-",O129),O129-P129)</f>
        <v>3</v>
      </c>
      <c r="R129" s="20" t="str">
        <f>IFERROR(IF(O129&gt;0, P129/O129, 0),"-")</f>
        <v>-</v>
      </c>
      <c r="S129" s="18">
        <v>8</v>
      </c>
      <c r="T129" s="18" t="s">
        <v>959</v>
      </c>
      <c r="U129" s="18" t="s">
        <v>959</v>
      </c>
      <c r="V129" s="19" t="s">
        <v>959</v>
      </c>
      <c r="W129" s="19" t="s">
        <v>959</v>
      </c>
      <c r="X129" s="24">
        <f>RANK(F129,$F$57:$F$183,0)</f>
        <v>73</v>
      </c>
      <c r="Y129" s="3" t="str">
        <f>IF(OR(ISERROR(F129),F129="-",NOT(ISNUMBER(F129))),"● N/A",IF(ROUND(F129, 4) &gt;= ROUND($F$184, 4),"▲ Above Average","▼ Below Average"))</f>
        <v>▲ Above Average</v>
      </c>
    </row>
    <row r="130" spans="2:25" x14ac:dyDescent="0.2">
      <c r="B130" s="17" t="s">
        <v>87</v>
      </c>
      <c r="C130" s="18">
        <v>781</v>
      </c>
      <c r="D130" s="19">
        <v>767</v>
      </c>
      <c r="E130" s="18">
        <f>IF(OR(D130="-",D130="",D130=0),IF(C130="-","-",C130),C130-D130)</f>
        <v>14</v>
      </c>
      <c r="F130" s="20">
        <f>IFERROR(IF(C130&gt;0, D130/C130, 0),"-")</f>
        <v>0.98207426376440465</v>
      </c>
      <c r="G130" s="18">
        <v>6</v>
      </c>
      <c r="H130" s="19">
        <v>2</v>
      </c>
      <c r="I130" s="18">
        <f>IF(OR(H130="-",H130="",H130=0),IF(G130="-","-",G130),G130-H130)</f>
        <v>4</v>
      </c>
      <c r="J130" s="20">
        <f>IFERROR(IF(G130&gt;0, H130/G130, 0),"-")</f>
        <v>0.33333333333333331</v>
      </c>
      <c r="K130" s="18">
        <v>2</v>
      </c>
      <c r="L130" s="19" t="s">
        <v>959</v>
      </c>
      <c r="M130" s="18">
        <f>IF(OR(L130="-",L130="",L130=0),IF(K130="-","-",K130),K130-L130)</f>
        <v>2</v>
      </c>
      <c r="N130" s="20" t="str">
        <f>IFERROR(IF(K130&gt;0, L130/K130, 0),"-")</f>
        <v>-</v>
      </c>
      <c r="O130" s="18">
        <v>1</v>
      </c>
      <c r="P130" s="19" t="s">
        <v>959</v>
      </c>
      <c r="Q130" s="18">
        <f>IF(OR(P130="-",P130="",P130=0),IF(O130="-","-",O130),O130-P130)</f>
        <v>1</v>
      </c>
      <c r="R130" s="20" t="str">
        <f>IFERROR(IF(O130&gt;0, P130/O130, 0),"-")</f>
        <v>-</v>
      </c>
      <c r="S130" s="18">
        <v>2</v>
      </c>
      <c r="T130" s="18">
        <v>1</v>
      </c>
      <c r="U130" s="18">
        <v>2700</v>
      </c>
      <c r="V130" s="19" t="s">
        <v>959</v>
      </c>
      <c r="W130" s="19" t="s">
        <v>959</v>
      </c>
      <c r="X130" s="24">
        <f>RANK(F130,$F$57:$F$183,0)</f>
        <v>74</v>
      </c>
      <c r="Y130" s="3" t="str">
        <f>IF(OR(ISERROR(F130),F130="-",NOT(ISNUMBER(F130))),"● N/A",IF(ROUND(F130, 4) &gt;= ROUND($F$184, 4),"▲ Above Average","▼ Below Average"))</f>
        <v>▲ Above Average</v>
      </c>
    </row>
    <row r="131" spans="2:25" x14ac:dyDescent="0.2">
      <c r="B131" s="17" t="s">
        <v>98</v>
      </c>
      <c r="C131" s="18">
        <v>423</v>
      </c>
      <c r="D131" s="19">
        <v>415</v>
      </c>
      <c r="E131" s="18">
        <f>IF(OR(D131="-",D131="",D131=0),IF(C131="-","-",C131),C131-D131)</f>
        <v>8</v>
      </c>
      <c r="F131" s="20">
        <f>IFERROR(IF(C131&gt;0, D131/C131, 0),"-")</f>
        <v>0.98108747044917255</v>
      </c>
      <c r="G131" s="18">
        <v>4</v>
      </c>
      <c r="H131" s="19">
        <v>1</v>
      </c>
      <c r="I131" s="18">
        <f>IF(OR(H131="-",H131="",H131=0),IF(G131="-","-",G131),G131-H131)</f>
        <v>3</v>
      </c>
      <c r="J131" s="20">
        <f>IFERROR(IF(G131&gt;0, H131/G131, 0),"-")</f>
        <v>0.25</v>
      </c>
      <c r="K131" s="18" t="s">
        <v>959</v>
      </c>
      <c r="L131" s="19" t="s">
        <v>959</v>
      </c>
      <c r="M131" s="18" t="str">
        <f>IF(OR(L131="-",L131="",L131=0),IF(K131="-","-",K131),K131-L131)</f>
        <v>-</v>
      </c>
      <c r="N131" s="20" t="str">
        <f>IFERROR(IF(K131&gt;0, L131/K131, 0),"-")</f>
        <v>-</v>
      </c>
      <c r="O131" s="18">
        <v>1</v>
      </c>
      <c r="P131" s="19" t="s">
        <v>959</v>
      </c>
      <c r="Q131" s="18">
        <f>IF(OR(P131="-",P131="",P131=0),IF(O131="-","-",O131),O131-P131)</f>
        <v>1</v>
      </c>
      <c r="R131" s="20" t="str">
        <f>IFERROR(IF(O131&gt;0, P131/O131, 0),"-")</f>
        <v>-</v>
      </c>
      <c r="S131" s="18">
        <v>8</v>
      </c>
      <c r="T131" s="18" t="s">
        <v>959</v>
      </c>
      <c r="U131" s="18" t="s">
        <v>959</v>
      </c>
      <c r="V131" s="19" t="s">
        <v>959</v>
      </c>
      <c r="W131" s="19" t="s">
        <v>959</v>
      </c>
      <c r="X131" s="24">
        <f>RANK(F131,$F$57:$F$183,0)</f>
        <v>75</v>
      </c>
      <c r="Y131" s="3" t="str">
        <f>IF(OR(ISERROR(F131),F131="-",NOT(ISNUMBER(F131))),"● N/A",IF(ROUND(F131, 4) &gt;= ROUND($F$184, 4),"▲ Above Average","▼ Below Average"))</f>
        <v>▲ Above Average</v>
      </c>
    </row>
    <row r="132" spans="2:25" x14ac:dyDescent="0.2">
      <c r="B132" s="17" t="s">
        <v>93</v>
      </c>
      <c r="C132" s="18">
        <v>421</v>
      </c>
      <c r="D132" s="19">
        <v>413</v>
      </c>
      <c r="E132" s="18">
        <f>IF(OR(D132="-",D132="",D132=0),IF(C132="-","-",C132),C132-D132)</f>
        <v>8</v>
      </c>
      <c r="F132" s="20">
        <f>IFERROR(IF(C132&gt;0, D132/C132, 0),"-")</f>
        <v>0.98099762470308793</v>
      </c>
      <c r="G132" s="18">
        <v>3</v>
      </c>
      <c r="H132" s="19">
        <v>1</v>
      </c>
      <c r="I132" s="18">
        <f>IF(OR(H132="-",H132="",H132=0),IF(G132="-","-",G132),G132-H132)</f>
        <v>2</v>
      </c>
      <c r="J132" s="20">
        <f>IFERROR(IF(G132&gt;0, H132/G132, 0),"-")</f>
        <v>0.33333333333333331</v>
      </c>
      <c r="K132" s="18">
        <v>2</v>
      </c>
      <c r="L132" s="19" t="s">
        <v>959</v>
      </c>
      <c r="M132" s="18">
        <f>IF(OR(L132="-",L132="",L132=0),IF(K132="-","-",K132),K132-L132)</f>
        <v>2</v>
      </c>
      <c r="N132" s="20" t="str">
        <f>IFERROR(IF(K132&gt;0, L132/K132, 0),"-")</f>
        <v>-</v>
      </c>
      <c r="O132" s="18">
        <v>1</v>
      </c>
      <c r="P132" s="19" t="s">
        <v>959</v>
      </c>
      <c r="Q132" s="18">
        <f>IF(OR(P132="-",P132="",P132=0),IF(O132="-","-",O132),O132-P132)</f>
        <v>1</v>
      </c>
      <c r="R132" s="20" t="str">
        <f>IFERROR(IF(O132&gt;0, P132/O132, 0),"-")</f>
        <v>-</v>
      </c>
      <c r="S132" s="18">
        <v>1</v>
      </c>
      <c r="T132" s="18" t="s">
        <v>959</v>
      </c>
      <c r="U132" s="18" t="s">
        <v>959</v>
      </c>
      <c r="V132" s="19" t="s">
        <v>959</v>
      </c>
      <c r="W132" s="19" t="s">
        <v>959</v>
      </c>
      <c r="X132" s="24">
        <f>RANK(F132,$F$57:$F$183,0)</f>
        <v>76</v>
      </c>
      <c r="Y132" s="3" t="str">
        <f>IF(OR(ISERROR(F132),F132="-",NOT(ISNUMBER(F132))),"● N/A",IF(ROUND(F132, 4) &gt;= ROUND($F$184, 4),"▲ Above Average","▼ Below Average"))</f>
        <v>▲ Above Average</v>
      </c>
    </row>
    <row r="133" spans="2:25" x14ac:dyDescent="0.2">
      <c r="B133" s="17" t="s">
        <v>132</v>
      </c>
      <c r="C133" s="18">
        <v>887</v>
      </c>
      <c r="D133" s="19">
        <v>870</v>
      </c>
      <c r="E133" s="18">
        <f>IF(OR(D133="-",D133="",D133=0),IF(C133="-","-",C133),C133-D133)</f>
        <v>17</v>
      </c>
      <c r="F133" s="20">
        <f>IFERROR(IF(C133&gt;0, D133/C133, 0),"-")</f>
        <v>0.98083427282976321</v>
      </c>
      <c r="G133" s="18">
        <v>6</v>
      </c>
      <c r="H133" s="19" t="s">
        <v>959</v>
      </c>
      <c r="I133" s="18">
        <f>IF(OR(H133="-",H133="",H133=0),IF(G133="-","-",G133),G133-H133)</f>
        <v>6</v>
      </c>
      <c r="J133" s="20" t="str">
        <f>IFERROR(IF(G133&gt;0, H133/G133, 0),"-")</f>
        <v>-</v>
      </c>
      <c r="K133" s="18">
        <v>3</v>
      </c>
      <c r="L133" s="19" t="s">
        <v>959</v>
      </c>
      <c r="M133" s="18">
        <f>IF(OR(L133="-",L133="",L133=0),IF(K133="-","-",K133),K133-L133)</f>
        <v>3</v>
      </c>
      <c r="N133" s="20" t="str">
        <f>IFERROR(IF(K133&gt;0, L133/K133, 0),"-")</f>
        <v>-</v>
      </c>
      <c r="O133" s="18">
        <v>2</v>
      </c>
      <c r="P133" s="19" t="s">
        <v>959</v>
      </c>
      <c r="Q133" s="18">
        <f>IF(OR(P133="-",P133="",P133=0),IF(O133="-","-",O133),O133-P133)</f>
        <v>2</v>
      </c>
      <c r="R133" s="20" t="str">
        <f>IFERROR(IF(O133&gt;0, P133/O133, 0),"-")</f>
        <v>-</v>
      </c>
      <c r="S133" s="18">
        <v>2</v>
      </c>
      <c r="T133" s="18" t="s">
        <v>959</v>
      </c>
      <c r="U133" s="18" t="s">
        <v>959</v>
      </c>
      <c r="V133" s="19" t="s">
        <v>959</v>
      </c>
      <c r="W133" s="19" t="s">
        <v>959</v>
      </c>
      <c r="X133" s="24">
        <f>RANK(F133,$F$57:$F$183,0)</f>
        <v>77</v>
      </c>
      <c r="Y133" s="3" t="str">
        <f>IF(OR(ISERROR(F133),F133="-",NOT(ISNUMBER(F133))),"● N/A",IF(ROUND(F133, 4) &gt;= ROUND($F$184, 4),"▲ Above Average","▼ Below Average"))</f>
        <v>▲ Above Average</v>
      </c>
    </row>
    <row r="134" spans="2:25" x14ac:dyDescent="0.2">
      <c r="B134" s="17" t="s">
        <v>47</v>
      </c>
      <c r="C134" s="18">
        <v>563</v>
      </c>
      <c r="D134" s="19">
        <v>552</v>
      </c>
      <c r="E134" s="18">
        <f>IF(OR(D134="-",D134="",D134=0),IF(C134="-","-",C134),C134-D134)</f>
        <v>11</v>
      </c>
      <c r="F134" s="20">
        <f>IFERROR(IF(C134&gt;0, D134/C134, 0),"-")</f>
        <v>0.98046181172291291</v>
      </c>
      <c r="G134" s="18">
        <v>4</v>
      </c>
      <c r="H134" s="19">
        <v>1</v>
      </c>
      <c r="I134" s="18">
        <f>IF(OR(H134="-",H134="",H134=0),IF(G134="-","-",G134),G134-H134)</f>
        <v>3</v>
      </c>
      <c r="J134" s="20">
        <f>IFERROR(IF(G134&gt;0, H134/G134, 0),"-")</f>
        <v>0.25</v>
      </c>
      <c r="K134" s="18" t="s">
        <v>959</v>
      </c>
      <c r="L134" s="19" t="s">
        <v>959</v>
      </c>
      <c r="M134" s="18" t="str">
        <f>IF(OR(L134="-",L134="",L134=0),IF(K134="-","-",K134),K134-L134)</f>
        <v>-</v>
      </c>
      <c r="N134" s="20" t="str">
        <f>IFERROR(IF(K134&gt;0, L134/K134, 0),"-")</f>
        <v>-</v>
      </c>
      <c r="O134" s="18">
        <v>1</v>
      </c>
      <c r="P134" s="19" t="s">
        <v>959</v>
      </c>
      <c r="Q134" s="18">
        <f>IF(OR(P134="-",P134="",P134=0),IF(O134="-","-",O134),O134-P134)</f>
        <v>1</v>
      </c>
      <c r="R134" s="20" t="str">
        <f>IFERROR(IF(O134&gt;0, P134/O134, 0),"-")</f>
        <v>-</v>
      </c>
      <c r="S134" s="18">
        <v>2</v>
      </c>
      <c r="T134" s="18" t="s">
        <v>959</v>
      </c>
      <c r="U134" s="18" t="s">
        <v>959</v>
      </c>
      <c r="V134" s="19" t="s">
        <v>959</v>
      </c>
      <c r="W134" s="19" t="s">
        <v>959</v>
      </c>
      <c r="X134" s="24">
        <f>RANK(F134,$F$57:$F$183,0)</f>
        <v>78</v>
      </c>
      <c r="Y134" s="3" t="str">
        <f>IF(OR(ISERROR(F134),F134="-",NOT(ISNUMBER(F134))),"● N/A",IF(ROUND(F134, 4) &gt;= ROUND($F$184, 4),"▲ Above Average","▼ Below Average"))</f>
        <v>▲ Above Average</v>
      </c>
    </row>
    <row r="135" spans="2:25" x14ac:dyDescent="0.2">
      <c r="B135" s="17" t="s">
        <v>39</v>
      </c>
      <c r="C135" s="18">
        <v>511</v>
      </c>
      <c r="D135" s="19">
        <v>501</v>
      </c>
      <c r="E135" s="18">
        <f>IF(OR(D135="-",D135="",D135=0),IF(C135="-","-",C135),C135-D135)</f>
        <v>10</v>
      </c>
      <c r="F135" s="20">
        <f>IFERROR(IF(C135&gt;0, D135/C135, 0),"-")</f>
        <v>0.98043052837573386</v>
      </c>
      <c r="G135" s="18">
        <v>3</v>
      </c>
      <c r="H135" s="19">
        <v>3</v>
      </c>
      <c r="I135" s="18">
        <f>IF(OR(H135="-",H135="",H135=0),IF(G135="-","-",G135),G135-H135)</f>
        <v>0</v>
      </c>
      <c r="J135" s="20">
        <f>IFERROR(IF(G135&gt;0, H135/G135, 0),"-")</f>
        <v>1</v>
      </c>
      <c r="K135" s="18">
        <v>7</v>
      </c>
      <c r="L135" s="19">
        <v>1</v>
      </c>
      <c r="M135" s="18">
        <f>IF(OR(L135="-",L135="",L135=0),IF(K135="-","-",K135),K135-L135)</f>
        <v>6</v>
      </c>
      <c r="N135" s="20">
        <f>IFERROR(IF(K135&gt;0, L135/K135, 0),"-")</f>
        <v>0.14285714285714285</v>
      </c>
      <c r="O135" s="18">
        <v>2</v>
      </c>
      <c r="P135" s="19">
        <v>1</v>
      </c>
      <c r="Q135" s="18">
        <f>IF(OR(P135="-",P135="",P135=0),IF(O135="-","-",O135),O135-P135)</f>
        <v>1</v>
      </c>
      <c r="R135" s="20">
        <f>IFERROR(IF(O135&gt;0, P135/O135, 0),"-")</f>
        <v>0.5</v>
      </c>
      <c r="S135" s="18">
        <v>3</v>
      </c>
      <c r="T135" s="18" t="s">
        <v>959</v>
      </c>
      <c r="U135" s="18" t="s">
        <v>959</v>
      </c>
      <c r="V135" s="19" t="s">
        <v>959</v>
      </c>
      <c r="W135" s="19" t="s">
        <v>959</v>
      </c>
      <c r="X135" s="24">
        <f>RANK(F135,$F$57:$F$183,0)</f>
        <v>79</v>
      </c>
      <c r="Y135" s="3" t="str">
        <f>IF(OR(ISERROR(F135),F135="-",NOT(ISNUMBER(F135))),"● N/A",IF(ROUND(F135, 4) &gt;= ROUND($F$184, 4),"▲ Above Average","▼ Below Average"))</f>
        <v>▲ Above Average</v>
      </c>
    </row>
    <row r="136" spans="2:25" x14ac:dyDescent="0.2">
      <c r="B136" s="17" t="s">
        <v>56</v>
      </c>
      <c r="C136" s="18">
        <v>556</v>
      </c>
      <c r="D136" s="19">
        <v>545</v>
      </c>
      <c r="E136" s="18">
        <f>IF(OR(D136="-",D136="",D136=0),IF(C136="-","-",C136),C136-D136)</f>
        <v>11</v>
      </c>
      <c r="F136" s="20">
        <f>IFERROR(IF(C136&gt;0, D136/C136, 0),"-")</f>
        <v>0.98021582733812951</v>
      </c>
      <c r="G136" s="18">
        <v>4</v>
      </c>
      <c r="H136" s="19">
        <v>2</v>
      </c>
      <c r="I136" s="18">
        <f>IF(OR(H136="-",H136="",H136=0),IF(G136="-","-",G136),G136-H136)</f>
        <v>2</v>
      </c>
      <c r="J136" s="20">
        <f>IFERROR(IF(G136&gt;0, H136/G136, 0),"-")</f>
        <v>0.5</v>
      </c>
      <c r="K136" s="18">
        <v>7</v>
      </c>
      <c r="L136" s="19">
        <v>1</v>
      </c>
      <c r="M136" s="18">
        <f>IF(OR(L136="-",L136="",L136=0),IF(K136="-","-",K136),K136-L136)</f>
        <v>6</v>
      </c>
      <c r="N136" s="20">
        <f>IFERROR(IF(K136&gt;0, L136/K136, 0),"-")</f>
        <v>0.14285714285714285</v>
      </c>
      <c r="O136" s="18">
        <v>1</v>
      </c>
      <c r="P136" s="19" t="s">
        <v>959</v>
      </c>
      <c r="Q136" s="18">
        <f>IF(OR(P136="-",P136="",P136=0),IF(O136="-","-",O136),O136-P136)</f>
        <v>1</v>
      </c>
      <c r="R136" s="20" t="str">
        <f>IFERROR(IF(O136&gt;0, P136/O136, 0),"-")</f>
        <v>-</v>
      </c>
      <c r="S136" s="18">
        <v>2</v>
      </c>
      <c r="T136" s="18" t="s">
        <v>959</v>
      </c>
      <c r="U136" s="18" t="s">
        <v>959</v>
      </c>
      <c r="V136" s="19" t="s">
        <v>959</v>
      </c>
      <c r="W136" s="19" t="s">
        <v>959</v>
      </c>
      <c r="X136" s="24">
        <f>RANK(F136,$F$57:$F$183,0)</f>
        <v>80</v>
      </c>
      <c r="Y136" s="3" t="str">
        <f>IF(OR(ISERROR(F136),F136="-",NOT(ISNUMBER(F136))),"● N/A",IF(ROUND(F136, 4) &gt;= ROUND($F$184, 4),"▲ Above Average","▼ Below Average"))</f>
        <v>▲ Above Average</v>
      </c>
    </row>
    <row r="137" spans="2:25" x14ac:dyDescent="0.2">
      <c r="B137" s="17" t="s">
        <v>26</v>
      </c>
      <c r="C137" s="18">
        <v>494</v>
      </c>
      <c r="D137" s="19">
        <v>484</v>
      </c>
      <c r="E137" s="18">
        <f>IF(OR(D137="-",D137="",D137=0),IF(C137="-","-",C137),C137-D137)</f>
        <v>10</v>
      </c>
      <c r="F137" s="20">
        <f>IFERROR(IF(C137&gt;0, D137/C137, 0),"-")</f>
        <v>0.97975708502024295</v>
      </c>
      <c r="G137" s="18">
        <v>7</v>
      </c>
      <c r="H137" s="19" t="s">
        <v>959</v>
      </c>
      <c r="I137" s="18">
        <f>IF(OR(H137="-",H137="",H137=0),IF(G137="-","-",G137),G137-H137)</f>
        <v>7</v>
      </c>
      <c r="J137" s="20" t="str">
        <f>IFERROR(IF(G137&gt;0, H137/G137, 0),"-")</f>
        <v>-</v>
      </c>
      <c r="K137" s="18">
        <v>2</v>
      </c>
      <c r="L137" s="19">
        <v>2</v>
      </c>
      <c r="M137" s="18">
        <f>IF(OR(L137="-",L137="",L137=0),IF(K137="-","-",K137),K137-L137)</f>
        <v>0</v>
      </c>
      <c r="N137" s="20">
        <f>IFERROR(IF(K137&gt;0, L137/K137, 0),"-")</f>
        <v>1</v>
      </c>
      <c r="O137" s="18">
        <v>1</v>
      </c>
      <c r="P137" s="19">
        <v>1</v>
      </c>
      <c r="Q137" s="18">
        <f>IF(OR(P137="-",P137="",P137=0),IF(O137="-","-",O137),O137-P137)</f>
        <v>0</v>
      </c>
      <c r="R137" s="20">
        <f>IFERROR(IF(O137&gt;0, P137/O137, 0),"-")</f>
        <v>1</v>
      </c>
      <c r="S137" s="18">
        <v>6</v>
      </c>
      <c r="T137" s="18" t="s">
        <v>959</v>
      </c>
      <c r="U137" s="18" t="s">
        <v>959</v>
      </c>
      <c r="V137" s="19" t="s">
        <v>959</v>
      </c>
      <c r="W137" s="19" t="s">
        <v>959</v>
      </c>
      <c r="X137" s="24">
        <f>RANK(F137,$F$57:$F$183,0)</f>
        <v>81</v>
      </c>
      <c r="Y137" s="3" t="str">
        <f>IF(OR(ISERROR(F137),F137="-",NOT(ISNUMBER(F137))),"● N/A",IF(ROUND(F137, 4) &gt;= ROUND($F$184, 4),"▲ Above Average","▼ Below Average"))</f>
        <v>▲ Above Average</v>
      </c>
    </row>
    <row r="138" spans="2:25" x14ac:dyDescent="0.2">
      <c r="B138" s="17" t="s">
        <v>14</v>
      </c>
      <c r="C138" s="18">
        <v>684</v>
      </c>
      <c r="D138" s="19">
        <v>670</v>
      </c>
      <c r="E138" s="18">
        <f>IF(OR(D138="-",D138="",D138=0),IF(C138="-","-",C138),C138-D138)</f>
        <v>14</v>
      </c>
      <c r="F138" s="20">
        <f>IFERROR(IF(C138&gt;0, D138/C138, 0),"-")</f>
        <v>0.97953216374269003</v>
      </c>
      <c r="G138" s="18">
        <v>4</v>
      </c>
      <c r="H138" s="19" t="s">
        <v>959</v>
      </c>
      <c r="I138" s="18">
        <f>IF(OR(H138="-",H138="",H138=0),IF(G138="-","-",G138),G138-H138)</f>
        <v>4</v>
      </c>
      <c r="J138" s="20" t="str">
        <f>IFERROR(IF(G138&gt;0, H138/G138, 0),"-")</f>
        <v>-</v>
      </c>
      <c r="K138" s="18">
        <v>1</v>
      </c>
      <c r="L138" s="19" t="s">
        <v>959</v>
      </c>
      <c r="M138" s="18">
        <f>IF(OR(L138="-",L138="",L138=0),IF(K138="-","-",K138),K138-L138)</f>
        <v>1</v>
      </c>
      <c r="N138" s="20" t="str">
        <f>IFERROR(IF(K138&gt;0, L138/K138, 0),"-")</f>
        <v>-</v>
      </c>
      <c r="O138" s="18" t="s">
        <v>959</v>
      </c>
      <c r="P138" s="19" t="s">
        <v>959</v>
      </c>
      <c r="Q138" s="18" t="str">
        <f>IF(OR(P138="-",P138="",P138=0),IF(O138="-","-",O138),O138-P138)</f>
        <v>-</v>
      </c>
      <c r="R138" s="20" t="str">
        <f>IFERROR(IF(O138&gt;0, P138/O138, 0),"-")</f>
        <v>-</v>
      </c>
      <c r="S138" s="18" t="s">
        <v>959</v>
      </c>
      <c r="T138" s="18" t="s">
        <v>959</v>
      </c>
      <c r="U138" s="18" t="s">
        <v>959</v>
      </c>
      <c r="V138" s="19" t="s">
        <v>959</v>
      </c>
      <c r="W138" s="19" t="s">
        <v>959</v>
      </c>
      <c r="X138" s="24">
        <f>RANK(F138,$F$57:$F$183,0)</f>
        <v>82</v>
      </c>
      <c r="Y138" s="3" t="str">
        <f>IF(OR(ISERROR(F138),F138="-",NOT(ISNUMBER(F138))),"● N/A",IF(ROUND(F138, 4) &gt;= ROUND($F$184, 4),"▲ Above Average","▼ Below Average"))</f>
        <v>▼ Below Average</v>
      </c>
    </row>
    <row r="139" spans="2:25" x14ac:dyDescent="0.2">
      <c r="B139" s="17" t="s">
        <v>63</v>
      </c>
      <c r="C139" s="18">
        <v>482</v>
      </c>
      <c r="D139" s="19">
        <v>472</v>
      </c>
      <c r="E139" s="18">
        <f>IF(OR(D139="-",D139="",D139=0),IF(C139="-","-",C139),C139-D139)</f>
        <v>10</v>
      </c>
      <c r="F139" s="20">
        <f>IFERROR(IF(C139&gt;0, D139/C139, 0),"-")</f>
        <v>0.97925311203319498</v>
      </c>
      <c r="G139" s="18">
        <v>5</v>
      </c>
      <c r="H139" s="19" t="s">
        <v>959</v>
      </c>
      <c r="I139" s="18">
        <f>IF(OR(H139="-",H139="",H139=0),IF(G139="-","-",G139),G139-H139)</f>
        <v>5</v>
      </c>
      <c r="J139" s="20" t="str">
        <f>IFERROR(IF(G139&gt;0, H139/G139, 0),"-")</f>
        <v>-</v>
      </c>
      <c r="K139" s="18">
        <v>2</v>
      </c>
      <c r="L139" s="19" t="s">
        <v>959</v>
      </c>
      <c r="M139" s="18">
        <f>IF(OR(L139="-",L139="",L139=0),IF(K139="-","-",K139),K139-L139)</f>
        <v>2</v>
      </c>
      <c r="N139" s="20" t="str">
        <f>IFERROR(IF(K139&gt;0, L139/K139, 0),"-")</f>
        <v>-</v>
      </c>
      <c r="O139" s="18" t="s">
        <v>959</v>
      </c>
      <c r="P139" s="19" t="s">
        <v>959</v>
      </c>
      <c r="Q139" s="18" t="str">
        <f>IF(OR(P139="-",P139="",P139=0),IF(O139="-","-",O139),O139-P139)</f>
        <v>-</v>
      </c>
      <c r="R139" s="20" t="str">
        <f>IFERROR(IF(O139&gt;0, P139/O139, 0),"-")</f>
        <v>-</v>
      </c>
      <c r="S139" s="18">
        <v>5</v>
      </c>
      <c r="T139" s="18">
        <v>1</v>
      </c>
      <c r="U139" s="18">
        <v>8080</v>
      </c>
      <c r="V139" s="19" t="s">
        <v>959</v>
      </c>
      <c r="W139" s="19" t="s">
        <v>959</v>
      </c>
      <c r="X139" s="24">
        <f>RANK(F139,$F$57:$F$183,0)</f>
        <v>83</v>
      </c>
      <c r="Y139" s="3" t="str">
        <f>IF(OR(ISERROR(F139),F139="-",NOT(ISNUMBER(F139))),"● N/A",IF(ROUND(F139, 4) &gt;= ROUND($F$184, 4),"▲ Above Average","▼ Below Average"))</f>
        <v>▼ Below Average</v>
      </c>
    </row>
    <row r="140" spans="2:25" x14ac:dyDescent="0.2">
      <c r="B140" s="17" t="s">
        <v>104</v>
      </c>
      <c r="C140" s="18">
        <v>1007</v>
      </c>
      <c r="D140" s="19">
        <v>986</v>
      </c>
      <c r="E140" s="18">
        <f>IF(OR(D140="-",D140="",D140=0),IF(C140="-","-",C140),C140-D140)</f>
        <v>21</v>
      </c>
      <c r="F140" s="20">
        <f>IFERROR(IF(C140&gt;0, D140/C140, 0),"-")</f>
        <v>0.97914597815292947</v>
      </c>
      <c r="G140" s="18">
        <v>10</v>
      </c>
      <c r="H140" s="19">
        <v>4</v>
      </c>
      <c r="I140" s="18">
        <f>IF(OR(H140="-",H140="",H140=0),IF(G140="-","-",G140),G140-H140)</f>
        <v>6</v>
      </c>
      <c r="J140" s="20">
        <f>IFERROR(IF(G140&gt;0, H140/G140, 0),"-")</f>
        <v>0.4</v>
      </c>
      <c r="K140" s="18">
        <v>5</v>
      </c>
      <c r="L140" s="19">
        <v>2</v>
      </c>
      <c r="M140" s="18">
        <f>IF(OR(L140="-",L140="",L140=0),IF(K140="-","-",K140),K140-L140)</f>
        <v>3</v>
      </c>
      <c r="N140" s="20">
        <f>IFERROR(IF(K140&gt;0, L140/K140, 0),"-")</f>
        <v>0.4</v>
      </c>
      <c r="O140" s="18">
        <v>3</v>
      </c>
      <c r="P140" s="19">
        <v>1</v>
      </c>
      <c r="Q140" s="18">
        <f>IF(OR(P140="-",P140="",P140=0),IF(O140="-","-",O140),O140-P140)</f>
        <v>2</v>
      </c>
      <c r="R140" s="20">
        <f>IFERROR(IF(O140&gt;0, P140/O140, 0),"-")</f>
        <v>0.33333333333333331</v>
      </c>
      <c r="S140" s="18">
        <v>7</v>
      </c>
      <c r="T140" s="18">
        <v>1</v>
      </c>
      <c r="U140" s="18">
        <v>5710</v>
      </c>
      <c r="V140" s="19" t="s">
        <v>959</v>
      </c>
      <c r="W140" s="19" t="s">
        <v>959</v>
      </c>
      <c r="X140" s="24">
        <f>RANK(F140,$F$57:$F$183,0)</f>
        <v>84</v>
      </c>
      <c r="Y140" s="3" t="str">
        <f>IF(OR(ISERROR(F140),F140="-",NOT(ISNUMBER(F140))),"● N/A",IF(ROUND(F140, 4) &gt;= ROUND($F$184, 4),"▲ Above Average","▼ Below Average"))</f>
        <v>▼ Below Average</v>
      </c>
    </row>
    <row r="141" spans="2:25" x14ac:dyDescent="0.2">
      <c r="B141" s="17" t="s">
        <v>31</v>
      </c>
      <c r="C141" s="18">
        <v>754</v>
      </c>
      <c r="D141" s="19">
        <v>738</v>
      </c>
      <c r="E141" s="18">
        <f>IF(OR(D141="-",D141="",D141=0),IF(C141="-","-",C141),C141-D141)</f>
        <v>16</v>
      </c>
      <c r="F141" s="20">
        <f>IFERROR(IF(C141&gt;0, D141/C141, 0),"-")</f>
        <v>0.97877984084880632</v>
      </c>
      <c r="G141" s="18">
        <v>9</v>
      </c>
      <c r="H141" s="19">
        <v>3</v>
      </c>
      <c r="I141" s="18">
        <f>IF(OR(H141="-",H141="",H141=0),IF(G141="-","-",G141),G141-H141)</f>
        <v>6</v>
      </c>
      <c r="J141" s="20">
        <f>IFERROR(IF(G141&gt;0, H141/G141, 0),"-")</f>
        <v>0.33333333333333331</v>
      </c>
      <c r="K141" s="18">
        <v>4</v>
      </c>
      <c r="L141" s="19">
        <v>1</v>
      </c>
      <c r="M141" s="18">
        <f>IF(OR(L141="-",L141="",L141=0),IF(K141="-","-",K141),K141-L141)</f>
        <v>3</v>
      </c>
      <c r="N141" s="20">
        <f>IFERROR(IF(K141&gt;0, L141/K141, 0),"-")</f>
        <v>0.25</v>
      </c>
      <c r="O141" s="18" t="s">
        <v>959</v>
      </c>
      <c r="P141" s="19" t="s">
        <v>959</v>
      </c>
      <c r="Q141" s="18" t="str">
        <f>IF(OR(P141="-",P141="",P141=0),IF(O141="-","-",O141),O141-P141)</f>
        <v>-</v>
      </c>
      <c r="R141" s="20" t="str">
        <f>IFERROR(IF(O141&gt;0, P141/O141, 0),"-")</f>
        <v>-</v>
      </c>
      <c r="S141" s="18">
        <v>10</v>
      </c>
      <c r="T141" s="18">
        <v>1</v>
      </c>
      <c r="U141" s="18">
        <v>4040</v>
      </c>
      <c r="V141" s="19" t="s">
        <v>959</v>
      </c>
      <c r="W141" s="19" t="s">
        <v>959</v>
      </c>
      <c r="X141" s="24">
        <f>RANK(F141,$F$57:$F$183,0)</f>
        <v>85</v>
      </c>
      <c r="Y141" s="3" t="str">
        <f>IF(OR(ISERROR(F141),F141="-",NOT(ISNUMBER(F141))),"● N/A",IF(ROUND(F141, 4) &gt;= ROUND($F$184, 4),"▲ Above Average","▼ Below Average"))</f>
        <v>▼ Below Average</v>
      </c>
    </row>
    <row r="142" spans="2:25" x14ac:dyDescent="0.2">
      <c r="B142" s="17" t="s">
        <v>44</v>
      </c>
      <c r="C142" s="18">
        <v>373</v>
      </c>
      <c r="D142" s="19">
        <v>365</v>
      </c>
      <c r="E142" s="18">
        <f>IF(OR(D142="-",D142="",D142=0),IF(C142="-","-",C142),C142-D142)</f>
        <v>8</v>
      </c>
      <c r="F142" s="20">
        <f>IFERROR(IF(C142&gt;0, D142/C142, 0),"-")</f>
        <v>0.97855227882037532</v>
      </c>
      <c r="G142" s="18">
        <v>9</v>
      </c>
      <c r="H142" s="19" t="s">
        <v>959</v>
      </c>
      <c r="I142" s="18">
        <f>IF(OR(H142="-",H142="",H142=0),IF(G142="-","-",G142),G142-H142)</f>
        <v>9</v>
      </c>
      <c r="J142" s="20" t="str">
        <f>IFERROR(IF(G142&gt;0, H142/G142, 0),"-")</f>
        <v>-</v>
      </c>
      <c r="K142" s="18">
        <v>4</v>
      </c>
      <c r="L142" s="19">
        <v>1</v>
      </c>
      <c r="M142" s="18">
        <f>IF(OR(L142="-",L142="",L142=0),IF(K142="-","-",K142),K142-L142)</f>
        <v>3</v>
      </c>
      <c r="N142" s="20">
        <f>IFERROR(IF(K142&gt;0, L142/K142, 0),"-")</f>
        <v>0.25</v>
      </c>
      <c r="O142" s="18">
        <v>1</v>
      </c>
      <c r="P142" s="19" t="s">
        <v>959</v>
      </c>
      <c r="Q142" s="18">
        <f>IF(OR(P142="-",P142="",P142=0),IF(O142="-","-",O142),O142-P142)</f>
        <v>1</v>
      </c>
      <c r="R142" s="20" t="str">
        <f>IFERROR(IF(O142&gt;0, P142/O142, 0),"-")</f>
        <v>-</v>
      </c>
      <c r="S142" s="18">
        <v>1</v>
      </c>
      <c r="T142" s="18" t="s">
        <v>959</v>
      </c>
      <c r="U142" s="18" t="s">
        <v>959</v>
      </c>
      <c r="V142" s="19" t="s">
        <v>959</v>
      </c>
      <c r="W142" s="19" t="s">
        <v>959</v>
      </c>
      <c r="X142" s="24">
        <f>RANK(F142,$F$57:$F$183,0)</f>
        <v>86</v>
      </c>
      <c r="Y142" s="3" t="str">
        <f>IF(OR(ISERROR(F142),F142="-",NOT(ISNUMBER(F142))),"● N/A",IF(ROUND(F142, 4) &gt;= ROUND($F$184, 4),"▲ Above Average","▼ Below Average"))</f>
        <v>▼ Below Average</v>
      </c>
    </row>
    <row r="143" spans="2:25" x14ac:dyDescent="0.2">
      <c r="B143" s="17" t="s">
        <v>27</v>
      </c>
      <c r="C143" s="18">
        <v>233</v>
      </c>
      <c r="D143" s="19">
        <v>228</v>
      </c>
      <c r="E143" s="18">
        <f>IF(OR(D143="-",D143="",D143=0),IF(C143="-","-",C143),C143-D143)</f>
        <v>5</v>
      </c>
      <c r="F143" s="20">
        <f>IFERROR(IF(C143&gt;0, D143/C143, 0),"-")</f>
        <v>0.97854077253218885</v>
      </c>
      <c r="G143" s="18">
        <v>4</v>
      </c>
      <c r="H143" s="19">
        <v>3</v>
      </c>
      <c r="I143" s="18">
        <f>IF(OR(H143="-",H143="",H143=0),IF(G143="-","-",G143),G143-H143)</f>
        <v>1</v>
      </c>
      <c r="J143" s="20">
        <f>IFERROR(IF(G143&gt;0, H143/G143, 0),"-")</f>
        <v>0.75</v>
      </c>
      <c r="K143" s="18">
        <v>2</v>
      </c>
      <c r="L143" s="19">
        <v>1</v>
      </c>
      <c r="M143" s="18">
        <f>IF(OR(L143="-",L143="",L143=0),IF(K143="-","-",K143),K143-L143)</f>
        <v>1</v>
      </c>
      <c r="N143" s="20">
        <f>IFERROR(IF(K143&gt;0, L143/K143, 0),"-")</f>
        <v>0.5</v>
      </c>
      <c r="O143" s="18">
        <v>1</v>
      </c>
      <c r="P143" s="19" t="s">
        <v>959</v>
      </c>
      <c r="Q143" s="18">
        <f>IF(OR(P143="-",P143="",P143=0),IF(O143="-","-",O143),O143-P143)</f>
        <v>1</v>
      </c>
      <c r="R143" s="20" t="str">
        <f>IFERROR(IF(O143&gt;0, P143/O143, 0),"-")</f>
        <v>-</v>
      </c>
      <c r="S143" s="18" t="s">
        <v>959</v>
      </c>
      <c r="T143" s="18" t="s">
        <v>959</v>
      </c>
      <c r="U143" s="18" t="s">
        <v>959</v>
      </c>
      <c r="V143" s="19" t="s">
        <v>959</v>
      </c>
      <c r="W143" s="19" t="s">
        <v>959</v>
      </c>
      <c r="X143" s="24">
        <f>RANK(F143,$F$57:$F$183,0)</f>
        <v>87</v>
      </c>
      <c r="Y143" s="3" t="str">
        <f>IF(OR(ISERROR(F143),F143="-",NOT(ISNUMBER(F143))),"● N/A",IF(ROUND(F143, 4) &gt;= ROUND($F$184, 4),"▲ Above Average","▼ Below Average"))</f>
        <v>▼ Below Average</v>
      </c>
    </row>
    <row r="144" spans="2:25" x14ac:dyDescent="0.2">
      <c r="B144" s="17" t="s">
        <v>78</v>
      </c>
      <c r="C144" s="18">
        <v>604</v>
      </c>
      <c r="D144" s="19">
        <v>591</v>
      </c>
      <c r="E144" s="18">
        <f>IF(OR(D144="-",D144="",D144=0),IF(C144="-","-",C144),C144-D144)</f>
        <v>13</v>
      </c>
      <c r="F144" s="20">
        <f>IFERROR(IF(C144&gt;0, D144/C144, 0),"-")</f>
        <v>0.97847682119205293</v>
      </c>
      <c r="G144" s="18">
        <v>10</v>
      </c>
      <c r="H144" s="19">
        <v>2</v>
      </c>
      <c r="I144" s="18">
        <f>IF(OR(H144="-",H144="",H144=0),IF(G144="-","-",G144),G144-H144)</f>
        <v>8</v>
      </c>
      <c r="J144" s="20">
        <f>IFERROR(IF(G144&gt;0, H144/G144, 0),"-")</f>
        <v>0.2</v>
      </c>
      <c r="K144" s="18">
        <v>4</v>
      </c>
      <c r="L144" s="19" t="s">
        <v>959</v>
      </c>
      <c r="M144" s="18">
        <f>IF(OR(L144="-",L144="",L144=0),IF(K144="-","-",K144),K144-L144)</f>
        <v>4</v>
      </c>
      <c r="N144" s="20" t="str">
        <f>IFERROR(IF(K144&gt;0, L144/K144, 0),"-")</f>
        <v>-</v>
      </c>
      <c r="O144" s="18">
        <v>6</v>
      </c>
      <c r="P144" s="19">
        <v>1</v>
      </c>
      <c r="Q144" s="18">
        <f>IF(OR(P144="-",P144="",P144=0),IF(O144="-","-",O144),O144-P144)</f>
        <v>5</v>
      </c>
      <c r="R144" s="20">
        <f>IFERROR(IF(O144&gt;0, P144/O144, 0),"-")</f>
        <v>0.16666666666666666</v>
      </c>
      <c r="S144" s="18">
        <v>5</v>
      </c>
      <c r="T144" s="18" t="s">
        <v>959</v>
      </c>
      <c r="U144" s="18" t="s">
        <v>959</v>
      </c>
      <c r="V144" s="19" t="s">
        <v>959</v>
      </c>
      <c r="W144" s="19" t="s">
        <v>959</v>
      </c>
      <c r="X144" s="24">
        <f>RANK(F144,$F$57:$F$183,0)</f>
        <v>88</v>
      </c>
      <c r="Y144" s="3" t="str">
        <f>IF(OR(ISERROR(F144),F144="-",NOT(ISNUMBER(F144))),"● N/A",IF(ROUND(F144, 4) &gt;= ROUND($F$184, 4),"▲ Above Average","▼ Below Average"))</f>
        <v>▼ Below Average</v>
      </c>
    </row>
    <row r="145" spans="2:25" x14ac:dyDescent="0.2">
      <c r="B145" s="17" t="s">
        <v>117</v>
      </c>
      <c r="C145" s="18">
        <v>464</v>
      </c>
      <c r="D145" s="19">
        <v>454</v>
      </c>
      <c r="E145" s="18">
        <f>IF(OR(D145="-",D145="",D145=0),IF(C145="-","-",C145),C145-D145)</f>
        <v>10</v>
      </c>
      <c r="F145" s="20">
        <f>IFERROR(IF(C145&gt;0, D145/C145, 0),"-")</f>
        <v>0.97844827586206895</v>
      </c>
      <c r="G145" s="18">
        <v>2</v>
      </c>
      <c r="H145" s="19" t="s">
        <v>959</v>
      </c>
      <c r="I145" s="18">
        <f>IF(OR(H145="-",H145="",H145=0),IF(G145="-","-",G145),G145-H145)</f>
        <v>2</v>
      </c>
      <c r="J145" s="20" t="str">
        <f>IFERROR(IF(G145&gt;0, H145/G145, 0),"-")</f>
        <v>-</v>
      </c>
      <c r="K145" s="18">
        <v>1</v>
      </c>
      <c r="L145" s="19" t="s">
        <v>959</v>
      </c>
      <c r="M145" s="18">
        <f>IF(OR(L145="-",L145="",L145=0),IF(K145="-","-",K145),K145-L145)</f>
        <v>1</v>
      </c>
      <c r="N145" s="20" t="str">
        <f>IFERROR(IF(K145&gt;0, L145/K145, 0),"-")</f>
        <v>-</v>
      </c>
      <c r="O145" s="18">
        <v>1</v>
      </c>
      <c r="P145" s="19" t="s">
        <v>959</v>
      </c>
      <c r="Q145" s="18">
        <f>IF(OR(P145="-",P145="",P145=0),IF(O145="-","-",O145),O145-P145)</f>
        <v>1</v>
      </c>
      <c r="R145" s="20" t="str">
        <f>IFERROR(IF(O145&gt;0, P145/O145, 0),"-")</f>
        <v>-</v>
      </c>
      <c r="S145" s="18">
        <v>2</v>
      </c>
      <c r="T145" s="18" t="s">
        <v>959</v>
      </c>
      <c r="U145" s="18" t="s">
        <v>959</v>
      </c>
      <c r="V145" s="19" t="s">
        <v>959</v>
      </c>
      <c r="W145" s="19" t="s">
        <v>959</v>
      </c>
      <c r="X145" s="24">
        <f>RANK(F145,$F$57:$F$183,0)</f>
        <v>89</v>
      </c>
      <c r="Y145" s="3" t="str">
        <f>IF(OR(ISERROR(F145),F145="-",NOT(ISNUMBER(F145))),"● N/A",IF(ROUND(F145, 4) &gt;= ROUND($F$184, 4),"▲ Above Average","▼ Below Average"))</f>
        <v>▼ Below Average</v>
      </c>
    </row>
    <row r="146" spans="2:25" x14ac:dyDescent="0.2">
      <c r="B146" s="17" t="s">
        <v>124</v>
      </c>
      <c r="C146" s="18">
        <v>463</v>
      </c>
      <c r="D146" s="19">
        <v>453</v>
      </c>
      <c r="E146" s="18">
        <f>IF(OR(D146="-",D146="",D146=0),IF(C146="-","-",C146),C146-D146)</f>
        <v>10</v>
      </c>
      <c r="F146" s="20">
        <f>IFERROR(IF(C146&gt;0, D146/C146, 0),"-")</f>
        <v>0.97840172786177104</v>
      </c>
      <c r="G146" s="18">
        <v>8</v>
      </c>
      <c r="H146" s="19">
        <v>3</v>
      </c>
      <c r="I146" s="18">
        <f>IF(OR(H146="-",H146="",H146=0),IF(G146="-","-",G146),G146-H146)</f>
        <v>5</v>
      </c>
      <c r="J146" s="20">
        <f>IFERROR(IF(G146&gt;0, H146/G146, 0),"-")</f>
        <v>0.375</v>
      </c>
      <c r="K146" s="18" t="s">
        <v>959</v>
      </c>
      <c r="L146" s="19" t="s">
        <v>959</v>
      </c>
      <c r="M146" s="18" t="str">
        <f>IF(OR(L146="-",L146="",L146=0),IF(K146="-","-",K146),K146-L146)</f>
        <v>-</v>
      </c>
      <c r="N146" s="20" t="str">
        <f>IFERROR(IF(K146&gt;0, L146/K146, 0),"-")</f>
        <v>-</v>
      </c>
      <c r="O146" s="18">
        <v>1</v>
      </c>
      <c r="P146" s="19" t="s">
        <v>959</v>
      </c>
      <c r="Q146" s="18">
        <f>IF(OR(P146="-",P146="",P146=0),IF(O146="-","-",O146),O146-P146)</f>
        <v>1</v>
      </c>
      <c r="R146" s="20" t="str">
        <f>IFERROR(IF(O146&gt;0, P146/O146, 0),"-")</f>
        <v>-</v>
      </c>
      <c r="S146" s="18">
        <v>2</v>
      </c>
      <c r="T146" s="18" t="s">
        <v>959</v>
      </c>
      <c r="U146" s="18" t="s">
        <v>959</v>
      </c>
      <c r="V146" s="19" t="s">
        <v>959</v>
      </c>
      <c r="W146" s="19" t="s">
        <v>959</v>
      </c>
      <c r="X146" s="24">
        <f>RANK(F146,$F$57:$F$183,0)</f>
        <v>90</v>
      </c>
      <c r="Y146" s="3" t="str">
        <f>IF(OR(ISERROR(F146),F146="-",NOT(ISNUMBER(F146))),"● N/A",IF(ROUND(F146, 4) &gt;= ROUND($F$184, 4),"▲ Above Average","▼ Below Average"))</f>
        <v>▼ Below Average</v>
      </c>
    </row>
    <row r="147" spans="2:25" x14ac:dyDescent="0.2">
      <c r="B147" s="17" t="s">
        <v>22</v>
      </c>
      <c r="C147" s="18">
        <v>638</v>
      </c>
      <c r="D147" s="19">
        <v>624</v>
      </c>
      <c r="E147" s="18">
        <f>IF(OR(D147="-",D147="",D147=0),IF(C147="-","-",C147),C147-D147)</f>
        <v>14</v>
      </c>
      <c r="F147" s="20">
        <f>IFERROR(IF(C147&gt;0, D147/C147, 0),"-")</f>
        <v>0.9780564263322884</v>
      </c>
      <c r="G147" s="18">
        <v>4</v>
      </c>
      <c r="H147" s="19">
        <v>1</v>
      </c>
      <c r="I147" s="18">
        <f>IF(OR(H147="-",H147="",H147=0),IF(G147="-","-",G147),G147-H147)</f>
        <v>3</v>
      </c>
      <c r="J147" s="20">
        <f>IFERROR(IF(G147&gt;0, H147/G147, 0),"-")</f>
        <v>0.25</v>
      </c>
      <c r="K147" s="18">
        <v>1</v>
      </c>
      <c r="L147" s="19" t="s">
        <v>959</v>
      </c>
      <c r="M147" s="18">
        <f>IF(OR(L147="-",L147="",L147=0),IF(K147="-","-",K147),K147-L147)</f>
        <v>1</v>
      </c>
      <c r="N147" s="20" t="str">
        <f>IFERROR(IF(K147&gt;0, L147/K147, 0),"-")</f>
        <v>-</v>
      </c>
      <c r="O147" s="18">
        <v>3</v>
      </c>
      <c r="P147" s="19" t="s">
        <v>959</v>
      </c>
      <c r="Q147" s="18">
        <f>IF(OR(P147="-",P147="",P147=0),IF(O147="-","-",O147),O147-P147)</f>
        <v>3</v>
      </c>
      <c r="R147" s="20" t="str">
        <f>IFERROR(IF(O147&gt;0, P147/O147, 0),"-")</f>
        <v>-</v>
      </c>
      <c r="S147" s="18">
        <v>3</v>
      </c>
      <c r="T147" s="18" t="s">
        <v>959</v>
      </c>
      <c r="U147" s="18" t="s">
        <v>959</v>
      </c>
      <c r="V147" s="19" t="s">
        <v>959</v>
      </c>
      <c r="W147" s="19" t="s">
        <v>959</v>
      </c>
      <c r="X147" s="24">
        <f>RANK(F147,$F$57:$F$183,0)</f>
        <v>91</v>
      </c>
      <c r="Y147" s="3" t="str">
        <f>IF(OR(ISERROR(F147),F147="-",NOT(ISNUMBER(F147))),"● N/A",IF(ROUND(F147, 4) &gt;= ROUND($F$184, 4),"▲ Above Average","▼ Below Average"))</f>
        <v>▼ Below Average</v>
      </c>
    </row>
    <row r="148" spans="2:25" x14ac:dyDescent="0.2">
      <c r="B148" s="17" t="s">
        <v>111</v>
      </c>
      <c r="C148" s="18">
        <v>353</v>
      </c>
      <c r="D148" s="19">
        <v>345</v>
      </c>
      <c r="E148" s="18">
        <f>IF(OR(D148="-",D148="",D148=0),IF(C148="-","-",C148),C148-D148)</f>
        <v>8</v>
      </c>
      <c r="F148" s="20">
        <f>IFERROR(IF(C148&gt;0, D148/C148, 0),"-")</f>
        <v>0.97733711048158645</v>
      </c>
      <c r="G148" s="18">
        <v>1</v>
      </c>
      <c r="H148" s="19" t="s">
        <v>959</v>
      </c>
      <c r="I148" s="18">
        <f>IF(OR(H148="-",H148="",H148=0),IF(G148="-","-",G148),G148-H148)</f>
        <v>1</v>
      </c>
      <c r="J148" s="20" t="str">
        <f>IFERROR(IF(G148&gt;0, H148/G148, 0),"-")</f>
        <v>-</v>
      </c>
      <c r="K148" s="18" t="s">
        <v>959</v>
      </c>
      <c r="L148" s="19" t="s">
        <v>959</v>
      </c>
      <c r="M148" s="18" t="str">
        <f>IF(OR(L148="-",L148="",L148=0),IF(K148="-","-",K148),K148-L148)</f>
        <v>-</v>
      </c>
      <c r="N148" s="20" t="str">
        <f>IFERROR(IF(K148&gt;0, L148/K148, 0),"-")</f>
        <v>-</v>
      </c>
      <c r="O148" s="18" t="s">
        <v>959</v>
      </c>
      <c r="P148" s="19" t="s">
        <v>959</v>
      </c>
      <c r="Q148" s="18" t="str">
        <f>IF(OR(P148="-",P148="",P148=0),IF(O148="-","-",O148),O148-P148)</f>
        <v>-</v>
      </c>
      <c r="R148" s="20" t="str">
        <f>IFERROR(IF(O148&gt;0, P148/O148, 0),"-")</f>
        <v>-</v>
      </c>
      <c r="S148" s="18">
        <v>3</v>
      </c>
      <c r="T148" s="18" t="s">
        <v>959</v>
      </c>
      <c r="U148" s="18" t="s">
        <v>959</v>
      </c>
      <c r="V148" s="19" t="s">
        <v>959</v>
      </c>
      <c r="W148" s="19" t="s">
        <v>959</v>
      </c>
      <c r="X148" s="24">
        <f>RANK(F148,$F$57:$F$183,0)</f>
        <v>92</v>
      </c>
      <c r="Y148" s="3" t="str">
        <f>IF(OR(ISERROR(F148),F148="-",NOT(ISNUMBER(F148))),"● N/A",IF(ROUND(F148, 4) &gt;= ROUND($F$184, 4),"▲ Above Average","▼ Below Average"))</f>
        <v>▼ Below Average</v>
      </c>
    </row>
    <row r="149" spans="2:25" x14ac:dyDescent="0.2">
      <c r="B149" s="17" t="s">
        <v>59</v>
      </c>
      <c r="C149" s="18">
        <v>439</v>
      </c>
      <c r="D149" s="19">
        <v>429</v>
      </c>
      <c r="E149" s="18">
        <f>IF(OR(D149="-",D149="",D149=0),IF(C149="-","-",C149),C149-D149)</f>
        <v>10</v>
      </c>
      <c r="F149" s="20">
        <f>IFERROR(IF(C149&gt;0, D149/C149, 0),"-")</f>
        <v>0.97722095671981779</v>
      </c>
      <c r="G149" s="18">
        <v>2</v>
      </c>
      <c r="H149" s="19" t="s">
        <v>959</v>
      </c>
      <c r="I149" s="18">
        <f>IF(OR(H149="-",H149="",H149=0),IF(G149="-","-",G149),G149-H149)</f>
        <v>2</v>
      </c>
      <c r="J149" s="20" t="str">
        <f>IFERROR(IF(G149&gt;0, H149/G149, 0),"-")</f>
        <v>-</v>
      </c>
      <c r="K149" s="18">
        <v>2</v>
      </c>
      <c r="L149" s="19">
        <v>1</v>
      </c>
      <c r="M149" s="18">
        <f>IF(OR(L149="-",L149="",L149=0),IF(K149="-","-",K149),K149-L149)</f>
        <v>1</v>
      </c>
      <c r="N149" s="20">
        <f>IFERROR(IF(K149&gt;0, L149/K149, 0),"-")</f>
        <v>0.5</v>
      </c>
      <c r="O149" s="18" t="s">
        <v>959</v>
      </c>
      <c r="P149" s="19" t="s">
        <v>959</v>
      </c>
      <c r="Q149" s="18" t="str">
        <f>IF(OR(P149="-",P149="",P149=0),IF(O149="-","-",O149),O149-P149)</f>
        <v>-</v>
      </c>
      <c r="R149" s="20" t="str">
        <f>IFERROR(IF(O149&gt;0, P149/O149, 0),"-")</f>
        <v>-</v>
      </c>
      <c r="S149" s="18">
        <v>2</v>
      </c>
      <c r="T149" s="18" t="s">
        <v>959</v>
      </c>
      <c r="U149" s="18" t="s">
        <v>959</v>
      </c>
      <c r="V149" s="19" t="s">
        <v>959</v>
      </c>
      <c r="W149" s="19" t="s">
        <v>959</v>
      </c>
      <c r="X149" s="24">
        <f>RANK(F149,$F$57:$F$183,0)</f>
        <v>93</v>
      </c>
      <c r="Y149" s="3" t="str">
        <f>IF(OR(ISERROR(F149),F149="-",NOT(ISNUMBER(F149))),"● N/A",IF(ROUND(F149, 4) &gt;= ROUND($F$184, 4),"▲ Above Average","▼ Below Average"))</f>
        <v>▼ Below Average</v>
      </c>
    </row>
    <row r="150" spans="2:25" x14ac:dyDescent="0.2">
      <c r="B150" s="17" t="s">
        <v>42</v>
      </c>
      <c r="C150" s="18">
        <v>699</v>
      </c>
      <c r="D150" s="19">
        <v>683</v>
      </c>
      <c r="E150" s="18">
        <f>IF(OR(D150="-",D150="",D150=0),IF(C150="-","-",C150),C150-D150)</f>
        <v>16</v>
      </c>
      <c r="F150" s="20">
        <f>IFERROR(IF(C150&gt;0, D150/C150, 0),"-")</f>
        <v>0.97711015736766804</v>
      </c>
      <c r="G150" s="18">
        <v>10</v>
      </c>
      <c r="H150" s="19">
        <v>2</v>
      </c>
      <c r="I150" s="18">
        <f>IF(OR(H150="-",H150="",H150=0),IF(G150="-","-",G150),G150-H150)</f>
        <v>8</v>
      </c>
      <c r="J150" s="20">
        <f>IFERROR(IF(G150&gt;0, H150/G150, 0),"-")</f>
        <v>0.2</v>
      </c>
      <c r="K150" s="18">
        <v>6</v>
      </c>
      <c r="L150" s="19">
        <v>1</v>
      </c>
      <c r="M150" s="18">
        <f>IF(OR(L150="-",L150="",L150=0),IF(K150="-","-",K150),K150-L150)</f>
        <v>5</v>
      </c>
      <c r="N150" s="20">
        <f>IFERROR(IF(K150&gt;0, L150/K150, 0),"-")</f>
        <v>0.16666666666666666</v>
      </c>
      <c r="O150" s="18">
        <v>2</v>
      </c>
      <c r="P150" s="19" t="s">
        <v>959</v>
      </c>
      <c r="Q150" s="18">
        <f>IF(OR(P150="-",P150="",P150=0),IF(O150="-","-",O150),O150-P150)</f>
        <v>2</v>
      </c>
      <c r="R150" s="20" t="str">
        <f>IFERROR(IF(O150&gt;0, P150/O150, 0),"-")</f>
        <v>-</v>
      </c>
      <c r="S150" s="18">
        <v>4</v>
      </c>
      <c r="T150" s="18">
        <v>1</v>
      </c>
      <c r="U150" s="18">
        <v>3200</v>
      </c>
      <c r="V150" s="19" t="s">
        <v>959</v>
      </c>
      <c r="W150" s="19" t="s">
        <v>959</v>
      </c>
      <c r="X150" s="24">
        <f>RANK(F150,$F$57:$F$183,0)</f>
        <v>94</v>
      </c>
      <c r="Y150" s="3" t="str">
        <f>IF(OR(ISERROR(F150),F150="-",NOT(ISNUMBER(F150))),"● N/A",IF(ROUND(F150, 4) &gt;= ROUND($F$184, 4),"▲ Above Average","▼ Below Average"))</f>
        <v>▼ Below Average</v>
      </c>
    </row>
    <row r="151" spans="2:25" x14ac:dyDescent="0.2">
      <c r="B151" s="17" t="s">
        <v>122</v>
      </c>
      <c r="C151" s="18">
        <v>218</v>
      </c>
      <c r="D151" s="19">
        <v>213</v>
      </c>
      <c r="E151" s="18">
        <f>IF(OR(D151="-",D151="",D151=0),IF(C151="-","-",C151),C151-D151)</f>
        <v>5</v>
      </c>
      <c r="F151" s="20">
        <f>IFERROR(IF(C151&gt;0, D151/C151, 0),"-")</f>
        <v>0.97706422018348627</v>
      </c>
      <c r="G151" s="18">
        <v>2</v>
      </c>
      <c r="H151" s="19">
        <v>1</v>
      </c>
      <c r="I151" s="18">
        <f>IF(OR(H151="-",H151="",H151=0),IF(G151="-","-",G151),G151-H151)</f>
        <v>1</v>
      </c>
      <c r="J151" s="20">
        <f>IFERROR(IF(G151&gt;0, H151/G151, 0),"-")</f>
        <v>0.5</v>
      </c>
      <c r="K151" s="18">
        <v>2</v>
      </c>
      <c r="L151" s="19">
        <v>1</v>
      </c>
      <c r="M151" s="18">
        <f>IF(OR(L151="-",L151="",L151=0),IF(K151="-","-",K151),K151-L151)</f>
        <v>1</v>
      </c>
      <c r="N151" s="20">
        <f>IFERROR(IF(K151&gt;0, L151/K151, 0),"-")</f>
        <v>0.5</v>
      </c>
      <c r="O151" s="18" t="s">
        <v>959</v>
      </c>
      <c r="P151" s="19" t="s">
        <v>959</v>
      </c>
      <c r="Q151" s="18" t="str">
        <f>IF(OR(P151="-",P151="",P151=0),IF(O151="-","-",O151),O151-P151)</f>
        <v>-</v>
      </c>
      <c r="R151" s="20" t="str">
        <f>IFERROR(IF(O151&gt;0, P151/O151, 0),"-")</f>
        <v>-</v>
      </c>
      <c r="S151" s="18">
        <v>1</v>
      </c>
      <c r="T151" s="18" t="s">
        <v>959</v>
      </c>
      <c r="U151" s="18" t="s">
        <v>959</v>
      </c>
      <c r="V151" s="19" t="s">
        <v>959</v>
      </c>
      <c r="W151" s="19" t="s">
        <v>959</v>
      </c>
      <c r="X151" s="24">
        <f>RANK(F151,$F$57:$F$183,0)</f>
        <v>95</v>
      </c>
      <c r="Y151" s="3" t="str">
        <f>IF(OR(ISERROR(F151),F151="-",NOT(ISNUMBER(F151))),"● N/A",IF(ROUND(F151, 4) &gt;= ROUND($F$184, 4),"▲ Above Average","▼ Below Average"))</f>
        <v>▼ Below Average</v>
      </c>
    </row>
    <row r="152" spans="2:25" x14ac:dyDescent="0.2">
      <c r="B152" s="17" t="s">
        <v>49</v>
      </c>
      <c r="C152" s="18">
        <v>606</v>
      </c>
      <c r="D152" s="19">
        <v>592</v>
      </c>
      <c r="E152" s="18">
        <f>IF(OR(D152="-",D152="",D152=0),IF(C152="-","-",C152),C152-D152)</f>
        <v>14</v>
      </c>
      <c r="F152" s="20">
        <f>IFERROR(IF(C152&gt;0, D152/C152, 0),"-")</f>
        <v>0.97689768976897695</v>
      </c>
      <c r="G152" s="18">
        <v>4</v>
      </c>
      <c r="H152" s="19">
        <v>1</v>
      </c>
      <c r="I152" s="18">
        <f>IF(OR(H152="-",H152="",H152=0),IF(G152="-","-",G152),G152-H152)</f>
        <v>3</v>
      </c>
      <c r="J152" s="20">
        <f>IFERROR(IF(G152&gt;0, H152/G152, 0),"-")</f>
        <v>0.25</v>
      </c>
      <c r="K152" s="18">
        <v>1</v>
      </c>
      <c r="L152" s="19" t="s">
        <v>959</v>
      </c>
      <c r="M152" s="18">
        <f>IF(OR(L152="-",L152="",L152=0),IF(K152="-","-",K152),K152-L152)</f>
        <v>1</v>
      </c>
      <c r="N152" s="20" t="str">
        <f>IFERROR(IF(K152&gt;0, L152/K152, 0),"-")</f>
        <v>-</v>
      </c>
      <c r="O152" s="18">
        <v>1</v>
      </c>
      <c r="P152" s="19">
        <v>1</v>
      </c>
      <c r="Q152" s="18">
        <f>IF(OR(P152="-",P152="",P152=0),IF(O152="-","-",O152),O152-P152)</f>
        <v>0</v>
      </c>
      <c r="R152" s="20">
        <f>IFERROR(IF(O152&gt;0, P152/O152, 0),"-")</f>
        <v>1</v>
      </c>
      <c r="S152" s="18">
        <v>1</v>
      </c>
      <c r="T152" s="18">
        <v>1</v>
      </c>
      <c r="U152" s="18">
        <v>500</v>
      </c>
      <c r="V152" s="19" t="s">
        <v>959</v>
      </c>
      <c r="W152" s="19" t="s">
        <v>959</v>
      </c>
      <c r="X152" s="24">
        <f>RANK(F152,$F$57:$F$183,0)</f>
        <v>96</v>
      </c>
      <c r="Y152" s="3" t="str">
        <f>IF(OR(ISERROR(F152),F152="-",NOT(ISNUMBER(F152))),"● N/A",IF(ROUND(F152, 4) &gt;= ROUND($F$184, 4),"▲ Above Average","▼ Below Average"))</f>
        <v>▼ Below Average</v>
      </c>
    </row>
    <row r="153" spans="2:25" x14ac:dyDescent="0.2">
      <c r="B153" s="17" t="s">
        <v>65</v>
      </c>
      <c r="C153" s="18">
        <v>300</v>
      </c>
      <c r="D153" s="19">
        <v>293</v>
      </c>
      <c r="E153" s="18">
        <f>IF(OR(D153="-",D153="",D153=0),IF(C153="-","-",C153),C153-D153)</f>
        <v>7</v>
      </c>
      <c r="F153" s="20">
        <f>IFERROR(IF(C153&gt;0, D153/C153, 0),"-")</f>
        <v>0.97666666666666668</v>
      </c>
      <c r="G153" s="18">
        <v>2</v>
      </c>
      <c r="H153" s="19">
        <v>1</v>
      </c>
      <c r="I153" s="18">
        <f>IF(OR(H153="-",H153="",H153=0),IF(G153="-","-",G153),G153-H153)</f>
        <v>1</v>
      </c>
      <c r="J153" s="20">
        <f>IFERROR(IF(G153&gt;0, H153/G153, 0),"-")</f>
        <v>0.5</v>
      </c>
      <c r="K153" s="18">
        <v>1</v>
      </c>
      <c r="L153" s="19" t="s">
        <v>959</v>
      </c>
      <c r="M153" s="18">
        <f>IF(OR(L153="-",L153="",L153=0),IF(K153="-","-",K153),K153-L153)</f>
        <v>1</v>
      </c>
      <c r="N153" s="20" t="str">
        <f>IFERROR(IF(K153&gt;0, L153/K153, 0),"-")</f>
        <v>-</v>
      </c>
      <c r="O153" s="18" t="s">
        <v>959</v>
      </c>
      <c r="P153" s="19" t="s">
        <v>959</v>
      </c>
      <c r="Q153" s="18" t="str">
        <f>IF(OR(P153="-",P153="",P153=0),IF(O153="-","-",O153),O153-P153)</f>
        <v>-</v>
      </c>
      <c r="R153" s="20" t="str">
        <f>IFERROR(IF(O153&gt;0, P153/O153, 0),"-")</f>
        <v>-</v>
      </c>
      <c r="S153" s="18">
        <v>2</v>
      </c>
      <c r="T153" s="18" t="s">
        <v>959</v>
      </c>
      <c r="U153" s="18" t="s">
        <v>959</v>
      </c>
      <c r="V153" s="19" t="s">
        <v>959</v>
      </c>
      <c r="W153" s="19" t="s">
        <v>959</v>
      </c>
      <c r="X153" s="24">
        <f>RANK(F153,$F$57:$F$183,0)</f>
        <v>97</v>
      </c>
      <c r="Y153" s="3" t="str">
        <f>IF(OR(ISERROR(F153),F153="-",NOT(ISNUMBER(F153))),"● N/A",IF(ROUND(F153, 4) &gt;= ROUND($F$184, 4),"▲ Above Average","▼ Below Average"))</f>
        <v>▼ Below Average</v>
      </c>
    </row>
    <row r="154" spans="2:25" x14ac:dyDescent="0.2">
      <c r="B154" s="17" t="s">
        <v>101</v>
      </c>
      <c r="C154" s="18">
        <v>851</v>
      </c>
      <c r="D154" s="19">
        <v>831</v>
      </c>
      <c r="E154" s="18">
        <f>IF(OR(D154="-",D154="",D154=0),IF(C154="-","-",C154),C154-D154)</f>
        <v>20</v>
      </c>
      <c r="F154" s="20">
        <f>IFERROR(IF(C154&gt;0, D154/C154, 0),"-")</f>
        <v>0.97649823736780261</v>
      </c>
      <c r="G154" s="18">
        <v>3</v>
      </c>
      <c r="H154" s="19" t="s">
        <v>959</v>
      </c>
      <c r="I154" s="18">
        <f>IF(OR(H154="-",H154="",H154=0),IF(G154="-","-",G154),G154-H154)</f>
        <v>3</v>
      </c>
      <c r="J154" s="20" t="str">
        <f>IFERROR(IF(G154&gt;0, H154/G154, 0),"-")</f>
        <v>-</v>
      </c>
      <c r="K154" s="18">
        <v>1</v>
      </c>
      <c r="L154" s="19" t="s">
        <v>959</v>
      </c>
      <c r="M154" s="18">
        <f>IF(OR(L154="-",L154="",L154=0),IF(K154="-","-",K154),K154-L154)</f>
        <v>1</v>
      </c>
      <c r="N154" s="20" t="str">
        <f>IFERROR(IF(K154&gt;0, L154/K154, 0),"-")</f>
        <v>-</v>
      </c>
      <c r="O154" s="18">
        <v>2</v>
      </c>
      <c r="P154" s="19" t="s">
        <v>959</v>
      </c>
      <c r="Q154" s="18">
        <f>IF(OR(P154="-",P154="",P154=0),IF(O154="-","-",O154),O154-P154)</f>
        <v>2</v>
      </c>
      <c r="R154" s="20" t="str">
        <f>IFERROR(IF(O154&gt;0, P154/O154, 0),"-")</f>
        <v>-</v>
      </c>
      <c r="S154" s="18">
        <v>6</v>
      </c>
      <c r="T154" s="18">
        <v>1</v>
      </c>
      <c r="U154" s="18">
        <v>100</v>
      </c>
      <c r="V154" s="19" t="s">
        <v>959</v>
      </c>
      <c r="W154" s="19" t="s">
        <v>959</v>
      </c>
      <c r="X154" s="24">
        <f>RANK(F154,$F$57:$F$183,0)</f>
        <v>98</v>
      </c>
      <c r="Y154" s="3" t="str">
        <f>IF(OR(ISERROR(F154),F154="-",NOT(ISNUMBER(F154))),"● N/A",IF(ROUND(F154, 4) &gt;= ROUND($F$184, 4),"▲ Above Average","▼ Below Average"))</f>
        <v>▼ Below Average</v>
      </c>
    </row>
    <row r="155" spans="2:25" x14ac:dyDescent="0.2">
      <c r="B155" s="17" t="s">
        <v>32</v>
      </c>
      <c r="C155" s="18">
        <v>605</v>
      </c>
      <c r="D155" s="19">
        <v>590</v>
      </c>
      <c r="E155" s="18">
        <f>IF(OR(D155="-",D155="",D155=0),IF(C155="-","-",C155),C155-D155)</f>
        <v>15</v>
      </c>
      <c r="F155" s="20">
        <f>IFERROR(IF(C155&gt;0, D155/C155, 0),"-")</f>
        <v>0.97520661157024791</v>
      </c>
      <c r="G155" s="18">
        <v>2</v>
      </c>
      <c r="H155" s="19" t="s">
        <v>959</v>
      </c>
      <c r="I155" s="18">
        <f>IF(OR(H155="-",H155="",H155=0),IF(G155="-","-",G155),G155-H155)</f>
        <v>2</v>
      </c>
      <c r="J155" s="20" t="str">
        <f>IFERROR(IF(G155&gt;0, H155/G155, 0),"-")</f>
        <v>-</v>
      </c>
      <c r="K155" s="18">
        <v>1</v>
      </c>
      <c r="L155" s="19" t="s">
        <v>959</v>
      </c>
      <c r="M155" s="18">
        <f>IF(OR(L155="-",L155="",L155=0),IF(K155="-","-",K155),K155-L155)</f>
        <v>1</v>
      </c>
      <c r="N155" s="20" t="str">
        <f>IFERROR(IF(K155&gt;0, L155/K155, 0),"-")</f>
        <v>-</v>
      </c>
      <c r="O155" s="18">
        <v>1</v>
      </c>
      <c r="P155" s="19" t="s">
        <v>959</v>
      </c>
      <c r="Q155" s="18">
        <f>IF(OR(P155="-",P155="",P155=0),IF(O155="-","-",O155),O155-P155)</f>
        <v>1</v>
      </c>
      <c r="R155" s="20" t="str">
        <f>IFERROR(IF(O155&gt;0, P155/O155, 0),"-")</f>
        <v>-</v>
      </c>
      <c r="S155" s="18">
        <v>2</v>
      </c>
      <c r="T155" s="18">
        <v>1</v>
      </c>
      <c r="U155" s="18">
        <v>50000</v>
      </c>
      <c r="V155" s="19" t="s">
        <v>959</v>
      </c>
      <c r="W155" s="19" t="s">
        <v>959</v>
      </c>
      <c r="X155" s="24">
        <f>RANK(F155,$F$57:$F$183,0)</f>
        <v>99</v>
      </c>
      <c r="Y155" s="3" t="str">
        <f>IF(OR(ISERROR(F155),F155="-",NOT(ISNUMBER(F155))),"● N/A",IF(ROUND(F155, 4) &gt;= ROUND($F$184, 4),"▲ Above Average","▼ Below Average"))</f>
        <v>▼ Below Average</v>
      </c>
    </row>
    <row r="156" spans="2:25" x14ac:dyDescent="0.2">
      <c r="B156" s="17" t="s">
        <v>46</v>
      </c>
      <c r="C156" s="18">
        <v>561</v>
      </c>
      <c r="D156" s="19">
        <v>547</v>
      </c>
      <c r="E156" s="18">
        <f>IF(OR(D156="-",D156="",D156=0),IF(C156="-","-",C156),C156-D156)</f>
        <v>14</v>
      </c>
      <c r="F156" s="20">
        <f>IFERROR(IF(C156&gt;0, D156/C156, 0),"-")</f>
        <v>0.97504456327985745</v>
      </c>
      <c r="G156" s="18">
        <v>12</v>
      </c>
      <c r="H156" s="19">
        <v>1</v>
      </c>
      <c r="I156" s="18">
        <f>IF(OR(H156="-",H156="",H156=0),IF(G156="-","-",G156),G156-H156)</f>
        <v>11</v>
      </c>
      <c r="J156" s="20">
        <f>IFERROR(IF(G156&gt;0, H156/G156, 0),"-")</f>
        <v>8.3333333333333329E-2</v>
      </c>
      <c r="K156" s="18">
        <v>14</v>
      </c>
      <c r="L156" s="19">
        <v>1</v>
      </c>
      <c r="M156" s="18">
        <f>IF(OR(L156="-",L156="",L156=0),IF(K156="-","-",K156),K156-L156)</f>
        <v>13</v>
      </c>
      <c r="N156" s="20">
        <f>IFERROR(IF(K156&gt;0, L156/K156, 0),"-")</f>
        <v>7.1428571428571425E-2</v>
      </c>
      <c r="O156" s="18">
        <v>6</v>
      </c>
      <c r="P156" s="19">
        <v>1</v>
      </c>
      <c r="Q156" s="18">
        <f>IF(OR(P156="-",P156="",P156=0),IF(O156="-","-",O156),O156-P156)</f>
        <v>5</v>
      </c>
      <c r="R156" s="20">
        <f>IFERROR(IF(O156&gt;0, P156/O156, 0),"-")</f>
        <v>0.16666666666666666</v>
      </c>
      <c r="S156" s="18">
        <v>6</v>
      </c>
      <c r="T156" s="18" t="s">
        <v>959</v>
      </c>
      <c r="U156" s="18" t="s">
        <v>959</v>
      </c>
      <c r="V156" s="19" t="s">
        <v>959</v>
      </c>
      <c r="W156" s="19" t="s">
        <v>959</v>
      </c>
      <c r="X156" s="24">
        <f>RANK(F156,$F$57:$F$183,0)</f>
        <v>100</v>
      </c>
      <c r="Y156" s="3" t="str">
        <f>IF(OR(ISERROR(F156),F156="-",NOT(ISNUMBER(F156))),"● N/A",IF(ROUND(F156, 4) &gt;= ROUND($F$184, 4),"▲ Above Average","▼ Below Average"))</f>
        <v>▼ Below Average</v>
      </c>
    </row>
    <row r="157" spans="2:25" x14ac:dyDescent="0.2">
      <c r="B157" s="17" t="s">
        <v>55</v>
      </c>
      <c r="C157" s="18">
        <v>795</v>
      </c>
      <c r="D157" s="19">
        <v>774</v>
      </c>
      <c r="E157" s="18">
        <f>IF(OR(D157="-",D157="",D157=0),IF(C157="-","-",C157),C157-D157)</f>
        <v>21</v>
      </c>
      <c r="F157" s="20">
        <f>IFERROR(IF(C157&gt;0, D157/C157, 0),"-")</f>
        <v>0.97358490566037736</v>
      </c>
      <c r="G157" s="18">
        <v>9</v>
      </c>
      <c r="H157" s="19">
        <v>1</v>
      </c>
      <c r="I157" s="18">
        <f>IF(OR(H157="-",H157="",H157=0),IF(G157="-","-",G157),G157-H157)</f>
        <v>8</v>
      </c>
      <c r="J157" s="20">
        <f>IFERROR(IF(G157&gt;0, H157/G157, 0),"-")</f>
        <v>0.1111111111111111</v>
      </c>
      <c r="K157" s="18">
        <v>7</v>
      </c>
      <c r="L157" s="19" t="s">
        <v>959</v>
      </c>
      <c r="M157" s="18">
        <f>IF(OR(L157="-",L157="",L157=0),IF(K157="-","-",K157),K157-L157)</f>
        <v>7</v>
      </c>
      <c r="N157" s="20" t="str">
        <f>IFERROR(IF(K157&gt;0, L157/K157, 0),"-")</f>
        <v>-</v>
      </c>
      <c r="O157" s="18">
        <v>5</v>
      </c>
      <c r="P157" s="19" t="s">
        <v>959</v>
      </c>
      <c r="Q157" s="18">
        <f>IF(OR(P157="-",P157="",P157=0),IF(O157="-","-",O157),O157-P157)</f>
        <v>5</v>
      </c>
      <c r="R157" s="20" t="str">
        <f>IFERROR(IF(O157&gt;0, P157/O157, 0),"-")</f>
        <v>-</v>
      </c>
      <c r="S157" s="18">
        <v>7</v>
      </c>
      <c r="T157" s="18">
        <v>1</v>
      </c>
      <c r="U157" s="18">
        <v>32640</v>
      </c>
      <c r="V157" s="19" t="s">
        <v>959</v>
      </c>
      <c r="W157" s="19" t="s">
        <v>959</v>
      </c>
      <c r="X157" s="24">
        <f>RANK(F157,$F$57:$F$183,0)</f>
        <v>101</v>
      </c>
      <c r="Y157" s="3" t="str">
        <f>IF(OR(ISERROR(F157),F157="-",NOT(ISNUMBER(F157))),"● N/A",IF(ROUND(F157, 4) &gt;= ROUND($F$184, 4),"▲ Above Average","▼ Below Average"))</f>
        <v>▼ Below Average</v>
      </c>
    </row>
    <row r="158" spans="2:25" x14ac:dyDescent="0.2">
      <c r="B158" s="17" t="s">
        <v>70</v>
      </c>
      <c r="C158" s="18">
        <v>449</v>
      </c>
      <c r="D158" s="19">
        <v>437</v>
      </c>
      <c r="E158" s="18">
        <f>IF(OR(D158="-",D158="",D158=0),IF(C158="-","-",C158),C158-D158)</f>
        <v>12</v>
      </c>
      <c r="F158" s="20">
        <f>IFERROR(IF(C158&gt;0, D158/C158, 0),"-")</f>
        <v>0.97327394209354123</v>
      </c>
      <c r="G158" s="18">
        <v>1</v>
      </c>
      <c r="H158" s="19" t="s">
        <v>959</v>
      </c>
      <c r="I158" s="18">
        <f>IF(OR(H158="-",H158="",H158=0),IF(G158="-","-",G158),G158-H158)</f>
        <v>1</v>
      </c>
      <c r="J158" s="20" t="str">
        <f>IFERROR(IF(G158&gt;0, H158/G158, 0),"-")</f>
        <v>-</v>
      </c>
      <c r="K158" s="18" t="s">
        <v>959</v>
      </c>
      <c r="L158" s="19" t="s">
        <v>959</v>
      </c>
      <c r="M158" s="18" t="str">
        <f>IF(OR(L158="-",L158="",L158=0),IF(K158="-","-",K158),K158-L158)</f>
        <v>-</v>
      </c>
      <c r="N158" s="20" t="str">
        <f>IFERROR(IF(K158&gt;0, L158/K158, 0),"-")</f>
        <v>-</v>
      </c>
      <c r="O158" s="18">
        <v>1</v>
      </c>
      <c r="P158" s="19" t="s">
        <v>959</v>
      </c>
      <c r="Q158" s="18">
        <f>IF(OR(P158="-",P158="",P158=0),IF(O158="-","-",O158),O158-P158)</f>
        <v>1</v>
      </c>
      <c r="R158" s="20" t="str">
        <f>IFERROR(IF(O158&gt;0, P158/O158, 0),"-")</f>
        <v>-</v>
      </c>
      <c r="S158" s="18">
        <v>1</v>
      </c>
      <c r="T158" s="18" t="s">
        <v>959</v>
      </c>
      <c r="U158" s="18" t="s">
        <v>959</v>
      </c>
      <c r="V158" s="19" t="s">
        <v>959</v>
      </c>
      <c r="W158" s="19" t="s">
        <v>959</v>
      </c>
      <c r="X158" s="24">
        <f>RANK(F158,$F$57:$F$183,0)</f>
        <v>102</v>
      </c>
      <c r="Y158" s="3" t="str">
        <f>IF(OR(ISERROR(F158),F158="-",NOT(ISNUMBER(F158))),"● N/A",IF(ROUND(F158, 4) &gt;= ROUND($F$184, 4),"▲ Above Average","▼ Below Average"))</f>
        <v>▼ Below Average</v>
      </c>
    </row>
    <row r="159" spans="2:25" x14ac:dyDescent="0.2">
      <c r="B159" s="17" t="s">
        <v>84</v>
      </c>
      <c r="C159" s="18">
        <v>696</v>
      </c>
      <c r="D159" s="19">
        <v>677</v>
      </c>
      <c r="E159" s="18">
        <f>IF(OR(D159="-",D159="",D159=0),IF(C159="-","-",C159),C159-D159)</f>
        <v>19</v>
      </c>
      <c r="F159" s="20">
        <f>IFERROR(IF(C159&gt;0, D159/C159, 0),"-")</f>
        <v>0.9727011494252874</v>
      </c>
      <c r="G159" s="18">
        <v>6</v>
      </c>
      <c r="H159" s="19" t="s">
        <v>959</v>
      </c>
      <c r="I159" s="18">
        <f>IF(OR(H159="-",H159="",H159=0),IF(G159="-","-",G159),G159-H159)</f>
        <v>6</v>
      </c>
      <c r="J159" s="20" t="str">
        <f>IFERROR(IF(G159&gt;0, H159/G159, 0),"-")</f>
        <v>-</v>
      </c>
      <c r="K159" s="18">
        <v>4</v>
      </c>
      <c r="L159" s="19" t="s">
        <v>959</v>
      </c>
      <c r="M159" s="18">
        <f>IF(OR(L159="-",L159="",L159=0),IF(K159="-","-",K159),K159-L159)</f>
        <v>4</v>
      </c>
      <c r="N159" s="20" t="str">
        <f>IFERROR(IF(K159&gt;0, L159/K159, 0),"-")</f>
        <v>-</v>
      </c>
      <c r="O159" s="18" t="s">
        <v>959</v>
      </c>
      <c r="P159" s="19" t="s">
        <v>959</v>
      </c>
      <c r="Q159" s="18" t="str">
        <f>IF(OR(P159="-",P159="",P159=0),IF(O159="-","-",O159),O159-P159)</f>
        <v>-</v>
      </c>
      <c r="R159" s="20" t="str">
        <f>IFERROR(IF(O159&gt;0, P159/O159, 0),"-")</f>
        <v>-</v>
      </c>
      <c r="S159" s="18">
        <v>5</v>
      </c>
      <c r="T159" s="18">
        <v>2</v>
      </c>
      <c r="U159" s="18">
        <v>5870</v>
      </c>
      <c r="V159" s="19" t="s">
        <v>959</v>
      </c>
      <c r="W159" s="19" t="s">
        <v>959</v>
      </c>
      <c r="X159" s="24">
        <f>RANK(F159,$F$57:$F$183,0)</f>
        <v>103</v>
      </c>
      <c r="Y159" s="3" t="str">
        <f>IF(OR(ISERROR(F159),F159="-",NOT(ISNUMBER(F159))),"● N/A",IF(ROUND(F159, 4) &gt;= ROUND($F$184, 4),"▲ Above Average","▼ Below Average"))</f>
        <v>▼ Below Average</v>
      </c>
    </row>
    <row r="160" spans="2:25" x14ac:dyDescent="0.2">
      <c r="B160" s="17" t="s">
        <v>53</v>
      </c>
      <c r="C160" s="18">
        <v>786</v>
      </c>
      <c r="D160" s="19">
        <v>764</v>
      </c>
      <c r="E160" s="18">
        <f>IF(OR(D160="-",D160="",D160=0),IF(C160="-","-",C160),C160-D160)</f>
        <v>22</v>
      </c>
      <c r="F160" s="20">
        <f>IFERROR(IF(C160&gt;0, D160/C160, 0),"-")</f>
        <v>0.97201017811704837</v>
      </c>
      <c r="G160" s="18">
        <v>7</v>
      </c>
      <c r="H160" s="19" t="s">
        <v>959</v>
      </c>
      <c r="I160" s="18">
        <f>IF(OR(H160="-",H160="",H160=0),IF(G160="-","-",G160),G160-H160)</f>
        <v>7</v>
      </c>
      <c r="J160" s="20" t="str">
        <f>IFERROR(IF(G160&gt;0, H160/G160, 0),"-")</f>
        <v>-</v>
      </c>
      <c r="K160" s="18">
        <v>3</v>
      </c>
      <c r="L160" s="19" t="s">
        <v>959</v>
      </c>
      <c r="M160" s="18">
        <f>IF(OR(L160="-",L160="",L160=0),IF(K160="-","-",K160),K160-L160)</f>
        <v>3</v>
      </c>
      <c r="N160" s="20" t="str">
        <f>IFERROR(IF(K160&gt;0, L160/K160, 0),"-")</f>
        <v>-</v>
      </c>
      <c r="O160" s="18">
        <v>3</v>
      </c>
      <c r="P160" s="19">
        <v>1</v>
      </c>
      <c r="Q160" s="18">
        <f>IF(OR(P160="-",P160="",P160=0),IF(O160="-","-",O160),O160-P160)</f>
        <v>2</v>
      </c>
      <c r="R160" s="20">
        <f>IFERROR(IF(O160&gt;0, P160/O160, 0),"-")</f>
        <v>0.33333333333333331</v>
      </c>
      <c r="S160" s="18">
        <v>2</v>
      </c>
      <c r="T160" s="18" t="s">
        <v>959</v>
      </c>
      <c r="U160" s="18" t="s">
        <v>959</v>
      </c>
      <c r="V160" s="19" t="s">
        <v>959</v>
      </c>
      <c r="W160" s="19" t="s">
        <v>959</v>
      </c>
      <c r="X160" s="24">
        <f>RANK(F160,$F$57:$F$183,0)</f>
        <v>104</v>
      </c>
      <c r="Y160" s="3" t="str">
        <f>IF(OR(ISERROR(F160),F160="-",NOT(ISNUMBER(F160))),"● N/A",IF(ROUND(F160, 4) &gt;= ROUND($F$184, 4),"▲ Above Average","▼ Below Average"))</f>
        <v>▼ Below Average</v>
      </c>
    </row>
    <row r="161" spans="2:25" x14ac:dyDescent="0.2">
      <c r="B161" s="17" t="s">
        <v>88</v>
      </c>
      <c r="C161" s="18">
        <v>804</v>
      </c>
      <c r="D161" s="19">
        <v>781</v>
      </c>
      <c r="E161" s="18">
        <f>IF(OR(D161="-",D161="",D161=0),IF(C161="-","-",C161),C161-D161)</f>
        <v>23</v>
      </c>
      <c r="F161" s="20">
        <f>IFERROR(IF(C161&gt;0, D161/C161, 0),"-")</f>
        <v>0.97139303482587069</v>
      </c>
      <c r="G161" s="18">
        <v>12</v>
      </c>
      <c r="H161" s="19">
        <v>1</v>
      </c>
      <c r="I161" s="18">
        <f>IF(OR(H161="-",H161="",H161=0),IF(G161="-","-",G161),G161-H161)</f>
        <v>11</v>
      </c>
      <c r="J161" s="20">
        <f>IFERROR(IF(G161&gt;0, H161/G161, 0),"-")</f>
        <v>8.3333333333333329E-2</v>
      </c>
      <c r="K161" s="18">
        <v>10</v>
      </c>
      <c r="L161" s="19" t="s">
        <v>959</v>
      </c>
      <c r="M161" s="18">
        <f>IF(OR(L161="-",L161="",L161=0),IF(K161="-","-",K161),K161-L161)</f>
        <v>10</v>
      </c>
      <c r="N161" s="20" t="str">
        <f>IFERROR(IF(K161&gt;0, L161/K161, 0),"-")</f>
        <v>-</v>
      </c>
      <c r="O161" s="18">
        <v>4</v>
      </c>
      <c r="P161" s="19">
        <v>2</v>
      </c>
      <c r="Q161" s="18">
        <f>IF(OR(P161="-",P161="",P161=0),IF(O161="-","-",O161),O161-P161)</f>
        <v>2</v>
      </c>
      <c r="R161" s="20">
        <f>IFERROR(IF(O161&gt;0, P161/O161, 0),"-")</f>
        <v>0.5</v>
      </c>
      <c r="S161" s="18">
        <v>1</v>
      </c>
      <c r="T161" s="18" t="s">
        <v>959</v>
      </c>
      <c r="U161" s="18" t="s">
        <v>959</v>
      </c>
      <c r="V161" s="19" t="s">
        <v>959</v>
      </c>
      <c r="W161" s="19" t="s">
        <v>959</v>
      </c>
      <c r="X161" s="24">
        <f>RANK(F161,$F$57:$F$183,0)</f>
        <v>105</v>
      </c>
      <c r="Y161" s="3" t="str">
        <f>IF(OR(ISERROR(F161),F161="-",NOT(ISNUMBER(F161))),"● N/A",IF(ROUND(F161, 4) &gt;= ROUND($F$184, 4),"▲ Above Average","▼ Below Average"))</f>
        <v>▼ Below Average</v>
      </c>
    </row>
    <row r="162" spans="2:25" x14ac:dyDescent="0.2">
      <c r="B162" s="17" t="s">
        <v>92</v>
      </c>
      <c r="C162" s="18">
        <v>628</v>
      </c>
      <c r="D162" s="19">
        <v>610</v>
      </c>
      <c r="E162" s="18">
        <f>IF(OR(D162="-",D162="",D162=0),IF(C162="-","-",C162),C162-D162)</f>
        <v>18</v>
      </c>
      <c r="F162" s="20">
        <f>IFERROR(IF(C162&gt;0, D162/C162, 0),"-")</f>
        <v>0.9713375796178344</v>
      </c>
      <c r="G162" s="18">
        <v>11</v>
      </c>
      <c r="H162" s="19">
        <v>1</v>
      </c>
      <c r="I162" s="18">
        <f>IF(OR(H162="-",H162="",H162=0),IF(G162="-","-",G162),G162-H162)</f>
        <v>10</v>
      </c>
      <c r="J162" s="20">
        <f>IFERROR(IF(G162&gt;0, H162/G162, 0),"-")</f>
        <v>9.0909090909090912E-2</v>
      </c>
      <c r="K162" s="18">
        <v>2</v>
      </c>
      <c r="L162" s="19">
        <v>1</v>
      </c>
      <c r="M162" s="18">
        <f>IF(OR(L162="-",L162="",L162=0),IF(K162="-","-",K162),K162-L162)</f>
        <v>1</v>
      </c>
      <c r="N162" s="20">
        <f>IFERROR(IF(K162&gt;0, L162/K162, 0),"-")</f>
        <v>0.5</v>
      </c>
      <c r="O162" s="18">
        <v>8</v>
      </c>
      <c r="P162" s="19">
        <v>1</v>
      </c>
      <c r="Q162" s="18">
        <f>IF(OR(P162="-",P162="",P162=0),IF(O162="-","-",O162),O162-P162)</f>
        <v>7</v>
      </c>
      <c r="R162" s="20">
        <f>IFERROR(IF(O162&gt;0, P162/O162, 0),"-")</f>
        <v>0.125</v>
      </c>
      <c r="S162" s="18">
        <v>3</v>
      </c>
      <c r="T162" s="18">
        <v>1</v>
      </c>
      <c r="U162" s="18">
        <v>3235</v>
      </c>
      <c r="V162" s="19" t="s">
        <v>959</v>
      </c>
      <c r="W162" s="19" t="s">
        <v>959</v>
      </c>
      <c r="X162" s="24">
        <f>RANK(F162,$F$57:$F$183,0)</f>
        <v>106</v>
      </c>
      <c r="Y162" s="3" t="str">
        <f>IF(OR(ISERROR(F162),F162="-",NOT(ISNUMBER(F162))),"● N/A",IF(ROUND(F162, 4) &gt;= ROUND($F$184, 4),"▲ Above Average","▼ Below Average"))</f>
        <v>▼ Below Average</v>
      </c>
    </row>
    <row r="163" spans="2:25" x14ac:dyDescent="0.2">
      <c r="B163" s="17" t="s">
        <v>69</v>
      </c>
      <c r="C163" s="18">
        <v>446</v>
      </c>
      <c r="D163" s="19">
        <v>433</v>
      </c>
      <c r="E163" s="18">
        <f>IF(OR(D163="-",D163="",D163=0),IF(C163="-","-",C163),C163-D163)</f>
        <v>13</v>
      </c>
      <c r="F163" s="20">
        <f>IFERROR(IF(C163&gt;0, D163/C163, 0),"-")</f>
        <v>0.97085201793721976</v>
      </c>
      <c r="G163" s="18">
        <v>3</v>
      </c>
      <c r="H163" s="19" t="s">
        <v>959</v>
      </c>
      <c r="I163" s="18">
        <f>IF(OR(H163="-",H163="",H163=0),IF(G163="-","-",G163),G163-H163)</f>
        <v>3</v>
      </c>
      <c r="J163" s="20" t="str">
        <f>IFERROR(IF(G163&gt;0, H163/G163, 0),"-")</f>
        <v>-</v>
      </c>
      <c r="K163" s="18" t="s">
        <v>959</v>
      </c>
      <c r="L163" s="19" t="s">
        <v>959</v>
      </c>
      <c r="M163" s="18" t="str">
        <f>IF(OR(L163="-",L163="",L163=0),IF(K163="-","-",K163),K163-L163)</f>
        <v>-</v>
      </c>
      <c r="N163" s="20" t="str">
        <f>IFERROR(IF(K163&gt;0, L163/K163, 0),"-")</f>
        <v>-</v>
      </c>
      <c r="O163" s="18" t="s">
        <v>959</v>
      </c>
      <c r="P163" s="19" t="s">
        <v>959</v>
      </c>
      <c r="Q163" s="18" t="str">
        <f>IF(OR(P163="-",P163="",P163=0),IF(O163="-","-",O163),O163-P163)</f>
        <v>-</v>
      </c>
      <c r="R163" s="20" t="str">
        <f>IFERROR(IF(O163&gt;0, P163/O163, 0),"-")</f>
        <v>-</v>
      </c>
      <c r="S163" s="18">
        <v>3</v>
      </c>
      <c r="T163" s="18" t="s">
        <v>959</v>
      </c>
      <c r="U163" s="18" t="s">
        <v>959</v>
      </c>
      <c r="V163" s="19" t="s">
        <v>959</v>
      </c>
      <c r="W163" s="19" t="s">
        <v>959</v>
      </c>
      <c r="X163" s="24">
        <f>RANK(F163,$F$57:$F$183,0)</f>
        <v>107</v>
      </c>
      <c r="Y163" s="3" t="str">
        <f>IF(OR(ISERROR(F163),F163="-",NOT(ISNUMBER(F163))),"● N/A",IF(ROUND(F163, 4) &gt;= ROUND($F$184, 4),"▲ Above Average","▼ Below Average"))</f>
        <v>▼ Below Average</v>
      </c>
    </row>
    <row r="164" spans="2:25" x14ac:dyDescent="0.2">
      <c r="B164" s="17" t="s">
        <v>83</v>
      </c>
      <c r="C164" s="18">
        <v>239</v>
      </c>
      <c r="D164" s="19">
        <v>232</v>
      </c>
      <c r="E164" s="18">
        <f>IF(OR(D164="-",D164="",D164=0),IF(C164="-","-",C164),C164-D164)</f>
        <v>7</v>
      </c>
      <c r="F164" s="20">
        <f>IFERROR(IF(C164&gt;0, D164/C164, 0),"-")</f>
        <v>0.97071129707112969</v>
      </c>
      <c r="G164" s="18">
        <v>2</v>
      </c>
      <c r="H164" s="19">
        <v>1</v>
      </c>
      <c r="I164" s="18">
        <f>IF(OR(H164="-",H164="",H164=0),IF(G164="-","-",G164),G164-H164)</f>
        <v>1</v>
      </c>
      <c r="J164" s="20">
        <f>IFERROR(IF(G164&gt;0, H164/G164, 0),"-")</f>
        <v>0.5</v>
      </c>
      <c r="K164" s="18" t="s">
        <v>959</v>
      </c>
      <c r="L164" s="19" t="s">
        <v>959</v>
      </c>
      <c r="M164" s="18" t="str">
        <f>IF(OR(L164="-",L164="",L164=0),IF(K164="-","-",K164),K164-L164)</f>
        <v>-</v>
      </c>
      <c r="N164" s="20" t="str">
        <f>IFERROR(IF(K164&gt;0, L164/K164, 0),"-")</f>
        <v>-</v>
      </c>
      <c r="O164" s="18" t="s">
        <v>959</v>
      </c>
      <c r="P164" s="19" t="s">
        <v>959</v>
      </c>
      <c r="Q164" s="18" t="str">
        <f>IF(OR(P164="-",P164="",P164=0),IF(O164="-","-",O164),O164-P164)</f>
        <v>-</v>
      </c>
      <c r="R164" s="20" t="str">
        <f>IFERROR(IF(O164&gt;0, P164/O164, 0),"-")</f>
        <v>-</v>
      </c>
      <c r="S164" s="18">
        <v>1</v>
      </c>
      <c r="T164" s="18" t="s">
        <v>959</v>
      </c>
      <c r="U164" s="18" t="s">
        <v>959</v>
      </c>
      <c r="V164" s="19" t="s">
        <v>959</v>
      </c>
      <c r="W164" s="19" t="s">
        <v>959</v>
      </c>
      <c r="X164" s="24">
        <f>RANK(F164,$F$57:$F$183,0)</f>
        <v>108</v>
      </c>
      <c r="Y164" s="3" t="str">
        <f>IF(OR(ISERROR(F164),F164="-",NOT(ISNUMBER(F164))),"● N/A",IF(ROUND(F164, 4) &gt;= ROUND($F$184, 4),"▲ Above Average","▼ Below Average"))</f>
        <v>▼ Below Average</v>
      </c>
    </row>
    <row r="165" spans="2:25" x14ac:dyDescent="0.2">
      <c r="B165" s="17" t="s">
        <v>60</v>
      </c>
      <c r="C165" s="18">
        <v>298</v>
      </c>
      <c r="D165" s="19">
        <v>289</v>
      </c>
      <c r="E165" s="18">
        <f>IF(OR(D165="-",D165="",D165=0),IF(C165="-","-",C165),C165-D165)</f>
        <v>9</v>
      </c>
      <c r="F165" s="20">
        <f>IFERROR(IF(C165&gt;0, D165/C165, 0),"-")</f>
        <v>0.96979865771812079</v>
      </c>
      <c r="G165" s="18" t="s">
        <v>959</v>
      </c>
      <c r="H165" s="19" t="s">
        <v>959</v>
      </c>
      <c r="I165" s="18" t="str">
        <f>IF(OR(H165="-",H165="",H165=0),IF(G165="-","-",G165),G165-H165)</f>
        <v>-</v>
      </c>
      <c r="J165" s="20" t="str">
        <f>IFERROR(IF(G165&gt;0, H165/G165, 0),"-")</f>
        <v>-</v>
      </c>
      <c r="K165" s="18" t="s">
        <v>959</v>
      </c>
      <c r="L165" s="19" t="s">
        <v>959</v>
      </c>
      <c r="M165" s="18" t="str">
        <f>IF(OR(L165="-",L165="",L165=0),IF(K165="-","-",K165),K165-L165)</f>
        <v>-</v>
      </c>
      <c r="N165" s="20" t="str">
        <f>IFERROR(IF(K165&gt;0, L165/K165, 0),"-")</f>
        <v>-</v>
      </c>
      <c r="O165" s="18">
        <v>1</v>
      </c>
      <c r="P165" s="19">
        <v>1</v>
      </c>
      <c r="Q165" s="18">
        <f>IF(OR(P165="-",P165="",P165=0),IF(O165="-","-",O165),O165-P165)</f>
        <v>0</v>
      </c>
      <c r="R165" s="20">
        <f>IFERROR(IF(O165&gt;0, P165/O165, 0),"-")</f>
        <v>1</v>
      </c>
      <c r="S165" s="18">
        <v>10</v>
      </c>
      <c r="T165" s="18" t="s">
        <v>959</v>
      </c>
      <c r="U165" s="18" t="s">
        <v>959</v>
      </c>
      <c r="V165" s="19" t="s">
        <v>959</v>
      </c>
      <c r="W165" s="19" t="s">
        <v>959</v>
      </c>
      <c r="X165" s="24">
        <f>RANK(F165,$F$57:$F$183,0)</f>
        <v>109</v>
      </c>
      <c r="Y165" s="3" t="str">
        <f>IF(OR(ISERROR(F165),F165="-",NOT(ISNUMBER(F165))),"● N/A",IF(ROUND(F165, 4) &gt;= ROUND($F$184, 4),"▲ Above Average","▼ Below Average"))</f>
        <v>▼ Below Average</v>
      </c>
    </row>
    <row r="166" spans="2:25" x14ac:dyDescent="0.2">
      <c r="B166" s="17" t="s">
        <v>81</v>
      </c>
      <c r="C166" s="18">
        <v>486</v>
      </c>
      <c r="D166" s="19">
        <v>471</v>
      </c>
      <c r="E166" s="18">
        <f>IF(OR(D166="-",D166="",D166=0),IF(C166="-","-",C166),C166-D166)</f>
        <v>15</v>
      </c>
      <c r="F166" s="20">
        <f>IFERROR(IF(C166&gt;0, D166/C166, 0),"-")</f>
        <v>0.96913580246913578</v>
      </c>
      <c r="G166" s="18">
        <v>5</v>
      </c>
      <c r="H166" s="19">
        <v>2</v>
      </c>
      <c r="I166" s="18">
        <f>IF(OR(H166="-",H166="",H166=0),IF(G166="-","-",G166),G166-H166)</f>
        <v>3</v>
      </c>
      <c r="J166" s="20">
        <f>IFERROR(IF(G166&gt;0, H166/G166, 0),"-")</f>
        <v>0.4</v>
      </c>
      <c r="K166" s="18">
        <v>2</v>
      </c>
      <c r="L166" s="19">
        <v>1</v>
      </c>
      <c r="M166" s="18">
        <f>IF(OR(L166="-",L166="",L166=0),IF(K166="-","-",K166),K166-L166)</f>
        <v>1</v>
      </c>
      <c r="N166" s="20">
        <f>IFERROR(IF(K166&gt;0, L166/K166, 0),"-")</f>
        <v>0.5</v>
      </c>
      <c r="O166" s="18">
        <v>1</v>
      </c>
      <c r="P166" s="19" t="s">
        <v>959</v>
      </c>
      <c r="Q166" s="18">
        <f>IF(OR(P166="-",P166="",P166=0),IF(O166="-","-",O166),O166-P166)</f>
        <v>1</v>
      </c>
      <c r="R166" s="20" t="str">
        <f>IFERROR(IF(O166&gt;0, P166/O166, 0),"-")</f>
        <v>-</v>
      </c>
      <c r="S166" s="18" t="s">
        <v>959</v>
      </c>
      <c r="T166" s="18" t="s">
        <v>959</v>
      </c>
      <c r="U166" s="18" t="s">
        <v>959</v>
      </c>
      <c r="V166" s="19" t="s">
        <v>959</v>
      </c>
      <c r="W166" s="19" t="s">
        <v>959</v>
      </c>
      <c r="X166" s="24">
        <f>RANK(F166,$F$57:$F$183,0)</f>
        <v>110</v>
      </c>
      <c r="Y166" s="3" t="str">
        <f>IF(OR(ISERROR(F166),F166="-",NOT(ISNUMBER(F166))),"● N/A",IF(ROUND(F166, 4) &gt;= ROUND($F$184, 4),"▲ Above Average","▼ Below Average"))</f>
        <v>▼ Below Average</v>
      </c>
    </row>
    <row r="167" spans="2:25" x14ac:dyDescent="0.2">
      <c r="B167" s="17" t="s">
        <v>36</v>
      </c>
      <c r="C167" s="18">
        <v>872</v>
      </c>
      <c r="D167" s="19">
        <v>844</v>
      </c>
      <c r="E167" s="18">
        <f>IF(OR(D167="-",D167="",D167=0),IF(C167="-","-",C167),C167-D167)</f>
        <v>28</v>
      </c>
      <c r="F167" s="20">
        <f>IFERROR(IF(C167&gt;0, D167/C167, 0),"-")</f>
        <v>0.9678899082568807</v>
      </c>
      <c r="G167" s="18">
        <v>8</v>
      </c>
      <c r="H167" s="19" t="s">
        <v>959</v>
      </c>
      <c r="I167" s="18">
        <f>IF(OR(H167="-",H167="",H167=0),IF(G167="-","-",G167),G167-H167)</f>
        <v>8</v>
      </c>
      <c r="J167" s="20" t="str">
        <f>IFERROR(IF(G167&gt;0, H167/G167, 0),"-")</f>
        <v>-</v>
      </c>
      <c r="K167" s="18">
        <v>1</v>
      </c>
      <c r="L167" s="19" t="s">
        <v>959</v>
      </c>
      <c r="M167" s="18">
        <f>IF(OR(L167="-",L167="",L167=0),IF(K167="-","-",K167),K167-L167)</f>
        <v>1</v>
      </c>
      <c r="N167" s="20" t="str">
        <f>IFERROR(IF(K167&gt;0, L167/K167, 0),"-")</f>
        <v>-</v>
      </c>
      <c r="O167" s="18">
        <v>5</v>
      </c>
      <c r="P167" s="19" t="s">
        <v>959</v>
      </c>
      <c r="Q167" s="18">
        <f>IF(OR(P167="-",P167="",P167=0),IF(O167="-","-",O167),O167-P167)</f>
        <v>5</v>
      </c>
      <c r="R167" s="20" t="str">
        <f>IFERROR(IF(O167&gt;0, P167/O167, 0),"-")</f>
        <v>-</v>
      </c>
      <c r="S167" s="18">
        <v>7</v>
      </c>
      <c r="T167" s="18" t="s">
        <v>959</v>
      </c>
      <c r="U167" s="18" t="s">
        <v>959</v>
      </c>
      <c r="V167" s="19" t="s">
        <v>959</v>
      </c>
      <c r="W167" s="19" t="s">
        <v>959</v>
      </c>
      <c r="X167" s="24">
        <f>RANK(F167,$F$57:$F$183,0)</f>
        <v>111</v>
      </c>
      <c r="Y167" s="3" t="str">
        <f>IF(OR(ISERROR(F167),F167="-",NOT(ISNUMBER(F167))),"● N/A",IF(ROUND(F167, 4) &gt;= ROUND($F$184, 4),"▲ Above Average","▼ Below Average"))</f>
        <v>▼ Below Average</v>
      </c>
    </row>
    <row r="168" spans="2:25" x14ac:dyDescent="0.2">
      <c r="B168" s="17" t="s">
        <v>9</v>
      </c>
      <c r="C168" s="18">
        <v>587</v>
      </c>
      <c r="D168" s="19">
        <v>568</v>
      </c>
      <c r="E168" s="18">
        <f>IF(OR(D168="-",D168="",D168=0),IF(C168="-","-",C168),C168-D168)</f>
        <v>19</v>
      </c>
      <c r="F168" s="20">
        <f>IFERROR(IF(C168&gt;0, D168/C168, 0),"-")</f>
        <v>0.96763202725724018</v>
      </c>
      <c r="G168" s="18">
        <v>9</v>
      </c>
      <c r="H168" s="19">
        <v>2</v>
      </c>
      <c r="I168" s="18">
        <f>IF(OR(H168="-",H168="",H168=0),IF(G168="-","-",G168),G168-H168)</f>
        <v>7</v>
      </c>
      <c r="J168" s="20">
        <f>IFERROR(IF(G168&gt;0, H168/G168, 0),"-")</f>
        <v>0.22222222222222221</v>
      </c>
      <c r="K168" s="18">
        <v>5</v>
      </c>
      <c r="L168" s="19" t="s">
        <v>959</v>
      </c>
      <c r="M168" s="18">
        <f>IF(OR(L168="-",L168="",L168=0),IF(K168="-","-",K168),K168-L168)</f>
        <v>5</v>
      </c>
      <c r="N168" s="20" t="str">
        <f>IFERROR(IF(K168&gt;0, L168/K168, 0),"-")</f>
        <v>-</v>
      </c>
      <c r="O168" s="18">
        <v>5</v>
      </c>
      <c r="P168" s="19" t="s">
        <v>959</v>
      </c>
      <c r="Q168" s="18">
        <f>IF(OR(P168="-",P168="",P168=0),IF(O168="-","-",O168),O168-P168)</f>
        <v>5</v>
      </c>
      <c r="R168" s="20" t="str">
        <f>IFERROR(IF(O168&gt;0, P168/O168, 0),"-")</f>
        <v>-</v>
      </c>
      <c r="S168" s="18">
        <v>4</v>
      </c>
      <c r="T168" s="18">
        <v>1</v>
      </c>
      <c r="U168" s="18">
        <v>6000</v>
      </c>
      <c r="V168" s="19" t="s">
        <v>959</v>
      </c>
      <c r="W168" s="19" t="s">
        <v>959</v>
      </c>
      <c r="X168" s="24">
        <f>RANK(F168,$F$57:$F$183,0)</f>
        <v>112</v>
      </c>
      <c r="Y168" s="3" t="str">
        <f>IF(OR(ISERROR(F168),F168="-",NOT(ISNUMBER(F168))),"● N/A",IF(ROUND(F168, 4) &gt;= ROUND($F$184, 4),"▲ Above Average","▼ Below Average"))</f>
        <v>▼ Below Average</v>
      </c>
    </row>
    <row r="169" spans="2:25" x14ac:dyDescent="0.2">
      <c r="B169" s="17" t="s">
        <v>1</v>
      </c>
      <c r="C169" s="18">
        <v>678</v>
      </c>
      <c r="D169" s="19">
        <v>655</v>
      </c>
      <c r="E169" s="18">
        <f>IF(OR(D169="-",D169="",D169=0),IF(C169="-","-",C169),C169-D169)</f>
        <v>23</v>
      </c>
      <c r="F169" s="20">
        <f>IFERROR(IF(C169&gt;0, D169/C169, 0),"-")</f>
        <v>0.96607669616519176</v>
      </c>
      <c r="G169" s="18">
        <v>16</v>
      </c>
      <c r="H169" s="19">
        <v>6</v>
      </c>
      <c r="I169" s="18">
        <f>IF(OR(H169="-",H169="",H169=0),IF(G169="-","-",G169),G169-H169)</f>
        <v>10</v>
      </c>
      <c r="J169" s="20">
        <f>IFERROR(IF(G169&gt;0, H169/G169, 0),"-")</f>
        <v>0.375</v>
      </c>
      <c r="K169" s="18">
        <v>9</v>
      </c>
      <c r="L169" s="19">
        <v>1</v>
      </c>
      <c r="M169" s="18">
        <f>IF(OR(L169="-",L169="",L169=0),IF(K169="-","-",K169),K169-L169)</f>
        <v>8</v>
      </c>
      <c r="N169" s="20">
        <f>IFERROR(IF(K169&gt;0, L169/K169, 0),"-")</f>
        <v>0.1111111111111111</v>
      </c>
      <c r="O169" s="18">
        <v>6</v>
      </c>
      <c r="P169" s="19" t="s">
        <v>959</v>
      </c>
      <c r="Q169" s="18">
        <f>IF(OR(P169="-",P169="",P169=0),IF(O169="-","-",O169),O169-P169)</f>
        <v>6</v>
      </c>
      <c r="R169" s="20" t="str">
        <f>IFERROR(IF(O169&gt;0, P169/O169, 0),"-")</f>
        <v>-</v>
      </c>
      <c r="S169" s="18">
        <v>6</v>
      </c>
      <c r="T169" s="18" t="s">
        <v>959</v>
      </c>
      <c r="U169" s="18" t="s">
        <v>959</v>
      </c>
      <c r="V169" s="19" t="s">
        <v>959</v>
      </c>
      <c r="W169" s="19" t="s">
        <v>959</v>
      </c>
      <c r="X169" s="24">
        <f>RANK(F169,$F$57:$F$183,0)</f>
        <v>113</v>
      </c>
      <c r="Y169" s="3" t="str">
        <f>IF(OR(ISERROR(F169),F169="-",NOT(ISNUMBER(F169))),"● N/A",IF(ROUND(F169, 4) &gt;= ROUND($F$184, 4),"▲ Above Average","▼ Below Average"))</f>
        <v>▼ Below Average</v>
      </c>
    </row>
    <row r="170" spans="2:25" x14ac:dyDescent="0.2">
      <c r="B170" s="17" t="s">
        <v>80</v>
      </c>
      <c r="C170" s="18">
        <v>146</v>
      </c>
      <c r="D170" s="19">
        <v>141</v>
      </c>
      <c r="E170" s="18">
        <f>IF(OR(D170="-",D170="",D170=0),IF(C170="-","-",C170),C170-D170)</f>
        <v>5</v>
      </c>
      <c r="F170" s="20">
        <f>IFERROR(IF(C170&gt;0, D170/C170, 0),"-")</f>
        <v>0.96575342465753422</v>
      </c>
      <c r="G170" s="18">
        <v>3</v>
      </c>
      <c r="H170" s="19">
        <v>2</v>
      </c>
      <c r="I170" s="18">
        <f>IF(OR(H170="-",H170="",H170=0),IF(G170="-","-",G170),G170-H170)</f>
        <v>1</v>
      </c>
      <c r="J170" s="20">
        <f>IFERROR(IF(G170&gt;0, H170/G170, 0),"-")</f>
        <v>0.66666666666666663</v>
      </c>
      <c r="K170" s="18">
        <v>8</v>
      </c>
      <c r="L170" s="19">
        <v>3</v>
      </c>
      <c r="M170" s="18">
        <f>IF(OR(L170="-",L170="",L170=0),IF(K170="-","-",K170),K170-L170)</f>
        <v>5</v>
      </c>
      <c r="N170" s="20">
        <f>IFERROR(IF(K170&gt;0, L170/K170, 0),"-")</f>
        <v>0.375</v>
      </c>
      <c r="O170" s="18">
        <v>3</v>
      </c>
      <c r="P170" s="19" t="s">
        <v>959</v>
      </c>
      <c r="Q170" s="18">
        <f>IF(OR(P170="-",P170="",P170=0),IF(O170="-","-",O170),O170-P170)</f>
        <v>3</v>
      </c>
      <c r="R170" s="20" t="str">
        <f>IFERROR(IF(O170&gt;0, P170/O170, 0),"-")</f>
        <v>-</v>
      </c>
      <c r="S170" s="18">
        <v>1</v>
      </c>
      <c r="T170" s="18" t="s">
        <v>959</v>
      </c>
      <c r="U170" s="18" t="s">
        <v>959</v>
      </c>
      <c r="V170" s="19" t="s">
        <v>959</v>
      </c>
      <c r="W170" s="19" t="s">
        <v>959</v>
      </c>
      <c r="X170" s="24">
        <f>RANK(F170,$F$57:$F$183,0)</f>
        <v>114</v>
      </c>
      <c r="Y170" s="3" t="str">
        <f>IF(OR(ISERROR(F170),F170="-",NOT(ISNUMBER(F170))),"● N/A",IF(ROUND(F170, 4) &gt;= ROUND($F$184, 4),"▲ Above Average","▼ Below Average"))</f>
        <v>▼ Below Average</v>
      </c>
    </row>
    <row r="171" spans="2:25" x14ac:dyDescent="0.2">
      <c r="B171" s="17" t="s">
        <v>52</v>
      </c>
      <c r="C171" s="18">
        <v>767</v>
      </c>
      <c r="D171" s="19">
        <v>739</v>
      </c>
      <c r="E171" s="18">
        <f>IF(OR(D171="-",D171="",D171=0),IF(C171="-","-",C171),C171-D171)</f>
        <v>28</v>
      </c>
      <c r="F171" s="20">
        <f>IFERROR(IF(C171&gt;0, D171/C171, 0),"-")</f>
        <v>0.96349413298565845</v>
      </c>
      <c r="G171" s="18">
        <v>9</v>
      </c>
      <c r="H171" s="19" t="s">
        <v>959</v>
      </c>
      <c r="I171" s="18">
        <f>IF(OR(H171="-",H171="",H171=0),IF(G171="-","-",G171),G171-H171)</f>
        <v>9</v>
      </c>
      <c r="J171" s="20" t="str">
        <f>IFERROR(IF(G171&gt;0, H171/G171, 0),"-")</f>
        <v>-</v>
      </c>
      <c r="K171" s="18">
        <v>5</v>
      </c>
      <c r="L171" s="19" t="s">
        <v>959</v>
      </c>
      <c r="M171" s="18">
        <f>IF(OR(L171="-",L171="",L171=0),IF(K171="-","-",K171),K171-L171)</f>
        <v>5</v>
      </c>
      <c r="N171" s="20" t="str">
        <f>IFERROR(IF(K171&gt;0, L171/K171, 0),"-")</f>
        <v>-</v>
      </c>
      <c r="O171" s="18">
        <v>1</v>
      </c>
      <c r="P171" s="19" t="s">
        <v>959</v>
      </c>
      <c r="Q171" s="18">
        <f>IF(OR(P171="-",P171="",P171=0),IF(O171="-","-",O171),O171-P171)</f>
        <v>1</v>
      </c>
      <c r="R171" s="20" t="str">
        <f>IFERROR(IF(O171&gt;0, P171/O171, 0),"-")</f>
        <v>-</v>
      </c>
      <c r="S171" s="18">
        <v>1</v>
      </c>
      <c r="T171" s="18" t="s">
        <v>959</v>
      </c>
      <c r="U171" s="18" t="s">
        <v>959</v>
      </c>
      <c r="V171" s="19" t="s">
        <v>959</v>
      </c>
      <c r="W171" s="19" t="s">
        <v>959</v>
      </c>
      <c r="X171" s="24">
        <f>RANK(F171,$F$57:$F$183,0)</f>
        <v>115</v>
      </c>
      <c r="Y171" s="3" t="str">
        <f>IF(OR(ISERROR(F171),F171="-",NOT(ISNUMBER(F171))),"● N/A",IF(ROUND(F171, 4) &gt;= ROUND($F$184, 4),"▲ Above Average","▼ Below Average"))</f>
        <v>▼ Below Average</v>
      </c>
    </row>
    <row r="172" spans="2:25" x14ac:dyDescent="0.2">
      <c r="B172" s="17" t="s">
        <v>105</v>
      </c>
      <c r="C172" s="18">
        <v>408</v>
      </c>
      <c r="D172" s="19">
        <v>393</v>
      </c>
      <c r="E172" s="18">
        <f>IF(OR(D172="-",D172="",D172=0),IF(C172="-","-",C172),C172-D172)</f>
        <v>15</v>
      </c>
      <c r="F172" s="20">
        <f>IFERROR(IF(C172&gt;0, D172/C172, 0),"-")</f>
        <v>0.96323529411764708</v>
      </c>
      <c r="G172" s="18">
        <v>4</v>
      </c>
      <c r="H172" s="19">
        <v>1</v>
      </c>
      <c r="I172" s="18">
        <f>IF(OR(H172="-",H172="",H172=0),IF(G172="-","-",G172),G172-H172)</f>
        <v>3</v>
      </c>
      <c r="J172" s="20">
        <f>IFERROR(IF(G172&gt;0, H172/G172, 0),"-")</f>
        <v>0.25</v>
      </c>
      <c r="K172" s="18">
        <v>4</v>
      </c>
      <c r="L172" s="19">
        <v>1</v>
      </c>
      <c r="M172" s="18">
        <f>IF(OR(L172="-",L172="",L172=0),IF(K172="-","-",K172),K172-L172)</f>
        <v>3</v>
      </c>
      <c r="N172" s="20">
        <f>IFERROR(IF(K172&gt;0, L172/K172, 0),"-")</f>
        <v>0.25</v>
      </c>
      <c r="O172" s="18">
        <v>2</v>
      </c>
      <c r="P172" s="19" t="s">
        <v>959</v>
      </c>
      <c r="Q172" s="18">
        <f>IF(OR(P172="-",P172="",P172=0),IF(O172="-","-",O172),O172-P172)</f>
        <v>2</v>
      </c>
      <c r="R172" s="20" t="str">
        <f>IFERROR(IF(O172&gt;0, P172/O172, 0),"-")</f>
        <v>-</v>
      </c>
      <c r="S172" s="18">
        <v>4</v>
      </c>
      <c r="T172" s="18" t="s">
        <v>959</v>
      </c>
      <c r="U172" s="18" t="s">
        <v>959</v>
      </c>
      <c r="V172" s="19" t="s">
        <v>959</v>
      </c>
      <c r="W172" s="19" t="s">
        <v>959</v>
      </c>
      <c r="X172" s="24">
        <f>RANK(F172,$F$57:$F$183,0)</f>
        <v>116</v>
      </c>
      <c r="Y172" s="3" t="str">
        <f>IF(OR(ISERROR(F172),F172="-",NOT(ISNUMBER(F172))),"● N/A",IF(ROUND(F172, 4) &gt;= ROUND($F$184, 4),"▲ Above Average","▼ Below Average"))</f>
        <v>▼ Below Average</v>
      </c>
    </row>
    <row r="173" spans="2:25" x14ac:dyDescent="0.2">
      <c r="B173" s="17" t="s">
        <v>135</v>
      </c>
      <c r="C173" s="18">
        <v>744</v>
      </c>
      <c r="D173" s="19">
        <v>714</v>
      </c>
      <c r="E173" s="18">
        <f>IF(OR(D173="-",D173="",D173=0),IF(C173="-","-",C173),C173-D173)</f>
        <v>30</v>
      </c>
      <c r="F173" s="20">
        <f>IFERROR(IF(C173&gt;0, D173/C173, 0),"-")</f>
        <v>0.95967741935483875</v>
      </c>
      <c r="G173" s="18">
        <v>10</v>
      </c>
      <c r="H173" s="19">
        <v>3</v>
      </c>
      <c r="I173" s="18">
        <f>IF(OR(H173="-",H173="",H173=0),IF(G173="-","-",G173),G173-H173)</f>
        <v>7</v>
      </c>
      <c r="J173" s="20">
        <f>IFERROR(IF(G173&gt;0, H173/G173, 0),"-")</f>
        <v>0.3</v>
      </c>
      <c r="K173" s="18">
        <v>3</v>
      </c>
      <c r="L173" s="19">
        <v>1</v>
      </c>
      <c r="M173" s="18">
        <f>IF(OR(L173="-",L173="",L173=0),IF(K173="-","-",K173),K173-L173)</f>
        <v>2</v>
      </c>
      <c r="N173" s="20">
        <f>IFERROR(IF(K173&gt;0, L173/K173, 0),"-")</f>
        <v>0.33333333333333331</v>
      </c>
      <c r="O173" s="18">
        <v>1</v>
      </c>
      <c r="P173" s="19" t="s">
        <v>959</v>
      </c>
      <c r="Q173" s="18">
        <f>IF(OR(P173="-",P173="",P173=0),IF(O173="-","-",O173),O173-P173)</f>
        <v>1</v>
      </c>
      <c r="R173" s="20" t="str">
        <f>IFERROR(IF(O173&gt;0, P173/O173, 0),"-")</f>
        <v>-</v>
      </c>
      <c r="S173" s="18">
        <v>2</v>
      </c>
      <c r="T173" s="18" t="s">
        <v>959</v>
      </c>
      <c r="U173" s="18" t="s">
        <v>959</v>
      </c>
      <c r="V173" s="19" t="s">
        <v>959</v>
      </c>
      <c r="W173" s="19" t="s">
        <v>959</v>
      </c>
      <c r="X173" s="24">
        <f>RANK(F173,$F$57:$F$183,0)</f>
        <v>117</v>
      </c>
      <c r="Y173" s="3" t="str">
        <f>IF(OR(ISERROR(F173),F173="-",NOT(ISNUMBER(F173))),"● N/A",IF(ROUND(F173, 4) &gt;= ROUND($F$184, 4),"▲ Above Average","▼ Below Average"))</f>
        <v>▼ Below Average</v>
      </c>
    </row>
    <row r="174" spans="2:25" x14ac:dyDescent="0.2">
      <c r="B174" s="17" t="s">
        <v>85</v>
      </c>
      <c r="C174" s="18">
        <v>424</v>
      </c>
      <c r="D174" s="19">
        <v>406</v>
      </c>
      <c r="E174" s="18">
        <f>IF(OR(D174="-",D174="",D174=0),IF(C174="-","-",C174),C174-D174)</f>
        <v>18</v>
      </c>
      <c r="F174" s="20">
        <f>IFERROR(IF(C174&gt;0, D174/C174, 0),"-")</f>
        <v>0.95754716981132071</v>
      </c>
      <c r="G174" s="18">
        <v>4</v>
      </c>
      <c r="H174" s="19">
        <v>2</v>
      </c>
      <c r="I174" s="18">
        <f>IF(OR(H174="-",H174="",H174=0),IF(G174="-","-",G174),G174-H174)</f>
        <v>2</v>
      </c>
      <c r="J174" s="20">
        <f>IFERROR(IF(G174&gt;0, H174/G174, 0),"-")</f>
        <v>0.5</v>
      </c>
      <c r="K174" s="18">
        <v>4</v>
      </c>
      <c r="L174" s="19" t="s">
        <v>959</v>
      </c>
      <c r="M174" s="18">
        <f>IF(OR(L174="-",L174="",L174=0),IF(K174="-","-",K174),K174-L174)</f>
        <v>4</v>
      </c>
      <c r="N174" s="20" t="str">
        <f>IFERROR(IF(K174&gt;0, L174/K174, 0),"-")</f>
        <v>-</v>
      </c>
      <c r="O174" s="18">
        <v>4</v>
      </c>
      <c r="P174" s="19" t="s">
        <v>959</v>
      </c>
      <c r="Q174" s="18">
        <f>IF(OR(P174="-",P174="",P174=0),IF(O174="-","-",O174),O174-P174)</f>
        <v>4</v>
      </c>
      <c r="R174" s="20" t="str">
        <f>IFERROR(IF(O174&gt;0, P174/O174, 0),"-")</f>
        <v>-</v>
      </c>
      <c r="S174" s="18">
        <v>6</v>
      </c>
      <c r="T174" s="18" t="s">
        <v>959</v>
      </c>
      <c r="U174" s="18" t="s">
        <v>959</v>
      </c>
      <c r="V174" s="19" t="s">
        <v>959</v>
      </c>
      <c r="W174" s="19" t="s">
        <v>959</v>
      </c>
      <c r="X174" s="24">
        <f>RANK(F174,$F$57:$F$183,0)</f>
        <v>118</v>
      </c>
      <c r="Y174" s="3" t="str">
        <f>IF(OR(ISERROR(F174),F174="-",NOT(ISNUMBER(F174))),"● N/A",IF(ROUND(F174, 4) &gt;= ROUND($F$184, 4),"▲ Above Average","▼ Below Average"))</f>
        <v>▼ Below Average</v>
      </c>
    </row>
    <row r="175" spans="2:25" x14ac:dyDescent="0.2">
      <c r="B175" s="17" t="s">
        <v>10</v>
      </c>
      <c r="C175" s="18">
        <v>708</v>
      </c>
      <c r="D175" s="19">
        <v>676</v>
      </c>
      <c r="E175" s="18">
        <f>IF(OR(D175="-",D175="",D175=0),IF(C175="-","-",C175),C175-D175)</f>
        <v>32</v>
      </c>
      <c r="F175" s="20">
        <f>IFERROR(IF(C175&gt;0, D175/C175, 0),"-")</f>
        <v>0.95480225988700562</v>
      </c>
      <c r="G175" s="18">
        <v>8</v>
      </c>
      <c r="H175" s="19" t="s">
        <v>959</v>
      </c>
      <c r="I175" s="18">
        <f>IF(OR(H175="-",H175="",H175=0),IF(G175="-","-",G175),G175-H175)</f>
        <v>8</v>
      </c>
      <c r="J175" s="20" t="str">
        <f>IFERROR(IF(G175&gt;0, H175/G175, 0),"-")</f>
        <v>-</v>
      </c>
      <c r="K175" s="18">
        <v>5</v>
      </c>
      <c r="L175" s="19">
        <v>1</v>
      </c>
      <c r="M175" s="18">
        <f>IF(OR(L175="-",L175="",L175=0),IF(K175="-","-",K175),K175-L175)</f>
        <v>4</v>
      </c>
      <c r="N175" s="20">
        <f>IFERROR(IF(K175&gt;0, L175/K175, 0),"-")</f>
        <v>0.2</v>
      </c>
      <c r="O175" s="18">
        <v>2</v>
      </c>
      <c r="P175" s="19" t="s">
        <v>959</v>
      </c>
      <c r="Q175" s="18">
        <f>IF(OR(P175="-",P175="",P175=0),IF(O175="-","-",O175),O175-P175)</f>
        <v>2</v>
      </c>
      <c r="R175" s="20" t="str">
        <f>IFERROR(IF(O175&gt;0, P175/O175, 0),"-")</f>
        <v>-</v>
      </c>
      <c r="S175" s="18">
        <v>3</v>
      </c>
      <c r="T175" s="18" t="s">
        <v>959</v>
      </c>
      <c r="U175" s="18" t="s">
        <v>959</v>
      </c>
      <c r="V175" s="19" t="s">
        <v>959</v>
      </c>
      <c r="W175" s="19" t="s">
        <v>959</v>
      </c>
      <c r="X175" s="24">
        <f>RANK(F175,$F$57:$F$183,0)</f>
        <v>119</v>
      </c>
      <c r="Y175" s="3" t="str">
        <f>IF(OR(ISERROR(F175),F175="-",NOT(ISNUMBER(F175))),"● N/A",IF(ROUND(F175, 4) &gt;= ROUND($F$184, 4),"▲ Above Average","▼ Below Average"))</f>
        <v>▼ Below Average</v>
      </c>
    </row>
    <row r="176" spans="2:25" x14ac:dyDescent="0.2">
      <c r="B176" s="17" t="s">
        <v>67</v>
      </c>
      <c r="C176" s="18">
        <v>707</v>
      </c>
      <c r="D176" s="19">
        <v>675</v>
      </c>
      <c r="E176" s="18">
        <f>IF(OR(D176="-",D176="",D176=0),IF(C176="-","-",C176),C176-D176)</f>
        <v>32</v>
      </c>
      <c r="F176" s="20">
        <f>IFERROR(IF(C176&gt;0, D176/C176, 0),"-")</f>
        <v>0.95473833097595473</v>
      </c>
      <c r="G176" s="18">
        <v>7</v>
      </c>
      <c r="H176" s="19">
        <v>1</v>
      </c>
      <c r="I176" s="18">
        <f>IF(OR(H176="-",H176="",H176=0),IF(G176="-","-",G176),G176-H176)</f>
        <v>6</v>
      </c>
      <c r="J176" s="20">
        <f>IFERROR(IF(G176&gt;0, H176/G176, 0),"-")</f>
        <v>0.14285714285714285</v>
      </c>
      <c r="K176" s="18" t="s">
        <v>959</v>
      </c>
      <c r="L176" s="19" t="s">
        <v>959</v>
      </c>
      <c r="M176" s="18" t="str">
        <f>IF(OR(L176="-",L176="",L176=0),IF(K176="-","-",K176),K176-L176)</f>
        <v>-</v>
      </c>
      <c r="N176" s="20" t="str">
        <f>IFERROR(IF(K176&gt;0, L176/K176, 0),"-")</f>
        <v>-</v>
      </c>
      <c r="O176" s="18" t="s">
        <v>959</v>
      </c>
      <c r="P176" s="19" t="s">
        <v>959</v>
      </c>
      <c r="Q176" s="18" t="str">
        <f>IF(OR(P176="-",P176="",P176=0),IF(O176="-","-",O176),O176-P176)</f>
        <v>-</v>
      </c>
      <c r="R176" s="20" t="str">
        <f>IFERROR(IF(O176&gt;0, P176/O176, 0),"-")</f>
        <v>-</v>
      </c>
      <c r="S176" s="18">
        <v>11</v>
      </c>
      <c r="T176" s="18">
        <v>1</v>
      </c>
      <c r="U176" s="18">
        <v>4045</v>
      </c>
      <c r="V176" s="19" t="s">
        <v>959</v>
      </c>
      <c r="W176" s="19" t="s">
        <v>959</v>
      </c>
      <c r="X176" s="24">
        <f>RANK(F176,$F$57:$F$183,0)</f>
        <v>120</v>
      </c>
      <c r="Y176" s="3" t="str">
        <f>IF(OR(ISERROR(F176),F176="-",NOT(ISNUMBER(F176))),"● N/A",IF(ROUND(F176, 4) &gt;= ROUND($F$184, 4),"▲ Above Average","▼ Below Average"))</f>
        <v>▼ Below Average</v>
      </c>
    </row>
    <row r="177" spans="2:25" x14ac:dyDescent="0.2">
      <c r="B177" s="17" t="s">
        <v>94</v>
      </c>
      <c r="C177" s="18">
        <v>513</v>
      </c>
      <c r="D177" s="19">
        <v>488</v>
      </c>
      <c r="E177" s="18">
        <f>IF(OR(D177="-",D177="",D177=0),IF(C177="-","-",C177),C177-D177)</f>
        <v>25</v>
      </c>
      <c r="F177" s="20">
        <f>IFERROR(IF(C177&gt;0, D177/C177, 0),"-")</f>
        <v>0.95126705653021437</v>
      </c>
      <c r="G177" s="18">
        <v>9</v>
      </c>
      <c r="H177" s="19">
        <v>1</v>
      </c>
      <c r="I177" s="18">
        <f>IF(OR(H177="-",H177="",H177=0),IF(G177="-","-",G177),G177-H177)</f>
        <v>8</v>
      </c>
      <c r="J177" s="20">
        <f>IFERROR(IF(G177&gt;0, H177/G177, 0),"-")</f>
        <v>0.1111111111111111</v>
      </c>
      <c r="K177" s="18">
        <v>10</v>
      </c>
      <c r="L177" s="19" t="s">
        <v>959</v>
      </c>
      <c r="M177" s="18">
        <f>IF(OR(L177="-",L177="",L177=0),IF(K177="-","-",K177),K177-L177)</f>
        <v>10</v>
      </c>
      <c r="N177" s="20" t="str">
        <f>IFERROR(IF(K177&gt;0, L177/K177, 0),"-")</f>
        <v>-</v>
      </c>
      <c r="O177" s="18">
        <v>2</v>
      </c>
      <c r="P177" s="19" t="s">
        <v>959</v>
      </c>
      <c r="Q177" s="18">
        <f>IF(OR(P177="-",P177="",P177=0),IF(O177="-","-",O177),O177-P177)</f>
        <v>2</v>
      </c>
      <c r="R177" s="20" t="str">
        <f>IFERROR(IF(O177&gt;0, P177/O177, 0),"-")</f>
        <v>-</v>
      </c>
      <c r="S177" s="18">
        <v>5</v>
      </c>
      <c r="T177" s="18" t="s">
        <v>959</v>
      </c>
      <c r="U177" s="18" t="s">
        <v>959</v>
      </c>
      <c r="V177" s="19" t="s">
        <v>959</v>
      </c>
      <c r="W177" s="19" t="s">
        <v>959</v>
      </c>
      <c r="X177" s="24">
        <f>RANK(F177,$F$57:$F$183,0)</f>
        <v>121</v>
      </c>
      <c r="Y177" s="3" t="str">
        <f>IF(OR(ISERROR(F177),F177="-",NOT(ISNUMBER(F177))),"● N/A",IF(ROUND(F177, 4) &gt;= ROUND($F$184, 4),"▲ Above Average","▼ Below Average"))</f>
        <v>▼ Below Average</v>
      </c>
    </row>
    <row r="178" spans="2:25" x14ac:dyDescent="0.2">
      <c r="B178" s="17" t="s">
        <v>96</v>
      </c>
      <c r="C178" s="18">
        <v>524</v>
      </c>
      <c r="D178" s="19">
        <v>496</v>
      </c>
      <c r="E178" s="18">
        <f>IF(OR(D178="-",D178="",D178=0),IF(C178="-","-",C178),C178-D178)</f>
        <v>28</v>
      </c>
      <c r="F178" s="20">
        <f>IFERROR(IF(C178&gt;0, D178/C178, 0),"-")</f>
        <v>0.94656488549618323</v>
      </c>
      <c r="G178" s="18">
        <v>7</v>
      </c>
      <c r="H178" s="19">
        <v>2</v>
      </c>
      <c r="I178" s="18">
        <f>IF(OR(H178="-",H178="",H178=0),IF(G178="-","-",G178),G178-H178)</f>
        <v>5</v>
      </c>
      <c r="J178" s="20">
        <f>IFERROR(IF(G178&gt;0, H178/G178, 0),"-")</f>
        <v>0.2857142857142857</v>
      </c>
      <c r="K178" s="18">
        <v>3</v>
      </c>
      <c r="L178" s="19" t="s">
        <v>959</v>
      </c>
      <c r="M178" s="18">
        <f>IF(OR(L178="-",L178="",L178=0),IF(K178="-","-",K178),K178-L178)</f>
        <v>3</v>
      </c>
      <c r="N178" s="20" t="str">
        <f>IFERROR(IF(K178&gt;0, L178/K178, 0),"-")</f>
        <v>-</v>
      </c>
      <c r="O178" s="18">
        <v>4</v>
      </c>
      <c r="P178" s="19" t="s">
        <v>959</v>
      </c>
      <c r="Q178" s="18">
        <f>IF(OR(P178="-",P178="",P178=0),IF(O178="-","-",O178),O178-P178)</f>
        <v>4</v>
      </c>
      <c r="R178" s="20" t="str">
        <f>IFERROR(IF(O178&gt;0, P178/O178, 0),"-")</f>
        <v>-</v>
      </c>
      <c r="S178" s="18">
        <v>7</v>
      </c>
      <c r="T178" s="18" t="s">
        <v>959</v>
      </c>
      <c r="U178" s="18" t="s">
        <v>959</v>
      </c>
      <c r="V178" s="19" t="s">
        <v>959</v>
      </c>
      <c r="W178" s="19" t="s">
        <v>959</v>
      </c>
      <c r="X178" s="24">
        <f>RANK(F178,$F$57:$F$183,0)</f>
        <v>122</v>
      </c>
      <c r="Y178" s="3" t="str">
        <f>IF(OR(ISERROR(F178),F178="-",NOT(ISNUMBER(F178))),"● N/A",IF(ROUND(F178, 4) &gt;= ROUND($F$184, 4),"▲ Above Average","▼ Below Average"))</f>
        <v>▼ Below Average</v>
      </c>
    </row>
    <row r="179" spans="2:25" x14ac:dyDescent="0.2">
      <c r="B179" s="17" t="s">
        <v>112</v>
      </c>
      <c r="C179" s="18">
        <v>566</v>
      </c>
      <c r="D179" s="19">
        <v>530</v>
      </c>
      <c r="E179" s="18">
        <f>IF(OR(D179="-",D179="",D179=0),IF(C179="-","-",C179),C179-D179)</f>
        <v>36</v>
      </c>
      <c r="F179" s="20">
        <f>IFERROR(IF(C179&gt;0, D179/C179, 0),"-")</f>
        <v>0.93639575971731448</v>
      </c>
      <c r="G179" s="18">
        <v>15</v>
      </c>
      <c r="H179" s="19">
        <v>8</v>
      </c>
      <c r="I179" s="18">
        <f>IF(OR(H179="-",H179="",H179=0),IF(G179="-","-",G179),G179-H179)</f>
        <v>7</v>
      </c>
      <c r="J179" s="20">
        <f>IFERROR(IF(G179&gt;0, H179/G179, 0),"-")</f>
        <v>0.53333333333333333</v>
      </c>
      <c r="K179" s="18">
        <v>4</v>
      </c>
      <c r="L179" s="19">
        <v>2</v>
      </c>
      <c r="M179" s="18">
        <f>IF(OR(L179="-",L179="",L179=0),IF(K179="-","-",K179),K179-L179)</f>
        <v>2</v>
      </c>
      <c r="N179" s="20">
        <f>IFERROR(IF(K179&gt;0, L179/K179, 0),"-")</f>
        <v>0.5</v>
      </c>
      <c r="O179" s="18" t="s">
        <v>959</v>
      </c>
      <c r="P179" s="19" t="s">
        <v>959</v>
      </c>
      <c r="Q179" s="18" t="str">
        <f>IF(OR(P179="-",P179="",P179=0),IF(O179="-","-",O179),O179-P179)</f>
        <v>-</v>
      </c>
      <c r="R179" s="20" t="str">
        <f>IFERROR(IF(O179&gt;0, P179/O179, 0),"-")</f>
        <v>-</v>
      </c>
      <c r="S179" s="18">
        <v>3</v>
      </c>
      <c r="T179" s="18">
        <v>1</v>
      </c>
      <c r="U179" s="18">
        <v>5300</v>
      </c>
      <c r="V179" s="19" t="s">
        <v>959</v>
      </c>
      <c r="W179" s="19" t="s">
        <v>959</v>
      </c>
      <c r="X179" s="24">
        <f>RANK(F179,$F$57:$F$183,0)</f>
        <v>123</v>
      </c>
      <c r="Y179" s="3" t="str">
        <f>IF(OR(ISERROR(F179),F179="-",NOT(ISNUMBER(F179))),"● N/A",IF(ROUND(F179, 4) &gt;= ROUND($F$184, 4),"▲ Above Average","▼ Below Average"))</f>
        <v>▼ Below Average</v>
      </c>
    </row>
    <row r="180" spans="2:25" x14ac:dyDescent="0.2">
      <c r="B180" s="17" t="s">
        <v>114</v>
      </c>
      <c r="C180" s="18">
        <v>385</v>
      </c>
      <c r="D180" s="19">
        <v>360</v>
      </c>
      <c r="E180" s="18">
        <f>IF(OR(D180="-",D180="",D180=0),IF(C180="-","-",C180),C180-D180)</f>
        <v>25</v>
      </c>
      <c r="F180" s="20">
        <f>IFERROR(IF(C180&gt;0, D180/C180, 0),"-")</f>
        <v>0.93506493506493504</v>
      </c>
      <c r="G180" s="18">
        <v>8</v>
      </c>
      <c r="H180" s="19">
        <v>3</v>
      </c>
      <c r="I180" s="18">
        <f>IF(OR(H180="-",H180="",H180=0),IF(G180="-","-",G180),G180-H180)</f>
        <v>5</v>
      </c>
      <c r="J180" s="20">
        <f>IFERROR(IF(G180&gt;0, H180/G180, 0),"-")</f>
        <v>0.375</v>
      </c>
      <c r="K180" s="18">
        <v>4</v>
      </c>
      <c r="L180" s="19">
        <v>1</v>
      </c>
      <c r="M180" s="18">
        <f>IF(OR(L180="-",L180="",L180=0),IF(K180="-","-",K180),K180-L180)</f>
        <v>3</v>
      </c>
      <c r="N180" s="20">
        <f>IFERROR(IF(K180&gt;0, L180/K180, 0),"-")</f>
        <v>0.25</v>
      </c>
      <c r="O180" s="18">
        <v>2</v>
      </c>
      <c r="P180" s="19" t="s">
        <v>959</v>
      </c>
      <c r="Q180" s="18">
        <f>IF(OR(P180="-",P180="",P180=0),IF(O180="-","-",O180),O180-P180)</f>
        <v>2</v>
      </c>
      <c r="R180" s="20" t="str">
        <f>IFERROR(IF(O180&gt;0, P180/O180, 0),"-")</f>
        <v>-</v>
      </c>
      <c r="S180" s="18">
        <v>1</v>
      </c>
      <c r="T180" s="18" t="s">
        <v>959</v>
      </c>
      <c r="U180" s="18" t="s">
        <v>959</v>
      </c>
      <c r="V180" s="19" t="s">
        <v>959</v>
      </c>
      <c r="W180" s="19" t="s">
        <v>959</v>
      </c>
      <c r="X180" s="24">
        <f>RANK(F180,$F$57:$F$183,0)</f>
        <v>124</v>
      </c>
      <c r="Y180" s="3" t="str">
        <f>IF(OR(ISERROR(F180),F180="-",NOT(ISNUMBER(F180))),"● N/A",IF(ROUND(F180, 4) &gt;= ROUND($F$184, 4),"▲ Above Average","▼ Below Average"))</f>
        <v>▼ Below Average</v>
      </c>
    </row>
    <row r="181" spans="2:25" x14ac:dyDescent="0.2">
      <c r="B181" s="17" t="s">
        <v>118</v>
      </c>
      <c r="C181" s="18">
        <v>691</v>
      </c>
      <c r="D181" s="19">
        <v>646</v>
      </c>
      <c r="E181" s="18">
        <f>IF(OR(D181="-",D181="",D181=0),IF(C181="-","-",C181),C181-D181)</f>
        <v>45</v>
      </c>
      <c r="F181" s="20">
        <f>IFERROR(IF(C181&gt;0, D181/C181, 0),"-")</f>
        <v>0.93487698986975398</v>
      </c>
      <c r="G181" s="18">
        <v>18</v>
      </c>
      <c r="H181" s="19">
        <v>9</v>
      </c>
      <c r="I181" s="18">
        <f>IF(OR(H181="-",H181="",H181=0),IF(G181="-","-",G181),G181-H181)</f>
        <v>9</v>
      </c>
      <c r="J181" s="20">
        <f>IFERROR(IF(G181&gt;0, H181/G181, 0),"-")</f>
        <v>0.5</v>
      </c>
      <c r="K181" s="18">
        <v>11</v>
      </c>
      <c r="L181" s="19">
        <v>4</v>
      </c>
      <c r="M181" s="18">
        <f>IF(OR(L181="-",L181="",L181=0),IF(K181="-","-",K181),K181-L181)</f>
        <v>7</v>
      </c>
      <c r="N181" s="20">
        <f>IFERROR(IF(K181&gt;0, L181/K181, 0),"-")</f>
        <v>0.36363636363636365</v>
      </c>
      <c r="O181" s="18" t="s">
        <v>959</v>
      </c>
      <c r="P181" s="19" t="s">
        <v>959</v>
      </c>
      <c r="Q181" s="18" t="str">
        <f>IF(OR(P181="-",P181="",P181=0),IF(O181="-","-",O181),O181-P181)</f>
        <v>-</v>
      </c>
      <c r="R181" s="20" t="str">
        <f>IFERROR(IF(O181&gt;0, P181/O181, 0),"-")</f>
        <v>-</v>
      </c>
      <c r="S181" s="18">
        <v>2</v>
      </c>
      <c r="T181" s="18">
        <v>1</v>
      </c>
      <c r="U181" s="18">
        <v>2400</v>
      </c>
      <c r="V181" s="19" t="s">
        <v>959</v>
      </c>
      <c r="W181" s="19" t="s">
        <v>959</v>
      </c>
      <c r="X181" s="24">
        <f>RANK(F181,$F$57:$F$183,0)</f>
        <v>125</v>
      </c>
      <c r="Y181" s="3" t="str">
        <f>IF(OR(ISERROR(F181),F181="-",NOT(ISNUMBER(F181))),"● N/A",IF(ROUND(F181, 4) &gt;= ROUND($F$184, 4),"▲ Above Average","▼ Below Average"))</f>
        <v>▼ Below Average</v>
      </c>
    </row>
    <row r="182" spans="2:25" x14ac:dyDescent="0.2">
      <c r="B182" s="17" t="s">
        <v>15</v>
      </c>
      <c r="C182" s="18">
        <v>852</v>
      </c>
      <c r="D182" s="19">
        <v>789</v>
      </c>
      <c r="E182" s="18">
        <f>IF(OR(D182="-",D182="",D182=0),IF(C182="-","-",C182),C182-D182)</f>
        <v>63</v>
      </c>
      <c r="F182" s="20">
        <f>IFERROR(IF(C182&gt;0, D182/C182, 0),"-")</f>
        <v>0.926056338028169</v>
      </c>
      <c r="G182" s="18">
        <v>9</v>
      </c>
      <c r="H182" s="19">
        <v>2</v>
      </c>
      <c r="I182" s="18">
        <f>IF(OR(H182="-",H182="",H182=0),IF(G182="-","-",G182),G182-H182)</f>
        <v>7</v>
      </c>
      <c r="J182" s="20">
        <f>IFERROR(IF(G182&gt;0, H182/G182, 0),"-")</f>
        <v>0.22222222222222221</v>
      </c>
      <c r="K182" s="18">
        <v>2</v>
      </c>
      <c r="L182" s="19" t="s">
        <v>959</v>
      </c>
      <c r="M182" s="18">
        <f>IF(OR(L182="-",L182="",L182=0),IF(K182="-","-",K182),K182-L182)</f>
        <v>2</v>
      </c>
      <c r="N182" s="20" t="str">
        <f>IFERROR(IF(K182&gt;0, L182/K182, 0),"-")</f>
        <v>-</v>
      </c>
      <c r="O182" s="18">
        <v>4</v>
      </c>
      <c r="P182" s="19">
        <v>1</v>
      </c>
      <c r="Q182" s="18">
        <f>IF(OR(P182="-",P182="",P182=0),IF(O182="-","-",O182),O182-P182)</f>
        <v>3</v>
      </c>
      <c r="R182" s="20">
        <f>IFERROR(IF(O182&gt;0, P182/O182, 0),"-")</f>
        <v>0.25</v>
      </c>
      <c r="S182" s="18">
        <v>5</v>
      </c>
      <c r="T182" s="18" t="s">
        <v>959</v>
      </c>
      <c r="U182" s="18" t="s">
        <v>959</v>
      </c>
      <c r="V182" s="19" t="s">
        <v>959</v>
      </c>
      <c r="W182" s="19" t="s">
        <v>959</v>
      </c>
      <c r="X182" s="24">
        <f>RANK(F182,$F$57:$F$183,0)</f>
        <v>126</v>
      </c>
      <c r="Y182" s="3" t="str">
        <f>IF(OR(ISERROR(F182),F182="-",NOT(ISNUMBER(F182))),"● N/A",IF(ROUND(F182, 4) &gt;= ROUND($F$184, 4),"▲ Above Average","▼ Below Average"))</f>
        <v>▼ Below Average</v>
      </c>
    </row>
    <row r="183" spans="2:25" x14ac:dyDescent="0.2">
      <c r="B183" s="17" t="s">
        <v>6</v>
      </c>
      <c r="C183" s="18">
        <v>675</v>
      </c>
      <c r="D183" s="19">
        <v>615</v>
      </c>
      <c r="E183" s="18">
        <f>IF(OR(D183="-",D183="",D183=0),IF(C183="-","-",C183),C183-D183)</f>
        <v>60</v>
      </c>
      <c r="F183" s="20">
        <f>IFERROR(IF(C183&gt;0, D183/C183, 0),"-")</f>
        <v>0.91111111111111109</v>
      </c>
      <c r="G183" s="18">
        <v>18</v>
      </c>
      <c r="H183" s="19">
        <v>2</v>
      </c>
      <c r="I183" s="18">
        <f>IF(OR(H183="-",H183="",H183=0),IF(G183="-","-",G183),G183-H183)</f>
        <v>16</v>
      </c>
      <c r="J183" s="20">
        <f>IFERROR(IF(G183&gt;0, H183/G183, 0),"-")</f>
        <v>0.1111111111111111</v>
      </c>
      <c r="K183" s="18">
        <v>12</v>
      </c>
      <c r="L183" s="19">
        <v>1</v>
      </c>
      <c r="M183" s="18">
        <f>IF(OR(L183="-",L183="",L183=0),IF(K183="-","-",K183),K183-L183)</f>
        <v>11</v>
      </c>
      <c r="N183" s="20">
        <f>IFERROR(IF(K183&gt;0, L183/K183, 0),"-")</f>
        <v>8.3333333333333329E-2</v>
      </c>
      <c r="O183" s="18">
        <v>8</v>
      </c>
      <c r="P183" s="19" t="s">
        <v>959</v>
      </c>
      <c r="Q183" s="18">
        <f>IF(OR(P183="-",P183="",P183=0),IF(O183="-","-",O183),O183-P183)</f>
        <v>8</v>
      </c>
      <c r="R183" s="20" t="str">
        <f>IFERROR(IF(O183&gt;0, P183/O183, 0),"-")</f>
        <v>-</v>
      </c>
      <c r="S183" s="18">
        <v>3</v>
      </c>
      <c r="T183" s="18" t="s">
        <v>959</v>
      </c>
      <c r="U183" s="18" t="s">
        <v>959</v>
      </c>
      <c r="V183" s="19" t="s">
        <v>959</v>
      </c>
      <c r="W183" s="19" t="s">
        <v>959</v>
      </c>
      <c r="X183" s="24">
        <f>RANK(F183,$F$57:$F$183,0)</f>
        <v>127</v>
      </c>
      <c r="Y183" s="3" t="str">
        <f>IF(OR(ISERROR(F183),F183="-",NOT(ISNUMBER(F183))),"● N/A",IF(ROUND(F183, 4) &gt;= ROUND($F$184, 4),"▲ Above Average","▼ Below Average"))</f>
        <v>▼ Below Average</v>
      </c>
    </row>
    <row r="184" spans="2:25" x14ac:dyDescent="0.2">
      <c r="B184" s="15" t="s">
        <v>953</v>
      </c>
      <c r="C184" s="16">
        <f>SUM(C57:C183)</f>
        <v>65331</v>
      </c>
      <c r="D184" s="16">
        <f>SUM(D57:D183)</f>
        <v>64000</v>
      </c>
      <c r="E184" s="16">
        <f>C184-D184</f>
        <v>1331</v>
      </c>
      <c r="F184" s="21">
        <f>IF(C184&gt;0, D184/C184, 0)</f>
        <v>0.97962682340695839</v>
      </c>
      <c r="G184" s="16">
        <f>SUM(G57:G183)</f>
        <v>517</v>
      </c>
      <c r="H184" s="16">
        <f>SUM(H57:H183)</f>
        <v>126</v>
      </c>
      <c r="I184" s="16">
        <f>G184-H184</f>
        <v>391</v>
      </c>
      <c r="J184" s="21">
        <f>IF(G184&gt;0, H184/G184, 0)</f>
        <v>0.2437137330754352</v>
      </c>
      <c r="K184" s="16">
        <f>SUM(K57:K183)</f>
        <v>266</v>
      </c>
      <c r="L184" s="16">
        <f>SUM(L57:L183)</f>
        <v>45</v>
      </c>
      <c r="M184" s="16">
        <f>K184-L184</f>
        <v>221</v>
      </c>
      <c r="N184" s="21">
        <f>IF(K184&gt;0, L184/K184, 0)</f>
        <v>0.16917293233082706</v>
      </c>
      <c r="O184" s="16">
        <f>SUM(O57:O183)</f>
        <v>202</v>
      </c>
      <c r="P184" s="16">
        <f>SUM(P57:P183)</f>
        <v>25</v>
      </c>
      <c r="Q184" s="16">
        <f>O184-P184</f>
        <v>177</v>
      </c>
      <c r="R184" s="21">
        <f>IF(O184&gt;0, P184/O184, 0)</f>
        <v>0.12376237623762376</v>
      </c>
      <c r="S184" s="16">
        <f>SUM(S57:S183)</f>
        <v>323</v>
      </c>
      <c r="T184" s="16">
        <f>SUM(T57:T183)</f>
        <v>21</v>
      </c>
      <c r="U184" s="16">
        <f>SUM(U57:U183)</f>
        <v>148945</v>
      </c>
      <c r="V184" s="16">
        <f>SUM(V57:V183)</f>
        <v>0</v>
      </c>
      <c r="W184" s="16">
        <f>SUM(W57:W183)</f>
        <v>0</v>
      </c>
      <c r="X184" s="25" t="s">
        <v>959</v>
      </c>
      <c r="Y184" s="25" t="s">
        <v>959</v>
      </c>
    </row>
    <row r="188" spans="2:25" ht="19" x14ac:dyDescent="0.25">
      <c r="B188" s="26" t="s">
        <v>978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90" spans="2:25" x14ac:dyDescent="0.2">
      <c r="B190" s="2" t="s">
        <v>1782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2:25" x14ac:dyDescent="0.2">
      <c r="B191" s="6" t="s">
        <v>958</v>
      </c>
      <c r="C191" s="2" t="s">
        <v>968</v>
      </c>
      <c r="D191" s="2"/>
      <c r="E191" s="2"/>
      <c r="F191" s="2"/>
      <c r="G191" s="2" t="s">
        <v>969</v>
      </c>
      <c r="H191" s="2"/>
      <c r="I191" s="2"/>
      <c r="J191" s="2"/>
      <c r="K191" s="2" t="s">
        <v>970</v>
      </c>
      <c r="L191" s="2"/>
      <c r="M191" s="2"/>
      <c r="N191" s="2"/>
      <c r="O191" s="2" t="s">
        <v>960</v>
      </c>
      <c r="P191" s="2"/>
      <c r="Q191" s="2"/>
      <c r="R191" s="2"/>
      <c r="S191" s="2" t="s">
        <v>951</v>
      </c>
      <c r="T191" s="2"/>
      <c r="U191" s="2"/>
      <c r="V191" s="2"/>
      <c r="W191" s="2"/>
      <c r="X191" s="7" t="s">
        <v>971</v>
      </c>
      <c r="Y191" s="7"/>
    </row>
    <row r="192" spans="2:25" x14ac:dyDescent="0.2">
      <c r="B192" s="6"/>
      <c r="C192" s="8" t="s">
        <v>961</v>
      </c>
      <c r="D192" s="9" t="s">
        <v>972</v>
      </c>
      <c r="E192" s="8" t="s">
        <v>955</v>
      </c>
      <c r="F192" s="10" t="s">
        <v>956</v>
      </c>
      <c r="G192" s="8" t="s">
        <v>961</v>
      </c>
      <c r="H192" s="9" t="s">
        <v>972</v>
      </c>
      <c r="I192" s="8" t="s">
        <v>973</v>
      </c>
      <c r="J192" s="10" t="s">
        <v>956</v>
      </c>
      <c r="K192" s="8" t="s">
        <v>961</v>
      </c>
      <c r="L192" s="9" t="s">
        <v>972</v>
      </c>
      <c r="M192" s="8" t="s">
        <v>973</v>
      </c>
      <c r="N192" s="10" t="s">
        <v>956</v>
      </c>
      <c r="O192" s="8" t="s">
        <v>961</v>
      </c>
      <c r="P192" s="9" t="s">
        <v>972</v>
      </c>
      <c r="Q192" s="8" t="s">
        <v>973</v>
      </c>
      <c r="R192" s="10" t="s">
        <v>956</v>
      </c>
      <c r="S192" s="8" t="s">
        <v>961</v>
      </c>
      <c r="T192" s="2" t="s">
        <v>962</v>
      </c>
      <c r="U192" s="2"/>
      <c r="V192" s="2" t="s">
        <v>963</v>
      </c>
      <c r="W192" s="2"/>
      <c r="X192" s="22" t="s">
        <v>974</v>
      </c>
      <c r="Y192" s="23" t="s">
        <v>975</v>
      </c>
    </row>
    <row r="193" spans="2:25" x14ac:dyDescent="0.2">
      <c r="C193" s="8"/>
      <c r="D193" s="9"/>
      <c r="E193" s="8"/>
      <c r="F193" s="10"/>
      <c r="G193" s="8"/>
      <c r="H193" s="9"/>
      <c r="I193" s="8"/>
      <c r="J193" s="10"/>
      <c r="K193" s="8"/>
      <c r="L193" s="9"/>
      <c r="M193" s="8"/>
      <c r="N193" s="10"/>
      <c r="O193" s="8"/>
      <c r="P193" s="9"/>
      <c r="Q193" s="8"/>
      <c r="R193" s="10"/>
      <c r="S193" s="8"/>
      <c r="T193" s="11" t="s">
        <v>964</v>
      </c>
      <c r="U193" s="11" t="s">
        <v>965</v>
      </c>
      <c r="V193" s="11" t="s">
        <v>964</v>
      </c>
      <c r="W193" s="11" t="s">
        <v>965</v>
      </c>
      <c r="X193" s="12"/>
      <c r="Y193" s="13"/>
    </row>
    <row r="194" spans="2:25" x14ac:dyDescent="0.2">
      <c r="B194" s="17" t="s">
        <v>2</v>
      </c>
      <c r="C194" s="18">
        <v>2163</v>
      </c>
      <c r="D194" s="19">
        <v>2147</v>
      </c>
      <c r="E194" s="18">
        <f>IF(OR(D194="-",D194="",D194=0),IF(C194="-","-",C194),C194-D194)</f>
        <v>16</v>
      </c>
      <c r="F194" s="20">
        <f>IFERROR(IF(C194&gt;0, D194/C194, 0),"-")</f>
        <v>0.9926028663892742</v>
      </c>
      <c r="G194" s="18">
        <v>7</v>
      </c>
      <c r="H194" s="19">
        <v>4</v>
      </c>
      <c r="I194" s="18">
        <f>IF(OR(H194="-",H194="",H194=0),IF(G194="-","-",G194),G194-H194)</f>
        <v>3</v>
      </c>
      <c r="J194" s="20">
        <f>IFERROR(IF(G194&gt;0, H194/G194, 0),"-")</f>
        <v>0.5714285714285714</v>
      </c>
      <c r="K194" s="18">
        <v>4</v>
      </c>
      <c r="L194" s="19">
        <v>2</v>
      </c>
      <c r="M194" s="18">
        <f>IF(OR(L194="-",L194="",L194=0),IF(K194="-","-",K194),K194-L194)</f>
        <v>2</v>
      </c>
      <c r="N194" s="20">
        <f>IFERROR(IF(K194&gt;0, L194/K194, 0),"-")</f>
        <v>0.5</v>
      </c>
      <c r="O194" s="18">
        <v>1</v>
      </c>
      <c r="P194" s="19" t="s">
        <v>959</v>
      </c>
      <c r="Q194" s="18">
        <f>IF(OR(P194="-",P194="",P194=0),IF(O194="-","-",O194),O194-P194)</f>
        <v>1</v>
      </c>
      <c r="R194" s="20" t="str">
        <f>IFERROR(IF(O194&gt;0, P194/O194, 0),"-")</f>
        <v>-</v>
      </c>
      <c r="S194" s="18">
        <v>6</v>
      </c>
      <c r="T194" s="18" t="s">
        <v>959</v>
      </c>
      <c r="U194" s="18" t="s">
        <v>959</v>
      </c>
      <c r="V194" s="19" t="s">
        <v>959</v>
      </c>
      <c r="W194" s="19" t="s">
        <v>959</v>
      </c>
      <c r="X194" s="24">
        <f>RANK(F194,$F$194:$F$198,0)</f>
        <v>1</v>
      </c>
      <c r="Y194" s="3" t="str">
        <f>IF(OR(ISERROR(F194),F194="-",NOT(ISNUMBER(F194))),"● N/A",IF(ROUND(F194, 4) &gt;= ROUND($F$199, 4),"▲ Above Average","▼ Below Average"))</f>
        <v>▲ Above Average</v>
      </c>
    </row>
    <row r="195" spans="2:25" x14ac:dyDescent="0.2">
      <c r="B195" s="17" t="s">
        <v>7</v>
      </c>
      <c r="C195" s="18">
        <v>16002</v>
      </c>
      <c r="D195" s="19">
        <v>15838</v>
      </c>
      <c r="E195" s="18">
        <f>IF(OR(D195="-",D195="",D195=0),IF(C195="-","-",C195),C195-D195)</f>
        <v>164</v>
      </c>
      <c r="F195" s="20">
        <f>IFERROR(IF(C195&gt;0, D195/C195, 0),"-")</f>
        <v>0.98975128108986377</v>
      </c>
      <c r="G195" s="18">
        <v>66</v>
      </c>
      <c r="H195" s="19">
        <v>15</v>
      </c>
      <c r="I195" s="18">
        <f>IF(OR(H195="-",H195="",H195=0),IF(G195="-","-",G195),G195-H195)</f>
        <v>51</v>
      </c>
      <c r="J195" s="20">
        <f>IFERROR(IF(G195&gt;0, H195/G195, 0),"-")</f>
        <v>0.22727272727272727</v>
      </c>
      <c r="K195" s="18">
        <v>46</v>
      </c>
      <c r="L195" s="19">
        <v>13</v>
      </c>
      <c r="M195" s="18">
        <f>IF(OR(L195="-",L195="",L195=0),IF(K195="-","-",K195),K195-L195)</f>
        <v>33</v>
      </c>
      <c r="N195" s="20">
        <f>IFERROR(IF(K195&gt;0, L195/K195, 0),"-")</f>
        <v>0.28260869565217389</v>
      </c>
      <c r="O195" s="18">
        <v>46</v>
      </c>
      <c r="P195" s="19">
        <v>7</v>
      </c>
      <c r="Q195" s="18">
        <f>IF(OR(P195="-",P195="",P195=0),IF(O195="-","-",O195),O195-P195)</f>
        <v>39</v>
      </c>
      <c r="R195" s="20">
        <f>IFERROR(IF(O195&gt;0, P195/O195, 0),"-")</f>
        <v>0.15217391304347827</v>
      </c>
      <c r="S195" s="18">
        <v>98</v>
      </c>
      <c r="T195" s="18">
        <v>5</v>
      </c>
      <c r="U195" s="18">
        <v>72705</v>
      </c>
      <c r="V195" s="19" t="s">
        <v>959</v>
      </c>
      <c r="W195" s="19" t="s">
        <v>959</v>
      </c>
      <c r="X195" s="24">
        <f>RANK(F195,$F$194:$F$198,0)</f>
        <v>2</v>
      </c>
      <c r="Y195" s="3" t="str">
        <f>IF(OR(ISERROR(F195),F195="-",NOT(ISNUMBER(F195))),"● N/A",IF(ROUND(F195, 4) &gt;= ROUND($F$199, 4),"▲ Above Average","▼ Below Average"))</f>
        <v>▲ Above Average</v>
      </c>
    </row>
    <row r="196" spans="2:25" x14ac:dyDescent="0.2">
      <c r="B196" s="17" t="s">
        <v>20</v>
      </c>
      <c r="C196" s="18">
        <v>16089</v>
      </c>
      <c r="D196" s="19">
        <v>15900</v>
      </c>
      <c r="E196" s="18">
        <f>IF(OR(D196="-",D196="",D196=0),IF(C196="-","-",C196),C196-D196)</f>
        <v>189</v>
      </c>
      <c r="F196" s="20">
        <f>IFERROR(IF(C196&gt;0, D196/C196, 0),"-")</f>
        <v>0.98825284355771026</v>
      </c>
      <c r="G196" s="18">
        <v>68</v>
      </c>
      <c r="H196" s="19">
        <v>15</v>
      </c>
      <c r="I196" s="18">
        <f>IF(OR(H196="-",H196="",H196=0),IF(G196="-","-",G196),G196-H196)</f>
        <v>53</v>
      </c>
      <c r="J196" s="20">
        <f>IFERROR(IF(G196&gt;0, H196/G196, 0),"-")</f>
        <v>0.22058823529411764</v>
      </c>
      <c r="K196" s="18">
        <v>24</v>
      </c>
      <c r="L196" s="19">
        <v>2</v>
      </c>
      <c r="M196" s="18">
        <f>IF(OR(L196="-",L196="",L196=0),IF(K196="-","-",K196),K196-L196)</f>
        <v>22</v>
      </c>
      <c r="N196" s="20">
        <f>IFERROR(IF(K196&gt;0, L196/K196, 0),"-")</f>
        <v>8.3333333333333329E-2</v>
      </c>
      <c r="O196" s="18">
        <v>23</v>
      </c>
      <c r="P196" s="19">
        <v>6</v>
      </c>
      <c r="Q196" s="18">
        <f>IF(OR(P196="-",P196="",P196=0),IF(O196="-","-",O196),O196-P196)</f>
        <v>17</v>
      </c>
      <c r="R196" s="20">
        <f>IFERROR(IF(O196&gt;0, P196/O196, 0),"-")</f>
        <v>0.2608695652173913</v>
      </c>
      <c r="S196" s="18">
        <v>45</v>
      </c>
      <c r="T196" s="18">
        <v>5</v>
      </c>
      <c r="U196" s="18">
        <v>9880</v>
      </c>
      <c r="V196" s="19" t="s">
        <v>959</v>
      </c>
      <c r="W196" s="19" t="s">
        <v>959</v>
      </c>
      <c r="X196" s="24">
        <f>RANK(F196,$F$194:$F$198,0)</f>
        <v>3</v>
      </c>
      <c r="Y196" s="3" t="str">
        <f>IF(OR(ISERROR(F196),F196="-",NOT(ISNUMBER(F196))),"● N/A",IF(ROUND(F196, 4) &gt;= ROUND($F$199, 4),"▲ Above Average","▼ Below Average"))</f>
        <v>▲ Above Average</v>
      </c>
    </row>
    <row r="197" spans="2:25" x14ac:dyDescent="0.2">
      <c r="B197" s="17" t="s">
        <v>1</v>
      </c>
      <c r="C197" s="18">
        <v>21354</v>
      </c>
      <c r="D197" s="19">
        <v>21050</v>
      </c>
      <c r="E197" s="18">
        <f>IF(OR(D197="-",D197="",D197=0),IF(C197="-","-",C197),C197-D197)</f>
        <v>304</v>
      </c>
      <c r="F197" s="20">
        <f>IFERROR(IF(C197&gt;0, D197/C197, 0),"-")</f>
        <v>0.98576379132715186</v>
      </c>
      <c r="G197" s="18">
        <v>132</v>
      </c>
      <c r="H197" s="19">
        <v>30</v>
      </c>
      <c r="I197" s="18">
        <f>IF(OR(H197="-",H197="",H197=0),IF(G197="-","-",G197),G197-H197)</f>
        <v>102</v>
      </c>
      <c r="J197" s="20">
        <f>IFERROR(IF(G197&gt;0, H197/G197, 0),"-")</f>
        <v>0.22727272727272727</v>
      </c>
      <c r="K197" s="18">
        <v>82</v>
      </c>
      <c r="L197" s="19">
        <v>10</v>
      </c>
      <c r="M197" s="18">
        <f>IF(OR(L197="-",L197="",L197=0),IF(K197="-","-",K197),K197-L197)</f>
        <v>72</v>
      </c>
      <c r="N197" s="20">
        <f>IFERROR(IF(K197&gt;0, L197/K197, 0),"-")</f>
        <v>0.12195121951219512</v>
      </c>
      <c r="O197" s="18">
        <v>56</v>
      </c>
      <c r="P197" s="19">
        <v>6</v>
      </c>
      <c r="Q197" s="18">
        <f>IF(OR(P197="-",P197="",P197=0),IF(O197="-","-",O197),O197-P197)</f>
        <v>50</v>
      </c>
      <c r="R197" s="20">
        <f>IFERROR(IF(O197&gt;0, P197/O197, 0),"-")</f>
        <v>0.10714285714285714</v>
      </c>
      <c r="S197" s="18">
        <v>61</v>
      </c>
      <c r="T197" s="18">
        <v>3</v>
      </c>
      <c r="U197" s="18">
        <v>8540</v>
      </c>
      <c r="V197" s="19" t="s">
        <v>959</v>
      </c>
      <c r="W197" s="19" t="s">
        <v>959</v>
      </c>
      <c r="X197" s="24">
        <f>RANK(F197,$F$194:$F$198,0)</f>
        <v>4</v>
      </c>
      <c r="Y197" s="3" t="str">
        <f>IF(OR(ISERROR(F197),F197="-",NOT(ISNUMBER(F197))),"● N/A",IF(ROUND(F197, 4) &gt;= ROUND($F$199, 4),"▲ Above Average","▼ Below Average"))</f>
        <v>▼ Below Average</v>
      </c>
    </row>
    <row r="198" spans="2:25" x14ac:dyDescent="0.2">
      <c r="B198" s="17" t="s">
        <v>0</v>
      </c>
      <c r="C198" s="18">
        <v>3141</v>
      </c>
      <c r="D198" s="19">
        <v>3025</v>
      </c>
      <c r="E198" s="18">
        <f>IF(OR(D198="-",D198="",D198=0),IF(C198="-","-",C198),C198-D198)</f>
        <v>116</v>
      </c>
      <c r="F198" s="20">
        <f>IFERROR(IF(C198&gt;0, D198/C198, 0),"-")</f>
        <v>0.96306908627825538</v>
      </c>
      <c r="G198" s="18">
        <v>54</v>
      </c>
      <c r="H198" s="19">
        <v>26</v>
      </c>
      <c r="I198" s="18">
        <f>IF(OR(H198="-",H198="",H198=0),IF(G198="-","-",G198),G198-H198)</f>
        <v>28</v>
      </c>
      <c r="J198" s="20">
        <f>IFERROR(IF(G198&gt;0, H198/G198, 0),"-")</f>
        <v>0.48148148148148145</v>
      </c>
      <c r="K198" s="18">
        <v>22</v>
      </c>
      <c r="L198" s="19">
        <v>9</v>
      </c>
      <c r="M198" s="18">
        <f>IF(OR(L198="-",L198="",L198=0),IF(K198="-","-",K198),K198-L198)</f>
        <v>13</v>
      </c>
      <c r="N198" s="20">
        <f>IFERROR(IF(K198&gt;0, L198/K198, 0),"-")</f>
        <v>0.40909090909090912</v>
      </c>
      <c r="O198" s="18">
        <v>5</v>
      </c>
      <c r="P198" s="19" t="s">
        <v>959</v>
      </c>
      <c r="Q198" s="18">
        <f>IF(OR(P198="-",P198="",P198=0),IF(O198="-","-",O198),O198-P198)</f>
        <v>5</v>
      </c>
      <c r="R198" s="20" t="str">
        <f>IFERROR(IF(O198&gt;0, P198/O198, 0),"-")</f>
        <v>-</v>
      </c>
      <c r="S198" s="18">
        <v>9</v>
      </c>
      <c r="T198" s="18">
        <v>2</v>
      </c>
      <c r="U198" s="18">
        <v>7700</v>
      </c>
      <c r="V198" s="19" t="s">
        <v>959</v>
      </c>
      <c r="W198" s="19" t="s">
        <v>959</v>
      </c>
      <c r="X198" s="24">
        <f>RANK(F198,$F$194:$F$198,0)</f>
        <v>5</v>
      </c>
      <c r="Y198" s="3" t="str">
        <f>IF(OR(ISERROR(F198),F198="-",NOT(ISNUMBER(F198))),"● N/A",IF(ROUND(F198, 4) &gt;= ROUND($F$199, 4),"▲ Above Average","▼ Below Average"))</f>
        <v>▼ Below Average</v>
      </c>
    </row>
    <row r="199" spans="2:25" x14ac:dyDescent="0.2">
      <c r="B199" s="15" t="s">
        <v>953</v>
      </c>
      <c r="C199" s="16">
        <f>SUM(C194:C198)</f>
        <v>58749</v>
      </c>
      <c r="D199" s="16">
        <f>SUM(D194:D198)</f>
        <v>57960</v>
      </c>
      <c r="E199" s="16">
        <f>C199-D199</f>
        <v>789</v>
      </c>
      <c r="F199" s="21">
        <f>IF(C199&gt;0, D199/C199, 0)</f>
        <v>0.98656998416994335</v>
      </c>
      <c r="G199" s="16">
        <f>SUM(G194:G198)</f>
        <v>327</v>
      </c>
      <c r="H199" s="16">
        <f>SUM(H194:H198)</f>
        <v>90</v>
      </c>
      <c r="I199" s="16">
        <f>G199-H199</f>
        <v>237</v>
      </c>
      <c r="J199" s="21">
        <f>IF(G199&gt;0, H199/G199, 0)</f>
        <v>0.27522935779816515</v>
      </c>
      <c r="K199" s="16">
        <f>SUM(K194:K198)</f>
        <v>178</v>
      </c>
      <c r="L199" s="16">
        <f>SUM(L194:L198)</f>
        <v>36</v>
      </c>
      <c r="M199" s="16">
        <f>K199-L199</f>
        <v>142</v>
      </c>
      <c r="N199" s="21">
        <f>IF(K199&gt;0, L199/K199, 0)</f>
        <v>0.20224719101123595</v>
      </c>
      <c r="O199" s="16">
        <f>SUM(O194:O198)</f>
        <v>131</v>
      </c>
      <c r="P199" s="16">
        <f>SUM(P194:P198)</f>
        <v>19</v>
      </c>
      <c r="Q199" s="16">
        <f>O199-P199</f>
        <v>112</v>
      </c>
      <c r="R199" s="21">
        <f>IF(O199&gt;0, P199/O199, 0)</f>
        <v>0.14503816793893129</v>
      </c>
      <c r="S199" s="16">
        <f>SUM(S194:S198)</f>
        <v>219</v>
      </c>
      <c r="T199" s="16">
        <f>SUM(T194:T198)</f>
        <v>15</v>
      </c>
      <c r="U199" s="16">
        <f>SUM(U194:U198)</f>
        <v>98825</v>
      </c>
      <c r="V199" s="16">
        <f>SUM(V194:V198)</f>
        <v>0</v>
      </c>
      <c r="W199" s="16">
        <f>SUM(W194:W198)</f>
        <v>0</v>
      </c>
      <c r="X199" s="25" t="s">
        <v>959</v>
      </c>
      <c r="Y199" s="25" t="s">
        <v>959</v>
      </c>
    </row>
    <row r="203" spans="2:25" ht="19" x14ac:dyDescent="0.25">
      <c r="B203" s="26" t="s">
        <v>979</v>
      </c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5" spans="2:25" x14ac:dyDescent="0.2">
      <c r="B205" s="2" t="s">
        <v>1782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x14ac:dyDescent="0.2">
      <c r="B206" s="6" t="s">
        <v>958</v>
      </c>
      <c r="C206" s="2" t="s">
        <v>968</v>
      </c>
      <c r="D206" s="2"/>
      <c r="E206" s="2"/>
      <c r="F206" s="2"/>
      <c r="G206" s="2" t="s">
        <v>969</v>
      </c>
      <c r="H206" s="2"/>
      <c r="I206" s="2"/>
      <c r="J206" s="2"/>
      <c r="K206" s="2" t="s">
        <v>970</v>
      </c>
      <c r="L206" s="2"/>
      <c r="M206" s="2"/>
      <c r="N206" s="2"/>
      <c r="O206" s="2" t="s">
        <v>960</v>
      </c>
      <c r="P206" s="2"/>
      <c r="Q206" s="2"/>
      <c r="R206" s="2"/>
      <c r="S206" s="2" t="s">
        <v>951</v>
      </c>
      <c r="T206" s="2"/>
      <c r="U206" s="2"/>
      <c r="V206" s="2"/>
      <c r="W206" s="2"/>
      <c r="X206" s="7" t="s">
        <v>971</v>
      </c>
      <c r="Y206" s="7"/>
    </row>
    <row r="207" spans="2:25" x14ac:dyDescent="0.2">
      <c r="B207" s="6"/>
      <c r="C207" s="8" t="s">
        <v>961</v>
      </c>
      <c r="D207" s="9" t="s">
        <v>972</v>
      </c>
      <c r="E207" s="8" t="s">
        <v>955</v>
      </c>
      <c r="F207" s="10" t="s">
        <v>956</v>
      </c>
      <c r="G207" s="8" t="s">
        <v>961</v>
      </c>
      <c r="H207" s="9" t="s">
        <v>972</v>
      </c>
      <c r="I207" s="8" t="s">
        <v>973</v>
      </c>
      <c r="J207" s="10" t="s">
        <v>956</v>
      </c>
      <c r="K207" s="8" t="s">
        <v>961</v>
      </c>
      <c r="L207" s="9" t="s">
        <v>972</v>
      </c>
      <c r="M207" s="8" t="s">
        <v>973</v>
      </c>
      <c r="N207" s="10" t="s">
        <v>956</v>
      </c>
      <c r="O207" s="8" t="s">
        <v>961</v>
      </c>
      <c r="P207" s="9" t="s">
        <v>972</v>
      </c>
      <c r="Q207" s="8" t="s">
        <v>973</v>
      </c>
      <c r="R207" s="10" t="s">
        <v>956</v>
      </c>
      <c r="S207" s="8" t="s">
        <v>961</v>
      </c>
      <c r="T207" s="2" t="s">
        <v>962</v>
      </c>
      <c r="U207" s="2"/>
      <c r="V207" s="2" t="s">
        <v>963</v>
      </c>
      <c r="W207" s="2"/>
      <c r="X207" s="22" t="s">
        <v>974</v>
      </c>
      <c r="Y207" s="23" t="s">
        <v>975</v>
      </c>
    </row>
    <row r="208" spans="2:25" x14ac:dyDescent="0.2">
      <c r="C208" s="8"/>
      <c r="D208" s="9"/>
      <c r="E208" s="8"/>
      <c r="F208" s="10"/>
      <c r="G208" s="8"/>
      <c r="H208" s="9"/>
      <c r="I208" s="8"/>
      <c r="J208" s="10"/>
      <c r="K208" s="8"/>
      <c r="L208" s="9"/>
      <c r="M208" s="8"/>
      <c r="N208" s="10"/>
      <c r="O208" s="8"/>
      <c r="P208" s="9"/>
      <c r="Q208" s="8"/>
      <c r="R208" s="10"/>
      <c r="S208" s="8"/>
      <c r="T208" s="11" t="s">
        <v>964</v>
      </c>
      <c r="U208" s="11" t="s">
        <v>965</v>
      </c>
      <c r="V208" s="11" t="s">
        <v>964</v>
      </c>
      <c r="W208" s="11" t="s">
        <v>965</v>
      </c>
      <c r="X208" s="12"/>
      <c r="Y208" s="13"/>
    </row>
    <row r="209" spans="2:25" x14ac:dyDescent="0.2">
      <c r="B209" s="17" t="s">
        <v>2</v>
      </c>
      <c r="C209" s="18">
        <v>5</v>
      </c>
      <c r="D209" s="19">
        <v>5</v>
      </c>
      <c r="E209" s="18">
        <f>IF(OR(D209="-",D209="",D209=0),IF(C209="-","-",C209),C209-D209)</f>
        <v>0</v>
      </c>
      <c r="F209" s="20">
        <f>IFERROR(IF(C209&gt;0, D209/C209, 0),"-")</f>
        <v>1</v>
      </c>
      <c r="G209" s="18" t="s">
        <v>959</v>
      </c>
      <c r="H209" s="19" t="s">
        <v>959</v>
      </c>
      <c r="I209" s="18" t="str">
        <f>IF(OR(H209="-",H209="",H209=0),IF(G209="-","-",G209),G209-H209)</f>
        <v>-</v>
      </c>
      <c r="J209" s="20" t="str">
        <f>IFERROR(IF(G209&gt;0, H209/G209, 0),"-")</f>
        <v>-</v>
      </c>
      <c r="K209" s="18" t="s">
        <v>959</v>
      </c>
      <c r="L209" s="19" t="s">
        <v>959</v>
      </c>
      <c r="M209" s="18" t="str">
        <f>IF(OR(L209="-",L209="",L209=0),IF(K209="-","-",K209),K209-L209)</f>
        <v>-</v>
      </c>
      <c r="N209" s="20" t="str">
        <f>IFERROR(IF(K209&gt;0, L209/K209, 0),"-")</f>
        <v>-</v>
      </c>
      <c r="O209" s="18" t="s">
        <v>959</v>
      </c>
      <c r="P209" s="19" t="s">
        <v>959</v>
      </c>
      <c r="Q209" s="18" t="str">
        <f>IF(OR(P209="-",P209="",P209=0),IF(O209="-","-",O209),O209-P209)</f>
        <v>-</v>
      </c>
      <c r="R209" s="20" t="str">
        <f>IFERROR(IF(O209&gt;0, P209/O209, 0),"-")</f>
        <v>-</v>
      </c>
      <c r="S209" s="18" t="s">
        <v>959</v>
      </c>
      <c r="T209" s="18" t="s">
        <v>959</v>
      </c>
      <c r="U209" s="18" t="s">
        <v>959</v>
      </c>
      <c r="V209" s="19" t="s">
        <v>959</v>
      </c>
      <c r="W209" s="19" t="s">
        <v>959</v>
      </c>
      <c r="X209" s="24">
        <f>RANK(F209,$F$209:$F$213,0)</f>
        <v>1</v>
      </c>
      <c r="Y209" s="3" t="str">
        <f>IF(OR(ISERROR(F209),F209="-",NOT(ISNUMBER(F209))),"● N/A",IF(ROUND(F209, 4) &gt;= ROUND($F$214, 4),"▲ Above Average","▼ Below Average"))</f>
        <v>▲ Above Average</v>
      </c>
    </row>
    <row r="210" spans="2:25" x14ac:dyDescent="0.2">
      <c r="B210" s="17" t="s">
        <v>20</v>
      </c>
      <c r="C210" s="18">
        <v>1252</v>
      </c>
      <c r="D210" s="19">
        <v>1185</v>
      </c>
      <c r="E210" s="18">
        <f>IF(OR(D210="-",D210="",D210=0),IF(C210="-","-",C210),C210-D210)</f>
        <v>67</v>
      </c>
      <c r="F210" s="20">
        <f>IFERROR(IF(C210&gt;0, D210/C210, 0),"-")</f>
        <v>0.94648562300319494</v>
      </c>
      <c r="G210" s="18">
        <v>11</v>
      </c>
      <c r="H210" s="19">
        <v>2</v>
      </c>
      <c r="I210" s="18">
        <f>IF(OR(H210="-",H210="",H210=0),IF(G210="-","-",G210),G210-H210)</f>
        <v>9</v>
      </c>
      <c r="J210" s="20">
        <f>IFERROR(IF(G210&gt;0, H210/G210, 0),"-")</f>
        <v>0.18181818181818182</v>
      </c>
      <c r="K210" s="18">
        <v>1</v>
      </c>
      <c r="L210" s="19" t="s">
        <v>959</v>
      </c>
      <c r="M210" s="18">
        <f>IF(OR(L210="-",L210="",L210=0),IF(K210="-","-",K210),K210-L210)</f>
        <v>1</v>
      </c>
      <c r="N210" s="20" t="str">
        <f>IFERROR(IF(K210&gt;0, L210/K210, 0),"-")</f>
        <v>-</v>
      </c>
      <c r="O210" s="18">
        <v>6</v>
      </c>
      <c r="P210" s="19">
        <v>2</v>
      </c>
      <c r="Q210" s="18">
        <f>IF(OR(P210="-",P210="",P210=0),IF(O210="-","-",O210),O210-P210)</f>
        <v>4</v>
      </c>
      <c r="R210" s="20">
        <f>IFERROR(IF(O210&gt;0, P210/O210, 0),"-")</f>
        <v>0.33333333333333331</v>
      </c>
      <c r="S210" s="18">
        <v>3</v>
      </c>
      <c r="T210" s="18" t="s">
        <v>959</v>
      </c>
      <c r="U210" s="18" t="s">
        <v>959</v>
      </c>
      <c r="V210" s="19" t="s">
        <v>959</v>
      </c>
      <c r="W210" s="19" t="s">
        <v>959</v>
      </c>
      <c r="X210" s="24">
        <f>RANK(F210,$F$209:$F$213,0)</f>
        <v>2</v>
      </c>
      <c r="Y210" s="3" t="str">
        <f>IF(OR(ISERROR(F210),F210="-",NOT(ISNUMBER(F210))),"● N/A",IF(ROUND(F210, 4) &gt;= ROUND($F$214, 4),"▲ Above Average","▼ Below Average"))</f>
        <v>▲ Above Average</v>
      </c>
    </row>
    <row r="211" spans="2:25" x14ac:dyDescent="0.2">
      <c r="B211" s="17" t="s">
        <v>0</v>
      </c>
      <c r="C211" s="18">
        <v>189</v>
      </c>
      <c r="D211" s="19">
        <v>178</v>
      </c>
      <c r="E211" s="18">
        <f>IF(OR(D211="-",D211="",D211=0),IF(C211="-","-",C211),C211-D211)</f>
        <v>11</v>
      </c>
      <c r="F211" s="20">
        <f>IFERROR(IF(C211&gt;0, D211/C211, 0),"-")</f>
        <v>0.94179894179894175</v>
      </c>
      <c r="G211" s="18">
        <v>2</v>
      </c>
      <c r="H211" s="19">
        <v>1</v>
      </c>
      <c r="I211" s="18">
        <f>IF(OR(H211="-",H211="",H211=0),IF(G211="-","-",G211),G211-H211)</f>
        <v>1</v>
      </c>
      <c r="J211" s="20">
        <f>IFERROR(IF(G211&gt;0, H211/G211, 0),"-")</f>
        <v>0.5</v>
      </c>
      <c r="K211" s="18">
        <v>1</v>
      </c>
      <c r="L211" s="19" t="s">
        <v>959</v>
      </c>
      <c r="M211" s="18">
        <f>IF(OR(L211="-",L211="",L211=0),IF(K211="-","-",K211),K211-L211)</f>
        <v>1</v>
      </c>
      <c r="N211" s="20" t="str">
        <f>IFERROR(IF(K211&gt;0, L211/K211, 0),"-")</f>
        <v>-</v>
      </c>
      <c r="O211" s="18" t="s">
        <v>959</v>
      </c>
      <c r="P211" s="19" t="s">
        <v>959</v>
      </c>
      <c r="Q211" s="18" t="str">
        <f>IF(OR(P211="-",P211="",P211=0),IF(O211="-","-",O211),O211-P211)</f>
        <v>-</v>
      </c>
      <c r="R211" s="20" t="str">
        <f>IFERROR(IF(O211&gt;0, P211/O211, 0),"-")</f>
        <v>-</v>
      </c>
      <c r="S211" s="18" t="s">
        <v>959</v>
      </c>
      <c r="T211" s="18" t="s">
        <v>959</v>
      </c>
      <c r="U211" s="18" t="s">
        <v>959</v>
      </c>
      <c r="V211" s="19" t="s">
        <v>959</v>
      </c>
      <c r="W211" s="19" t="s">
        <v>959</v>
      </c>
      <c r="X211" s="24">
        <f>RANK(F211,$F$209:$F$213,0)</f>
        <v>3</v>
      </c>
      <c r="Y211" s="3" t="str">
        <f>IF(OR(ISERROR(F211),F211="-",NOT(ISNUMBER(F211))),"● N/A",IF(ROUND(F211, 4) &gt;= ROUND($F$214, 4),"▲ Above Average","▼ Below Average"))</f>
        <v>▲ Above Average</v>
      </c>
    </row>
    <row r="212" spans="2:25" x14ac:dyDescent="0.2">
      <c r="B212" s="17" t="s">
        <v>7</v>
      </c>
      <c r="C212" s="18">
        <v>1043</v>
      </c>
      <c r="D212" s="19">
        <v>972</v>
      </c>
      <c r="E212" s="18">
        <f>IF(OR(D212="-",D212="",D212=0),IF(C212="-","-",C212),C212-D212)</f>
        <v>71</v>
      </c>
      <c r="F212" s="20">
        <f>IFERROR(IF(C212&gt;0, D212/C212, 0),"-")</f>
        <v>0.93192713326941512</v>
      </c>
      <c r="G212" s="18">
        <v>11</v>
      </c>
      <c r="H212" s="19">
        <v>1</v>
      </c>
      <c r="I212" s="18">
        <f>IF(OR(H212="-",H212="",H212=0),IF(G212="-","-",G212),G212-H212)</f>
        <v>10</v>
      </c>
      <c r="J212" s="20">
        <f>IFERROR(IF(G212&gt;0, H212/G212, 0),"-")</f>
        <v>9.0909090909090912E-2</v>
      </c>
      <c r="K212" s="18">
        <v>9</v>
      </c>
      <c r="L212" s="19">
        <v>1</v>
      </c>
      <c r="M212" s="18">
        <f>IF(OR(L212="-",L212="",L212=0),IF(K212="-","-",K212),K212-L212)</f>
        <v>8</v>
      </c>
      <c r="N212" s="20">
        <f>IFERROR(IF(K212&gt;0, L212/K212, 0),"-")</f>
        <v>0.1111111111111111</v>
      </c>
      <c r="O212" s="18" t="s">
        <v>959</v>
      </c>
      <c r="P212" s="19" t="s">
        <v>959</v>
      </c>
      <c r="Q212" s="18" t="str">
        <f>IF(OR(P212="-",P212="",P212=0),IF(O212="-","-",O212),O212-P212)</f>
        <v>-</v>
      </c>
      <c r="R212" s="20" t="str">
        <f>IFERROR(IF(O212&gt;0, P212/O212, 0),"-")</f>
        <v>-</v>
      </c>
      <c r="S212" s="18">
        <v>2</v>
      </c>
      <c r="T212" s="18" t="s">
        <v>959</v>
      </c>
      <c r="U212" s="18" t="s">
        <v>959</v>
      </c>
      <c r="V212" s="19" t="s">
        <v>959</v>
      </c>
      <c r="W212" s="19" t="s">
        <v>959</v>
      </c>
      <c r="X212" s="24">
        <f>RANK(F212,$F$209:$F$213,0)</f>
        <v>4</v>
      </c>
      <c r="Y212" s="3" t="str">
        <f>IF(OR(ISERROR(F212),F212="-",NOT(ISNUMBER(F212))),"● N/A",IF(ROUND(F212, 4) &gt;= ROUND($F$214, 4),"▲ Above Average","▼ Below Average"))</f>
        <v>▲ Above Average</v>
      </c>
    </row>
    <row r="213" spans="2:25" x14ac:dyDescent="0.2">
      <c r="B213" s="17" t="s">
        <v>1</v>
      </c>
      <c r="C213" s="18">
        <v>2055</v>
      </c>
      <c r="D213" s="19">
        <v>1783</v>
      </c>
      <c r="E213" s="18">
        <f>IF(OR(D213="-",D213="",D213=0),IF(C213="-","-",C213),C213-D213)</f>
        <v>272</v>
      </c>
      <c r="F213" s="20">
        <f>IFERROR(IF(C213&gt;0, D213/C213, 0),"-")</f>
        <v>0.86763990267639901</v>
      </c>
      <c r="G213" s="18">
        <v>104</v>
      </c>
      <c r="H213" s="19">
        <v>15</v>
      </c>
      <c r="I213" s="18">
        <f>IF(OR(H213="-",H213="",H213=0),IF(G213="-","-",G213),G213-H213)</f>
        <v>89</v>
      </c>
      <c r="J213" s="20">
        <f>IFERROR(IF(G213&gt;0, H213/G213, 0),"-")</f>
        <v>0.14423076923076922</v>
      </c>
      <c r="K213" s="18">
        <v>33</v>
      </c>
      <c r="L213" s="19">
        <v>2</v>
      </c>
      <c r="M213" s="18">
        <f>IF(OR(L213="-",L213="",L213=0),IF(K213="-","-",K213),K213-L213)</f>
        <v>31</v>
      </c>
      <c r="N213" s="20">
        <f>IFERROR(IF(K213&gt;0, L213/K213, 0),"-")</f>
        <v>6.0606060606060608E-2</v>
      </c>
      <c r="O213" s="18">
        <v>7</v>
      </c>
      <c r="P213" s="19">
        <v>3</v>
      </c>
      <c r="Q213" s="18">
        <f>IF(OR(P213="-",P213="",P213=0),IF(O213="-","-",O213),O213-P213)</f>
        <v>4</v>
      </c>
      <c r="R213" s="20">
        <f>IFERROR(IF(O213&gt;0, P213/O213, 0),"-")</f>
        <v>0.42857142857142855</v>
      </c>
      <c r="S213" s="18">
        <v>20</v>
      </c>
      <c r="T213" s="18">
        <v>4</v>
      </c>
      <c r="U213" s="18">
        <v>11770</v>
      </c>
      <c r="V213" s="19" t="s">
        <v>959</v>
      </c>
      <c r="W213" s="19" t="s">
        <v>959</v>
      </c>
      <c r="X213" s="24">
        <f>RANK(F213,$F$209:$F$213,0)</f>
        <v>5</v>
      </c>
      <c r="Y213" s="3" t="str">
        <f>IF(OR(ISERROR(F213),F213="-",NOT(ISNUMBER(F213))),"● N/A",IF(ROUND(F213, 4) &gt;= ROUND($F$214, 4),"▲ Above Average","▼ Below Average"))</f>
        <v>▼ Below Average</v>
      </c>
    </row>
    <row r="214" spans="2:25" x14ac:dyDescent="0.2">
      <c r="B214" s="15" t="s">
        <v>953</v>
      </c>
      <c r="C214" s="16">
        <f>SUM(C209:C213)</f>
        <v>4544</v>
      </c>
      <c r="D214" s="16">
        <f>SUM(D209:D213)</f>
        <v>4123</v>
      </c>
      <c r="E214" s="16">
        <f>C214-D214</f>
        <v>421</v>
      </c>
      <c r="F214" s="21">
        <f>IF(C214&gt;0, D214/C214, 0)</f>
        <v>0.90735035211267601</v>
      </c>
      <c r="G214" s="16">
        <f>SUM(G209:G213)</f>
        <v>128</v>
      </c>
      <c r="H214" s="16">
        <f>SUM(H209:H213)</f>
        <v>19</v>
      </c>
      <c r="I214" s="16">
        <f>G214-H214</f>
        <v>109</v>
      </c>
      <c r="J214" s="21">
        <f>IF(G214&gt;0, H214/G214, 0)</f>
        <v>0.1484375</v>
      </c>
      <c r="K214" s="16">
        <f>SUM(K209:K213)</f>
        <v>44</v>
      </c>
      <c r="L214" s="16">
        <f>SUM(L209:L213)</f>
        <v>3</v>
      </c>
      <c r="M214" s="16">
        <f>K214-L214</f>
        <v>41</v>
      </c>
      <c r="N214" s="21">
        <f>IF(K214&gt;0, L214/K214, 0)</f>
        <v>6.8181818181818177E-2</v>
      </c>
      <c r="O214" s="16">
        <f>SUM(O209:O213)</f>
        <v>13</v>
      </c>
      <c r="P214" s="16">
        <f>SUM(P209:P213)</f>
        <v>5</v>
      </c>
      <c r="Q214" s="16">
        <f>O214-P214</f>
        <v>8</v>
      </c>
      <c r="R214" s="21">
        <f>IF(O214&gt;0, P214/O214, 0)</f>
        <v>0.38461538461538464</v>
      </c>
      <c r="S214" s="16">
        <f>SUM(S209:S213)</f>
        <v>25</v>
      </c>
      <c r="T214" s="16">
        <f>SUM(T209:T213)</f>
        <v>4</v>
      </c>
      <c r="U214" s="16">
        <f>SUM(U209:U213)</f>
        <v>11770</v>
      </c>
      <c r="V214" s="16">
        <f>SUM(V209:V213)</f>
        <v>0</v>
      </c>
      <c r="W214" s="16">
        <f>SUM(W209:W213)</f>
        <v>0</v>
      </c>
      <c r="X214" s="25" t="s">
        <v>959</v>
      </c>
      <c r="Y214" s="25" t="s">
        <v>959</v>
      </c>
    </row>
    <row r="218" spans="2:25" ht="19" x14ac:dyDescent="0.25">
      <c r="B218" s="26" t="s">
        <v>980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20" spans="2:25" x14ac:dyDescent="0.2">
      <c r="B220" s="2" t="s">
        <v>1782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x14ac:dyDescent="0.2">
      <c r="B221" s="6" t="s">
        <v>958</v>
      </c>
      <c r="C221" s="2" t="s">
        <v>968</v>
      </c>
      <c r="D221" s="2"/>
      <c r="E221" s="2"/>
      <c r="F221" s="2"/>
      <c r="G221" s="2" t="s">
        <v>969</v>
      </c>
      <c r="H221" s="2"/>
      <c r="I221" s="2"/>
      <c r="J221" s="2"/>
      <c r="K221" s="2" t="s">
        <v>970</v>
      </c>
      <c r="L221" s="2"/>
      <c r="M221" s="2"/>
      <c r="N221" s="2"/>
      <c r="O221" s="2" t="s">
        <v>960</v>
      </c>
      <c r="P221" s="2"/>
      <c r="Q221" s="2"/>
      <c r="R221" s="2"/>
      <c r="S221" s="2" t="s">
        <v>951</v>
      </c>
      <c r="T221" s="2"/>
      <c r="U221" s="2"/>
      <c r="V221" s="2"/>
      <c r="W221" s="2"/>
      <c r="X221" s="7" t="s">
        <v>971</v>
      </c>
      <c r="Y221" s="7"/>
    </row>
    <row r="222" spans="2:25" x14ac:dyDescent="0.2">
      <c r="B222" s="6"/>
      <c r="C222" s="8" t="s">
        <v>961</v>
      </c>
      <c r="D222" s="9" t="s">
        <v>972</v>
      </c>
      <c r="E222" s="8" t="s">
        <v>955</v>
      </c>
      <c r="F222" s="10" t="s">
        <v>956</v>
      </c>
      <c r="G222" s="8" t="s">
        <v>961</v>
      </c>
      <c r="H222" s="9" t="s">
        <v>972</v>
      </c>
      <c r="I222" s="8" t="s">
        <v>973</v>
      </c>
      <c r="J222" s="10" t="s">
        <v>956</v>
      </c>
      <c r="K222" s="8" t="s">
        <v>961</v>
      </c>
      <c r="L222" s="9" t="s">
        <v>972</v>
      </c>
      <c r="M222" s="8" t="s">
        <v>973</v>
      </c>
      <c r="N222" s="10" t="s">
        <v>956</v>
      </c>
      <c r="O222" s="8" t="s">
        <v>961</v>
      </c>
      <c r="P222" s="9" t="s">
        <v>972</v>
      </c>
      <c r="Q222" s="8" t="s">
        <v>973</v>
      </c>
      <c r="R222" s="10" t="s">
        <v>956</v>
      </c>
      <c r="S222" s="8" t="s">
        <v>961</v>
      </c>
      <c r="T222" s="2" t="s">
        <v>962</v>
      </c>
      <c r="U222" s="2"/>
      <c r="V222" s="2" t="s">
        <v>963</v>
      </c>
      <c r="W222" s="2"/>
      <c r="X222" s="22" t="s">
        <v>974</v>
      </c>
      <c r="Y222" s="23" t="s">
        <v>975</v>
      </c>
    </row>
    <row r="223" spans="2:25" x14ac:dyDescent="0.2">
      <c r="C223" s="8"/>
      <c r="D223" s="9"/>
      <c r="E223" s="8"/>
      <c r="F223" s="10"/>
      <c r="G223" s="8"/>
      <c r="H223" s="9"/>
      <c r="I223" s="8"/>
      <c r="J223" s="10"/>
      <c r="K223" s="8"/>
      <c r="L223" s="9"/>
      <c r="M223" s="8"/>
      <c r="N223" s="10"/>
      <c r="O223" s="8"/>
      <c r="P223" s="9"/>
      <c r="Q223" s="8"/>
      <c r="R223" s="10"/>
      <c r="S223" s="8"/>
      <c r="T223" s="11" t="s">
        <v>964</v>
      </c>
      <c r="U223" s="11" t="s">
        <v>965</v>
      </c>
      <c r="V223" s="11" t="s">
        <v>964</v>
      </c>
      <c r="W223" s="11" t="s">
        <v>965</v>
      </c>
      <c r="X223" s="12"/>
      <c r="Y223" s="13"/>
    </row>
    <row r="224" spans="2:25" x14ac:dyDescent="0.2">
      <c r="B224" s="17" t="s">
        <v>2</v>
      </c>
      <c r="C224" s="18">
        <v>1</v>
      </c>
      <c r="D224" s="19">
        <v>1</v>
      </c>
      <c r="E224" s="18">
        <f>IF(OR(D224="-",D224="",D224=0),IF(C224="-","-",C224),C224-D224)</f>
        <v>0</v>
      </c>
      <c r="F224" s="20">
        <f>IFERROR(IF(C224&gt;0, D224/C224, 0),"-")</f>
        <v>1</v>
      </c>
      <c r="G224" s="18" t="s">
        <v>959</v>
      </c>
      <c r="H224" s="19" t="s">
        <v>959</v>
      </c>
      <c r="I224" s="18" t="str">
        <f>IF(OR(H224="-",H224="",H224=0),IF(G224="-","-",G224),G224-H224)</f>
        <v>-</v>
      </c>
      <c r="J224" s="20" t="str">
        <f>IFERROR(IF(G224&gt;0, H224/G224, 0),"-")</f>
        <v>-</v>
      </c>
      <c r="K224" s="18" t="s">
        <v>959</v>
      </c>
      <c r="L224" s="19" t="s">
        <v>959</v>
      </c>
      <c r="M224" s="18" t="str">
        <f>IF(OR(L224="-",L224="",L224=0),IF(K224="-","-",K224),K224-L224)</f>
        <v>-</v>
      </c>
      <c r="N224" s="20" t="str">
        <f>IFERROR(IF(K224&gt;0, L224/K224, 0),"-")</f>
        <v>-</v>
      </c>
      <c r="O224" s="18" t="s">
        <v>959</v>
      </c>
      <c r="P224" s="19" t="s">
        <v>959</v>
      </c>
      <c r="Q224" s="18" t="str">
        <f>IF(OR(P224="-",P224="",P224=0),IF(O224="-","-",O224),O224-P224)</f>
        <v>-</v>
      </c>
      <c r="R224" s="20" t="str">
        <f>IFERROR(IF(O224&gt;0, P224/O224, 0),"-")</f>
        <v>-</v>
      </c>
      <c r="S224" s="18" t="s">
        <v>959</v>
      </c>
      <c r="T224" s="18" t="s">
        <v>959</v>
      </c>
      <c r="U224" s="18" t="s">
        <v>959</v>
      </c>
      <c r="V224" s="19" t="s">
        <v>959</v>
      </c>
      <c r="W224" s="19" t="s">
        <v>959</v>
      </c>
      <c r="X224" s="24">
        <f>RANK(F224,$F$224:$F$228,0)</f>
        <v>1</v>
      </c>
      <c r="Y224" s="3" t="str">
        <f>IF(OR(ISERROR(F224),F224="-",NOT(ISNUMBER(F224))),"● N/A",IF(ROUND(F224, 4) &gt;= ROUND($F$229, 4),"▲ Above Average","▼ Below Average"))</f>
        <v>▲ Above Average</v>
      </c>
    </row>
    <row r="225" spans="1:25" x14ac:dyDescent="0.2">
      <c r="B225" s="17" t="s">
        <v>0</v>
      </c>
      <c r="C225" s="18">
        <v>1</v>
      </c>
      <c r="D225" s="19">
        <v>1</v>
      </c>
      <c r="E225" s="18">
        <f>IF(OR(D225="-",D225="",D225=0),IF(C225="-","-",C225),C225-D225)</f>
        <v>0</v>
      </c>
      <c r="F225" s="20">
        <f>IFERROR(IF(C225&gt;0, D225/C225, 0),"-")</f>
        <v>1</v>
      </c>
      <c r="G225" s="18" t="s">
        <v>959</v>
      </c>
      <c r="H225" s="19" t="s">
        <v>959</v>
      </c>
      <c r="I225" s="18" t="str">
        <f>IF(OR(H225="-",H225="",H225=0),IF(G225="-","-",G225),G225-H225)</f>
        <v>-</v>
      </c>
      <c r="J225" s="20" t="str">
        <f>IFERROR(IF(G225&gt;0, H225/G225, 0),"-")</f>
        <v>-</v>
      </c>
      <c r="K225" s="18" t="s">
        <v>959</v>
      </c>
      <c r="L225" s="19" t="s">
        <v>959</v>
      </c>
      <c r="M225" s="18" t="str">
        <f>IF(OR(L225="-",L225="",L225=0),IF(K225="-","-",K225),K225-L225)</f>
        <v>-</v>
      </c>
      <c r="N225" s="20" t="str">
        <f>IFERROR(IF(K225&gt;0, L225/K225, 0),"-")</f>
        <v>-</v>
      </c>
      <c r="O225" s="18" t="s">
        <v>959</v>
      </c>
      <c r="P225" s="19" t="s">
        <v>959</v>
      </c>
      <c r="Q225" s="18" t="str">
        <f>IF(OR(P225="-",P225="",P225=0),IF(O225="-","-",O225),O225-P225)</f>
        <v>-</v>
      </c>
      <c r="R225" s="20" t="str">
        <f>IFERROR(IF(O225&gt;0, P225/O225, 0),"-")</f>
        <v>-</v>
      </c>
      <c r="S225" s="18" t="s">
        <v>959</v>
      </c>
      <c r="T225" s="18" t="s">
        <v>959</v>
      </c>
      <c r="U225" s="18" t="s">
        <v>959</v>
      </c>
      <c r="V225" s="19" t="s">
        <v>959</v>
      </c>
      <c r="W225" s="19" t="s">
        <v>959</v>
      </c>
      <c r="X225" s="24">
        <f>RANK(F225,$F$224:$F$228,0)</f>
        <v>1</v>
      </c>
      <c r="Y225" s="3" t="str">
        <f>IF(OR(ISERROR(F225),F225="-",NOT(ISNUMBER(F225))),"● N/A",IF(ROUND(F225, 4) &gt;= ROUND($F$229, 4),"▲ Above Average","▼ Below Average"))</f>
        <v>▲ Above Average</v>
      </c>
    </row>
    <row r="226" spans="1:25" x14ac:dyDescent="0.2">
      <c r="B226" s="17" t="s">
        <v>7</v>
      </c>
      <c r="C226" s="18">
        <v>300</v>
      </c>
      <c r="D226" s="19">
        <v>283</v>
      </c>
      <c r="E226" s="18">
        <f>IF(OR(D226="-",D226="",D226=0),IF(C226="-","-",C226),C226-D226)</f>
        <v>17</v>
      </c>
      <c r="F226" s="20">
        <f>IFERROR(IF(C226&gt;0, D226/C226, 0),"-")</f>
        <v>0.94333333333333336</v>
      </c>
      <c r="G226" s="18">
        <v>9</v>
      </c>
      <c r="H226" s="19">
        <v>1</v>
      </c>
      <c r="I226" s="18">
        <f>IF(OR(H226="-",H226="",H226=0),IF(G226="-","-",G226),G226-H226)</f>
        <v>8</v>
      </c>
      <c r="J226" s="20">
        <f>IFERROR(IF(G226&gt;0, H226/G226, 0),"-")</f>
        <v>0.1111111111111111</v>
      </c>
      <c r="K226" s="18">
        <v>8</v>
      </c>
      <c r="L226" s="19" t="s">
        <v>959</v>
      </c>
      <c r="M226" s="18">
        <f>IF(OR(L226="-",L226="",L226=0),IF(K226="-","-",K226),K226-L226)</f>
        <v>8</v>
      </c>
      <c r="N226" s="20" t="str">
        <f>IFERROR(IF(K226&gt;0, L226/K226, 0),"-")</f>
        <v>-</v>
      </c>
      <c r="O226" s="18">
        <v>10</v>
      </c>
      <c r="P226" s="19" t="s">
        <v>959</v>
      </c>
      <c r="Q226" s="18">
        <f>IF(OR(P226="-",P226="",P226=0),IF(O226="-","-",O226),O226-P226)</f>
        <v>10</v>
      </c>
      <c r="R226" s="20" t="str">
        <f>IFERROR(IF(O226&gt;0, P226/O226, 0),"-")</f>
        <v>-</v>
      </c>
      <c r="S226" s="18">
        <v>9</v>
      </c>
      <c r="T226" s="18">
        <v>1</v>
      </c>
      <c r="U226" s="18">
        <v>32640</v>
      </c>
      <c r="V226" s="19" t="s">
        <v>959</v>
      </c>
      <c r="W226" s="19" t="s">
        <v>959</v>
      </c>
      <c r="X226" s="24">
        <f>RANK(F226,$F$224:$F$228,0)</f>
        <v>3</v>
      </c>
      <c r="Y226" s="3" t="str">
        <f>IF(OR(ISERROR(F226),F226="-",NOT(ISNUMBER(F226))),"● N/A",IF(ROUND(F226, 4) &gt;= ROUND($F$229, 4),"▲ Above Average","▼ Below Average"))</f>
        <v>▲ Above Average</v>
      </c>
    </row>
    <row r="227" spans="1:25" x14ac:dyDescent="0.2">
      <c r="B227" s="17" t="s">
        <v>1</v>
      </c>
      <c r="C227" s="18">
        <v>655</v>
      </c>
      <c r="D227" s="19">
        <v>617</v>
      </c>
      <c r="E227" s="18">
        <f>IF(OR(D227="-",D227="",D227=0),IF(C227="-","-",C227),C227-D227)</f>
        <v>38</v>
      </c>
      <c r="F227" s="20">
        <f>IFERROR(IF(C227&gt;0, D227/C227, 0),"-")</f>
        <v>0.94198473282442752</v>
      </c>
      <c r="G227" s="18">
        <v>28</v>
      </c>
      <c r="H227" s="19">
        <v>11</v>
      </c>
      <c r="I227" s="18">
        <f>IF(OR(H227="-",H227="",H227=0),IF(G227="-","-",G227),G227-H227)</f>
        <v>17</v>
      </c>
      <c r="J227" s="20">
        <f>IFERROR(IF(G227&gt;0, H227/G227, 0),"-")</f>
        <v>0.39285714285714285</v>
      </c>
      <c r="K227" s="18">
        <v>26</v>
      </c>
      <c r="L227" s="19">
        <v>5</v>
      </c>
      <c r="M227" s="18">
        <f>IF(OR(L227="-",L227="",L227=0),IF(K227="-","-",K227),K227-L227)</f>
        <v>21</v>
      </c>
      <c r="N227" s="20">
        <f>IFERROR(IF(K227&gt;0, L227/K227, 0),"-")</f>
        <v>0.19230769230769232</v>
      </c>
      <c r="O227" s="18">
        <v>23</v>
      </c>
      <c r="P227" s="19" t="s">
        <v>959</v>
      </c>
      <c r="Q227" s="18">
        <f>IF(OR(P227="-",P227="",P227=0),IF(O227="-","-",O227),O227-P227)</f>
        <v>23</v>
      </c>
      <c r="R227" s="20" t="str">
        <f>IFERROR(IF(O227&gt;0, P227/O227, 0),"-")</f>
        <v>-</v>
      </c>
      <c r="S227" s="18">
        <v>37</v>
      </c>
      <c r="T227" s="18">
        <v>1</v>
      </c>
      <c r="U227" s="18">
        <v>5710</v>
      </c>
      <c r="V227" s="19" t="s">
        <v>959</v>
      </c>
      <c r="W227" s="19" t="s">
        <v>959</v>
      </c>
      <c r="X227" s="24">
        <f>RANK(F227,$F$224:$F$228,0)</f>
        <v>4</v>
      </c>
      <c r="Y227" s="3" t="str">
        <f>IF(OR(ISERROR(F227),F227="-",NOT(ISNUMBER(F227))),"● N/A",IF(ROUND(F227, 4) &gt;= ROUND($F$229, 4),"▲ Above Average","▼ Below Average"))</f>
        <v>▲ Above Average</v>
      </c>
    </row>
    <row r="228" spans="1:25" x14ac:dyDescent="0.2">
      <c r="B228" s="17" t="s">
        <v>20</v>
      </c>
      <c r="C228" s="18">
        <v>1081</v>
      </c>
      <c r="D228" s="19">
        <v>1015</v>
      </c>
      <c r="E228" s="18">
        <f>IF(OR(D228="-",D228="",D228=0),IF(C228="-","-",C228),C228-D228)</f>
        <v>66</v>
      </c>
      <c r="F228" s="20">
        <f>IFERROR(IF(C228&gt;0, D228/C228, 0),"-")</f>
        <v>0.93894542090656796</v>
      </c>
      <c r="G228" s="18">
        <v>25</v>
      </c>
      <c r="H228" s="19">
        <v>5</v>
      </c>
      <c r="I228" s="18">
        <f>IF(OR(H228="-",H228="",H228=0),IF(G228="-","-",G228),G228-H228)</f>
        <v>20</v>
      </c>
      <c r="J228" s="20">
        <f>IFERROR(IF(G228&gt;0, H228/G228, 0),"-")</f>
        <v>0.2</v>
      </c>
      <c r="K228" s="18">
        <v>10</v>
      </c>
      <c r="L228" s="19">
        <v>1</v>
      </c>
      <c r="M228" s="18">
        <f>IF(OR(L228="-",L228="",L228=0),IF(K228="-","-",K228),K228-L228)</f>
        <v>9</v>
      </c>
      <c r="N228" s="20">
        <f>IFERROR(IF(K228&gt;0, L228/K228, 0),"-")</f>
        <v>0.1</v>
      </c>
      <c r="O228" s="18">
        <v>25</v>
      </c>
      <c r="P228" s="19">
        <v>1</v>
      </c>
      <c r="Q228" s="18">
        <f>IF(OR(P228="-",P228="",P228=0),IF(O228="-","-",O228),O228-P228)</f>
        <v>24</v>
      </c>
      <c r="R228" s="20">
        <f>IFERROR(IF(O228&gt;0, P228/O228, 0),"-")</f>
        <v>0.04</v>
      </c>
      <c r="S228" s="18">
        <v>33</v>
      </c>
      <c r="T228" s="18" t="s">
        <v>959</v>
      </c>
      <c r="U228" s="18" t="s">
        <v>959</v>
      </c>
      <c r="V228" s="19" t="s">
        <v>959</v>
      </c>
      <c r="W228" s="19" t="s">
        <v>959</v>
      </c>
      <c r="X228" s="24">
        <f>RANK(F228,$F$224:$F$228,0)</f>
        <v>5</v>
      </c>
      <c r="Y228" s="3" t="str">
        <f>IF(OR(ISERROR(F228),F228="-",NOT(ISNUMBER(F228))),"● N/A",IF(ROUND(F228, 4) &gt;= ROUND($F$229, 4),"▲ Above Average","▼ Below Average"))</f>
        <v>▼ Below Average</v>
      </c>
    </row>
    <row r="229" spans="1:25" x14ac:dyDescent="0.2">
      <c r="B229" s="15" t="s">
        <v>953</v>
      </c>
      <c r="C229" s="16">
        <f>SUM(C224:C228)</f>
        <v>2038</v>
      </c>
      <c r="D229" s="16">
        <f>SUM(D224:D228)</f>
        <v>1917</v>
      </c>
      <c r="E229" s="16">
        <f>C229-D229</f>
        <v>121</v>
      </c>
      <c r="F229" s="21">
        <f>IF(C229&gt;0, D229/C229, 0)</f>
        <v>0.94062806673209032</v>
      </c>
      <c r="G229" s="16">
        <f>SUM(G224:G228)</f>
        <v>62</v>
      </c>
      <c r="H229" s="16">
        <f>SUM(H224:H228)</f>
        <v>17</v>
      </c>
      <c r="I229" s="16">
        <f>G229-H229</f>
        <v>45</v>
      </c>
      <c r="J229" s="21">
        <f>IF(G229&gt;0, H229/G229, 0)</f>
        <v>0.27419354838709675</v>
      </c>
      <c r="K229" s="16">
        <f>SUM(K224:K228)</f>
        <v>44</v>
      </c>
      <c r="L229" s="16">
        <f>SUM(L224:L228)</f>
        <v>6</v>
      </c>
      <c r="M229" s="16">
        <f>K229-L229</f>
        <v>38</v>
      </c>
      <c r="N229" s="21">
        <f>IF(K229&gt;0, L229/K229, 0)</f>
        <v>0.13636363636363635</v>
      </c>
      <c r="O229" s="16">
        <f>SUM(O224:O228)</f>
        <v>58</v>
      </c>
      <c r="P229" s="16">
        <f>SUM(P224:P228)</f>
        <v>1</v>
      </c>
      <c r="Q229" s="16">
        <f>O229-P229</f>
        <v>57</v>
      </c>
      <c r="R229" s="21">
        <f>IF(O229&gt;0, P229/O229, 0)</f>
        <v>1.7241379310344827E-2</v>
      </c>
      <c r="S229" s="16">
        <f>SUM(S224:S228)</f>
        <v>79</v>
      </c>
      <c r="T229" s="16">
        <f>SUM(T224:T228)</f>
        <v>2</v>
      </c>
      <c r="U229" s="16">
        <f>SUM(U224:U228)</f>
        <v>38350</v>
      </c>
      <c r="V229" s="16">
        <f>SUM(V224:V228)</f>
        <v>0</v>
      </c>
      <c r="W229" s="16">
        <f>SUM(W224:W228)</f>
        <v>0</v>
      </c>
      <c r="X229" s="25" t="s">
        <v>959</v>
      </c>
      <c r="Y229" s="25" t="s">
        <v>959</v>
      </c>
    </row>
    <row r="233" spans="1:25" ht="19" x14ac:dyDescent="0.25">
      <c r="A233" s="26" t="s">
        <v>981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5" spans="1:25" x14ac:dyDescent="0.2">
      <c r="A235" s="2" t="s">
        <v>1785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5" x14ac:dyDescent="0.2">
      <c r="A236" s="6" t="s">
        <v>983</v>
      </c>
      <c r="B236" s="6" t="s">
        <v>984</v>
      </c>
      <c r="C236" s="2" t="s">
        <v>968</v>
      </c>
      <c r="D236" s="2"/>
      <c r="E236" s="2"/>
      <c r="F236" s="2"/>
      <c r="G236" s="2" t="s">
        <v>969</v>
      </c>
      <c r="H236" s="2"/>
      <c r="I236" s="2"/>
      <c r="J236" s="2"/>
      <c r="K236" s="2" t="s">
        <v>970</v>
      </c>
      <c r="L236" s="2"/>
      <c r="M236" s="2"/>
      <c r="N236" s="2"/>
      <c r="O236" s="2" t="s">
        <v>960</v>
      </c>
      <c r="P236" s="2"/>
      <c r="Q236" s="2"/>
      <c r="R236" s="2"/>
      <c r="S236" s="2" t="s">
        <v>951</v>
      </c>
      <c r="T236" s="2"/>
      <c r="U236" s="2"/>
      <c r="V236" s="2"/>
      <c r="W236" s="2"/>
    </row>
    <row r="237" spans="1:25" x14ac:dyDescent="0.2">
      <c r="A237" s="6"/>
      <c r="B237" s="6"/>
      <c r="C237" s="8" t="s">
        <v>961</v>
      </c>
      <c r="D237" s="9" t="s">
        <v>972</v>
      </c>
      <c r="E237" s="8" t="s">
        <v>955</v>
      </c>
      <c r="F237" s="10" t="s">
        <v>956</v>
      </c>
      <c r="G237" s="8" t="s">
        <v>961</v>
      </c>
      <c r="H237" s="9" t="s">
        <v>972</v>
      </c>
      <c r="I237" s="8" t="s">
        <v>973</v>
      </c>
      <c r="J237" s="10" t="s">
        <v>956</v>
      </c>
      <c r="K237" s="8" t="s">
        <v>961</v>
      </c>
      <c r="L237" s="9" t="s">
        <v>972</v>
      </c>
      <c r="M237" s="8" t="s">
        <v>973</v>
      </c>
      <c r="N237" s="10" t="s">
        <v>956</v>
      </c>
      <c r="O237" s="8" t="s">
        <v>961</v>
      </c>
      <c r="P237" s="9" t="s">
        <v>972</v>
      </c>
      <c r="Q237" s="8" t="s">
        <v>973</v>
      </c>
      <c r="R237" s="10" t="s">
        <v>956</v>
      </c>
      <c r="S237" s="8" t="s">
        <v>961</v>
      </c>
      <c r="T237" s="2" t="s">
        <v>962</v>
      </c>
      <c r="U237" s="2"/>
      <c r="V237" s="2" t="s">
        <v>963</v>
      </c>
      <c r="W237" s="2"/>
    </row>
    <row r="238" spans="1:25" x14ac:dyDescent="0.2">
      <c r="A238" s="6"/>
      <c r="C238" s="8"/>
      <c r="D238" s="9"/>
      <c r="E238" s="8"/>
      <c r="F238" s="10"/>
      <c r="G238" s="8"/>
      <c r="H238" s="9"/>
      <c r="I238" s="8"/>
      <c r="J238" s="10"/>
      <c r="K238" s="8"/>
      <c r="L238" s="9"/>
      <c r="M238" s="8"/>
      <c r="N238" s="10"/>
      <c r="O238" s="8"/>
      <c r="P238" s="9"/>
      <c r="Q238" s="8"/>
      <c r="R238" s="10"/>
      <c r="S238" s="8"/>
      <c r="T238" s="11" t="s">
        <v>964</v>
      </c>
      <c r="U238" s="11" t="s">
        <v>965</v>
      </c>
      <c r="V238" s="11" t="s">
        <v>964</v>
      </c>
      <c r="W238" s="11" t="s">
        <v>965</v>
      </c>
    </row>
    <row r="239" spans="1:25" x14ac:dyDescent="0.2">
      <c r="A239" s="29"/>
      <c r="B239" s="29" t="s">
        <v>68</v>
      </c>
      <c r="C239" s="32">
        <v>281</v>
      </c>
      <c r="D239" s="32">
        <v>276</v>
      </c>
      <c r="E239" s="32">
        <f>IF(OR(D239="-",D239="",D239=0),IF(C239="-","-",C239),C239-D239)</f>
        <v>5</v>
      </c>
      <c r="F239" s="36">
        <f>IFERROR(IF(C239&gt;0, D239/C239, 0),"-")</f>
        <v>0.98220640569395012</v>
      </c>
      <c r="G239" s="32" t="s">
        <v>959</v>
      </c>
      <c r="H239" s="32" t="s">
        <v>959</v>
      </c>
      <c r="I239" s="32" t="str">
        <f>IF(OR(H239="-",H239="",H239=0),IF(G239="-","-",G239),G239-H239)</f>
        <v>-</v>
      </c>
      <c r="J239" s="36" t="str">
        <f>IFERROR(IF(G239&gt;0, H239/G239, 0),"-")</f>
        <v>-</v>
      </c>
      <c r="K239" s="32">
        <v>3</v>
      </c>
      <c r="L239" s="32">
        <v>1</v>
      </c>
      <c r="M239" s="32">
        <f>IF(OR(L239="-",L239="",L239=0),IF(K239="-","-",K239),K239-L239)</f>
        <v>2</v>
      </c>
      <c r="N239" s="36">
        <f>IFERROR(IF(K239&gt;0, L239/K239, 0),"-")</f>
        <v>0.33333333333333331</v>
      </c>
      <c r="O239" s="32">
        <v>3</v>
      </c>
      <c r="P239" s="32" t="s">
        <v>959</v>
      </c>
      <c r="Q239" s="32">
        <f>IF(OR(P239="-",P239="",P239=0),IF(O239="-","-",O239),O239-P239)</f>
        <v>3</v>
      </c>
      <c r="R239" s="36" t="str">
        <f>IFERROR(IF(O239&gt;0, P239/O239, 0),"-")</f>
        <v>-</v>
      </c>
      <c r="S239" s="32">
        <v>8</v>
      </c>
      <c r="T239" s="32" t="s">
        <v>959</v>
      </c>
      <c r="U239" s="32" t="s">
        <v>959</v>
      </c>
      <c r="V239" s="32" t="s">
        <v>959</v>
      </c>
      <c r="W239" s="32" t="s">
        <v>959</v>
      </c>
    </row>
    <row r="240" spans="1:25" x14ac:dyDescent="0.2">
      <c r="A240" s="30" t="s">
        <v>455</v>
      </c>
      <c r="B240" s="30" t="s">
        <v>985</v>
      </c>
      <c r="C240" s="34" t="s">
        <v>959</v>
      </c>
      <c r="D240" s="35" t="s">
        <v>959</v>
      </c>
      <c r="E240" s="34" t="str">
        <f>IF(OR(D240="-",D240="",D240=0),IF(C240="-","-",C240),C240-D240)</f>
        <v>-</v>
      </c>
      <c r="F240" s="4" t="str">
        <f>IFERROR(IF(C240&gt;0, D240/C240, 0),"-")</f>
        <v>-</v>
      </c>
      <c r="G240" s="34" t="s">
        <v>959</v>
      </c>
      <c r="H240" s="35" t="s">
        <v>959</v>
      </c>
      <c r="I240" s="34" t="str">
        <f>IF(OR(H240="-",H240="",H240=0),IF(G240="-","-",G240),G240-H240)</f>
        <v>-</v>
      </c>
      <c r="J240" s="4" t="str">
        <f>IFERROR(IF(G240&gt;0, H240/G240, 0),"-")</f>
        <v>-</v>
      </c>
      <c r="K240" s="34" t="s">
        <v>959</v>
      </c>
      <c r="L240" s="35" t="s">
        <v>959</v>
      </c>
      <c r="M240" s="34" t="str">
        <f>IF(OR(L240="-",L240="",L240=0),IF(K240="-","-",K240),K240-L240)</f>
        <v>-</v>
      </c>
      <c r="N240" s="4" t="str">
        <f>IFERROR(IF(K240&gt;0, L240/K240, 0),"-")</f>
        <v>-</v>
      </c>
      <c r="O240" s="34" t="s">
        <v>959</v>
      </c>
      <c r="P240" s="35" t="s">
        <v>959</v>
      </c>
      <c r="Q240" s="34" t="str">
        <f>IF(OR(P240="-",P240="",P240=0),IF(O240="-","-",O240),O240-P240)</f>
        <v>-</v>
      </c>
      <c r="R240" s="4" t="str">
        <f>IFERROR(IF(O240&gt;0, P240/O240, 0),"-")</f>
        <v>-</v>
      </c>
      <c r="S240" s="34" t="s">
        <v>959</v>
      </c>
      <c r="T240" s="34" t="s">
        <v>959</v>
      </c>
      <c r="U240" s="34" t="s">
        <v>959</v>
      </c>
      <c r="V240" s="35" t="s">
        <v>959</v>
      </c>
      <c r="W240" s="35" t="s">
        <v>959</v>
      </c>
    </row>
    <row r="241" spans="1:23" x14ac:dyDescent="0.2">
      <c r="A241" s="30" t="s">
        <v>453</v>
      </c>
      <c r="B241" s="30" t="s">
        <v>986</v>
      </c>
      <c r="C241" s="34">
        <v>40</v>
      </c>
      <c r="D241" s="35">
        <v>37</v>
      </c>
      <c r="E241" s="34">
        <f>IF(OR(D241="-",D241="",D241=0),IF(C241="-","-",C241),C241-D241)</f>
        <v>3</v>
      </c>
      <c r="F241" s="4">
        <f>IFERROR(IF(C241&gt;0, D241/C241, 0),"-")</f>
        <v>0.92500000000000004</v>
      </c>
      <c r="G241" s="34" t="s">
        <v>959</v>
      </c>
      <c r="H241" s="35" t="s">
        <v>959</v>
      </c>
      <c r="I241" s="34" t="str">
        <f>IF(OR(H241="-",H241="",H241=0),IF(G241="-","-",G241),G241-H241)</f>
        <v>-</v>
      </c>
      <c r="J241" s="4" t="str">
        <f>IFERROR(IF(G241&gt;0, H241/G241, 0),"-")</f>
        <v>-</v>
      </c>
      <c r="K241" s="34">
        <v>2</v>
      </c>
      <c r="L241" s="35">
        <v>1</v>
      </c>
      <c r="M241" s="34">
        <f>IF(OR(L241="-",L241="",L241=0),IF(K241="-","-",K241),K241-L241)</f>
        <v>1</v>
      </c>
      <c r="N241" s="4">
        <f>IFERROR(IF(K241&gt;0, L241/K241, 0),"-")</f>
        <v>0.5</v>
      </c>
      <c r="O241" s="34" t="s">
        <v>959</v>
      </c>
      <c r="P241" s="35" t="s">
        <v>959</v>
      </c>
      <c r="Q241" s="34" t="str">
        <f>IF(OR(P241="-",P241="",P241=0),IF(O241="-","-",O241),O241-P241)</f>
        <v>-</v>
      </c>
      <c r="R241" s="4" t="str">
        <f>IFERROR(IF(O241&gt;0, P241/O241, 0),"-")</f>
        <v>-</v>
      </c>
      <c r="S241" s="34" t="s">
        <v>959</v>
      </c>
      <c r="T241" s="34" t="s">
        <v>959</v>
      </c>
      <c r="U241" s="34" t="s">
        <v>959</v>
      </c>
      <c r="V241" s="35" t="s">
        <v>959</v>
      </c>
      <c r="W241" s="35" t="s">
        <v>959</v>
      </c>
    </row>
    <row r="242" spans="1:23" x14ac:dyDescent="0.2">
      <c r="A242" s="30" t="s">
        <v>451</v>
      </c>
      <c r="B242" s="30" t="s">
        <v>987</v>
      </c>
      <c r="C242" s="34">
        <v>49</v>
      </c>
      <c r="D242" s="35">
        <v>49</v>
      </c>
      <c r="E242" s="34">
        <f>IF(OR(D242="-",D242="",D242=0),IF(C242="-","-",C242),C242-D242)</f>
        <v>0</v>
      </c>
      <c r="F242" s="4">
        <f>IFERROR(IF(C242&gt;0, D242/C242, 0),"-")</f>
        <v>1</v>
      </c>
      <c r="G242" s="34" t="s">
        <v>959</v>
      </c>
      <c r="H242" s="35" t="s">
        <v>959</v>
      </c>
      <c r="I242" s="34" t="str">
        <f>IF(OR(H242="-",H242="",H242=0),IF(G242="-","-",G242),G242-H242)</f>
        <v>-</v>
      </c>
      <c r="J242" s="4" t="str">
        <f>IFERROR(IF(G242&gt;0, H242/G242, 0),"-")</f>
        <v>-</v>
      </c>
      <c r="K242" s="34" t="s">
        <v>959</v>
      </c>
      <c r="L242" s="35" t="s">
        <v>959</v>
      </c>
      <c r="M242" s="34" t="str">
        <f>IF(OR(L242="-",L242="",L242=0),IF(K242="-","-",K242),K242-L242)</f>
        <v>-</v>
      </c>
      <c r="N242" s="4" t="str">
        <f>IFERROR(IF(K242&gt;0, L242/K242, 0),"-")</f>
        <v>-</v>
      </c>
      <c r="O242" s="34" t="s">
        <v>959</v>
      </c>
      <c r="P242" s="35" t="s">
        <v>959</v>
      </c>
      <c r="Q242" s="34" t="str">
        <f>IF(OR(P242="-",P242="",P242=0),IF(O242="-","-",O242),O242-P242)</f>
        <v>-</v>
      </c>
      <c r="R242" s="4" t="str">
        <f>IFERROR(IF(O242&gt;0, P242/O242, 0),"-")</f>
        <v>-</v>
      </c>
      <c r="S242" s="34" t="s">
        <v>959</v>
      </c>
      <c r="T242" s="34" t="s">
        <v>959</v>
      </c>
      <c r="U242" s="34" t="s">
        <v>959</v>
      </c>
      <c r="V242" s="35" t="s">
        <v>959</v>
      </c>
      <c r="W242" s="35" t="s">
        <v>959</v>
      </c>
    </row>
    <row r="243" spans="1:23" x14ac:dyDescent="0.2">
      <c r="A243" s="30" t="s">
        <v>449</v>
      </c>
      <c r="B243" s="30" t="s">
        <v>988</v>
      </c>
      <c r="C243" s="34">
        <v>62</v>
      </c>
      <c r="D243" s="35">
        <v>60</v>
      </c>
      <c r="E243" s="34">
        <f>IF(OR(D243="-",D243="",D243=0),IF(C243="-","-",C243),C243-D243)</f>
        <v>2</v>
      </c>
      <c r="F243" s="4">
        <f>IFERROR(IF(C243&gt;0, D243/C243, 0),"-")</f>
        <v>0.967741935483871</v>
      </c>
      <c r="G243" s="34" t="s">
        <v>959</v>
      </c>
      <c r="H243" s="35" t="s">
        <v>959</v>
      </c>
      <c r="I243" s="34" t="str">
        <f>IF(OR(H243="-",H243="",H243=0),IF(G243="-","-",G243),G243-H243)</f>
        <v>-</v>
      </c>
      <c r="J243" s="4" t="str">
        <f>IFERROR(IF(G243&gt;0, H243/G243, 0),"-")</f>
        <v>-</v>
      </c>
      <c r="K243" s="34" t="s">
        <v>959</v>
      </c>
      <c r="L243" s="35" t="s">
        <v>959</v>
      </c>
      <c r="M243" s="34" t="str">
        <f>IF(OR(L243="-",L243="",L243=0),IF(K243="-","-",K243),K243-L243)</f>
        <v>-</v>
      </c>
      <c r="N243" s="4" t="str">
        <f>IFERROR(IF(K243&gt;0, L243/K243, 0),"-")</f>
        <v>-</v>
      </c>
      <c r="O243" s="34" t="s">
        <v>959</v>
      </c>
      <c r="P243" s="35" t="s">
        <v>959</v>
      </c>
      <c r="Q243" s="34" t="str">
        <f>IF(OR(P243="-",P243="",P243=0),IF(O243="-","-",O243),O243-P243)</f>
        <v>-</v>
      </c>
      <c r="R243" s="4" t="str">
        <f>IFERROR(IF(O243&gt;0, P243/O243, 0),"-")</f>
        <v>-</v>
      </c>
      <c r="S243" s="34" t="s">
        <v>959</v>
      </c>
      <c r="T243" s="34" t="s">
        <v>959</v>
      </c>
      <c r="U243" s="34" t="s">
        <v>959</v>
      </c>
      <c r="V243" s="35" t="s">
        <v>959</v>
      </c>
      <c r="W243" s="35" t="s">
        <v>959</v>
      </c>
    </row>
    <row r="244" spans="1:23" x14ac:dyDescent="0.2">
      <c r="A244" s="30" t="s">
        <v>454</v>
      </c>
      <c r="B244" s="30" t="s">
        <v>989</v>
      </c>
      <c r="C244" s="34">
        <v>7</v>
      </c>
      <c r="D244" s="35">
        <v>7</v>
      </c>
      <c r="E244" s="34">
        <f>IF(OR(D244="-",D244="",D244=0),IF(C244="-","-",C244),C244-D244)</f>
        <v>0</v>
      </c>
      <c r="F244" s="4">
        <f>IFERROR(IF(C244&gt;0, D244/C244, 0),"-")</f>
        <v>1</v>
      </c>
      <c r="G244" s="34" t="s">
        <v>959</v>
      </c>
      <c r="H244" s="35" t="s">
        <v>959</v>
      </c>
      <c r="I244" s="34" t="str">
        <f>IF(OR(H244="-",H244="",H244=0),IF(G244="-","-",G244),G244-H244)</f>
        <v>-</v>
      </c>
      <c r="J244" s="4" t="str">
        <f>IFERROR(IF(G244&gt;0, H244/G244, 0),"-")</f>
        <v>-</v>
      </c>
      <c r="K244" s="34" t="s">
        <v>959</v>
      </c>
      <c r="L244" s="35" t="s">
        <v>959</v>
      </c>
      <c r="M244" s="34" t="str">
        <f>IF(OR(L244="-",L244="",L244=0),IF(K244="-","-",K244),K244-L244)</f>
        <v>-</v>
      </c>
      <c r="N244" s="4" t="str">
        <f>IFERROR(IF(K244&gt;0, L244/K244, 0),"-")</f>
        <v>-</v>
      </c>
      <c r="O244" s="34" t="s">
        <v>959</v>
      </c>
      <c r="P244" s="35" t="s">
        <v>959</v>
      </c>
      <c r="Q244" s="34" t="str">
        <f>IF(OR(P244="-",P244="",P244=0),IF(O244="-","-",O244),O244-P244)</f>
        <v>-</v>
      </c>
      <c r="R244" s="4" t="str">
        <f>IFERROR(IF(O244&gt;0, P244/O244, 0),"-")</f>
        <v>-</v>
      </c>
      <c r="S244" s="34" t="s">
        <v>959</v>
      </c>
      <c r="T244" s="34" t="s">
        <v>959</v>
      </c>
      <c r="U244" s="34" t="s">
        <v>959</v>
      </c>
      <c r="V244" s="35" t="s">
        <v>959</v>
      </c>
      <c r="W244" s="35" t="s">
        <v>959</v>
      </c>
    </row>
    <row r="245" spans="1:23" x14ac:dyDescent="0.2">
      <c r="A245" s="30" t="s">
        <v>447</v>
      </c>
      <c r="B245" s="30" t="s">
        <v>990</v>
      </c>
      <c r="C245" s="34">
        <v>15</v>
      </c>
      <c r="D245" s="35">
        <v>15</v>
      </c>
      <c r="E245" s="34">
        <f>IF(OR(D245="-",D245="",D245=0),IF(C245="-","-",C245),C245-D245)</f>
        <v>0</v>
      </c>
      <c r="F245" s="4">
        <f>IFERROR(IF(C245&gt;0, D245/C245, 0),"-")</f>
        <v>1</v>
      </c>
      <c r="G245" s="34" t="s">
        <v>959</v>
      </c>
      <c r="H245" s="35" t="s">
        <v>959</v>
      </c>
      <c r="I245" s="34" t="str">
        <f>IF(OR(H245="-",H245="",H245=0),IF(G245="-","-",G245),G245-H245)</f>
        <v>-</v>
      </c>
      <c r="J245" s="4" t="str">
        <f>IFERROR(IF(G245&gt;0, H245/G245, 0),"-")</f>
        <v>-</v>
      </c>
      <c r="K245" s="34" t="s">
        <v>959</v>
      </c>
      <c r="L245" s="35" t="s">
        <v>959</v>
      </c>
      <c r="M245" s="34" t="str">
        <f>IF(OR(L245="-",L245="",L245=0),IF(K245="-","-",K245),K245-L245)</f>
        <v>-</v>
      </c>
      <c r="N245" s="4" t="str">
        <f>IFERROR(IF(K245&gt;0, L245/K245, 0),"-")</f>
        <v>-</v>
      </c>
      <c r="O245" s="34">
        <v>1</v>
      </c>
      <c r="P245" s="35" t="s">
        <v>959</v>
      </c>
      <c r="Q245" s="34">
        <f>IF(OR(P245="-",P245="",P245=0),IF(O245="-","-",O245),O245-P245)</f>
        <v>1</v>
      </c>
      <c r="R245" s="4" t="str">
        <f>IFERROR(IF(O245&gt;0, P245/O245, 0),"-")</f>
        <v>-</v>
      </c>
      <c r="S245" s="34" t="s">
        <v>959</v>
      </c>
      <c r="T245" s="34" t="s">
        <v>959</v>
      </c>
      <c r="U245" s="34" t="s">
        <v>959</v>
      </c>
      <c r="V245" s="35" t="s">
        <v>959</v>
      </c>
      <c r="W245" s="35" t="s">
        <v>959</v>
      </c>
    </row>
    <row r="246" spans="1:23" x14ac:dyDescent="0.2">
      <c r="A246" s="30" t="s">
        <v>448</v>
      </c>
      <c r="B246" s="30" t="s">
        <v>991</v>
      </c>
      <c r="C246" s="34">
        <v>20</v>
      </c>
      <c r="D246" s="35">
        <v>20</v>
      </c>
      <c r="E246" s="34">
        <f>IF(OR(D246="-",D246="",D246=0),IF(C246="-","-",C246),C246-D246)</f>
        <v>0</v>
      </c>
      <c r="F246" s="4">
        <f>IFERROR(IF(C246&gt;0, D246/C246, 0),"-")</f>
        <v>1</v>
      </c>
      <c r="G246" s="34" t="s">
        <v>959</v>
      </c>
      <c r="H246" s="35" t="s">
        <v>959</v>
      </c>
      <c r="I246" s="34" t="str">
        <f>IF(OR(H246="-",H246="",H246=0),IF(G246="-","-",G246),G246-H246)</f>
        <v>-</v>
      </c>
      <c r="J246" s="4" t="str">
        <f>IFERROR(IF(G246&gt;0, H246/G246, 0),"-")</f>
        <v>-</v>
      </c>
      <c r="K246" s="34" t="s">
        <v>959</v>
      </c>
      <c r="L246" s="35" t="s">
        <v>959</v>
      </c>
      <c r="M246" s="34" t="str">
        <f>IF(OR(L246="-",L246="",L246=0),IF(K246="-","-",K246),K246-L246)</f>
        <v>-</v>
      </c>
      <c r="N246" s="4" t="str">
        <f>IFERROR(IF(K246&gt;0, L246/K246, 0),"-")</f>
        <v>-</v>
      </c>
      <c r="O246" s="34" t="s">
        <v>959</v>
      </c>
      <c r="P246" s="35" t="s">
        <v>959</v>
      </c>
      <c r="Q246" s="34" t="str">
        <f>IF(OR(P246="-",P246="",P246=0),IF(O246="-","-",O246),O246-P246)</f>
        <v>-</v>
      </c>
      <c r="R246" s="4" t="str">
        <f>IFERROR(IF(O246&gt;0, P246/O246, 0),"-")</f>
        <v>-</v>
      </c>
      <c r="S246" s="34" t="s">
        <v>959</v>
      </c>
      <c r="T246" s="34" t="s">
        <v>959</v>
      </c>
      <c r="U246" s="34" t="s">
        <v>959</v>
      </c>
      <c r="V246" s="35" t="s">
        <v>959</v>
      </c>
      <c r="W246" s="35" t="s">
        <v>959</v>
      </c>
    </row>
    <row r="247" spans="1:23" x14ac:dyDescent="0.2">
      <c r="A247" s="30" t="s">
        <v>452</v>
      </c>
      <c r="B247" s="30" t="s">
        <v>992</v>
      </c>
      <c r="C247" s="34">
        <v>22</v>
      </c>
      <c r="D247" s="35">
        <v>22</v>
      </c>
      <c r="E247" s="34">
        <f>IF(OR(D247="-",D247="",D247=0),IF(C247="-","-",C247),C247-D247)</f>
        <v>0</v>
      </c>
      <c r="F247" s="4">
        <f>IFERROR(IF(C247&gt;0, D247/C247, 0),"-")</f>
        <v>1</v>
      </c>
      <c r="G247" s="34" t="s">
        <v>959</v>
      </c>
      <c r="H247" s="35" t="s">
        <v>959</v>
      </c>
      <c r="I247" s="34" t="str">
        <f>IF(OR(H247="-",H247="",H247=0),IF(G247="-","-",G247),G247-H247)</f>
        <v>-</v>
      </c>
      <c r="J247" s="4" t="str">
        <f>IFERROR(IF(G247&gt;0, H247/G247, 0),"-")</f>
        <v>-</v>
      </c>
      <c r="K247" s="34" t="s">
        <v>959</v>
      </c>
      <c r="L247" s="35" t="s">
        <v>959</v>
      </c>
      <c r="M247" s="34" t="str">
        <f>IF(OR(L247="-",L247="",L247=0),IF(K247="-","-",K247),K247-L247)</f>
        <v>-</v>
      </c>
      <c r="N247" s="4" t="str">
        <f>IFERROR(IF(K247&gt;0, L247/K247, 0),"-")</f>
        <v>-</v>
      </c>
      <c r="O247" s="34" t="s">
        <v>959</v>
      </c>
      <c r="P247" s="35" t="s">
        <v>959</v>
      </c>
      <c r="Q247" s="34" t="str">
        <f>IF(OR(P247="-",P247="",P247=0),IF(O247="-","-",O247),O247-P247)</f>
        <v>-</v>
      </c>
      <c r="R247" s="4" t="str">
        <f>IFERROR(IF(O247&gt;0, P247/O247, 0),"-")</f>
        <v>-</v>
      </c>
      <c r="S247" s="34">
        <v>3</v>
      </c>
      <c r="T247" s="34" t="s">
        <v>959</v>
      </c>
      <c r="U247" s="34" t="s">
        <v>959</v>
      </c>
      <c r="V247" s="35" t="s">
        <v>959</v>
      </c>
      <c r="W247" s="35" t="s">
        <v>959</v>
      </c>
    </row>
    <row r="248" spans="1:23" x14ac:dyDescent="0.2">
      <c r="A248" s="30" t="s">
        <v>450</v>
      </c>
      <c r="B248" s="30" t="s">
        <v>993</v>
      </c>
      <c r="C248" s="34">
        <v>66</v>
      </c>
      <c r="D248" s="35">
        <v>66</v>
      </c>
      <c r="E248" s="34">
        <f>IF(OR(D248="-",D248="",D248=0),IF(C248="-","-",C248),C248-D248)</f>
        <v>0</v>
      </c>
      <c r="F248" s="4">
        <f>IFERROR(IF(C248&gt;0, D248/C248, 0),"-")</f>
        <v>1</v>
      </c>
      <c r="G248" s="34" t="s">
        <v>959</v>
      </c>
      <c r="H248" s="35" t="s">
        <v>959</v>
      </c>
      <c r="I248" s="34" t="str">
        <f>IF(OR(H248="-",H248="",H248=0),IF(G248="-","-",G248),G248-H248)</f>
        <v>-</v>
      </c>
      <c r="J248" s="4" t="str">
        <f>IFERROR(IF(G248&gt;0, H248/G248, 0),"-")</f>
        <v>-</v>
      </c>
      <c r="K248" s="34">
        <v>1</v>
      </c>
      <c r="L248" s="35" t="s">
        <v>959</v>
      </c>
      <c r="M248" s="34">
        <f>IF(OR(L248="-",L248="",L248=0),IF(K248="-","-",K248),K248-L248)</f>
        <v>1</v>
      </c>
      <c r="N248" s="4" t="str">
        <f>IFERROR(IF(K248&gt;0, L248/K248, 0),"-")</f>
        <v>-</v>
      </c>
      <c r="O248" s="34">
        <v>2</v>
      </c>
      <c r="P248" s="35" t="s">
        <v>959</v>
      </c>
      <c r="Q248" s="34">
        <f>IF(OR(P248="-",P248="",P248=0),IF(O248="-","-",O248),O248-P248)</f>
        <v>2</v>
      </c>
      <c r="R248" s="4" t="str">
        <f>IFERROR(IF(O248&gt;0, P248/O248, 0),"-")</f>
        <v>-</v>
      </c>
      <c r="S248" s="34">
        <v>5</v>
      </c>
      <c r="T248" s="34" t="s">
        <v>959</v>
      </c>
      <c r="U248" s="34" t="s">
        <v>959</v>
      </c>
      <c r="V248" s="35" t="s">
        <v>959</v>
      </c>
      <c r="W248" s="35" t="s">
        <v>959</v>
      </c>
    </row>
    <row r="249" spans="1:23" x14ac:dyDescent="0.2">
      <c r="A249" s="29"/>
      <c r="B249" s="29" t="s">
        <v>42</v>
      </c>
      <c r="C249" s="32">
        <v>699</v>
      </c>
      <c r="D249" s="32">
        <v>683</v>
      </c>
      <c r="E249" s="32">
        <f>IF(OR(D249="-",D249="",D249=0),IF(C249="-","-",C249),C249-D249)</f>
        <v>16</v>
      </c>
      <c r="F249" s="36">
        <f>IFERROR(IF(C249&gt;0, D249/C249, 0),"-")</f>
        <v>0.97711015736766804</v>
      </c>
      <c r="G249" s="32">
        <v>10</v>
      </c>
      <c r="H249" s="32">
        <v>2</v>
      </c>
      <c r="I249" s="32">
        <f>IF(OR(H249="-",H249="",H249=0),IF(G249="-","-",G249),G249-H249)</f>
        <v>8</v>
      </c>
      <c r="J249" s="36">
        <f>IFERROR(IF(G249&gt;0, H249/G249, 0),"-")</f>
        <v>0.2</v>
      </c>
      <c r="K249" s="32">
        <v>6</v>
      </c>
      <c r="L249" s="32">
        <v>1</v>
      </c>
      <c r="M249" s="32">
        <f>IF(OR(L249="-",L249="",L249=0),IF(K249="-","-",K249),K249-L249)</f>
        <v>5</v>
      </c>
      <c r="N249" s="36">
        <f>IFERROR(IF(K249&gt;0, L249/K249, 0),"-")</f>
        <v>0.16666666666666666</v>
      </c>
      <c r="O249" s="32">
        <v>2</v>
      </c>
      <c r="P249" s="32" t="s">
        <v>959</v>
      </c>
      <c r="Q249" s="32">
        <f>IF(OR(P249="-",P249="",P249=0),IF(O249="-","-",O249),O249-P249)</f>
        <v>2</v>
      </c>
      <c r="R249" s="36" t="str">
        <f>IFERROR(IF(O249&gt;0, P249/O249, 0),"-")</f>
        <v>-</v>
      </c>
      <c r="S249" s="32">
        <v>4</v>
      </c>
      <c r="T249" s="32">
        <v>1</v>
      </c>
      <c r="U249" s="32">
        <v>3200</v>
      </c>
      <c r="V249" s="32" t="s">
        <v>959</v>
      </c>
      <c r="W249" s="32" t="s">
        <v>959</v>
      </c>
    </row>
    <row r="250" spans="1:23" x14ac:dyDescent="0.2">
      <c r="A250" s="30" t="s">
        <v>223</v>
      </c>
      <c r="B250" s="30" t="s">
        <v>994</v>
      </c>
      <c r="C250" s="34">
        <v>139</v>
      </c>
      <c r="D250" s="35">
        <v>135</v>
      </c>
      <c r="E250" s="34">
        <f>IF(OR(D250="-",D250="",D250=0),IF(C250="-","-",C250),C250-D250)</f>
        <v>4</v>
      </c>
      <c r="F250" s="4">
        <f>IFERROR(IF(C250&gt;0, D250/C250, 0),"-")</f>
        <v>0.97122302158273377</v>
      </c>
      <c r="G250" s="34">
        <v>1</v>
      </c>
      <c r="H250" s="35" t="s">
        <v>959</v>
      </c>
      <c r="I250" s="34">
        <f>IF(OR(H250="-",H250="",H250=0),IF(G250="-","-",G250),G250-H250)</f>
        <v>1</v>
      </c>
      <c r="J250" s="4" t="str">
        <f>IFERROR(IF(G250&gt;0, H250/G250, 0),"-")</f>
        <v>-</v>
      </c>
      <c r="K250" s="34">
        <v>1</v>
      </c>
      <c r="L250" s="35" t="s">
        <v>959</v>
      </c>
      <c r="M250" s="34">
        <f>IF(OR(L250="-",L250="",L250=0),IF(K250="-","-",K250),K250-L250)</f>
        <v>1</v>
      </c>
      <c r="N250" s="4" t="str">
        <f>IFERROR(IF(K250&gt;0, L250/K250, 0),"-")</f>
        <v>-</v>
      </c>
      <c r="O250" s="34" t="s">
        <v>959</v>
      </c>
      <c r="P250" s="35" t="s">
        <v>959</v>
      </c>
      <c r="Q250" s="34" t="str">
        <f>IF(OR(P250="-",P250="",P250=0),IF(O250="-","-",O250),O250-P250)</f>
        <v>-</v>
      </c>
      <c r="R250" s="4" t="str">
        <f>IFERROR(IF(O250&gt;0, P250/O250, 0),"-")</f>
        <v>-</v>
      </c>
      <c r="S250" s="34">
        <v>1</v>
      </c>
      <c r="T250" s="34" t="s">
        <v>959</v>
      </c>
      <c r="U250" s="34" t="s">
        <v>959</v>
      </c>
      <c r="V250" s="35" t="s">
        <v>959</v>
      </c>
      <c r="W250" s="35" t="s">
        <v>959</v>
      </c>
    </row>
    <row r="251" spans="1:23" x14ac:dyDescent="0.2">
      <c r="A251" s="30" t="s">
        <v>224</v>
      </c>
      <c r="B251" s="30" t="s">
        <v>995</v>
      </c>
      <c r="C251" s="34">
        <v>180</v>
      </c>
      <c r="D251" s="35">
        <v>174</v>
      </c>
      <c r="E251" s="34">
        <f>IF(OR(D251="-",D251="",D251=0),IF(C251="-","-",C251),C251-D251)</f>
        <v>6</v>
      </c>
      <c r="F251" s="4">
        <f>IFERROR(IF(C251&gt;0, D251/C251, 0),"-")</f>
        <v>0.96666666666666667</v>
      </c>
      <c r="G251" s="34">
        <v>2</v>
      </c>
      <c r="H251" s="35">
        <v>1</v>
      </c>
      <c r="I251" s="34">
        <f>IF(OR(H251="-",H251="",H251=0),IF(G251="-","-",G251),G251-H251)</f>
        <v>1</v>
      </c>
      <c r="J251" s="4">
        <f>IFERROR(IF(G251&gt;0, H251/G251, 0),"-")</f>
        <v>0.5</v>
      </c>
      <c r="K251" s="34">
        <v>1</v>
      </c>
      <c r="L251" s="35" t="s">
        <v>959</v>
      </c>
      <c r="M251" s="34">
        <f>IF(OR(L251="-",L251="",L251=0),IF(K251="-","-",K251),K251-L251)</f>
        <v>1</v>
      </c>
      <c r="N251" s="4" t="str">
        <f>IFERROR(IF(K251&gt;0, L251/K251, 0),"-")</f>
        <v>-</v>
      </c>
      <c r="O251" s="34" t="s">
        <v>959</v>
      </c>
      <c r="P251" s="35" t="s">
        <v>959</v>
      </c>
      <c r="Q251" s="34" t="str">
        <f>IF(OR(P251="-",P251="",P251=0),IF(O251="-","-",O251),O251-P251)</f>
        <v>-</v>
      </c>
      <c r="R251" s="4" t="str">
        <f>IFERROR(IF(O251&gt;0, P251/O251, 0),"-")</f>
        <v>-</v>
      </c>
      <c r="S251" s="34">
        <v>3</v>
      </c>
      <c r="T251" s="34">
        <v>1</v>
      </c>
      <c r="U251" s="34">
        <v>3200</v>
      </c>
      <c r="V251" s="35" t="s">
        <v>959</v>
      </c>
      <c r="W251" s="35" t="s">
        <v>959</v>
      </c>
    </row>
    <row r="252" spans="1:23" x14ac:dyDescent="0.2">
      <c r="A252" s="30" t="s">
        <v>225</v>
      </c>
      <c r="B252" s="30" t="s">
        <v>996</v>
      </c>
      <c r="C252" s="34">
        <v>84</v>
      </c>
      <c r="D252" s="35">
        <v>81</v>
      </c>
      <c r="E252" s="34">
        <f>IF(OR(D252="-",D252="",D252=0),IF(C252="-","-",C252),C252-D252)</f>
        <v>3</v>
      </c>
      <c r="F252" s="4">
        <f>IFERROR(IF(C252&gt;0, D252/C252, 0),"-")</f>
        <v>0.9642857142857143</v>
      </c>
      <c r="G252" s="34">
        <v>4</v>
      </c>
      <c r="H252" s="35">
        <v>1</v>
      </c>
      <c r="I252" s="34">
        <f>IF(OR(H252="-",H252="",H252=0),IF(G252="-","-",G252),G252-H252)</f>
        <v>3</v>
      </c>
      <c r="J252" s="4">
        <f>IFERROR(IF(G252&gt;0, H252/G252, 0),"-")</f>
        <v>0.25</v>
      </c>
      <c r="K252" s="34">
        <v>1</v>
      </c>
      <c r="L252" s="35" t="s">
        <v>959</v>
      </c>
      <c r="M252" s="34">
        <f>IF(OR(L252="-",L252="",L252=0),IF(K252="-","-",K252),K252-L252)</f>
        <v>1</v>
      </c>
      <c r="N252" s="4" t="str">
        <f>IFERROR(IF(K252&gt;0, L252/K252, 0),"-")</f>
        <v>-</v>
      </c>
      <c r="O252" s="34" t="s">
        <v>959</v>
      </c>
      <c r="P252" s="35" t="s">
        <v>959</v>
      </c>
      <c r="Q252" s="34" t="str">
        <f>IF(OR(P252="-",P252="",P252=0),IF(O252="-","-",O252),O252-P252)</f>
        <v>-</v>
      </c>
      <c r="R252" s="4" t="str">
        <f>IFERROR(IF(O252&gt;0, P252/O252, 0),"-")</f>
        <v>-</v>
      </c>
      <c r="S252" s="34" t="s">
        <v>959</v>
      </c>
      <c r="T252" s="34" t="s">
        <v>959</v>
      </c>
      <c r="U252" s="34" t="s">
        <v>959</v>
      </c>
      <c r="V252" s="35" t="s">
        <v>959</v>
      </c>
      <c r="W252" s="35" t="s">
        <v>959</v>
      </c>
    </row>
    <row r="253" spans="1:23" x14ac:dyDescent="0.2">
      <c r="A253" s="30" t="s">
        <v>222</v>
      </c>
      <c r="B253" s="30" t="s">
        <v>997</v>
      </c>
      <c r="C253" s="34">
        <v>64</v>
      </c>
      <c r="D253" s="35">
        <v>64</v>
      </c>
      <c r="E253" s="34">
        <f>IF(OR(D253="-",D253="",D253=0),IF(C253="-","-",C253),C253-D253)</f>
        <v>0</v>
      </c>
      <c r="F253" s="4">
        <f>IFERROR(IF(C253&gt;0, D253/C253, 0),"-")</f>
        <v>1</v>
      </c>
      <c r="G253" s="34" t="s">
        <v>959</v>
      </c>
      <c r="H253" s="35" t="s">
        <v>959</v>
      </c>
      <c r="I253" s="34" t="str">
        <f>IF(OR(H253="-",H253="",H253=0),IF(G253="-","-",G253),G253-H253)</f>
        <v>-</v>
      </c>
      <c r="J253" s="4" t="str">
        <f>IFERROR(IF(G253&gt;0, H253/G253, 0),"-")</f>
        <v>-</v>
      </c>
      <c r="K253" s="34" t="s">
        <v>959</v>
      </c>
      <c r="L253" s="35" t="s">
        <v>959</v>
      </c>
      <c r="M253" s="34" t="str">
        <f>IF(OR(L253="-",L253="",L253=0),IF(K253="-","-",K253),K253-L253)</f>
        <v>-</v>
      </c>
      <c r="N253" s="4" t="str">
        <f>IFERROR(IF(K253&gt;0, L253/K253, 0),"-")</f>
        <v>-</v>
      </c>
      <c r="O253" s="34" t="s">
        <v>959</v>
      </c>
      <c r="P253" s="35" t="s">
        <v>959</v>
      </c>
      <c r="Q253" s="34" t="str">
        <f>IF(OR(P253="-",P253="",P253=0),IF(O253="-","-",O253),O253-P253)</f>
        <v>-</v>
      </c>
      <c r="R253" s="4" t="str">
        <f>IFERROR(IF(O253&gt;0, P253/O253, 0),"-")</f>
        <v>-</v>
      </c>
      <c r="S253" s="34" t="s">
        <v>959</v>
      </c>
      <c r="T253" s="34" t="s">
        <v>959</v>
      </c>
      <c r="U253" s="34" t="s">
        <v>959</v>
      </c>
      <c r="V253" s="35" t="s">
        <v>959</v>
      </c>
      <c r="W253" s="35" t="s">
        <v>959</v>
      </c>
    </row>
    <row r="254" spans="1:23" x14ac:dyDescent="0.2">
      <c r="A254" s="30" t="s">
        <v>221</v>
      </c>
      <c r="B254" s="30" t="s">
        <v>998</v>
      </c>
      <c r="C254" s="34">
        <v>232</v>
      </c>
      <c r="D254" s="35">
        <v>229</v>
      </c>
      <c r="E254" s="34">
        <f>IF(OR(D254="-",D254="",D254=0),IF(C254="-","-",C254),C254-D254)</f>
        <v>3</v>
      </c>
      <c r="F254" s="4">
        <f>IFERROR(IF(C254&gt;0, D254/C254, 0),"-")</f>
        <v>0.98706896551724133</v>
      </c>
      <c r="G254" s="34">
        <v>3</v>
      </c>
      <c r="H254" s="35" t="s">
        <v>959</v>
      </c>
      <c r="I254" s="34">
        <f>IF(OR(H254="-",H254="",H254=0),IF(G254="-","-",G254),G254-H254)</f>
        <v>3</v>
      </c>
      <c r="J254" s="4" t="str">
        <f>IFERROR(IF(G254&gt;0, H254/G254, 0),"-")</f>
        <v>-</v>
      </c>
      <c r="K254" s="34">
        <v>3</v>
      </c>
      <c r="L254" s="35">
        <v>1</v>
      </c>
      <c r="M254" s="34">
        <f>IF(OR(L254="-",L254="",L254=0),IF(K254="-","-",K254),K254-L254)</f>
        <v>2</v>
      </c>
      <c r="N254" s="4">
        <f>IFERROR(IF(K254&gt;0, L254/K254, 0),"-")</f>
        <v>0.33333333333333331</v>
      </c>
      <c r="O254" s="34">
        <v>2</v>
      </c>
      <c r="P254" s="35" t="s">
        <v>959</v>
      </c>
      <c r="Q254" s="34">
        <f>IF(OR(P254="-",P254="",P254=0),IF(O254="-","-",O254),O254-P254)</f>
        <v>2</v>
      </c>
      <c r="R254" s="4" t="str">
        <f>IFERROR(IF(O254&gt;0, P254/O254, 0),"-")</f>
        <v>-</v>
      </c>
      <c r="S254" s="34" t="s">
        <v>959</v>
      </c>
      <c r="T254" s="34" t="s">
        <v>959</v>
      </c>
      <c r="U254" s="34" t="s">
        <v>959</v>
      </c>
      <c r="V254" s="35" t="s">
        <v>959</v>
      </c>
      <c r="W254" s="35" t="s">
        <v>959</v>
      </c>
    </row>
    <row r="255" spans="1:23" x14ac:dyDescent="0.2">
      <c r="A255" s="29"/>
      <c r="B255" s="29" t="s">
        <v>48</v>
      </c>
      <c r="C255" s="32">
        <v>534</v>
      </c>
      <c r="D255" s="32">
        <v>528</v>
      </c>
      <c r="E255" s="32">
        <f>IF(OR(D255="-",D255="",D255=0),IF(C255="-","-",C255),C255-D255)</f>
        <v>6</v>
      </c>
      <c r="F255" s="36">
        <f>IFERROR(IF(C255&gt;0, D255/C255, 0),"-")</f>
        <v>0.9887640449438202</v>
      </c>
      <c r="G255" s="32">
        <v>2</v>
      </c>
      <c r="H255" s="32" t="s">
        <v>959</v>
      </c>
      <c r="I255" s="32">
        <f>IF(OR(H255="-",H255="",H255=0),IF(G255="-","-",G255),G255-H255)</f>
        <v>2</v>
      </c>
      <c r="J255" s="36" t="str">
        <f>IFERROR(IF(G255&gt;0, H255/G255, 0),"-")</f>
        <v>-</v>
      </c>
      <c r="K255" s="32">
        <v>1</v>
      </c>
      <c r="L255" s="32" t="s">
        <v>959</v>
      </c>
      <c r="M255" s="32">
        <f>IF(OR(L255="-",L255="",L255=0),IF(K255="-","-",K255),K255-L255)</f>
        <v>1</v>
      </c>
      <c r="N255" s="36" t="str">
        <f>IFERROR(IF(K255&gt;0, L255/K255, 0),"-")</f>
        <v>-</v>
      </c>
      <c r="O255" s="32">
        <v>3</v>
      </c>
      <c r="P255" s="32" t="s">
        <v>959</v>
      </c>
      <c r="Q255" s="32">
        <f>IF(OR(P255="-",P255="",P255=0),IF(O255="-","-",O255),O255-P255)</f>
        <v>3</v>
      </c>
      <c r="R255" s="36" t="str">
        <f>IFERROR(IF(O255&gt;0, P255/O255, 0),"-")</f>
        <v>-</v>
      </c>
      <c r="S255" s="32">
        <v>3</v>
      </c>
      <c r="T255" s="32" t="s">
        <v>959</v>
      </c>
      <c r="U255" s="32" t="s">
        <v>959</v>
      </c>
      <c r="V255" s="32" t="s">
        <v>959</v>
      </c>
      <c r="W255" s="32" t="s">
        <v>959</v>
      </c>
    </row>
    <row r="256" spans="1:23" x14ac:dyDescent="0.2">
      <c r="A256" s="30" t="s">
        <v>264</v>
      </c>
      <c r="B256" s="30" t="s">
        <v>999</v>
      </c>
      <c r="C256" s="34">
        <v>130</v>
      </c>
      <c r="D256" s="35">
        <v>129</v>
      </c>
      <c r="E256" s="34">
        <f>IF(OR(D256="-",D256="",D256=0),IF(C256="-","-",C256),C256-D256)</f>
        <v>1</v>
      </c>
      <c r="F256" s="4">
        <f>IFERROR(IF(C256&gt;0, D256/C256, 0),"-")</f>
        <v>0.99230769230769234</v>
      </c>
      <c r="G256" s="34" t="s">
        <v>959</v>
      </c>
      <c r="H256" s="35" t="s">
        <v>959</v>
      </c>
      <c r="I256" s="34" t="str">
        <f>IF(OR(H256="-",H256="",H256=0),IF(G256="-","-",G256),G256-H256)</f>
        <v>-</v>
      </c>
      <c r="J256" s="4" t="str">
        <f>IFERROR(IF(G256&gt;0, H256/G256, 0),"-")</f>
        <v>-</v>
      </c>
      <c r="K256" s="34" t="s">
        <v>959</v>
      </c>
      <c r="L256" s="35" t="s">
        <v>959</v>
      </c>
      <c r="M256" s="34" t="str">
        <f>IF(OR(L256="-",L256="",L256=0),IF(K256="-","-",K256),K256-L256)</f>
        <v>-</v>
      </c>
      <c r="N256" s="4" t="str">
        <f>IFERROR(IF(K256&gt;0, L256/K256, 0),"-")</f>
        <v>-</v>
      </c>
      <c r="O256" s="34" t="s">
        <v>959</v>
      </c>
      <c r="P256" s="35" t="s">
        <v>959</v>
      </c>
      <c r="Q256" s="34" t="str">
        <f>IF(OR(P256="-",P256="",P256=0),IF(O256="-","-",O256),O256-P256)</f>
        <v>-</v>
      </c>
      <c r="R256" s="4" t="str">
        <f>IFERROR(IF(O256&gt;0, P256/O256, 0),"-")</f>
        <v>-</v>
      </c>
      <c r="S256" s="34">
        <v>1</v>
      </c>
      <c r="T256" s="34" t="s">
        <v>959</v>
      </c>
      <c r="U256" s="34" t="s">
        <v>959</v>
      </c>
      <c r="V256" s="35" t="s">
        <v>959</v>
      </c>
      <c r="W256" s="35" t="s">
        <v>959</v>
      </c>
    </row>
    <row r="257" spans="1:23" x14ac:dyDescent="0.2">
      <c r="A257" s="30" t="s">
        <v>266</v>
      </c>
      <c r="B257" s="30" t="s">
        <v>1000</v>
      </c>
      <c r="C257" s="34">
        <v>64</v>
      </c>
      <c r="D257" s="35">
        <v>64</v>
      </c>
      <c r="E257" s="34">
        <f>IF(OR(D257="-",D257="",D257=0),IF(C257="-","-",C257),C257-D257)</f>
        <v>0</v>
      </c>
      <c r="F257" s="4">
        <f>IFERROR(IF(C257&gt;0, D257/C257, 0),"-")</f>
        <v>1</v>
      </c>
      <c r="G257" s="34" t="s">
        <v>959</v>
      </c>
      <c r="H257" s="35" t="s">
        <v>959</v>
      </c>
      <c r="I257" s="34" t="str">
        <f>IF(OR(H257="-",H257="",H257=0),IF(G257="-","-",G257),G257-H257)</f>
        <v>-</v>
      </c>
      <c r="J257" s="4" t="str">
        <f>IFERROR(IF(G257&gt;0, H257/G257, 0),"-")</f>
        <v>-</v>
      </c>
      <c r="K257" s="34" t="s">
        <v>959</v>
      </c>
      <c r="L257" s="35" t="s">
        <v>959</v>
      </c>
      <c r="M257" s="34" t="str">
        <f>IF(OR(L257="-",L257="",L257=0),IF(K257="-","-",K257),K257-L257)</f>
        <v>-</v>
      </c>
      <c r="N257" s="4" t="str">
        <f>IFERROR(IF(K257&gt;0, L257/K257, 0),"-")</f>
        <v>-</v>
      </c>
      <c r="O257" s="34" t="s">
        <v>959</v>
      </c>
      <c r="P257" s="35" t="s">
        <v>959</v>
      </c>
      <c r="Q257" s="34" t="str">
        <f>IF(OR(P257="-",P257="",P257=0),IF(O257="-","-",O257),O257-P257)</f>
        <v>-</v>
      </c>
      <c r="R257" s="4" t="str">
        <f>IFERROR(IF(O257&gt;0, P257/O257, 0),"-")</f>
        <v>-</v>
      </c>
      <c r="S257" s="34" t="s">
        <v>959</v>
      </c>
      <c r="T257" s="34" t="s">
        <v>959</v>
      </c>
      <c r="U257" s="34" t="s">
        <v>959</v>
      </c>
      <c r="V257" s="35" t="s">
        <v>959</v>
      </c>
      <c r="W257" s="35" t="s">
        <v>959</v>
      </c>
    </row>
    <row r="258" spans="1:23" x14ac:dyDescent="0.2">
      <c r="A258" s="30" t="s">
        <v>265</v>
      </c>
      <c r="B258" s="30" t="s">
        <v>1001</v>
      </c>
      <c r="C258" s="34">
        <v>48</v>
      </c>
      <c r="D258" s="35">
        <v>48</v>
      </c>
      <c r="E258" s="34">
        <f>IF(OR(D258="-",D258="",D258=0),IF(C258="-","-",C258),C258-D258)</f>
        <v>0</v>
      </c>
      <c r="F258" s="4">
        <f>IFERROR(IF(C258&gt;0, D258/C258, 0),"-")</f>
        <v>1</v>
      </c>
      <c r="G258" s="34" t="s">
        <v>959</v>
      </c>
      <c r="H258" s="35" t="s">
        <v>959</v>
      </c>
      <c r="I258" s="34" t="str">
        <f>IF(OR(H258="-",H258="",H258=0),IF(G258="-","-",G258),G258-H258)</f>
        <v>-</v>
      </c>
      <c r="J258" s="4" t="str">
        <f>IFERROR(IF(G258&gt;0, H258/G258, 0),"-")</f>
        <v>-</v>
      </c>
      <c r="K258" s="34" t="s">
        <v>959</v>
      </c>
      <c r="L258" s="35" t="s">
        <v>959</v>
      </c>
      <c r="M258" s="34" t="str">
        <f>IF(OR(L258="-",L258="",L258=0),IF(K258="-","-",K258),K258-L258)</f>
        <v>-</v>
      </c>
      <c r="N258" s="4" t="str">
        <f>IFERROR(IF(K258&gt;0, L258/K258, 0),"-")</f>
        <v>-</v>
      </c>
      <c r="O258" s="34" t="s">
        <v>959</v>
      </c>
      <c r="P258" s="35" t="s">
        <v>959</v>
      </c>
      <c r="Q258" s="34" t="str">
        <f>IF(OR(P258="-",P258="",P258=0),IF(O258="-","-",O258),O258-P258)</f>
        <v>-</v>
      </c>
      <c r="R258" s="4" t="str">
        <f>IFERROR(IF(O258&gt;0, P258/O258, 0),"-")</f>
        <v>-</v>
      </c>
      <c r="S258" s="34">
        <v>1</v>
      </c>
      <c r="T258" s="34" t="s">
        <v>959</v>
      </c>
      <c r="U258" s="34" t="s">
        <v>959</v>
      </c>
      <c r="V258" s="35" t="s">
        <v>959</v>
      </c>
      <c r="W258" s="35" t="s">
        <v>959</v>
      </c>
    </row>
    <row r="259" spans="1:23" x14ac:dyDescent="0.2">
      <c r="A259" s="30" t="s">
        <v>263</v>
      </c>
      <c r="B259" s="30" t="s">
        <v>1002</v>
      </c>
      <c r="C259" s="34">
        <v>21</v>
      </c>
      <c r="D259" s="35">
        <v>21</v>
      </c>
      <c r="E259" s="34">
        <f>IF(OR(D259="-",D259="",D259=0),IF(C259="-","-",C259),C259-D259)</f>
        <v>0</v>
      </c>
      <c r="F259" s="4">
        <f>IFERROR(IF(C259&gt;0, D259/C259, 0),"-")</f>
        <v>1</v>
      </c>
      <c r="G259" s="34" t="s">
        <v>959</v>
      </c>
      <c r="H259" s="35" t="s">
        <v>959</v>
      </c>
      <c r="I259" s="34" t="str">
        <f>IF(OR(H259="-",H259="",H259=0),IF(G259="-","-",G259),G259-H259)</f>
        <v>-</v>
      </c>
      <c r="J259" s="4" t="str">
        <f>IFERROR(IF(G259&gt;0, H259/G259, 0),"-")</f>
        <v>-</v>
      </c>
      <c r="K259" s="34" t="s">
        <v>959</v>
      </c>
      <c r="L259" s="35" t="s">
        <v>959</v>
      </c>
      <c r="M259" s="34" t="str">
        <f>IF(OR(L259="-",L259="",L259=0),IF(K259="-","-",K259),K259-L259)</f>
        <v>-</v>
      </c>
      <c r="N259" s="4" t="str">
        <f>IFERROR(IF(K259&gt;0, L259/K259, 0),"-")</f>
        <v>-</v>
      </c>
      <c r="O259" s="34" t="s">
        <v>959</v>
      </c>
      <c r="P259" s="35" t="s">
        <v>959</v>
      </c>
      <c r="Q259" s="34" t="str">
        <f>IF(OR(P259="-",P259="",P259=0),IF(O259="-","-",O259),O259-P259)</f>
        <v>-</v>
      </c>
      <c r="R259" s="4" t="str">
        <f>IFERROR(IF(O259&gt;0, P259/O259, 0),"-")</f>
        <v>-</v>
      </c>
      <c r="S259" s="34" t="s">
        <v>959</v>
      </c>
      <c r="T259" s="34" t="s">
        <v>959</v>
      </c>
      <c r="U259" s="34" t="s">
        <v>959</v>
      </c>
      <c r="V259" s="35" t="s">
        <v>959</v>
      </c>
      <c r="W259" s="35" t="s">
        <v>959</v>
      </c>
    </row>
    <row r="260" spans="1:23" x14ac:dyDescent="0.2">
      <c r="A260" s="30" t="s">
        <v>262</v>
      </c>
      <c r="B260" s="30" t="s">
        <v>1003</v>
      </c>
      <c r="C260" s="34">
        <v>160</v>
      </c>
      <c r="D260" s="35">
        <v>159</v>
      </c>
      <c r="E260" s="34">
        <f>IF(OR(D260="-",D260="",D260=0),IF(C260="-","-",C260),C260-D260)</f>
        <v>1</v>
      </c>
      <c r="F260" s="4">
        <f>IFERROR(IF(C260&gt;0, D260/C260, 0),"-")</f>
        <v>0.99375000000000002</v>
      </c>
      <c r="G260" s="34" t="s">
        <v>959</v>
      </c>
      <c r="H260" s="35" t="s">
        <v>959</v>
      </c>
      <c r="I260" s="34" t="str">
        <f>IF(OR(H260="-",H260="",H260=0),IF(G260="-","-",G260),G260-H260)</f>
        <v>-</v>
      </c>
      <c r="J260" s="4" t="str">
        <f>IFERROR(IF(G260&gt;0, H260/G260, 0),"-")</f>
        <v>-</v>
      </c>
      <c r="K260" s="34" t="s">
        <v>959</v>
      </c>
      <c r="L260" s="35" t="s">
        <v>959</v>
      </c>
      <c r="M260" s="34" t="str">
        <f>IF(OR(L260="-",L260="",L260=0),IF(K260="-","-",K260),K260-L260)</f>
        <v>-</v>
      </c>
      <c r="N260" s="4" t="str">
        <f>IFERROR(IF(K260&gt;0, L260/K260, 0),"-")</f>
        <v>-</v>
      </c>
      <c r="O260" s="34">
        <v>3</v>
      </c>
      <c r="P260" s="35" t="s">
        <v>959</v>
      </c>
      <c r="Q260" s="34">
        <f>IF(OR(P260="-",P260="",P260=0),IF(O260="-","-",O260),O260-P260)</f>
        <v>3</v>
      </c>
      <c r="R260" s="4" t="str">
        <f>IFERROR(IF(O260&gt;0, P260/O260, 0),"-")</f>
        <v>-</v>
      </c>
      <c r="S260" s="34">
        <v>1</v>
      </c>
      <c r="T260" s="34" t="s">
        <v>959</v>
      </c>
      <c r="U260" s="34" t="s">
        <v>959</v>
      </c>
      <c r="V260" s="35" t="s">
        <v>959</v>
      </c>
      <c r="W260" s="35" t="s">
        <v>959</v>
      </c>
    </row>
    <row r="261" spans="1:23" x14ac:dyDescent="0.2">
      <c r="A261" s="30" t="s">
        <v>261</v>
      </c>
      <c r="B261" s="30" t="s">
        <v>999</v>
      </c>
      <c r="C261" s="34">
        <v>111</v>
      </c>
      <c r="D261" s="35">
        <v>107</v>
      </c>
      <c r="E261" s="34">
        <f>IF(OR(D261="-",D261="",D261=0),IF(C261="-","-",C261),C261-D261)</f>
        <v>4</v>
      </c>
      <c r="F261" s="4">
        <f>IFERROR(IF(C261&gt;0, D261/C261, 0),"-")</f>
        <v>0.963963963963964</v>
      </c>
      <c r="G261" s="34">
        <v>2</v>
      </c>
      <c r="H261" s="35" t="s">
        <v>959</v>
      </c>
      <c r="I261" s="34">
        <f>IF(OR(H261="-",H261="",H261=0),IF(G261="-","-",G261),G261-H261)</f>
        <v>2</v>
      </c>
      <c r="J261" s="4" t="str">
        <f>IFERROR(IF(G261&gt;0, H261/G261, 0),"-")</f>
        <v>-</v>
      </c>
      <c r="K261" s="34">
        <v>1</v>
      </c>
      <c r="L261" s="35" t="s">
        <v>959</v>
      </c>
      <c r="M261" s="34">
        <f>IF(OR(L261="-",L261="",L261=0),IF(K261="-","-",K261),K261-L261)</f>
        <v>1</v>
      </c>
      <c r="N261" s="4" t="str">
        <f>IFERROR(IF(K261&gt;0, L261/K261, 0),"-")</f>
        <v>-</v>
      </c>
      <c r="O261" s="34" t="s">
        <v>959</v>
      </c>
      <c r="P261" s="35" t="s">
        <v>959</v>
      </c>
      <c r="Q261" s="34" t="str">
        <f>IF(OR(P261="-",P261="",P261=0),IF(O261="-","-",O261),O261-P261)</f>
        <v>-</v>
      </c>
      <c r="R261" s="4" t="str">
        <f>IFERROR(IF(O261&gt;0, P261/O261, 0),"-")</f>
        <v>-</v>
      </c>
      <c r="S261" s="34" t="s">
        <v>959</v>
      </c>
      <c r="T261" s="34" t="s">
        <v>959</v>
      </c>
      <c r="U261" s="34" t="s">
        <v>959</v>
      </c>
      <c r="V261" s="35" t="s">
        <v>959</v>
      </c>
      <c r="W261" s="35" t="s">
        <v>959</v>
      </c>
    </row>
    <row r="262" spans="1:23" x14ac:dyDescent="0.2">
      <c r="A262" s="29"/>
      <c r="B262" s="29" t="s">
        <v>74</v>
      </c>
      <c r="C262" s="32">
        <v>232</v>
      </c>
      <c r="D262" s="32">
        <v>228</v>
      </c>
      <c r="E262" s="32">
        <f>IF(OR(D262="-",D262="",D262=0),IF(C262="-","-",C262),C262-D262)</f>
        <v>4</v>
      </c>
      <c r="F262" s="36">
        <f>IFERROR(IF(C262&gt;0, D262/C262, 0),"-")</f>
        <v>0.98275862068965514</v>
      </c>
      <c r="G262" s="32">
        <v>1</v>
      </c>
      <c r="H262" s="32" t="s">
        <v>959</v>
      </c>
      <c r="I262" s="32">
        <f>IF(OR(H262="-",H262="",H262=0),IF(G262="-","-",G262),G262-H262)</f>
        <v>1</v>
      </c>
      <c r="J262" s="36" t="str">
        <f>IFERROR(IF(G262&gt;0, H262/G262, 0),"-")</f>
        <v>-</v>
      </c>
      <c r="K262" s="32" t="s">
        <v>959</v>
      </c>
      <c r="L262" s="32" t="s">
        <v>959</v>
      </c>
      <c r="M262" s="32" t="str">
        <f>IF(OR(L262="-",L262="",L262=0),IF(K262="-","-",K262),K262-L262)</f>
        <v>-</v>
      </c>
      <c r="N262" s="36" t="str">
        <f>IFERROR(IF(K262&gt;0, L262/K262, 0),"-")</f>
        <v>-</v>
      </c>
      <c r="O262" s="32" t="s">
        <v>959</v>
      </c>
      <c r="P262" s="32" t="s">
        <v>959</v>
      </c>
      <c r="Q262" s="32" t="str">
        <f>IF(OR(P262="-",P262="",P262=0),IF(O262="-","-",O262),O262-P262)</f>
        <v>-</v>
      </c>
      <c r="R262" s="36" t="str">
        <f>IFERROR(IF(O262&gt;0, P262/O262, 0),"-")</f>
        <v>-</v>
      </c>
      <c r="S262" s="32" t="s">
        <v>959</v>
      </c>
      <c r="T262" s="32" t="s">
        <v>959</v>
      </c>
      <c r="U262" s="32" t="s">
        <v>959</v>
      </c>
      <c r="V262" s="32" t="s">
        <v>959</v>
      </c>
      <c r="W262" s="32" t="s">
        <v>959</v>
      </c>
    </row>
    <row r="263" spans="1:23" x14ac:dyDescent="0.2">
      <c r="A263" s="30" t="s">
        <v>494</v>
      </c>
      <c r="B263" s="30" t="s">
        <v>1004</v>
      </c>
      <c r="C263" s="34">
        <v>62</v>
      </c>
      <c r="D263" s="35">
        <v>61</v>
      </c>
      <c r="E263" s="34">
        <f>IF(OR(D263="-",D263="",D263=0),IF(C263="-","-",C263),C263-D263)</f>
        <v>1</v>
      </c>
      <c r="F263" s="4">
        <f>IFERROR(IF(C263&gt;0, D263/C263, 0),"-")</f>
        <v>0.9838709677419355</v>
      </c>
      <c r="G263" s="34" t="s">
        <v>959</v>
      </c>
      <c r="H263" s="35" t="s">
        <v>959</v>
      </c>
      <c r="I263" s="34" t="str">
        <f>IF(OR(H263="-",H263="",H263=0),IF(G263="-","-",G263),G263-H263)</f>
        <v>-</v>
      </c>
      <c r="J263" s="4" t="str">
        <f>IFERROR(IF(G263&gt;0, H263/G263, 0),"-")</f>
        <v>-</v>
      </c>
      <c r="K263" s="34" t="s">
        <v>959</v>
      </c>
      <c r="L263" s="35" t="s">
        <v>959</v>
      </c>
      <c r="M263" s="34" t="str">
        <f>IF(OR(L263="-",L263="",L263=0),IF(K263="-","-",K263),K263-L263)</f>
        <v>-</v>
      </c>
      <c r="N263" s="4" t="str">
        <f>IFERROR(IF(K263&gt;0, L263/K263, 0),"-")</f>
        <v>-</v>
      </c>
      <c r="O263" s="34" t="s">
        <v>959</v>
      </c>
      <c r="P263" s="35" t="s">
        <v>959</v>
      </c>
      <c r="Q263" s="34" t="str">
        <f>IF(OR(P263="-",P263="",P263=0),IF(O263="-","-",O263),O263-P263)</f>
        <v>-</v>
      </c>
      <c r="R263" s="4" t="str">
        <f>IFERROR(IF(O263&gt;0, P263/O263, 0),"-")</f>
        <v>-</v>
      </c>
      <c r="S263" s="34" t="s">
        <v>959</v>
      </c>
      <c r="T263" s="34" t="s">
        <v>959</v>
      </c>
      <c r="U263" s="34" t="s">
        <v>959</v>
      </c>
      <c r="V263" s="35" t="s">
        <v>959</v>
      </c>
      <c r="W263" s="35" t="s">
        <v>959</v>
      </c>
    </row>
    <row r="264" spans="1:23" x14ac:dyDescent="0.2">
      <c r="A264" s="30" t="s">
        <v>493</v>
      </c>
      <c r="B264" s="30" t="s">
        <v>1005</v>
      </c>
      <c r="C264" s="34">
        <v>31</v>
      </c>
      <c r="D264" s="35">
        <v>30</v>
      </c>
      <c r="E264" s="34">
        <f>IF(OR(D264="-",D264="",D264=0),IF(C264="-","-",C264),C264-D264)</f>
        <v>1</v>
      </c>
      <c r="F264" s="4">
        <f>IFERROR(IF(C264&gt;0, D264/C264, 0),"-")</f>
        <v>0.967741935483871</v>
      </c>
      <c r="G264" s="34" t="s">
        <v>959</v>
      </c>
      <c r="H264" s="35" t="s">
        <v>959</v>
      </c>
      <c r="I264" s="34" t="str">
        <f>IF(OR(H264="-",H264="",H264=0),IF(G264="-","-",G264),G264-H264)</f>
        <v>-</v>
      </c>
      <c r="J264" s="4" t="str">
        <f>IFERROR(IF(G264&gt;0, H264/G264, 0),"-")</f>
        <v>-</v>
      </c>
      <c r="K264" s="34" t="s">
        <v>959</v>
      </c>
      <c r="L264" s="35" t="s">
        <v>959</v>
      </c>
      <c r="M264" s="34" t="str">
        <f>IF(OR(L264="-",L264="",L264=0),IF(K264="-","-",K264),K264-L264)</f>
        <v>-</v>
      </c>
      <c r="N264" s="4" t="str">
        <f>IFERROR(IF(K264&gt;0, L264/K264, 0),"-")</f>
        <v>-</v>
      </c>
      <c r="O264" s="34" t="s">
        <v>959</v>
      </c>
      <c r="P264" s="35" t="s">
        <v>959</v>
      </c>
      <c r="Q264" s="34" t="str">
        <f>IF(OR(P264="-",P264="",P264=0),IF(O264="-","-",O264),O264-P264)</f>
        <v>-</v>
      </c>
      <c r="R264" s="4" t="str">
        <f>IFERROR(IF(O264&gt;0, P264/O264, 0),"-")</f>
        <v>-</v>
      </c>
      <c r="S264" s="34" t="s">
        <v>959</v>
      </c>
      <c r="T264" s="34" t="s">
        <v>959</v>
      </c>
      <c r="U264" s="34" t="s">
        <v>959</v>
      </c>
      <c r="V264" s="35" t="s">
        <v>959</v>
      </c>
      <c r="W264" s="35" t="s">
        <v>959</v>
      </c>
    </row>
    <row r="265" spans="1:23" x14ac:dyDescent="0.2">
      <c r="A265" s="30" t="s">
        <v>492</v>
      </c>
      <c r="B265" s="30" t="s">
        <v>1006</v>
      </c>
      <c r="C265" s="34">
        <v>63</v>
      </c>
      <c r="D265" s="35">
        <v>62</v>
      </c>
      <c r="E265" s="34">
        <f>IF(OR(D265="-",D265="",D265=0),IF(C265="-","-",C265),C265-D265)</f>
        <v>1</v>
      </c>
      <c r="F265" s="4">
        <f>IFERROR(IF(C265&gt;0, D265/C265, 0),"-")</f>
        <v>0.98412698412698407</v>
      </c>
      <c r="G265" s="34" t="s">
        <v>959</v>
      </c>
      <c r="H265" s="35" t="s">
        <v>959</v>
      </c>
      <c r="I265" s="34" t="str">
        <f>IF(OR(H265="-",H265="",H265=0),IF(G265="-","-",G265),G265-H265)</f>
        <v>-</v>
      </c>
      <c r="J265" s="4" t="str">
        <f>IFERROR(IF(G265&gt;0, H265/G265, 0),"-")</f>
        <v>-</v>
      </c>
      <c r="K265" s="34" t="s">
        <v>959</v>
      </c>
      <c r="L265" s="35" t="s">
        <v>959</v>
      </c>
      <c r="M265" s="34" t="str">
        <f>IF(OR(L265="-",L265="",L265=0),IF(K265="-","-",K265),K265-L265)</f>
        <v>-</v>
      </c>
      <c r="N265" s="4" t="str">
        <f>IFERROR(IF(K265&gt;0, L265/K265, 0),"-")</f>
        <v>-</v>
      </c>
      <c r="O265" s="34" t="s">
        <v>959</v>
      </c>
      <c r="P265" s="35" t="s">
        <v>959</v>
      </c>
      <c r="Q265" s="34" t="str">
        <f>IF(OR(P265="-",P265="",P265=0),IF(O265="-","-",O265),O265-P265)</f>
        <v>-</v>
      </c>
      <c r="R265" s="4" t="str">
        <f>IFERROR(IF(O265&gt;0, P265/O265, 0),"-")</f>
        <v>-</v>
      </c>
      <c r="S265" s="34" t="s">
        <v>959</v>
      </c>
      <c r="T265" s="34" t="s">
        <v>959</v>
      </c>
      <c r="U265" s="34" t="s">
        <v>959</v>
      </c>
      <c r="V265" s="35" t="s">
        <v>959</v>
      </c>
      <c r="W265" s="35" t="s">
        <v>959</v>
      </c>
    </row>
    <row r="266" spans="1:23" x14ac:dyDescent="0.2">
      <c r="A266" s="30" t="s">
        <v>491</v>
      </c>
      <c r="B266" s="30" t="s">
        <v>1007</v>
      </c>
      <c r="C266" s="34">
        <v>76</v>
      </c>
      <c r="D266" s="35">
        <v>75</v>
      </c>
      <c r="E266" s="34">
        <f>IF(OR(D266="-",D266="",D266=0),IF(C266="-","-",C266),C266-D266)</f>
        <v>1</v>
      </c>
      <c r="F266" s="4">
        <f>IFERROR(IF(C266&gt;0, D266/C266, 0),"-")</f>
        <v>0.98684210526315785</v>
      </c>
      <c r="G266" s="34">
        <v>1</v>
      </c>
      <c r="H266" s="35" t="s">
        <v>959</v>
      </c>
      <c r="I266" s="34">
        <f>IF(OR(H266="-",H266="",H266=0),IF(G266="-","-",G266),G266-H266)</f>
        <v>1</v>
      </c>
      <c r="J266" s="4" t="str">
        <f>IFERROR(IF(G266&gt;0, H266/G266, 0),"-")</f>
        <v>-</v>
      </c>
      <c r="K266" s="34" t="s">
        <v>959</v>
      </c>
      <c r="L266" s="35" t="s">
        <v>959</v>
      </c>
      <c r="M266" s="34" t="str">
        <f>IF(OR(L266="-",L266="",L266=0),IF(K266="-","-",K266),K266-L266)</f>
        <v>-</v>
      </c>
      <c r="N266" s="4" t="str">
        <f>IFERROR(IF(K266&gt;0, L266/K266, 0),"-")</f>
        <v>-</v>
      </c>
      <c r="O266" s="34" t="s">
        <v>959</v>
      </c>
      <c r="P266" s="35" t="s">
        <v>959</v>
      </c>
      <c r="Q266" s="34" t="str">
        <f>IF(OR(P266="-",P266="",P266=0),IF(O266="-","-",O266),O266-P266)</f>
        <v>-</v>
      </c>
      <c r="R266" s="4" t="str">
        <f>IFERROR(IF(O266&gt;0, P266/O266, 0),"-")</f>
        <v>-</v>
      </c>
      <c r="S266" s="34" t="s">
        <v>959</v>
      </c>
      <c r="T266" s="34" t="s">
        <v>959</v>
      </c>
      <c r="U266" s="34" t="s">
        <v>959</v>
      </c>
      <c r="V266" s="35" t="s">
        <v>959</v>
      </c>
      <c r="W266" s="35" t="s">
        <v>959</v>
      </c>
    </row>
    <row r="267" spans="1:23" x14ac:dyDescent="0.2">
      <c r="A267" s="29"/>
      <c r="B267" s="29" t="s">
        <v>92</v>
      </c>
      <c r="C267" s="32">
        <v>628</v>
      </c>
      <c r="D267" s="32">
        <v>610</v>
      </c>
      <c r="E267" s="32">
        <f>IF(OR(D267="-",D267="",D267=0),IF(C267="-","-",C267),C267-D267)</f>
        <v>18</v>
      </c>
      <c r="F267" s="36">
        <f>IFERROR(IF(C267&gt;0, D267/C267, 0),"-")</f>
        <v>0.9713375796178344</v>
      </c>
      <c r="G267" s="32">
        <v>11</v>
      </c>
      <c r="H267" s="32">
        <v>1</v>
      </c>
      <c r="I267" s="32">
        <f>IF(OR(H267="-",H267="",H267=0),IF(G267="-","-",G267),G267-H267)</f>
        <v>10</v>
      </c>
      <c r="J267" s="36">
        <f>IFERROR(IF(G267&gt;0, H267/G267, 0),"-")</f>
        <v>9.0909090909090912E-2</v>
      </c>
      <c r="K267" s="32">
        <v>2</v>
      </c>
      <c r="L267" s="32">
        <v>1</v>
      </c>
      <c r="M267" s="32">
        <f>IF(OR(L267="-",L267="",L267=0),IF(K267="-","-",K267),K267-L267)</f>
        <v>1</v>
      </c>
      <c r="N267" s="36">
        <f>IFERROR(IF(K267&gt;0, L267/K267, 0),"-")</f>
        <v>0.5</v>
      </c>
      <c r="O267" s="32">
        <v>8</v>
      </c>
      <c r="P267" s="32">
        <v>1</v>
      </c>
      <c r="Q267" s="32">
        <f>IF(OR(P267="-",P267="",P267=0),IF(O267="-","-",O267),O267-P267)</f>
        <v>7</v>
      </c>
      <c r="R267" s="36">
        <f>IFERROR(IF(O267&gt;0, P267/O267, 0),"-")</f>
        <v>0.125</v>
      </c>
      <c r="S267" s="32">
        <v>3</v>
      </c>
      <c r="T267" s="32">
        <v>1</v>
      </c>
      <c r="U267" s="32">
        <v>3235</v>
      </c>
      <c r="V267" s="32" t="s">
        <v>959</v>
      </c>
      <c r="W267" s="32" t="s">
        <v>959</v>
      </c>
    </row>
    <row r="268" spans="1:23" x14ac:dyDescent="0.2">
      <c r="A268" s="30" t="s">
        <v>625</v>
      </c>
      <c r="B268" s="30" t="s">
        <v>1008</v>
      </c>
      <c r="C268" s="34">
        <v>32</v>
      </c>
      <c r="D268" s="35">
        <v>32</v>
      </c>
      <c r="E268" s="34">
        <f>IF(OR(D268="-",D268="",D268=0),IF(C268="-","-",C268),C268-D268)</f>
        <v>0</v>
      </c>
      <c r="F268" s="4">
        <f>IFERROR(IF(C268&gt;0, D268/C268, 0),"-")</f>
        <v>1</v>
      </c>
      <c r="G268" s="34" t="s">
        <v>959</v>
      </c>
      <c r="H268" s="35" t="s">
        <v>959</v>
      </c>
      <c r="I268" s="34" t="str">
        <f>IF(OR(H268="-",H268="",H268=0),IF(G268="-","-",G268),G268-H268)</f>
        <v>-</v>
      </c>
      <c r="J268" s="4" t="str">
        <f>IFERROR(IF(G268&gt;0, H268/G268, 0),"-")</f>
        <v>-</v>
      </c>
      <c r="K268" s="34">
        <v>1</v>
      </c>
      <c r="L268" s="35">
        <v>1</v>
      </c>
      <c r="M268" s="34">
        <f>IF(OR(L268="-",L268="",L268=0),IF(K268="-","-",K268),K268-L268)</f>
        <v>0</v>
      </c>
      <c r="N268" s="4">
        <f>IFERROR(IF(K268&gt;0, L268/K268, 0),"-")</f>
        <v>1</v>
      </c>
      <c r="O268" s="34" t="s">
        <v>959</v>
      </c>
      <c r="P268" s="35" t="s">
        <v>959</v>
      </c>
      <c r="Q268" s="34" t="str">
        <f>IF(OR(P268="-",P268="",P268=0),IF(O268="-","-",O268),O268-P268)</f>
        <v>-</v>
      </c>
      <c r="R268" s="4" t="str">
        <f>IFERROR(IF(O268&gt;0, P268/O268, 0),"-")</f>
        <v>-</v>
      </c>
      <c r="S268" s="34">
        <v>1</v>
      </c>
      <c r="T268" s="34">
        <v>1</v>
      </c>
      <c r="U268" s="34">
        <v>3235</v>
      </c>
      <c r="V268" s="35" t="s">
        <v>959</v>
      </c>
      <c r="W268" s="35" t="s">
        <v>959</v>
      </c>
    </row>
    <row r="269" spans="1:23" x14ac:dyDescent="0.2">
      <c r="A269" s="30" t="s">
        <v>630</v>
      </c>
      <c r="B269" s="30" t="s">
        <v>1009</v>
      </c>
      <c r="C269" s="34">
        <v>97</v>
      </c>
      <c r="D269" s="35">
        <v>82</v>
      </c>
      <c r="E269" s="34">
        <f>IF(OR(D269="-",D269="",D269=0),IF(C269="-","-",C269),C269-D269)</f>
        <v>15</v>
      </c>
      <c r="F269" s="4">
        <f>IFERROR(IF(C269&gt;0, D269/C269, 0),"-")</f>
        <v>0.84536082474226804</v>
      </c>
      <c r="G269" s="34">
        <v>6</v>
      </c>
      <c r="H269" s="35" t="s">
        <v>959</v>
      </c>
      <c r="I269" s="34">
        <f>IF(OR(H269="-",H269="",H269=0),IF(G269="-","-",G269),G269-H269)</f>
        <v>6</v>
      </c>
      <c r="J269" s="4" t="str">
        <f>IFERROR(IF(G269&gt;0, H269/G269, 0),"-")</f>
        <v>-</v>
      </c>
      <c r="K269" s="34">
        <v>1</v>
      </c>
      <c r="L269" s="35" t="s">
        <v>959</v>
      </c>
      <c r="M269" s="34">
        <f>IF(OR(L269="-",L269="",L269=0),IF(K269="-","-",K269),K269-L269)</f>
        <v>1</v>
      </c>
      <c r="N269" s="4" t="str">
        <f>IFERROR(IF(K269&gt;0, L269/K269, 0),"-")</f>
        <v>-</v>
      </c>
      <c r="O269" s="34">
        <v>5</v>
      </c>
      <c r="P269" s="35" t="s">
        <v>959</v>
      </c>
      <c r="Q269" s="34">
        <f>IF(OR(P269="-",P269="",P269=0),IF(O269="-","-",O269),O269-P269)</f>
        <v>5</v>
      </c>
      <c r="R269" s="4" t="str">
        <f>IFERROR(IF(O269&gt;0, P269/O269, 0),"-")</f>
        <v>-</v>
      </c>
      <c r="S269" s="34">
        <v>2</v>
      </c>
      <c r="T269" s="34" t="s">
        <v>959</v>
      </c>
      <c r="U269" s="34" t="s">
        <v>959</v>
      </c>
      <c r="V269" s="35" t="s">
        <v>959</v>
      </c>
      <c r="W269" s="35" t="s">
        <v>959</v>
      </c>
    </row>
    <row r="270" spans="1:23" x14ac:dyDescent="0.2">
      <c r="A270" s="30" t="s">
        <v>629</v>
      </c>
      <c r="B270" s="30" t="s">
        <v>1010</v>
      </c>
      <c r="C270" s="34">
        <v>74</v>
      </c>
      <c r="D270" s="35">
        <v>74</v>
      </c>
      <c r="E270" s="34">
        <f>IF(OR(D270="-",D270="",D270=0),IF(C270="-","-",C270),C270-D270)</f>
        <v>0</v>
      </c>
      <c r="F270" s="4">
        <f>IFERROR(IF(C270&gt;0, D270/C270, 0),"-")</f>
        <v>1</v>
      </c>
      <c r="G270" s="34">
        <v>2</v>
      </c>
      <c r="H270" s="35">
        <v>1</v>
      </c>
      <c r="I270" s="34">
        <f>IF(OR(H270="-",H270="",H270=0),IF(G270="-","-",G270),G270-H270)</f>
        <v>1</v>
      </c>
      <c r="J270" s="4">
        <f>IFERROR(IF(G270&gt;0, H270/G270, 0),"-")</f>
        <v>0.5</v>
      </c>
      <c r="K270" s="34" t="s">
        <v>959</v>
      </c>
      <c r="L270" s="35" t="s">
        <v>959</v>
      </c>
      <c r="M270" s="34" t="str">
        <f>IF(OR(L270="-",L270="",L270=0),IF(K270="-","-",K270),K270-L270)</f>
        <v>-</v>
      </c>
      <c r="N270" s="4" t="str">
        <f>IFERROR(IF(K270&gt;0, L270/K270, 0),"-")</f>
        <v>-</v>
      </c>
      <c r="O270" s="34" t="s">
        <v>959</v>
      </c>
      <c r="P270" s="35" t="s">
        <v>959</v>
      </c>
      <c r="Q270" s="34" t="str">
        <f>IF(OR(P270="-",P270="",P270=0),IF(O270="-","-",O270),O270-P270)</f>
        <v>-</v>
      </c>
      <c r="R270" s="4" t="str">
        <f>IFERROR(IF(O270&gt;0, P270/O270, 0),"-")</f>
        <v>-</v>
      </c>
      <c r="S270" s="34" t="s">
        <v>959</v>
      </c>
      <c r="T270" s="34" t="s">
        <v>959</v>
      </c>
      <c r="U270" s="34" t="s">
        <v>959</v>
      </c>
      <c r="V270" s="35" t="s">
        <v>959</v>
      </c>
      <c r="W270" s="35" t="s">
        <v>959</v>
      </c>
    </row>
    <row r="271" spans="1:23" x14ac:dyDescent="0.2">
      <c r="A271" s="30" t="s">
        <v>626</v>
      </c>
      <c r="B271" s="30" t="s">
        <v>1011</v>
      </c>
      <c r="C271" s="34">
        <v>81</v>
      </c>
      <c r="D271" s="35">
        <v>81</v>
      </c>
      <c r="E271" s="34">
        <f>IF(OR(D271="-",D271="",D271=0),IF(C271="-","-",C271),C271-D271)</f>
        <v>0</v>
      </c>
      <c r="F271" s="4">
        <f>IFERROR(IF(C271&gt;0, D271/C271, 0),"-")</f>
        <v>1</v>
      </c>
      <c r="G271" s="34">
        <v>2</v>
      </c>
      <c r="H271" s="35" t="s">
        <v>959</v>
      </c>
      <c r="I271" s="34">
        <f>IF(OR(H271="-",H271="",H271=0),IF(G271="-","-",G271),G271-H271)</f>
        <v>2</v>
      </c>
      <c r="J271" s="4" t="str">
        <f>IFERROR(IF(G271&gt;0, H271/G271, 0),"-")</f>
        <v>-</v>
      </c>
      <c r="K271" s="34" t="s">
        <v>959</v>
      </c>
      <c r="L271" s="35" t="s">
        <v>959</v>
      </c>
      <c r="M271" s="34" t="str">
        <f>IF(OR(L271="-",L271="",L271=0),IF(K271="-","-",K271),K271-L271)</f>
        <v>-</v>
      </c>
      <c r="N271" s="4" t="str">
        <f>IFERROR(IF(K271&gt;0, L271/K271, 0),"-")</f>
        <v>-</v>
      </c>
      <c r="O271" s="34" t="s">
        <v>959</v>
      </c>
      <c r="P271" s="35" t="s">
        <v>959</v>
      </c>
      <c r="Q271" s="34" t="str">
        <f>IF(OR(P271="-",P271="",P271=0),IF(O271="-","-",O271),O271-P271)</f>
        <v>-</v>
      </c>
      <c r="R271" s="4" t="str">
        <f>IFERROR(IF(O271&gt;0, P271/O271, 0),"-")</f>
        <v>-</v>
      </c>
      <c r="S271" s="34" t="s">
        <v>959</v>
      </c>
      <c r="T271" s="34" t="s">
        <v>959</v>
      </c>
      <c r="U271" s="34" t="s">
        <v>959</v>
      </c>
      <c r="V271" s="35" t="s">
        <v>959</v>
      </c>
      <c r="W271" s="35" t="s">
        <v>959</v>
      </c>
    </row>
    <row r="272" spans="1:23" x14ac:dyDescent="0.2">
      <c r="A272" s="30" t="s">
        <v>627</v>
      </c>
      <c r="B272" s="30" t="s">
        <v>1012</v>
      </c>
      <c r="C272" s="34">
        <v>82</v>
      </c>
      <c r="D272" s="35">
        <v>79</v>
      </c>
      <c r="E272" s="34">
        <f>IF(OR(D272="-",D272="",D272=0),IF(C272="-","-",C272),C272-D272)</f>
        <v>3</v>
      </c>
      <c r="F272" s="4">
        <f>IFERROR(IF(C272&gt;0, D272/C272, 0),"-")</f>
        <v>0.96341463414634143</v>
      </c>
      <c r="G272" s="34" t="s">
        <v>959</v>
      </c>
      <c r="H272" s="35" t="s">
        <v>959</v>
      </c>
      <c r="I272" s="34" t="str">
        <f>IF(OR(H272="-",H272="",H272=0),IF(G272="-","-",G272),G272-H272)</f>
        <v>-</v>
      </c>
      <c r="J272" s="4" t="str">
        <f>IFERROR(IF(G272&gt;0, H272/G272, 0),"-")</f>
        <v>-</v>
      </c>
      <c r="K272" s="34" t="s">
        <v>959</v>
      </c>
      <c r="L272" s="35" t="s">
        <v>959</v>
      </c>
      <c r="M272" s="34" t="str">
        <f>IF(OR(L272="-",L272="",L272=0),IF(K272="-","-",K272),K272-L272)</f>
        <v>-</v>
      </c>
      <c r="N272" s="4" t="str">
        <f>IFERROR(IF(K272&gt;0, L272/K272, 0),"-")</f>
        <v>-</v>
      </c>
      <c r="O272" s="34">
        <v>2</v>
      </c>
      <c r="P272" s="35">
        <v>1</v>
      </c>
      <c r="Q272" s="34">
        <f>IF(OR(P272="-",P272="",P272=0),IF(O272="-","-",O272),O272-P272)</f>
        <v>1</v>
      </c>
      <c r="R272" s="4">
        <f>IFERROR(IF(O272&gt;0, P272/O272, 0),"-")</f>
        <v>0.5</v>
      </c>
      <c r="S272" s="34" t="s">
        <v>959</v>
      </c>
      <c r="T272" s="34" t="s">
        <v>959</v>
      </c>
      <c r="U272" s="34" t="s">
        <v>959</v>
      </c>
      <c r="V272" s="35" t="s">
        <v>959</v>
      </c>
      <c r="W272" s="35" t="s">
        <v>959</v>
      </c>
    </row>
    <row r="273" spans="1:23" x14ac:dyDescent="0.2">
      <c r="A273" s="30" t="s">
        <v>628</v>
      </c>
      <c r="B273" s="30" t="s">
        <v>1013</v>
      </c>
      <c r="C273" s="34">
        <v>88</v>
      </c>
      <c r="D273" s="35">
        <v>88</v>
      </c>
      <c r="E273" s="34">
        <f>IF(OR(D273="-",D273="",D273=0),IF(C273="-","-",C273),C273-D273)</f>
        <v>0</v>
      </c>
      <c r="F273" s="4">
        <f>IFERROR(IF(C273&gt;0, D273/C273, 0),"-")</f>
        <v>1</v>
      </c>
      <c r="G273" s="34" t="s">
        <v>959</v>
      </c>
      <c r="H273" s="35" t="s">
        <v>959</v>
      </c>
      <c r="I273" s="34" t="str">
        <f>IF(OR(H273="-",H273="",H273=0),IF(G273="-","-",G273),G273-H273)</f>
        <v>-</v>
      </c>
      <c r="J273" s="4" t="str">
        <f>IFERROR(IF(G273&gt;0, H273/G273, 0),"-")</f>
        <v>-</v>
      </c>
      <c r="K273" s="34" t="s">
        <v>959</v>
      </c>
      <c r="L273" s="35" t="s">
        <v>959</v>
      </c>
      <c r="M273" s="34" t="str">
        <f>IF(OR(L273="-",L273="",L273=0),IF(K273="-","-",K273),K273-L273)</f>
        <v>-</v>
      </c>
      <c r="N273" s="4" t="str">
        <f>IFERROR(IF(K273&gt;0, L273/K273, 0),"-")</f>
        <v>-</v>
      </c>
      <c r="O273" s="34" t="s">
        <v>959</v>
      </c>
      <c r="P273" s="35" t="s">
        <v>959</v>
      </c>
      <c r="Q273" s="34" t="str">
        <f>IF(OR(P273="-",P273="",P273=0),IF(O273="-","-",O273),O273-P273)</f>
        <v>-</v>
      </c>
      <c r="R273" s="4" t="str">
        <f>IFERROR(IF(O273&gt;0, P273/O273, 0),"-")</f>
        <v>-</v>
      </c>
      <c r="S273" s="34" t="s">
        <v>959</v>
      </c>
      <c r="T273" s="34" t="s">
        <v>959</v>
      </c>
      <c r="U273" s="34" t="s">
        <v>959</v>
      </c>
      <c r="V273" s="35" t="s">
        <v>959</v>
      </c>
      <c r="W273" s="35" t="s">
        <v>959</v>
      </c>
    </row>
    <row r="274" spans="1:23" x14ac:dyDescent="0.2">
      <c r="A274" s="30" t="s">
        <v>623</v>
      </c>
      <c r="B274" s="30" t="s">
        <v>1014</v>
      </c>
      <c r="C274" s="34">
        <v>115</v>
      </c>
      <c r="D274" s="35">
        <v>115</v>
      </c>
      <c r="E274" s="34">
        <f>IF(OR(D274="-",D274="",D274=0),IF(C274="-","-",C274),C274-D274)</f>
        <v>0</v>
      </c>
      <c r="F274" s="4">
        <f>IFERROR(IF(C274&gt;0, D274/C274, 0),"-")</f>
        <v>1</v>
      </c>
      <c r="G274" s="34" t="s">
        <v>959</v>
      </c>
      <c r="H274" s="35" t="s">
        <v>959</v>
      </c>
      <c r="I274" s="34" t="str">
        <f>IF(OR(H274="-",H274="",H274=0),IF(G274="-","-",G274),G274-H274)</f>
        <v>-</v>
      </c>
      <c r="J274" s="4" t="str">
        <f>IFERROR(IF(G274&gt;0, H274/G274, 0),"-")</f>
        <v>-</v>
      </c>
      <c r="K274" s="34" t="s">
        <v>959</v>
      </c>
      <c r="L274" s="35" t="s">
        <v>959</v>
      </c>
      <c r="M274" s="34" t="str">
        <f>IF(OR(L274="-",L274="",L274=0),IF(K274="-","-",K274),K274-L274)</f>
        <v>-</v>
      </c>
      <c r="N274" s="4" t="str">
        <f>IFERROR(IF(K274&gt;0, L274/K274, 0),"-")</f>
        <v>-</v>
      </c>
      <c r="O274" s="34">
        <v>1</v>
      </c>
      <c r="P274" s="35" t="s">
        <v>959</v>
      </c>
      <c r="Q274" s="34">
        <f>IF(OR(P274="-",P274="",P274=0),IF(O274="-","-",O274),O274-P274)</f>
        <v>1</v>
      </c>
      <c r="R274" s="4" t="str">
        <f>IFERROR(IF(O274&gt;0, P274/O274, 0),"-")</f>
        <v>-</v>
      </c>
      <c r="S274" s="34" t="s">
        <v>959</v>
      </c>
      <c r="T274" s="34" t="s">
        <v>959</v>
      </c>
      <c r="U274" s="34" t="s">
        <v>959</v>
      </c>
      <c r="V274" s="35" t="s">
        <v>959</v>
      </c>
      <c r="W274" s="35" t="s">
        <v>959</v>
      </c>
    </row>
    <row r="275" spans="1:23" x14ac:dyDescent="0.2">
      <c r="A275" s="30" t="s">
        <v>624</v>
      </c>
      <c r="B275" s="30" t="s">
        <v>1015</v>
      </c>
      <c r="C275" s="34">
        <v>59</v>
      </c>
      <c r="D275" s="35">
        <v>59</v>
      </c>
      <c r="E275" s="34">
        <f>IF(OR(D275="-",D275="",D275=0),IF(C275="-","-",C275),C275-D275)</f>
        <v>0</v>
      </c>
      <c r="F275" s="4">
        <f>IFERROR(IF(C275&gt;0, D275/C275, 0),"-")</f>
        <v>1</v>
      </c>
      <c r="G275" s="34">
        <v>1</v>
      </c>
      <c r="H275" s="35" t="s">
        <v>959</v>
      </c>
      <c r="I275" s="34">
        <f>IF(OR(H275="-",H275="",H275=0),IF(G275="-","-",G275),G275-H275)</f>
        <v>1</v>
      </c>
      <c r="J275" s="4" t="str">
        <f>IFERROR(IF(G275&gt;0, H275/G275, 0),"-")</f>
        <v>-</v>
      </c>
      <c r="K275" s="34" t="s">
        <v>959</v>
      </c>
      <c r="L275" s="35" t="s">
        <v>959</v>
      </c>
      <c r="M275" s="34" t="str">
        <f>IF(OR(L275="-",L275="",L275=0),IF(K275="-","-",K275),K275-L275)</f>
        <v>-</v>
      </c>
      <c r="N275" s="4" t="str">
        <f>IFERROR(IF(K275&gt;0, L275/K275, 0),"-")</f>
        <v>-</v>
      </c>
      <c r="O275" s="34" t="s">
        <v>959</v>
      </c>
      <c r="P275" s="35" t="s">
        <v>959</v>
      </c>
      <c r="Q275" s="34" t="str">
        <f>IF(OR(P275="-",P275="",P275=0),IF(O275="-","-",O275),O275-P275)</f>
        <v>-</v>
      </c>
      <c r="R275" s="4" t="str">
        <f>IFERROR(IF(O275&gt;0, P275/O275, 0),"-")</f>
        <v>-</v>
      </c>
      <c r="S275" s="34" t="s">
        <v>959</v>
      </c>
      <c r="T275" s="34" t="s">
        <v>959</v>
      </c>
      <c r="U275" s="34" t="s">
        <v>959</v>
      </c>
      <c r="V275" s="35" t="s">
        <v>959</v>
      </c>
      <c r="W275" s="35" t="s">
        <v>959</v>
      </c>
    </row>
    <row r="276" spans="1:23" x14ac:dyDescent="0.2">
      <c r="A276" s="29"/>
      <c r="B276" s="29" t="s">
        <v>79</v>
      </c>
      <c r="C276" s="32">
        <v>503</v>
      </c>
      <c r="D276" s="32">
        <v>498</v>
      </c>
      <c r="E276" s="32">
        <f>IF(OR(D276="-",D276="",D276=0),IF(C276="-","-",C276),C276-D276)</f>
        <v>5</v>
      </c>
      <c r="F276" s="36">
        <f>IFERROR(IF(C276&gt;0, D276/C276, 0),"-")</f>
        <v>0.99005964214711728</v>
      </c>
      <c r="G276" s="32">
        <v>2</v>
      </c>
      <c r="H276" s="32" t="s">
        <v>959</v>
      </c>
      <c r="I276" s="32">
        <f>IF(OR(H276="-",H276="",H276=0),IF(G276="-","-",G276),G276-H276)</f>
        <v>2</v>
      </c>
      <c r="J276" s="36" t="str">
        <f>IFERROR(IF(G276&gt;0, H276/G276, 0),"-")</f>
        <v>-</v>
      </c>
      <c r="K276" s="32">
        <v>2</v>
      </c>
      <c r="L276" s="32">
        <v>2</v>
      </c>
      <c r="M276" s="32">
        <f>IF(OR(L276="-",L276="",L276=0),IF(K276="-","-",K276),K276-L276)</f>
        <v>0</v>
      </c>
      <c r="N276" s="36">
        <f>IFERROR(IF(K276&gt;0, L276/K276, 0),"-")</f>
        <v>1</v>
      </c>
      <c r="O276" s="32">
        <v>1</v>
      </c>
      <c r="P276" s="32" t="s">
        <v>959</v>
      </c>
      <c r="Q276" s="32">
        <f>IF(OR(P276="-",P276="",P276=0),IF(O276="-","-",O276),O276-P276)</f>
        <v>1</v>
      </c>
      <c r="R276" s="36" t="str">
        <f>IFERROR(IF(O276&gt;0, P276/O276, 0),"-")</f>
        <v>-</v>
      </c>
      <c r="S276" s="32">
        <v>5</v>
      </c>
      <c r="T276" s="32" t="s">
        <v>959</v>
      </c>
      <c r="U276" s="32" t="s">
        <v>959</v>
      </c>
      <c r="V276" s="32" t="s">
        <v>959</v>
      </c>
      <c r="W276" s="32" t="s">
        <v>959</v>
      </c>
    </row>
    <row r="277" spans="1:23" x14ac:dyDescent="0.2">
      <c r="A277" s="30" t="s">
        <v>530</v>
      </c>
      <c r="B277" s="30" t="s">
        <v>1016</v>
      </c>
      <c r="C277" s="34">
        <v>95</v>
      </c>
      <c r="D277" s="35">
        <v>95</v>
      </c>
      <c r="E277" s="34">
        <f>IF(OR(D277="-",D277="",D277=0),IF(C277="-","-",C277),C277-D277)</f>
        <v>0</v>
      </c>
      <c r="F277" s="4">
        <f>IFERROR(IF(C277&gt;0, D277/C277, 0),"-")</f>
        <v>1</v>
      </c>
      <c r="G277" s="34" t="s">
        <v>959</v>
      </c>
      <c r="H277" s="35" t="s">
        <v>959</v>
      </c>
      <c r="I277" s="34" t="str">
        <f>IF(OR(H277="-",H277="",H277=0),IF(G277="-","-",G277),G277-H277)</f>
        <v>-</v>
      </c>
      <c r="J277" s="4" t="str">
        <f>IFERROR(IF(G277&gt;0, H277/G277, 0),"-")</f>
        <v>-</v>
      </c>
      <c r="K277" s="34" t="s">
        <v>959</v>
      </c>
      <c r="L277" s="35" t="s">
        <v>959</v>
      </c>
      <c r="M277" s="34" t="str">
        <f>IF(OR(L277="-",L277="",L277=0),IF(K277="-","-",K277),K277-L277)</f>
        <v>-</v>
      </c>
      <c r="N277" s="4" t="str">
        <f>IFERROR(IF(K277&gt;0, L277/K277, 0),"-")</f>
        <v>-</v>
      </c>
      <c r="O277" s="34" t="s">
        <v>959</v>
      </c>
      <c r="P277" s="35" t="s">
        <v>959</v>
      </c>
      <c r="Q277" s="34" t="str">
        <f>IF(OR(P277="-",P277="",P277=0),IF(O277="-","-",O277),O277-P277)</f>
        <v>-</v>
      </c>
      <c r="R277" s="4" t="str">
        <f>IFERROR(IF(O277&gt;0, P277/O277, 0),"-")</f>
        <v>-</v>
      </c>
      <c r="S277" s="34">
        <v>1</v>
      </c>
      <c r="T277" s="34" t="s">
        <v>959</v>
      </c>
      <c r="U277" s="34" t="s">
        <v>959</v>
      </c>
      <c r="V277" s="35" t="s">
        <v>959</v>
      </c>
      <c r="W277" s="35" t="s">
        <v>959</v>
      </c>
    </row>
    <row r="278" spans="1:23" x14ac:dyDescent="0.2">
      <c r="A278" s="30" t="s">
        <v>528</v>
      </c>
      <c r="B278" s="30" t="s">
        <v>1017</v>
      </c>
      <c r="C278" s="34">
        <v>66</v>
      </c>
      <c r="D278" s="35">
        <v>64</v>
      </c>
      <c r="E278" s="34">
        <f>IF(OR(D278="-",D278="",D278=0),IF(C278="-","-",C278),C278-D278)</f>
        <v>2</v>
      </c>
      <c r="F278" s="4">
        <f>IFERROR(IF(C278&gt;0, D278/C278, 0),"-")</f>
        <v>0.96969696969696972</v>
      </c>
      <c r="G278" s="34">
        <v>1</v>
      </c>
      <c r="H278" s="35" t="s">
        <v>959</v>
      </c>
      <c r="I278" s="34">
        <f>IF(OR(H278="-",H278="",H278=0),IF(G278="-","-",G278),G278-H278)</f>
        <v>1</v>
      </c>
      <c r="J278" s="4" t="str">
        <f>IFERROR(IF(G278&gt;0, H278/G278, 0),"-")</f>
        <v>-</v>
      </c>
      <c r="K278" s="34">
        <v>1</v>
      </c>
      <c r="L278" s="35">
        <v>1</v>
      </c>
      <c r="M278" s="34">
        <f>IF(OR(L278="-",L278="",L278=0),IF(K278="-","-",K278),K278-L278)</f>
        <v>0</v>
      </c>
      <c r="N278" s="4">
        <f>IFERROR(IF(K278&gt;0, L278/K278, 0),"-")</f>
        <v>1</v>
      </c>
      <c r="O278" s="34" t="s">
        <v>959</v>
      </c>
      <c r="P278" s="35" t="s">
        <v>959</v>
      </c>
      <c r="Q278" s="34" t="str">
        <f>IF(OR(P278="-",P278="",P278=0),IF(O278="-","-",O278),O278-P278)</f>
        <v>-</v>
      </c>
      <c r="R278" s="4" t="str">
        <f>IFERROR(IF(O278&gt;0, P278/O278, 0),"-")</f>
        <v>-</v>
      </c>
      <c r="S278" s="34">
        <v>1</v>
      </c>
      <c r="T278" s="34" t="s">
        <v>959</v>
      </c>
      <c r="U278" s="34" t="s">
        <v>959</v>
      </c>
      <c r="V278" s="35" t="s">
        <v>959</v>
      </c>
      <c r="W278" s="35" t="s">
        <v>959</v>
      </c>
    </row>
    <row r="279" spans="1:23" x14ac:dyDescent="0.2">
      <c r="A279" s="30" t="s">
        <v>529</v>
      </c>
      <c r="B279" s="30" t="s">
        <v>1018</v>
      </c>
      <c r="C279" s="34">
        <v>52</v>
      </c>
      <c r="D279" s="35">
        <v>52</v>
      </c>
      <c r="E279" s="34">
        <f>IF(OR(D279="-",D279="",D279=0),IF(C279="-","-",C279),C279-D279)</f>
        <v>0</v>
      </c>
      <c r="F279" s="4">
        <f>IFERROR(IF(C279&gt;0, D279/C279, 0),"-")</f>
        <v>1</v>
      </c>
      <c r="G279" s="34">
        <v>1</v>
      </c>
      <c r="H279" s="35" t="s">
        <v>959</v>
      </c>
      <c r="I279" s="34">
        <f>IF(OR(H279="-",H279="",H279=0),IF(G279="-","-",G279),G279-H279)</f>
        <v>1</v>
      </c>
      <c r="J279" s="4" t="str">
        <f>IFERROR(IF(G279&gt;0, H279/G279, 0),"-")</f>
        <v>-</v>
      </c>
      <c r="K279" s="34" t="s">
        <v>959</v>
      </c>
      <c r="L279" s="35" t="s">
        <v>959</v>
      </c>
      <c r="M279" s="34" t="str">
        <f>IF(OR(L279="-",L279="",L279=0),IF(K279="-","-",K279),K279-L279)</f>
        <v>-</v>
      </c>
      <c r="N279" s="4" t="str">
        <f>IFERROR(IF(K279&gt;0, L279/K279, 0),"-")</f>
        <v>-</v>
      </c>
      <c r="O279" s="34" t="s">
        <v>959</v>
      </c>
      <c r="P279" s="35" t="s">
        <v>959</v>
      </c>
      <c r="Q279" s="34" t="str">
        <f>IF(OR(P279="-",P279="",P279=0),IF(O279="-","-",O279),O279-P279)</f>
        <v>-</v>
      </c>
      <c r="R279" s="4" t="str">
        <f>IFERROR(IF(O279&gt;0, P279/O279, 0),"-")</f>
        <v>-</v>
      </c>
      <c r="S279" s="34" t="s">
        <v>959</v>
      </c>
      <c r="T279" s="34" t="s">
        <v>959</v>
      </c>
      <c r="U279" s="34" t="s">
        <v>959</v>
      </c>
      <c r="V279" s="35" t="s">
        <v>959</v>
      </c>
      <c r="W279" s="35" t="s">
        <v>959</v>
      </c>
    </row>
    <row r="280" spans="1:23" x14ac:dyDescent="0.2">
      <c r="A280" s="30" t="s">
        <v>531</v>
      </c>
      <c r="B280" s="30" t="s">
        <v>1019</v>
      </c>
      <c r="C280" s="34">
        <v>62</v>
      </c>
      <c r="D280" s="35">
        <v>62</v>
      </c>
      <c r="E280" s="34">
        <f>IF(OR(D280="-",D280="",D280=0),IF(C280="-","-",C280),C280-D280)</f>
        <v>0</v>
      </c>
      <c r="F280" s="4">
        <f>IFERROR(IF(C280&gt;0, D280/C280, 0),"-")</f>
        <v>1</v>
      </c>
      <c r="G280" s="34" t="s">
        <v>959</v>
      </c>
      <c r="H280" s="35" t="s">
        <v>959</v>
      </c>
      <c r="I280" s="34" t="str">
        <f>IF(OR(H280="-",H280="",H280=0),IF(G280="-","-",G280),G280-H280)</f>
        <v>-</v>
      </c>
      <c r="J280" s="4" t="str">
        <f>IFERROR(IF(G280&gt;0, H280/G280, 0),"-")</f>
        <v>-</v>
      </c>
      <c r="K280" s="34" t="s">
        <v>959</v>
      </c>
      <c r="L280" s="35" t="s">
        <v>959</v>
      </c>
      <c r="M280" s="34" t="str">
        <f>IF(OR(L280="-",L280="",L280=0),IF(K280="-","-",K280),K280-L280)</f>
        <v>-</v>
      </c>
      <c r="N280" s="4" t="str">
        <f>IFERROR(IF(K280&gt;0, L280/K280, 0),"-")</f>
        <v>-</v>
      </c>
      <c r="O280" s="34" t="s">
        <v>959</v>
      </c>
      <c r="P280" s="35" t="s">
        <v>959</v>
      </c>
      <c r="Q280" s="34" t="str">
        <f>IF(OR(P280="-",P280="",P280=0),IF(O280="-","-",O280),O280-P280)</f>
        <v>-</v>
      </c>
      <c r="R280" s="4" t="str">
        <f>IFERROR(IF(O280&gt;0, P280/O280, 0),"-")</f>
        <v>-</v>
      </c>
      <c r="S280" s="34" t="s">
        <v>959</v>
      </c>
      <c r="T280" s="34" t="s">
        <v>959</v>
      </c>
      <c r="U280" s="34" t="s">
        <v>959</v>
      </c>
      <c r="V280" s="35" t="s">
        <v>959</v>
      </c>
      <c r="W280" s="35" t="s">
        <v>959</v>
      </c>
    </row>
    <row r="281" spans="1:23" x14ac:dyDescent="0.2">
      <c r="A281" s="30" t="s">
        <v>533</v>
      </c>
      <c r="B281" s="30" t="s">
        <v>1020</v>
      </c>
      <c r="C281" s="34">
        <v>53</v>
      </c>
      <c r="D281" s="35">
        <v>53</v>
      </c>
      <c r="E281" s="34">
        <f>IF(OR(D281="-",D281="",D281=0),IF(C281="-","-",C281),C281-D281)</f>
        <v>0</v>
      </c>
      <c r="F281" s="4">
        <f>IFERROR(IF(C281&gt;0, D281/C281, 0),"-")</f>
        <v>1</v>
      </c>
      <c r="G281" s="34" t="s">
        <v>959</v>
      </c>
      <c r="H281" s="35" t="s">
        <v>959</v>
      </c>
      <c r="I281" s="34" t="str">
        <f>IF(OR(H281="-",H281="",H281=0),IF(G281="-","-",G281),G281-H281)</f>
        <v>-</v>
      </c>
      <c r="J281" s="4" t="str">
        <f>IFERROR(IF(G281&gt;0, H281/G281, 0),"-")</f>
        <v>-</v>
      </c>
      <c r="K281" s="34">
        <v>1</v>
      </c>
      <c r="L281" s="35">
        <v>1</v>
      </c>
      <c r="M281" s="34">
        <f>IF(OR(L281="-",L281="",L281=0),IF(K281="-","-",K281),K281-L281)</f>
        <v>0</v>
      </c>
      <c r="N281" s="4">
        <f>IFERROR(IF(K281&gt;0, L281/K281, 0),"-")</f>
        <v>1</v>
      </c>
      <c r="O281" s="34" t="s">
        <v>959</v>
      </c>
      <c r="P281" s="35" t="s">
        <v>959</v>
      </c>
      <c r="Q281" s="34" t="str">
        <f>IF(OR(P281="-",P281="",P281=0),IF(O281="-","-",O281),O281-P281)</f>
        <v>-</v>
      </c>
      <c r="R281" s="4" t="str">
        <f>IFERROR(IF(O281&gt;0, P281/O281, 0),"-")</f>
        <v>-</v>
      </c>
      <c r="S281" s="34" t="s">
        <v>959</v>
      </c>
      <c r="T281" s="34" t="s">
        <v>959</v>
      </c>
      <c r="U281" s="34" t="s">
        <v>959</v>
      </c>
      <c r="V281" s="35" t="s">
        <v>959</v>
      </c>
      <c r="W281" s="35" t="s">
        <v>959</v>
      </c>
    </row>
    <row r="282" spans="1:23" x14ac:dyDescent="0.2">
      <c r="A282" s="30" t="s">
        <v>532</v>
      </c>
      <c r="B282" s="30" t="s">
        <v>1021</v>
      </c>
      <c r="C282" s="34">
        <v>60</v>
      </c>
      <c r="D282" s="35">
        <v>60</v>
      </c>
      <c r="E282" s="34">
        <f>IF(OR(D282="-",D282="",D282=0),IF(C282="-","-",C282),C282-D282)</f>
        <v>0</v>
      </c>
      <c r="F282" s="4">
        <f>IFERROR(IF(C282&gt;0, D282/C282, 0),"-")</f>
        <v>1</v>
      </c>
      <c r="G282" s="34" t="s">
        <v>959</v>
      </c>
      <c r="H282" s="35" t="s">
        <v>959</v>
      </c>
      <c r="I282" s="34" t="str">
        <f>IF(OR(H282="-",H282="",H282=0),IF(G282="-","-",G282),G282-H282)</f>
        <v>-</v>
      </c>
      <c r="J282" s="4" t="str">
        <f>IFERROR(IF(G282&gt;0, H282/G282, 0),"-")</f>
        <v>-</v>
      </c>
      <c r="K282" s="34" t="s">
        <v>959</v>
      </c>
      <c r="L282" s="35" t="s">
        <v>959</v>
      </c>
      <c r="M282" s="34" t="str">
        <f>IF(OR(L282="-",L282="",L282=0),IF(K282="-","-",K282),K282-L282)</f>
        <v>-</v>
      </c>
      <c r="N282" s="4" t="str">
        <f>IFERROR(IF(K282&gt;0, L282/K282, 0),"-")</f>
        <v>-</v>
      </c>
      <c r="O282" s="34" t="s">
        <v>959</v>
      </c>
      <c r="P282" s="35" t="s">
        <v>959</v>
      </c>
      <c r="Q282" s="34" t="str">
        <f>IF(OR(P282="-",P282="",P282=0),IF(O282="-","-",O282),O282-P282)</f>
        <v>-</v>
      </c>
      <c r="R282" s="4" t="str">
        <f>IFERROR(IF(O282&gt;0, P282/O282, 0),"-")</f>
        <v>-</v>
      </c>
      <c r="S282" s="34" t="s">
        <v>959</v>
      </c>
      <c r="T282" s="34" t="s">
        <v>959</v>
      </c>
      <c r="U282" s="34" t="s">
        <v>959</v>
      </c>
      <c r="V282" s="35" t="s">
        <v>959</v>
      </c>
      <c r="W282" s="35" t="s">
        <v>959</v>
      </c>
    </row>
    <row r="283" spans="1:23" x14ac:dyDescent="0.2">
      <c r="A283" s="30" t="s">
        <v>534</v>
      </c>
      <c r="B283" s="30" t="s">
        <v>1022</v>
      </c>
      <c r="C283" s="34">
        <v>69</v>
      </c>
      <c r="D283" s="35">
        <v>69</v>
      </c>
      <c r="E283" s="34">
        <f>IF(OR(D283="-",D283="",D283=0),IF(C283="-","-",C283),C283-D283)</f>
        <v>0</v>
      </c>
      <c r="F283" s="4">
        <f>IFERROR(IF(C283&gt;0, D283/C283, 0),"-")</f>
        <v>1</v>
      </c>
      <c r="G283" s="34" t="s">
        <v>959</v>
      </c>
      <c r="H283" s="35" t="s">
        <v>959</v>
      </c>
      <c r="I283" s="34" t="str">
        <f>IF(OR(H283="-",H283="",H283=0),IF(G283="-","-",G283),G283-H283)</f>
        <v>-</v>
      </c>
      <c r="J283" s="4" t="str">
        <f>IFERROR(IF(G283&gt;0, H283/G283, 0),"-")</f>
        <v>-</v>
      </c>
      <c r="K283" s="34" t="s">
        <v>959</v>
      </c>
      <c r="L283" s="35" t="s">
        <v>959</v>
      </c>
      <c r="M283" s="34" t="str">
        <f>IF(OR(L283="-",L283="",L283=0),IF(K283="-","-",K283),K283-L283)</f>
        <v>-</v>
      </c>
      <c r="N283" s="4" t="str">
        <f>IFERROR(IF(K283&gt;0, L283/K283, 0),"-")</f>
        <v>-</v>
      </c>
      <c r="O283" s="34" t="s">
        <v>959</v>
      </c>
      <c r="P283" s="35" t="s">
        <v>959</v>
      </c>
      <c r="Q283" s="34" t="str">
        <f>IF(OR(P283="-",P283="",P283=0),IF(O283="-","-",O283),O283-P283)</f>
        <v>-</v>
      </c>
      <c r="R283" s="4" t="str">
        <f>IFERROR(IF(O283&gt;0, P283/O283, 0),"-")</f>
        <v>-</v>
      </c>
      <c r="S283" s="34" t="s">
        <v>959</v>
      </c>
      <c r="T283" s="34" t="s">
        <v>959</v>
      </c>
      <c r="U283" s="34" t="s">
        <v>959</v>
      </c>
      <c r="V283" s="35" t="s">
        <v>959</v>
      </c>
      <c r="W283" s="35" t="s">
        <v>959</v>
      </c>
    </row>
    <row r="284" spans="1:23" x14ac:dyDescent="0.2">
      <c r="A284" s="30" t="s">
        <v>527</v>
      </c>
      <c r="B284" s="30" t="s">
        <v>1023</v>
      </c>
      <c r="C284" s="34">
        <v>46</v>
      </c>
      <c r="D284" s="35">
        <v>43</v>
      </c>
      <c r="E284" s="34">
        <f>IF(OR(D284="-",D284="",D284=0),IF(C284="-","-",C284),C284-D284)</f>
        <v>3</v>
      </c>
      <c r="F284" s="4">
        <f>IFERROR(IF(C284&gt;0, D284/C284, 0),"-")</f>
        <v>0.93478260869565222</v>
      </c>
      <c r="G284" s="34" t="s">
        <v>959</v>
      </c>
      <c r="H284" s="35" t="s">
        <v>959</v>
      </c>
      <c r="I284" s="34" t="str">
        <f>IF(OR(H284="-",H284="",H284=0),IF(G284="-","-",G284),G284-H284)</f>
        <v>-</v>
      </c>
      <c r="J284" s="4" t="str">
        <f>IFERROR(IF(G284&gt;0, H284/G284, 0),"-")</f>
        <v>-</v>
      </c>
      <c r="K284" s="34" t="s">
        <v>959</v>
      </c>
      <c r="L284" s="35" t="s">
        <v>959</v>
      </c>
      <c r="M284" s="34" t="str">
        <f>IF(OR(L284="-",L284="",L284=0),IF(K284="-","-",K284),K284-L284)</f>
        <v>-</v>
      </c>
      <c r="N284" s="4" t="str">
        <f>IFERROR(IF(K284&gt;0, L284/K284, 0),"-")</f>
        <v>-</v>
      </c>
      <c r="O284" s="34">
        <v>1</v>
      </c>
      <c r="P284" s="35" t="s">
        <v>959</v>
      </c>
      <c r="Q284" s="34">
        <f>IF(OR(P284="-",P284="",P284=0),IF(O284="-","-",O284),O284-P284)</f>
        <v>1</v>
      </c>
      <c r="R284" s="4" t="str">
        <f>IFERROR(IF(O284&gt;0, P284/O284, 0),"-")</f>
        <v>-</v>
      </c>
      <c r="S284" s="34">
        <v>3</v>
      </c>
      <c r="T284" s="34" t="s">
        <v>959</v>
      </c>
      <c r="U284" s="34" t="s">
        <v>959</v>
      </c>
      <c r="V284" s="35" t="s">
        <v>959</v>
      </c>
      <c r="W284" s="35" t="s">
        <v>959</v>
      </c>
    </row>
    <row r="285" spans="1:23" x14ac:dyDescent="0.2">
      <c r="A285" s="29"/>
      <c r="B285" s="29" t="s">
        <v>30</v>
      </c>
      <c r="C285" s="32">
        <v>509</v>
      </c>
      <c r="D285" s="32">
        <v>502</v>
      </c>
      <c r="E285" s="32">
        <f>IF(OR(D285="-",D285="",D285=0),IF(C285="-","-",C285),C285-D285)</f>
        <v>7</v>
      </c>
      <c r="F285" s="36">
        <f>IFERROR(IF(C285&gt;0, D285/C285, 0),"-")</f>
        <v>0.98624754420432215</v>
      </c>
      <c r="G285" s="32">
        <v>3</v>
      </c>
      <c r="H285" s="32" t="s">
        <v>959</v>
      </c>
      <c r="I285" s="32">
        <f>IF(OR(H285="-",H285="",H285=0),IF(G285="-","-",G285),G285-H285)</f>
        <v>3</v>
      </c>
      <c r="J285" s="36" t="str">
        <f>IFERROR(IF(G285&gt;0, H285/G285, 0),"-")</f>
        <v>-</v>
      </c>
      <c r="K285" s="32" t="s">
        <v>959</v>
      </c>
      <c r="L285" s="32" t="s">
        <v>959</v>
      </c>
      <c r="M285" s="32" t="str">
        <f>IF(OR(L285="-",L285="",L285=0),IF(K285="-","-",K285),K285-L285)</f>
        <v>-</v>
      </c>
      <c r="N285" s="36" t="str">
        <f>IFERROR(IF(K285&gt;0, L285/K285, 0),"-")</f>
        <v>-</v>
      </c>
      <c r="O285" s="32" t="s">
        <v>959</v>
      </c>
      <c r="P285" s="32" t="s">
        <v>959</v>
      </c>
      <c r="Q285" s="32" t="str">
        <f>IF(OR(P285="-",P285="",P285=0),IF(O285="-","-",O285),O285-P285)</f>
        <v>-</v>
      </c>
      <c r="R285" s="36" t="str">
        <f>IFERROR(IF(O285&gt;0, P285/O285, 0),"-")</f>
        <v>-</v>
      </c>
      <c r="S285" s="32">
        <v>1</v>
      </c>
      <c r="T285" s="32" t="s">
        <v>959</v>
      </c>
      <c r="U285" s="32" t="s">
        <v>959</v>
      </c>
      <c r="V285" s="32" t="s">
        <v>959</v>
      </c>
      <c r="W285" s="32" t="s">
        <v>959</v>
      </c>
    </row>
    <row r="286" spans="1:23" x14ac:dyDescent="0.2">
      <c r="A286" s="30" t="s">
        <v>917</v>
      </c>
      <c r="B286" s="30" t="s">
        <v>1024</v>
      </c>
      <c r="C286" s="34">
        <v>66</v>
      </c>
      <c r="D286" s="35">
        <v>65</v>
      </c>
      <c r="E286" s="34">
        <f>IF(OR(D286="-",D286="",D286=0),IF(C286="-","-",C286),C286-D286)</f>
        <v>1</v>
      </c>
      <c r="F286" s="4">
        <f>IFERROR(IF(C286&gt;0, D286/C286, 0),"-")</f>
        <v>0.98484848484848486</v>
      </c>
      <c r="G286" s="34">
        <v>2</v>
      </c>
      <c r="H286" s="35" t="s">
        <v>959</v>
      </c>
      <c r="I286" s="34">
        <f>IF(OR(H286="-",H286="",H286=0),IF(G286="-","-",G286),G286-H286)</f>
        <v>2</v>
      </c>
      <c r="J286" s="4" t="str">
        <f>IFERROR(IF(G286&gt;0, H286/G286, 0),"-")</f>
        <v>-</v>
      </c>
      <c r="K286" s="34" t="s">
        <v>959</v>
      </c>
      <c r="L286" s="35" t="s">
        <v>959</v>
      </c>
      <c r="M286" s="34" t="str">
        <f>IF(OR(L286="-",L286="",L286=0),IF(K286="-","-",K286),K286-L286)</f>
        <v>-</v>
      </c>
      <c r="N286" s="4" t="str">
        <f>IFERROR(IF(K286&gt;0, L286/K286, 0),"-")</f>
        <v>-</v>
      </c>
      <c r="O286" s="34" t="s">
        <v>959</v>
      </c>
      <c r="P286" s="35" t="s">
        <v>959</v>
      </c>
      <c r="Q286" s="34" t="str">
        <f>IF(OR(P286="-",P286="",P286=0),IF(O286="-","-",O286),O286-P286)</f>
        <v>-</v>
      </c>
      <c r="R286" s="4" t="str">
        <f>IFERROR(IF(O286&gt;0, P286/O286, 0),"-")</f>
        <v>-</v>
      </c>
      <c r="S286" s="34">
        <v>1</v>
      </c>
      <c r="T286" s="34" t="s">
        <v>959</v>
      </c>
      <c r="U286" s="34" t="s">
        <v>959</v>
      </c>
      <c r="V286" s="35" t="s">
        <v>959</v>
      </c>
      <c r="W286" s="35" t="s">
        <v>959</v>
      </c>
    </row>
    <row r="287" spans="1:23" x14ac:dyDescent="0.2">
      <c r="A287" s="30" t="s">
        <v>915</v>
      </c>
      <c r="B287" s="30" t="s">
        <v>1025</v>
      </c>
      <c r="C287" s="34">
        <v>83</v>
      </c>
      <c r="D287" s="35">
        <v>80</v>
      </c>
      <c r="E287" s="34">
        <f>IF(OR(D287="-",D287="",D287=0),IF(C287="-","-",C287),C287-D287)</f>
        <v>3</v>
      </c>
      <c r="F287" s="4">
        <f>IFERROR(IF(C287&gt;0, D287/C287, 0),"-")</f>
        <v>0.96385542168674698</v>
      </c>
      <c r="G287" s="34" t="s">
        <v>959</v>
      </c>
      <c r="H287" s="35" t="s">
        <v>959</v>
      </c>
      <c r="I287" s="34" t="str">
        <f>IF(OR(H287="-",H287="",H287=0),IF(G287="-","-",G287),G287-H287)</f>
        <v>-</v>
      </c>
      <c r="J287" s="4" t="str">
        <f>IFERROR(IF(G287&gt;0, H287/G287, 0),"-")</f>
        <v>-</v>
      </c>
      <c r="K287" s="34" t="s">
        <v>959</v>
      </c>
      <c r="L287" s="35" t="s">
        <v>959</v>
      </c>
      <c r="M287" s="34" t="str">
        <f>IF(OR(L287="-",L287="",L287=0),IF(K287="-","-",K287),K287-L287)</f>
        <v>-</v>
      </c>
      <c r="N287" s="4" t="str">
        <f>IFERROR(IF(K287&gt;0, L287/K287, 0),"-")</f>
        <v>-</v>
      </c>
      <c r="O287" s="34" t="s">
        <v>959</v>
      </c>
      <c r="P287" s="35" t="s">
        <v>959</v>
      </c>
      <c r="Q287" s="34" t="str">
        <f>IF(OR(P287="-",P287="",P287=0),IF(O287="-","-",O287),O287-P287)</f>
        <v>-</v>
      </c>
      <c r="R287" s="4" t="str">
        <f>IFERROR(IF(O287&gt;0, P287/O287, 0),"-")</f>
        <v>-</v>
      </c>
      <c r="S287" s="34" t="s">
        <v>959</v>
      </c>
      <c r="T287" s="34" t="s">
        <v>959</v>
      </c>
      <c r="U287" s="34" t="s">
        <v>959</v>
      </c>
      <c r="V287" s="35" t="s">
        <v>959</v>
      </c>
      <c r="W287" s="35" t="s">
        <v>959</v>
      </c>
    </row>
    <row r="288" spans="1:23" x14ac:dyDescent="0.2">
      <c r="A288" s="30" t="s">
        <v>914</v>
      </c>
      <c r="B288" s="30" t="s">
        <v>1026</v>
      </c>
      <c r="C288" s="34">
        <v>45</v>
      </c>
      <c r="D288" s="35">
        <v>45</v>
      </c>
      <c r="E288" s="34">
        <f>IF(OR(D288="-",D288="",D288=0),IF(C288="-","-",C288),C288-D288)</f>
        <v>0</v>
      </c>
      <c r="F288" s="4">
        <f>IFERROR(IF(C288&gt;0, D288/C288, 0),"-")</f>
        <v>1</v>
      </c>
      <c r="G288" s="34" t="s">
        <v>959</v>
      </c>
      <c r="H288" s="35" t="s">
        <v>959</v>
      </c>
      <c r="I288" s="34" t="str">
        <f>IF(OR(H288="-",H288="",H288=0),IF(G288="-","-",G288),G288-H288)</f>
        <v>-</v>
      </c>
      <c r="J288" s="4" t="str">
        <f>IFERROR(IF(G288&gt;0, H288/G288, 0),"-")</f>
        <v>-</v>
      </c>
      <c r="K288" s="34" t="s">
        <v>959</v>
      </c>
      <c r="L288" s="35" t="s">
        <v>959</v>
      </c>
      <c r="M288" s="34" t="str">
        <f>IF(OR(L288="-",L288="",L288=0),IF(K288="-","-",K288),K288-L288)</f>
        <v>-</v>
      </c>
      <c r="N288" s="4" t="str">
        <f>IFERROR(IF(K288&gt;0, L288/K288, 0),"-")</f>
        <v>-</v>
      </c>
      <c r="O288" s="34" t="s">
        <v>959</v>
      </c>
      <c r="P288" s="35" t="s">
        <v>959</v>
      </c>
      <c r="Q288" s="34" t="str">
        <f>IF(OR(P288="-",P288="",P288=0),IF(O288="-","-",O288),O288-P288)</f>
        <v>-</v>
      </c>
      <c r="R288" s="4" t="str">
        <f>IFERROR(IF(O288&gt;0, P288/O288, 0),"-")</f>
        <v>-</v>
      </c>
      <c r="S288" s="34" t="s">
        <v>959</v>
      </c>
      <c r="T288" s="34" t="s">
        <v>959</v>
      </c>
      <c r="U288" s="34" t="s">
        <v>959</v>
      </c>
      <c r="V288" s="35" t="s">
        <v>959</v>
      </c>
      <c r="W288" s="35" t="s">
        <v>959</v>
      </c>
    </row>
    <row r="289" spans="1:23" x14ac:dyDescent="0.2">
      <c r="A289" s="30" t="s">
        <v>916</v>
      </c>
      <c r="B289" s="30" t="s">
        <v>1027</v>
      </c>
      <c r="C289" s="34">
        <v>81</v>
      </c>
      <c r="D289" s="35">
        <v>81</v>
      </c>
      <c r="E289" s="34">
        <f>IF(OR(D289="-",D289="",D289=0),IF(C289="-","-",C289),C289-D289)</f>
        <v>0</v>
      </c>
      <c r="F289" s="4">
        <f>IFERROR(IF(C289&gt;0, D289/C289, 0),"-")</f>
        <v>1</v>
      </c>
      <c r="G289" s="34">
        <v>1</v>
      </c>
      <c r="H289" s="35" t="s">
        <v>959</v>
      </c>
      <c r="I289" s="34">
        <f>IF(OR(H289="-",H289="",H289=0),IF(G289="-","-",G289),G289-H289)</f>
        <v>1</v>
      </c>
      <c r="J289" s="4" t="str">
        <f>IFERROR(IF(G289&gt;0, H289/G289, 0),"-")</f>
        <v>-</v>
      </c>
      <c r="K289" s="34" t="s">
        <v>959</v>
      </c>
      <c r="L289" s="35" t="s">
        <v>959</v>
      </c>
      <c r="M289" s="34" t="str">
        <f>IF(OR(L289="-",L289="",L289=0),IF(K289="-","-",K289),K289-L289)</f>
        <v>-</v>
      </c>
      <c r="N289" s="4" t="str">
        <f>IFERROR(IF(K289&gt;0, L289/K289, 0),"-")</f>
        <v>-</v>
      </c>
      <c r="O289" s="34" t="s">
        <v>959</v>
      </c>
      <c r="P289" s="35" t="s">
        <v>959</v>
      </c>
      <c r="Q289" s="34" t="str">
        <f>IF(OR(P289="-",P289="",P289=0),IF(O289="-","-",O289),O289-P289)</f>
        <v>-</v>
      </c>
      <c r="R289" s="4" t="str">
        <f>IFERROR(IF(O289&gt;0, P289/O289, 0),"-")</f>
        <v>-</v>
      </c>
      <c r="S289" s="34" t="s">
        <v>959</v>
      </c>
      <c r="T289" s="34" t="s">
        <v>959</v>
      </c>
      <c r="U289" s="34" t="s">
        <v>959</v>
      </c>
      <c r="V289" s="35" t="s">
        <v>959</v>
      </c>
      <c r="W289" s="35" t="s">
        <v>959</v>
      </c>
    </row>
    <row r="290" spans="1:23" x14ac:dyDescent="0.2">
      <c r="A290" s="30" t="s">
        <v>920</v>
      </c>
      <c r="B290" s="30" t="s">
        <v>1028</v>
      </c>
      <c r="C290" s="34">
        <v>79</v>
      </c>
      <c r="D290" s="35">
        <v>79</v>
      </c>
      <c r="E290" s="34">
        <f>IF(OR(D290="-",D290="",D290=0),IF(C290="-","-",C290),C290-D290)</f>
        <v>0</v>
      </c>
      <c r="F290" s="4">
        <f>IFERROR(IF(C290&gt;0, D290/C290, 0),"-")</f>
        <v>1</v>
      </c>
      <c r="G290" s="34" t="s">
        <v>959</v>
      </c>
      <c r="H290" s="35" t="s">
        <v>959</v>
      </c>
      <c r="I290" s="34" t="str">
        <f>IF(OR(H290="-",H290="",H290=0),IF(G290="-","-",G290),G290-H290)</f>
        <v>-</v>
      </c>
      <c r="J290" s="4" t="str">
        <f>IFERROR(IF(G290&gt;0, H290/G290, 0),"-")</f>
        <v>-</v>
      </c>
      <c r="K290" s="34" t="s">
        <v>959</v>
      </c>
      <c r="L290" s="35" t="s">
        <v>959</v>
      </c>
      <c r="M290" s="34" t="str">
        <f>IF(OR(L290="-",L290="",L290=0),IF(K290="-","-",K290),K290-L290)</f>
        <v>-</v>
      </c>
      <c r="N290" s="4" t="str">
        <f>IFERROR(IF(K290&gt;0, L290/K290, 0),"-")</f>
        <v>-</v>
      </c>
      <c r="O290" s="34" t="s">
        <v>959</v>
      </c>
      <c r="P290" s="35" t="s">
        <v>959</v>
      </c>
      <c r="Q290" s="34" t="str">
        <f>IF(OR(P290="-",P290="",P290=0),IF(O290="-","-",O290),O290-P290)</f>
        <v>-</v>
      </c>
      <c r="R290" s="4" t="str">
        <f>IFERROR(IF(O290&gt;0, P290/O290, 0),"-")</f>
        <v>-</v>
      </c>
      <c r="S290" s="34" t="s">
        <v>959</v>
      </c>
      <c r="T290" s="34" t="s">
        <v>959</v>
      </c>
      <c r="U290" s="34" t="s">
        <v>959</v>
      </c>
      <c r="V290" s="35" t="s">
        <v>959</v>
      </c>
      <c r="W290" s="35" t="s">
        <v>959</v>
      </c>
    </row>
    <row r="291" spans="1:23" x14ac:dyDescent="0.2">
      <c r="A291" s="30" t="s">
        <v>928</v>
      </c>
      <c r="B291" s="30" t="s">
        <v>1029</v>
      </c>
      <c r="C291" s="34">
        <v>39</v>
      </c>
      <c r="D291" s="35">
        <v>38</v>
      </c>
      <c r="E291" s="34">
        <f>IF(OR(D291="-",D291="",D291=0),IF(C291="-","-",C291),C291-D291)</f>
        <v>1</v>
      </c>
      <c r="F291" s="4">
        <f>IFERROR(IF(C291&gt;0, D291/C291, 0),"-")</f>
        <v>0.97435897435897434</v>
      </c>
      <c r="G291" s="34" t="s">
        <v>959</v>
      </c>
      <c r="H291" s="35" t="s">
        <v>959</v>
      </c>
      <c r="I291" s="34" t="str">
        <f>IF(OR(H291="-",H291="",H291=0),IF(G291="-","-",G291),G291-H291)</f>
        <v>-</v>
      </c>
      <c r="J291" s="4" t="str">
        <f>IFERROR(IF(G291&gt;0, H291/G291, 0),"-")</f>
        <v>-</v>
      </c>
      <c r="K291" s="34" t="s">
        <v>959</v>
      </c>
      <c r="L291" s="35" t="s">
        <v>959</v>
      </c>
      <c r="M291" s="34" t="str">
        <f>IF(OR(L291="-",L291="",L291=0),IF(K291="-","-",K291),K291-L291)</f>
        <v>-</v>
      </c>
      <c r="N291" s="4" t="str">
        <f>IFERROR(IF(K291&gt;0, L291/K291, 0),"-")</f>
        <v>-</v>
      </c>
      <c r="O291" s="34" t="s">
        <v>959</v>
      </c>
      <c r="P291" s="35" t="s">
        <v>959</v>
      </c>
      <c r="Q291" s="34" t="str">
        <f>IF(OR(P291="-",P291="",P291=0),IF(O291="-","-",O291),O291-P291)</f>
        <v>-</v>
      </c>
      <c r="R291" s="4" t="str">
        <f>IFERROR(IF(O291&gt;0, P291/O291, 0),"-")</f>
        <v>-</v>
      </c>
      <c r="S291" s="34" t="s">
        <v>959</v>
      </c>
      <c r="T291" s="34" t="s">
        <v>959</v>
      </c>
      <c r="U291" s="34" t="s">
        <v>959</v>
      </c>
      <c r="V291" s="35" t="s">
        <v>959</v>
      </c>
      <c r="W291" s="35" t="s">
        <v>959</v>
      </c>
    </row>
    <row r="292" spans="1:23" x14ac:dyDescent="0.2">
      <c r="A292" s="30" t="s">
        <v>918</v>
      </c>
      <c r="B292" s="30" t="s">
        <v>1030</v>
      </c>
      <c r="C292" s="34">
        <v>13</v>
      </c>
      <c r="D292" s="35">
        <v>11</v>
      </c>
      <c r="E292" s="34">
        <f>IF(OR(D292="-",D292="",D292=0),IF(C292="-","-",C292),C292-D292)</f>
        <v>2</v>
      </c>
      <c r="F292" s="4">
        <f>IFERROR(IF(C292&gt;0, D292/C292, 0),"-")</f>
        <v>0.84615384615384615</v>
      </c>
      <c r="G292" s="34" t="s">
        <v>959</v>
      </c>
      <c r="H292" s="35" t="s">
        <v>959</v>
      </c>
      <c r="I292" s="34" t="str">
        <f>IF(OR(H292="-",H292="",H292=0),IF(G292="-","-",G292),G292-H292)</f>
        <v>-</v>
      </c>
      <c r="J292" s="4" t="str">
        <f>IFERROR(IF(G292&gt;0, H292/G292, 0),"-")</f>
        <v>-</v>
      </c>
      <c r="K292" s="34" t="s">
        <v>959</v>
      </c>
      <c r="L292" s="35" t="s">
        <v>959</v>
      </c>
      <c r="M292" s="34" t="str">
        <f>IF(OR(L292="-",L292="",L292=0),IF(K292="-","-",K292),K292-L292)</f>
        <v>-</v>
      </c>
      <c r="N292" s="4" t="str">
        <f>IFERROR(IF(K292&gt;0, L292/K292, 0),"-")</f>
        <v>-</v>
      </c>
      <c r="O292" s="34" t="s">
        <v>959</v>
      </c>
      <c r="P292" s="35" t="s">
        <v>959</v>
      </c>
      <c r="Q292" s="34" t="str">
        <f>IF(OR(P292="-",P292="",P292=0),IF(O292="-","-",O292),O292-P292)</f>
        <v>-</v>
      </c>
      <c r="R292" s="4" t="str">
        <f>IFERROR(IF(O292&gt;0, P292/O292, 0),"-")</f>
        <v>-</v>
      </c>
      <c r="S292" s="34" t="s">
        <v>959</v>
      </c>
      <c r="T292" s="34" t="s">
        <v>959</v>
      </c>
      <c r="U292" s="34" t="s">
        <v>959</v>
      </c>
      <c r="V292" s="35" t="s">
        <v>959</v>
      </c>
      <c r="W292" s="35" t="s">
        <v>959</v>
      </c>
    </row>
    <row r="293" spans="1:23" x14ac:dyDescent="0.2">
      <c r="A293" s="30" t="s">
        <v>921</v>
      </c>
      <c r="B293" s="30" t="s">
        <v>1031</v>
      </c>
      <c r="C293" s="34">
        <v>2</v>
      </c>
      <c r="D293" s="35">
        <v>2</v>
      </c>
      <c r="E293" s="34">
        <f>IF(OR(D293="-",D293="",D293=0),IF(C293="-","-",C293),C293-D293)</f>
        <v>0</v>
      </c>
      <c r="F293" s="4">
        <f>IFERROR(IF(C293&gt;0, D293/C293, 0),"-")</f>
        <v>1</v>
      </c>
      <c r="G293" s="34" t="s">
        <v>959</v>
      </c>
      <c r="H293" s="35" t="s">
        <v>959</v>
      </c>
      <c r="I293" s="34" t="str">
        <f>IF(OR(H293="-",H293="",H293=0),IF(G293="-","-",G293),G293-H293)</f>
        <v>-</v>
      </c>
      <c r="J293" s="4" t="str">
        <f>IFERROR(IF(G293&gt;0, H293/G293, 0),"-")</f>
        <v>-</v>
      </c>
      <c r="K293" s="34" t="s">
        <v>959</v>
      </c>
      <c r="L293" s="35" t="s">
        <v>959</v>
      </c>
      <c r="M293" s="34" t="str">
        <f>IF(OR(L293="-",L293="",L293=0),IF(K293="-","-",K293),K293-L293)</f>
        <v>-</v>
      </c>
      <c r="N293" s="4" t="str">
        <f>IFERROR(IF(K293&gt;0, L293/K293, 0),"-")</f>
        <v>-</v>
      </c>
      <c r="O293" s="34" t="s">
        <v>959</v>
      </c>
      <c r="P293" s="35" t="s">
        <v>959</v>
      </c>
      <c r="Q293" s="34" t="str">
        <f>IF(OR(P293="-",P293="",P293=0),IF(O293="-","-",O293),O293-P293)</f>
        <v>-</v>
      </c>
      <c r="R293" s="4" t="str">
        <f>IFERROR(IF(O293&gt;0, P293/O293, 0),"-")</f>
        <v>-</v>
      </c>
      <c r="S293" s="34" t="s">
        <v>959</v>
      </c>
      <c r="T293" s="34" t="s">
        <v>959</v>
      </c>
      <c r="U293" s="34" t="s">
        <v>959</v>
      </c>
      <c r="V293" s="35" t="s">
        <v>959</v>
      </c>
      <c r="W293" s="35" t="s">
        <v>959</v>
      </c>
    </row>
    <row r="294" spans="1:23" x14ac:dyDescent="0.2">
      <c r="A294" s="30" t="s">
        <v>919</v>
      </c>
      <c r="B294" s="30" t="s">
        <v>1032</v>
      </c>
      <c r="C294" s="34">
        <v>101</v>
      </c>
      <c r="D294" s="35">
        <v>101</v>
      </c>
      <c r="E294" s="34">
        <f>IF(OR(D294="-",D294="",D294=0),IF(C294="-","-",C294),C294-D294)</f>
        <v>0</v>
      </c>
      <c r="F294" s="4">
        <f>IFERROR(IF(C294&gt;0, D294/C294, 0),"-")</f>
        <v>1</v>
      </c>
      <c r="G294" s="34" t="s">
        <v>959</v>
      </c>
      <c r="H294" s="35" t="s">
        <v>959</v>
      </c>
      <c r="I294" s="34" t="str">
        <f>IF(OR(H294="-",H294="",H294=0),IF(G294="-","-",G294),G294-H294)</f>
        <v>-</v>
      </c>
      <c r="J294" s="4" t="str">
        <f>IFERROR(IF(G294&gt;0, H294/G294, 0),"-")</f>
        <v>-</v>
      </c>
      <c r="K294" s="34" t="s">
        <v>959</v>
      </c>
      <c r="L294" s="35" t="s">
        <v>959</v>
      </c>
      <c r="M294" s="34" t="str">
        <f>IF(OR(L294="-",L294="",L294=0),IF(K294="-","-",K294),K294-L294)</f>
        <v>-</v>
      </c>
      <c r="N294" s="4" t="str">
        <f>IFERROR(IF(K294&gt;0, L294/K294, 0),"-")</f>
        <v>-</v>
      </c>
      <c r="O294" s="34" t="s">
        <v>959</v>
      </c>
      <c r="P294" s="35" t="s">
        <v>959</v>
      </c>
      <c r="Q294" s="34" t="str">
        <f>IF(OR(P294="-",P294="",P294=0),IF(O294="-","-",O294),O294-P294)</f>
        <v>-</v>
      </c>
      <c r="R294" s="4" t="str">
        <f>IFERROR(IF(O294&gt;0, P294/O294, 0),"-")</f>
        <v>-</v>
      </c>
      <c r="S294" s="34" t="s">
        <v>959</v>
      </c>
      <c r="T294" s="34" t="s">
        <v>959</v>
      </c>
      <c r="U294" s="34" t="s">
        <v>959</v>
      </c>
      <c r="V294" s="35" t="s">
        <v>959</v>
      </c>
      <c r="W294" s="35" t="s">
        <v>959</v>
      </c>
    </row>
    <row r="295" spans="1:23" x14ac:dyDescent="0.2">
      <c r="A295" s="29"/>
      <c r="B295" s="29" t="s">
        <v>125</v>
      </c>
      <c r="C295" s="32">
        <v>351</v>
      </c>
      <c r="D295" s="32">
        <v>347</v>
      </c>
      <c r="E295" s="32">
        <f>IF(OR(D295="-",D295="",D295=0),IF(C295="-","-",C295),C295-D295)</f>
        <v>4</v>
      </c>
      <c r="F295" s="36">
        <f>IFERROR(IF(C295&gt;0, D295/C295, 0),"-")</f>
        <v>0.98860398860398857</v>
      </c>
      <c r="G295" s="32">
        <v>3</v>
      </c>
      <c r="H295" s="32">
        <v>1</v>
      </c>
      <c r="I295" s="32">
        <f>IF(OR(H295="-",H295="",H295=0),IF(G295="-","-",G295),G295-H295)</f>
        <v>2</v>
      </c>
      <c r="J295" s="36">
        <f>IFERROR(IF(G295&gt;0, H295/G295, 0),"-")</f>
        <v>0.33333333333333331</v>
      </c>
      <c r="K295" s="32" t="s">
        <v>959</v>
      </c>
      <c r="L295" s="32" t="s">
        <v>959</v>
      </c>
      <c r="M295" s="32" t="str">
        <f>IF(OR(L295="-",L295="",L295=0),IF(K295="-","-",K295),K295-L295)</f>
        <v>-</v>
      </c>
      <c r="N295" s="36" t="str">
        <f>IFERROR(IF(K295&gt;0, L295/K295, 0),"-")</f>
        <v>-</v>
      </c>
      <c r="O295" s="32">
        <v>6</v>
      </c>
      <c r="P295" s="32" t="s">
        <v>959</v>
      </c>
      <c r="Q295" s="32">
        <f>IF(OR(P295="-",P295="",P295=0),IF(O295="-","-",O295),O295-P295)</f>
        <v>6</v>
      </c>
      <c r="R295" s="36" t="str">
        <f>IFERROR(IF(O295&gt;0, P295/O295, 0),"-")</f>
        <v>-</v>
      </c>
      <c r="S295" s="32" t="s">
        <v>959</v>
      </c>
      <c r="T295" s="32" t="s">
        <v>959</v>
      </c>
      <c r="U295" s="32" t="s">
        <v>959</v>
      </c>
      <c r="V295" s="32" t="s">
        <v>959</v>
      </c>
      <c r="W295" s="32" t="s">
        <v>959</v>
      </c>
    </row>
    <row r="296" spans="1:23" x14ac:dyDescent="0.2">
      <c r="A296" s="30" t="s">
        <v>877</v>
      </c>
      <c r="B296" s="30" t="s">
        <v>1033</v>
      </c>
      <c r="C296" s="34">
        <v>55</v>
      </c>
      <c r="D296" s="35">
        <v>55</v>
      </c>
      <c r="E296" s="34">
        <f>IF(OR(D296="-",D296="",D296=0),IF(C296="-","-",C296),C296-D296)</f>
        <v>0</v>
      </c>
      <c r="F296" s="4">
        <f>IFERROR(IF(C296&gt;0, D296/C296, 0),"-")</f>
        <v>1</v>
      </c>
      <c r="G296" s="34">
        <v>1</v>
      </c>
      <c r="H296" s="35" t="s">
        <v>959</v>
      </c>
      <c r="I296" s="34">
        <f>IF(OR(H296="-",H296="",H296=0),IF(G296="-","-",G296),G296-H296)</f>
        <v>1</v>
      </c>
      <c r="J296" s="4" t="str">
        <f>IFERROR(IF(G296&gt;0, H296/G296, 0),"-")</f>
        <v>-</v>
      </c>
      <c r="K296" s="34" t="s">
        <v>959</v>
      </c>
      <c r="L296" s="35" t="s">
        <v>959</v>
      </c>
      <c r="M296" s="34" t="str">
        <f>IF(OR(L296="-",L296="",L296=0),IF(K296="-","-",K296),K296-L296)</f>
        <v>-</v>
      </c>
      <c r="N296" s="4" t="str">
        <f>IFERROR(IF(K296&gt;0, L296/K296, 0),"-")</f>
        <v>-</v>
      </c>
      <c r="O296" s="34" t="s">
        <v>959</v>
      </c>
      <c r="P296" s="35" t="s">
        <v>959</v>
      </c>
      <c r="Q296" s="34" t="str">
        <f>IF(OR(P296="-",P296="",P296=0),IF(O296="-","-",O296),O296-P296)</f>
        <v>-</v>
      </c>
      <c r="R296" s="4" t="str">
        <f>IFERROR(IF(O296&gt;0, P296/O296, 0),"-")</f>
        <v>-</v>
      </c>
      <c r="S296" s="34" t="s">
        <v>959</v>
      </c>
      <c r="T296" s="34" t="s">
        <v>959</v>
      </c>
      <c r="U296" s="34" t="s">
        <v>959</v>
      </c>
      <c r="V296" s="35" t="s">
        <v>959</v>
      </c>
      <c r="W296" s="35" t="s">
        <v>959</v>
      </c>
    </row>
    <row r="297" spans="1:23" x14ac:dyDescent="0.2">
      <c r="A297" s="30" t="s">
        <v>880</v>
      </c>
      <c r="B297" s="30" t="s">
        <v>1034</v>
      </c>
      <c r="C297" s="34">
        <v>68</v>
      </c>
      <c r="D297" s="35">
        <v>67</v>
      </c>
      <c r="E297" s="34">
        <f>IF(OR(D297="-",D297="",D297=0),IF(C297="-","-",C297),C297-D297)</f>
        <v>1</v>
      </c>
      <c r="F297" s="4">
        <f>IFERROR(IF(C297&gt;0, D297/C297, 0),"-")</f>
        <v>0.98529411764705888</v>
      </c>
      <c r="G297" s="34" t="s">
        <v>959</v>
      </c>
      <c r="H297" s="35" t="s">
        <v>959</v>
      </c>
      <c r="I297" s="34" t="str">
        <f>IF(OR(H297="-",H297="",H297=0),IF(G297="-","-",G297),G297-H297)</f>
        <v>-</v>
      </c>
      <c r="J297" s="4" t="str">
        <f>IFERROR(IF(G297&gt;0, H297/G297, 0),"-")</f>
        <v>-</v>
      </c>
      <c r="K297" s="34" t="s">
        <v>959</v>
      </c>
      <c r="L297" s="35" t="s">
        <v>959</v>
      </c>
      <c r="M297" s="34" t="str">
        <f>IF(OR(L297="-",L297="",L297=0),IF(K297="-","-",K297),K297-L297)</f>
        <v>-</v>
      </c>
      <c r="N297" s="4" t="str">
        <f>IFERROR(IF(K297&gt;0, L297/K297, 0),"-")</f>
        <v>-</v>
      </c>
      <c r="O297" s="34">
        <v>1</v>
      </c>
      <c r="P297" s="35" t="s">
        <v>959</v>
      </c>
      <c r="Q297" s="34">
        <f>IF(OR(P297="-",P297="",P297=0),IF(O297="-","-",O297),O297-P297)</f>
        <v>1</v>
      </c>
      <c r="R297" s="4" t="str">
        <f>IFERROR(IF(O297&gt;0, P297/O297, 0),"-")</f>
        <v>-</v>
      </c>
      <c r="S297" s="34" t="s">
        <v>959</v>
      </c>
      <c r="T297" s="34" t="s">
        <v>959</v>
      </c>
      <c r="U297" s="34" t="s">
        <v>959</v>
      </c>
      <c r="V297" s="35" t="s">
        <v>959</v>
      </c>
      <c r="W297" s="35" t="s">
        <v>959</v>
      </c>
    </row>
    <row r="298" spans="1:23" x14ac:dyDescent="0.2">
      <c r="A298" s="30" t="s">
        <v>879</v>
      </c>
      <c r="B298" s="30" t="s">
        <v>1035</v>
      </c>
      <c r="C298" s="34">
        <v>31</v>
      </c>
      <c r="D298" s="35">
        <v>31</v>
      </c>
      <c r="E298" s="34">
        <f>IF(OR(D298="-",D298="",D298=0),IF(C298="-","-",C298),C298-D298)</f>
        <v>0</v>
      </c>
      <c r="F298" s="4">
        <f>IFERROR(IF(C298&gt;0, D298/C298, 0),"-")</f>
        <v>1</v>
      </c>
      <c r="G298" s="34" t="s">
        <v>959</v>
      </c>
      <c r="H298" s="35" t="s">
        <v>959</v>
      </c>
      <c r="I298" s="34" t="str">
        <f>IF(OR(H298="-",H298="",H298=0),IF(G298="-","-",G298),G298-H298)</f>
        <v>-</v>
      </c>
      <c r="J298" s="4" t="str">
        <f>IFERROR(IF(G298&gt;0, H298/G298, 0),"-")</f>
        <v>-</v>
      </c>
      <c r="K298" s="34" t="s">
        <v>959</v>
      </c>
      <c r="L298" s="35" t="s">
        <v>959</v>
      </c>
      <c r="M298" s="34" t="str">
        <f>IF(OR(L298="-",L298="",L298=0),IF(K298="-","-",K298),K298-L298)</f>
        <v>-</v>
      </c>
      <c r="N298" s="4" t="str">
        <f>IFERROR(IF(K298&gt;0, L298/K298, 0),"-")</f>
        <v>-</v>
      </c>
      <c r="O298" s="34" t="s">
        <v>959</v>
      </c>
      <c r="P298" s="35" t="s">
        <v>959</v>
      </c>
      <c r="Q298" s="34" t="str">
        <f>IF(OR(P298="-",P298="",P298=0),IF(O298="-","-",O298),O298-P298)</f>
        <v>-</v>
      </c>
      <c r="R298" s="4" t="str">
        <f>IFERROR(IF(O298&gt;0, P298/O298, 0),"-")</f>
        <v>-</v>
      </c>
      <c r="S298" s="34" t="s">
        <v>959</v>
      </c>
      <c r="T298" s="34" t="s">
        <v>959</v>
      </c>
      <c r="U298" s="34" t="s">
        <v>959</v>
      </c>
      <c r="V298" s="35" t="s">
        <v>959</v>
      </c>
      <c r="W298" s="35" t="s">
        <v>959</v>
      </c>
    </row>
    <row r="299" spans="1:23" x14ac:dyDescent="0.2">
      <c r="A299" s="30" t="s">
        <v>881</v>
      </c>
      <c r="B299" s="30" t="s">
        <v>1036</v>
      </c>
      <c r="C299" s="34">
        <v>40</v>
      </c>
      <c r="D299" s="35">
        <v>39</v>
      </c>
      <c r="E299" s="34">
        <f>IF(OR(D299="-",D299="",D299=0),IF(C299="-","-",C299),C299-D299)</f>
        <v>1</v>
      </c>
      <c r="F299" s="4">
        <f>IFERROR(IF(C299&gt;0, D299/C299, 0),"-")</f>
        <v>0.97499999999999998</v>
      </c>
      <c r="G299" s="34" t="s">
        <v>959</v>
      </c>
      <c r="H299" s="35" t="s">
        <v>959</v>
      </c>
      <c r="I299" s="34" t="str">
        <f>IF(OR(H299="-",H299="",H299=0),IF(G299="-","-",G299),G299-H299)</f>
        <v>-</v>
      </c>
      <c r="J299" s="4" t="str">
        <f>IFERROR(IF(G299&gt;0, H299/G299, 0),"-")</f>
        <v>-</v>
      </c>
      <c r="K299" s="34" t="s">
        <v>959</v>
      </c>
      <c r="L299" s="35" t="s">
        <v>959</v>
      </c>
      <c r="M299" s="34" t="str">
        <f>IF(OR(L299="-",L299="",L299=0),IF(K299="-","-",K299),K299-L299)</f>
        <v>-</v>
      </c>
      <c r="N299" s="4" t="str">
        <f>IFERROR(IF(K299&gt;0, L299/K299, 0),"-")</f>
        <v>-</v>
      </c>
      <c r="O299" s="34" t="s">
        <v>959</v>
      </c>
      <c r="P299" s="35" t="s">
        <v>959</v>
      </c>
      <c r="Q299" s="34" t="str">
        <f>IF(OR(P299="-",P299="",P299=0),IF(O299="-","-",O299),O299-P299)</f>
        <v>-</v>
      </c>
      <c r="R299" s="4" t="str">
        <f>IFERROR(IF(O299&gt;0, P299/O299, 0),"-")</f>
        <v>-</v>
      </c>
      <c r="S299" s="34" t="s">
        <v>959</v>
      </c>
      <c r="T299" s="34" t="s">
        <v>959</v>
      </c>
      <c r="U299" s="34" t="s">
        <v>959</v>
      </c>
      <c r="V299" s="35" t="s">
        <v>959</v>
      </c>
      <c r="W299" s="35" t="s">
        <v>959</v>
      </c>
    </row>
    <row r="300" spans="1:23" x14ac:dyDescent="0.2">
      <c r="A300" s="30" t="s">
        <v>882</v>
      </c>
      <c r="B300" s="30" t="s">
        <v>1037</v>
      </c>
      <c r="C300" s="34">
        <v>60</v>
      </c>
      <c r="D300" s="35">
        <v>59</v>
      </c>
      <c r="E300" s="34">
        <f>IF(OR(D300="-",D300="",D300=0),IF(C300="-","-",C300),C300-D300)</f>
        <v>1</v>
      </c>
      <c r="F300" s="4">
        <f>IFERROR(IF(C300&gt;0, D300/C300, 0),"-")</f>
        <v>0.98333333333333328</v>
      </c>
      <c r="G300" s="34">
        <v>1</v>
      </c>
      <c r="H300" s="35" t="s">
        <v>959</v>
      </c>
      <c r="I300" s="34">
        <f>IF(OR(H300="-",H300="",H300=0),IF(G300="-","-",G300),G300-H300)</f>
        <v>1</v>
      </c>
      <c r="J300" s="4" t="str">
        <f>IFERROR(IF(G300&gt;0, H300/G300, 0),"-")</f>
        <v>-</v>
      </c>
      <c r="K300" s="34" t="s">
        <v>959</v>
      </c>
      <c r="L300" s="35" t="s">
        <v>959</v>
      </c>
      <c r="M300" s="34" t="str">
        <f>IF(OR(L300="-",L300="",L300=0),IF(K300="-","-",K300),K300-L300)</f>
        <v>-</v>
      </c>
      <c r="N300" s="4" t="str">
        <f>IFERROR(IF(K300&gt;0, L300/K300, 0),"-")</f>
        <v>-</v>
      </c>
      <c r="O300" s="34">
        <v>5</v>
      </c>
      <c r="P300" s="35" t="s">
        <v>959</v>
      </c>
      <c r="Q300" s="34">
        <f>IF(OR(P300="-",P300="",P300=0),IF(O300="-","-",O300),O300-P300)</f>
        <v>5</v>
      </c>
      <c r="R300" s="4" t="str">
        <f>IFERROR(IF(O300&gt;0, P300/O300, 0),"-")</f>
        <v>-</v>
      </c>
      <c r="S300" s="34" t="s">
        <v>959</v>
      </c>
      <c r="T300" s="34" t="s">
        <v>959</v>
      </c>
      <c r="U300" s="34" t="s">
        <v>959</v>
      </c>
      <c r="V300" s="35" t="s">
        <v>959</v>
      </c>
      <c r="W300" s="35" t="s">
        <v>959</v>
      </c>
    </row>
    <row r="301" spans="1:23" x14ac:dyDescent="0.2">
      <c r="A301" s="30" t="s">
        <v>878</v>
      </c>
      <c r="B301" s="30" t="s">
        <v>1038</v>
      </c>
      <c r="C301" s="34">
        <v>97</v>
      </c>
      <c r="D301" s="35">
        <v>96</v>
      </c>
      <c r="E301" s="34">
        <f>IF(OR(D301="-",D301="",D301=0),IF(C301="-","-",C301),C301-D301)</f>
        <v>1</v>
      </c>
      <c r="F301" s="4">
        <f>IFERROR(IF(C301&gt;0, D301/C301, 0),"-")</f>
        <v>0.98969072164948457</v>
      </c>
      <c r="G301" s="34">
        <v>1</v>
      </c>
      <c r="H301" s="35">
        <v>1</v>
      </c>
      <c r="I301" s="34">
        <f>IF(OR(H301="-",H301="",H301=0),IF(G301="-","-",G301),G301-H301)</f>
        <v>0</v>
      </c>
      <c r="J301" s="4">
        <f>IFERROR(IF(G301&gt;0, H301/G301, 0),"-")</f>
        <v>1</v>
      </c>
      <c r="K301" s="34" t="s">
        <v>959</v>
      </c>
      <c r="L301" s="35" t="s">
        <v>959</v>
      </c>
      <c r="M301" s="34" t="str">
        <f>IF(OR(L301="-",L301="",L301=0),IF(K301="-","-",K301),K301-L301)</f>
        <v>-</v>
      </c>
      <c r="N301" s="4" t="str">
        <f>IFERROR(IF(K301&gt;0, L301/K301, 0),"-")</f>
        <v>-</v>
      </c>
      <c r="O301" s="34" t="s">
        <v>959</v>
      </c>
      <c r="P301" s="35" t="s">
        <v>959</v>
      </c>
      <c r="Q301" s="34" t="str">
        <f>IF(OR(P301="-",P301="",P301=0),IF(O301="-","-",O301),O301-P301)</f>
        <v>-</v>
      </c>
      <c r="R301" s="4" t="str">
        <f>IFERROR(IF(O301&gt;0, P301/O301, 0),"-")</f>
        <v>-</v>
      </c>
      <c r="S301" s="34" t="s">
        <v>959</v>
      </c>
      <c r="T301" s="34" t="s">
        <v>959</v>
      </c>
      <c r="U301" s="34" t="s">
        <v>959</v>
      </c>
      <c r="V301" s="35" t="s">
        <v>959</v>
      </c>
      <c r="W301" s="35" t="s">
        <v>959</v>
      </c>
    </row>
    <row r="302" spans="1:23" x14ac:dyDescent="0.2">
      <c r="A302" s="29"/>
      <c r="B302" s="29" t="s">
        <v>88</v>
      </c>
      <c r="C302" s="32">
        <v>804</v>
      </c>
      <c r="D302" s="32">
        <v>781</v>
      </c>
      <c r="E302" s="32">
        <f>IF(OR(D302="-",D302="",D302=0),IF(C302="-","-",C302),C302-D302)</f>
        <v>23</v>
      </c>
      <c r="F302" s="36">
        <f>IFERROR(IF(C302&gt;0, D302/C302, 0),"-")</f>
        <v>0.97139303482587069</v>
      </c>
      <c r="G302" s="32">
        <v>12</v>
      </c>
      <c r="H302" s="32">
        <v>1</v>
      </c>
      <c r="I302" s="32">
        <f>IF(OR(H302="-",H302="",H302=0),IF(G302="-","-",G302),G302-H302)</f>
        <v>11</v>
      </c>
      <c r="J302" s="36">
        <f>IFERROR(IF(G302&gt;0, H302/G302, 0),"-")</f>
        <v>8.3333333333333329E-2</v>
      </c>
      <c r="K302" s="32">
        <v>10</v>
      </c>
      <c r="L302" s="32" t="s">
        <v>959</v>
      </c>
      <c r="M302" s="32">
        <f>IF(OR(L302="-",L302="",L302=0),IF(K302="-","-",K302),K302-L302)</f>
        <v>10</v>
      </c>
      <c r="N302" s="36" t="str">
        <f>IFERROR(IF(K302&gt;0, L302/K302, 0),"-")</f>
        <v>-</v>
      </c>
      <c r="O302" s="32">
        <v>4</v>
      </c>
      <c r="P302" s="32">
        <v>2</v>
      </c>
      <c r="Q302" s="32">
        <f>IF(OR(P302="-",P302="",P302=0),IF(O302="-","-",O302),O302-P302)</f>
        <v>2</v>
      </c>
      <c r="R302" s="36">
        <f>IFERROR(IF(O302&gt;0, P302/O302, 0),"-")</f>
        <v>0.5</v>
      </c>
      <c r="S302" s="32">
        <v>1</v>
      </c>
      <c r="T302" s="32" t="s">
        <v>959</v>
      </c>
      <c r="U302" s="32" t="s">
        <v>959</v>
      </c>
      <c r="V302" s="32" t="s">
        <v>959</v>
      </c>
      <c r="W302" s="32" t="s">
        <v>959</v>
      </c>
    </row>
    <row r="303" spans="1:23" x14ac:dyDescent="0.2">
      <c r="A303" s="30" t="s">
        <v>598</v>
      </c>
      <c r="B303" s="30" t="s">
        <v>1039</v>
      </c>
      <c r="C303" s="34">
        <v>115</v>
      </c>
      <c r="D303" s="35">
        <v>109</v>
      </c>
      <c r="E303" s="34">
        <f>IF(OR(D303="-",D303="",D303=0),IF(C303="-","-",C303),C303-D303)</f>
        <v>6</v>
      </c>
      <c r="F303" s="4">
        <f>IFERROR(IF(C303&gt;0, D303/C303, 0),"-")</f>
        <v>0.94782608695652171</v>
      </c>
      <c r="G303" s="34">
        <v>1</v>
      </c>
      <c r="H303" s="35" t="s">
        <v>959</v>
      </c>
      <c r="I303" s="34">
        <f>IF(OR(H303="-",H303="",H303=0),IF(G303="-","-",G303),G303-H303)</f>
        <v>1</v>
      </c>
      <c r="J303" s="4" t="str">
        <f>IFERROR(IF(G303&gt;0, H303/G303, 0),"-")</f>
        <v>-</v>
      </c>
      <c r="K303" s="34">
        <v>3</v>
      </c>
      <c r="L303" s="35" t="s">
        <v>959</v>
      </c>
      <c r="M303" s="34">
        <f>IF(OR(L303="-",L303="",L303=0),IF(K303="-","-",K303),K303-L303)</f>
        <v>3</v>
      </c>
      <c r="N303" s="4" t="str">
        <f>IFERROR(IF(K303&gt;0, L303/K303, 0),"-")</f>
        <v>-</v>
      </c>
      <c r="O303" s="34" t="s">
        <v>959</v>
      </c>
      <c r="P303" s="35" t="s">
        <v>959</v>
      </c>
      <c r="Q303" s="34" t="str">
        <f>IF(OR(P303="-",P303="",P303=0),IF(O303="-","-",O303),O303-P303)</f>
        <v>-</v>
      </c>
      <c r="R303" s="4" t="str">
        <f>IFERROR(IF(O303&gt;0, P303/O303, 0),"-")</f>
        <v>-</v>
      </c>
      <c r="S303" s="34" t="s">
        <v>959</v>
      </c>
      <c r="T303" s="34" t="s">
        <v>959</v>
      </c>
      <c r="U303" s="34" t="s">
        <v>959</v>
      </c>
      <c r="V303" s="35" t="s">
        <v>959</v>
      </c>
      <c r="W303" s="35" t="s">
        <v>959</v>
      </c>
    </row>
    <row r="304" spans="1:23" x14ac:dyDescent="0.2">
      <c r="A304" s="30" t="s">
        <v>599</v>
      </c>
      <c r="B304" s="30" t="s">
        <v>1040</v>
      </c>
      <c r="C304" s="34">
        <v>121</v>
      </c>
      <c r="D304" s="35">
        <v>117</v>
      </c>
      <c r="E304" s="34">
        <f>IF(OR(D304="-",D304="",D304=0),IF(C304="-","-",C304),C304-D304)</f>
        <v>4</v>
      </c>
      <c r="F304" s="4">
        <f>IFERROR(IF(C304&gt;0, D304/C304, 0),"-")</f>
        <v>0.96694214876033058</v>
      </c>
      <c r="G304" s="34">
        <v>3</v>
      </c>
      <c r="H304" s="35" t="s">
        <v>959</v>
      </c>
      <c r="I304" s="34">
        <f>IF(OR(H304="-",H304="",H304=0),IF(G304="-","-",G304),G304-H304)</f>
        <v>3</v>
      </c>
      <c r="J304" s="4" t="str">
        <f>IFERROR(IF(G304&gt;0, H304/G304, 0),"-")</f>
        <v>-</v>
      </c>
      <c r="K304" s="34">
        <v>3</v>
      </c>
      <c r="L304" s="35" t="s">
        <v>959</v>
      </c>
      <c r="M304" s="34">
        <f>IF(OR(L304="-",L304="",L304=0),IF(K304="-","-",K304),K304-L304)</f>
        <v>3</v>
      </c>
      <c r="N304" s="4" t="str">
        <f>IFERROR(IF(K304&gt;0, L304/K304, 0),"-")</f>
        <v>-</v>
      </c>
      <c r="O304" s="34" t="s">
        <v>959</v>
      </c>
      <c r="P304" s="35" t="s">
        <v>959</v>
      </c>
      <c r="Q304" s="34" t="str">
        <f>IF(OR(P304="-",P304="",P304=0),IF(O304="-","-",O304),O304-P304)</f>
        <v>-</v>
      </c>
      <c r="R304" s="4" t="str">
        <f>IFERROR(IF(O304&gt;0, P304/O304, 0),"-")</f>
        <v>-</v>
      </c>
      <c r="S304" s="34" t="s">
        <v>959</v>
      </c>
      <c r="T304" s="34" t="s">
        <v>959</v>
      </c>
      <c r="U304" s="34" t="s">
        <v>959</v>
      </c>
      <c r="V304" s="35" t="s">
        <v>959</v>
      </c>
      <c r="W304" s="35" t="s">
        <v>959</v>
      </c>
    </row>
    <row r="305" spans="1:23" x14ac:dyDescent="0.2">
      <c r="A305" s="30" t="s">
        <v>596</v>
      </c>
      <c r="B305" s="30" t="s">
        <v>1041</v>
      </c>
      <c r="C305" s="34">
        <v>90</v>
      </c>
      <c r="D305" s="35">
        <v>89</v>
      </c>
      <c r="E305" s="34">
        <f>IF(OR(D305="-",D305="",D305=0),IF(C305="-","-",C305),C305-D305)</f>
        <v>1</v>
      </c>
      <c r="F305" s="4">
        <f>IFERROR(IF(C305&gt;0, D305/C305, 0),"-")</f>
        <v>0.98888888888888893</v>
      </c>
      <c r="G305" s="34" t="s">
        <v>959</v>
      </c>
      <c r="H305" s="35" t="s">
        <v>959</v>
      </c>
      <c r="I305" s="34" t="str">
        <f>IF(OR(H305="-",H305="",H305=0),IF(G305="-","-",G305),G305-H305)</f>
        <v>-</v>
      </c>
      <c r="J305" s="4" t="str">
        <f>IFERROR(IF(G305&gt;0, H305/G305, 0),"-")</f>
        <v>-</v>
      </c>
      <c r="K305" s="34">
        <v>1</v>
      </c>
      <c r="L305" s="35" t="s">
        <v>959</v>
      </c>
      <c r="M305" s="34">
        <f>IF(OR(L305="-",L305="",L305=0),IF(K305="-","-",K305),K305-L305)</f>
        <v>1</v>
      </c>
      <c r="N305" s="4" t="str">
        <f>IFERROR(IF(K305&gt;0, L305/K305, 0),"-")</f>
        <v>-</v>
      </c>
      <c r="O305" s="34" t="s">
        <v>959</v>
      </c>
      <c r="P305" s="35" t="s">
        <v>959</v>
      </c>
      <c r="Q305" s="34" t="str">
        <f>IF(OR(P305="-",P305="",P305=0),IF(O305="-","-",O305),O305-P305)</f>
        <v>-</v>
      </c>
      <c r="R305" s="4" t="str">
        <f>IFERROR(IF(O305&gt;0, P305/O305, 0),"-")</f>
        <v>-</v>
      </c>
      <c r="S305" s="34" t="s">
        <v>959</v>
      </c>
      <c r="T305" s="34" t="s">
        <v>959</v>
      </c>
      <c r="U305" s="34" t="s">
        <v>959</v>
      </c>
      <c r="V305" s="35" t="s">
        <v>959</v>
      </c>
      <c r="W305" s="35" t="s">
        <v>959</v>
      </c>
    </row>
    <row r="306" spans="1:23" x14ac:dyDescent="0.2">
      <c r="A306" s="30" t="s">
        <v>600</v>
      </c>
      <c r="B306" s="30" t="s">
        <v>1042</v>
      </c>
      <c r="C306" s="34">
        <v>77</v>
      </c>
      <c r="D306" s="35">
        <v>75</v>
      </c>
      <c r="E306" s="34">
        <f>IF(OR(D306="-",D306="",D306=0),IF(C306="-","-",C306),C306-D306)</f>
        <v>2</v>
      </c>
      <c r="F306" s="4">
        <f>IFERROR(IF(C306&gt;0, D306/C306, 0),"-")</f>
        <v>0.97402597402597402</v>
      </c>
      <c r="G306" s="34">
        <v>1</v>
      </c>
      <c r="H306" s="35">
        <v>1</v>
      </c>
      <c r="I306" s="34">
        <f>IF(OR(H306="-",H306="",H306=0),IF(G306="-","-",G306),G306-H306)</f>
        <v>0</v>
      </c>
      <c r="J306" s="4">
        <f>IFERROR(IF(G306&gt;0, H306/G306, 0),"-")</f>
        <v>1</v>
      </c>
      <c r="K306" s="34" t="s">
        <v>959</v>
      </c>
      <c r="L306" s="35" t="s">
        <v>959</v>
      </c>
      <c r="M306" s="34" t="str">
        <f>IF(OR(L306="-",L306="",L306=0),IF(K306="-","-",K306),K306-L306)</f>
        <v>-</v>
      </c>
      <c r="N306" s="4" t="str">
        <f>IFERROR(IF(K306&gt;0, L306/K306, 0),"-")</f>
        <v>-</v>
      </c>
      <c r="O306" s="34" t="s">
        <v>959</v>
      </c>
      <c r="P306" s="35" t="s">
        <v>959</v>
      </c>
      <c r="Q306" s="34" t="str">
        <f>IF(OR(P306="-",P306="",P306=0),IF(O306="-","-",O306),O306-P306)</f>
        <v>-</v>
      </c>
      <c r="R306" s="4" t="str">
        <f>IFERROR(IF(O306&gt;0, P306/O306, 0),"-")</f>
        <v>-</v>
      </c>
      <c r="S306" s="34" t="s">
        <v>959</v>
      </c>
      <c r="T306" s="34" t="s">
        <v>959</v>
      </c>
      <c r="U306" s="34" t="s">
        <v>959</v>
      </c>
      <c r="V306" s="35" t="s">
        <v>959</v>
      </c>
      <c r="W306" s="35" t="s">
        <v>959</v>
      </c>
    </row>
    <row r="307" spans="1:23" x14ac:dyDescent="0.2">
      <c r="A307" s="30" t="s">
        <v>597</v>
      </c>
      <c r="B307" s="30" t="s">
        <v>1043</v>
      </c>
      <c r="C307" s="34">
        <v>80</v>
      </c>
      <c r="D307" s="35">
        <v>77</v>
      </c>
      <c r="E307" s="34">
        <f>IF(OR(D307="-",D307="",D307=0),IF(C307="-","-",C307),C307-D307)</f>
        <v>3</v>
      </c>
      <c r="F307" s="4">
        <f>IFERROR(IF(C307&gt;0, D307/C307, 0),"-")</f>
        <v>0.96250000000000002</v>
      </c>
      <c r="G307" s="34">
        <v>2</v>
      </c>
      <c r="H307" s="35" t="s">
        <v>959</v>
      </c>
      <c r="I307" s="34">
        <f>IF(OR(H307="-",H307="",H307=0),IF(G307="-","-",G307),G307-H307)</f>
        <v>2</v>
      </c>
      <c r="J307" s="4" t="str">
        <f>IFERROR(IF(G307&gt;0, H307/G307, 0),"-")</f>
        <v>-</v>
      </c>
      <c r="K307" s="34" t="s">
        <v>959</v>
      </c>
      <c r="L307" s="35" t="s">
        <v>959</v>
      </c>
      <c r="M307" s="34" t="str">
        <f>IF(OR(L307="-",L307="",L307=0),IF(K307="-","-",K307),K307-L307)</f>
        <v>-</v>
      </c>
      <c r="N307" s="4" t="str">
        <f>IFERROR(IF(K307&gt;0, L307/K307, 0),"-")</f>
        <v>-</v>
      </c>
      <c r="O307" s="34">
        <v>2</v>
      </c>
      <c r="P307" s="35">
        <v>1</v>
      </c>
      <c r="Q307" s="34">
        <f>IF(OR(P307="-",P307="",P307=0),IF(O307="-","-",O307),O307-P307)</f>
        <v>1</v>
      </c>
      <c r="R307" s="4">
        <f>IFERROR(IF(O307&gt;0, P307/O307, 0),"-")</f>
        <v>0.5</v>
      </c>
      <c r="S307" s="34">
        <v>1</v>
      </c>
      <c r="T307" s="34" t="s">
        <v>959</v>
      </c>
      <c r="U307" s="34" t="s">
        <v>959</v>
      </c>
      <c r="V307" s="35" t="s">
        <v>959</v>
      </c>
      <c r="W307" s="35" t="s">
        <v>959</v>
      </c>
    </row>
    <row r="308" spans="1:23" x14ac:dyDescent="0.2">
      <c r="A308" s="30" t="s">
        <v>595</v>
      </c>
      <c r="B308" s="30" t="s">
        <v>1044</v>
      </c>
      <c r="C308" s="34">
        <v>137</v>
      </c>
      <c r="D308" s="35">
        <v>135</v>
      </c>
      <c r="E308" s="34">
        <f>IF(OR(D308="-",D308="",D308=0),IF(C308="-","-",C308),C308-D308)</f>
        <v>2</v>
      </c>
      <c r="F308" s="4">
        <f>IFERROR(IF(C308&gt;0, D308/C308, 0),"-")</f>
        <v>0.98540145985401462</v>
      </c>
      <c r="G308" s="34">
        <v>4</v>
      </c>
      <c r="H308" s="35" t="s">
        <v>959</v>
      </c>
      <c r="I308" s="34">
        <f>IF(OR(H308="-",H308="",H308=0),IF(G308="-","-",G308),G308-H308)</f>
        <v>4</v>
      </c>
      <c r="J308" s="4" t="str">
        <f>IFERROR(IF(G308&gt;0, H308/G308, 0),"-")</f>
        <v>-</v>
      </c>
      <c r="K308" s="34">
        <v>3</v>
      </c>
      <c r="L308" s="35" t="s">
        <v>959</v>
      </c>
      <c r="M308" s="34">
        <f>IF(OR(L308="-",L308="",L308=0),IF(K308="-","-",K308),K308-L308)</f>
        <v>3</v>
      </c>
      <c r="N308" s="4" t="str">
        <f>IFERROR(IF(K308&gt;0, L308/K308, 0),"-")</f>
        <v>-</v>
      </c>
      <c r="O308" s="34">
        <v>1</v>
      </c>
      <c r="P308" s="35" t="s">
        <v>959</v>
      </c>
      <c r="Q308" s="34">
        <f>IF(OR(P308="-",P308="",P308=0),IF(O308="-","-",O308),O308-P308)</f>
        <v>1</v>
      </c>
      <c r="R308" s="4" t="str">
        <f>IFERROR(IF(O308&gt;0, P308/O308, 0),"-")</f>
        <v>-</v>
      </c>
      <c r="S308" s="34" t="s">
        <v>959</v>
      </c>
      <c r="T308" s="34" t="s">
        <v>959</v>
      </c>
      <c r="U308" s="34" t="s">
        <v>959</v>
      </c>
      <c r="V308" s="35" t="s">
        <v>959</v>
      </c>
      <c r="W308" s="35" t="s">
        <v>959</v>
      </c>
    </row>
    <row r="309" spans="1:23" x14ac:dyDescent="0.2">
      <c r="A309" s="30" t="s">
        <v>594</v>
      </c>
      <c r="B309" s="30" t="s">
        <v>1045</v>
      </c>
      <c r="C309" s="34">
        <v>184</v>
      </c>
      <c r="D309" s="35">
        <v>179</v>
      </c>
      <c r="E309" s="34">
        <f>IF(OR(D309="-",D309="",D309=0),IF(C309="-","-",C309),C309-D309)</f>
        <v>5</v>
      </c>
      <c r="F309" s="4">
        <f>IFERROR(IF(C309&gt;0, D309/C309, 0),"-")</f>
        <v>0.97282608695652173</v>
      </c>
      <c r="G309" s="34">
        <v>1</v>
      </c>
      <c r="H309" s="35" t="s">
        <v>959</v>
      </c>
      <c r="I309" s="34">
        <f>IF(OR(H309="-",H309="",H309=0),IF(G309="-","-",G309),G309-H309)</f>
        <v>1</v>
      </c>
      <c r="J309" s="4" t="str">
        <f>IFERROR(IF(G309&gt;0, H309/G309, 0),"-")</f>
        <v>-</v>
      </c>
      <c r="K309" s="34" t="s">
        <v>959</v>
      </c>
      <c r="L309" s="35" t="s">
        <v>959</v>
      </c>
      <c r="M309" s="34" t="str">
        <f>IF(OR(L309="-",L309="",L309=0),IF(K309="-","-",K309),K309-L309)</f>
        <v>-</v>
      </c>
      <c r="N309" s="4" t="str">
        <f>IFERROR(IF(K309&gt;0, L309/K309, 0),"-")</f>
        <v>-</v>
      </c>
      <c r="O309" s="34">
        <v>1</v>
      </c>
      <c r="P309" s="35">
        <v>1</v>
      </c>
      <c r="Q309" s="34">
        <f>IF(OR(P309="-",P309="",P309=0),IF(O309="-","-",O309),O309-P309)</f>
        <v>0</v>
      </c>
      <c r="R309" s="4">
        <f>IFERROR(IF(O309&gt;0, P309/O309, 0),"-")</f>
        <v>1</v>
      </c>
      <c r="S309" s="34" t="s">
        <v>959</v>
      </c>
      <c r="T309" s="34" t="s">
        <v>959</v>
      </c>
      <c r="U309" s="34" t="s">
        <v>959</v>
      </c>
      <c r="V309" s="35" t="s">
        <v>959</v>
      </c>
      <c r="W309" s="35" t="s">
        <v>959</v>
      </c>
    </row>
    <row r="310" spans="1:23" x14ac:dyDescent="0.2">
      <c r="A310" s="29"/>
      <c r="B310" s="29" t="s">
        <v>91</v>
      </c>
      <c r="C310" s="32">
        <v>360</v>
      </c>
      <c r="D310" s="32">
        <v>355</v>
      </c>
      <c r="E310" s="32">
        <f>IF(OR(D310="-",D310="",D310=0),IF(C310="-","-",C310),C310-D310)</f>
        <v>5</v>
      </c>
      <c r="F310" s="36">
        <f>IFERROR(IF(C310&gt;0, D310/C310, 0),"-")</f>
        <v>0.98611111111111116</v>
      </c>
      <c r="G310" s="32" t="s">
        <v>959</v>
      </c>
      <c r="H310" s="32" t="s">
        <v>959</v>
      </c>
      <c r="I310" s="32" t="str">
        <f>IF(OR(H310="-",H310="",H310=0),IF(G310="-","-",G310),G310-H310)</f>
        <v>-</v>
      </c>
      <c r="J310" s="36" t="str">
        <f>IFERROR(IF(G310&gt;0, H310/G310, 0),"-")</f>
        <v>-</v>
      </c>
      <c r="K310" s="32" t="s">
        <v>959</v>
      </c>
      <c r="L310" s="32" t="s">
        <v>959</v>
      </c>
      <c r="M310" s="32" t="str">
        <f>IF(OR(L310="-",L310="",L310=0),IF(K310="-","-",K310),K310-L310)</f>
        <v>-</v>
      </c>
      <c r="N310" s="36" t="str">
        <f>IFERROR(IF(K310&gt;0, L310/K310, 0),"-")</f>
        <v>-</v>
      </c>
      <c r="O310" s="32">
        <v>2</v>
      </c>
      <c r="P310" s="32" t="s">
        <v>959</v>
      </c>
      <c r="Q310" s="32">
        <f>IF(OR(P310="-",P310="",P310=0),IF(O310="-","-",O310),O310-P310)</f>
        <v>2</v>
      </c>
      <c r="R310" s="36" t="str">
        <f>IFERROR(IF(O310&gt;0, P310/O310, 0),"-")</f>
        <v>-</v>
      </c>
      <c r="S310" s="32" t="s">
        <v>959</v>
      </c>
      <c r="T310" s="32" t="s">
        <v>959</v>
      </c>
      <c r="U310" s="32" t="s">
        <v>959</v>
      </c>
      <c r="V310" s="32" t="s">
        <v>959</v>
      </c>
      <c r="W310" s="32" t="s">
        <v>959</v>
      </c>
    </row>
    <row r="311" spans="1:23" x14ac:dyDescent="0.2">
      <c r="A311" s="30" t="s">
        <v>619</v>
      </c>
      <c r="B311" s="30" t="s">
        <v>1046</v>
      </c>
      <c r="C311" s="34">
        <v>38</v>
      </c>
      <c r="D311" s="35">
        <v>38</v>
      </c>
      <c r="E311" s="34">
        <f>IF(OR(D311="-",D311="",D311=0),IF(C311="-","-",C311),C311-D311)</f>
        <v>0</v>
      </c>
      <c r="F311" s="4">
        <f>IFERROR(IF(C311&gt;0, D311/C311, 0),"-")</f>
        <v>1</v>
      </c>
      <c r="G311" s="34" t="s">
        <v>959</v>
      </c>
      <c r="H311" s="35" t="s">
        <v>959</v>
      </c>
      <c r="I311" s="34" t="str">
        <f>IF(OR(H311="-",H311="",H311=0),IF(G311="-","-",G311),G311-H311)</f>
        <v>-</v>
      </c>
      <c r="J311" s="4" t="str">
        <f>IFERROR(IF(G311&gt;0, H311/G311, 0),"-")</f>
        <v>-</v>
      </c>
      <c r="K311" s="34" t="s">
        <v>959</v>
      </c>
      <c r="L311" s="35" t="s">
        <v>959</v>
      </c>
      <c r="M311" s="34" t="str">
        <f>IF(OR(L311="-",L311="",L311=0),IF(K311="-","-",K311),K311-L311)</f>
        <v>-</v>
      </c>
      <c r="N311" s="4" t="str">
        <f>IFERROR(IF(K311&gt;0, L311/K311, 0),"-")</f>
        <v>-</v>
      </c>
      <c r="O311" s="34" t="s">
        <v>959</v>
      </c>
      <c r="P311" s="35" t="s">
        <v>959</v>
      </c>
      <c r="Q311" s="34" t="str">
        <f>IF(OR(P311="-",P311="",P311=0),IF(O311="-","-",O311),O311-P311)</f>
        <v>-</v>
      </c>
      <c r="R311" s="4" t="str">
        <f>IFERROR(IF(O311&gt;0, P311/O311, 0),"-")</f>
        <v>-</v>
      </c>
      <c r="S311" s="34" t="s">
        <v>959</v>
      </c>
      <c r="T311" s="34" t="s">
        <v>959</v>
      </c>
      <c r="U311" s="34" t="s">
        <v>959</v>
      </c>
      <c r="V311" s="35" t="s">
        <v>959</v>
      </c>
      <c r="W311" s="35" t="s">
        <v>959</v>
      </c>
    </row>
    <row r="312" spans="1:23" x14ac:dyDescent="0.2">
      <c r="A312" s="30" t="s">
        <v>618</v>
      </c>
      <c r="B312" s="30" t="s">
        <v>1047</v>
      </c>
      <c r="C312" s="34">
        <v>27</v>
      </c>
      <c r="D312" s="35">
        <v>27</v>
      </c>
      <c r="E312" s="34">
        <f>IF(OR(D312="-",D312="",D312=0),IF(C312="-","-",C312),C312-D312)</f>
        <v>0</v>
      </c>
      <c r="F312" s="4">
        <f>IFERROR(IF(C312&gt;0, D312/C312, 0),"-")</f>
        <v>1</v>
      </c>
      <c r="G312" s="34" t="s">
        <v>959</v>
      </c>
      <c r="H312" s="35" t="s">
        <v>959</v>
      </c>
      <c r="I312" s="34" t="str">
        <f>IF(OR(H312="-",H312="",H312=0),IF(G312="-","-",G312),G312-H312)</f>
        <v>-</v>
      </c>
      <c r="J312" s="4" t="str">
        <f>IFERROR(IF(G312&gt;0, H312/G312, 0),"-")</f>
        <v>-</v>
      </c>
      <c r="K312" s="34" t="s">
        <v>959</v>
      </c>
      <c r="L312" s="35" t="s">
        <v>959</v>
      </c>
      <c r="M312" s="34" t="str">
        <f>IF(OR(L312="-",L312="",L312=0),IF(K312="-","-",K312),K312-L312)</f>
        <v>-</v>
      </c>
      <c r="N312" s="4" t="str">
        <f>IFERROR(IF(K312&gt;0, L312/K312, 0),"-")</f>
        <v>-</v>
      </c>
      <c r="O312" s="34" t="s">
        <v>959</v>
      </c>
      <c r="P312" s="35" t="s">
        <v>959</v>
      </c>
      <c r="Q312" s="34" t="str">
        <f>IF(OR(P312="-",P312="",P312=0),IF(O312="-","-",O312),O312-P312)</f>
        <v>-</v>
      </c>
      <c r="R312" s="4" t="str">
        <f>IFERROR(IF(O312&gt;0, P312/O312, 0),"-")</f>
        <v>-</v>
      </c>
      <c r="S312" s="34" t="s">
        <v>959</v>
      </c>
      <c r="T312" s="34" t="s">
        <v>959</v>
      </c>
      <c r="U312" s="34" t="s">
        <v>959</v>
      </c>
      <c r="V312" s="35" t="s">
        <v>959</v>
      </c>
      <c r="W312" s="35" t="s">
        <v>959</v>
      </c>
    </row>
    <row r="313" spans="1:23" x14ac:dyDescent="0.2">
      <c r="A313" s="30" t="s">
        <v>621</v>
      </c>
      <c r="B313" s="30" t="s">
        <v>1048</v>
      </c>
      <c r="C313" s="34">
        <v>41</v>
      </c>
      <c r="D313" s="35">
        <v>40</v>
      </c>
      <c r="E313" s="34">
        <f>IF(OR(D313="-",D313="",D313=0),IF(C313="-","-",C313),C313-D313)</f>
        <v>1</v>
      </c>
      <c r="F313" s="4">
        <f>IFERROR(IF(C313&gt;0, D313/C313, 0),"-")</f>
        <v>0.97560975609756095</v>
      </c>
      <c r="G313" s="34" t="s">
        <v>959</v>
      </c>
      <c r="H313" s="35" t="s">
        <v>959</v>
      </c>
      <c r="I313" s="34" t="str">
        <f>IF(OR(H313="-",H313="",H313=0),IF(G313="-","-",G313),G313-H313)</f>
        <v>-</v>
      </c>
      <c r="J313" s="4" t="str">
        <f>IFERROR(IF(G313&gt;0, H313/G313, 0),"-")</f>
        <v>-</v>
      </c>
      <c r="K313" s="34" t="s">
        <v>959</v>
      </c>
      <c r="L313" s="35" t="s">
        <v>959</v>
      </c>
      <c r="M313" s="34" t="str">
        <f>IF(OR(L313="-",L313="",L313=0),IF(K313="-","-",K313),K313-L313)</f>
        <v>-</v>
      </c>
      <c r="N313" s="4" t="str">
        <f>IFERROR(IF(K313&gt;0, L313/K313, 0),"-")</f>
        <v>-</v>
      </c>
      <c r="O313" s="34">
        <v>1</v>
      </c>
      <c r="P313" s="35" t="s">
        <v>959</v>
      </c>
      <c r="Q313" s="34">
        <f>IF(OR(P313="-",P313="",P313=0),IF(O313="-","-",O313),O313-P313)</f>
        <v>1</v>
      </c>
      <c r="R313" s="4" t="str">
        <f>IFERROR(IF(O313&gt;0, P313/O313, 0),"-")</f>
        <v>-</v>
      </c>
      <c r="S313" s="34" t="s">
        <v>959</v>
      </c>
      <c r="T313" s="34" t="s">
        <v>959</v>
      </c>
      <c r="U313" s="34" t="s">
        <v>959</v>
      </c>
      <c r="V313" s="35" t="s">
        <v>959</v>
      </c>
      <c r="W313" s="35" t="s">
        <v>959</v>
      </c>
    </row>
    <row r="314" spans="1:23" x14ac:dyDescent="0.2">
      <c r="A314" s="30" t="s">
        <v>620</v>
      </c>
      <c r="B314" s="30" t="s">
        <v>1049</v>
      </c>
      <c r="C314" s="34">
        <v>71</v>
      </c>
      <c r="D314" s="35">
        <v>70</v>
      </c>
      <c r="E314" s="34">
        <f>IF(OR(D314="-",D314="",D314=0),IF(C314="-","-",C314),C314-D314)</f>
        <v>1</v>
      </c>
      <c r="F314" s="4">
        <f>IFERROR(IF(C314&gt;0, D314/C314, 0),"-")</f>
        <v>0.9859154929577465</v>
      </c>
      <c r="G314" s="34" t="s">
        <v>959</v>
      </c>
      <c r="H314" s="35" t="s">
        <v>959</v>
      </c>
      <c r="I314" s="34" t="str">
        <f>IF(OR(H314="-",H314="",H314=0),IF(G314="-","-",G314),G314-H314)</f>
        <v>-</v>
      </c>
      <c r="J314" s="4" t="str">
        <f>IFERROR(IF(G314&gt;0, H314/G314, 0),"-")</f>
        <v>-</v>
      </c>
      <c r="K314" s="34" t="s">
        <v>959</v>
      </c>
      <c r="L314" s="35" t="s">
        <v>959</v>
      </c>
      <c r="M314" s="34" t="str">
        <f>IF(OR(L314="-",L314="",L314=0),IF(K314="-","-",K314),K314-L314)</f>
        <v>-</v>
      </c>
      <c r="N314" s="4" t="str">
        <f>IFERROR(IF(K314&gt;0, L314/K314, 0),"-")</f>
        <v>-</v>
      </c>
      <c r="O314" s="34" t="s">
        <v>959</v>
      </c>
      <c r="P314" s="35" t="s">
        <v>959</v>
      </c>
      <c r="Q314" s="34" t="str">
        <f>IF(OR(P314="-",P314="",P314=0),IF(O314="-","-",O314),O314-P314)</f>
        <v>-</v>
      </c>
      <c r="R314" s="4" t="str">
        <f>IFERROR(IF(O314&gt;0, P314/O314, 0),"-")</f>
        <v>-</v>
      </c>
      <c r="S314" s="34" t="s">
        <v>959</v>
      </c>
      <c r="T314" s="34" t="s">
        <v>959</v>
      </c>
      <c r="U314" s="34" t="s">
        <v>959</v>
      </c>
      <c r="V314" s="35" t="s">
        <v>959</v>
      </c>
      <c r="W314" s="35" t="s">
        <v>959</v>
      </c>
    </row>
    <row r="315" spans="1:23" x14ac:dyDescent="0.2">
      <c r="A315" s="30" t="s">
        <v>617</v>
      </c>
      <c r="B315" s="30" t="s">
        <v>1050</v>
      </c>
      <c r="C315" s="34">
        <v>120</v>
      </c>
      <c r="D315" s="35">
        <v>119</v>
      </c>
      <c r="E315" s="34">
        <f>IF(OR(D315="-",D315="",D315=0),IF(C315="-","-",C315),C315-D315)</f>
        <v>1</v>
      </c>
      <c r="F315" s="4">
        <f>IFERROR(IF(C315&gt;0, D315/C315, 0),"-")</f>
        <v>0.9916666666666667</v>
      </c>
      <c r="G315" s="34" t="s">
        <v>959</v>
      </c>
      <c r="H315" s="35" t="s">
        <v>959</v>
      </c>
      <c r="I315" s="34" t="str">
        <f>IF(OR(H315="-",H315="",H315=0),IF(G315="-","-",G315),G315-H315)</f>
        <v>-</v>
      </c>
      <c r="J315" s="4" t="str">
        <f>IFERROR(IF(G315&gt;0, H315/G315, 0),"-")</f>
        <v>-</v>
      </c>
      <c r="K315" s="34" t="s">
        <v>959</v>
      </c>
      <c r="L315" s="35" t="s">
        <v>959</v>
      </c>
      <c r="M315" s="34" t="str">
        <f>IF(OR(L315="-",L315="",L315=0),IF(K315="-","-",K315),K315-L315)</f>
        <v>-</v>
      </c>
      <c r="N315" s="4" t="str">
        <f>IFERROR(IF(K315&gt;0, L315/K315, 0),"-")</f>
        <v>-</v>
      </c>
      <c r="O315" s="34" t="s">
        <v>959</v>
      </c>
      <c r="P315" s="35" t="s">
        <v>959</v>
      </c>
      <c r="Q315" s="34" t="str">
        <f>IF(OR(P315="-",P315="",P315=0),IF(O315="-","-",O315),O315-P315)</f>
        <v>-</v>
      </c>
      <c r="R315" s="4" t="str">
        <f>IFERROR(IF(O315&gt;0, P315/O315, 0),"-")</f>
        <v>-</v>
      </c>
      <c r="S315" s="34" t="s">
        <v>959</v>
      </c>
      <c r="T315" s="34" t="s">
        <v>959</v>
      </c>
      <c r="U315" s="34" t="s">
        <v>959</v>
      </c>
      <c r="V315" s="35" t="s">
        <v>959</v>
      </c>
      <c r="W315" s="35" t="s">
        <v>959</v>
      </c>
    </row>
    <row r="316" spans="1:23" x14ac:dyDescent="0.2">
      <c r="A316" s="30" t="s">
        <v>616</v>
      </c>
      <c r="B316" s="30" t="s">
        <v>1051</v>
      </c>
      <c r="C316" s="34">
        <v>63</v>
      </c>
      <c r="D316" s="35">
        <v>61</v>
      </c>
      <c r="E316" s="34">
        <f>IF(OR(D316="-",D316="",D316=0),IF(C316="-","-",C316),C316-D316)</f>
        <v>2</v>
      </c>
      <c r="F316" s="4">
        <f>IFERROR(IF(C316&gt;0, D316/C316, 0),"-")</f>
        <v>0.96825396825396826</v>
      </c>
      <c r="G316" s="34" t="s">
        <v>959</v>
      </c>
      <c r="H316" s="35" t="s">
        <v>959</v>
      </c>
      <c r="I316" s="34" t="str">
        <f>IF(OR(H316="-",H316="",H316=0),IF(G316="-","-",G316),G316-H316)</f>
        <v>-</v>
      </c>
      <c r="J316" s="4" t="str">
        <f>IFERROR(IF(G316&gt;0, H316/G316, 0),"-")</f>
        <v>-</v>
      </c>
      <c r="K316" s="34" t="s">
        <v>959</v>
      </c>
      <c r="L316" s="35" t="s">
        <v>959</v>
      </c>
      <c r="M316" s="34" t="str">
        <f>IF(OR(L316="-",L316="",L316=0),IF(K316="-","-",K316),K316-L316)</f>
        <v>-</v>
      </c>
      <c r="N316" s="4" t="str">
        <f>IFERROR(IF(K316&gt;0, L316/K316, 0),"-")</f>
        <v>-</v>
      </c>
      <c r="O316" s="34">
        <v>1</v>
      </c>
      <c r="P316" s="35" t="s">
        <v>959</v>
      </c>
      <c r="Q316" s="34">
        <f>IF(OR(P316="-",P316="",P316=0),IF(O316="-","-",O316),O316-P316)</f>
        <v>1</v>
      </c>
      <c r="R316" s="4" t="str">
        <f>IFERROR(IF(O316&gt;0, P316/O316, 0),"-")</f>
        <v>-</v>
      </c>
      <c r="S316" s="34" t="s">
        <v>959</v>
      </c>
      <c r="T316" s="34" t="s">
        <v>959</v>
      </c>
      <c r="U316" s="34" t="s">
        <v>959</v>
      </c>
      <c r="V316" s="35" t="s">
        <v>959</v>
      </c>
      <c r="W316" s="35" t="s">
        <v>959</v>
      </c>
    </row>
    <row r="317" spans="1:23" x14ac:dyDescent="0.2">
      <c r="A317" s="29"/>
      <c r="B317" s="29" t="s">
        <v>16</v>
      </c>
      <c r="C317" s="32">
        <v>699</v>
      </c>
      <c r="D317" s="32">
        <v>695</v>
      </c>
      <c r="E317" s="32">
        <f>IF(OR(D317="-",D317="",D317=0),IF(C317="-","-",C317),C317-D317)</f>
        <v>4</v>
      </c>
      <c r="F317" s="36">
        <f>IFERROR(IF(C317&gt;0, D317/C317, 0),"-")</f>
        <v>0.99427753934191698</v>
      </c>
      <c r="G317" s="32">
        <v>4</v>
      </c>
      <c r="H317" s="32">
        <v>2</v>
      </c>
      <c r="I317" s="32">
        <f>IF(OR(H317="-",H317="",H317=0),IF(G317="-","-",G317),G317-H317)</f>
        <v>2</v>
      </c>
      <c r="J317" s="36">
        <f>IFERROR(IF(G317&gt;0, H317/G317, 0),"-")</f>
        <v>0.5</v>
      </c>
      <c r="K317" s="32">
        <v>3</v>
      </c>
      <c r="L317" s="32" t="s">
        <v>959</v>
      </c>
      <c r="M317" s="32">
        <f>IF(OR(L317="-",L317="",L317=0),IF(K317="-","-",K317),K317-L317)</f>
        <v>3</v>
      </c>
      <c r="N317" s="36" t="str">
        <f>IFERROR(IF(K317&gt;0, L317/K317, 0),"-")</f>
        <v>-</v>
      </c>
      <c r="O317" s="32" t="s">
        <v>959</v>
      </c>
      <c r="P317" s="32" t="s">
        <v>959</v>
      </c>
      <c r="Q317" s="32" t="str">
        <f>IF(OR(P317="-",P317="",P317=0),IF(O317="-","-",O317),O317-P317)</f>
        <v>-</v>
      </c>
      <c r="R317" s="36" t="str">
        <f>IFERROR(IF(O317&gt;0, P317/O317, 0),"-")</f>
        <v>-</v>
      </c>
      <c r="S317" s="32" t="s">
        <v>959</v>
      </c>
      <c r="T317" s="32" t="s">
        <v>959</v>
      </c>
      <c r="U317" s="32" t="s">
        <v>959</v>
      </c>
      <c r="V317" s="32" t="s">
        <v>959</v>
      </c>
      <c r="W317" s="32" t="s">
        <v>959</v>
      </c>
    </row>
    <row r="318" spans="1:23" x14ac:dyDescent="0.2">
      <c r="A318" s="30" t="s">
        <v>470</v>
      </c>
      <c r="B318" s="30" t="s">
        <v>1052</v>
      </c>
      <c r="C318" s="34">
        <v>98</v>
      </c>
      <c r="D318" s="35">
        <v>98</v>
      </c>
      <c r="E318" s="34">
        <f>IF(OR(D318="-",D318="",D318=0),IF(C318="-","-",C318),C318-D318)</f>
        <v>0</v>
      </c>
      <c r="F318" s="4">
        <f>IFERROR(IF(C318&gt;0, D318/C318, 0),"-")</f>
        <v>1</v>
      </c>
      <c r="G318" s="34" t="s">
        <v>959</v>
      </c>
      <c r="H318" s="35" t="s">
        <v>959</v>
      </c>
      <c r="I318" s="34" t="str">
        <f>IF(OR(H318="-",H318="",H318=0),IF(G318="-","-",G318),G318-H318)</f>
        <v>-</v>
      </c>
      <c r="J318" s="4" t="str">
        <f>IFERROR(IF(G318&gt;0, H318/G318, 0),"-")</f>
        <v>-</v>
      </c>
      <c r="K318" s="34" t="s">
        <v>959</v>
      </c>
      <c r="L318" s="35" t="s">
        <v>959</v>
      </c>
      <c r="M318" s="34" t="str">
        <f>IF(OR(L318="-",L318="",L318=0),IF(K318="-","-",K318),K318-L318)</f>
        <v>-</v>
      </c>
      <c r="N318" s="4" t="str">
        <f>IFERROR(IF(K318&gt;0, L318/K318, 0),"-")</f>
        <v>-</v>
      </c>
      <c r="O318" s="34" t="s">
        <v>959</v>
      </c>
      <c r="P318" s="35" t="s">
        <v>959</v>
      </c>
      <c r="Q318" s="34" t="str">
        <f>IF(OR(P318="-",P318="",P318=0),IF(O318="-","-",O318),O318-P318)</f>
        <v>-</v>
      </c>
      <c r="R318" s="4" t="str">
        <f>IFERROR(IF(O318&gt;0, P318/O318, 0),"-")</f>
        <v>-</v>
      </c>
      <c r="S318" s="34" t="s">
        <v>959</v>
      </c>
      <c r="T318" s="34" t="s">
        <v>959</v>
      </c>
      <c r="U318" s="34" t="s">
        <v>959</v>
      </c>
      <c r="V318" s="35" t="s">
        <v>959</v>
      </c>
      <c r="W318" s="35" t="s">
        <v>959</v>
      </c>
    </row>
    <row r="319" spans="1:23" x14ac:dyDescent="0.2">
      <c r="A319" s="30" t="s">
        <v>469</v>
      </c>
      <c r="B319" s="30" t="s">
        <v>1053</v>
      </c>
      <c r="C319" s="34">
        <v>121</v>
      </c>
      <c r="D319" s="35">
        <v>121</v>
      </c>
      <c r="E319" s="34">
        <f>IF(OR(D319="-",D319="",D319=0),IF(C319="-","-",C319),C319-D319)</f>
        <v>0</v>
      </c>
      <c r="F319" s="4">
        <f>IFERROR(IF(C319&gt;0, D319/C319, 0),"-")</f>
        <v>1</v>
      </c>
      <c r="G319" s="34">
        <v>2</v>
      </c>
      <c r="H319" s="35">
        <v>2</v>
      </c>
      <c r="I319" s="34">
        <f>IF(OR(H319="-",H319="",H319=0),IF(G319="-","-",G319),G319-H319)</f>
        <v>0</v>
      </c>
      <c r="J319" s="4">
        <f>IFERROR(IF(G319&gt;0, H319/G319, 0),"-")</f>
        <v>1</v>
      </c>
      <c r="K319" s="34">
        <v>2</v>
      </c>
      <c r="L319" s="35" t="s">
        <v>959</v>
      </c>
      <c r="M319" s="34">
        <f>IF(OR(L319="-",L319="",L319=0),IF(K319="-","-",K319),K319-L319)</f>
        <v>2</v>
      </c>
      <c r="N319" s="4" t="str">
        <f>IFERROR(IF(K319&gt;0, L319/K319, 0),"-")</f>
        <v>-</v>
      </c>
      <c r="O319" s="34" t="s">
        <v>959</v>
      </c>
      <c r="P319" s="35" t="s">
        <v>959</v>
      </c>
      <c r="Q319" s="34" t="str">
        <f>IF(OR(P319="-",P319="",P319=0),IF(O319="-","-",O319),O319-P319)</f>
        <v>-</v>
      </c>
      <c r="R319" s="4" t="str">
        <f>IFERROR(IF(O319&gt;0, P319/O319, 0),"-")</f>
        <v>-</v>
      </c>
      <c r="S319" s="34" t="s">
        <v>959</v>
      </c>
      <c r="T319" s="34" t="s">
        <v>959</v>
      </c>
      <c r="U319" s="34" t="s">
        <v>959</v>
      </c>
      <c r="V319" s="35" t="s">
        <v>959</v>
      </c>
      <c r="W319" s="35" t="s">
        <v>959</v>
      </c>
    </row>
    <row r="320" spans="1:23" x14ac:dyDescent="0.2">
      <c r="A320" s="30" t="s">
        <v>472</v>
      </c>
      <c r="B320" s="30" t="s">
        <v>1054</v>
      </c>
      <c r="C320" s="34">
        <v>132</v>
      </c>
      <c r="D320" s="35">
        <v>132</v>
      </c>
      <c r="E320" s="34">
        <f>IF(OR(D320="-",D320="",D320=0),IF(C320="-","-",C320),C320-D320)</f>
        <v>0</v>
      </c>
      <c r="F320" s="4">
        <f>IFERROR(IF(C320&gt;0, D320/C320, 0),"-")</f>
        <v>1</v>
      </c>
      <c r="G320" s="34" t="s">
        <v>959</v>
      </c>
      <c r="H320" s="35" t="s">
        <v>959</v>
      </c>
      <c r="I320" s="34" t="str">
        <f>IF(OR(H320="-",H320="",H320=0),IF(G320="-","-",G320),G320-H320)</f>
        <v>-</v>
      </c>
      <c r="J320" s="4" t="str">
        <f>IFERROR(IF(G320&gt;0, H320/G320, 0),"-")</f>
        <v>-</v>
      </c>
      <c r="K320" s="34">
        <v>1</v>
      </c>
      <c r="L320" s="35" t="s">
        <v>959</v>
      </c>
      <c r="M320" s="34">
        <f>IF(OR(L320="-",L320="",L320=0),IF(K320="-","-",K320),K320-L320)</f>
        <v>1</v>
      </c>
      <c r="N320" s="4" t="str">
        <f>IFERROR(IF(K320&gt;0, L320/K320, 0),"-")</f>
        <v>-</v>
      </c>
      <c r="O320" s="34" t="s">
        <v>959</v>
      </c>
      <c r="P320" s="35" t="s">
        <v>959</v>
      </c>
      <c r="Q320" s="34" t="str">
        <f>IF(OR(P320="-",P320="",P320=0),IF(O320="-","-",O320),O320-P320)</f>
        <v>-</v>
      </c>
      <c r="R320" s="4" t="str">
        <f>IFERROR(IF(O320&gt;0, P320/O320, 0),"-")</f>
        <v>-</v>
      </c>
      <c r="S320" s="34" t="s">
        <v>959</v>
      </c>
      <c r="T320" s="34" t="s">
        <v>959</v>
      </c>
      <c r="U320" s="34" t="s">
        <v>959</v>
      </c>
      <c r="V320" s="35" t="s">
        <v>959</v>
      </c>
      <c r="W320" s="35" t="s">
        <v>959</v>
      </c>
    </row>
    <row r="321" spans="1:23" x14ac:dyDescent="0.2">
      <c r="A321" s="30" t="s">
        <v>468</v>
      </c>
      <c r="B321" s="30" t="s">
        <v>1055</v>
      </c>
      <c r="C321" s="34">
        <v>126</v>
      </c>
      <c r="D321" s="35">
        <v>125</v>
      </c>
      <c r="E321" s="34">
        <f>IF(OR(D321="-",D321="",D321=0),IF(C321="-","-",C321),C321-D321)</f>
        <v>1</v>
      </c>
      <c r="F321" s="4">
        <f>IFERROR(IF(C321&gt;0, D321/C321, 0),"-")</f>
        <v>0.99206349206349209</v>
      </c>
      <c r="G321" s="34" t="s">
        <v>959</v>
      </c>
      <c r="H321" s="35" t="s">
        <v>959</v>
      </c>
      <c r="I321" s="34" t="str">
        <f>IF(OR(H321="-",H321="",H321=0),IF(G321="-","-",G321),G321-H321)</f>
        <v>-</v>
      </c>
      <c r="J321" s="4" t="str">
        <f>IFERROR(IF(G321&gt;0, H321/G321, 0),"-")</f>
        <v>-</v>
      </c>
      <c r="K321" s="34" t="s">
        <v>959</v>
      </c>
      <c r="L321" s="35" t="s">
        <v>959</v>
      </c>
      <c r="M321" s="34" t="str">
        <f>IF(OR(L321="-",L321="",L321=0),IF(K321="-","-",K321),K321-L321)</f>
        <v>-</v>
      </c>
      <c r="N321" s="4" t="str">
        <f>IFERROR(IF(K321&gt;0, L321/K321, 0),"-")</f>
        <v>-</v>
      </c>
      <c r="O321" s="34" t="s">
        <v>959</v>
      </c>
      <c r="P321" s="35" t="s">
        <v>959</v>
      </c>
      <c r="Q321" s="34" t="str">
        <f>IF(OR(P321="-",P321="",P321=0),IF(O321="-","-",O321),O321-P321)</f>
        <v>-</v>
      </c>
      <c r="R321" s="4" t="str">
        <f>IFERROR(IF(O321&gt;0, P321/O321, 0),"-")</f>
        <v>-</v>
      </c>
      <c r="S321" s="34" t="s">
        <v>959</v>
      </c>
      <c r="T321" s="34" t="s">
        <v>959</v>
      </c>
      <c r="U321" s="34" t="s">
        <v>959</v>
      </c>
      <c r="V321" s="35" t="s">
        <v>959</v>
      </c>
      <c r="W321" s="35" t="s">
        <v>959</v>
      </c>
    </row>
    <row r="322" spans="1:23" x14ac:dyDescent="0.2">
      <c r="A322" s="30" t="s">
        <v>473</v>
      </c>
      <c r="B322" s="30" t="s">
        <v>1056</v>
      </c>
      <c r="C322" s="34">
        <v>94</v>
      </c>
      <c r="D322" s="35">
        <v>93</v>
      </c>
      <c r="E322" s="34">
        <f>IF(OR(D322="-",D322="",D322=0),IF(C322="-","-",C322),C322-D322)</f>
        <v>1</v>
      </c>
      <c r="F322" s="4">
        <f>IFERROR(IF(C322&gt;0, D322/C322, 0),"-")</f>
        <v>0.98936170212765961</v>
      </c>
      <c r="G322" s="34">
        <v>2</v>
      </c>
      <c r="H322" s="35" t="s">
        <v>959</v>
      </c>
      <c r="I322" s="34">
        <f>IF(OR(H322="-",H322="",H322=0),IF(G322="-","-",G322),G322-H322)</f>
        <v>2</v>
      </c>
      <c r="J322" s="4" t="str">
        <f>IFERROR(IF(G322&gt;0, H322/G322, 0),"-")</f>
        <v>-</v>
      </c>
      <c r="K322" s="34" t="s">
        <v>959</v>
      </c>
      <c r="L322" s="35" t="s">
        <v>959</v>
      </c>
      <c r="M322" s="34" t="str">
        <f>IF(OR(L322="-",L322="",L322=0),IF(K322="-","-",K322),K322-L322)</f>
        <v>-</v>
      </c>
      <c r="N322" s="4" t="str">
        <f>IFERROR(IF(K322&gt;0, L322/K322, 0),"-")</f>
        <v>-</v>
      </c>
      <c r="O322" s="34" t="s">
        <v>959</v>
      </c>
      <c r="P322" s="35" t="s">
        <v>959</v>
      </c>
      <c r="Q322" s="34" t="str">
        <f>IF(OR(P322="-",P322="",P322=0),IF(O322="-","-",O322),O322-P322)</f>
        <v>-</v>
      </c>
      <c r="R322" s="4" t="str">
        <f>IFERROR(IF(O322&gt;0, P322/O322, 0),"-")</f>
        <v>-</v>
      </c>
      <c r="S322" s="34" t="s">
        <v>959</v>
      </c>
      <c r="T322" s="34" t="s">
        <v>959</v>
      </c>
      <c r="U322" s="34" t="s">
        <v>959</v>
      </c>
      <c r="V322" s="35" t="s">
        <v>959</v>
      </c>
      <c r="W322" s="35" t="s">
        <v>959</v>
      </c>
    </row>
    <row r="323" spans="1:23" x14ac:dyDescent="0.2">
      <c r="A323" s="30" t="s">
        <v>471</v>
      </c>
      <c r="B323" s="30" t="s">
        <v>1057</v>
      </c>
      <c r="C323" s="34">
        <v>128</v>
      </c>
      <c r="D323" s="35">
        <v>126</v>
      </c>
      <c r="E323" s="34">
        <f>IF(OR(D323="-",D323="",D323=0),IF(C323="-","-",C323),C323-D323)</f>
        <v>2</v>
      </c>
      <c r="F323" s="4">
        <f>IFERROR(IF(C323&gt;0, D323/C323, 0),"-")</f>
        <v>0.984375</v>
      </c>
      <c r="G323" s="34" t="s">
        <v>959</v>
      </c>
      <c r="H323" s="35" t="s">
        <v>959</v>
      </c>
      <c r="I323" s="34" t="str">
        <f>IF(OR(H323="-",H323="",H323=0),IF(G323="-","-",G323),G323-H323)</f>
        <v>-</v>
      </c>
      <c r="J323" s="4" t="str">
        <f>IFERROR(IF(G323&gt;0, H323/G323, 0),"-")</f>
        <v>-</v>
      </c>
      <c r="K323" s="34" t="s">
        <v>959</v>
      </c>
      <c r="L323" s="35" t="s">
        <v>959</v>
      </c>
      <c r="M323" s="34" t="str">
        <f>IF(OR(L323="-",L323="",L323=0),IF(K323="-","-",K323),K323-L323)</f>
        <v>-</v>
      </c>
      <c r="N323" s="4" t="str">
        <f>IFERROR(IF(K323&gt;0, L323/K323, 0),"-")</f>
        <v>-</v>
      </c>
      <c r="O323" s="34" t="s">
        <v>959</v>
      </c>
      <c r="P323" s="35" t="s">
        <v>959</v>
      </c>
      <c r="Q323" s="34" t="str">
        <f>IF(OR(P323="-",P323="",P323=0),IF(O323="-","-",O323),O323-P323)</f>
        <v>-</v>
      </c>
      <c r="R323" s="4" t="str">
        <f>IFERROR(IF(O323&gt;0, P323/O323, 0),"-")</f>
        <v>-</v>
      </c>
      <c r="S323" s="34" t="s">
        <v>959</v>
      </c>
      <c r="T323" s="34" t="s">
        <v>959</v>
      </c>
      <c r="U323" s="34" t="s">
        <v>959</v>
      </c>
      <c r="V323" s="35" t="s">
        <v>959</v>
      </c>
      <c r="W323" s="35" t="s">
        <v>959</v>
      </c>
    </row>
    <row r="324" spans="1:23" x14ac:dyDescent="0.2">
      <c r="A324" s="29"/>
      <c r="B324" s="29" t="s">
        <v>53</v>
      </c>
      <c r="C324" s="32">
        <v>786</v>
      </c>
      <c r="D324" s="32">
        <v>764</v>
      </c>
      <c r="E324" s="32">
        <f>IF(OR(D324="-",D324="",D324=0),IF(C324="-","-",C324),C324-D324)</f>
        <v>22</v>
      </c>
      <c r="F324" s="36">
        <f>IFERROR(IF(C324&gt;0, D324/C324, 0),"-")</f>
        <v>0.97201017811704837</v>
      </c>
      <c r="G324" s="32">
        <v>7</v>
      </c>
      <c r="H324" s="32" t="s">
        <v>959</v>
      </c>
      <c r="I324" s="32">
        <f>IF(OR(H324="-",H324="",H324=0),IF(G324="-","-",G324),G324-H324)</f>
        <v>7</v>
      </c>
      <c r="J324" s="36" t="str">
        <f>IFERROR(IF(G324&gt;0, H324/G324, 0),"-")</f>
        <v>-</v>
      </c>
      <c r="K324" s="32">
        <v>3</v>
      </c>
      <c r="L324" s="32" t="s">
        <v>959</v>
      </c>
      <c r="M324" s="32">
        <f>IF(OR(L324="-",L324="",L324=0),IF(K324="-","-",K324),K324-L324)</f>
        <v>3</v>
      </c>
      <c r="N324" s="36" t="str">
        <f>IFERROR(IF(K324&gt;0, L324/K324, 0),"-")</f>
        <v>-</v>
      </c>
      <c r="O324" s="32">
        <v>3</v>
      </c>
      <c r="P324" s="32">
        <v>1</v>
      </c>
      <c r="Q324" s="32">
        <f>IF(OR(P324="-",P324="",P324=0),IF(O324="-","-",O324),O324-P324)</f>
        <v>2</v>
      </c>
      <c r="R324" s="36">
        <f>IFERROR(IF(O324&gt;0, P324/O324, 0),"-")</f>
        <v>0.33333333333333331</v>
      </c>
      <c r="S324" s="32">
        <v>2</v>
      </c>
      <c r="T324" s="32" t="s">
        <v>959</v>
      </c>
      <c r="U324" s="32" t="s">
        <v>959</v>
      </c>
      <c r="V324" s="32" t="s">
        <v>959</v>
      </c>
      <c r="W324" s="32" t="s">
        <v>959</v>
      </c>
    </row>
    <row r="325" spans="1:23" x14ac:dyDescent="0.2">
      <c r="A325" s="30" t="s">
        <v>319</v>
      </c>
      <c r="B325" s="30" t="s">
        <v>1058</v>
      </c>
      <c r="C325" s="34">
        <v>113</v>
      </c>
      <c r="D325" s="35">
        <v>112</v>
      </c>
      <c r="E325" s="34">
        <f>IF(OR(D325="-",D325="",D325=0),IF(C325="-","-",C325),C325-D325)</f>
        <v>1</v>
      </c>
      <c r="F325" s="4">
        <f>IFERROR(IF(C325&gt;0, D325/C325, 0),"-")</f>
        <v>0.99115044247787609</v>
      </c>
      <c r="G325" s="34" t="s">
        <v>959</v>
      </c>
      <c r="H325" s="35" t="s">
        <v>959</v>
      </c>
      <c r="I325" s="34" t="str">
        <f>IF(OR(H325="-",H325="",H325=0),IF(G325="-","-",G325),G325-H325)</f>
        <v>-</v>
      </c>
      <c r="J325" s="4" t="str">
        <f>IFERROR(IF(G325&gt;0, H325/G325, 0),"-")</f>
        <v>-</v>
      </c>
      <c r="K325" s="34" t="s">
        <v>959</v>
      </c>
      <c r="L325" s="35" t="s">
        <v>959</v>
      </c>
      <c r="M325" s="34" t="str">
        <f>IF(OR(L325="-",L325="",L325=0),IF(K325="-","-",K325),K325-L325)</f>
        <v>-</v>
      </c>
      <c r="N325" s="4" t="str">
        <f>IFERROR(IF(K325&gt;0, L325/K325, 0),"-")</f>
        <v>-</v>
      </c>
      <c r="O325" s="34" t="s">
        <v>959</v>
      </c>
      <c r="P325" s="35" t="s">
        <v>959</v>
      </c>
      <c r="Q325" s="34" t="str">
        <f>IF(OR(P325="-",P325="",P325=0),IF(O325="-","-",O325),O325-P325)</f>
        <v>-</v>
      </c>
      <c r="R325" s="4" t="str">
        <f>IFERROR(IF(O325&gt;0, P325/O325, 0),"-")</f>
        <v>-</v>
      </c>
      <c r="S325" s="34" t="s">
        <v>959</v>
      </c>
      <c r="T325" s="34" t="s">
        <v>959</v>
      </c>
      <c r="U325" s="34" t="s">
        <v>959</v>
      </c>
      <c r="V325" s="35" t="s">
        <v>959</v>
      </c>
      <c r="W325" s="35" t="s">
        <v>959</v>
      </c>
    </row>
    <row r="326" spans="1:23" x14ac:dyDescent="0.2">
      <c r="A326" s="30" t="s">
        <v>325</v>
      </c>
      <c r="B326" s="30" t="s">
        <v>1059</v>
      </c>
      <c r="C326" s="34">
        <v>7</v>
      </c>
      <c r="D326" s="35">
        <v>6</v>
      </c>
      <c r="E326" s="34">
        <f>IF(OR(D326="-",D326="",D326=0),IF(C326="-","-",C326),C326-D326)</f>
        <v>1</v>
      </c>
      <c r="F326" s="4">
        <f>IFERROR(IF(C326&gt;0, D326/C326, 0),"-")</f>
        <v>0.8571428571428571</v>
      </c>
      <c r="G326" s="34" t="s">
        <v>959</v>
      </c>
      <c r="H326" s="35" t="s">
        <v>959</v>
      </c>
      <c r="I326" s="34" t="str">
        <f>IF(OR(H326="-",H326="",H326=0),IF(G326="-","-",G326),G326-H326)</f>
        <v>-</v>
      </c>
      <c r="J326" s="4" t="str">
        <f>IFERROR(IF(G326&gt;0, H326/G326, 0),"-")</f>
        <v>-</v>
      </c>
      <c r="K326" s="34" t="s">
        <v>959</v>
      </c>
      <c r="L326" s="35" t="s">
        <v>959</v>
      </c>
      <c r="M326" s="34" t="str">
        <f>IF(OR(L326="-",L326="",L326=0),IF(K326="-","-",K326),K326-L326)</f>
        <v>-</v>
      </c>
      <c r="N326" s="4" t="str">
        <f>IFERROR(IF(K326&gt;0, L326/K326, 0),"-")</f>
        <v>-</v>
      </c>
      <c r="O326" s="34" t="s">
        <v>959</v>
      </c>
      <c r="P326" s="35" t="s">
        <v>959</v>
      </c>
      <c r="Q326" s="34" t="str">
        <f>IF(OR(P326="-",P326="",P326=0),IF(O326="-","-",O326),O326-P326)</f>
        <v>-</v>
      </c>
      <c r="R326" s="4" t="str">
        <f>IFERROR(IF(O326&gt;0, P326/O326, 0),"-")</f>
        <v>-</v>
      </c>
      <c r="S326" s="34" t="s">
        <v>959</v>
      </c>
      <c r="T326" s="34" t="s">
        <v>959</v>
      </c>
      <c r="U326" s="34" t="s">
        <v>959</v>
      </c>
      <c r="V326" s="35" t="s">
        <v>959</v>
      </c>
      <c r="W326" s="35" t="s">
        <v>959</v>
      </c>
    </row>
    <row r="327" spans="1:23" x14ac:dyDescent="0.2">
      <c r="A327" s="30" t="s">
        <v>322</v>
      </c>
      <c r="B327" s="30" t="s">
        <v>1060</v>
      </c>
      <c r="C327" s="34">
        <v>153</v>
      </c>
      <c r="D327" s="35">
        <v>148</v>
      </c>
      <c r="E327" s="34">
        <f>IF(OR(D327="-",D327="",D327=0),IF(C327="-","-",C327),C327-D327)</f>
        <v>5</v>
      </c>
      <c r="F327" s="4">
        <f>IFERROR(IF(C327&gt;0, D327/C327, 0),"-")</f>
        <v>0.9673202614379085</v>
      </c>
      <c r="G327" s="34" t="s">
        <v>959</v>
      </c>
      <c r="H327" s="35" t="s">
        <v>959</v>
      </c>
      <c r="I327" s="34" t="str">
        <f>IF(OR(H327="-",H327="",H327=0),IF(G327="-","-",G327),G327-H327)</f>
        <v>-</v>
      </c>
      <c r="J327" s="4" t="str">
        <f>IFERROR(IF(G327&gt;0, H327/G327, 0),"-")</f>
        <v>-</v>
      </c>
      <c r="K327" s="34" t="s">
        <v>959</v>
      </c>
      <c r="L327" s="35" t="s">
        <v>959</v>
      </c>
      <c r="M327" s="34" t="str">
        <f>IF(OR(L327="-",L327="",L327=0),IF(K327="-","-",K327),K327-L327)</f>
        <v>-</v>
      </c>
      <c r="N327" s="4" t="str">
        <f>IFERROR(IF(K327&gt;0, L327/K327, 0),"-")</f>
        <v>-</v>
      </c>
      <c r="O327" s="34" t="s">
        <v>959</v>
      </c>
      <c r="P327" s="35" t="s">
        <v>959</v>
      </c>
      <c r="Q327" s="34" t="str">
        <f>IF(OR(P327="-",P327="",P327=0),IF(O327="-","-",O327),O327-P327)</f>
        <v>-</v>
      </c>
      <c r="R327" s="4" t="str">
        <f>IFERROR(IF(O327&gt;0, P327/O327, 0),"-")</f>
        <v>-</v>
      </c>
      <c r="S327" s="34" t="s">
        <v>959</v>
      </c>
      <c r="T327" s="34" t="s">
        <v>959</v>
      </c>
      <c r="U327" s="34" t="s">
        <v>959</v>
      </c>
      <c r="V327" s="35" t="s">
        <v>959</v>
      </c>
      <c r="W327" s="35" t="s">
        <v>959</v>
      </c>
    </row>
    <row r="328" spans="1:23" x14ac:dyDescent="0.2">
      <c r="A328" s="30" t="s">
        <v>320</v>
      </c>
      <c r="B328" s="30" t="s">
        <v>1061</v>
      </c>
      <c r="C328" s="34">
        <v>129</v>
      </c>
      <c r="D328" s="35">
        <v>126</v>
      </c>
      <c r="E328" s="34">
        <f>IF(OR(D328="-",D328="",D328=0),IF(C328="-","-",C328),C328-D328)</f>
        <v>3</v>
      </c>
      <c r="F328" s="4">
        <f>IFERROR(IF(C328&gt;0, D328/C328, 0),"-")</f>
        <v>0.97674418604651159</v>
      </c>
      <c r="G328" s="34">
        <v>3</v>
      </c>
      <c r="H328" s="35" t="s">
        <v>959</v>
      </c>
      <c r="I328" s="34">
        <f>IF(OR(H328="-",H328="",H328=0),IF(G328="-","-",G328),G328-H328)</f>
        <v>3</v>
      </c>
      <c r="J328" s="4" t="str">
        <f>IFERROR(IF(G328&gt;0, H328/G328, 0),"-")</f>
        <v>-</v>
      </c>
      <c r="K328" s="34">
        <v>2</v>
      </c>
      <c r="L328" s="35" t="s">
        <v>959</v>
      </c>
      <c r="M328" s="34">
        <f>IF(OR(L328="-",L328="",L328=0),IF(K328="-","-",K328),K328-L328)</f>
        <v>2</v>
      </c>
      <c r="N328" s="4" t="str">
        <f>IFERROR(IF(K328&gt;0, L328/K328, 0),"-")</f>
        <v>-</v>
      </c>
      <c r="O328" s="34">
        <v>1</v>
      </c>
      <c r="P328" s="35" t="s">
        <v>959</v>
      </c>
      <c r="Q328" s="34">
        <f>IF(OR(P328="-",P328="",P328=0),IF(O328="-","-",O328),O328-P328)</f>
        <v>1</v>
      </c>
      <c r="R328" s="4" t="str">
        <f>IFERROR(IF(O328&gt;0, P328/O328, 0),"-")</f>
        <v>-</v>
      </c>
      <c r="S328" s="34" t="s">
        <v>959</v>
      </c>
      <c r="T328" s="34" t="s">
        <v>959</v>
      </c>
      <c r="U328" s="34" t="s">
        <v>959</v>
      </c>
      <c r="V328" s="35" t="s">
        <v>959</v>
      </c>
      <c r="W328" s="35" t="s">
        <v>959</v>
      </c>
    </row>
    <row r="329" spans="1:23" x14ac:dyDescent="0.2">
      <c r="A329" s="30" t="s">
        <v>323</v>
      </c>
      <c r="B329" s="30" t="s">
        <v>1062</v>
      </c>
      <c r="C329" s="34">
        <v>106</v>
      </c>
      <c r="D329" s="35">
        <v>103</v>
      </c>
      <c r="E329" s="34">
        <f>IF(OR(D329="-",D329="",D329=0),IF(C329="-","-",C329),C329-D329)</f>
        <v>3</v>
      </c>
      <c r="F329" s="4">
        <f>IFERROR(IF(C329&gt;0, D329/C329, 0),"-")</f>
        <v>0.97169811320754718</v>
      </c>
      <c r="G329" s="34">
        <v>2</v>
      </c>
      <c r="H329" s="35" t="s">
        <v>959</v>
      </c>
      <c r="I329" s="34">
        <f>IF(OR(H329="-",H329="",H329=0),IF(G329="-","-",G329),G329-H329)</f>
        <v>2</v>
      </c>
      <c r="J329" s="4" t="str">
        <f>IFERROR(IF(G329&gt;0, H329/G329, 0),"-")</f>
        <v>-</v>
      </c>
      <c r="K329" s="34" t="s">
        <v>959</v>
      </c>
      <c r="L329" s="35" t="s">
        <v>959</v>
      </c>
      <c r="M329" s="34" t="str">
        <f>IF(OR(L329="-",L329="",L329=0),IF(K329="-","-",K329),K329-L329)</f>
        <v>-</v>
      </c>
      <c r="N329" s="4" t="str">
        <f>IFERROR(IF(K329&gt;0, L329/K329, 0),"-")</f>
        <v>-</v>
      </c>
      <c r="O329" s="34">
        <v>1</v>
      </c>
      <c r="P329" s="35">
        <v>1</v>
      </c>
      <c r="Q329" s="34">
        <f>IF(OR(P329="-",P329="",P329=0),IF(O329="-","-",O329),O329-P329)</f>
        <v>0</v>
      </c>
      <c r="R329" s="4">
        <f>IFERROR(IF(O329&gt;0, P329/O329, 0),"-")</f>
        <v>1</v>
      </c>
      <c r="S329" s="34" t="s">
        <v>959</v>
      </c>
      <c r="T329" s="34" t="s">
        <v>959</v>
      </c>
      <c r="U329" s="34" t="s">
        <v>959</v>
      </c>
      <c r="V329" s="35" t="s">
        <v>959</v>
      </c>
      <c r="W329" s="35" t="s">
        <v>959</v>
      </c>
    </row>
    <row r="330" spans="1:23" x14ac:dyDescent="0.2">
      <c r="A330" s="30" t="s">
        <v>318</v>
      </c>
      <c r="B330" s="30" t="s">
        <v>1063</v>
      </c>
      <c r="C330" s="34">
        <v>62</v>
      </c>
      <c r="D330" s="35">
        <v>60</v>
      </c>
      <c r="E330" s="34">
        <f>IF(OR(D330="-",D330="",D330=0),IF(C330="-","-",C330),C330-D330)</f>
        <v>2</v>
      </c>
      <c r="F330" s="4">
        <f>IFERROR(IF(C330&gt;0, D330/C330, 0),"-")</f>
        <v>0.967741935483871</v>
      </c>
      <c r="G330" s="34" t="s">
        <v>959</v>
      </c>
      <c r="H330" s="35" t="s">
        <v>959</v>
      </c>
      <c r="I330" s="34" t="str">
        <f>IF(OR(H330="-",H330="",H330=0),IF(G330="-","-",G330),G330-H330)</f>
        <v>-</v>
      </c>
      <c r="J330" s="4" t="str">
        <f>IFERROR(IF(G330&gt;0, H330/G330, 0),"-")</f>
        <v>-</v>
      </c>
      <c r="K330" s="34" t="s">
        <v>959</v>
      </c>
      <c r="L330" s="35" t="s">
        <v>959</v>
      </c>
      <c r="M330" s="34" t="str">
        <f>IF(OR(L330="-",L330="",L330=0),IF(K330="-","-",K330),K330-L330)</f>
        <v>-</v>
      </c>
      <c r="N330" s="4" t="str">
        <f>IFERROR(IF(K330&gt;0, L330/K330, 0),"-")</f>
        <v>-</v>
      </c>
      <c r="O330" s="34" t="s">
        <v>959</v>
      </c>
      <c r="P330" s="35" t="s">
        <v>959</v>
      </c>
      <c r="Q330" s="34" t="str">
        <f>IF(OR(P330="-",P330="",P330=0),IF(O330="-","-",O330),O330-P330)</f>
        <v>-</v>
      </c>
      <c r="R330" s="4" t="str">
        <f>IFERROR(IF(O330&gt;0, P330/O330, 0),"-")</f>
        <v>-</v>
      </c>
      <c r="S330" s="34">
        <v>2</v>
      </c>
      <c r="T330" s="34" t="s">
        <v>959</v>
      </c>
      <c r="U330" s="34" t="s">
        <v>959</v>
      </c>
      <c r="V330" s="35" t="s">
        <v>959</v>
      </c>
      <c r="W330" s="35" t="s">
        <v>959</v>
      </c>
    </row>
    <row r="331" spans="1:23" x14ac:dyDescent="0.2">
      <c r="A331" s="30" t="s">
        <v>321</v>
      </c>
      <c r="B331" s="30" t="s">
        <v>1064</v>
      </c>
      <c r="C331" s="34">
        <v>73</v>
      </c>
      <c r="D331" s="35">
        <v>70</v>
      </c>
      <c r="E331" s="34">
        <f>IF(OR(D331="-",D331="",D331=0),IF(C331="-","-",C331),C331-D331)</f>
        <v>3</v>
      </c>
      <c r="F331" s="4">
        <f>IFERROR(IF(C331&gt;0, D331/C331, 0),"-")</f>
        <v>0.95890410958904104</v>
      </c>
      <c r="G331" s="34">
        <v>1</v>
      </c>
      <c r="H331" s="35" t="s">
        <v>959</v>
      </c>
      <c r="I331" s="34">
        <f>IF(OR(H331="-",H331="",H331=0),IF(G331="-","-",G331),G331-H331)</f>
        <v>1</v>
      </c>
      <c r="J331" s="4" t="str">
        <f>IFERROR(IF(G331&gt;0, H331/G331, 0),"-")</f>
        <v>-</v>
      </c>
      <c r="K331" s="34" t="s">
        <v>959</v>
      </c>
      <c r="L331" s="35" t="s">
        <v>959</v>
      </c>
      <c r="M331" s="34" t="str">
        <f>IF(OR(L331="-",L331="",L331=0),IF(K331="-","-",K331),K331-L331)</f>
        <v>-</v>
      </c>
      <c r="N331" s="4" t="str">
        <f>IFERROR(IF(K331&gt;0, L331/K331, 0),"-")</f>
        <v>-</v>
      </c>
      <c r="O331" s="34" t="s">
        <v>959</v>
      </c>
      <c r="P331" s="35" t="s">
        <v>959</v>
      </c>
      <c r="Q331" s="34" t="str">
        <f>IF(OR(P331="-",P331="",P331=0),IF(O331="-","-",O331),O331-P331)</f>
        <v>-</v>
      </c>
      <c r="R331" s="4" t="str">
        <f>IFERROR(IF(O331&gt;0, P331/O331, 0),"-")</f>
        <v>-</v>
      </c>
      <c r="S331" s="34" t="s">
        <v>959</v>
      </c>
      <c r="T331" s="34" t="s">
        <v>959</v>
      </c>
      <c r="U331" s="34" t="s">
        <v>959</v>
      </c>
      <c r="V331" s="35" t="s">
        <v>959</v>
      </c>
      <c r="W331" s="35" t="s">
        <v>959</v>
      </c>
    </row>
    <row r="332" spans="1:23" x14ac:dyDescent="0.2">
      <c r="A332" s="30" t="s">
        <v>326</v>
      </c>
      <c r="B332" s="30" t="s">
        <v>1065</v>
      </c>
      <c r="C332" s="34">
        <v>1</v>
      </c>
      <c r="D332" s="35">
        <v>1</v>
      </c>
      <c r="E332" s="34">
        <f>IF(OR(D332="-",D332="",D332=0),IF(C332="-","-",C332),C332-D332)</f>
        <v>0</v>
      </c>
      <c r="F332" s="4">
        <f>IFERROR(IF(C332&gt;0, D332/C332, 0),"-")</f>
        <v>1</v>
      </c>
      <c r="G332" s="34" t="s">
        <v>959</v>
      </c>
      <c r="H332" s="35" t="s">
        <v>959</v>
      </c>
      <c r="I332" s="34" t="str">
        <f>IF(OR(H332="-",H332="",H332=0),IF(G332="-","-",G332),G332-H332)</f>
        <v>-</v>
      </c>
      <c r="J332" s="4" t="str">
        <f>IFERROR(IF(G332&gt;0, H332/G332, 0),"-")</f>
        <v>-</v>
      </c>
      <c r="K332" s="34" t="s">
        <v>959</v>
      </c>
      <c r="L332" s="35" t="s">
        <v>959</v>
      </c>
      <c r="M332" s="34" t="str">
        <f>IF(OR(L332="-",L332="",L332=0),IF(K332="-","-",K332),K332-L332)</f>
        <v>-</v>
      </c>
      <c r="N332" s="4" t="str">
        <f>IFERROR(IF(K332&gt;0, L332/K332, 0),"-")</f>
        <v>-</v>
      </c>
      <c r="O332" s="34" t="s">
        <v>959</v>
      </c>
      <c r="P332" s="35" t="s">
        <v>959</v>
      </c>
      <c r="Q332" s="34" t="str">
        <f>IF(OR(P332="-",P332="",P332=0),IF(O332="-","-",O332),O332-P332)</f>
        <v>-</v>
      </c>
      <c r="R332" s="4" t="str">
        <f>IFERROR(IF(O332&gt;0, P332/O332, 0),"-")</f>
        <v>-</v>
      </c>
      <c r="S332" s="34" t="s">
        <v>959</v>
      </c>
      <c r="T332" s="34" t="s">
        <v>959</v>
      </c>
      <c r="U332" s="34" t="s">
        <v>959</v>
      </c>
      <c r="V332" s="35" t="s">
        <v>959</v>
      </c>
      <c r="W332" s="35" t="s">
        <v>959</v>
      </c>
    </row>
    <row r="333" spans="1:23" x14ac:dyDescent="0.2">
      <c r="A333" s="30" t="s">
        <v>324</v>
      </c>
      <c r="B333" s="30" t="s">
        <v>1066</v>
      </c>
      <c r="C333" s="34">
        <v>142</v>
      </c>
      <c r="D333" s="35">
        <v>138</v>
      </c>
      <c r="E333" s="34">
        <f>IF(OR(D333="-",D333="",D333=0),IF(C333="-","-",C333),C333-D333)</f>
        <v>4</v>
      </c>
      <c r="F333" s="4">
        <f>IFERROR(IF(C333&gt;0, D333/C333, 0),"-")</f>
        <v>0.971830985915493</v>
      </c>
      <c r="G333" s="34">
        <v>1</v>
      </c>
      <c r="H333" s="35" t="s">
        <v>959</v>
      </c>
      <c r="I333" s="34">
        <f>IF(OR(H333="-",H333="",H333=0),IF(G333="-","-",G333),G333-H333)</f>
        <v>1</v>
      </c>
      <c r="J333" s="4" t="str">
        <f>IFERROR(IF(G333&gt;0, H333/G333, 0),"-")</f>
        <v>-</v>
      </c>
      <c r="K333" s="34">
        <v>1</v>
      </c>
      <c r="L333" s="35" t="s">
        <v>959</v>
      </c>
      <c r="M333" s="34">
        <f>IF(OR(L333="-",L333="",L333=0),IF(K333="-","-",K333),K333-L333)</f>
        <v>1</v>
      </c>
      <c r="N333" s="4" t="str">
        <f>IFERROR(IF(K333&gt;0, L333/K333, 0),"-")</f>
        <v>-</v>
      </c>
      <c r="O333" s="34">
        <v>1</v>
      </c>
      <c r="P333" s="35" t="s">
        <v>959</v>
      </c>
      <c r="Q333" s="34">
        <f>IF(OR(P333="-",P333="",P333=0),IF(O333="-","-",O333),O333-P333)</f>
        <v>1</v>
      </c>
      <c r="R333" s="4" t="str">
        <f>IFERROR(IF(O333&gt;0, P333/O333, 0),"-")</f>
        <v>-</v>
      </c>
      <c r="S333" s="34" t="s">
        <v>959</v>
      </c>
      <c r="T333" s="34" t="s">
        <v>959</v>
      </c>
      <c r="U333" s="34" t="s">
        <v>959</v>
      </c>
      <c r="V333" s="35" t="s">
        <v>959</v>
      </c>
      <c r="W333" s="35" t="s">
        <v>959</v>
      </c>
    </row>
    <row r="334" spans="1:23" x14ac:dyDescent="0.2">
      <c r="A334" s="29"/>
      <c r="B334" s="29" t="s">
        <v>35</v>
      </c>
      <c r="C334" s="32">
        <v>528</v>
      </c>
      <c r="D334" s="32">
        <v>521</v>
      </c>
      <c r="E334" s="32">
        <f>IF(OR(D334="-",D334="",D334=0),IF(C334="-","-",C334),C334-D334)</f>
        <v>7</v>
      </c>
      <c r="F334" s="36">
        <f>IFERROR(IF(C334&gt;0, D334/C334, 0),"-")</f>
        <v>0.9867424242424242</v>
      </c>
      <c r="G334" s="32" t="s">
        <v>959</v>
      </c>
      <c r="H334" s="32" t="s">
        <v>959</v>
      </c>
      <c r="I334" s="32" t="str">
        <f>IF(OR(H334="-",H334="",H334=0),IF(G334="-","-",G334),G334-H334)</f>
        <v>-</v>
      </c>
      <c r="J334" s="36" t="str">
        <f>IFERROR(IF(G334&gt;0, H334/G334, 0),"-")</f>
        <v>-</v>
      </c>
      <c r="K334" s="32">
        <v>1</v>
      </c>
      <c r="L334" s="32">
        <v>1</v>
      </c>
      <c r="M334" s="32">
        <f>IF(OR(L334="-",L334="",L334=0),IF(K334="-","-",K334),K334-L334)</f>
        <v>0</v>
      </c>
      <c r="N334" s="36">
        <f>IFERROR(IF(K334&gt;0, L334/K334, 0),"-")</f>
        <v>1</v>
      </c>
      <c r="O334" s="32" t="s">
        <v>959</v>
      </c>
      <c r="P334" s="32" t="s">
        <v>959</v>
      </c>
      <c r="Q334" s="32" t="str">
        <f>IF(OR(P334="-",P334="",P334=0),IF(O334="-","-",O334),O334-P334)</f>
        <v>-</v>
      </c>
      <c r="R334" s="36" t="str">
        <f>IFERROR(IF(O334&gt;0, P334/O334, 0),"-")</f>
        <v>-</v>
      </c>
      <c r="S334" s="32">
        <v>3</v>
      </c>
      <c r="T334" s="32" t="s">
        <v>959</v>
      </c>
      <c r="U334" s="32" t="s">
        <v>959</v>
      </c>
      <c r="V334" s="32" t="s">
        <v>959</v>
      </c>
      <c r="W334" s="32" t="s">
        <v>959</v>
      </c>
    </row>
    <row r="335" spans="1:23" x14ac:dyDescent="0.2">
      <c r="A335" s="30" t="s">
        <v>169</v>
      </c>
      <c r="B335" s="30" t="s">
        <v>1067</v>
      </c>
      <c r="C335" s="34">
        <v>87</v>
      </c>
      <c r="D335" s="35">
        <v>84</v>
      </c>
      <c r="E335" s="34">
        <f>IF(OR(D335="-",D335="",D335=0),IF(C335="-","-",C335),C335-D335)</f>
        <v>3</v>
      </c>
      <c r="F335" s="4">
        <f>IFERROR(IF(C335&gt;0, D335/C335, 0),"-")</f>
        <v>0.96551724137931039</v>
      </c>
      <c r="G335" s="34" t="s">
        <v>959</v>
      </c>
      <c r="H335" s="35" t="s">
        <v>959</v>
      </c>
      <c r="I335" s="34" t="str">
        <f>IF(OR(H335="-",H335="",H335=0),IF(G335="-","-",G335),G335-H335)</f>
        <v>-</v>
      </c>
      <c r="J335" s="4" t="str">
        <f>IFERROR(IF(G335&gt;0, H335/G335, 0),"-")</f>
        <v>-</v>
      </c>
      <c r="K335" s="34" t="s">
        <v>959</v>
      </c>
      <c r="L335" s="35" t="s">
        <v>959</v>
      </c>
      <c r="M335" s="34" t="str">
        <f>IF(OR(L335="-",L335="",L335=0),IF(K335="-","-",K335),K335-L335)</f>
        <v>-</v>
      </c>
      <c r="N335" s="4" t="str">
        <f>IFERROR(IF(K335&gt;0, L335/K335, 0),"-")</f>
        <v>-</v>
      </c>
      <c r="O335" s="34" t="s">
        <v>959</v>
      </c>
      <c r="P335" s="35" t="s">
        <v>959</v>
      </c>
      <c r="Q335" s="34" t="str">
        <f>IF(OR(P335="-",P335="",P335=0),IF(O335="-","-",O335),O335-P335)</f>
        <v>-</v>
      </c>
      <c r="R335" s="4" t="str">
        <f>IFERROR(IF(O335&gt;0, P335/O335, 0),"-")</f>
        <v>-</v>
      </c>
      <c r="S335" s="34" t="s">
        <v>959</v>
      </c>
      <c r="T335" s="34" t="s">
        <v>959</v>
      </c>
      <c r="U335" s="34" t="s">
        <v>959</v>
      </c>
      <c r="V335" s="35" t="s">
        <v>959</v>
      </c>
      <c r="W335" s="35" t="s">
        <v>959</v>
      </c>
    </row>
    <row r="336" spans="1:23" x14ac:dyDescent="0.2">
      <c r="A336" s="30" t="s">
        <v>166</v>
      </c>
      <c r="B336" s="30" t="s">
        <v>1068</v>
      </c>
      <c r="C336" s="34">
        <v>65</v>
      </c>
      <c r="D336" s="35">
        <v>65</v>
      </c>
      <c r="E336" s="34">
        <f>IF(OR(D336="-",D336="",D336=0),IF(C336="-","-",C336),C336-D336)</f>
        <v>0</v>
      </c>
      <c r="F336" s="4">
        <f>IFERROR(IF(C336&gt;0, D336/C336, 0),"-")</f>
        <v>1</v>
      </c>
      <c r="G336" s="34" t="s">
        <v>959</v>
      </c>
      <c r="H336" s="35" t="s">
        <v>959</v>
      </c>
      <c r="I336" s="34" t="str">
        <f>IF(OR(H336="-",H336="",H336=0),IF(G336="-","-",G336),G336-H336)</f>
        <v>-</v>
      </c>
      <c r="J336" s="4" t="str">
        <f>IFERROR(IF(G336&gt;0, H336/G336, 0),"-")</f>
        <v>-</v>
      </c>
      <c r="K336" s="34" t="s">
        <v>959</v>
      </c>
      <c r="L336" s="35" t="s">
        <v>959</v>
      </c>
      <c r="M336" s="34" t="str">
        <f>IF(OR(L336="-",L336="",L336=0),IF(K336="-","-",K336),K336-L336)</f>
        <v>-</v>
      </c>
      <c r="N336" s="4" t="str">
        <f>IFERROR(IF(K336&gt;0, L336/K336, 0),"-")</f>
        <v>-</v>
      </c>
      <c r="O336" s="34" t="s">
        <v>959</v>
      </c>
      <c r="P336" s="35" t="s">
        <v>959</v>
      </c>
      <c r="Q336" s="34" t="str">
        <f>IF(OR(P336="-",P336="",P336=0),IF(O336="-","-",O336),O336-P336)</f>
        <v>-</v>
      </c>
      <c r="R336" s="4" t="str">
        <f>IFERROR(IF(O336&gt;0, P336/O336, 0),"-")</f>
        <v>-</v>
      </c>
      <c r="S336" s="34" t="s">
        <v>959</v>
      </c>
      <c r="T336" s="34" t="s">
        <v>959</v>
      </c>
      <c r="U336" s="34" t="s">
        <v>959</v>
      </c>
      <c r="V336" s="35" t="s">
        <v>959</v>
      </c>
      <c r="W336" s="35" t="s">
        <v>959</v>
      </c>
    </row>
    <row r="337" spans="1:23" x14ac:dyDescent="0.2">
      <c r="A337" s="30" t="s">
        <v>165</v>
      </c>
      <c r="B337" s="30" t="s">
        <v>1069</v>
      </c>
      <c r="C337" s="34">
        <v>113</v>
      </c>
      <c r="D337" s="35">
        <v>113</v>
      </c>
      <c r="E337" s="34">
        <f>IF(OR(D337="-",D337="",D337=0),IF(C337="-","-",C337),C337-D337)</f>
        <v>0</v>
      </c>
      <c r="F337" s="4">
        <f>IFERROR(IF(C337&gt;0, D337/C337, 0),"-")</f>
        <v>1</v>
      </c>
      <c r="G337" s="34" t="s">
        <v>959</v>
      </c>
      <c r="H337" s="35" t="s">
        <v>959</v>
      </c>
      <c r="I337" s="34" t="str">
        <f>IF(OR(H337="-",H337="",H337=0),IF(G337="-","-",G337),G337-H337)</f>
        <v>-</v>
      </c>
      <c r="J337" s="4" t="str">
        <f>IFERROR(IF(G337&gt;0, H337/G337, 0),"-")</f>
        <v>-</v>
      </c>
      <c r="K337" s="34" t="s">
        <v>959</v>
      </c>
      <c r="L337" s="35" t="s">
        <v>959</v>
      </c>
      <c r="M337" s="34" t="str">
        <f>IF(OR(L337="-",L337="",L337=0),IF(K337="-","-",K337),K337-L337)</f>
        <v>-</v>
      </c>
      <c r="N337" s="4" t="str">
        <f>IFERROR(IF(K337&gt;0, L337/K337, 0),"-")</f>
        <v>-</v>
      </c>
      <c r="O337" s="34" t="s">
        <v>959</v>
      </c>
      <c r="P337" s="35" t="s">
        <v>959</v>
      </c>
      <c r="Q337" s="34" t="str">
        <f>IF(OR(P337="-",P337="",P337=0),IF(O337="-","-",O337),O337-P337)</f>
        <v>-</v>
      </c>
      <c r="R337" s="4" t="str">
        <f>IFERROR(IF(O337&gt;0, P337/O337, 0),"-")</f>
        <v>-</v>
      </c>
      <c r="S337" s="34">
        <v>3</v>
      </c>
      <c r="T337" s="34" t="s">
        <v>959</v>
      </c>
      <c r="U337" s="34" t="s">
        <v>959</v>
      </c>
      <c r="V337" s="35" t="s">
        <v>959</v>
      </c>
      <c r="W337" s="35" t="s">
        <v>959</v>
      </c>
    </row>
    <row r="338" spans="1:23" x14ac:dyDescent="0.2">
      <c r="A338" s="30" t="s">
        <v>171</v>
      </c>
      <c r="B338" s="30" t="s">
        <v>1070</v>
      </c>
      <c r="C338" s="34">
        <v>18</v>
      </c>
      <c r="D338" s="35">
        <v>18</v>
      </c>
      <c r="E338" s="34">
        <f>IF(OR(D338="-",D338="",D338=0),IF(C338="-","-",C338),C338-D338)</f>
        <v>0</v>
      </c>
      <c r="F338" s="4">
        <f>IFERROR(IF(C338&gt;0, D338/C338, 0),"-")</f>
        <v>1</v>
      </c>
      <c r="G338" s="34" t="s">
        <v>959</v>
      </c>
      <c r="H338" s="35" t="s">
        <v>959</v>
      </c>
      <c r="I338" s="34" t="str">
        <f>IF(OR(H338="-",H338="",H338=0),IF(G338="-","-",G338),G338-H338)</f>
        <v>-</v>
      </c>
      <c r="J338" s="4" t="str">
        <f>IFERROR(IF(G338&gt;0, H338/G338, 0),"-")</f>
        <v>-</v>
      </c>
      <c r="K338" s="34" t="s">
        <v>959</v>
      </c>
      <c r="L338" s="35" t="s">
        <v>959</v>
      </c>
      <c r="M338" s="34" t="str">
        <f>IF(OR(L338="-",L338="",L338=0),IF(K338="-","-",K338),K338-L338)</f>
        <v>-</v>
      </c>
      <c r="N338" s="4" t="str">
        <f>IFERROR(IF(K338&gt;0, L338/K338, 0),"-")</f>
        <v>-</v>
      </c>
      <c r="O338" s="34" t="s">
        <v>959</v>
      </c>
      <c r="P338" s="35" t="s">
        <v>959</v>
      </c>
      <c r="Q338" s="34" t="str">
        <f>IF(OR(P338="-",P338="",P338=0),IF(O338="-","-",O338),O338-P338)</f>
        <v>-</v>
      </c>
      <c r="R338" s="4" t="str">
        <f>IFERROR(IF(O338&gt;0, P338/O338, 0),"-")</f>
        <v>-</v>
      </c>
      <c r="S338" s="34" t="s">
        <v>959</v>
      </c>
      <c r="T338" s="34" t="s">
        <v>959</v>
      </c>
      <c r="U338" s="34" t="s">
        <v>959</v>
      </c>
      <c r="V338" s="35" t="s">
        <v>959</v>
      </c>
      <c r="W338" s="35" t="s">
        <v>959</v>
      </c>
    </row>
    <row r="339" spans="1:23" x14ac:dyDescent="0.2">
      <c r="A339" s="30" t="s">
        <v>168</v>
      </c>
      <c r="B339" s="30" t="s">
        <v>1071</v>
      </c>
      <c r="C339" s="34">
        <v>35</v>
      </c>
      <c r="D339" s="35">
        <v>33</v>
      </c>
      <c r="E339" s="34">
        <f>IF(OR(D339="-",D339="",D339=0),IF(C339="-","-",C339),C339-D339)</f>
        <v>2</v>
      </c>
      <c r="F339" s="4">
        <f>IFERROR(IF(C339&gt;0, D339/C339, 0),"-")</f>
        <v>0.94285714285714284</v>
      </c>
      <c r="G339" s="34" t="s">
        <v>959</v>
      </c>
      <c r="H339" s="35" t="s">
        <v>959</v>
      </c>
      <c r="I339" s="34" t="str">
        <f>IF(OR(H339="-",H339="",H339=0),IF(G339="-","-",G339),G339-H339)</f>
        <v>-</v>
      </c>
      <c r="J339" s="4" t="str">
        <f>IFERROR(IF(G339&gt;0, H339/G339, 0),"-")</f>
        <v>-</v>
      </c>
      <c r="K339" s="34" t="s">
        <v>959</v>
      </c>
      <c r="L339" s="35" t="s">
        <v>959</v>
      </c>
      <c r="M339" s="34" t="str">
        <f>IF(OR(L339="-",L339="",L339=0),IF(K339="-","-",K339),K339-L339)</f>
        <v>-</v>
      </c>
      <c r="N339" s="4" t="str">
        <f>IFERROR(IF(K339&gt;0, L339/K339, 0),"-")</f>
        <v>-</v>
      </c>
      <c r="O339" s="34" t="s">
        <v>959</v>
      </c>
      <c r="P339" s="35" t="s">
        <v>959</v>
      </c>
      <c r="Q339" s="34" t="str">
        <f>IF(OR(P339="-",P339="",P339=0),IF(O339="-","-",O339),O339-P339)</f>
        <v>-</v>
      </c>
      <c r="R339" s="4" t="str">
        <f>IFERROR(IF(O339&gt;0, P339/O339, 0),"-")</f>
        <v>-</v>
      </c>
      <c r="S339" s="34" t="s">
        <v>959</v>
      </c>
      <c r="T339" s="34" t="s">
        <v>959</v>
      </c>
      <c r="U339" s="34" t="s">
        <v>959</v>
      </c>
      <c r="V339" s="35" t="s">
        <v>959</v>
      </c>
      <c r="W339" s="35" t="s">
        <v>959</v>
      </c>
    </row>
    <row r="340" spans="1:23" x14ac:dyDescent="0.2">
      <c r="A340" s="30" t="s">
        <v>167</v>
      </c>
      <c r="B340" s="30" t="s">
        <v>1072</v>
      </c>
      <c r="C340" s="34">
        <v>93</v>
      </c>
      <c r="D340" s="35">
        <v>92</v>
      </c>
      <c r="E340" s="34">
        <f>IF(OR(D340="-",D340="",D340=0),IF(C340="-","-",C340),C340-D340)</f>
        <v>1</v>
      </c>
      <c r="F340" s="4">
        <f>IFERROR(IF(C340&gt;0, D340/C340, 0),"-")</f>
        <v>0.989247311827957</v>
      </c>
      <c r="G340" s="34" t="s">
        <v>959</v>
      </c>
      <c r="H340" s="35" t="s">
        <v>959</v>
      </c>
      <c r="I340" s="34" t="str">
        <f>IF(OR(H340="-",H340="",H340=0),IF(G340="-","-",G340),G340-H340)</f>
        <v>-</v>
      </c>
      <c r="J340" s="4" t="str">
        <f>IFERROR(IF(G340&gt;0, H340/G340, 0),"-")</f>
        <v>-</v>
      </c>
      <c r="K340" s="34" t="s">
        <v>959</v>
      </c>
      <c r="L340" s="35" t="s">
        <v>959</v>
      </c>
      <c r="M340" s="34" t="str">
        <f>IF(OR(L340="-",L340="",L340=0),IF(K340="-","-",K340),K340-L340)</f>
        <v>-</v>
      </c>
      <c r="N340" s="4" t="str">
        <f>IFERROR(IF(K340&gt;0, L340/K340, 0),"-")</f>
        <v>-</v>
      </c>
      <c r="O340" s="34" t="s">
        <v>959</v>
      </c>
      <c r="P340" s="35" t="s">
        <v>959</v>
      </c>
      <c r="Q340" s="34" t="str">
        <f>IF(OR(P340="-",P340="",P340=0),IF(O340="-","-",O340),O340-P340)</f>
        <v>-</v>
      </c>
      <c r="R340" s="4" t="str">
        <f>IFERROR(IF(O340&gt;0, P340/O340, 0),"-")</f>
        <v>-</v>
      </c>
      <c r="S340" s="34" t="s">
        <v>959</v>
      </c>
      <c r="T340" s="34" t="s">
        <v>959</v>
      </c>
      <c r="U340" s="34" t="s">
        <v>959</v>
      </c>
      <c r="V340" s="35" t="s">
        <v>959</v>
      </c>
      <c r="W340" s="35" t="s">
        <v>959</v>
      </c>
    </row>
    <row r="341" spans="1:23" x14ac:dyDescent="0.2">
      <c r="A341" s="30" t="s">
        <v>170</v>
      </c>
      <c r="B341" s="30" t="s">
        <v>1073</v>
      </c>
      <c r="C341" s="34">
        <v>117</v>
      </c>
      <c r="D341" s="35">
        <v>116</v>
      </c>
      <c r="E341" s="34">
        <f>IF(OR(D341="-",D341="",D341=0),IF(C341="-","-",C341),C341-D341)</f>
        <v>1</v>
      </c>
      <c r="F341" s="4">
        <f>IFERROR(IF(C341&gt;0, D341/C341, 0),"-")</f>
        <v>0.99145299145299148</v>
      </c>
      <c r="G341" s="34" t="s">
        <v>959</v>
      </c>
      <c r="H341" s="35" t="s">
        <v>959</v>
      </c>
      <c r="I341" s="34" t="str">
        <f>IF(OR(H341="-",H341="",H341=0),IF(G341="-","-",G341),G341-H341)</f>
        <v>-</v>
      </c>
      <c r="J341" s="4" t="str">
        <f>IFERROR(IF(G341&gt;0, H341/G341, 0),"-")</f>
        <v>-</v>
      </c>
      <c r="K341" s="34">
        <v>1</v>
      </c>
      <c r="L341" s="35">
        <v>1</v>
      </c>
      <c r="M341" s="34">
        <f>IF(OR(L341="-",L341="",L341=0),IF(K341="-","-",K341),K341-L341)</f>
        <v>0</v>
      </c>
      <c r="N341" s="4">
        <f>IFERROR(IF(K341&gt;0, L341/K341, 0),"-")</f>
        <v>1</v>
      </c>
      <c r="O341" s="34" t="s">
        <v>959</v>
      </c>
      <c r="P341" s="35" t="s">
        <v>959</v>
      </c>
      <c r="Q341" s="34" t="str">
        <f>IF(OR(P341="-",P341="",P341=0),IF(O341="-","-",O341),O341-P341)</f>
        <v>-</v>
      </c>
      <c r="R341" s="4" t="str">
        <f>IFERROR(IF(O341&gt;0, P341/O341, 0),"-")</f>
        <v>-</v>
      </c>
      <c r="S341" s="34" t="s">
        <v>959</v>
      </c>
      <c r="T341" s="34" t="s">
        <v>959</v>
      </c>
      <c r="U341" s="34" t="s">
        <v>959</v>
      </c>
      <c r="V341" s="35" t="s">
        <v>959</v>
      </c>
      <c r="W341" s="35" t="s">
        <v>959</v>
      </c>
    </row>
    <row r="342" spans="1:23" x14ac:dyDescent="0.2">
      <c r="A342" s="29"/>
      <c r="B342" s="29" t="s">
        <v>19</v>
      </c>
      <c r="C342" s="32">
        <v>647</v>
      </c>
      <c r="D342" s="32">
        <v>643</v>
      </c>
      <c r="E342" s="32">
        <f>IF(OR(D342="-",D342="",D342=0),IF(C342="-","-",C342),C342-D342)</f>
        <v>4</v>
      </c>
      <c r="F342" s="36">
        <f>IFERROR(IF(C342&gt;0, D342/C342, 0),"-")</f>
        <v>0.99381761978361671</v>
      </c>
      <c r="G342" s="32">
        <v>2</v>
      </c>
      <c r="H342" s="32" t="s">
        <v>959</v>
      </c>
      <c r="I342" s="32">
        <f>IF(OR(H342="-",H342="",H342=0),IF(G342="-","-",G342),G342-H342)</f>
        <v>2</v>
      </c>
      <c r="J342" s="36" t="str">
        <f>IFERROR(IF(G342&gt;0, H342/G342, 0),"-")</f>
        <v>-</v>
      </c>
      <c r="K342" s="32">
        <v>1</v>
      </c>
      <c r="L342" s="32">
        <v>1</v>
      </c>
      <c r="M342" s="32">
        <f>IF(OR(L342="-",L342="",L342=0),IF(K342="-","-",K342),K342-L342)</f>
        <v>0</v>
      </c>
      <c r="N342" s="36">
        <f>IFERROR(IF(K342&gt;0, L342/K342, 0),"-")</f>
        <v>1</v>
      </c>
      <c r="O342" s="32">
        <v>1</v>
      </c>
      <c r="P342" s="32" t="s">
        <v>959</v>
      </c>
      <c r="Q342" s="32">
        <f>IF(OR(P342="-",P342="",P342=0),IF(O342="-","-",O342),O342-P342)</f>
        <v>1</v>
      </c>
      <c r="R342" s="36" t="str">
        <f>IFERROR(IF(O342&gt;0, P342/O342, 0),"-")</f>
        <v>-</v>
      </c>
      <c r="S342" s="32">
        <v>1</v>
      </c>
      <c r="T342" s="32" t="s">
        <v>959</v>
      </c>
      <c r="U342" s="32" t="s">
        <v>959</v>
      </c>
      <c r="V342" s="32" t="s">
        <v>959</v>
      </c>
      <c r="W342" s="32" t="s">
        <v>959</v>
      </c>
    </row>
    <row r="343" spans="1:23" x14ac:dyDescent="0.2">
      <c r="A343" s="30" t="s">
        <v>552</v>
      </c>
      <c r="B343" s="30" t="s">
        <v>1074</v>
      </c>
      <c r="C343" s="34">
        <v>46</v>
      </c>
      <c r="D343" s="35">
        <v>46</v>
      </c>
      <c r="E343" s="34">
        <f>IF(OR(D343="-",D343="",D343=0),IF(C343="-","-",C343),C343-D343)</f>
        <v>0</v>
      </c>
      <c r="F343" s="4">
        <f>IFERROR(IF(C343&gt;0, D343/C343, 0),"-")</f>
        <v>1</v>
      </c>
      <c r="G343" s="34" t="s">
        <v>959</v>
      </c>
      <c r="H343" s="35" t="s">
        <v>959</v>
      </c>
      <c r="I343" s="34" t="str">
        <f>IF(OR(H343="-",H343="",H343=0),IF(G343="-","-",G343),G343-H343)</f>
        <v>-</v>
      </c>
      <c r="J343" s="4" t="str">
        <f>IFERROR(IF(G343&gt;0, H343/G343, 0),"-")</f>
        <v>-</v>
      </c>
      <c r="K343" s="34" t="s">
        <v>959</v>
      </c>
      <c r="L343" s="35" t="s">
        <v>959</v>
      </c>
      <c r="M343" s="34" t="str">
        <f>IF(OR(L343="-",L343="",L343=0),IF(K343="-","-",K343),K343-L343)</f>
        <v>-</v>
      </c>
      <c r="N343" s="4" t="str">
        <f>IFERROR(IF(K343&gt;0, L343/K343, 0),"-")</f>
        <v>-</v>
      </c>
      <c r="O343" s="34" t="s">
        <v>959</v>
      </c>
      <c r="P343" s="35" t="s">
        <v>959</v>
      </c>
      <c r="Q343" s="34" t="str">
        <f>IF(OR(P343="-",P343="",P343=0),IF(O343="-","-",O343),O343-P343)</f>
        <v>-</v>
      </c>
      <c r="R343" s="4" t="str">
        <f>IFERROR(IF(O343&gt;0, P343/O343, 0),"-")</f>
        <v>-</v>
      </c>
      <c r="S343" s="34" t="s">
        <v>959</v>
      </c>
      <c r="T343" s="34" t="s">
        <v>959</v>
      </c>
      <c r="U343" s="34" t="s">
        <v>959</v>
      </c>
      <c r="V343" s="35" t="s">
        <v>959</v>
      </c>
      <c r="W343" s="35" t="s">
        <v>959</v>
      </c>
    </row>
    <row r="344" spans="1:23" x14ac:dyDescent="0.2">
      <c r="A344" s="30" t="s">
        <v>567</v>
      </c>
      <c r="B344" s="30" t="s">
        <v>1075</v>
      </c>
      <c r="C344" s="34">
        <v>41</v>
      </c>
      <c r="D344" s="35">
        <v>40</v>
      </c>
      <c r="E344" s="34">
        <f>IF(OR(D344="-",D344="",D344=0),IF(C344="-","-",C344),C344-D344)</f>
        <v>1</v>
      </c>
      <c r="F344" s="4">
        <f>IFERROR(IF(C344&gt;0, D344/C344, 0),"-")</f>
        <v>0.97560975609756095</v>
      </c>
      <c r="G344" s="34">
        <v>1</v>
      </c>
      <c r="H344" s="35" t="s">
        <v>959</v>
      </c>
      <c r="I344" s="34">
        <f>IF(OR(H344="-",H344="",H344=0),IF(G344="-","-",G344),G344-H344)</f>
        <v>1</v>
      </c>
      <c r="J344" s="4" t="str">
        <f>IFERROR(IF(G344&gt;0, H344/G344, 0),"-")</f>
        <v>-</v>
      </c>
      <c r="K344" s="34" t="s">
        <v>959</v>
      </c>
      <c r="L344" s="35" t="s">
        <v>959</v>
      </c>
      <c r="M344" s="34" t="str">
        <f>IF(OR(L344="-",L344="",L344=0),IF(K344="-","-",K344),K344-L344)</f>
        <v>-</v>
      </c>
      <c r="N344" s="4" t="str">
        <f>IFERROR(IF(K344&gt;0, L344/K344, 0),"-")</f>
        <v>-</v>
      </c>
      <c r="O344" s="34">
        <v>1</v>
      </c>
      <c r="P344" s="35" t="s">
        <v>959</v>
      </c>
      <c r="Q344" s="34">
        <f>IF(OR(P344="-",P344="",P344=0),IF(O344="-","-",O344),O344-P344)</f>
        <v>1</v>
      </c>
      <c r="R344" s="4" t="str">
        <f>IFERROR(IF(O344&gt;0, P344/O344, 0),"-")</f>
        <v>-</v>
      </c>
      <c r="S344" s="34">
        <v>1</v>
      </c>
      <c r="T344" s="34" t="s">
        <v>959</v>
      </c>
      <c r="U344" s="34" t="s">
        <v>959</v>
      </c>
      <c r="V344" s="35" t="s">
        <v>959</v>
      </c>
      <c r="W344" s="35" t="s">
        <v>959</v>
      </c>
    </row>
    <row r="345" spans="1:23" x14ac:dyDescent="0.2">
      <c r="A345" s="30" t="s">
        <v>566</v>
      </c>
      <c r="B345" s="30" t="s">
        <v>1076</v>
      </c>
      <c r="C345" s="34">
        <v>54</v>
      </c>
      <c r="D345" s="35">
        <v>53</v>
      </c>
      <c r="E345" s="34">
        <f>IF(OR(D345="-",D345="",D345=0),IF(C345="-","-",C345),C345-D345)</f>
        <v>1</v>
      </c>
      <c r="F345" s="4">
        <f>IFERROR(IF(C345&gt;0, D345/C345, 0),"-")</f>
        <v>0.98148148148148151</v>
      </c>
      <c r="G345" s="34" t="s">
        <v>959</v>
      </c>
      <c r="H345" s="35" t="s">
        <v>959</v>
      </c>
      <c r="I345" s="34" t="str">
        <f>IF(OR(H345="-",H345="",H345=0),IF(G345="-","-",G345),G345-H345)</f>
        <v>-</v>
      </c>
      <c r="J345" s="4" t="str">
        <f>IFERROR(IF(G345&gt;0, H345/G345, 0),"-")</f>
        <v>-</v>
      </c>
      <c r="K345" s="34">
        <v>1</v>
      </c>
      <c r="L345" s="35">
        <v>1</v>
      </c>
      <c r="M345" s="34">
        <f>IF(OR(L345="-",L345="",L345=0),IF(K345="-","-",K345),K345-L345)</f>
        <v>0</v>
      </c>
      <c r="N345" s="4">
        <f>IFERROR(IF(K345&gt;0, L345/K345, 0),"-")</f>
        <v>1</v>
      </c>
      <c r="O345" s="34" t="s">
        <v>959</v>
      </c>
      <c r="P345" s="35" t="s">
        <v>959</v>
      </c>
      <c r="Q345" s="34" t="str">
        <f>IF(OR(P345="-",P345="",P345=0),IF(O345="-","-",O345),O345-P345)</f>
        <v>-</v>
      </c>
      <c r="R345" s="4" t="str">
        <f>IFERROR(IF(O345&gt;0, P345/O345, 0),"-")</f>
        <v>-</v>
      </c>
      <c r="S345" s="34" t="s">
        <v>959</v>
      </c>
      <c r="T345" s="34" t="s">
        <v>959</v>
      </c>
      <c r="U345" s="34" t="s">
        <v>959</v>
      </c>
      <c r="V345" s="35" t="s">
        <v>959</v>
      </c>
      <c r="W345" s="35" t="s">
        <v>959</v>
      </c>
    </row>
    <row r="346" spans="1:23" x14ac:dyDescent="0.2">
      <c r="A346" s="30" t="s">
        <v>568</v>
      </c>
      <c r="B346" s="30" t="s">
        <v>1077</v>
      </c>
      <c r="C346" s="34">
        <v>27</v>
      </c>
      <c r="D346" s="35">
        <v>26</v>
      </c>
      <c r="E346" s="34">
        <f>IF(OR(D346="-",D346="",D346=0),IF(C346="-","-",C346),C346-D346)</f>
        <v>1</v>
      </c>
      <c r="F346" s="4">
        <f>IFERROR(IF(C346&gt;0, D346/C346, 0),"-")</f>
        <v>0.96296296296296291</v>
      </c>
      <c r="G346" s="34">
        <v>1</v>
      </c>
      <c r="H346" s="35" t="s">
        <v>959</v>
      </c>
      <c r="I346" s="34">
        <f>IF(OR(H346="-",H346="",H346=0),IF(G346="-","-",G346),G346-H346)</f>
        <v>1</v>
      </c>
      <c r="J346" s="4" t="str">
        <f>IFERROR(IF(G346&gt;0, H346/G346, 0),"-")</f>
        <v>-</v>
      </c>
      <c r="K346" s="34" t="s">
        <v>959</v>
      </c>
      <c r="L346" s="35" t="s">
        <v>959</v>
      </c>
      <c r="M346" s="34" t="str">
        <f>IF(OR(L346="-",L346="",L346=0),IF(K346="-","-",K346),K346-L346)</f>
        <v>-</v>
      </c>
      <c r="N346" s="4" t="str">
        <f>IFERROR(IF(K346&gt;0, L346/K346, 0),"-")</f>
        <v>-</v>
      </c>
      <c r="O346" s="34" t="s">
        <v>959</v>
      </c>
      <c r="P346" s="35" t="s">
        <v>959</v>
      </c>
      <c r="Q346" s="34" t="str">
        <f>IF(OR(P346="-",P346="",P346=0),IF(O346="-","-",O346),O346-P346)</f>
        <v>-</v>
      </c>
      <c r="R346" s="4" t="str">
        <f>IFERROR(IF(O346&gt;0, P346/O346, 0),"-")</f>
        <v>-</v>
      </c>
      <c r="S346" s="34" t="s">
        <v>959</v>
      </c>
      <c r="T346" s="34" t="s">
        <v>959</v>
      </c>
      <c r="U346" s="34" t="s">
        <v>959</v>
      </c>
      <c r="V346" s="35" t="s">
        <v>959</v>
      </c>
      <c r="W346" s="35" t="s">
        <v>959</v>
      </c>
    </row>
    <row r="347" spans="1:23" x14ac:dyDescent="0.2">
      <c r="A347" s="30" t="s">
        <v>553</v>
      </c>
      <c r="B347" s="30" t="s">
        <v>1078</v>
      </c>
      <c r="C347" s="34">
        <v>38</v>
      </c>
      <c r="D347" s="35">
        <v>38</v>
      </c>
      <c r="E347" s="34">
        <f>IF(OR(D347="-",D347="",D347=0),IF(C347="-","-",C347),C347-D347)</f>
        <v>0</v>
      </c>
      <c r="F347" s="4">
        <f>IFERROR(IF(C347&gt;0, D347/C347, 0),"-")</f>
        <v>1</v>
      </c>
      <c r="G347" s="34" t="s">
        <v>959</v>
      </c>
      <c r="H347" s="35" t="s">
        <v>959</v>
      </c>
      <c r="I347" s="34" t="str">
        <f>IF(OR(H347="-",H347="",H347=0),IF(G347="-","-",G347),G347-H347)</f>
        <v>-</v>
      </c>
      <c r="J347" s="4" t="str">
        <f>IFERROR(IF(G347&gt;0, H347/G347, 0),"-")</f>
        <v>-</v>
      </c>
      <c r="K347" s="34" t="s">
        <v>959</v>
      </c>
      <c r="L347" s="35" t="s">
        <v>959</v>
      </c>
      <c r="M347" s="34" t="str">
        <f>IF(OR(L347="-",L347="",L347=0),IF(K347="-","-",K347),K347-L347)</f>
        <v>-</v>
      </c>
      <c r="N347" s="4" t="str">
        <f>IFERROR(IF(K347&gt;0, L347/K347, 0),"-")</f>
        <v>-</v>
      </c>
      <c r="O347" s="34" t="s">
        <v>959</v>
      </c>
      <c r="P347" s="35" t="s">
        <v>959</v>
      </c>
      <c r="Q347" s="34" t="str">
        <f>IF(OR(P347="-",P347="",P347=0),IF(O347="-","-",O347),O347-P347)</f>
        <v>-</v>
      </c>
      <c r="R347" s="4" t="str">
        <f>IFERROR(IF(O347&gt;0, P347/O347, 0),"-")</f>
        <v>-</v>
      </c>
      <c r="S347" s="34" t="s">
        <v>959</v>
      </c>
      <c r="T347" s="34" t="s">
        <v>959</v>
      </c>
      <c r="U347" s="34" t="s">
        <v>959</v>
      </c>
      <c r="V347" s="35" t="s">
        <v>959</v>
      </c>
      <c r="W347" s="35" t="s">
        <v>959</v>
      </c>
    </row>
    <row r="348" spans="1:23" x14ac:dyDescent="0.2">
      <c r="A348" s="30" t="s">
        <v>551</v>
      </c>
      <c r="B348" s="30" t="s">
        <v>1079</v>
      </c>
      <c r="C348" s="34">
        <v>123</v>
      </c>
      <c r="D348" s="35">
        <v>123</v>
      </c>
      <c r="E348" s="34">
        <f>IF(OR(D348="-",D348="",D348=0),IF(C348="-","-",C348),C348-D348)</f>
        <v>0</v>
      </c>
      <c r="F348" s="4">
        <f>IFERROR(IF(C348&gt;0, D348/C348, 0),"-")</f>
        <v>1</v>
      </c>
      <c r="G348" s="34" t="s">
        <v>959</v>
      </c>
      <c r="H348" s="35" t="s">
        <v>959</v>
      </c>
      <c r="I348" s="34" t="str">
        <f>IF(OR(H348="-",H348="",H348=0),IF(G348="-","-",G348),G348-H348)</f>
        <v>-</v>
      </c>
      <c r="J348" s="4" t="str">
        <f>IFERROR(IF(G348&gt;0, H348/G348, 0),"-")</f>
        <v>-</v>
      </c>
      <c r="K348" s="34" t="s">
        <v>959</v>
      </c>
      <c r="L348" s="35" t="s">
        <v>959</v>
      </c>
      <c r="M348" s="34" t="str">
        <f>IF(OR(L348="-",L348="",L348=0),IF(K348="-","-",K348),K348-L348)</f>
        <v>-</v>
      </c>
      <c r="N348" s="4" t="str">
        <f>IFERROR(IF(K348&gt;0, L348/K348, 0),"-")</f>
        <v>-</v>
      </c>
      <c r="O348" s="34" t="s">
        <v>959</v>
      </c>
      <c r="P348" s="35" t="s">
        <v>959</v>
      </c>
      <c r="Q348" s="34" t="str">
        <f>IF(OR(P348="-",P348="",P348=0),IF(O348="-","-",O348),O348-P348)</f>
        <v>-</v>
      </c>
      <c r="R348" s="4" t="str">
        <f>IFERROR(IF(O348&gt;0, P348/O348, 0),"-")</f>
        <v>-</v>
      </c>
      <c r="S348" s="34" t="s">
        <v>959</v>
      </c>
      <c r="T348" s="34" t="s">
        <v>959</v>
      </c>
      <c r="U348" s="34" t="s">
        <v>959</v>
      </c>
      <c r="V348" s="35" t="s">
        <v>959</v>
      </c>
      <c r="W348" s="35" t="s">
        <v>959</v>
      </c>
    </row>
    <row r="349" spans="1:23" x14ac:dyDescent="0.2">
      <c r="A349" s="30" t="s">
        <v>555</v>
      </c>
      <c r="B349" s="30" t="s">
        <v>1080</v>
      </c>
      <c r="C349" s="34">
        <v>95</v>
      </c>
      <c r="D349" s="35">
        <v>94</v>
      </c>
      <c r="E349" s="34">
        <f>IF(OR(D349="-",D349="",D349=0),IF(C349="-","-",C349),C349-D349)</f>
        <v>1</v>
      </c>
      <c r="F349" s="4">
        <f>IFERROR(IF(C349&gt;0, D349/C349, 0),"-")</f>
        <v>0.98947368421052628</v>
      </c>
      <c r="G349" s="34" t="s">
        <v>959</v>
      </c>
      <c r="H349" s="35" t="s">
        <v>959</v>
      </c>
      <c r="I349" s="34" t="str">
        <f>IF(OR(H349="-",H349="",H349=0),IF(G349="-","-",G349),G349-H349)</f>
        <v>-</v>
      </c>
      <c r="J349" s="4" t="str">
        <f>IFERROR(IF(G349&gt;0, H349/G349, 0),"-")</f>
        <v>-</v>
      </c>
      <c r="K349" s="34" t="s">
        <v>959</v>
      </c>
      <c r="L349" s="35" t="s">
        <v>959</v>
      </c>
      <c r="M349" s="34" t="str">
        <f>IF(OR(L349="-",L349="",L349=0),IF(K349="-","-",K349),K349-L349)</f>
        <v>-</v>
      </c>
      <c r="N349" s="4" t="str">
        <f>IFERROR(IF(K349&gt;0, L349/K349, 0),"-")</f>
        <v>-</v>
      </c>
      <c r="O349" s="34" t="s">
        <v>959</v>
      </c>
      <c r="P349" s="35" t="s">
        <v>959</v>
      </c>
      <c r="Q349" s="34" t="str">
        <f>IF(OR(P349="-",P349="",P349=0),IF(O349="-","-",O349),O349-P349)</f>
        <v>-</v>
      </c>
      <c r="R349" s="4" t="str">
        <f>IFERROR(IF(O349&gt;0, P349/O349, 0),"-")</f>
        <v>-</v>
      </c>
      <c r="S349" s="34" t="s">
        <v>959</v>
      </c>
      <c r="T349" s="34" t="s">
        <v>959</v>
      </c>
      <c r="U349" s="34" t="s">
        <v>959</v>
      </c>
      <c r="V349" s="35" t="s">
        <v>959</v>
      </c>
      <c r="W349" s="35" t="s">
        <v>959</v>
      </c>
    </row>
    <row r="350" spans="1:23" x14ac:dyDescent="0.2">
      <c r="A350" s="30" t="s">
        <v>549</v>
      </c>
      <c r="B350" s="30" t="s">
        <v>1081</v>
      </c>
      <c r="C350" s="34">
        <v>94</v>
      </c>
      <c r="D350" s="35">
        <v>94</v>
      </c>
      <c r="E350" s="34">
        <f>IF(OR(D350="-",D350="",D350=0),IF(C350="-","-",C350),C350-D350)</f>
        <v>0</v>
      </c>
      <c r="F350" s="4">
        <f>IFERROR(IF(C350&gt;0, D350/C350, 0),"-")</f>
        <v>1</v>
      </c>
      <c r="G350" s="34" t="s">
        <v>959</v>
      </c>
      <c r="H350" s="35" t="s">
        <v>959</v>
      </c>
      <c r="I350" s="34" t="str">
        <f>IF(OR(H350="-",H350="",H350=0),IF(G350="-","-",G350),G350-H350)</f>
        <v>-</v>
      </c>
      <c r="J350" s="4" t="str">
        <f>IFERROR(IF(G350&gt;0, H350/G350, 0),"-")</f>
        <v>-</v>
      </c>
      <c r="K350" s="34" t="s">
        <v>959</v>
      </c>
      <c r="L350" s="35" t="s">
        <v>959</v>
      </c>
      <c r="M350" s="34" t="str">
        <f>IF(OR(L350="-",L350="",L350=0),IF(K350="-","-",K350),K350-L350)</f>
        <v>-</v>
      </c>
      <c r="N350" s="4" t="str">
        <f>IFERROR(IF(K350&gt;0, L350/K350, 0),"-")</f>
        <v>-</v>
      </c>
      <c r="O350" s="34" t="s">
        <v>959</v>
      </c>
      <c r="P350" s="35" t="s">
        <v>959</v>
      </c>
      <c r="Q350" s="34" t="str">
        <f>IF(OR(P350="-",P350="",P350=0),IF(O350="-","-",O350),O350-P350)</f>
        <v>-</v>
      </c>
      <c r="R350" s="4" t="str">
        <f>IFERROR(IF(O350&gt;0, P350/O350, 0),"-")</f>
        <v>-</v>
      </c>
      <c r="S350" s="34" t="s">
        <v>959</v>
      </c>
      <c r="T350" s="34" t="s">
        <v>959</v>
      </c>
      <c r="U350" s="34" t="s">
        <v>959</v>
      </c>
      <c r="V350" s="35" t="s">
        <v>959</v>
      </c>
      <c r="W350" s="35" t="s">
        <v>959</v>
      </c>
    </row>
    <row r="351" spans="1:23" x14ac:dyDescent="0.2">
      <c r="A351" s="30" t="s">
        <v>554</v>
      </c>
      <c r="B351" s="30" t="s">
        <v>1082</v>
      </c>
      <c r="C351" s="34">
        <v>44</v>
      </c>
      <c r="D351" s="35">
        <v>44</v>
      </c>
      <c r="E351" s="34">
        <f>IF(OR(D351="-",D351="",D351=0),IF(C351="-","-",C351),C351-D351)</f>
        <v>0</v>
      </c>
      <c r="F351" s="4">
        <f>IFERROR(IF(C351&gt;0, D351/C351, 0),"-")</f>
        <v>1</v>
      </c>
      <c r="G351" s="34" t="s">
        <v>959</v>
      </c>
      <c r="H351" s="35" t="s">
        <v>959</v>
      </c>
      <c r="I351" s="34" t="str">
        <f>IF(OR(H351="-",H351="",H351=0),IF(G351="-","-",G351),G351-H351)</f>
        <v>-</v>
      </c>
      <c r="J351" s="4" t="str">
        <f>IFERROR(IF(G351&gt;0, H351/G351, 0),"-")</f>
        <v>-</v>
      </c>
      <c r="K351" s="34" t="s">
        <v>959</v>
      </c>
      <c r="L351" s="35" t="s">
        <v>959</v>
      </c>
      <c r="M351" s="34" t="str">
        <f>IF(OR(L351="-",L351="",L351=0),IF(K351="-","-",K351),K351-L351)</f>
        <v>-</v>
      </c>
      <c r="N351" s="4" t="str">
        <f>IFERROR(IF(K351&gt;0, L351/K351, 0),"-")</f>
        <v>-</v>
      </c>
      <c r="O351" s="34" t="s">
        <v>959</v>
      </c>
      <c r="P351" s="35" t="s">
        <v>959</v>
      </c>
      <c r="Q351" s="34" t="str">
        <f>IF(OR(P351="-",P351="",P351=0),IF(O351="-","-",O351),O351-P351)</f>
        <v>-</v>
      </c>
      <c r="R351" s="4" t="str">
        <f>IFERROR(IF(O351&gt;0, P351/O351, 0),"-")</f>
        <v>-</v>
      </c>
      <c r="S351" s="34" t="s">
        <v>959</v>
      </c>
      <c r="T351" s="34" t="s">
        <v>959</v>
      </c>
      <c r="U351" s="34" t="s">
        <v>959</v>
      </c>
      <c r="V351" s="35" t="s">
        <v>959</v>
      </c>
      <c r="W351" s="35" t="s">
        <v>959</v>
      </c>
    </row>
    <row r="352" spans="1:23" x14ac:dyDescent="0.2">
      <c r="A352" s="30" t="s">
        <v>550</v>
      </c>
      <c r="B352" s="30" t="s">
        <v>1083</v>
      </c>
      <c r="C352" s="34">
        <v>85</v>
      </c>
      <c r="D352" s="35">
        <v>85</v>
      </c>
      <c r="E352" s="34">
        <f>IF(OR(D352="-",D352="",D352=0),IF(C352="-","-",C352),C352-D352)</f>
        <v>0</v>
      </c>
      <c r="F352" s="4">
        <f>IFERROR(IF(C352&gt;0, D352/C352, 0),"-")</f>
        <v>1</v>
      </c>
      <c r="G352" s="34" t="s">
        <v>959</v>
      </c>
      <c r="H352" s="35" t="s">
        <v>959</v>
      </c>
      <c r="I352" s="34" t="str">
        <f>IF(OR(H352="-",H352="",H352=0),IF(G352="-","-",G352),G352-H352)</f>
        <v>-</v>
      </c>
      <c r="J352" s="4" t="str">
        <f>IFERROR(IF(G352&gt;0, H352/G352, 0),"-")</f>
        <v>-</v>
      </c>
      <c r="K352" s="34" t="s">
        <v>959</v>
      </c>
      <c r="L352" s="35" t="s">
        <v>959</v>
      </c>
      <c r="M352" s="34" t="str">
        <f>IF(OR(L352="-",L352="",L352=0),IF(K352="-","-",K352),K352-L352)</f>
        <v>-</v>
      </c>
      <c r="N352" s="4" t="str">
        <f>IFERROR(IF(K352&gt;0, L352/K352, 0),"-")</f>
        <v>-</v>
      </c>
      <c r="O352" s="34" t="s">
        <v>959</v>
      </c>
      <c r="P352" s="35" t="s">
        <v>959</v>
      </c>
      <c r="Q352" s="34" t="str">
        <f>IF(OR(P352="-",P352="",P352=0),IF(O352="-","-",O352),O352-P352)</f>
        <v>-</v>
      </c>
      <c r="R352" s="4" t="str">
        <f>IFERROR(IF(O352&gt;0, P352/O352, 0),"-")</f>
        <v>-</v>
      </c>
      <c r="S352" s="34" t="s">
        <v>959</v>
      </c>
      <c r="T352" s="34" t="s">
        <v>959</v>
      </c>
      <c r="U352" s="34" t="s">
        <v>959</v>
      </c>
      <c r="V352" s="35" t="s">
        <v>959</v>
      </c>
      <c r="W352" s="35" t="s">
        <v>959</v>
      </c>
    </row>
    <row r="353" spans="1:23" x14ac:dyDescent="0.2">
      <c r="A353" s="29"/>
      <c r="B353" s="29" t="s">
        <v>56</v>
      </c>
      <c r="C353" s="32">
        <v>556</v>
      </c>
      <c r="D353" s="32">
        <v>545</v>
      </c>
      <c r="E353" s="32">
        <f>IF(OR(D353="-",D353="",D353=0),IF(C353="-","-",C353),C353-D353)</f>
        <v>11</v>
      </c>
      <c r="F353" s="36">
        <f>IFERROR(IF(C353&gt;0, D353/C353, 0),"-")</f>
        <v>0.98021582733812951</v>
      </c>
      <c r="G353" s="32">
        <v>4</v>
      </c>
      <c r="H353" s="32">
        <v>2</v>
      </c>
      <c r="I353" s="32">
        <f>IF(OR(H353="-",H353="",H353=0),IF(G353="-","-",G353),G353-H353)</f>
        <v>2</v>
      </c>
      <c r="J353" s="36">
        <f>IFERROR(IF(G353&gt;0, H353/G353, 0),"-")</f>
        <v>0.5</v>
      </c>
      <c r="K353" s="32">
        <v>7</v>
      </c>
      <c r="L353" s="32">
        <v>1</v>
      </c>
      <c r="M353" s="32">
        <f>IF(OR(L353="-",L353="",L353=0),IF(K353="-","-",K353),K353-L353)</f>
        <v>6</v>
      </c>
      <c r="N353" s="36">
        <f>IFERROR(IF(K353&gt;0, L353/K353, 0),"-")</f>
        <v>0.14285714285714285</v>
      </c>
      <c r="O353" s="32">
        <v>1</v>
      </c>
      <c r="P353" s="32" t="s">
        <v>959</v>
      </c>
      <c r="Q353" s="32">
        <f>IF(OR(P353="-",P353="",P353=0),IF(O353="-","-",O353),O353-P353)</f>
        <v>1</v>
      </c>
      <c r="R353" s="36" t="str">
        <f>IFERROR(IF(O353&gt;0, P353/O353, 0),"-")</f>
        <v>-</v>
      </c>
      <c r="S353" s="32">
        <v>2</v>
      </c>
      <c r="T353" s="32" t="s">
        <v>959</v>
      </c>
      <c r="U353" s="32" t="s">
        <v>959</v>
      </c>
      <c r="V353" s="32" t="s">
        <v>959</v>
      </c>
      <c r="W353" s="32" t="s">
        <v>959</v>
      </c>
    </row>
    <row r="354" spans="1:23" x14ac:dyDescent="0.2">
      <c r="A354" s="30" t="s">
        <v>349</v>
      </c>
      <c r="B354" s="30" t="s">
        <v>1084</v>
      </c>
      <c r="C354" s="34">
        <v>65</v>
      </c>
      <c r="D354" s="35">
        <v>64</v>
      </c>
      <c r="E354" s="34">
        <f>IF(OR(D354="-",D354="",D354=0),IF(C354="-","-",C354),C354-D354)</f>
        <v>1</v>
      </c>
      <c r="F354" s="4">
        <f>IFERROR(IF(C354&gt;0, D354/C354, 0),"-")</f>
        <v>0.98461538461538467</v>
      </c>
      <c r="G354" s="34" t="s">
        <v>959</v>
      </c>
      <c r="H354" s="35" t="s">
        <v>959</v>
      </c>
      <c r="I354" s="34" t="str">
        <f>IF(OR(H354="-",H354="",H354=0),IF(G354="-","-",G354),G354-H354)</f>
        <v>-</v>
      </c>
      <c r="J354" s="4" t="str">
        <f>IFERROR(IF(G354&gt;0, H354/G354, 0),"-")</f>
        <v>-</v>
      </c>
      <c r="K354" s="34" t="s">
        <v>959</v>
      </c>
      <c r="L354" s="35" t="s">
        <v>959</v>
      </c>
      <c r="M354" s="34" t="str">
        <f>IF(OR(L354="-",L354="",L354=0),IF(K354="-","-",K354),K354-L354)</f>
        <v>-</v>
      </c>
      <c r="N354" s="4" t="str">
        <f>IFERROR(IF(K354&gt;0, L354/K354, 0),"-")</f>
        <v>-</v>
      </c>
      <c r="O354" s="34">
        <v>1</v>
      </c>
      <c r="P354" s="35" t="s">
        <v>959</v>
      </c>
      <c r="Q354" s="34">
        <f>IF(OR(P354="-",P354="",P354=0),IF(O354="-","-",O354),O354-P354)</f>
        <v>1</v>
      </c>
      <c r="R354" s="4" t="str">
        <f>IFERROR(IF(O354&gt;0, P354/O354, 0),"-")</f>
        <v>-</v>
      </c>
      <c r="S354" s="34">
        <v>1</v>
      </c>
      <c r="T354" s="34" t="s">
        <v>959</v>
      </c>
      <c r="U354" s="34" t="s">
        <v>959</v>
      </c>
      <c r="V354" s="35" t="s">
        <v>959</v>
      </c>
      <c r="W354" s="35" t="s">
        <v>959</v>
      </c>
    </row>
    <row r="355" spans="1:23" x14ac:dyDescent="0.2">
      <c r="A355" s="30" t="s">
        <v>347</v>
      </c>
      <c r="B355" s="30" t="s">
        <v>1085</v>
      </c>
      <c r="C355" s="34">
        <v>106</v>
      </c>
      <c r="D355" s="35">
        <v>102</v>
      </c>
      <c r="E355" s="34">
        <f>IF(OR(D355="-",D355="",D355=0),IF(C355="-","-",C355),C355-D355)</f>
        <v>4</v>
      </c>
      <c r="F355" s="4">
        <f>IFERROR(IF(C355&gt;0, D355/C355, 0),"-")</f>
        <v>0.96226415094339623</v>
      </c>
      <c r="G355" s="34">
        <v>2</v>
      </c>
      <c r="H355" s="35">
        <v>1</v>
      </c>
      <c r="I355" s="34">
        <f>IF(OR(H355="-",H355="",H355=0),IF(G355="-","-",G355),G355-H355)</f>
        <v>1</v>
      </c>
      <c r="J355" s="4">
        <f>IFERROR(IF(G355&gt;0, H355/G355, 0),"-")</f>
        <v>0.5</v>
      </c>
      <c r="K355" s="34">
        <v>5</v>
      </c>
      <c r="L355" s="35" t="s">
        <v>959</v>
      </c>
      <c r="M355" s="34">
        <f>IF(OR(L355="-",L355="",L355=0),IF(K355="-","-",K355),K355-L355)</f>
        <v>5</v>
      </c>
      <c r="N355" s="4" t="str">
        <f>IFERROR(IF(K355&gt;0, L355/K355, 0),"-")</f>
        <v>-</v>
      </c>
      <c r="O355" s="34" t="s">
        <v>959</v>
      </c>
      <c r="P355" s="35" t="s">
        <v>959</v>
      </c>
      <c r="Q355" s="34" t="str">
        <f>IF(OR(P355="-",P355="",P355=0),IF(O355="-","-",O355),O355-P355)</f>
        <v>-</v>
      </c>
      <c r="R355" s="4" t="str">
        <f>IFERROR(IF(O355&gt;0, P355/O355, 0),"-")</f>
        <v>-</v>
      </c>
      <c r="S355" s="34" t="s">
        <v>959</v>
      </c>
      <c r="T355" s="34" t="s">
        <v>959</v>
      </c>
      <c r="U355" s="34" t="s">
        <v>959</v>
      </c>
      <c r="V355" s="35" t="s">
        <v>959</v>
      </c>
      <c r="W355" s="35" t="s">
        <v>959</v>
      </c>
    </row>
    <row r="356" spans="1:23" x14ac:dyDescent="0.2">
      <c r="A356" s="30" t="s">
        <v>351</v>
      </c>
      <c r="B356" s="30" t="s">
        <v>1086</v>
      </c>
      <c r="C356" s="34">
        <v>57</v>
      </c>
      <c r="D356" s="35">
        <v>56</v>
      </c>
      <c r="E356" s="34">
        <f>IF(OR(D356="-",D356="",D356=0),IF(C356="-","-",C356),C356-D356)</f>
        <v>1</v>
      </c>
      <c r="F356" s="4">
        <f>IFERROR(IF(C356&gt;0, D356/C356, 0),"-")</f>
        <v>0.98245614035087714</v>
      </c>
      <c r="G356" s="34" t="s">
        <v>959</v>
      </c>
      <c r="H356" s="35" t="s">
        <v>959</v>
      </c>
      <c r="I356" s="34" t="str">
        <f>IF(OR(H356="-",H356="",H356=0),IF(G356="-","-",G356),G356-H356)</f>
        <v>-</v>
      </c>
      <c r="J356" s="4" t="str">
        <f>IFERROR(IF(G356&gt;0, H356/G356, 0),"-")</f>
        <v>-</v>
      </c>
      <c r="K356" s="34" t="s">
        <v>959</v>
      </c>
      <c r="L356" s="35" t="s">
        <v>959</v>
      </c>
      <c r="M356" s="34" t="str">
        <f>IF(OR(L356="-",L356="",L356=0),IF(K356="-","-",K356),K356-L356)</f>
        <v>-</v>
      </c>
      <c r="N356" s="4" t="str">
        <f>IFERROR(IF(K356&gt;0, L356/K356, 0),"-")</f>
        <v>-</v>
      </c>
      <c r="O356" s="34" t="s">
        <v>959</v>
      </c>
      <c r="P356" s="35" t="s">
        <v>959</v>
      </c>
      <c r="Q356" s="34" t="str">
        <f>IF(OR(P356="-",P356="",P356=0),IF(O356="-","-",O356),O356-P356)</f>
        <v>-</v>
      </c>
      <c r="R356" s="4" t="str">
        <f>IFERROR(IF(O356&gt;0, P356/O356, 0),"-")</f>
        <v>-</v>
      </c>
      <c r="S356" s="34" t="s">
        <v>959</v>
      </c>
      <c r="T356" s="34" t="s">
        <v>959</v>
      </c>
      <c r="U356" s="34" t="s">
        <v>959</v>
      </c>
      <c r="V356" s="35" t="s">
        <v>959</v>
      </c>
      <c r="W356" s="35" t="s">
        <v>959</v>
      </c>
    </row>
    <row r="357" spans="1:23" x14ac:dyDescent="0.2">
      <c r="A357" s="30" t="s">
        <v>346</v>
      </c>
      <c r="B357" s="30" t="s">
        <v>1087</v>
      </c>
      <c r="C357" s="34">
        <v>104</v>
      </c>
      <c r="D357" s="35">
        <v>104</v>
      </c>
      <c r="E357" s="34">
        <f>IF(OR(D357="-",D357="",D357=0),IF(C357="-","-",C357),C357-D357)</f>
        <v>0</v>
      </c>
      <c r="F357" s="4">
        <f>IFERROR(IF(C357&gt;0, D357/C357, 0),"-")</f>
        <v>1</v>
      </c>
      <c r="G357" s="34" t="s">
        <v>959</v>
      </c>
      <c r="H357" s="35" t="s">
        <v>959</v>
      </c>
      <c r="I357" s="34" t="str">
        <f>IF(OR(H357="-",H357="",H357=0),IF(G357="-","-",G357),G357-H357)</f>
        <v>-</v>
      </c>
      <c r="J357" s="4" t="str">
        <f>IFERROR(IF(G357&gt;0, H357/G357, 0),"-")</f>
        <v>-</v>
      </c>
      <c r="K357" s="34" t="s">
        <v>959</v>
      </c>
      <c r="L357" s="35" t="s">
        <v>959</v>
      </c>
      <c r="M357" s="34" t="str">
        <f>IF(OR(L357="-",L357="",L357=0),IF(K357="-","-",K357),K357-L357)</f>
        <v>-</v>
      </c>
      <c r="N357" s="4" t="str">
        <f>IFERROR(IF(K357&gt;0, L357/K357, 0),"-")</f>
        <v>-</v>
      </c>
      <c r="O357" s="34" t="s">
        <v>959</v>
      </c>
      <c r="P357" s="35" t="s">
        <v>959</v>
      </c>
      <c r="Q357" s="34" t="str">
        <f>IF(OR(P357="-",P357="",P357=0),IF(O357="-","-",O357),O357-P357)</f>
        <v>-</v>
      </c>
      <c r="R357" s="4" t="str">
        <f>IFERROR(IF(O357&gt;0, P357/O357, 0),"-")</f>
        <v>-</v>
      </c>
      <c r="S357" s="34">
        <v>1</v>
      </c>
      <c r="T357" s="34" t="s">
        <v>959</v>
      </c>
      <c r="U357" s="34" t="s">
        <v>959</v>
      </c>
      <c r="V357" s="35" t="s">
        <v>959</v>
      </c>
      <c r="W357" s="35" t="s">
        <v>959</v>
      </c>
    </row>
    <row r="358" spans="1:23" x14ac:dyDescent="0.2">
      <c r="A358" s="30" t="s">
        <v>350</v>
      </c>
      <c r="B358" s="30" t="s">
        <v>1088</v>
      </c>
      <c r="C358" s="34">
        <v>59</v>
      </c>
      <c r="D358" s="35">
        <v>56</v>
      </c>
      <c r="E358" s="34">
        <f>IF(OR(D358="-",D358="",D358=0),IF(C358="-","-",C358),C358-D358)</f>
        <v>3</v>
      </c>
      <c r="F358" s="4">
        <f>IFERROR(IF(C358&gt;0, D358/C358, 0),"-")</f>
        <v>0.94915254237288138</v>
      </c>
      <c r="G358" s="34">
        <v>1</v>
      </c>
      <c r="H358" s="35">
        <v>1</v>
      </c>
      <c r="I358" s="34">
        <f>IF(OR(H358="-",H358="",H358=0),IF(G358="-","-",G358),G358-H358)</f>
        <v>0</v>
      </c>
      <c r="J358" s="4">
        <f>IFERROR(IF(G358&gt;0, H358/G358, 0),"-")</f>
        <v>1</v>
      </c>
      <c r="K358" s="34">
        <v>1</v>
      </c>
      <c r="L358" s="35" t="s">
        <v>959</v>
      </c>
      <c r="M358" s="34">
        <f>IF(OR(L358="-",L358="",L358=0),IF(K358="-","-",K358),K358-L358)</f>
        <v>1</v>
      </c>
      <c r="N358" s="4" t="str">
        <f>IFERROR(IF(K358&gt;0, L358/K358, 0),"-")</f>
        <v>-</v>
      </c>
      <c r="O358" s="34" t="s">
        <v>959</v>
      </c>
      <c r="P358" s="35" t="s">
        <v>959</v>
      </c>
      <c r="Q358" s="34" t="str">
        <f>IF(OR(P358="-",P358="",P358=0),IF(O358="-","-",O358),O358-P358)</f>
        <v>-</v>
      </c>
      <c r="R358" s="4" t="str">
        <f>IFERROR(IF(O358&gt;0, P358/O358, 0),"-")</f>
        <v>-</v>
      </c>
      <c r="S358" s="34" t="s">
        <v>959</v>
      </c>
      <c r="T358" s="34" t="s">
        <v>959</v>
      </c>
      <c r="U358" s="34" t="s">
        <v>959</v>
      </c>
      <c r="V358" s="35" t="s">
        <v>959</v>
      </c>
      <c r="W358" s="35" t="s">
        <v>959</v>
      </c>
    </row>
    <row r="359" spans="1:23" x14ac:dyDescent="0.2">
      <c r="A359" s="30" t="s">
        <v>345</v>
      </c>
      <c r="B359" s="30" t="s">
        <v>1089</v>
      </c>
      <c r="C359" s="34">
        <v>52</v>
      </c>
      <c r="D359" s="35">
        <v>51</v>
      </c>
      <c r="E359" s="34">
        <f>IF(OR(D359="-",D359="",D359=0),IF(C359="-","-",C359),C359-D359)</f>
        <v>1</v>
      </c>
      <c r="F359" s="4">
        <f>IFERROR(IF(C359&gt;0, D359/C359, 0),"-")</f>
        <v>0.98076923076923073</v>
      </c>
      <c r="G359" s="34">
        <v>1</v>
      </c>
      <c r="H359" s="35" t="s">
        <v>959</v>
      </c>
      <c r="I359" s="34">
        <f>IF(OR(H359="-",H359="",H359=0),IF(G359="-","-",G359),G359-H359)</f>
        <v>1</v>
      </c>
      <c r="J359" s="4" t="str">
        <f>IFERROR(IF(G359&gt;0, H359/G359, 0),"-")</f>
        <v>-</v>
      </c>
      <c r="K359" s="34">
        <v>1</v>
      </c>
      <c r="L359" s="35">
        <v>1</v>
      </c>
      <c r="M359" s="34">
        <f>IF(OR(L359="-",L359="",L359=0),IF(K359="-","-",K359),K359-L359)</f>
        <v>0</v>
      </c>
      <c r="N359" s="4">
        <f>IFERROR(IF(K359&gt;0, L359/K359, 0),"-")</f>
        <v>1</v>
      </c>
      <c r="O359" s="34" t="s">
        <v>959</v>
      </c>
      <c r="P359" s="35" t="s">
        <v>959</v>
      </c>
      <c r="Q359" s="34" t="str">
        <f>IF(OR(P359="-",P359="",P359=0),IF(O359="-","-",O359),O359-P359)</f>
        <v>-</v>
      </c>
      <c r="R359" s="4" t="str">
        <f>IFERROR(IF(O359&gt;0, P359/O359, 0),"-")</f>
        <v>-</v>
      </c>
      <c r="S359" s="34" t="s">
        <v>959</v>
      </c>
      <c r="T359" s="34" t="s">
        <v>959</v>
      </c>
      <c r="U359" s="34" t="s">
        <v>959</v>
      </c>
      <c r="V359" s="35" t="s">
        <v>959</v>
      </c>
      <c r="W359" s="35" t="s">
        <v>959</v>
      </c>
    </row>
    <row r="360" spans="1:23" x14ac:dyDescent="0.2">
      <c r="A360" s="30" t="s">
        <v>344</v>
      </c>
      <c r="B360" s="30" t="s">
        <v>1090</v>
      </c>
      <c r="C360" s="34">
        <v>70</v>
      </c>
      <c r="D360" s="35">
        <v>69</v>
      </c>
      <c r="E360" s="34">
        <f>IF(OR(D360="-",D360="",D360=0),IF(C360="-","-",C360),C360-D360)</f>
        <v>1</v>
      </c>
      <c r="F360" s="4">
        <f>IFERROR(IF(C360&gt;0, D360/C360, 0),"-")</f>
        <v>0.98571428571428577</v>
      </c>
      <c r="G360" s="34" t="s">
        <v>959</v>
      </c>
      <c r="H360" s="35" t="s">
        <v>959</v>
      </c>
      <c r="I360" s="34" t="str">
        <f>IF(OR(H360="-",H360="",H360=0),IF(G360="-","-",G360),G360-H360)</f>
        <v>-</v>
      </c>
      <c r="J360" s="4" t="str">
        <f>IFERROR(IF(G360&gt;0, H360/G360, 0),"-")</f>
        <v>-</v>
      </c>
      <c r="K360" s="34" t="s">
        <v>959</v>
      </c>
      <c r="L360" s="35" t="s">
        <v>959</v>
      </c>
      <c r="M360" s="34" t="str">
        <f>IF(OR(L360="-",L360="",L360=0),IF(K360="-","-",K360),K360-L360)</f>
        <v>-</v>
      </c>
      <c r="N360" s="4" t="str">
        <f>IFERROR(IF(K360&gt;0, L360/K360, 0),"-")</f>
        <v>-</v>
      </c>
      <c r="O360" s="34" t="s">
        <v>959</v>
      </c>
      <c r="P360" s="35" t="s">
        <v>959</v>
      </c>
      <c r="Q360" s="34" t="str">
        <f>IF(OR(P360="-",P360="",P360=0),IF(O360="-","-",O360),O360-P360)</f>
        <v>-</v>
      </c>
      <c r="R360" s="4" t="str">
        <f>IFERROR(IF(O360&gt;0, P360/O360, 0),"-")</f>
        <v>-</v>
      </c>
      <c r="S360" s="34" t="s">
        <v>959</v>
      </c>
      <c r="T360" s="34" t="s">
        <v>959</v>
      </c>
      <c r="U360" s="34" t="s">
        <v>959</v>
      </c>
      <c r="V360" s="35" t="s">
        <v>959</v>
      </c>
      <c r="W360" s="35" t="s">
        <v>959</v>
      </c>
    </row>
    <row r="361" spans="1:23" x14ac:dyDescent="0.2">
      <c r="A361" s="30" t="s">
        <v>352</v>
      </c>
      <c r="B361" s="30" t="s">
        <v>1091</v>
      </c>
      <c r="C361" s="34">
        <v>6</v>
      </c>
      <c r="D361" s="35">
        <v>6</v>
      </c>
      <c r="E361" s="34">
        <f>IF(OR(D361="-",D361="",D361=0),IF(C361="-","-",C361),C361-D361)</f>
        <v>0</v>
      </c>
      <c r="F361" s="4">
        <f>IFERROR(IF(C361&gt;0, D361/C361, 0),"-")</f>
        <v>1</v>
      </c>
      <c r="G361" s="34" t="s">
        <v>959</v>
      </c>
      <c r="H361" s="35" t="s">
        <v>959</v>
      </c>
      <c r="I361" s="34" t="str">
        <f>IF(OR(H361="-",H361="",H361=0),IF(G361="-","-",G361),G361-H361)</f>
        <v>-</v>
      </c>
      <c r="J361" s="4" t="str">
        <f>IFERROR(IF(G361&gt;0, H361/G361, 0),"-")</f>
        <v>-</v>
      </c>
      <c r="K361" s="34" t="s">
        <v>959</v>
      </c>
      <c r="L361" s="35" t="s">
        <v>959</v>
      </c>
      <c r="M361" s="34" t="str">
        <f>IF(OR(L361="-",L361="",L361=0),IF(K361="-","-",K361),K361-L361)</f>
        <v>-</v>
      </c>
      <c r="N361" s="4" t="str">
        <f>IFERROR(IF(K361&gt;0, L361/K361, 0),"-")</f>
        <v>-</v>
      </c>
      <c r="O361" s="34" t="s">
        <v>959</v>
      </c>
      <c r="P361" s="35" t="s">
        <v>959</v>
      </c>
      <c r="Q361" s="34" t="str">
        <f>IF(OR(P361="-",P361="",P361=0),IF(O361="-","-",O361),O361-P361)</f>
        <v>-</v>
      </c>
      <c r="R361" s="4" t="str">
        <f>IFERROR(IF(O361&gt;0, P361/O361, 0),"-")</f>
        <v>-</v>
      </c>
      <c r="S361" s="34" t="s">
        <v>959</v>
      </c>
      <c r="T361" s="34" t="s">
        <v>959</v>
      </c>
      <c r="U361" s="34" t="s">
        <v>959</v>
      </c>
      <c r="V361" s="35" t="s">
        <v>959</v>
      </c>
      <c r="W361" s="35" t="s">
        <v>959</v>
      </c>
    </row>
    <row r="362" spans="1:23" x14ac:dyDescent="0.2">
      <c r="A362" s="30" t="s">
        <v>348</v>
      </c>
      <c r="B362" s="30" t="s">
        <v>1092</v>
      </c>
      <c r="C362" s="34">
        <v>37</v>
      </c>
      <c r="D362" s="35">
        <v>37</v>
      </c>
      <c r="E362" s="34">
        <f>IF(OR(D362="-",D362="",D362=0),IF(C362="-","-",C362),C362-D362)</f>
        <v>0</v>
      </c>
      <c r="F362" s="4">
        <f>IFERROR(IF(C362&gt;0, D362/C362, 0),"-")</f>
        <v>1</v>
      </c>
      <c r="G362" s="34" t="s">
        <v>959</v>
      </c>
      <c r="H362" s="35" t="s">
        <v>959</v>
      </c>
      <c r="I362" s="34" t="str">
        <f>IF(OR(H362="-",H362="",H362=0),IF(G362="-","-",G362),G362-H362)</f>
        <v>-</v>
      </c>
      <c r="J362" s="4" t="str">
        <f>IFERROR(IF(G362&gt;0, H362/G362, 0),"-")</f>
        <v>-</v>
      </c>
      <c r="K362" s="34" t="s">
        <v>959</v>
      </c>
      <c r="L362" s="35" t="s">
        <v>959</v>
      </c>
      <c r="M362" s="34" t="str">
        <f>IF(OR(L362="-",L362="",L362=0),IF(K362="-","-",K362),K362-L362)</f>
        <v>-</v>
      </c>
      <c r="N362" s="4" t="str">
        <f>IFERROR(IF(K362&gt;0, L362/K362, 0),"-")</f>
        <v>-</v>
      </c>
      <c r="O362" s="34" t="s">
        <v>959</v>
      </c>
      <c r="P362" s="35" t="s">
        <v>959</v>
      </c>
      <c r="Q362" s="34" t="str">
        <f>IF(OR(P362="-",P362="",P362=0),IF(O362="-","-",O362),O362-P362)</f>
        <v>-</v>
      </c>
      <c r="R362" s="4" t="str">
        <f>IFERROR(IF(O362&gt;0, P362/O362, 0),"-")</f>
        <v>-</v>
      </c>
      <c r="S362" s="34" t="s">
        <v>959</v>
      </c>
      <c r="T362" s="34" t="s">
        <v>959</v>
      </c>
      <c r="U362" s="34" t="s">
        <v>959</v>
      </c>
      <c r="V362" s="35" t="s">
        <v>959</v>
      </c>
      <c r="W362" s="35" t="s">
        <v>959</v>
      </c>
    </row>
    <row r="363" spans="1:23" x14ac:dyDescent="0.2">
      <c r="A363" s="29"/>
      <c r="B363" s="29" t="s">
        <v>77</v>
      </c>
      <c r="C363" s="32">
        <v>388</v>
      </c>
      <c r="D363" s="32">
        <v>385</v>
      </c>
      <c r="E363" s="32">
        <f>IF(OR(D363="-",D363="",D363=0),IF(C363="-","-",C363),C363-D363)</f>
        <v>3</v>
      </c>
      <c r="F363" s="36">
        <f>IFERROR(IF(C363&gt;0, D363/C363, 0),"-")</f>
        <v>0.99226804123711343</v>
      </c>
      <c r="G363" s="32">
        <v>3</v>
      </c>
      <c r="H363" s="32" t="s">
        <v>959</v>
      </c>
      <c r="I363" s="32">
        <f>IF(OR(H363="-",H363="",H363=0),IF(G363="-","-",G363),G363-H363)</f>
        <v>3</v>
      </c>
      <c r="J363" s="36" t="str">
        <f>IFERROR(IF(G363&gt;0, H363/G363, 0),"-")</f>
        <v>-</v>
      </c>
      <c r="K363" s="32">
        <v>4</v>
      </c>
      <c r="L363" s="32">
        <v>1</v>
      </c>
      <c r="M363" s="32">
        <f>IF(OR(L363="-",L363="",L363=0),IF(K363="-","-",K363),K363-L363)</f>
        <v>3</v>
      </c>
      <c r="N363" s="36">
        <f>IFERROR(IF(K363&gt;0, L363/K363, 0),"-")</f>
        <v>0.25</v>
      </c>
      <c r="O363" s="32">
        <v>1</v>
      </c>
      <c r="P363" s="32">
        <v>1</v>
      </c>
      <c r="Q363" s="32">
        <f>IF(OR(P363="-",P363="",P363=0),IF(O363="-","-",O363),O363-P363)</f>
        <v>0</v>
      </c>
      <c r="R363" s="36">
        <f>IFERROR(IF(O363&gt;0, P363/O363, 0),"-")</f>
        <v>1</v>
      </c>
      <c r="S363" s="32">
        <v>6</v>
      </c>
      <c r="T363" s="32">
        <v>1</v>
      </c>
      <c r="U363" s="32">
        <v>3235</v>
      </c>
      <c r="V363" s="32" t="s">
        <v>959</v>
      </c>
      <c r="W363" s="32" t="s">
        <v>959</v>
      </c>
    </row>
    <row r="364" spans="1:23" x14ac:dyDescent="0.2">
      <c r="A364" s="30" t="s">
        <v>508</v>
      </c>
      <c r="B364" s="30" t="s">
        <v>1018</v>
      </c>
      <c r="C364" s="34">
        <v>52</v>
      </c>
      <c r="D364" s="35">
        <v>52</v>
      </c>
      <c r="E364" s="34">
        <f>IF(OR(D364="-",D364="",D364=0),IF(C364="-","-",C364),C364-D364)</f>
        <v>0</v>
      </c>
      <c r="F364" s="4">
        <f>IFERROR(IF(C364&gt;0, D364/C364, 0),"-")</f>
        <v>1</v>
      </c>
      <c r="G364" s="34" t="s">
        <v>959</v>
      </c>
      <c r="H364" s="35" t="s">
        <v>959</v>
      </c>
      <c r="I364" s="34" t="str">
        <f>IF(OR(H364="-",H364="",H364=0),IF(G364="-","-",G364),G364-H364)</f>
        <v>-</v>
      </c>
      <c r="J364" s="4" t="str">
        <f>IFERROR(IF(G364&gt;0, H364/G364, 0),"-")</f>
        <v>-</v>
      </c>
      <c r="K364" s="34">
        <v>1</v>
      </c>
      <c r="L364" s="35" t="s">
        <v>959</v>
      </c>
      <c r="M364" s="34">
        <f>IF(OR(L364="-",L364="",L364=0),IF(K364="-","-",K364),K364-L364)</f>
        <v>1</v>
      </c>
      <c r="N364" s="4" t="str">
        <f>IFERROR(IF(K364&gt;0, L364/K364, 0),"-")</f>
        <v>-</v>
      </c>
      <c r="O364" s="34">
        <v>1</v>
      </c>
      <c r="P364" s="35">
        <v>1</v>
      </c>
      <c r="Q364" s="34">
        <f>IF(OR(P364="-",P364="",P364=0),IF(O364="-","-",O364),O364-P364)</f>
        <v>0</v>
      </c>
      <c r="R364" s="4">
        <f>IFERROR(IF(O364&gt;0, P364/O364, 0),"-")</f>
        <v>1</v>
      </c>
      <c r="S364" s="34">
        <v>1</v>
      </c>
      <c r="T364" s="34">
        <v>1</v>
      </c>
      <c r="U364" s="34">
        <v>3235</v>
      </c>
      <c r="V364" s="35" t="s">
        <v>959</v>
      </c>
      <c r="W364" s="35" t="s">
        <v>959</v>
      </c>
    </row>
    <row r="365" spans="1:23" x14ac:dyDescent="0.2">
      <c r="A365" s="30" t="s">
        <v>507</v>
      </c>
      <c r="B365" s="30" t="s">
        <v>1093</v>
      </c>
      <c r="C365" s="34">
        <v>51</v>
      </c>
      <c r="D365" s="35">
        <v>50</v>
      </c>
      <c r="E365" s="34">
        <f>IF(OR(D365="-",D365="",D365=0),IF(C365="-","-",C365),C365-D365)</f>
        <v>1</v>
      </c>
      <c r="F365" s="4">
        <f>IFERROR(IF(C365&gt;0, D365/C365, 0),"-")</f>
        <v>0.98039215686274506</v>
      </c>
      <c r="G365" s="34" t="s">
        <v>959</v>
      </c>
      <c r="H365" s="35" t="s">
        <v>959</v>
      </c>
      <c r="I365" s="34" t="str">
        <f>IF(OR(H365="-",H365="",H365=0),IF(G365="-","-",G365),G365-H365)</f>
        <v>-</v>
      </c>
      <c r="J365" s="4" t="str">
        <f>IFERROR(IF(G365&gt;0, H365/G365, 0),"-")</f>
        <v>-</v>
      </c>
      <c r="K365" s="34">
        <v>2</v>
      </c>
      <c r="L365" s="35">
        <v>1</v>
      </c>
      <c r="M365" s="34">
        <f>IF(OR(L365="-",L365="",L365=0),IF(K365="-","-",K365),K365-L365)</f>
        <v>1</v>
      </c>
      <c r="N365" s="4">
        <f>IFERROR(IF(K365&gt;0, L365/K365, 0),"-")</f>
        <v>0.5</v>
      </c>
      <c r="O365" s="34" t="s">
        <v>959</v>
      </c>
      <c r="P365" s="35" t="s">
        <v>959</v>
      </c>
      <c r="Q365" s="34" t="str">
        <f>IF(OR(P365="-",P365="",P365=0),IF(O365="-","-",O365),O365-P365)</f>
        <v>-</v>
      </c>
      <c r="R365" s="4" t="str">
        <f>IFERROR(IF(O365&gt;0, P365/O365, 0),"-")</f>
        <v>-</v>
      </c>
      <c r="S365" s="34">
        <v>3</v>
      </c>
      <c r="T365" s="34" t="s">
        <v>959</v>
      </c>
      <c r="U365" s="34" t="s">
        <v>959</v>
      </c>
      <c r="V365" s="35" t="s">
        <v>959</v>
      </c>
      <c r="W365" s="35" t="s">
        <v>959</v>
      </c>
    </row>
    <row r="366" spans="1:23" x14ac:dyDescent="0.2">
      <c r="A366" s="30" t="s">
        <v>509</v>
      </c>
      <c r="B366" s="30" t="s">
        <v>1094</v>
      </c>
      <c r="C366" s="34">
        <v>20</v>
      </c>
      <c r="D366" s="35">
        <v>20</v>
      </c>
      <c r="E366" s="34">
        <f>IF(OR(D366="-",D366="",D366=0),IF(C366="-","-",C366),C366-D366)</f>
        <v>0</v>
      </c>
      <c r="F366" s="4">
        <f>IFERROR(IF(C366&gt;0, D366/C366, 0),"-")</f>
        <v>1</v>
      </c>
      <c r="G366" s="34">
        <v>1</v>
      </c>
      <c r="H366" s="35" t="s">
        <v>959</v>
      </c>
      <c r="I366" s="34">
        <f>IF(OR(H366="-",H366="",H366=0),IF(G366="-","-",G366),G366-H366)</f>
        <v>1</v>
      </c>
      <c r="J366" s="4" t="str">
        <f>IFERROR(IF(G366&gt;0, H366/G366, 0),"-")</f>
        <v>-</v>
      </c>
      <c r="K366" s="34" t="s">
        <v>959</v>
      </c>
      <c r="L366" s="35" t="s">
        <v>959</v>
      </c>
      <c r="M366" s="34" t="str">
        <f>IF(OR(L366="-",L366="",L366=0),IF(K366="-","-",K366),K366-L366)</f>
        <v>-</v>
      </c>
      <c r="N366" s="4" t="str">
        <f>IFERROR(IF(K366&gt;0, L366/K366, 0),"-")</f>
        <v>-</v>
      </c>
      <c r="O366" s="34" t="s">
        <v>959</v>
      </c>
      <c r="P366" s="35" t="s">
        <v>959</v>
      </c>
      <c r="Q366" s="34" t="str">
        <f>IF(OR(P366="-",P366="",P366=0),IF(O366="-","-",O366),O366-P366)</f>
        <v>-</v>
      </c>
      <c r="R366" s="4" t="str">
        <f>IFERROR(IF(O366&gt;0, P366/O366, 0),"-")</f>
        <v>-</v>
      </c>
      <c r="S366" s="34">
        <v>1</v>
      </c>
      <c r="T366" s="34" t="s">
        <v>959</v>
      </c>
      <c r="U366" s="34" t="s">
        <v>959</v>
      </c>
      <c r="V366" s="35" t="s">
        <v>959</v>
      </c>
      <c r="W366" s="35" t="s">
        <v>959</v>
      </c>
    </row>
    <row r="367" spans="1:23" x14ac:dyDescent="0.2">
      <c r="A367" s="30" t="s">
        <v>512</v>
      </c>
      <c r="B367" s="30" t="s">
        <v>1095</v>
      </c>
      <c r="C367" s="34">
        <v>9</v>
      </c>
      <c r="D367" s="35">
        <v>9</v>
      </c>
      <c r="E367" s="34">
        <f>IF(OR(D367="-",D367="",D367=0),IF(C367="-","-",C367),C367-D367)</f>
        <v>0</v>
      </c>
      <c r="F367" s="4">
        <f>IFERROR(IF(C367&gt;0, D367/C367, 0),"-")</f>
        <v>1</v>
      </c>
      <c r="G367" s="34">
        <v>1</v>
      </c>
      <c r="H367" s="35" t="s">
        <v>959</v>
      </c>
      <c r="I367" s="34">
        <f>IF(OR(H367="-",H367="",H367=0),IF(G367="-","-",G367),G367-H367)</f>
        <v>1</v>
      </c>
      <c r="J367" s="4" t="str">
        <f>IFERROR(IF(G367&gt;0, H367/G367, 0),"-")</f>
        <v>-</v>
      </c>
      <c r="K367" s="34" t="s">
        <v>959</v>
      </c>
      <c r="L367" s="35" t="s">
        <v>959</v>
      </c>
      <c r="M367" s="34" t="str">
        <f>IF(OR(L367="-",L367="",L367=0),IF(K367="-","-",K367),K367-L367)</f>
        <v>-</v>
      </c>
      <c r="N367" s="4" t="str">
        <f>IFERROR(IF(K367&gt;0, L367/K367, 0),"-")</f>
        <v>-</v>
      </c>
      <c r="O367" s="34" t="s">
        <v>959</v>
      </c>
      <c r="P367" s="35" t="s">
        <v>959</v>
      </c>
      <c r="Q367" s="34" t="str">
        <f>IF(OR(P367="-",P367="",P367=0),IF(O367="-","-",O367),O367-P367)</f>
        <v>-</v>
      </c>
      <c r="R367" s="4" t="str">
        <f>IFERROR(IF(O367&gt;0, P367/O367, 0),"-")</f>
        <v>-</v>
      </c>
      <c r="S367" s="34" t="s">
        <v>959</v>
      </c>
      <c r="T367" s="34" t="s">
        <v>959</v>
      </c>
      <c r="U367" s="34" t="s">
        <v>959</v>
      </c>
      <c r="V367" s="35" t="s">
        <v>959</v>
      </c>
      <c r="W367" s="35" t="s">
        <v>959</v>
      </c>
    </row>
    <row r="368" spans="1:23" x14ac:dyDescent="0.2">
      <c r="A368" s="30" t="s">
        <v>511</v>
      </c>
      <c r="B368" s="30" t="s">
        <v>1096</v>
      </c>
      <c r="C368" s="34">
        <v>122</v>
      </c>
      <c r="D368" s="35">
        <v>122</v>
      </c>
      <c r="E368" s="34">
        <f>IF(OR(D368="-",D368="",D368=0),IF(C368="-","-",C368),C368-D368)</f>
        <v>0</v>
      </c>
      <c r="F368" s="4">
        <f>IFERROR(IF(C368&gt;0, D368/C368, 0),"-")</f>
        <v>1</v>
      </c>
      <c r="G368" s="34" t="s">
        <v>959</v>
      </c>
      <c r="H368" s="35" t="s">
        <v>959</v>
      </c>
      <c r="I368" s="34" t="str">
        <f>IF(OR(H368="-",H368="",H368=0),IF(G368="-","-",G368),G368-H368)</f>
        <v>-</v>
      </c>
      <c r="J368" s="4" t="str">
        <f>IFERROR(IF(G368&gt;0, H368/G368, 0),"-")</f>
        <v>-</v>
      </c>
      <c r="K368" s="34" t="s">
        <v>959</v>
      </c>
      <c r="L368" s="35" t="s">
        <v>959</v>
      </c>
      <c r="M368" s="34" t="str">
        <f>IF(OR(L368="-",L368="",L368=0),IF(K368="-","-",K368),K368-L368)</f>
        <v>-</v>
      </c>
      <c r="N368" s="4" t="str">
        <f>IFERROR(IF(K368&gt;0, L368/K368, 0),"-")</f>
        <v>-</v>
      </c>
      <c r="O368" s="34" t="s">
        <v>959</v>
      </c>
      <c r="P368" s="35" t="s">
        <v>959</v>
      </c>
      <c r="Q368" s="34" t="str">
        <f>IF(OR(P368="-",P368="",P368=0),IF(O368="-","-",O368),O368-P368)</f>
        <v>-</v>
      </c>
      <c r="R368" s="4" t="str">
        <f>IFERROR(IF(O368&gt;0, P368/O368, 0),"-")</f>
        <v>-</v>
      </c>
      <c r="S368" s="34">
        <v>1</v>
      </c>
      <c r="T368" s="34" t="s">
        <v>959</v>
      </c>
      <c r="U368" s="34" t="s">
        <v>959</v>
      </c>
      <c r="V368" s="35" t="s">
        <v>959</v>
      </c>
      <c r="W368" s="35" t="s">
        <v>959</v>
      </c>
    </row>
    <row r="369" spans="1:23" x14ac:dyDescent="0.2">
      <c r="A369" s="30" t="s">
        <v>506</v>
      </c>
      <c r="B369" s="30" t="s">
        <v>1097</v>
      </c>
      <c r="C369" s="34">
        <v>75</v>
      </c>
      <c r="D369" s="35">
        <v>73</v>
      </c>
      <c r="E369" s="34">
        <f>IF(OR(D369="-",D369="",D369=0),IF(C369="-","-",C369),C369-D369)</f>
        <v>2</v>
      </c>
      <c r="F369" s="4">
        <f>IFERROR(IF(C369&gt;0, D369/C369, 0),"-")</f>
        <v>0.97333333333333338</v>
      </c>
      <c r="G369" s="34">
        <v>1</v>
      </c>
      <c r="H369" s="35" t="s">
        <v>959</v>
      </c>
      <c r="I369" s="34">
        <f>IF(OR(H369="-",H369="",H369=0),IF(G369="-","-",G369),G369-H369)</f>
        <v>1</v>
      </c>
      <c r="J369" s="4" t="str">
        <f>IFERROR(IF(G369&gt;0, H369/G369, 0),"-")</f>
        <v>-</v>
      </c>
      <c r="K369" s="34">
        <v>1</v>
      </c>
      <c r="L369" s="35" t="s">
        <v>959</v>
      </c>
      <c r="M369" s="34">
        <f>IF(OR(L369="-",L369="",L369=0),IF(K369="-","-",K369),K369-L369)</f>
        <v>1</v>
      </c>
      <c r="N369" s="4" t="str">
        <f>IFERROR(IF(K369&gt;0, L369/K369, 0),"-")</f>
        <v>-</v>
      </c>
      <c r="O369" s="34" t="s">
        <v>959</v>
      </c>
      <c r="P369" s="35" t="s">
        <v>959</v>
      </c>
      <c r="Q369" s="34" t="str">
        <f>IF(OR(P369="-",P369="",P369=0),IF(O369="-","-",O369),O369-P369)</f>
        <v>-</v>
      </c>
      <c r="R369" s="4" t="str">
        <f>IFERROR(IF(O369&gt;0, P369/O369, 0),"-")</f>
        <v>-</v>
      </c>
      <c r="S369" s="34" t="s">
        <v>959</v>
      </c>
      <c r="T369" s="34" t="s">
        <v>959</v>
      </c>
      <c r="U369" s="34" t="s">
        <v>959</v>
      </c>
      <c r="V369" s="35" t="s">
        <v>959</v>
      </c>
      <c r="W369" s="35" t="s">
        <v>959</v>
      </c>
    </row>
    <row r="370" spans="1:23" x14ac:dyDescent="0.2">
      <c r="A370" s="30" t="s">
        <v>510</v>
      </c>
      <c r="B370" s="30" t="s">
        <v>999</v>
      </c>
      <c r="C370" s="34">
        <v>59</v>
      </c>
      <c r="D370" s="35">
        <v>59</v>
      </c>
      <c r="E370" s="34">
        <f>IF(OR(D370="-",D370="",D370=0),IF(C370="-","-",C370),C370-D370)</f>
        <v>0</v>
      </c>
      <c r="F370" s="4">
        <f>IFERROR(IF(C370&gt;0, D370/C370, 0),"-")</f>
        <v>1</v>
      </c>
      <c r="G370" s="34" t="s">
        <v>959</v>
      </c>
      <c r="H370" s="35" t="s">
        <v>959</v>
      </c>
      <c r="I370" s="34" t="str">
        <f>IF(OR(H370="-",H370="",H370=0),IF(G370="-","-",G370),G370-H370)</f>
        <v>-</v>
      </c>
      <c r="J370" s="4" t="str">
        <f>IFERROR(IF(G370&gt;0, H370/G370, 0),"-")</f>
        <v>-</v>
      </c>
      <c r="K370" s="34" t="s">
        <v>959</v>
      </c>
      <c r="L370" s="35" t="s">
        <v>959</v>
      </c>
      <c r="M370" s="34" t="str">
        <f>IF(OR(L370="-",L370="",L370=0),IF(K370="-","-",K370),K370-L370)</f>
        <v>-</v>
      </c>
      <c r="N370" s="4" t="str">
        <f>IFERROR(IF(K370&gt;0, L370/K370, 0),"-")</f>
        <v>-</v>
      </c>
      <c r="O370" s="34" t="s">
        <v>959</v>
      </c>
      <c r="P370" s="35" t="s">
        <v>959</v>
      </c>
      <c r="Q370" s="34" t="str">
        <f>IF(OR(P370="-",P370="",P370=0),IF(O370="-","-",O370),O370-P370)</f>
        <v>-</v>
      </c>
      <c r="R370" s="4" t="str">
        <f>IFERROR(IF(O370&gt;0, P370/O370, 0),"-")</f>
        <v>-</v>
      </c>
      <c r="S370" s="34" t="s">
        <v>959</v>
      </c>
      <c r="T370" s="34" t="s">
        <v>959</v>
      </c>
      <c r="U370" s="34" t="s">
        <v>959</v>
      </c>
      <c r="V370" s="35" t="s">
        <v>959</v>
      </c>
      <c r="W370" s="35" t="s">
        <v>959</v>
      </c>
    </row>
    <row r="371" spans="1:23" x14ac:dyDescent="0.2">
      <c r="A371" s="29"/>
      <c r="B371" s="29" t="s">
        <v>12</v>
      </c>
      <c r="C371" s="32">
        <v>595</v>
      </c>
      <c r="D371" s="32">
        <v>590</v>
      </c>
      <c r="E371" s="32">
        <f>IF(OR(D371="-",D371="",D371=0),IF(C371="-","-",C371),C371-D371)</f>
        <v>5</v>
      </c>
      <c r="F371" s="36">
        <f>IFERROR(IF(C371&gt;0, D371/C371, 0),"-")</f>
        <v>0.99159663865546221</v>
      </c>
      <c r="G371" s="32">
        <v>4</v>
      </c>
      <c r="H371" s="32">
        <v>2</v>
      </c>
      <c r="I371" s="32">
        <f>IF(OR(H371="-",H371="",H371=0),IF(G371="-","-",G371),G371-H371)</f>
        <v>2</v>
      </c>
      <c r="J371" s="36">
        <f>IFERROR(IF(G371&gt;0, H371/G371, 0),"-")</f>
        <v>0.5</v>
      </c>
      <c r="K371" s="32">
        <v>1</v>
      </c>
      <c r="L371" s="32" t="s">
        <v>959</v>
      </c>
      <c r="M371" s="32">
        <f>IF(OR(L371="-",L371="",L371=0),IF(K371="-","-",K371),K371-L371)</f>
        <v>1</v>
      </c>
      <c r="N371" s="36" t="str">
        <f>IFERROR(IF(K371&gt;0, L371/K371, 0),"-")</f>
        <v>-</v>
      </c>
      <c r="O371" s="32">
        <v>1</v>
      </c>
      <c r="P371" s="32" t="s">
        <v>959</v>
      </c>
      <c r="Q371" s="32">
        <f>IF(OR(P371="-",P371="",P371=0),IF(O371="-","-",O371),O371-P371)</f>
        <v>1</v>
      </c>
      <c r="R371" s="36" t="str">
        <f>IFERROR(IF(O371&gt;0, P371/O371, 0),"-")</f>
        <v>-</v>
      </c>
      <c r="S371" s="32">
        <v>3</v>
      </c>
      <c r="T371" s="32" t="s">
        <v>959</v>
      </c>
      <c r="U371" s="32" t="s">
        <v>959</v>
      </c>
      <c r="V371" s="32" t="s">
        <v>959</v>
      </c>
      <c r="W371" s="32" t="s">
        <v>959</v>
      </c>
    </row>
    <row r="372" spans="1:23" x14ac:dyDescent="0.2">
      <c r="A372" s="30" t="s">
        <v>517</v>
      </c>
      <c r="B372" s="30" t="s">
        <v>1098</v>
      </c>
      <c r="C372" s="34">
        <v>101</v>
      </c>
      <c r="D372" s="35">
        <v>101</v>
      </c>
      <c r="E372" s="34">
        <f>IF(OR(D372="-",D372="",D372=0),IF(C372="-","-",C372),C372-D372)</f>
        <v>0</v>
      </c>
      <c r="F372" s="4">
        <f>IFERROR(IF(C372&gt;0, D372/C372, 0),"-")</f>
        <v>1</v>
      </c>
      <c r="G372" s="34">
        <v>1</v>
      </c>
      <c r="H372" s="35">
        <v>1</v>
      </c>
      <c r="I372" s="34">
        <f>IF(OR(H372="-",H372="",H372=0),IF(G372="-","-",G372),G372-H372)</f>
        <v>0</v>
      </c>
      <c r="J372" s="4">
        <f>IFERROR(IF(G372&gt;0, H372/G372, 0),"-")</f>
        <v>1</v>
      </c>
      <c r="K372" s="34">
        <v>1</v>
      </c>
      <c r="L372" s="35" t="s">
        <v>959</v>
      </c>
      <c r="M372" s="34">
        <f>IF(OR(L372="-",L372="",L372=0),IF(K372="-","-",K372),K372-L372)</f>
        <v>1</v>
      </c>
      <c r="N372" s="4" t="str">
        <f>IFERROR(IF(K372&gt;0, L372/K372, 0),"-")</f>
        <v>-</v>
      </c>
      <c r="O372" s="34" t="s">
        <v>959</v>
      </c>
      <c r="P372" s="35" t="s">
        <v>959</v>
      </c>
      <c r="Q372" s="34" t="str">
        <f>IF(OR(P372="-",P372="",P372=0),IF(O372="-","-",O372),O372-P372)</f>
        <v>-</v>
      </c>
      <c r="R372" s="4" t="str">
        <f>IFERROR(IF(O372&gt;0, P372/O372, 0),"-")</f>
        <v>-</v>
      </c>
      <c r="S372" s="34">
        <v>1</v>
      </c>
      <c r="T372" s="34" t="s">
        <v>959</v>
      </c>
      <c r="U372" s="34" t="s">
        <v>959</v>
      </c>
      <c r="V372" s="35" t="s">
        <v>959</v>
      </c>
      <c r="W372" s="35" t="s">
        <v>959</v>
      </c>
    </row>
    <row r="373" spans="1:23" x14ac:dyDescent="0.2">
      <c r="A373" s="30" t="s">
        <v>514</v>
      </c>
      <c r="B373" s="30" t="s">
        <v>1099</v>
      </c>
      <c r="C373" s="34">
        <v>64</v>
      </c>
      <c r="D373" s="35">
        <v>64</v>
      </c>
      <c r="E373" s="34">
        <f>IF(OR(D373="-",D373="",D373=0),IF(C373="-","-",C373),C373-D373)</f>
        <v>0</v>
      </c>
      <c r="F373" s="4">
        <f>IFERROR(IF(C373&gt;0, D373/C373, 0),"-")</f>
        <v>1</v>
      </c>
      <c r="G373" s="34">
        <v>1</v>
      </c>
      <c r="H373" s="35" t="s">
        <v>959</v>
      </c>
      <c r="I373" s="34">
        <f>IF(OR(H373="-",H373="",H373=0),IF(G373="-","-",G373),G373-H373)</f>
        <v>1</v>
      </c>
      <c r="J373" s="4" t="str">
        <f>IFERROR(IF(G373&gt;0, H373/G373, 0),"-")</f>
        <v>-</v>
      </c>
      <c r="K373" s="34" t="s">
        <v>959</v>
      </c>
      <c r="L373" s="35" t="s">
        <v>959</v>
      </c>
      <c r="M373" s="34" t="str">
        <f>IF(OR(L373="-",L373="",L373=0),IF(K373="-","-",K373),K373-L373)</f>
        <v>-</v>
      </c>
      <c r="N373" s="4" t="str">
        <f>IFERROR(IF(K373&gt;0, L373/K373, 0),"-")</f>
        <v>-</v>
      </c>
      <c r="O373" s="34" t="s">
        <v>959</v>
      </c>
      <c r="P373" s="35" t="s">
        <v>959</v>
      </c>
      <c r="Q373" s="34" t="str">
        <f>IF(OR(P373="-",P373="",P373=0),IF(O373="-","-",O373),O373-P373)</f>
        <v>-</v>
      </c>
      <c r="R373" s="4" t="str">
        <f>IFERROR(IF(O373&gt;0, P373/O373, 0),"-")</f>
        <v>-</v>
      </c>
      <c r="S373" s="34" t="s">
        <v>959</v>
      </c>
      <c r="T373" s="34" t="s">
        <v>959</v>
      </c>
      <c r="U373" s="34" t="s">
        <v>959</v>
      </c>
      <c r="V373" s="35" t="s">
        <v>959</v>
      </c>
      <c r="W373" s="35" t="s">
        <v>959</v>
      </c>
    </row>
    <row r="374" spans="1:23" x14ac:dyDescent="0.2">
      <c r="A374" s="30" t="s">
        <v>519</v>
      </c>
      <c r="B374" s="30" t="s">
        <v>1100</v>
      </c>
      <c r="C374" s="34">
        <v>115</v>
      </c>
      <c r="D374" s="35">
        <v>113</v>
      </c>
      <c r="E374" s="34">
        <f>IF(OR(D374="-",D374="",D374=0),IF(C374="-","-",C374),C374-D374)</f>
        <v>2</v>
      </c>
      <c r="F374" s="4">
        <f>IFERROR(IF(C374&gt;0, D374/C374, 0),"-")</f>
        <v>0.9826086956521739</v>
      </c>
      <c r="G374" s="34" t="s">
        <v>959</v>
      </c>
      <c r="H374" s="35" t="s">
        <v>959</v>
      </c>
      <c r="I374" s="34" t="str">
        <f>IF(OR(H374="-",H374="",H374=0),IF(G374="-","-",G374),G374-H374)</f>
        <v>-</v>
      </c>
      <c r="J374" s="4" t="str">
        <f>IFERROR(IF(G374&gt;0, H374/G374, 0),"-")</f>
        <v>-</v>
      </c>
      <c r="K374" s="34" t="s">
        <v>959</v>
      </c>
      <c r="L374" s="35" t="s">
        <v>959</v>
      </c>
      <c r="M374" s="34" t="str">
        <f>IF(OR(L374="-",L374="",L374=0),IF(K374="-","-",K374),K374-L374)</f>
        <v>-</v>
      </c>
      <c r="N374" s="4" t="str">
        <f>IFERROR(IF(K374&gt;0, L374/K374, 0),"-")</f>
        <v>-</v>
      </c>
      <c r="O374" s="34" t="s">
        <v>959</v>
      </c>
      <c r="P374" s="35" t="s">
        <v>959</v>
      </c>
      <c r="Q374" s="34" t="str">
        <f>IF(OR(P374="-",P374="",P374=0),IF(O374="-","-",O374),O374-P374)</f>
        <v>-</v>
      </c>
      <c r="R374" s="4" t="str">
        <f>IFERROR(IF(O374&gt;0, P374/O374, 0),"-")</f>
        <v>-</v>
      </c>
      <c r="S374" s="34" t="s">
        <v>959</v>
      </c>
      <c r="T374" s="34" t="s">
        <v>959</v>
      </c>
      <c r="U374" s="34" t="s">
        <v>959</v>
      </c>
      <c r="V374" s="35" t="s">
        <v>959</v>
      </c>
      <c r="W374" s="35" t="s">
        <v>959</v>
      </c>
    </row>
    <row r="375" spans="1:23" x14ac:dyDescent="0.2">
      <c r="A375" s="30" t="s">
        <v>516</v>
      </c>
      <c r="B375" s="30" t="s">
        <v>1101</v>
      </c>
      <c r="C375" s="34">
        <v>85</v>
      </c>
      <c r="D375" s="35">
        <v>83</v>
      </c>
      <c r="E375" s="34">
        <f>IF(OR(D375="-",D375="",D375=0),IF(C375="-","-",C375),C375-D375)</f>
        <v>2</v>
      </c>
      <c r="F375" s="4">
        <f>IFERROR(IF(C375&gt;0, D375/C375, 0),"-")</f>
        <v>0.97647058823529409</v>
      </c>
      <c r="G375" s="34">
        <v>2</v>
      </c>
      <c r="H375" s="35">
        <v>1</v>
      </c>
      <c r="I375" s="34">
        <f>IF(OR(H375="-",H375="",H375=0),IF(G375="-","-",G375),G375-H375)</f>
        <v>1</v>
      </c>
      <c r="J375" s="4">
        <f>IFERROR(IF(G375&gt;0, H375/G375, 0),"-")</f>
        <v>0.5</v>
      </c>
      <c r="K375" s="34" t="s">
        <v>959</v>
      </c>
      <c r="L375" s="35" t="s">
        <v>959</v>
      </c>
      <c r="M375" s="34" t="str">
        <f>IF(OR(L375="-",L375="",L375=0),IF(K375="-","-",K375),K375-L375)</f>
        <v>-</v>
      </c>
      <c r="N375" s="4" t="str">
        <f>IFERROR(IF(K375&gt;0, L375/K375, 0),"-")</f>
        <v>-</v>
      </c>
      <c r="O375" s="34" t="s">
        <v>959</v>
      </c>
      <c r="P375" s="35" t="s">
        <v>959</v>
      </c>
      <c r="Q375" s="34" t="str">
        <f>IF(OR(P375="-",P375="",P375=0),IF(O375="-","-",O375),O375-P375)</f>
        <v>-</v>
      </c>
      <c r="R375" s="4" t="str">
        <f>IFERROR(IF(O375&gt;0, P375/O375, 0),"-")</f>
        <v>-</v>
      </c>
      <c r="S375" s="34">
        <v>1</v>
      </c>
      <c r="T375" s="34" t="s">
        <v>959</v>
      </c>
      <c r="U375" s="34" t="s">
        <v>959</v>
      </c>
      <c r="V375" s="35" t="s">
        <v>959</v>
      </c>
      <c r="W375" s="35" t="s">
        <v>959</v>
      </c>
    </row>
    <row r="376" spans="1:23" x14ac:dyDescent="0.2">
      <c r="A376" s="30" t="s">
        <v>513</v>
      </c>
      <c r="B376" s="30" t="s">
        <v>1020</v>
      </c>
      <c r="C376" s="34">
        <v>49</v>
      </c>
      <c r="D376" s="35">
        <v>49</v>
      </c>
      <c r="E376" s="34">
        <f>IF(OR(D376="-",D376="",D376=0),IF(C376="-","-",C376),C376-D376)</f>
        <v>0</v>
      </c>
      <c r="F376" s="4">
        <f>IFERROR(IF(C376&gt;0, D376/C376, 0),"-")</f>
        <v>1</v>
      </c>
      <c r="G376" s="34" t="s">
        <v>959</v>
      </c>
      <c r="H376" s="35" t="s">
        <v>959</v>
      </c>
      <c r="I376" s="34" t="str">
        <f>IF(OR(H376="-",H376="",H376=0),IF(G376="-","-",G376),G376-H376)</f>
        <v>-</v>
      </c>
      <c r="J376" s="4" t="str">
        <f>IFERROR(IF(G376&gt;0, H376/G376, 0),"-")</f>
        <v>-</v>
      </c>
      <c r="K376" s="34" t="s">
        <v>959</v>
      </c>
      <c r="L376" s="35" t="s">
        <v>959</v>
      </c>
      <c r="M376" s="34" t="str">
        <f>IF(OR(L376="-",L376="",L376=0),IF(K376="-","-",K376),K376-L376)</f>
        <v>-</v>
      </c>
      <c r="N376" s="4" t="str">
        <f>IFERROR(IF(K376&gt;0, L376/K376, 0),"-")</f>
        <v>-</v>
      </c>
      <c r="O376" s="34" t="s">
        <v>959</v>
      </c>
      <c r="P376" s="35" t="s">
        <v>959</v>
      </c>
      <c r="Q376" s="34" t="str">
        <f>IF(OR(P376="-",P376="",P376=0),IF(O376="-","-",O376),O376-P376)</f>
        <v>-</v>
      </c>
      <c r="R376" s="4" t="str">
        <f>IFERROR(IF(O376&gt;0, P376/O376, 0),"-")</f>
        <v>-</v>
      </c>
      <c r="S376" s="34">
        <v>1</v>
      </c>
      <c r="T376" s="34" t="s">
        <v>959</v>
      </c>
      <c r="U376" s="34" t="s">
        <v>959</v>
      </c>
      <c r="V376" s="35" t="s">
        <v>959</v>
      </c>
      <c r="W376" s="35" t="s">
        <v>959</v>
      </c>
    </row>
    <row r="377" spans="1:23" x14ac:dyDescent="0.2">
      <c r="A377" s="30" t="s">
        <v>515</v>
      </c>
      <c r="B377" s="30" t="s">
        <v>1022</v>
      </c>
      <c r="C377" s="34">
        <v>77</v>
      </c>
      <c r="D377" s="35">
        <v>76</v>
      </c>
      <c r="E377" s="34">
        <f>IF(OR(D377="-",D377="",D377=0),IF(C377="-","-",C377),C377-D377)</f>
        <v>1</v>
      </c>
      <c r="F377" s="4">
        <f>IFERROR(IF(C377&gt;0, D377/C377, 0),"-")</f>
        <v>0.98701298701298701</v>
      </c>
      <c r="G377" s="34" t="s">
        <v>959</v>
      </c>
      <c r="H377" s="35" t="s">
        <v>959</v>
      </c>
      <c r="I377" s="34" t="str">
        <f>IF(OR(H377="-",H377="",H377=0),IF(G377="-","-",G377),G377-H377)</f>
        <v>-</v>
      </c>
      <c r="J377" s="4" t="str">
        <f>IFERROR(IF(G377&gt;0, H377/G377, 0),"-")</f>
        <v>-</v>
      </c>
      <c r="K377" s="34" t="s">
        <v>959</v>
      </c>
      <c r="L377" s="35" t="s">
        <v>959</v>
      </c>
      <c r="M377" s="34" t="str">
        <f>IF(OR(L377="-",L377="",L377=0),IF(K377="-","-",K377),K377-L377)</f>
        <v>-</v>
      </c>
      <c r="N377" s="4" t="str">
        <f>IFERROR(IF(K377&gt;0, L377/K377, 0),"-")</f>
        <v>-</v>
      </c>
      <c r="O377" s="34">
        <v>1</v>
      </c>
      <c r="P377" s="35" t="s">
        <v>959</v>
      </c>
      <c r="Q377" s="34">
        <f>IF(OR(P377="-",P377="",P377=0),IF(O377="-","-",O377),O377-P377)</f>
        <v>1</v>
      </c>
      <c r="R377" s="4" t="str">
        <f>IFERROR(IF(O377&gt;0, P377/O377, 0),"-")</f>
        <v>-</v>
      </c>
      <c r="S377" s="34" t="s">
        <v>959</v>
      </c>
      <c r="T377" s="34" t="s">
        <v>959</v>
      </c>
      <c r="U377" s="34" t="s">
        <v>959</v>
      </c>
      <c r="V377" s="35" t="s">
        <v>959</v>
      </c>
      <c r="W377" s="35" t="s">
        <v>959</v>
      </c>
    </row>
    <row r="378" spans="1:23" x14ac:dyDescent="0.2">
      <c r="A378" s="30" t="s">
        <v>518</v>
      </c>
      <c r="B378" s="30" t="s">
        <v>1102</v>
      </c>
      <c r="C378" s="34">
        <v>104</v>
      </c>
      <c r="D378" s="35">
        <v>104</v>
      </c>
      <c r="E378" s="34">
        <f>IF(OR(D378="-",D378="",D378=0),IF(C378="-","-",C378),C378-D378)</f>
        <v>0</v>
      </c>
      <c r="F378" s="4">
        <f>IFERROR(IF(C378&gt;0, D378/C378, 0),"-")</f>
        <v>1</v>
      </c>
      <c r="G378" s="34" t="s">
        <v>959</v>
      </c>
      <c r="H378" s="35" t="s">
        <v>959</v>
      </c>
      <c r="I378" s="34" t="str">
        <f>IF(OR(H378="-",H378="",H378=0),IF(G378="-","-",G378),G378-H378)</f>
        <v>-</v>
      </c>
      <c r="J378" s="4" t="str">
        <f>IFERROR(IF(G378&gt;0, H378/G378, 0),"-")</f>
        <v>-</v>
      </c>
      <c r="K378" s="34" t="s">
        <v>959</v>
      </c>
      <c r="L378" s="35" t="s">
        <v>959</v>
      </c>
      <c r="M378" s="34" t="str">
        <f>IF(OR(L378="-",L378="",L378=0),IF(K378="-","-",K378),K378-L378)</f>
        <v>-</v>
      </c>
      <c r="N378" s="4" t="str">
        <f>IFERROR(IF(K378&gt;0, L378/K378, 0),"-")</f>
        <v>-</v>
      </c>
      <c r="O378" s="34" t="s">
        <v>959</v>
      </c>
      <c r="P378" s="35" t="s">
        <v>959</v>
      </c>
      <c r="Q378" s="34" t="str">
        <f>IF(OR(P378="-",P378="",P378=0),IF(O378="-","-",O378),O378-P378)</f>
        <v>-</v>
      </c>
      <c r="R378" s="4" t="str">
        <f>IFERROR(IF(O378&gt;0, P378/O378, 0),"-")</f>
        <v>-</v>
      </c>
      <c r="S378" s="34" t="s">
        <v>959</v>
      </c>
      <c r="T378" s="34" t="s">
        <v>959</v>
      </c>
      <c r="U378" s="34" t="s">
        <v>959</v>
      </c>
      <c r="V378" s="35" t="s">
        <v>959</v>
      </c>
      <c r="W378" s="35" t="s">
        <v>959</v>
      </c>
    </row>
    <row r="379" spans="1:23" x14ac:dyDescent="0.2">
      <c r="A379" s="29"/>
      <c r="B379" s="29" t="s">
        <v>59</v>
      </c>
      <c r="C379" s="32">
        <v>439</v>
      </c>
      <c r="D379" s="32">
        <v>429</v>
      </c>
      <c r="E379" s="32">
        <f>IF(OR(D379="-",D379="",D379=0),IF(C379="-","-",C379),C379-D379)</f>
        <v>10</v>
      </c>
      <c r="F379" s="36">
        <f>IFERROR(IF(C379&gt;0, D379/C379, 0),"-")</f>
        <v>0.97722095671981779</v>
      </c>
      <c r="G379" s="32">
        <v>2</v>
      </c>
      <c r="H379" s="32" t="s">
        <v>959</v>
      </c>
      <c r="I379" s="32">
        <f>IF(OR(H379="-",H379="",H379=0),IF(G379="-","-",G379),G379-H379)</f>
        <v>2</v>
      </c>
      <c r="J379" s="36" t="str">
        <f>IFERROR(IF(G379&gt;0, H379/G379, 0),"-")</f>
        <v>-</v>
      </c>
      <c r="K379" s="32">
        <v>2</v>
      </c>
      <c r="L379" s="32">
        <v>1</v>
      </c>
      <c r="M379" s="32">
        <f>IF(OR(L379="-",L379="",L379=0),IF(K379="-","-",K379),K379-L379)</f>
        <v>1</v>
      </c>
      <c r="N379" s="36">
        <f>IFERROR(IF(K379&gt;0, L379/K379, 0),"-")</f>
        <v>0.5</v>
      </c>
      <c r="O379" s="32" t="s">
        <v>959</v>
      </c>
      <c r="P379" s="32" t="s">
        <v>959</v>
      </c>
      <c r="Q379" s="32" t="str">
        <f>IF(OR(P379="-",P379="",P379=0),IF(O379="-","-",O379),O379-P379)</f>
        <v>-</v>
      </c>
      <c r="R379" s="36" t="str">
        <f>IFERROR(IF(O379&gt;0, P379/O379, 0),"-")</f>
        <v>-</v>
      </c>
      <c r="S379" s="32">
        <v>2</v>
      </c>
      <c r="T379" s="32" t="s">
        <v>959</v>
      </c>
      <c r="U379" s="32" t="s">
        <v>959</v>
      </c>
      <c r="V379" s="32" t="s">
        <v>959</v>
      </c>
      <c r="W379" s="32" t="s">
        <v>959</v>
      </c>
    </row>
    <row r="380" spans="1:23" x14ac:dyDescent="0.2">
      <c r="A380" s="30" t="s">
        <v>363</v>
      </c>
      <c r="B380" s="30" t="s">
        <v>1103</v>
      </c>
      <c r="C380" s="34">
        <v>132</v>
      </c>
      <c r="D380" s="35">
        <v>125</v>
      </c>
      <c r="E380" s="34">
        <f>IF(OR(D380="-",D380="",D380=0),IF(C380="-","-",C380),C380-D380)</f>
        <v>7</v>
      </c>
      <c r="F380" s="4">
        <f>IFERROR(IF(C380&gt;0, D380/C380, 0),"-")</f>
        <v>0.94696969696969702</v>
      </c>
      <c r="G380" s="34" t="s">
        <v>959</v>
      </c>
      <c r="H380" s="35" t="s">
        <v>959</v>
      </c>
      <c r="I380" s="34" t="str">
        <f>IF(OR(H380="-",H380="",H380=0),IF(G380="-","-",G380),G380-H380)</f>
        <v>-</v>
      </c>
      <c r="J380" s="4" t="str">
        <f>IFERROR(IF(G380&gt;0, H380/G380, 0),"-")</f>
        <v>-</v>
      </c>
      <c r="K380" s="34">
        <v>1</v>
      </c>
      <c r="L380" s="35">
        <v>1</v>
      </c>
      <c r="M380" s="34">
        <f>IF(OR(L380="-",L380="",L380=0),IF(K380="-","-",K380),K380-L380)</f>
        <v>0</v>
      </c>
      <c r="N380" s="4">
        <f>IFERROR(IF(K380&gt;0, L380/K380, 0),"-")</f>
        <v>1</v>
      </c>
      <c r="O380" s="34" t="s">
        <v>959</v>
      </c>
      <c r="P380" s="35" t="s">
        <v>959</v>
      </c>
      <c r="Q380" s="34" t="str">
        <f>IF(OR(P380="-",P380="",P380=0),IF(O380="-","-",O380),O380-P380)</f>
        <v>-</v>
      </c>
      <c r="R380" s="4" t="str">
        <f>IFERROR(IF(O380&gt;0, P380/O380, 0),"-")</f>
        <v>-</v>
      </c>
      <c r="S380" s="34" t="s">
        <v>959</v>
      </c>
      <c r="T380" s="34" t="s">
        <v>959</v>
      </c>
      <c r="U380" s="34" t="s">
        <v>959</v>
      </c>
      <c r="V380" s="35" t="s">
        <v>959</v>
      </c>
      <c r="W380" s="35" t="s">
        <v>959</v>
      </c>
    </row>
    <row r="381" spans="1:23" x14ac:dyDescent="0.2">
      <c r="A381" s="30" t="s">
        <v>364</v>
      </c>
      <c r="B381" s="30" t="s">
        <v>1104</v>
      </c>
      <c r="C381" s="34">
        <v>66</v>
      </c>
      <c r="D381" s="35">
        <v>66</v>
      </c>
      <c r="E381" s="34">
        <f>IF(OR(D381="-",D381="",D381=0),IF(C381="-","-",C381),C381-D381)</f>
        <v>0</v>
      </c>
      <c r="F381" s="4">
        <f>IFERROR(IF(C381&gt;0, D381/C381, 0),"-")</f>
        <v>1</v>
      </c>
      <c r="G381" s="34">
        <v>1</v>
      </c>
      <c r="H381" s="35" t="s">
        <v>959</v>
      </c>
      <c r="I381" s="34">
        <f>IF(OR(H381="-",H381="",H381=0),IF(G381="-","-",G381),G381-H381)</f>
        <v>1</v>
      </c>
      <c r="J381" s="4" t="str">
        <f>IFERROR(IF(G381&gt;0, H381/G381, 0),"-")</f>
        <v>-</v>
      </c>
      <c r="K381" s="34" t="s">
        <v>959</v>
      </c>
      <c r="L381" s="35" t="s">
        <v>959</v>
      </c>
      <c r="M381" s="34" t="str">
        <f>IF(OR(L381="-",L381="",L381=0),IF(K381="-","-",K381),K381-L381)</f>
        <v>-</v>
      </c>
      <c r="N381" s="4" t="str">
        <f>IFERROR(IF(K381&gt;0, L381/K381, 0),"-")</f>
        <v>-</v>
      </c>
      <c r="O381" s="34" t="s">
        <v>959</v>
      </c>
      <c r="P381" s="35" t="s">
        <v>959</v>
      </c>
      <c r="Q381" s="34" t="str">
        <f>IF(OR(P381="-",P381="",P381=0),IF(O381="-","-",O381),O381-P381)</f>
        <v>-</v>
      </c>
      <c r="R381" s="4" t="str">
        <f>IFERROR(IF(O381&gt;0, P381/O381, 0),"-")</f>
        <v>-</v>
      </c>
      <c r="S381" s="34" t="s">
        <v>959</v>
      </c>
      <c r="T381" s="34" t="s">
        <v>959</v>
      </c>
      <c r="U381" s="34" t="s">
        <v>959</v>
      </c>
      <c r="V381" s="35" t="s">
        <v>959</v>
      </c>
      <c r="W381" s="35" t="s">
        <v>959</v>
      </c>
    </row>
    <row r="382" spans="1:23" x14ac:dyDescent="0.2">
      <c r="A382" s="30" t="s">
        <v>362</v>
      </c>
      <c r="B382" s="30" t="s">
        <v>1105</v>
      </c>
      <c r="C382" s="34">
        <v>91</v>
      </c>
      <c r="D382" s="35">
        <v>91</v>
      </c>
      <c r="E382" s="34">
        <f>IF(OR(D382="-",D382="",D382=0),IF(C382="-","-",C382),C382-D382)</f>
        <v>0</v>
      </c>
      <c r="F382" s="4">
        <f>IFERROR(IF(C382&gt;0, D382/C382, 0),"-")</f>
        <v>1</v>
      </c>
      <c r="G382" s="34" t="s">
        <v>959</v>
      </c>
      <c r="H382" s="35" t="s">
        <v>959</v>
      </c>
      <c r="I382" s="34" t="str">
        <f>IF(OR(H382="-",H382="",H382=0),IF(G382="-","-",G382),G382-H382)</f>
        <v>-</v>
      </c>
      <c r="J382" s="4" t="str">
        <f>IFERROR(IF(G382&gt;0, H382/G382, 0),"-")</f>
        <v>-</v>
      </c>
      <c r="K382" s="34" t="s">
        <v>959</v>
      </c>
      <c r="L382" s="35" t="s">
        <v>959</v>
      </c>
      <c r="M382" s="34" t="str">
        <f>IF(OR(L382="-",L382="",L382=0),IF(K382="-","-",K382),K382-L382)</f>
        <v>-</v>
      </c>
      <c r="N382" s="4" t="str">
        <f>IFERROR(IF(K382&gt;0, L382/K382, 0),"-")</f>
        <v>-</v>
      </c>
      <c r="O382" s="34" t="s">
        <v>959</v>
      </c>
      <c r="P382" s="35" t="s">
        <v>959</v>
      </c>
      <c r="Q382" s="34" t="str">
        <f>IF(OR(P382="-",P382="",P382=0),IF(O382="-","-",O382),O382-P382)</f>
        <v>-</v>
      </c>
      <c r="R382" s="4" t="str">
        <f>IFERROR(IF(O382&gt;0, P382/O382, 0),"-")</f>
        <v>-</v>
      </c>
      <c r="S382" s="34" t="s">
        <v>959</v>
      </c>
      <c r="T382" s="34" t="s">
        <v>959</v>
      </c>
      <c r="U382" s="34" t="s">
        <v>959</v>
      </c>
      <c r="V382" s="35" t="s">
        <v>959</v>
      </c>
      <c r="W382" s="35" t="s">
        <v>959</v>
      </c>
    </row>
    <row r="383" spans="1:23" x14ac:dyDescent="0.2">
      <c r="A383" s="30" t="s">
        <v>366</v>
      </c>
      <c r="B383" s="30" t="s">
        <v>1106</v>
      </c>
      <c r="C383" s="34">
        <v>86</v>
      </c>
      <c r="D383" s="35">
        <v>83</v>
      </c>
      <c r="E383" s="34">
        <f>IF(OR(D383="-",D383="",D383=0),IF(C383="-","-",C383),C383-D383)</f>
        <v>3</v>
      </c>
      <c r="F383" s="4">
        <f>IFERROR(IF(C383&gt;0, D383/C383, 0),"-")</f>
        <v>0.96511627906976749</v>
      </c>
      <c r="G383" s="34">
        <v>1</v>
      </c>
      <c r="H383" s="35" t="s">
        <v>959</v>
      </c>
      <c r="I383" s="34">
        <f>IF(OR(H383="-",H383="",H383=0),IF(G383="-","-",G383),G383-H383)</f>
        <v>1</v>
      </c>
      <c r="J383" s="4" t="str">
        <f>IFERROR(IF(G383&gt;0, H383/G383, 0),"-")</f>
        <v>-</v>
      </c>
      <c r="K383" s="34">
        <v>1</v>
      </c>
      <c r="L383" s="35" t="s">
        <v>959</v>
      </c>
      <c r="M383" s="34">
        <f>IF(OR(L383="-",L383="",L383=0),IF(K383="-","-",K383),K383-L383)</f>
        <v>1</v>
      </c>
      <c r="N383" s="4" t="str">
        <f>IFERROR(IF(K383&gt;0, L383/K383, 0),"-")</f>
        <v>-</v>
      </c>
      <c r="O383" s="34" t="s">
        <v>959</v>
      </c>
      <c r="P383" s="35" t="s">
        <v>959</v>
      </c>
      <c r="Q383" s="34" t="str">
        <f>IF(OR(P383="-",P383="",P383=0),IF(O383="-","-",O383),O383-P383)</f>
        <v>-</v>
      </c>
      <c r="R383" s="4" t="str">
        <f>IFERROR(IF(O383&gt;0, P383/O383, 0),"-")</f>
        <v>-</v>
      </c>
      <c r="S383" s="34">
        <v>1</v>
      </c>
      <c r="T383" s="34" t="s">
        <v>959</v>
      </c>
      <c r="U383" s="34" t="s">
        <v>959</v>
      </c>
      <c r="V383" s="35" t="s">
        <v>959</v>
      </c>
      <c r="W383" s="35" t="s">
        <v>959</v>
      </c>
    </row>
    <row r="384" spans="1:23" x14ac:dyDescent="0.2">
      <c r="A384" s="30" t="s">
        <v>365</v>
      </c>
      <c r="B384" s="30" t="s">
        <v>1107</v>
      </c>
      <c r="C384" s="34">
        <v>64</v>
      </c>
      <c r="D384" s="35">
        <v>64</v>
      </c>
      <c r="E384" s="34">
        <f>IF(OR(D384="-",D384="",D384=0),IF(C384="-","-",C384),C384-D384)</f>
        <v>0</v>
      </c>
      <c r="F384" s="4">
        <f>IFERROR(IF(C384&gt;0, D384/C384, 0),"-")</f>
        <v>1</v>
      </c>
      <c r="G384" s="34" t="s">
        <v>959</v>
      </c>
      <c r="H384" s="35" t="s">
        <v>959</v>
      </c>
      <c r="I384" s="34" t="str">
        <f>IF(OR(H384="-",H384="",H384=0),IF(G384="-","-",G384),G384-H384)</f>
        <v>-</v>
      </c>
      <c r="J384" s="4" t="str">
        <f>IFERROR(IF(G384&gt;0, H384/G384, 0),"-")</f>
        <v>-</v>
      </c>
      <c r="K384" s="34" t="s">
        <v>959</v>
      </c>
      <c r="L384" s="35" t="s">
        <v>959</v>
      </c>
      <c r="M384" s="34" t="str">
        <f>IF(OR(L384="-",L384="",L384=0),IF(K384="-","-",K384),K384-L384)</f>
        <v>-</v>
      </c>
      <c r="N384" s="4" t="str">
        <f>IFERROR(IF(K384&gt;0, L384/K384, 0),"-")</f>
        <v>-</v>
      </c>
      <c r="O384" s="34" t="s">
        <v>959</v>
      </c>
      <c r="P384" s="35" t="s">
        <v>959</v>
      </c>
      <c r="Q384" s="34" t="str">
        <f>IF(OR(P384="-",P384="",P384=0),IF(O384="-","-",O384),O384-P384)</f>
        <v>-</v>
      </c>
      <c r="R384" s="4" t="str">
        <f>IFERROR(IF(O384&gt;0, P384/O384, 0),"-")</f>
        <v>-</v>
      </c>
      <c r="S384" s="34">
        <v>1</v>
      </c>
      <c r="T384" s="34" t="s">
        <v>959</v>
      </c>
      <c r="U384" s="34" t="s">
        <v>959</v>
      </c>
      <c r="V384" s="35" t="s">
        <v>959</v>
      </c>
      <c r="W384" s="35" t="s">
        <v>959</v>
      </c>
    </row>
    <row r="385" spans="1:23" x14ac:dyDescent="0.2">
      <c r="A385" s="29"/>
      <c r="B385" s="29" t="s">
        <v>129</v>
      </c>
      <c r="C385" s="32">
        <v>232</v>
      </c>
      <c r="D385" s="32">
        <v>229</v>
      </c>
      <c r="E385" s="32">
        <f>IF(OR(D385="-",D385="",D385=0),IF(C385="-","-",C385),C385-D385)</f>
        <v>3</v>
      </c>
      <c r="F385" s="36">
        <f>IFERROR(IF(C385&gt;0, D385/C385, 0),"-")</f>
        <v>0.98706896551724133</v>
      </c>
      <c r="G385" s="32" t="s">
        <v>959</v>
      </c>
      <c r="H385" s="32" t="s">
        <v>959</v>
      </c>
      <c r="I385" s="32" t="str">
        <f>IF(OR(H385="-",H385="",H385=0),IF(G385="-","-",G385),G385-H385)</f>
        <v>-</v>
      </c>
      <c r="J385" s="36" t="str">
        <f>IFERROR(IF(G385&gt;0, H385/G385, 0),"-")</f>
        <v>-</v>
      </c>
      <c r="K385" s="32" t="s">
        <v>959</v>
      </c>
      <c r="L385" s="32" t="s">
        <v>959</v>
      </c>
      <c r="M385" s="32" t="str">
        <f>IF(OR(L385="-",L385="",L385=0),IF(K385="-","-",K385),K385-L385)</f>
        <v>-</v>
      </c>
      <c r="N385" s="36" t="str">
        <f>IFERROR(IF(K385&gt;0, L385/K385, 0),"-")</f>
        <v>-</v>
      </c>
      <c r="O385" s="32" t="s">
        <v>959</v>
      </c>
      <c r="P385" s="32" t="s">
        <v>959</v>
      </c>
      <c r="Q385" s="32" t="str">
        <f>IF(OR(P385="-",P385="",P385=0),IF(O385="-","-",O385),O385-P385)</f>
        <v>-</v>
      </c>
      <c r="R385" s="36" t="str">
        <f>IFERROR(IF(O385&gt;0, P385/O385, 0),"-")</f>
        <v>-</v>
      </c>
      <c r="S385" s="32" t="s">
        <v>959</v>
      </c>
      <c r="T385" s="32" t="s">
        <v>959</v>
      </c>
      <c r="U385" s="32" t="s">
        <v>959</v>
      </c>
      <c r="V385" s="32" t="s">
        <v>959</v>
      </c>
      <c r="W385" s="32" t="s">
        <v>959</v>
      </c>
    </row>
    <row r="386" spans="1:23" x14ac:dyDescent="0.2">
      <c r="A386" s="30" t="s">
        <v>897</v>
      </c>
      <c r="B386" s="30" t="s">
        <v>1108</v>
      </c>
      <c r="C386" s="34">
        <v>79</v>
      </c>
      <c r="D386" s="35">
        <v>79</v>
      </c>
      <c r="E386" s="34">
        <f>IF(OR(D386="-",D386="",D386=0),IF(C386="-","-",C386),C386-D386)</f>
        <v>0</v>
      </c>
      <c r="F386" s="4">
        <f>IFERROR(IF(C386&gt;0, D386/C386, 0),"-")</f>
        <v>1</v>
      </c>
      <c r="G386" s="34" t="s">
        <v>959</v>
      </c>
      <c r="H386" s="35" t="s">
        <v>959</v>
      </c>
      <c r="I386" s="34" t="str">
        <f>IF(OR(H386="-",H386="",H386=0),IF(G386="-","-",G386),G386-H386)</f>
        <v>-</v>
      </c>
      <c r="J386" s="4" t="str">
        <f>IFERROR(IF(G386&gt;0, H386/G386, 0),"-")</f>
        <v>-</v>
      </c>
      <c r="K386" s="34" t="s">
        <v>959</v>
      </c>
      <c r="L386" s="35" t="s">
        <v>959</v>
      </c>
      <c r="M386" s="34" t="str">
        <f>IF(OR(L386="-",L386="",L386=0),IF(K386="-","-",K386),K386-L386)</f>
        <v>-</v>
      </c>
      <c r="N386" s="4" t="str">
        <f>IFERROR(IF(K386&gt;0, L386/K386, 0),"-")</f>
        <v>-</v>
      </c>
      <c r="O386" s="34" t="s">
        <v>959</v>
      </c>
      <c r="P386" s="35" t="s">
        <v>959</v>
      </c>
      <c r="Q386" s="34" t="str">
        <f>IF(OR(P386="-",P386="",P386=0),IF(O386="-","-",O386),O386-P386)</f>
        <v>-</v>
      </c>
      <c r="R386" s="4" t="str">
        <f>IFERROR(IF(O386&gt;0, P386/O386, 0),"-")</f>
        <v>-</v>
      </c>
      <c r="S386" s="34" t="s">
        <v>959</v>
      </c>
      <c r="T386" s="34" t="s">
        <v>959</v>
      </c>
      <c r="U386" s="34" t="s">
        <v>959</v>
      </c>
      <c r="V386" s="35" t="s">
        <v>959</v>
      </c>
      <c r="W386" s="35" t="s">
        <v>959</v>
      </c>
    </row>
    <row r="387" spans="1:23" x14ac:dyDescent="0.2">
      <c r="A387" s="30" t="s">
        <v>895</v>
      </c>
      <c r="B387" s="30" t="s">
        <v>1109</v>
      </c>
      <c r="C387" s="34">
        <v>38</v>
      </c>
      <c r="D387" s="35">
        <v>38</v>
      </c>
      <c r="E387" s="34">
        <f>IF(OR(D387="-",D387="",D387=0),IF(C387="-","-",C387),C387-D387)</f>
        <v>0</v>
      </c>
      <c r="F387" s="4">
        <f>IFERROR(IF(C387&gt;0, D387/C387, 0),"-")</f>
        <v>1</v>
      </c>
      <c r="G387" s="34" t="s">
        <v>959</v>
      </c>
      <c r="H387" s="35" t="s">
        <v>959</v>
      </c>
      <c r="I387" s="34" t="str">
        <f>IF(OR(H387="-",H387="",H387=0),IF(G387="-","-",G387),G387-H387)</f>
        <v>-</v>
      </c>
      <c r="J387" s="4" t="str">
        <f>IFERROR(IF(G387&gt;0, H387/G387, 0),"-")</f>
        <v>-</v>
      </c>
      <c r="K387" s="34" t="s">
        <v>959</v>
      </c>
      <c r="L387" s="35" t="s">
        <v>959</v>
      </c>
      <c r="M387" s="34" t="str">
        <f>IF(OR(L387="-",L387="",L387=0),IF(K387="-","-",K387),K387-L387)</f>
        <v>-</v>
      </c>
      <c r="N387" s="4" t="str">
        <f>IFERROR(IF(K387&gt;0, L387/K387, 0),"-")</f>
        <v>-</v>
      </c>
      <c r="O387" s="34" t="s">
        <v>959</v>
      </c>
      <c r="P387" s="35" t="s">
        <v>959</v>
      </c>
      <c r="Q387" s="34" t="str">
        <f>IF(OR(P387="-",P387="",P387=0),IF(O387="-","-",O387),O387-P387)</f>
        <v>-</v>
      </c>
      <c r="R387" s="4" t="str">
        <f>IFERROR(IF(O387&gt;0, P387/O387, 0),"-")</f>
        <v>-</v>
      </c>
      <c r="S387" s="34" t="s">
        <v>959</v>
      </c>
      <c r="T387" s="34" t="s">
        <v>959</v>
      </c>
      <c r="U387" s="34" t="s">
        <v>959</v>
      </c>
      <c r="V387" s="35" t="s">
        <v>959</v>
      </c>
      <c r="W387" s="35" t="s">
        <v>959</v>
      </c>
    </row>
    <row r="388" spans="1:23" x14ac:dyDescent="0.2">
      <c r="A388" s="30" t="s">
        <v>896</v>
      </c>
      <c r="B388" s="30" t="s">
        <v>1110</v>
      </c>
      <c r="C388" s="34">
        <v>43</v>
      </c>
      <c r="D388" s="35">
        <v>41</v>
      </c>
      <c r="E388" s="34">
        <f>IF(OR(D388="-",D388="",D388=0),IF(C388="-","-",C388),C388-D388)</f>
        <v>2</v>
      </c>
      <c r="F388" s="4">
        <f>IFERROR(IF(C388&gt;0, D388/C388, 0),"-")</f>
        <v>0.95348837209302328</v>
      </c>
      <c r="G388" s="34" t="s">
        <v>959</v>
      </c>
      <c r="H388" s="35" t="s">
        <v>959</v>
      </c>
      <c r="I388" s="34" t="str">
        <f>IF(OR(H388="-",H388="",H388=0),IF(G388="-","-",G388),G388-H388)</f>
        <v>-</v>
      </c>
      <c r="J388" s="4" t="str">
        <f>IFERROR(IF(G388&gt;0, H388/G388, 0),"-")</f>
        <v>-</v>
      </c>
      <c r="K388" s="34" t="s">
        <v>959</v>
      </c>
      <c r="L388" s="35" t="s">
        <v>959</v>
      </c>
      <c r="M388" s="34" t="str">
        <f>IF(OR(L388="-",L388="",L388=0),IF(K388="-","-",K388),K388-L388)</f>
        <v>-</v>
      </c>
      <c r="N388" s="4" t="str">
        <f>IFERROR(IF(K388&gt;0, L388/K388, 0),"-")</f>
        <v>-</v>
      </c>
      <c r="O388" s="34" t="s">
        <v>959</v>
      </c>
      <c r="P388" s="35" t="s">
        <v>959</v>
      </c>
      <c r="Q388" s="34" t="str">
        <f>IF(OR(P388="-",P388="",P388=0),IF(O388="-","-",O388),O388-P388)</f>
        <v>-</v>
      </c>
      <c r="R388" s="4" t="str">
        <f>IFERROR(IF(O388&gt;0, P388/O388, 0),"-")</f>
        <v>-</v>
      </c>
      <c r="S388" s="34" t="s">
        <v>959</v>
      </c>
      <c r="T388" s="34" t="s">
        <v>959</v>
      </c>
      <c r="U388" s="34" t="s">
        <v>959</v>
      </c>
      <c r="V388" s="35" t="s">
        <v>959</v>
      </c>
      <c r="W388" s="35" t="s">
        <v>959</v>
      </c>
    </row>
    <row r="389" spans="1:23" x14ac:dyDescent="0.2">
      <c r="A389" s="30" t="s">
        <v>894</v>
      </c>
      <c r="B389" s="30" t="s">
        <v>1111</v>
      </c>
      <c r="C389" s="34">
        <v>72</v>
      </c>
      <c r="D389" s="35">
        <v>71</v>
      </c>
      <c r="E389" s="34">
        <f>IF(OR(D389="-",D389="",D389=0),IF(C389="-","-",C389),C389-D389)</f>
        <v>1</v>
      </c>
      <c r="F389" s="4">
        <f>IFERROR(IF(C389&gt;0, D389/C389, 0),"-")</f>
        <v>0.98611111111111116</v>
      </c>
      <c r="G389" s="34" t="s">
        <v>959</v>
      </c>
      <c r="H389" s="35" t="s">
        <v>959</v>
      </c>
      <c r="I389" s="34" t="str">
        <f>IF(OR(H389="-",H389="",H389=0),IF(G389="-","-",G389),G389-H389)</f>
        <v>-</v>
      </c>
      <c r="J389" s="4" t="str">
        <f>IFERROR(IF(G389&gt;0, H389/G389, 0),"-")</f>
        <v>-</v>
      </c>
      <c r="K389" s="34" t="s">
        <v>959</v>
      </c>
      <c r="L389" s="35" t="s">
        <v>959</v>
      </c>
      <c r="M389" s="34" t="str">
        <f>IF(OR(L389="-",L389="",L389=0),IF(K389="-","-",K389),K389-L389)</f>
        <v>-</v>
      </c>
      <c r="N389" s="4" t="str">
        <f>IFERROR(IF(K389&gt;0, L389/K389, 0),"-")</f>
        <v>-</v>
      </c>
      <c r="O389" s="34" t="s">
        <v>959</v>
      </c>
      <c r="P389" s="35" t="s">
        <v>959</v>
      </c>
      <c r="Q389" s="34" t="str">
        <f>IF(OR(P389="-",P389="",P389=0),IF(O389="-","-",O389),O389-P389)</f>
        <v>-</v>
      </c>
      <c r="R389" s="4" t="str">
        <f>IFERROR(IF(O389&gt;0, P389/O389, 0),"-")</f>
        <v>-</v>
      </c>
      <c r="S389" s="34" t="s">
        <v>959</v>
      </c>
      <c r="T389" s="34" t="s">
        <v>959</v>
      </c>
      <c r="U389" s="34" t="s">
        <v>959</v>
      </c>
      <c r="V389" s="35" t="s">
        <v>959</v>
      </c>
      <c r="W389" s="35" t="s">
        <v>959</v>
      </c>
    </row>
    <row r="390" spans="1:23" x14ac:dyDescent="0.2">
      <c r="A390" s="29"/>
      <c r="B390" s="29" t="s">
        <v>110</v>
      </c>
      <c r="C390" s="32">
        <v>694</v>
      </c>
      <c r="D390" s="32">
        <v>687</v>
      </c>
      <c r="E390" s="32">
        <f>IF(OR(D390="-",D390="",D390=0),IF(C390="-","-",C390),C390-D390)</f>
        <v>7</v>
      </c>
      <c r="F390" s="36">
        <f>IFERROR(IF(C390&gt;0, D390/C390, 0),"-")</f>
        <v>0.98991354466858794</v>
      </c>
      <c r="G390" s="32">
        <v>5</v>
      </c>
      <c r="H390" s="32">
        <v>3</v>
      </c>
      <c r="I390" s="32">
        <f>IF(OR(H390="-",H390="",H390=0),IF(G390="-","-",G390),G390-H390)</f>
        <v>2</v>
      </c>
      <c r="J390" s="36">
        <f>IFERROR(IF(G390&gt;0, H390/G390, 0),"-")</f>
        <v>0.6</v>
      </c>
      <c r="K390" s="32">
        <v>2</v>
      </c>
      <c r="L390" s="32">
        <v>1</v>
      </c>
      <c r="M390" s="32">
        <f>IF(OR(L390="-",L390="",L390=0),IF(K390="-","-",K390),K390-L390)</f>
        <v>1</v>
      </c>
      <c r="N390" s="36">
        <f>IFERROR(IF(K390&gt;0, L390/K390, 0),"-")</f>
        <v>0.5</v>
      </c>
      <c r="O390" s="32" t="s">
        <v>959</v>
      </c>
      <c r="P390" s="32" t="s">
        <v>959</v>
      </c>
      <c r="Q390" s="32" t="str">
        <f>IF(OR(P390="-",P390="",P390=0),IF(O390="-","-",O390),O390-P390)</f>
        <v>-</v>
      </c>
      <c r="R390" s="36" t="str">
        <f>IFERROR(IF(O390&gt;0, P390/O390, 0),"-")</f>
        <v>-</v>
      </c>
      <c r="S390" s="32">
        <v>3</v>
      </c>
      <c r="T390" s="32" t="s">
        <v>959</v>
      </c>
      <c r="U390" s="32" t="s">
        <v>959</v>
      </c>
      <c r="V390" s="32" t="s">
        <v>959</v>
      </c>
      <c r="W390" s="32" t="s">
        <v>959</v>
      </c>
    </row>
    <row r="391" spans="1:23" x14ac:dyDescent="0.2">
      <c r="A391" s="30" t="s">
        <v>796</v>
      </c>
      <c r="B391" s="30" t="s">
        <v>1112</v>
      </c>
      <c r="C391" s="34">
        <v>181</v>
      </c>
      <c r="D391" s="35">
        <v>181</v>
      </c>
      <c r="E391" s="34">
        <f>IF(OR(D391="-",D391="",D391=0),IF(C391="-","-",C391),C391-D391)</f>
        <v>0</v>
      </c>
      <c r="F391" s="4">
        <f>IFERROR(IF(C391&gt;0, D391/C391, 0),"-")</f>
        <v>1</v>
      </c>
      <c r="G391" s="34">
        <v>2</v>
      </c>
      <c r="H391" s="35">
        <v>1</v>
      </c>
      <c r="I391" s="34">
        <f>IF(OR(H391="-",H391="",H391=0),IF(G391="-","-",G391),G391-H391)</f>
        <v>1</v>
      </c>
      <c r="J391" s="4">
        <f>IFERROR(IF(G391&gt;0, H391/G391, 0),"-")</f>
        <v>0.5</v>
      </c>
      <c r="K391" s="34">
        <v>1</v>
      </c>
      <c r="L391" s="35">
        <v>1</v>
      </c>
      <c r="M391" s="34">
        <f>IF(OR(L391="-",L391="",L391=0),IF(K391="-","-",K391),K391-L391)</f>
        <v>0</v>
      </c>
      <c r="N391" s="4">
        <f>IFERROR(IF(K391&gt;0, L391/K391, 0),"-")</f>
        <v>1</v>
      </c>
      <c r="O391" s="34" t="s">
        <v>959</v>
      </c>
      <c r="P391" s="35" t="s">
        <v>959</v>
      </c>
      <c r="Q391" s="34" t="str">
        <f>IF(OR(P391="-",P391="",P391=0),IF(O391="-","-",O391),O391-P391)</f>
        <v>-</v>
      </c>
      <c r="R391" s="4" t="str">
        <f>IFERROR(IF(O391&gt;0, P391/O391, 0),"-")</f>
        <v>-</v>
      </c>
      <c r="S391" s="34" t="s">
        <v>959</v>
      </c>
      <c r="T391" s="34" t="s">
        <v>959</v>
      </c>
      <c r="U391" s="34" t="s">
        <v>959</v>
      </c>
      <c r="V391" s="35" t="s">
        <v>959</v>
      </c>
      <c r="W391" s="35" t="s">
        <v>959</v>
      </c>
    </row>
    <row r="392" spans="1:23" x14ac:dyDescent="0.2">
      <c r="A392" s="30" t="s">
        <v>800</v>
      </c>
      <c r="B392" s="30" t="s">
        <v>1113</v>
      </c>
      <c r="C392" s="34">
        <v>120</v>
      </c>
      <c r="D392" s="35">
        <v>119</v>
      </c>
      <c r="E392" s="34">
        <f>IF(OR(D392="-",D392="",D392=0),IF(C392="-","-",C392),C392-D392)</f>
        <v>1</v>
      </c>
      <c r="F392" s="4">
        <f>IFERROR(IF(C392&gt;0, D392/C392, 0),"-")</f>
        <v>0.9916666666666667</v>
      </c>
      <c r="G392" s="34" t="s">
        <v>959</v>
      </c>
      <c r="H392" s="35" t="s">
        <v>959</v>
      </c>
      <c r="I392" s="34" t="str">
        <f>IF(OR(H392="-",H392="",H392=0),IF(G392="-","-",G392),G392-H392)</f>
        <v>-</v>
      </c>
      <c r="J392" s="4" t="str">
        <f>IFERROR(IF(G392&gt;0, H392/G392, 0),"-")</f>
        <v>-</v>
      </c>
      <c r="K392" s="34">
        <v>1</v>
      </c>
      <c r="L392" s="35" t="s">
        <v>959</v>
      </c>
      <c r="M392" s="34">
        <f>IF(OR(L392="-",L392="",L392=0),IF(K392="-","-",K392),K392-L392)</f>
        <v>1</v>
      </c>
      <c r="N392" s="4" t="str">
        <f>IFERROR(IF(K392&gt;0, L392/K392, 0),"-")</f>
        <v>-</v>
      </c>
      <c r="O392" s="34" t="s">
        <v>959</v>
      </c>
      <c r="P392" s="35" t="s">
        <v>959</v>
      </c>
      <c r="Q392" s="34" t="str">
        <f>IF(OR(P392="-",P392="",P392=0),IF(O392="-","-",O392),O392-P392)</f>
        <v>-</v>
      </c>
      <c r="R392" s="4" t="str">
        <f>IFERROR(IF(O392&gt;0, P392/O392, 0),"-")</f>
        <v>-</v>
      </c>
      <c r="S392" s="34">
        <v>3</v>
      </c>
      <c r="T392" s="34" t="s">
        <v>959</v>
      </c>
      <c r="U392" s="34" t="s">
        <v>959</v>
      </c>
      <c r="V392" s="35" t="s">
        <v>959</v>
      </c>
      <c r="W392" s="35" t="s">
        <v>959</v>
      </c>
    </row>
    <row r="393" spans="1:23" x14ac:dyDescent="0.2">
      <c r="A393" s="30" t="s">
        <v>798</v>
      </c>
      <c r="B393" s="30" t="s">
        <v>1114</v>
      </c>
      <c r="C393" s="34">
        <v>222</v>
      </c>
      <c r="D393" s="35">
        <v>216</v>
      </c>
      <c r="E393" s="34">
        <f>IF(OR(D393="-",D393="",D393=0),IF(C393="-","-",C393),C393-D393)</f>
        <v>6</v>
      </c>
      <c r="F393" s="4">
        <f>IFERROR(IF(C393&gt;0, D393/C393, 0),"-")</f>
        <v>0.97297297297297303</v>
      </c>
      <c r="G393" s="34">
        <v>2</v>
      </c>
      <c r="H393" s="35">
        <v>1</v>
      </c>
      <c r="I393" s="34">
        <f>IF(OR(H393="-",H393="",H393=0),IF(G393="-","-",G393),G393-H393)</f>
        <v>1</v>
      </c>
      <c r="J393" s="4">
        <f>IFERROR(IF(G393&gt;0, H393/G393, 0),"-")</f>
        <v>0.5</v>
      </c>
      <c r="K393" s="34" t="s">
        <v>959</v>
      </c>
      <c r="L393" s="35" t="s">
        <v>959</v>
      </c>
      <c r="M393" s="34" t="str">
        <f>IF(OR(L393="-",L393="",L393=0),IF(K393="-","-",K393),K393-L393)</f>
        <v>-</v>
      </c>
      <c r="N393" s="4" t="str">
        <f>IFERROR(IF(K393&gt;0, L393/K393, 0),"-")</f>
        <v>-</v>
      </c>
      <c r="O393" s="34" t="s">
        <v>959</v>
      </c>
      <c r="P393" s="35" t="s">
        <v>959</v>
      </c>
      <c r="Q393" s="34" t="str">
        <f>IF(OR(P393="-",P393="",P393=0),IF(O393="-","-",O393),O393-P393)</f>
        <v>-</v>
      </c>
      <c r="R393" s="4" t="str">
        <f>IFERROR(IF(O393&gt;0, P393/O393, 0),"-")</f>
        <v>-</v>
      </c>
      <c r="S393" s="34" t="s">
        <v>959</v>
      </c>
      <c r="T393" s="34" t="s">
        <v>959</v>
      </c>
      <c r="U393" s="34" t="s">
        <v>959</v>
      </c>
      <c r="V393" s="35" t="s">
        <v>959</v>
      </c>
      <c r="W393" s="35" t="s">
        <v>959</v>
      </c>
    </row>
    <row r="394" spans="1:23" x14ac:dyDescent="0.2">
      <c r="A394" s="30" t="s">
        <v>799</v>
      </c>
      <c r="B394" s="30" t="s">
        <v>1115</v>
      </c>
      <c r="C394" s="34">
        <v>104</v>
      </c>
      <c r="D394" s="35">
        <v>104</v>
      </c>
      <c r="E394" s="34">
        <f>IF(OR(D394="-",D394="",D394=0),IF(C394="-","-",C394),C394-D394)</f>
        <v>0</v>
      </c>
      <c r="F394" s="4">
        <f>IFERROR(IF(C394&gt;0, D394/C394, 0),"-")</f>
        <v>1</v>
      </c>
      <c r="G394" s="34" t="s">
        <v>959</v>
      </c>
      <c r="H394" s="35" t="s">
        <v>959</v>
      </c>
      <c r="I394" s="34" t="str">
        <f>IF(OR(H394="-",H394="",H394=0),IF(G394="-","-",G394),G394-H394)</f>
        <v>-</v>
      </c>
      <c r="J394" s="4" t="str">
        <f>IFERROR(IF(G394&gt;0, H394/G394, 0),"-")</f>
        <v>-</v>
      </c>
      <c r="K394" s="34" t="s">
        <v>959</v>
      </c>
      <c r="L394" s="35" t="s">
        <v>959</v>
      </c>
      <c r="M394" s="34" t="str">
        <f>IF(OR(L394="-",L394="",L394=0),IF(K394="-","-",K394),K394-L394)</f>
        <v>-</v>
      </c>
      <c r="N394" s="4" t="str">
        <f>IFERROR(IF(K394&gt;0, L394/K394, 0),"-")</f>
        <v>-</v>
      </c>
      <c r="O394" s="34" t="s">
        <v>959</v>
      </c>
      <c r="P394" s="35" t="s">
        <v>959</v>
      </c>
      <c r="Q394" s="34" t="str">
        <f>IF(OR(P394="-",P394="",P394=0),IF(O394="-","-",O394),O394-P394)</f>
        <v>-</v>
      </c>
      <c r="R394" s="4" t="str">
        <f>IFERROR(IF(O394&gt;0, P394/O394, 0),"-")</f>
        <v>-</v>
      </c>
      <c r="S394" s="34" t="s">
        <v>959</v>
      </c>
      <c r="T394" s="34" t="s">
        <v>959</v>
      </c>
      <c r="U394" s="34" t="s">
        <v>959</v>
      </c>
      <c r="V394" s="35" t="s">
        <v>959</v>
      </c>
      <c r="W394" s="35" t="s">
        <v>959</v>
      </c>
    </row>
    <row r="395" spans="1:23" x14ac:dyDescent="0.2">
      <c r="A395" s="30" t="s">
        <v>797</v>
      </c>
      <c r="B395" s="30" t="s">
        <v>1116</v>
      </c>
      <c r="C395" s="34">
        <v>46</v>
      </c>
      <c r="D395" s="35">
        <v>46</v>
      </c>
      <c r="E395" s="34">
        <f>IF(OR(D395="-",D395="",D395=0),IF(C395="-","-",C395),C395-D395)</f>
        <v>0</v>
      </c>
      <c r="F395" s="4">
        <f>IFERROR(IF(C395&gt;0, D395/C395, 0),"-")</f>
        <v>1</v>
      </c>
      <c r="G395" s="34">
        <v>1</v>
      </c>
      <c r="H395" s="35">
        <v>1</v>
      </c>
      <c r="I395" s="34">
        <f>IF(OR(H395="-",H395="",H395=0),IF(G395="-","-",G395),G395-H395)</f>
        <v>0</v>
      </c>
      <c r="J395" s="4">
        <f>IFERROR(IF(G395&gt;0, H395/G395, 0),"-")</f>
        <v>1</v>
      </c>
      <c r="K395" s="34" t="s">
        <v>959</v>
      </c>
      <c r="L395" s="35" t="s">
        <v>959</v>
      </c>
      <c r="M395" s="34" t="str">
        <f>IF(OR(L395="-",L395="",L395=0),IF(K395="-","-",K395),K395-L395)</f>
        <v>-</v>
      </c>
      <c r="N395" s="4" t="str">
        <f>IFERROR(IF(K395&gt;0, L395/K395, 0),"-")</f>
        <v>-</v>
      </c>
      <c r="O395" s="34" t="s">
        <v>959</v>
      </c>
      <c r="P395" s="35" t="s">
        <v>959</v>
      </c>
      <c r="Q395" s="34" t="str">
        <f>IF(OR(P395="-",P395="",P395=0),IF(O395="-","-",O395),O395-P395)</f>
        <v>-</v>
      </c>
      <c r="R395" s="4" t="str">
        <f>IFERROR(IF(O395&gt;0, P395/O395, 0),"-")</f>
        <v>-</v>
      </c>
      <c r="S395" s="34" t="s">
        <v>959</v>
      </c>
      <c r="T395" s="34" t="s">
        <v>959</v>
      </c>
      <c r="U395" s="34" t="s">
        <v>959</v>
      </c>
      <c r="V395" s="35" t="s">
        <v>959</v>
      </c>
      <c r="W395" s="35" t="s">
        <v>959</v>
      </c>
    </row>
    <row r="396" spans="1:23" x14ac:dyDescent="0.2">
      <c r="A396" s="30" t="s">
        <v>801</v>
      </c>
      <c r="B396" s="30" t="s">
        <v>1117</v>
      </c>
      <c r="C396" s="34">
        <v>21</v>
      </c>
      <c r="D396" s="35">
        <v>21</v>
      </c>
      <c r="E396" s="34">
        <f>IF(OR(D396="-",D396="",D396=0),IF(C396="-","-",C396),C396-D396)</f>
        <v>0</v>
      </c>
      <c r="F396" s="4">
        <f>IFERROR(IF(C396&gt;0, D396/C396, 0),"-")</f>
        <v>1</v>
      </c>
      <c r="G396" s="34" t="s">
        <v>959</v>
      </c>
      <c r="H396" s="35" t="s">
        <v>959</v>
      </c>
      <c r="I396" s="34" t="str">
        <f>IF(OR(H396="-",H396="",H396=0),IF(G396="-","-",G396),G396-H396)</f>
        <v>-</v>
      </c>
      <c r="J396" s="4" t="str">
        <f>IFERROR(IF(G396&gt;0, H396/G396, 0),"-")</f>
        <v>-</v>
      </c>
      <c r="K396" s="34" t="s">
        <v>959</v>
      </c>
      <c r="L396" s="35" t="s">
        <v>959</v>
      </c>
      <c r="M396" s="34" t="str">
        <f>IF(OR(L396="-",L396="",L396=0),IF(K396="-","-",K396),K396-L396)</f>
        <v>-</v>
      </c>
      <c r="N396" s="4" t="str">
        <f>IFERROR(IF(K396&gt;0, L396/K396, 0),"-")</f>
        <v>-</v>
      </c>
      <c r="O396" s="34" t="s">
        <v>959</v>
      </c>
      <c r="P396" s="35" t="s">
        <v>959</v>
      </c>
      <c r="Q396" s="34" t="str">
        <f>IF(OR(P396="-",P396="",P396=0),IF(O396="-","-",O396),O396-P396)</f>
        <v>-</v>
      </c>
      <c r="R396" s="4" t="str">
        <f>IFERROR(IF(O396&gt;0, P396/O396, 0),"-")</f>
        <v>-</v>
      </c>
      <c r="S396" s="34" t="s">
        <v>959</v>
      </c>
      <c r="T396" s="34" t="s">
        <v>959</v>
      </c>
      <c r="U396" s="34" t="s">
        <v>959</v>
      </c>
      <c r="V396" s="35" t="s">
        <v>959</v>
      </c>
      <c r="W396" s="35" t="s">
        <v>959</v>
      </c>
    </row>
    <row r="397" spans="1:23" x14ac:dyDescent="0.2">
      <c r="A397" s="29"/>
      <c r="B397" s="29" t="s">
        <v>50</v>
      </c>
      <c r="C397" s="32">
        <v>469</v>
      </c>
      <c r="D397" s="32">
        <v>468</v>
      </c>
      <c r="E397" s="32">
        <f>IF(OR(D397="-",D397="",D397=0),IF(C397="-","-",C397),C397-D397)</f>
        <v>1</v>
      </c>
      <c r="F397" s="36">
        <f>IFERROR(IF(C397&gt;0, D397/C397, 0),"-")</f>
        <v>0.99786780383795304</v>
      </c>
      <c r="G397" s="32">
        <v>1</v>
      </c>
      <c r="H397" s="32">
        <v>1</v>
      </c>
      <c r="I397" s="32">
        <f>IF(OR(H397="-",H397="",H397=0),IF(G397="-","-",G397),G397-H397)</f>
        <v>0</v>
      </c>
      <c r="J397" s="36">
        <f>IFERROR(IF(G397&gt;0, H397/G397, 0),"-")</f>
        <v>1</v>
      </c>
      <c r="K397" s="32">
        <v>3</v>
      </c>
      <c r="L397" s="32" t="s">
        <v>959</v>
      </c>
      <c r="M397" s="32">
        <f>IF(OR(L397="-",L397="",L397=0),IF(K397="-","-",K397),K397-L397)</f>
        <v>3</v>
      </c>
      <c r="N397" s="36" t="str">
        <f>IFERROR(IF(K397&gt;0, L397/K397, 0),"-")</f>
        <v>-</v>
      </c>
      <c r="O397" s="32" t="s">
        <v>959</v>
      </c>
      <c r="P397" s="32" t="s">
        <v>959</v>
      </c>
      <c r="Q397" s="32" t="str">
        <f>IF(OR(P397="-",P397="",P397=0),IF(O397="-","-",O397),O397-P397)</f>
        <v>-</v>
      </c>
      <c r="R397" s="36" t="str">
        <f>IFERROR(IF(O397&gt;0, P397/O397, 0),"-")</f>
        <v>-</v>
      </c>
      <c r="S397" s="32">
        <v>4</v>
      </c>
      <c r="T397" s="32" t="s">
        <v>959</v>
      </c>
      <c r="U397" s="32" t="s">
        <v>959</v>
      </c>
      <c r="V397" s="32" t="s">
        <v>959</v>
      </c>
      <c r="W397" s="32" t="s">
        <v>959</v>
      </c>
    </row>
    <row r="398" spans="1:23" x14ac:dyDescent="0.2">
      <c r="A398" s="30" t="s">
        <v>285</v>
      </c>
      <c r="B398" s="30" t="s">
        <v>1118</v>
      </c>
      <c r="C398" s="34">
        <v>42</v>
      </c>
      <c r="D398" s="35">
        <v>42</v>
      </c>
      <c r="E398" s="34">
        <f>IF(OR(D398="-",D398="",D398=0),IF(C398="-","-",C398),C398-D398)</f>
        <v>0</v>
      </c>
      <c r="F398" s="4">
        <f>IFERROR(IF(C398&gt;0, D398/C398, 0),"-")</f>
        <v>1</v>
      </c>
      <c r="G398" s="34" t="s">
        <v>959</v>
      </c>
      <c r="H398" s="35" t="s">
        <v>959</v>
      </c>
      <c r="I398" s="34" t="str">
        <f>IF(OR(H398="-",H398="",H398=0),IF(G398="-","-",G398),G398-H398)</f>
        <v>-</v>
      </c>
      <c r="J398" s="4" t="str">
        <f>IFERROR(IF(G398&gt;0, H398/G398, 0),"-")</f>
        <v>-</v>
      </c>
      <c r="K398" s="34">
        <v>1</v>
      </c>
      <c r="L398" s="35" t="s">
        <v>959</v>
      </c>
      <c r="M398" s="34">
        <f>IF(OR(L398="-",L398="",L398=0),IF(K398="-","-",K398),K398-L398)</f>
        <v>1</v>
      </c>
      <c r="N398" s="4" t="str">
        <f>IFERROR(IF(K398&gt;0, L398/K398, 0),"-")</f>
        <v>-</v>
      </c>
      <c r="O398" s="34" t="s">
        <v>959</v>
      </c>
      <c r="P398" s="35" t="s">
        <v>959</v>
      </c>
      <c r="Q398" s="34" t="str">
        <f>IF(OR(P398="-",P398="",P398=0),IF(O398="-","-",O398),O398-P398)</f>
        <v>-</v>
      </c>
      <c r="R398" s="4" t="str">
        <f>IFERROR(IF(O398&gt;0, P398/O398, 0),"-")</f>
        <v>-</v>
      </c>
      <c r="S398" s="34">
        <v>3</v>
      </c>
      <c r="T398" s="34" t="s">
        <v>959</v>
      </c>
      <c r="U398" s="34" t="s">
        <v>959</v>
      </c>
      <c r="V398" s="35" t="s">
        <v>959</v>
      </c>
      <c r="W398" s="35" t="s">
        <v>959</v>
      </c>
    </row>
    <row r="399" spans="1:23" x14ac:dyDescent="0.2">
      <c r="A399" s="30" t="s">
        <v>287</v>
      </c>
      <c r="B399" s="30" t="s">
        <v>1119</v>
      </c>
      <c r="C399" s="34">
        <v>83</v>
      </c>
      <c r="D399" s="35">
        <v>82</v>
      </c>
      <c r="E399" s="34">
        <f>IF(OR(D399="-",D399="",D399=0),IF(C399="-","-",C399),C399-D399)</f>
        <v>1</v>
      </c>
      <c r="F399" s="4">
        <f>IFERROR(IF(C399&gt;0, D399/C399, 0),"-")</f>
        <v>0.98795180722891562</v>
      </c>
      <c r="G399" s="34" t="s">
        <v>959</v>
      </c>
      <c r="H399" s="35" t="s">
        <v>959</v>
      </c>
      <c r="I399" s="34" t="str">
        <f>IF(OR(H399="-",H399="",H399=0),IF(G399="-","-",G399),G399-H399)</f>
        <v>-</v>
      </c>
      <c r="J399" s="4" t="str">
        <f>IFERROR(IF(G399&gt;0, H399/G399, 0),"-")</f>
        <v>-</v>
      </c>
      <c r="K399" s="34">
        <v>1</v>
      </c>
      <c r="L399" s="35" t="s">
        <v>959</v>
      </c>
      <c r="M399" s="34">
        <f>IF(OR(L399="-",L399="",L399=0),IF(K399="-","-",K399),K399-L399)</f>
        <v>1</v>
      </c>
      <c r="N399" s="4" t="str">
        <f>IFERROR(IF(K399&gt;0, L399/K399, 0),"-")</f>
        <v>-</v>
      </c>
      <c r="O399" s="34" t="s">
        <v>959</v>
      </c>
      <c r="P399" s="35" t="s">
        <v>959</v>
      </c>
      <c r="Q399" s="34" t="str">
        <f>IF(OR(P399="-",P399="",P399=0),IF(O399="-","-",O399),O399-P399)</f>
        <v>-</v>
      </c>
      <c r="R399" s="4" t="str">
        <f>IFERROR(IF(O399&gt;0, P399/O399, 0),"-")</f>
        <v>-</v>
      </c>
      <c r="S399" s="34" t="s">
        <v>959</v>
      </c>
      <c r="T399" s="34" t="s">
        <v>959</v>
      </c>
      <c r="U399" s="34" t="s">
        <v>959</v>
      </c>
      <c r="V399" s="35" t="s">
        <v>959</v>
      </c>
      <c r="W399" s="35" t="s">
        <v>959</v>
      </c>
    </row>
    <row r="400" spans="1:23" x14ac:dyDescent="0.2">
      <c r="A400" s="30" t="s">
        <v>281</v>
      </c>
      <c r="B400" s="30" t="s">
        <v>1120</v>
      </c>
      <c r="C400" s="34">
        <v>37</v>
      </c>
      <c r="D400" s="35">
        <v>37</v>
      </c>
      <c r="E400" s="34">
        <f>IF(OR(D400="-",D400="",D400=0),IF(C400="-","-",C400),C400-D400)</f>
        <v>0</v>
      </c>
      <c r="F400" s="4">
        <f>IFERROR(IF(C400&gt;0, D400/C400, 0),"-")</f>
        <v>1</v>
      </c>
      <c r="G400" s="34" t="s">
        <v>959</v>
      </c>
      <c r="H400" s="35" t="s">
        <v>959</v>
      </c>
      <c r="I400" s="34" t="str">
        <f>IF(OR(H400="-",H400="",H400=0),IF(G400="-","-",G400),G400-H400)</f>
        <v>-</v>
      </c>
      <c r="J400" s="4" t="str">
        <f>IFERROR(IF(G400&gt;0, H400/G400, 0),"-")</f>
        <v>-</v>
      </c>
      <c r="K400" s="34">
        <v>1</v>
      </c>
      <c r="L400" s="35" t="s">
        <v>959</v>
      </c>
      <c r="M400" s="34">
        <f>IF(OR(L400="-",L400="",L400=0),IF(K400="-","-",K400),K400-L400)</f>
        <v>1</v>
      </c>
      <c r="N400" s="4" t="str">
        <f>IFERROR(IF(K400&gt;0, L400/K400, 0),"-")</f>
        <v>-</v>
      </c>
      <c r="O400" s="34" t="s">
        <v>959</v>
      </c>
      <c r="P400" s="35" t="s">
        <v>959</v>
      </c>
      <c r="Q400" s="34" t="str">
        <f>IF(OR(P400="-",P400="",P400=0),IF(O400="-","-",O400),O400-P400)</f>
        <v>-</v>
      </c>
      <c r="R400" s="4" t="str">
        <f>IFERROR(IF(O400&gt;0, P400/O400, 0),"-")</f>
        <v>-</v>
      </c>
      <c r="S400" s="34" t="s">
        <v>959</v>
      </c>
      <c r="T400" s="34" t="s">
        <v>959</v>
      </c>
      <c r="U400" s="34" t="s">
        <v>959</v>
      </c>
      <c r="V400" s="35" t="s">
        <v>959</v>
      </c>
      <c r="W400" s="35" t="s">
        <v>959</v>
      </c>
    </row>
    <row r="401" spans="1:23" x14ac:dyDescent="0.2">
      <c r="A401" s="30" t="s">
        <v>282</v>
      </c>
      <c r="B401" s="30" t="s">
        <v>1121</v>
      </c>
      <c r="C401" s="34">
        <v>51</v>
      </c>
      <c r="D401" s="35">
        <v>51</v>
      </c>
      <c r="E401" s="34">
        <f>IF(OR(D401="-",D401="",D401=0),IF(C401="-","-",C401),C401-D401)</f>
        <v>0</v>
      </c>
      <c r="F401" s="4">
        <f>IFERROR(IF(C401&gt;0, D401/C401, 0),"-")</f>
        <v>1</v>
      </c>
      <c r="G401" s="34" t="s">
        <v>959</v>
      </c>
      <c r="H401" s="35" t="s">
        <v>959</v>
      </c>
      <c r="I401" s="34" t="str">
        <f>IF(OR(H401="-",H401="",H401=0),IF(G401="-","-",G401),G401-H401)</f>
        <v>-</v>
      </c>
      <c r="J401" s="4" t="str">
        <f>IFERROR(IF(G401&gt;0, H401/G401, 0),"-")</f>
        <v>-</v>
      </c>
      <c r="K401" s="34" t="s">
        <v>959</v>
      </c>
      <c r="L401" s="35" t="s">
        <v>959</v>
      </c>
      <c r="M401" s="34" t="str">
        <f>IF(OR(L401="-",L401="",L401=0),IF(K401="-","-",K401),K401-L401)</f>
        <v>-</v>
      </c>
      <c r="N401" s="4" t="str">
        <f>IFERROR(IF(K401&gt;0, L401/K401, 0),"-")</f>
        <v>-</v>
      </c>
      <c r="O401" s="34" t="s">
        <v>959</v>
      </c>
      <c r="P401" s="35" t="s">
        <v>959</v>
      </c>
      <c r="Q401" s="34" t="str">
        <f>IF(OR(P401="-",P401="",P401=0),IF(O401="-","-",O401),O401-P401)</f>
        <v>-</v>
      </c>
      <c r="R401" s="4" t="str">
        <f>IFERROR(IF(O401&gt;0, P401/O401, 0),"-")</f>
        <v>-</v>
      </c>
      <c r="S401" s="34" t="s">
        <v>959</v>
      </c>
      <c r="T401" s="34" t="s">
        <v>959</v>
      </c>
      <c r="U401" s="34" t="s">
        <v>959</v>
      </c>
      <c r="V401" s="35" t="s">
        <v>959</v>
      </c>
      <c r="W401" s="35" t="s">
        <v>959</v>
      </c>
    </row>
    <row r="402" spans="1:23" x14ac:dyDescent="0.2">
      <c r="A402" s="30" t="s">
        <v>286</v>
      </c>
      <c r="B402" s="30" t="s">
        <v>1122</v>
      </c>
      <c r="C402" s="34">
        <v>37</v>
      </c>
      <c r="D402" s="35">
        <v>37</v>
      </c>
      <c r="E402" s="34">
        <f>IF(OR(D402="-",D402="",D402=0),IF(C402="-","-",C402),C402-D402)</f>
        <v>0</v>
      </c>
      <c r="F402" s="4">
        <f>IFERROR(IF(C402&gt;0, D402/C402, 0),"-")</f>
        <v>1</v>
      </c>
      <c r="G402" s="34" t="s">
        <v>959</v>
      </c>
      <c r="H402" s="35" t="s">
        <v>959</v>
      </c>
      <c r="I402" s="34" t="str">
        <f>IF(OR(H402="-",H402="",H402=0),IF(G402="-","-",G402),G402-H402)</f>
        <v>-</v>
      </c>
      <c r="J402" s="4" t="str">
        <f>IFERROR(IF(G402&gt;0, H402/G402, 0),"-")</f>
        <v>-</v>
      </c>
      <c r="K402" s="34" t="s">
        <v>959</v>
      </c>
      <c r="L402" s="35" t="s">
        <v>959</v>
      </c>
      <c r="M402" s="34" t="str">
        <f>IF(OR(L402="-",L402="",L402=0),IF(K402="-","-",K402),K402-L402)</f>
        <v>-</v>
      </c>
      <c r="N402" s="4" t="str">
        <f>IFERROR(IF(K402&gt;0, L402/K402, 0),"-")</f>
        <v>-</v>
      </c>
      <c r="O402" s="34" t="s">
        <v>959</v>
      </c>
      <c r="P402" s="35" t="s">
        <v>959</v>
      </c>
      <c r="Q402" s="34" t="str">
        <f>IF(OR(P402="-",P402="",P402=0),IF(O402="-","-",O402),O402-P402)</f>
        <v>-</v>
      </c>
      <c r="R402" s="4" t="str">
        <f>IFERROR(IF(O402&gt;0, P402/O402, 0),"-")</f>
        <v>-</v>
      </c>
      <c r="S402" s="34" t="s">
        <v>959</v>
      </c>
      <c r="T402" s="34" t="s">
        <v>959</v>
      </c>
      <c r="U402" s="34" t="s">
        <v>959</v>
      </c>
      <c r="V402" s="35" t="s">
        <v>959</v>
      </c>
      <c r="W402" s="35" t="s">
        <v>959</v>
      </c>
    </row>
    <row r="403" spans="1:23" x14ac:dyDescent="0.2">
      <c r="A403" s="30" t="s">
        <v>302</v>
      </c>
      <c r="B403" s="30" t="s">
        <v>1123</v>
      </c>
      <c r="C403" s="34">
        <v>3</v>
      </c>
      <c r="D403" s="35">
        <v>3</v>
      </c>
      <c r="E403" s="34">
        <f>IF(OR(D403="-",D403="",D403=0),IF(C403="-","-",C403),C403-D403)</f>
        <v>0</v>
      </c>
      <c r="F403" s="4">
        <f>IFERROR(IF(C403&gt;0, D403/C403, 0),"-")</f>
        <v>1</v>
      </c>
      <c r="G403" s="34" t="s">
        <v>959</v>
      </c>
      <c r="H403" s="35" t="s">
        <v>959</v>
      </c>
      <c r="I403" s="34" t="str">
        <f>IF(OR(H403="-",H403="",H403=0),IF(G403="-","-",G403),G403-H403)</f>
        <v>-</v>
      </c>
      <c r="J403" s="4" t="str">
        <f>IFERROR(IF(G403&gt;0, H403/G403, 0),"-")</f>
        <v>-</v>
      </c>
      <c r="K403" s="34" t="s">
        <v>959</v>
      </c>
      <c r="L403" s="35" t="s">
        <v>959</v>
      </c>
      <c r="M403" s="34" t="str">
        <f>IF(OR(L403="-",L403="",L403=0),IF(K403="-","-",K403),K403-L403)</f>
        <v>-</v>
      </c>
      <c r="N403" s="4" t="str">
        <f>IFERROR(IF(K403&gt;0, L403/K403, 0),"-")</f>
        <v>-</v>
      </c>
      <c r="O403" s="34" t="s">
        <v>959</v>
      </c>
      <c r="P403" s="35" t="s">
        <v>959</v>
      </c>
      <c r="Q403" s="34" t="str">
        <f>IF(OR(P403="-",P403="",P403=0),IF(O403="-","-",O403),O403-P403)</f>
        <v>-</v>
      </c>
      <c r="R403" s="4" t="str">
        <f>IFERROR(IF(O403&gt;0, P403/O403, 0),"-")</f>
        <v>-</v>
      </c>
      <c r="S403" s="34" t="s">
        <v>959</v>
      </c>
      <c r="T403" s="34" t="s">
        <v>959</v>
      </c>
      <c r="U403" s="34" t="s">
        <v>959</v>
      </c>
      <c r="V403" s="35" t="s">
        <v>959</v>
      </c>
      <c r="W403" s="35" t="s">
        <v>959</v>
      </c>
    </row>
    <row r="404" spans="1:23" x14ac:dyDescent="0.2">
      <c r="A404" s="30" t="s">
        <v>280</v>
      </c>
      <c r="B404" s="30" t="s">
        <v>1124</v>
      </c>
      <c r="C404" s="34">
        <v>62</v>
      </c>
      <c r="D404" s="35">
        <v>62</v>
      </c>
      <c r="E404" s="34">
        <f>IF(OR(D404="-",D404="",D404=0),IF(C404="-","-",C404),C404-D404)</f>
        <v>0</v>
      </c>
      <c r="F404" s="4">
        <f>IFERROR(IF(C404&gt;0, D404/C404, 0),"-")</f>
        <v>1</v>
      </c>
      <c r="G404" s="34" t="s">
        <v>959</v>
      </c>
      <c r="H404" s="35" t="s">
        <v>959</v>
      </c>
      <c r="I404" s="34" t="str">
        <f>IF(OR(H404="-",H404="",H404=0),IF(G404="-","-",G404),G404-H404)</f>
        <v>-</v>
      </c>
      <c r="J404" s="4" t="str">
        <f>IFERROR(IF(G404&gt;0, H404/G404, 0),"-")</f>
        <v>-</v>
      </c>
      <c r="K404" s="34" t="s">
        <v>959</v>
      </c>
      <c r="L404" s="35" t="s">
        <v>959</v>
      </c>
      <c r="M404" s="34" t="str">
        <f>IF(OR(L404="-",L404="",L404=0),IF(K404="-","-",K404),K404-L404)</f>
        <v>-</v>
      </c>
      <c r="N404" s="4" t="str">
        <f>IFERROR(IF(K404&gt;0, L404/K404, 0),"-")</f>
        <v>-</v>
      </c>
      <c r="O404" s="34" t="s">
        <v>959</v>
      </c>
      <c r="P404" s="35" t="s">
        <v>959</v>
      </c>
      <c r="Q404" s="34" t="str">
        <f>IF(OR(P404="-",P404="",P404=0),IF(O404="-","-",O404),O404-P404)</f>
        <v>-</v>
      </c>
      <c r="R404" s="4" t="str">
        <f>IFERROR(IF(O404&gt;0, P404/O404, 0),"-")</f>
        <v>-</v>
      </c>
      <c r="S404" s="34" t="s">
        <v>959</v>
      </c>
      <c r="T404" s="34" t="s">
        <v>959</v>
      </c>
      <c r="U404" s="34" t="s">
        <v>959</v>
      </c>
      <c r="V404" s="35" t="s">
        <v>959</v>
      </c>
      <c r="W404" s="35" t="s">
        <v>959</v>
      </c>
    </row>
    <row r="405" spans="1:23" x14ac:dyDescent="0.2">
      <c r="A405" s="30" t="s">
        <v>284</v>
      </c>
      <c r="B405" s="30" t="s">
        <v>1125</v>
      </c>
      <c r="C405" s="34">
        <v>85</v>
      </c>
      <c r="D405" s="35">
        <v>85</v>
      </c>
      <c r="E405" s="34">
        <f>IF(OR(D405="-",D405="",D405=0),IF(C405="-","-",C405),C405-D405)</f>
        <v>0</v>
      </c>
      <c r="F405" s="4">
        <f>IFERROR(IF(C405&gt;0, D405/C405, 0),"-")</f>
        <v>1</v>
      </c>
      <c r="G405" s="34" t="s">
        <v>959</v>
      </c>
      <c r="H405" s="35" t="s">
        <v>959</v>
      </c>
      <c r="I405" s="34" t="str">
        <f>IF(OR(H405="-",H405="",H405=0),IF(G405="-","-",G405),G405-H405)</f>
        <v>-</v>
      </c>
      <c r="J405" s="4" t="str">
        <f>IFERROR(IF(G405&gt;0, H405/G405, 0),"-")</f>
        <v>-</v>
      </c>
      <c r="K405" s="34" t="s">
        <v>959</v>
      </c>
      <c r="L405" s="35" t="s">
        <v>959</v>
      </c>
      <c r="M405" s="34" t="str">
        <f>IF(OR(L405="-",L405="",L405=0),IF(K405="-","-",K405),K405-L405)</f>
        <v>-</v>
      </c>
      <c r="N405" s="4" t="str">
        <f>IFERROR(IF(K405&gt;0, L405/K405, 0),"-")</f>
        <v>-</v>
      </c>
      <c r="O405" s="34" t="s">
        <v>959</v>
      </c>
      <c r="P405" s="35" t="s">
        <v>959</v>
      </c>
      <c r="Q405" s="34" t="str">
        <f>IF(OR(P405="-",P405="",P405=0),IF(O405="-","-",O405),O405-P405)</f>
        <v>-</v>
      </c>
      <c r="R405" s="4" t="str">
        <f>IFERROR(IF(O405&gt;0, P405/O405, 0),"-")</f>
        <v>-</v>
      </c>
      <c r="S405" s="34">
        <v>1</v>
      </c>
      <c r="T405" s="34" t="s">
        <v>959</v>
      </c>
      <c r="U405" s="34" t="s">
        <v>959</v>
      </c>
      <c r="V405" s="35" t="s">
        <v>959</v>
      </c>
      <c r="W405" s="35" t="s">
        <v>959</v>
      </c>
    </row>
    <row r="406" spans="1:23" x14ac:dyDescent="0.2">
      <c r="A406" s="30" t="s">
        <v>283</v>
      </c>
      <c r="B406" s="30" t="s">
        <v>1126</v>
      </c>
      <c r="C406" s="34">
        <v>69</v>
      </c>
      <c r="D406" s="35">
        <v>69</v>
      </c>
      <c r="E406" s="34">
        <f>IF(OR(D406="-",D406="",D406=0),IF(C406="-","-",C406),C406-D406)</f>
        <v>0</v>
      </c>
      <c r="F406" s="4">
        <f>IFERROR(IF(C406&gt;0, D406/C406, 0),"-")</f>
        <v>1</v>
      </c>
      <c r="G406" s="34">
        <v>1</v>
      </c>
      <c r="H406" s="35">
        <v>1</v>
      </c>
      <c r="I406" s="34">
        <f>IF(OR(H406="-",H406="",H406=0),IF(G406="-","-",G406),G406-H406)</f>
        <v>0</v>
      </c>
      <c r="J406" s="4">
        <f>IFERROR(IF(G406&gt;0, H406/G406, 0),"-")</f>
        <v>1</v>
      </c>
      <c r="K406" s="34" t="s">
        <v>959</v>
      </c>
      <c r="L406" s="35" t="s">
        <v>959</v>
      </c>
      <c r="M406" s="34" t="str">
        <f>IF(OR(L406="-",L406="",L406=0),IF(K406="-","-",K406),K406-L406)</f>
        <v>-</v>
      </c>
      <c r="N406" s="4" t="str">
        <f>IFERROR(IF(K406&gt;0, L406/K406, 0),"-")</f>
        <v>-</v>
      </c>
      <c r="O406" s="34" t="s">
        <v>959</v>
      </c>
      <c r="P406" s="35" t="s">
        <v>959</v>
      </c>
      <c r="Q406" s="34" t="str">
        <f>IF(OR(P406="-",P406="",P406=0),IF(O406="-","-",O406),O406-P406)</f>
        <v>-</v>
      </c>
      <c r="R406" s="4" t="str">
        <f>IFERROR(IF(O406&gt;0, P406/O406, 0),"-")</f>
        <v>-</v>
      </c>
      <c r="S406" s="34" t="s">
        <v>959</v>
      </c>
      <c r="T406" s="34" t="s">
        <v>959</v>
      </c>
      <c r="U406" s="34" t="s">
        <v>959</v>
      </c>
      <c r="V406" s="35" t="s">
        <v>959</v>
      </c>
      <c r="W406" s="35" t="s">
        <v>959</v>
      </c>
    </row>
    <row r="407" spans="1:23" x14ac:dyDescent="0.2">
      <c r="A407" s="29"/>
      <c r="B407" s="29" t="s">
        <v>105</v>
      </c>
      <c r="C407" s="32">
        <v>408</v>
      </c>
      <c r="D407" s="32">
        <v>393</v>
      </c>
      <c r="E407" s="32">
        <f>IF(OR(D407="-",D407="",D407=0),IF(C407="-","-",C407),C407-D407)</f>
        <v>15</v>
      </c>
      <c r="F407" s="36">
        <f>IFERROR(IF(C407&gt;0, D407/C407, 0),"-")</f>
        <v>0.96323529411764708</v>
      </c>
      <c r="G407" s="32">
        <v>4</v>
      </c>
      <c r="H407" s="32">
        <v>1</v>
      </c>
      <c r="I407" s="32">
        <f>IF(OR(H407="-",H407="",H407=0),IF(G407="-","-",G407),G407-H407)</f>
        <v>3</v>
      </c>
      <c r="J407" s="36">
        <f>IFERROR(IF(G407&gt;0, H407/G407, 0),"-")</f>
        <v>0.25</v>
      </c>
      <c r="K407" s="32">
        <v>4</v>
      </c>
      <c r="L407" s="32">
        <v>1</v>
      </c>
      <c r="M407" s="32">
        <f>IF(OR(L407="-",L407="",L407=0),IF(K407="-","-",K407),K407-L407)</f>
        <v>3</v>
      </c>
      <c r="N407" s="36">
        <f>IFERROR(IF(K407&gt;0, L407/K407, 0),"-")</f>
        <v>0.25</v>
      </c>
      <c r="O407" s="32">
        <v>2</v>
      </c>
      <c r="P407" s="32" t="s">
        <v>959</v>
      </c>
      <c r="Q407" s="32">
        <f>IF(OR(P407="-",P407="",P407=0),IF(O407="-","-",O407),O407-P407)</f>
        <v>2</v>
      </c>
      <c r="R407" s="36" t="str">
        <f>IFERROR(IF(O407&gt;0, P407/O407, 0),"-")</f>
        <v>-</v>
      </c>
      <c r="S407" s="32">
        <v>4</v>
      </c>
      <c r="T407" s="32" t="s">
        <v>959</v>
      </c>
      <c r="U407" s="32" t="s">
        <v>959</v>
      </c>
      <c r="V407" s="32" t="s">
        <v>959</v>
      </c>
      <c r="W407" s="32" t="s">
        <v>959</v>
      </c>
    </row>
    <row r="408" spans="1:23" x14ac:dyDescent="0.2">
      <c r="A408" s="30" t="s">
        <v>757</v>
      </c>
      <c r="B408" s="30" t="s">
        <v>1127</v>
      </c>
      <c r="C408" s="34">
        <v>99</v>
      </c>
      <c r="D408" s="35">
        <v>94</v>
      </c>
      <c r="E408" s="34">
        <f>IF(OR(D408="-",D408="",D408=0),IF(C408="-","-",C408),C408-D408)</f>
        <v>5</v>
      </c>
      <c r="F408" s="4">
        <f>IFERROR(IF(C408&gt;0, D408/C408, 0),"-")</f>
        <v>0.9494949494949495</v>
      </c>
      <c r="G408" s="34">
        <v>1</v>
      </c>
      <c r="H408" s="35" t="s">
        <v>959</v>
      </c>
      <c r="I408" s="34">
        <f>IF(OR(H408="-",H408="",H408=0),IF(G408="-","-",G408),G408-H408)</f>
        <v>1</v>
      </c>
      <c r="J408" s="4" t="str">
        <f>IFERROR(IF(G408&gt;0, H408/G408, 0),"-")</f>
        <v>-</v>
      </c>
      <c r="K408" s="34" t="s">
        <v>959</v>
      </c>
      <c r="L408" s="35" t="s">
        <v>959</v>
      </c>
      <c r="M408" s="34" t="str">
        <f>IF(OR(L408="-",L408="",L408=0),IF(K408="-","-",K408),K408-L408)</f>
        <v>-</v>
      </c>
      <c r="N408" s="4" t="str">
        <f>IFERROR(IF(K408&gt;0, L408/K408, 0),"-")</f>
        <v>-</v>
      </c>
      <c r="O408" s="34" t="s">
        <v>959</v>
      </c>
      <c r="P408" s="35" t="s">
        <v>959</v>
      </c>
      <c r="Q408" s="34" t="str">
        <f>IF(OR(P408="-",P408="",P408=0),IF(O408="-","-",O408),O408-P408)</f>
        <v>-</v>
      </c>
      <c r="R408" s="4" t="str">
        <f>IFERROR(IF(O408&gt;0, P408/O408, 0),"-")</f>
        <v>-</v>
      </c>
      <c r="S408" s="34" t="s">
        <v>959</v>
      </c>
      <c r="T408" s="34" t="s">
        <v>959</v>
      </c>
      <c r="U408" s="34" t="s">
        <v>959</v>
      </c>
      <c r="V408" s="35" t="s">
        <v>959</v>
      </c>
      <c r="W408" s="35" t="s">
        <v>959</v>
      </c>
    </row>
    <row r="409" spans="1:23" x14ac:dyDescent="0.2">
      <c r="A409" s="30" t="s">
        <v>759</v>
      </c>
      <c r="B409" s="30" t="s">
        <v>1128</v>
      </c>
      <c r="C409" s="34">
        <v>71</v>
      </c>
      <c r="D409" s="35">
        <v>68</v>
      </c>
      <c r="E409" s="34">
        <f>IF(OR(D409="-",D409="",D409=0),IF(C409="-","-",C409),C409-D409)</f>
        <v>3</v>
      </c>
      <c r="F409" s="4">
        <f>IFERROR(IF(C409&gt;0, D409/C409, 0),"-")</f>
        <v>0.95774647887323938</v>
      </c>
      <c r="G409" s="34">
        <v>1</v>
      </c>
      <c r="H409" s="35" t="s">
        <v>959</v>
      </c>
      <c r="I409" s="34">
        <f>IF(OR(H409="-",H409="",H409=0),IF(G409="-","-",G409),G409-H409)</f>
        <v>1</v>
      </c>
      <c r="J409" s="4" t="str">
        <f>IFERROR(IF(G409&gt;0, H409/G409, 0),"-")</f>
        <v>-</v>
      </c>
      <c r="K409" s="34">
        <v>1</v>
      </c>
      <c r="L409" s="35" t="s">
        <v>959</v>
      </c>
      <c r="M409" s="34">
        <f>IF(OR(L409="-",L409="",L409=0),IF(K409="-","-",K409),K409-L409)</f>
        <v>1</v>
      </c>
      <c r="N409" s="4" t="str">
        <f>IFERROR(IF(K409&gt;0, L409/K409, 0),"-")</f>
        <v>-</v>
      </c>
      <c r="O409" s="34" t="s">
        <v>959</v>
      </c>
      <c r="P409" s="35" t="s">
        <v>959</v>
      </c>
      <c r="Q409" s="34" t="str">
        <f>IF(OR(P409="-",P409="",P409=0),IF(O409="-","-",O409),O409-P409)</f>
        <v>-</v>
      </c>
      <c r="R409" s="4" t="str">
        <f>IFERROR(IF(O409&gt;0, P409/O409, 0),"-")</f>
        <v>-</v>
      </c>
      <c r="S409" s="34">
        <v>2</v>
      </c>
      <c r="T409" s="34" t="s">
        <v>959</v>
      </c>
      <c r="U409" s="34" t="s">
        <v>959</v>
      </c>
      <c r="V409" s="35" t="s">
        <v>959</v>
      </c>
      <c r="W409" s="35" t="s">
        <v>959</v>
      </c>
    </row>
    <row r="410" spans="1:23" x14ac:dyDescent="0.2">
      <c r="A410" s="30" t="s">
        <v>758</v>
      </c>
      <c r="B410" s="30" t="s">
        <v>1129</v>
      </c>
      <c r="C410" s="34">
        <v>27</v>
      </c>
      <c r="D410" s="35">
        <v>24</v>
      </c>
      <c r="E410" s="34">
        <f>IF(OR(D410="-",D410="",D410=0),IF(C410="-","-",C410),C410-D410)</f>
        <v>3</v>
      </c>
      <c r="F410" s="4">
        <f>IFERROR(IF(C410&gt;0, D410/C410, 0),"-")</f>
        <v>0.88888888888888884</v>
      </c>
      <c r="G410" s="34" t="s">
        <v>959</v>
      </c>
      <c r="H410" s="35" t="s">
        <v>959</v>
      </c>
      <c r="I410" s="34" t="str">
        <f>IF(OR(H410="-",H410="",H410=0),IF(G410="-","-",G410),G410-H410)</f>
        <v>-</v>
      </c>
      <c r="J410" s="4" t="str">
        <f>IFERROR(IF(G410&gt;0, H410/G410, 0),"-")</f>
        <v>-</v>
      </c>
      <c r="K410" s="34" t="s">
        <v>959</v>
      </c>
      <c r="L410" s="35" t="s">
        <v>959</v>
      </c>
      <c r="M410" s="34" t="str">
        <f>IF(OR(L410="-",L410="",L410=0),IF(K410="-","-",K410),K410-L410)</f>
        <v>-</v>
      </c>
      <c r="N410" s="4" t="str">
        <f>IFERROR(IF(K410&gt;0, L410/K410, 0),"-")</f>
        <v>-</v>
      </c>
      <c r="O410" s="34">
        <v>1</v>
      </c>
      <c r="P410" s="35" t="s">
        <v>959</v>
      </c>
      <c r="Q410" s="34">
        <f>IF(OR(P410="-",P410="",P410=0),IF(O410="-","-",O410),O410-P410)</f>
        <v>1</v>
      </c>
      <c r="R410" s="4" t="str">
        <f>IFERROR(IF(O410&gt;0, P410/O410, 0),"-")</f>
        <v>-</v>
      </c>
      <c r="S410" s="34">
        <v>1</v>
      </c>
      <c r="T410" s="34" t="s">
        <v>959</v>
      </c>
      <c r="U410" s="34" t="s">
        <v>959</v>
      </c>
      <c r="V410" s="35" t="s">
        <v>959</v>
      </c>
      <c r="W410" s="35" t="s">
        <v>959</v>
      </c>
    </row>
    <row r="411" spans="1:23" x14ac:dyDescent="0.2">
      <c r="A411" s="30" t="s">
        <v>768</v>
      </c>
      <c r="B411" s="30" t="s">
        <v>1130</v>
      </c>
      <c r="C411" s="34">
        <v>19</v>
      </c>
      <c r="D411" s="35">
        <v>17</v>
      </c>
      <c r="E411" s="34">
        <f>IF(OR(D411="-",D411="",D411=0),IF(C411="-","-",C411),C411-D411)</f>
        <v>2</v>
      </c>
      <c r="F411" s="4">
        <f>IFERROR(IF(C411&gt;0, D411/C411, 0),"-")</f>
        <v>0.89473684210526316</v>
      </c>
      <c r="G411" s="34">
        <v>1</v>
      </c>
      <c r="H411" s="35">
        <v>1</v>
      </c>
      <c r="I411" s="34">
        <f>IF(OR(H411="-",H411="",H411=0),IF(G411="-","-",G411),G411-H411)</f>
        <v>0</v>
      </c>
      <c r="J411" s="4">
        <f>IFERROR(IF(G411&gt;0, H411/G411, 0),"-")</f>
        <v>1</v>
      </c>
      <c r="K411" s="34" t="s">
        <v>959</v>
      </c>
      <c r="L411" s="35" t="s">
        <v>959</v>
      </c>
      <c r="M411" s="34" t="str">
        <f>IF(OR(L411="-",L411="",L411=0),IF(K411="-","-",K411),K411-L411)</f>
        <v>-</v>
      </c>
      <c r="N411" s="4" t="str">
        <f>IFERROR(IF(K411&gt;0, L411/K411, 0),"-")</f>
        <v>-</v>
      </c>
      <c r="O411" s="34" t="s">
        <v>959</v>
      </c>
      <c r="P411" s="35" t="s">
        <v>959</v>
      </c>
      <c r="Q411" s="34" t="str">
        <f>IF(OR(P411="-",P411="",P411=0),IF(O411="-","-",O411),O411-P411)</f>
        <v>-</v>
      </c>
      <c r="R411" s="4" t="str">
        <f>IFERROR(IF(O411&gt;0, P411/O411, 0),"-")</f>
        <v>-</v>
      </c>
      <c r="S411" s="34" t="s">
        <v>959</v>
      </c>
      <c r="T411" s="34" t="s">
        <v>959</v>
      </c>
      <c r="U411" s="34" t="s">
        <v>959</v>
      </c>
      <c r="V411" s="35" t="s">
        <v>959</v>
      </c>
      <c r="W411" s="35" t="s">
        <v>959</v>
      </c>
    </row>
    <row r="412" spans="1:23" x14ac:dyDescent="0.2">
      <c r="A412" s="30" t="s">
        <v>754</v>
      </c>
      <c r="B412" s="30" t="s">
        <v>1131</v>
      </c>
      <c r="C412" s="34">
        <v>16</v>
      </c>
      <c r="D412" s="35">
        <v>16</v>
      </c>
      <c r="E412" s="34">
        <f>IF(OR(D412="-",D412="",D412=0),IF(C412="-","-",C412),C412-D412)</f>
        <v>0</v>
      </c>
      <c r="F412" s="4">
        <f>IFERROR(IF(C412&gt;0, D412/C412, 0),"-")</f>
        <v>1</v>
      </c>
      <c r="G412" s="34">
        <v>1</v>
      </c>
      <c r="H412" s="35" t="s">
        <v>959</v>
      </c>
      <c r="I412" s="34">
        <f>IF(OR(H412="-",H412="",H412=0),IF(G412="-","-",G412),G412-H412)</f>
        <v>1</v>
      </c>
      <c r="J412" s="4" t="str">
        <f>IFERROR(IF(G412&gt;0, H412/G412, 0),"-")</f>
        <v>-</v>
      </c>
      <c r="K412" s="34" t="s">
        <v>959</v>
      </c>
      <c r="L412" s="35" t="s">
        <v>959</v>
      </c>
      <c r="M412" s="34" t="str">
        <f>IF(OR(L412="-",L412="",L412=0),IF(K412="-","-",K412),K412-L412)</f>
        <v>-</v>
      </c>
      <c r="N412" s="4" t="str">
        <f>IFERROR(IF(K412&gt;0, L412/K412, 0),"-")</f>
        <v>-</v>
      </c>
      <c r="O412" s="34" t="s">
        <v>959</v>
      </c>
      <c r="P412" s="35" t="s">
        <v>959</v>
      </c>
      <c r="Q412" s="34" t="str">
        <f>IF(OR(P412="-",P412="",P412=0),IF(O412="-","-",O412),O412-P412)</f>
        <v>-</v>
      </c>
      <c r="R412" s="4" t="str">
        <f>IFERROR(IF(O412&gt;0, P412/O412, 0),"-")</f>
        <v>-</v>
      </c>
      <c r="S412" s="34" t="s">
        <v>959</v>
      </c>
      <c r="T412" s="34" t="s">
        <v>959</v>
      </c>
      <c r="U412" s="34" t="s">
        <v>959</v>
      </c>
      <c r="V412" s="35" t="s">
        <v>959</v>
      </c>
      <c r="W412" s="35" t="s">
        <v>959</v>
      </c>
    </row>
    <row r="413" spans="1:23" x14ac:dyDescent="0.2">
      <c r="A413" s="30" t="s">
        <v>756</v>
      </c>
      <c r="B413" s="30" t="s">
        <v>1132</v>
      </c>
      <c r="C413" s="34">
        <v>112</v>
      </c>
      <c r="D413" s="35">
        <v>111</v>
      </c>
      <c r="E413" s="34">
        <f>IF(OR(D413="-",D413="",D413=0),IF(C413="-","-",C413),C413-D413)</f>
        <v>1</v>
      </c>
      <c r="F413" s="4">
        <f>IFERROR(IF(C413&gt;0, D413/C413, 0),"-")</f>
        <v>0.9910714285714286</v>
      </c>
      <c r="G413" s="34" t="s">
        <v>959</v>
      </c>
      <c r="H413" s="35" t="s">
        <v>959</v>
      </c>
      <c r="I413" s="34" t="str">
        <f>IF(OR(H413="-",H413="",H413=0),IF(G413="-","-",G413),G413-H413)</f>
        <v>-</v>
      </c>
      <c r="J413" s="4" t="str">
        <f>IFERROR(IF(G413&gt;0, H413/G413, 0),"-")</f>
        <v>-</v>
      </c>
      <c r="K413" s="34" t="s">
        <v>959</v>
      </c>
      <c r="L413" s="35" t="s">
        <v>959</v>
      </c>
      <c r="M413" s="34" t="str">
        <f>IF(OR(L413="-",L413="",L413=0),IF(K413="-","-",K413),K413-L413)</f>
        <v>-</v>
      </c>
      <c r="N413" s="4" t="str">
        <f>IFERROR(IF(K413&gt;0, L413/K413, 0),"-")</f>
        <v>-</v>
      </c>
      <c r="O413" s="34">
        <v>1</v>
      </c>
      <c r="P413" s="35" t="s">
        <v>959</v>
      </c>
      <c r="Q413" s="34">
        <f>IF(OR(P413="-",P413="",P413=0),IF(O413="-","-",O413),O413-P413)</f>
        <v>1</v>
      </c>
      <c r="R413" s="4" t="str">
        <f>IFERROR(IF(O413&gt;0, P413/O413, 0),"-")</f>
        <v>-</v>
      </c>
      <c r="S413" s="34" t="s">
        <v>959</v>
      </c>
      <c r="T413" s="34" t="s">
        <v>959</v>
      </c>
      <c r="U413" s="34" t="s">
        <v>959</v>
      </c>
      <c r="V413" s="35" t="s">
        <v>959</v>
      </c>
      <c r="W413" s="35" t="s">
        <v>959</v>
      </c>
    </row>
    <row r="414" spans="1:23" x14ac:dyDescent="0.2">
      <c r="A414" s="30" t="s">
        <v>755</v>
      </c>
      <c r="B414" s="30" t="s">
        <v>1133</v>
      </c>
      <c r="C414" s="34">
        <v>64</v>
      </c>
      <c r="D414" s="35">
        <v>63</v>
      </c>
      <c r="E414" s="34">
        <f>IF(OR(D414="-",D414="",D414=0),IF(C414="-","-",C414),C414-D414)</f>
        <v>1</v>
      </c>
      <c r="F414" s="4">
        <f>IFERROR(IF(C414&gt;0, D414/C414, 0),"-")</f>
        <v>0.984375</v>
      </c>
      <c r="G414" s="34" t="s">
        <v>959</v>
      </c>
      <c r="H414" s="35" t="s">
        <v>959</v>
      </c>
      <c r="I414" s="34" t="str">
        <f>IF(OR(H414="-",H414="",H414=0),IF(G414="-","-",G414),G414-H414)</f>
        <v>-</v>
      </c>
      <c r="J414" s="4" t="str">
        <f>IFERROR(IF(G414&gt;0, H414/G414, 0),"-")</f>
        <v>-</v>
      </c>
      <c r="K414" s="34">
        <v>3</v>
      </c>
      <c r="L414" s="35">
        <v>1</v>
      </c>
      <c r="M414" s="34">
        <f>IF(OR(L414="-",L414="",L414=0),IF(K414="-","-",K414),K414-L414)</f>
        <v>2</v>
      </c>
      <c r="N414" s="4">
        <f>IFERROR(IF(K414&gt;0, L414/K414, 0),"-")</f>
        <v>0.33333333333333331</v>
      </c>
      <c r="O414" s="34" t="s">
        <v>959</v>
      </c>
      <c r="P414" s="35" t="s">
        <v>959</v>
      </c>
      <c r="Q414" s="34" t="str">
        <f>IF(OR(P414="-",P414="",P414=0),IF(O414="-","-",O414),O414-P414)</f>
        <v>-</v>
      </c>
      <c r="R414" s="4" t="str">
        <f>IFERROR(IF(O414&gt;0, P414/O414, 0),"-")</f>
        <v>-</v>
      </c>
      <c r="S414" s="34">
        <v>1</v>
      </c>
      <c r="T414" s="34" t="s">
        <v>959</v>
      </c>
      <c r="U414" s="34" t="s">
        <v>959</v>
      </c>
      <c r="V414" s="35" t="s">
        <v>959</v>
      </c>
      <c r="W414" s="35" t="s">
        <v>959</v>
      </c>
    </row>
    <row r="415" spans="1:23" x14ac:dyDescent="0.2">
      <c r="A415" s="29"/>
      <c r="B415" s="29" t="s">
        <v>100</v>
      </c>
      <c r="C415" s="32">
        <v>313</v>
      </c>
      <c r="D415" s="32">
        <v>312</v>
      </c>
      <c r="E415" s="32">
        <f>IF(OR(D415="-",D415="",D415=0),IF(C415="-","-",C415),C415-D415)</f>
        <v>1</v>
      </c>
      <c r="F415" s="36">
        <f>IFERROR(IF(C415&gt;0, D415/C415, 0),"-")</f>
        <v>0.99680511182108622</v>
      </c>
      <c r="G415" s="32" t="s">
        <v>959</v>
      </c>
      <c r="H415" s="32" t="s">
        <v>959</v>
      </c>
      <c r="I415" s="32" t="str">
        <f>IF(OR(H415="-",H415="",H415=0),IF(G415="-","-",G415),G415-H415)</f>
        <v>-</v>
      </c>
      <c r="J415" s="36" t="str">
        <f>IFERROR(IF(G415&gt;0, H415/G415, 0),"-")</f>
        <v>-</v>
      </c>
      <c r="K415" s="32" t="s">
        <v>959</v>
      </c>
      <c r="L415" s="32" t="s">
        <v>959</v>
      </c>
      <c r="M415" s="32" t="str">
        <f>IF(OR(L415="-",L415="",L415=0),IF(K415="-","-",K415),K415-L415)</f>
        <v>-</v>
      </c>
      <c r="N415" s="36" t="str">
        <f>IFERROR(IF(K415&gt;0, L415/K415, 0),"-")</f>
        <v>-</v>
      </c>
      <c r="O415" s="32" t="s">
        <v>959</v>
      </c>
      <c r="P415" s="32" t="s">
        <v>959</v>
      </c>
      <c r="Q415" s="32" t="str">
        <f>IF(OR(P415="-",P415="",P415=0),IF(O415="-","-",O415),O415-P415)</f>
        <v>-</v>
      </c>
      <c r="R415" s="36" t="str">
        <f>IFERROR(IF(O415&gt;0, P415/O415, 0),"-")</f>
        <v>-</v>
      </c>
      <c r="S415" s="32" t="s">
        <v>959</v>
      </c>
      <c r="T415" s="32" t="s">
        <v>959</v>
      </c>
      <c r="U415" s="32" t="s">
        <v>959</v>
      </c>
      <c r="V415" s="32" t="s">
        <v>959</v>
      </c>
      <c r="W415" s="32" t="s">
        <v>959</v>
      </c>
    </row>
    <row r="416" spans="1:23" x14ac:dyDescent="0.2">
      <c r="A416" s="30" t="s">
        <v>708</v>
      </c>
      <c r="B416" s="30" t="s">
        <v>1134</v>
      </c>
      <c r="C416" s="34">
        <v>48</v>
      </c>
      <c r="D416" s="35">
        <v>48</v>
      </c>
      <c r="E416" s="34">
        <f>IF(OR(D416="-",D416="",D416=0),IF(C416="-","-",C416),C416-D416)</f>
        <v>0</v>
      </c>
      <c r="F416" s="4">
        <f>IFERROR(IF(C416&gt;0, D416/C416, 0),"-")</f>
        <v>1</v>
      </c>
      <c r="G416" s="34" t="s">
        <v>959</v>
      </c>
      <c r="H416" s="35" t="s">
        <v>959</v>
      </c>
      <c r="I416" s="34" t="str">
        <f>IF(OR(H416="-",H416="",H416=0),IF(G416="-","-",G416),G416-H416)</f>
        <v>-</v>
      </c>
      <c r="J416" s="4" t="str">
        <f>IFERROR(IF(G416&gt;0, H416/G416, 0),"-")</f>
        <v>-</v>
      </c>
      <c r="K416" s="34" t="s">
        <v>959</v>
      </c>
      <c r="L416" s="35" t="s">
        <v>959</v>
      </c>
      <c r="M416" s="34" t="str">
        <f>IF(OR(L416="-",L416="",L416=0),IF(K416="-","-",K416),K416-L416)</f>
        <v>-</v>
      </c>
      <c r="N416" s="4" t="str">
        <f>IFERROR(IF(K416&gt;0, L416/K416, 0),"-")</f>
        <v>-</v>
      </c>
      <c r="O416" s="34" t="s">
        <v>959</v>
      </c>
      <c r="P416" s="35" t="s">
        <v>959</v>
      </c>
      <c r="Q416" s="34" t="str">
        <f>IF(OR(P416="-",P416="",P416=0),IF(O416="-","-",O416),O416-P416)</f>
        <v>-</v>
      </c>
      <c r="R416" s="4" t="str">
        <f>IFERROR(IF(O416&gt;0, P416/O416, 0),"-")</f>
        <v>-</v>
      </c>
      <c r="S416" s="34" t="s">
        <v>959</v>
      </c>
      <c r="T416" s="34" t="s">
        <v>959</v>
      </c>
      <c r="U416" s="34" t="s">
        <v>959</v>
      </c>
      <c r="V416" s="35" t="s">
        <v>959</v>
      </c>
      <c r="W416" s="35" t="s">
        <v>959</v>
      </c>
    </row>
    <row r="417" spans="1:23" x14ac:dyDescent="0.2">
      <c r="A417" s="30" t="s">
        <v>706</v>
      </c>
      <c r="B417" s="30" t="s">
        <v>1135</v>
      </c>
      <c r="C417" s="34">
        <v>70</v>
      </c>
      <c r="D417" s="35">
        <v>69</v>
      </c>
      <c r="E417" s="34">
        <f>IF(OR(D417="-",D417="",D417=0),IF(C417="-","-",C417),C417-D417)</f>
        <v>1</v>
      </c>
      <c r="F417" s="4">
        <f>IFERROR(IF(C417&gt;0, D417/C417, 0),"-")</f>
        <v>0.98571428571428577</v>
      </c>
      <c r="G417" s="34" t="s">
        <v>959</v>
      </c>
      <c r="H417" s="35" t="s">
        <v>959</v>
      </c>
      <c r="I417" s="34" t="str">
        <f>IF(OR(H417="-",H417="",H417=0),IF(G417="-","-",G417),G417-H417)</f>
        <v>-</v>
      </c>
      <c r="J417" s="4" t="str">
        <f>IFERROR(IF(G417&gt;0, H417/G417, 0),"-")</f>
        <v>-</v>
      </c>
      <c r="K417" s="34" t="s">
        <v>959</v>
      </c>
      <c r="L417" s="35" t="s">
        <v>959</v>
      </c>
      <c r="M417" s="34" t="str">
        <f>IF(OR(L417="-",L417="",L417=0),IF(K417="-","-",K417),K417-L417)</f>
        <v>-</v>
      </c>
      <c r="N417" s="4" t="str">
        <f>IFERROR(IF(K417&gt;0, L417/K417, 0),"-")</f>
        <v>-</v>
      </c>
      <c r="O417" s="34" t="s">
        <v>959</v>
      </c>
      <c r="P417" s="35" t="s">
        <v>959</v>
      </c>
      <c r="Q417" s="34" t="str">
        <f>IF(OR(P417="-",P417="",P417=0),IF(O417="-","-",O417),O417-P417)</f>
        <v>-</v>
      </c>
      <c r="R417" s="4" t="str">
        <f>IFERROR(IF(O417&gt;0, P417/O417, 0),"-")</f>
        <v>-</v>
      </c>
      <c r="S417" s="34" t="s">
        <v>959</v>
      </c>
      <c r="T417" s="34" t="s">
        <v>959</v>
      </c>
      <c r="U417" s="34" t="s">
        <v>959</v>
      </c>
      <c r="V417" s="35" t="s">
        <v>959</v>
      </c>
      <c r="W417" s="35" t="s">
        <v>959</v>
      </c>
    </row>
    <row r="418" spans="1:23" x14ac:dyDescent="0.2">
      <c r="A418" s="30" t="s">
        <v>704</v>
      </c>
      <c r="B418" s="30" t="s">
        <v>1136</v>
      </c>
      <c r="C418" s="34">
        <v>78</v>
      </c>
      <c r="D418" s="35">
        <v>78</v>
      </c>
      <c r="E418" s="34">
        <f>IF(OR(D418="-",D418="",D418=0),IF(C418="-","-",C418),C418-D418)</f>
        <v>0</v>
      </c>
      <c r="F418" s="4">
        <f>IFERROR(IF(C418&gt;0, D418/C418, 0),"-")</f>
        <v>1</v>
      </c>
      <c r="G418" s="34" t="s">
        <v>959</v>
      </c>
      <c r="H418" s="35" t="s">
        <v>959</v>
      </c>
      <c r="I418" s="34" t="str">
        <f>IF(OR(H418="-",H418="",H418=0),IF(G418="-","-",G418),G418-H418)</f>
        <v>-</v>
      </c>
      <c r="J418" s="4" t="str">
        <f>IFERROR(IF(G418&gt;0, H418/G418, 0),"-")</f>
        <v>-</v>
      </c>
      <c r="K418" s="34" t="s">
        <v>959</v>
      </c>
      <c r="L418" s="35" t="s">
        <v>959</v>
      </c>
      <c r="M418" s="34" t="str">
        <f>IF(OR(L418="-",L418="",L418=0),IF(K418="-","-",K418),K418-L418)</f>
        <v>-</v>
      </c>
      <c r="N418" s="4" t="str">
        <f>IFERROR(IF(K418&gt;0, L418/K418, 0),"-")</f>
        <v>-</v>
      </c>
      <c r="O418" s="34" t="s">
        <v>959</v>
      </c>
      <c r="P418" s="35" t="s">
        <v>959</v>
      </c>
      <c r="Q418" s="34" t="str">
        <f>IF(OR(P418="-",P418="",P418=0),IF(O418="-","-",O418),O418-P418)</f>
        <v>-</v>
      </c>
      <c r="R418" s="4" t="str">
        <f>IFERROR(IF(O418&gt;0, P418/O418, 0),"-")</f>
        <v>-</v>
      </c>
      <c r="S418" s="34" t="s">
        <v>959</v>
      </c>
      <c r="T418" s="34" t="s">
        <v>959</v>
      </c>
      <c r="U418" s="34" t="s">
        <v>959</v>
      </c>
      <c r="V418" s="35" t="s">
        <v>959</v>
      </c>
      <c r="W418" s="35" t="s">
        <v>959</v>
      </c>
    </row>
    <row r="419" spans="1:23" x14ac:dyDescent="0.2">
      <c r="A419" s="30" t="s">
        <v>709</v>
      </c>
      <c r="B419" s="30" t="s">
        <v>1137</v>
      </c>
      <c r="C419" s="34" t="s">
        <v>959</v>
      </c>
      <c r="D419" s="35" t="s">
        <v>959</v>
      </c>
      <c r="E419" s="34" t="str">
        <f>IF(OR(D419="-",D419="",D419=0),IF(C419="-","-",C419),C419-D419)</f>
        <v>-</v>
      </c>
      <c r="F419" s="4" t="str">
        <f>IFERROR(IF(C419&gt;0, D419/C419, 0),"-")</f>
        <v>-</v>
      </c>
      <c r="G419" s="34" t="s">
        <v>959</v>
      </c>
      <c r="H419" s="35" t="s">
        <v>959</v>
      </c>
      <c r="I419" s="34" t="str">
        <f>IF(OR(H419="-",H419="",H419=0),IF(G419="-","-",G419),G419-H419)</f>
        <v>-</v>
      </c>
      <c r="J419" s="4" t="str">
        <f>IFERROR(IF(G419&gt;0, H419/G419, 0),"-")</f>
        <v>-</v>
      </c>
      <c r="K419" s="34" t="s">
        <v>959</v>
      </c>
      <c r="L419" s="35" t="s">
        <v>959</v>
      </c>
      <c r="M419" s="34" t="str">
        <f>IF(OR(L419="-",L419="",L419=0),IF(K419="-","-",K419),K419-L419)</f>
        <v>-</v>
      </c>
      <c r="N419" s="4" t="str">
        <f>IFERROR(IF(K419&gt;0, L419/K419, 0),"-")</f>
        <v>-</v>
      </c>
      <c r="O419" s="34" t="s">
        <v>959</v>
      </c>
      <c r="P419" s="35" t="s">
        <v>959</v>
      </c>
      <c r="Q419" s="34" t="str">
        <f>IF(OR(P419="-",P419="",P419=0),IF(O419="-","-",O419),O419-P419)</f>
        <v>-</v>
      </c>
      <c r="R419" s="4" t="str">
        <f>IFERROR(IF(O419&gt;0, P419/O419, 0),"-")</f>
        <v>-</v>
      </c>
      <c r="S419" s="34" t="s">
        <v>959</v>
      </c>
      <c r="T419" s="34" t="s">
        <v>959</v>
      </c>
      <c r="U419" s="34" t="s">
        <v>959</v>
      </c>
      <c r="V419" s="35" t="s">
        <v>959</v>
      </c>
      <c r="W419" s="35" t="s">
        <v>959</v>
      </c>
    </row>
    <row r="420" spans="1:23" x14ac:dyDescent="0.2">
      <c r="A420" s="30" t="s">
        <v>707</v>
      </c>
      <c r="B420" s="30" t="s">
        <v>1138</v>
      </c>
      <c r="C420" s="34">
        <v>44</v>
      </c>
      <c r="D420" s="35">
        <v>44</v>
      </c>
      <c r="E420" s="34">
        <f>IF(OR(D420="-",D420="",D420=0),IF(C420="-","-",C420),C420-D420)</f>
        <v>0</v>
      </c>
      <c r="F420" s="4">
        <f>IFERROR(IF(C420&gt;0, D420/C420, 0),"-")</f>
        <v>1</v>
      </c>
      <c r="G420" s="34" t="s">
        <v>959</v>
      </c>
      <c r="H420" s="35" t="s">
        <v>959</v>
      </c>
      <c r="I420" s="34" t="str">
        <f>IF(OR(H420="-",H420="",H420=0),IF(G420="-","-",G420),G420-H420)</f>
        <v>-</v>
      </c>
      <c r="J420" s="4" t="str">
        <f>IFERROR(IF(G420&gt;0, H420/G420, 0),"-")</f>
        <v>-</v>
      </c>
      <c r="K420" s="34" t="s">
        <v>959</v>
      </c>
      <c r="L420" s="35" t="s">
        <v>959</v>
      </c>
      <c r="M420" s="34" t="str">
        <f>IF(OR(L420="-",L420="",L420=0),IF(K420="-","-",K420),K420-L420)</f>
        <v>-</v>
      </c>
      <c r="N420" s="4" t="str">
        <f>IFERROR(IF(K420&gt;0, L420/K420, 0),"-")</f>
        <v>-</v>
      </c>
      <c r="O420" s="34" t="s">
        <v>959</v>
      </c>
      <c r="P420" s="35" t="s">
        <v>959</v>
      </c>
      <c r="Q420" s="34" t="str">
        <f>IF(OR(P420="-",P420="",P420=0),IF(O420="-","-",O420),O420-P420)</f>
        <v>-</v>
      </c>
      <c r="R420" s="4" t="str">
        <f>IFERROR(IF(O420&gt;0, P420/O420, 0),"-")</f>
        <v>-</v>
      </c>
      <c r="S420" s="34" t="s">
        <v>959</v>
      </c>
      <c r="T420" s="34" t="s">
        <v>959</v>
      </c>
      <c r="U420" s="34" t="s">
        <v>959</v>
      </c>
      <c r="V420" s="35" t="s">
        <v>959</v>
      </c>
      <c r="W420" s="35" t="s">
        <v>959</v>
      </c>
    </row>
    <row r="421" spans="1:23" x14ac:dyDescent="0.2">
      <c r="A421" s="30" t="s">
        <v>705</v>
      </c>
      <c r="B421" s="30" t="s">
        <v>1139</v>
      </c>
      <c r="C421" s="34">
        <v>73</v>
      </c>
      <c r="D421" s="35">
        <v>73</v>
      </c>
      <c r="E421" s="34">
        <f>IF(OR(D421="-",D421="",D421=0),IF(C421="-","-",C421),C421-D421)</f>
        <v>0</v>
      </c>
      <c r="F421" s="4">
        <f>IFERROR(IF(C421&gt;0, D421/C421, 0),"-")</f>
        <v>1</v>
      </c>
      <c r="G421" s="34" t="s">
        <v>959</v>
      </c>
      <c r="H421" s="35" t="s">
        <v>959</v>
      </c>
      <c r="I421" s="34" t="str">
        <f>IF(OR(H421="-",H421="",H421=0),IF(G421="-","-",G421),G421-H421)</f>
        <v>-</v>
      </c>
      <c r="J421" s="4" t="str">
        <f>IFERROR(IF(G421&gt;0, H421/G421, 0),"-")</f>
        <v>-</v>
      </c>
      <c r="K421" s="34" t="s">
        <v>959</v>
      </c>
      <c r="L421" s="35" t="s">
        <v>959</v>
      </c>
      <c r="M421" s="34" t="str">
        <f>IF(OR(L421="-",L421="",L421=0),IF(K421="-","-",K421),K421-L421)</f>
        <v>-</v>
      </c>
      <c r="N421" s="4" t="str">
        <f>IFERROR(IF(K421&gt;0, L421/K421, 0),"-")</f>
        <v>-</v>
      </c>
      <c r="O421" s="34" t="s">
        <v>959</v>
      </c>
      <c r="P421" s="35" t="s">
        <v>959</v>
      </c>
      <c r="Q421" s="34" t="str">
        <f>IF(OR(P421="-",P421="",P421=0),IF(O421="-","-",O421),O421-P421)</f>
        <v>-</v>
      </c>
      <c r="R421" s="4" t="str">
        <f>IFERROR(IF(O421&gt;0, P421/O421, 0),"-")</f>
        <v>-</v>
      </c>
      <c r="S421" s="34" t="s">
        <v>959</v>
      </c>
      <c r="T421" s="34" t="s">
        <v>959</v>
      </c>
      <c r="U421" s="34" t="s">
        <v>959</v>
      </c>
      <c r="V421" s="35" t="s">
        <v>959</v>
      </c>
      <c r="W421" s="35" t="s">
        <v>959</v>
      </c>
    </row>
    <row r="422" spans="1:23" x14ac:dyDescent="0.2">
      <c r="A422" s="29"/>
      <c r="B422" s="29" t="s">
        <v>31</v>
      </c>
      <c r="C422" s="32">
        <v>754</v>
      </c>
      <c r="D422" s="32">
        <v>738</v>
      </c>
      <c r="E422" s="32">
        <f>IF(OR(D422="-",D422="",D422=0),IF(C422="-","-",C422),C422-D422)</f>
        <v>16</v>
      </c>
      <c r="F422" s="36">
        <f>IFERROR(IF(C422&gt;0, D422/C422, 0),"-")</f>
        <v>0.97877984084880632</v>
      </c>
      <c r="G422" s="32">
        <v>9</v>
      </c>
      <c r="H422" s="32">
        <v>3</v>
      </c>
      <c r="I422" s="32">
        <f>IF(OR(H422="-",H422="",H422=0),IF(G422="-","-",G422),G422-H422)</f>
        <v>6</v>
      </c>
      <c r="J422" s="36">
        <f>IFERROR(IF(G422&gt;0, H422/G422, 0),"-")</f>
        <v>0.33333333333333331</v>
      </c>
      <c r="K422" s="32">
        <v>4</v>
      </c>
      <c r="L422" s="32">
        <v>1</v>
      </c>
      <c r="M422" s="32">
        <f>IF(OR(L422="-",L422="",L422=0),IF(K422="-","-",K422),K422-L422)</f>
        <v>3</v>
      </c>
      <c r="N422" s="36">
        <f>IFERROR(IF(K422&gt;0, L422/K422, 0),"-")</f>
        <v>0.25</v>
      </c>
      <c r="O422" s="32" t="s">
        <v>959</v>
      </c>
      <c r="P422" s="32" t="s">
        <v>959</v>
      </c>
      <c r="Q422" s="32" t="str">
        <f>IF(OR(P422="-",P422="",P422=0),IF(O422="-","-",O422),O422-P422)</f>
        <v>-</v>
      </c>
      <c r="R422" s="36" t="str">
        <f>IFERROR(IF(O422&gt;0, P422/O422, 0),"-")</f>
        <v>-</v>
      </c>
      <c r="S422" s="32">
        <v>10</v>
      </c>
      <c r="T422" s="32">
        <v>1</v>
      </c>
      <c r="U422" s="32">
        <v>4040</v>
      </c>
      <c r="V422" s="32" t="s">
        <v>959</v>
      </c>
      <c r="W422" s="32" t="s">
        <v>959</v>
      </c>
    </row>
    <row r="423" spans="1:23" x14ac:dyDescent="0.2">
      <c r="A423" s="30" t="s">
        <v>138</v>
      </c>
      <c r="B423" s="30" t="s">
        <v>1140</v>
      </c>
      <c r="C423" s="34">
        <v>104</v>
      </c>
      <c r="D423" s="35">
        <v>103</v>
      </c>
      <c r="E423" s="34">
        <f>IF(OR(D423="-",D423="",D423=0),IF(C423="-","-",C423),C423-D423)</f>
        <v>1</v>
      </c>
      <c r="F423" s="4">
        <f>IFERROR(IF(C423&gt;0, D423/C423, 0),"-")</f>
        <v>0.99038461538461542</v>
      </c>
      <c r="G423" s="34">
        <v>1</v>
      </c>
      <c r="H423" s="35" t="s">
        <v>959</v>
      </c>
      <c r="I423" s="34">
        <f>IF(OR(H423="-",H423="",H423=0),IF(G423="-","-",G423),G423-H423)</f>
        <v>1</v>
      </c>
      <c r="J423" s="4" t="str">
        <f>IFERROR(IF(G423&gt;0, H423/G423, 0),"-")</f>
        <v>-</v>
      </c>
      <c r="K423" s="34" t="s">
        <v>959</v>
      </c>
      <c r="L423" s="35" t="s">
        <v>959</v>
      </c>
      <c r="M423" s="34" t="str">
        <f>IF(OR(L423="-",L423="",L423=0),IF(K423="-","-",K423),K423-L423)</f>
        <v>-</v>
      </c>
      <c r="N423" s="4" t="str">
        <f>IFERROR(IF(K423&gt;0, L423/K423, 0),"-")</f>
        <v>-</v>
      </c>
      <c r="O423" s="34" t="s">
        <v>959</v>
      </c>
      <c r="P423" s="35" t="s">
        <v>959</v>
      </c>
      <c r="Q423" s="34" t="str">
        <f>IF(OR(P423="-",P423="",P423=0),IF(O423="-","-",O423),O423-P423)</f>
        <v>-</v>
      </c>
      <c r="R423" s="4" t="str">
        <f>IFERROR(IF(O423&gt;0, P423/O423, 0),"-")</f>
        <v>-</v>
      </c>
      <c r="S423" s="34">
        <v>1</v>
      </c>
      <c r="T423" s="34" t="s">
        <v>959</v>
      </c>
      <c r="U423" s="34" t="s">
        <v>959</v>
      </c>
      <c r="V423" s="35" t="s">
        <v>959</v>
      </c>
      <c r="W423" s="35" t="s">
        <v>959</v>
      </c>
    </row>
    <row r="424" spans="1:23" x14ac:dyDescent="0.2">
      <c r="A424" s="30" t="s">
        <v>142</v>
      </c>
      <c r="B424" s="30" t="s">
        <v>1141</v>
      </c>
      <c r="C424" s="34" t="s">
        <v>959</v>
      </c>
      <c r="D424" s="35" t="s">
        <v>959</v>
      </c>
      <c r="E424" s="34" t="str">
        <f>IF(OR(D424="-",D424="",D424=0),IF(C424="-","-",C424),C424-D424)</f>
        <v>-</v>
      </c>
      <c r="F424" s="4" t="str">
        <f>IFERROR(IF(C424&gt;0, D424/C424, 0),"-")</f>
        <v>-</v>
      </c>
      <c r="G424" s="34" t="s">
        <v>959</v>
      </c>
      <c r="H424" s="35" t="s">
        <v>959</v>
      </c>
      <c r="I424" s="34" t="str">
        <f>IF(OR(H424="-",H424="",H424=0),IF(G424="-","-",G424),G424-H424)</f>
        <v>-</v>
      </c>
      <c r="J424" s="4" t="str">
        <f>IFERROR(IF(G424&gt;0, H424/G424, 0),"-")</f>
        <v>-</v>
      </c>
      <c r="K424" s="34" t="s">
        <v>959</v>
      </c>
      <c r="L424" s="35" t="s">
        <v>959</v>
      </c>
      <c r="M424" s="34" t="str">
        <f>IF(OR(L424="-",L424="",L424=0),IF(K424="-","-",K424),K424-L424)</f>
        <v>-</v>
      </c>
      <c r="N424" s="4" t="str">
        <f>IFERROR(IF(K424&gt;0, L424/K424, 0),"-")</f>
        <v>-</v>
      </c>
      <c r="O424" s="34" t="s">
        <v>959</v>
      </c>
      <c r="P424" s="35" t="s">
        <v>959</v>
      </c>
      <c r="Q424" s="34" t="str">
        <f>IF(OR(P424="-",P424="",P424=0),IF(O424="-","-",O424),O424-P424)</f>
        <v>-</v>
      </c>
      <c r="R424" s="4" t="str">
        <f>IFERROR(IF(O424&gt;0, P424/O424, 0),"-")</f>
        <v>-</v>
      </c>
      <c r="S424" s="34" t="s">
        <v>959</v>
      </c>
      <c r="T424" s="34" t="s">
        <v>959</v>
      </c>
      <c r="U424" s="34" t="s">
        <v>959</v>
      </c>
      <c r="V424" s="35" t="s">
        <v>959</v>
      </c>
      <c r="W424" s="35" t="s">
        <v>959</v>
      </c>
    </row>
    <row r="425" spans="1:23" x14ac:dyDescent="0.2">
      <c r="A425" s="30" t="s">
        <v>139</v>
      </c>
      <c r="B425" s="30" t="s">
        <v>1142</v>
      </c>
      <c r="C425" s="34">
        <v>144</v>
      </c>
      <c r="D425" s="35">
        <v>142</v>
      </c>
      <c r="E425" s="34">
        <f>IF(OR(D425="-",D425="",D425=0),IF(C425="-","-",C425),C425-D425)</f>
        <v>2</v>
      </c>
      <c r="F425" s="4">
        <f>IFERROR(IF(C425&gt;0, D425/C425, 0),"-")</f>
        <v>0.98611111111111116</v>
      </c>
      <c r="G425" s="34">
        <v>2</v>
      </c>
      <c r="H425" s="35" t="s">
        <v>959</v>
      </c>
      <c r="I425" s="34">
        <f>IF(OR(H425="-",H425="",H425=0),IF(G425="-","-",G425),G425-H425)</f>
        <v>2</v>
      </c>
      <c r="J425" s="4" t="str">
        <f>IFERROR(IF(G425&gt;0, H425/G425, 0),"-")</f>
        <v>-</v>
      </c>
      <c r="K425" s="34">
        <v>1</v>
      </c>
      <c r="L425" s="35" t="s">
        <v>959</v>
      </c>
      <c r="M425" s="34">
        <f>IF(OR(L425="-",L425="",L425=0),IF(K425="-","-",K425),K425-L425)</f>
        <v>1</v>
      </c>
      <c r="N425" s="4" t="str">
        <f>IFERROR(IF(K425&gt;0, L425/K425, 0),"-")</f>
        <v>-</v>
      </c>
      <c r="O425" s="34" t="s">
        <v>959</v>
      </c>
      <c r="P425" s="35" t="s">
        <v>959</v>
      </c>
      <c r="Q425" s="34" t="str">
        <f>IF(OR(P425="-",P425="",P425=0),IF(O425="-","-",O425),O425-P425)</f>
        <v>-</v>
      </c>
      <c r="R425" s="4" t="str">
        <f>IFERROR(IF(O425&gt;0, P425/O425, 0),"-")</f>
        <v>-</v>
      </c>
      <c r="S425" s="34">
        <v>2</v>
      </c>
      <c r="T425" s="34" t="s">
        <v>959</v>
      </c>
      <c r="U425" s="34" t="s">
        <v>959</v>
      </c>
      <c r="V425" s="35" t="s">
        <v>959</v>
      </c>
      <c r="W425" s="35" t="s">
        <v>959</v>
      </c>
    </row>
    <row r="426" spans="1:23" x14ac:dyDescent="0.2">
      <c r="A426" s="30" t="s">
        <v>137</v>
      </c>
      <c r="B426" s="30" t="s">
        <v>1143</v>
      </c>
      <c r="C426" s="34">
        <v>135</v>
      </c>
      <c r="D426" s="35">
        <v>132</v>
      </c>
      <c r="E426" s="34">
        <f>IF(OR(D426="-",D426="",D426=0),IF(C426="-","-",C426),C426-D426)</f>
        <v>3</v>
      </c>
      <c r="F426" s="4">
        <f>IFERROR(IF(C426&gt;0, D426/C426, 0),"-")</f>
        <v>0.97777777777777775</v>
      </c>
      <c r="G426" s="34">
        <v>2</v>
      </c>
      <c r="H426" s="35">
        <v>1</v>
      </c>
      <c r="I426" s="34">
        <f>IF(OR(H426="-",H426="",H426=0),IF(G426="-","-",G426),G426-H426)</f>
        <v>1</v>
      </c>
      <c r="J426" s="4">
        <f>IFERROR(IF(G426&gt;0, H426/G426, 0),"-")</f>
        <v>0.5</v>
      </c>
      <c r="K426" s="34">
        <v>1</v>
      </c>
      <c r="L426" s="35">
        <v>1</v>
      </c>
      <c r="M426" s="34">
        <f>IF(OR(L426="-",L426="",L426=0),IF(K426="-","-",K426),K426-L426)</f>
        <v>0</v>
      </c>
      <c r="N426" s="4">
        <f>IFERROR(IF(K426&gt;0, L426/K426, 0),"-")</f>
        <v>1</v>
      </c>
      <c r="O426" s="34" t="s">
        <v>959</v>
      </c>
      <c r="P426" s="35" t="s">
        <v>959</v>
      </c>
      <c r="Q426" s="34" t="str">
        <f>IF(OR(P426="-",P426="",P426=0),IF(O426="-","-",O426),O426-P426)</f>
        <v>-</v>
      </c>
      <c r="R426" s="4" t="str">
        <f>IFERROR(IF(O426&gt;0, P426/O426, 0),"-")</f>
        <v>-</v>
      </c>
      <c r="S426" s="34">
        <v>2</v>
      </c>
      <c r="T426" s="34" t="s">
        <v>959</v>
      </c>
      <c r="U426" s="34" t="s">
        <v>959</v>
      </c>
      <c r="V426" s="35" t="s">
        <v>959</v>
      </c>
      <c r="W426" s="35" t="s">
        <v>959</v>
      </c>
    </row>
    <row r="427" spans="1:23" x14ac:dyDescent="0.2">
      <c r="A427" s="30" t="s">
        <v>140</v>
      </c>
      <c r="B427" s="30" t="s">
        <v>1144</v>
      </c>
      <c r="C427" s="34">
        <v>116</v>
      </c>
      <c r="D427" s="35">
        <v>114</v>
      </c>
      <c r="E427" s="34">
        <f>IF(OR(D427="-",D427="",D427=0),IF(C427="-","-",C427),C427-D427)</f>
        <v>2</v>
      </c>
      <c r="F427" s="4">
        <f>IFERROR(IF(C427&gt;0, D427/C427, 0),"-")</f>
        <v>0.98275862068965514</v>
      </c>
      <c r="G427" s="34" t="s">
        <v>959</v>
      </c>
      <c r="H427" s="35" t="s">
        <v>959</v>
      </c>
      <c r="I427" s="34" t="str">
        <f>IF(OR(H427="-",H427="",H427=0),IF(G427="-","-",G427),G427-H427)</f>
        <v>-</v>
      </c>
      <c r="J427" s="4" t="str">
        <f>IFERROR(IF(G427&gt;0, H427/G427, 0),"-")</f>
        <v>-</v>
      </c>
      <c r="K427" s="34" t="s">
        <v>959</v>
      </c>
      <c r="L427" s="35" t="s">
        <v>959</v>
      </c>
      <c r="M427" s="34" t="str">
        <f>IF(OR(L427="-",L427="",L427=0),IF(K427="-","-",K427),K427-L427)</f>
        <v>-</v>
      </c>
      <c r="N427" s="4" t="str">
        <f>IFERROR(IF(K427&gt;0, L427/K427, 0),"-")</f>
        <v>-</v>
      </c>
      <c r="O427" s="34" t="s">
        <v>959</v>
      </c>
      <c r="P427" s="35" t="s">
        <v>959</v>
      </c>
      <c r="Q427" s="34" t="str">
        <f>IF(OR(P427="-",P427="",P427=0),IF(O427="-","-",O427),O427-P427)</f>
        <v>-</v>
      </c>
      <c r="R427" s="4" t="str">
        <f>IFERROR(IF(O427&gt;0, P427/O427, 0),"-")</f>
        <v>-</v>
      </c>
      <c r="S427" s="34">
        <v>2</v>
      </c>
      <c r="T427" s="34">
        <v>1</v>
      </c>
      <c r="U427" s="34">
        <v>4040</v>
      </c>
      <c r="V427" s="35" t="s">
        <v>959</v>
      </c>
      <c r="W427" s="35" t="s">
        <v>959</v>
      </c>
    </row>
    <row r="428" spans="1:23" x14ac:dyDescent="0.2">
      <c r="A428" s="30" t="s">
        <v>141</v>
      </c>
      <c r="B428" s="30" t="s">
        <v>1145</v>
      </c>
      <c r="C428" s="34" t="s">
        <v>959</v>
      </c>
      <c r="D428" s="35" t="s">
        <v>959</v>
      </c>
      <c r="E428" s="34" t="str">
        <f>IF(OR(D428="-",D428="",D428=0),IF(C428="-","-",C428),C428-D428)</f>
        <v>-</v>
      </c>
      <c r="F428" s="4" t="str">
        <f>IFERROR(IF(C428&gt;0, D428/C428, 0),"-")</f>
        <v>-</v>
      </c>
      <c r="G428" s="34" t="s">
        <v>959</v>
      </c>
      <c r="H428" s="35" t="s">
        <v>959</v>
      </c>
      <c r="I428" s="34" t="str">
        <f>IF(OR(H428="-",H428="",H428=0),IF(G428="-","-",G428),G428-H428)</f>
        <v>-</v>
      </c>
      <c r="J428" s="4" t="str">
        <f>IFERROR(IF(G428&gt;0, H428/G428, 0),"-")</f>
        <v>-</v>
      </c>
      <c r="K428" s="34" t="s">
        <v>959</v>
      </c>
      <c r="L428" s="35" t="s">
        <v>959</v>
      </c>
      <c r="M428" s="34" t="str">
        <f>IF(OR(L428="-",L428="",L428=0),IF(K428="-","-",K428),K428-L428)</f>
        <v>-</v>
      </c>
      <c r="N428" s="4" t="str">
        <f>IFERROR(IF(K428&gt;0, L428/K428, 0),"-")</f>
        <v>-</v>
      </c>
      <c r="O428" s="34" t="s">
        <v>959</v>
      </c>
      <c r="P428" s="35" t="s">
        <v>959</v>
      </c>
      <c r="Q428" s="34" t="str">
        <f>IF(OR(P428="-",P428="",P428=0),IF(O428="-","-",O428),O428-P428)</f>
        <v>-</v>
      </c>
      <c r="R428" s="4" t="str">
        <f>IFERROR(IF(O428&gt;0, P428/O428, 0),"-")</f>
        <v>-</v>
      </c>
      <c r="S428" s="34" t="s">
        <v>959</v>
      </c>
      <c r="T428" s="34" t="s">
        <v>959</v>
      </c>
      <c r="U428" s="34" t="s">
        <v>959</v>
      </c>
      <c r="V428" s="35" t="s">
        <v>959</v>
      </c>
      <c r="W428" s="35" t="s">
        <v>959</v>
      </c>
    </row>
    <row r="429" spans="1:23" x14ac:dyDescent="0.2">
      <c r="A429" s="30" t="s">
        <v>136</v>
      </c>
      <c r="B429" s="30" t="s">
        <v>1146</v>
      </c>
      <c r="C429" s="34">
        <v>255</v>
      </c>
      <c r="D429" s="35">
        <v>247</v>
      </c>
      <c r="E429" s="34">
        <f>IF(OR(D429="-",D429="",D429=0),IF(C429="-","-",C429),C429-D429)</f>
        <v>8</v>
      </c>
      <c r="F429" s="4">
        <f>IFERROR(IF(C429&gt;0, D429/C429, 0),"-")</f>
        <v>0.96862745098039216</v>
      </c>
      <c r="G429" s="34">
        <v>4</v>
      </c>
      <c r="H429" s="35">
        <v>2</v>
      </c>
      <c r="I429" s="34">
        <f>IF(OR(H429="-",H429="",H429=0),IF(G429="-","-",G429),G429-H429)</f>
        <v>2</v>
      </c>
      <c r="J429" s="4">
        <f>IFERROR(IF(G429&gt;0, H429/G429, 0),"-")</f>
        <v>0.5</v>
      </c>
      <c r="K429" s="34">
        <v>2</v>
      </c>
      <c r="L429" s="35" t="s">
        <v>959</v>
      </c>
      <c r="M429" s="34">
        <f>IF(OR(L429="-",L429="",L429=0),IF(K429="-","-",K429),K429-L429)</f>
        <v>2</v>
      </c>
      <c r="N429" s="4" t="str">
        <f>IFERROR(IF(K429&gt;0, L429/K429, 0),"-")</f>
        <v>-</v>
      </c>
      <c r="O429" s="34" t="s">
        <v>959</v>
      </c>
      <c r="P429" s="35" t="s">
        <v>959</v>
      </c>
      <c r="Q429" s="34" t="str">
        <f>IF(OR(P429="-",P429="",P429=0),IF(O429="-","-",O429),O429-P429)</f>
        <v>-</v>
      </c>
      <c r="R429" s="4" t="str">
        <f>IFERROR(IF(O429&gt;0, P429/O429, 0),"-")</f>
        <v>-</v>
      </c>
      <c r="S429" s="34">
        <v>3</v>
      </c>
      <c r="T429" s="34" t="s">
        <v>959</v>
      </c>
      <c r="U429" s="34" t="s">
        <v>959</v>
      </c>
      <c r="V429" s="35" t="s">
        <v>959</v>
      </c>
      <c r="W429" s="35" t="s">
        <v>959</v>
      </c>
    </row>
    <row r="430" spans="1:23" x14ac:dyDescent="0.2">
      <c r="A430" s="29"/>
      <c r="B430" s="29" t="s">
        <v>84</v>
      </c>
      <c r="C430" s="32">
        <v>696</v>
      </c>
      <c r="D430" s="32">
        <v>677</v>
      </c>
      <c r="E430" s="32">
        <f>IF(OR(D430="-",D430="",D430=0),IF(C430="-","-",C430),C430-D430)</f>
        <v>19</v>
      </c>
      <c r="F430" s="36">
        <f>IFERROR(IF(C430&gt;0, D430/C430, 0),"-")</f>
        <v>0.9727011494252874</v>
      </c>
      <c r="G430" s="32">
        <v>6</v>
      </c>
      <c r="H430" s="32" t="s">
        <v>959</v>
      </c>
      <c r="I430" s="32">
        <f>IF(OR(H430="-",H430="",H430=0),IF(G430="-","-",G430),G430-H430)</f>
        <v>6</v>
      </c>
      <c r="J430" s="36" t="str">
        <f>IFERROR(IF(G430&gt;0, H430/G430, 0),"-")</f>
        <v>-</v>
      </c>
      <c r="K430" s="32">
        <v>4</v>
      </c>
      <c r="L430" s="32" t="s">
        <v>959</v>
      </c>
      <c r="M430" s="32">
        <f>IF(OR(L430="-",L430="",L430=0),IF(K430="-","-",K430),K430-L430)</f>
        <v>4</v>
      </c>
      <c r="N430" s="36" t="str">
        <f>IFERROR(IF(K430&gt;0, L430/K430, 0),"-")</f>
        <v>-</v>
      </c>
      <c r="O430" s="32" t="s">
        <v>959</v>
      </c>
      <c r="P430" s="32" t="s">
        <v>959</v>
      </c>
      <c r="Q430" s="32" t="str">
        <f>IF(OR(P430="-",P430="",P430=0),IF(O430="-","-",O430),O430-P430)</f>
        <v>-</v>
      </c>
      <c r="R430" s="36" t="str">
        <f>IFERROR(IF(O430&gt;0, P430/O430, 0),"-")</f>
        <v>-</v>
      </c>
      <c r="S430" s="32">
        <v>5</v>
      </c>
      <c r="T430" s="32">
        <v>2</v>
      </c>
      <c r="U430" s="32">
        <v>5870</v>
      </c>
      <c r="V430" s="32" t="s">
        <v>959</v>
      </c>
      <c r="W430" s="32" t="s">
        <v>959</v>
      </c>
    </row>
    <row r="431" spans="1:23" x14ac:dyDescent="0.2">
      <c r="A431" s="30" t="s">
        <v>578</v>
      </c>
      <c r="B431" s="30" t="s">
        <v>1147</v>
      </c>
      <c r="C431" s="34">
        <v>41</v>
      </c>
      <c r="D431" s="35">
        <v>38</v>
      </c>
      <c r="E431" s="34">
        <f>IF(OR(D431="-",D431="",D431=0),IF(C431="-","-",C431),C431-D431)</f>
        <v>3</v>
      </c>
      <c r="F431" s="4">
        <f>IFERROR(IF(C431&gt;0, D431/C431, 0),"-")</f>
        <v>0.92682926829268297</v>
      </c>
      <c r="G431" s="34" t="s">
        <v>959</v>
      </c>
      <c r="H431" s="35" t="s">
        <v>959</v>
      </c>
      <c r="I431" s="34" t="str">
        <f>IF(OR(H431="-",H431="",H431=0),IF(G431="-","-",G431),G431-H431)</f>
        <v>-</v>
      </c>
      <c r="J431" s="4" t="str">
        <f>IFERROR(IF(G431&gt;0, H431/G431, 0),"-")</f>
        <v>-</v>
      </c>
      <c r="K431" s="34" t="s">
        <v>959</v>
      </c>
      <c r="L431" s="35" t="s">
        <v>959</v>
      </c>
      <c r="M431" s="34" t="str">
        <f>IF(OR(L431="-",L431="",L431=0),IF(K431="-","-",K431),K431-L431)</f>
        <v>-</v>
      </c>
      <c r="N431" s="4" t="str">
        <f>IFERROR(IF(K431&gt;0, L431/K431, 0),"-")</f>
        <v>-</v>
      </c>
      <c r="O431" s="34" t="s">
        <v>959</v>
      </c>
      <c r="P431" s="35" t="s">
        <v>959</v>
      </c>
      <c r="Q431" s="34" t="str">
        <f>IF(OR(P431="-",P431="",P431=0),IF(O431="-","-",O431),O431-P431)</f>
        <v>-</v>
      </c>
      <c r="R431" s="4" t="str">
        <f>IFERROR(IF(O431&gt;0, P431/O431, 0),"-")</f>
        <v>-</v>
      </c>
      <c r="S431" s="34">
        <v>3</v>
      </c>
      <c r="T431" s="34">
        <v>2</v>
      </c>
      <c r="U431" s="34">
        <v>5870</v>
      </c>
      <c r="V431" s="35" t="s">
        <v>959</v>
      </c>
      <c r="W431" s="35" t="s">
        <v>959</v>
      </c>
    </row>
    <row r="432" spans="1:23" x14ac:dyDescent="0.2">
      <c r="A432" s="30" t="s">
        <v>565</v>
      </c>
      <c r="B432" s="30" t="s">
        <v>1148</v>
      </c>
      <c r="C432" s="34">
        <v>73</v>
      </c>
      <c r="D432" s="35">
        <v>71</v>
      </c>
      <c r="E432" s="34">
        <f>IF(OR(D432="-",D432="",D432=0),IF(C432="-","-",C432),C432-D432)</f>
        <v>2</v>
      </c>
      <c r="F432" s="4">
        <f>IFERROR(IF(C432&gt;0, D432/C432, 0),"-")</f>
        <v>0.9726027397260274</v>
      </c>
      <c r="G432" s="34">
        <v>1</v>
      </c>
      <c r="H432" s="35" t="s">
        <v>959</v>
      </c>
      <c r="I432" s="34">
        <f>IF(OR(H432="-",H432="",H432=0),IF(G432="-","-",G432),G432-H432)</f>
        <v>1</v>
      </c>
      <c r="J432" s="4" t="str">
        <f>IFERROR(IF(G432&gt;0, H432/G432, 0),"-")</f>
        <v>-</v>
      </c>
      <c r="K432" s="34">
        <v>1</v>
      </c>
      <c r="L432" s="35" t="s">
        <v>959</v>
      </c>
      <c r="M432" s="34">
        <f>IF(OR(L432="-",L432="",L432=0),IF(K432="-","-",K432),K432-L432)</f>
        <v>1</v>
      </c>
      <c r="N432" s="4" t="str">
        <f>IFERROR(IF(K432&gt;0, L432/K432, 0),"-")</f>
        <v>-</v>
      </c>
      <c r="O432" s="34" t="s">
        <v>959</v>
      </c>
      <c r="P432" s="35" t="s">
        <v>959</v>
      </c>
      <c r="Q432" s="34" t="str">
        <f>IF(OR(P432="-",P432="",P432=0),IF(O432="-","-",O432),O432-P432)</f>
        <v>-</v>
      </c>
      <c r="R432" s="4" t="str">
        <f>IFERROR(IF(O432&gt;0, P432/O432, 0),"-")</f>
        <v>-</v>
      </c>
      <c r="S432" s="34">
        <v>2</v>
      </c>
      <c r="T432" s="34" t="s">
        <v>959</v>
      </c>
      <c r="U432" s="34" t="s">
        <v>959</v>
      </c>
      <c r="V432" s="35" t="s">
        <v>959</v>
      </c>
      <c r="W432" s="35" t="s">
        <v>959</v>
      </c>
    </row>
    <row r="433" spans="1:23" x14ac:dyDescent="0.2">
      <c r="A433" s="30" t="s">
        <v>563</v>
      </c>
      <c r="B433" s="30" t="s">
        <v>1149</v>
      </c>
      <c r="C433" s="34">
        <v>155</v>
      </c>
      <c r="D433" s="35">
        <v>151</v>
      </c>
      <c r="E433" s="34">
        <f>IF(OR(D433="-",D433="",D433=0),IF(C433="-","-",C433),C433-D433)</f>
        <v>4</v>
      </c>
      <c r="F433" s="4">
        <f>IFERROR(IF(C433&gt;0, D433/C433, 0),"-")</f>
        <v>0.97419354838709682</v>
      </c>
      <c r="G433" s="34" t="s">
        <v>959</v>
      </c>
      <c r="H433" s="35" t="s">
        <v>959</v>
      </c>
      <c r="I433" s="34" t="str">
        <f>IF(OR(H433="-",H433="",H433=0),IF(G433="-","-",G433),G433-H433)</f>
        <v>-</v>
      </c>
      <c r="J433" s="4" t="str">
        <f>IFERROR(IF(G433&gt;0, H433/G433, 0),"-")</f>
        <v>-</v>
      </c>
      <c r="K433" s="34">
        <v>1</v>
      </c>
      <c r="L433" s="35" t="s">
        <v>959</v>
      </c>
      <c r="M433" s="34">
        <f>IF(OR(L433="-",L433="",L433=0),IF(K433="-","-",K433),K433-L433)</f>
        <v>1</v>
      </c>
      <c r="N433" s="4" t="str">
        <f>IFERROR(IF(K433&gt;0, L433/K433, 0),"-")</f>
        <v>-</v>
      </c>
      <c r="O433" s="34" t="s">
        <v>959</v>
      </c>
      <c r="P433" s="35" t="s">
        <v>959</v>
      </c>
      <c r="Q433" s="34" t="str">
        <f>IF(OR(P433="-",P433="",P433=0),IF(O433="-","-",O433),O433-P433)</f>
        <v>-</v>
      </c>
      <c r="R433" s="4" t="str">
        <f>IFERROR(IF(O433&gt;0, P433/O433, 0),"-")</f>
        <v>-</v>
      </c>
      <c r="S433" s="34" t="s">
        <v>959</v>
      </c>
      <c r="T433" s="34" t="s">
        <v>959</v>
      </c>
      <c r="U433" s="34" t="s">
        <v>959</v>
      </c>
      <c r="V433" s="35" t="s">
        <v>959</v>
      </c>
      <c r="W433" s="35" t="s">
        <v>959</v>
      </c>
    </row>
    <row r="434" spans="1:23" x14ac:dyDescent="0.2">
      <c r="A434" s="30" t="s">
        <v>564</v>
      </c>
      <c r="B434" s="30" t="s">
        <v>1073</v>
      </c>
      <c r="C434" s="34">
        <v>137</v>
      </c>
      <c r="D434" s="35">
        <v>134</v>
      </c>
      <c r="E434" s="34">
        <f>IF(OR(D434="-",D434="",D434=0),IF(C434="-","-",C434),C434-D434)</f>
        <v>3</v>
      </c>
      <c r="F434" s="4">
        <f>IFERROR(IF(C434&gt;0, D434/C434, 0),"-")</f>
        <v>0.97810218978102192</v>
      </c>
      <c r="G434" s="34">
        <v>2</v>
      </c>
      <c r="H434" s="35" t="s">
        <v>959</v>
      </c>
      <c r="I434" s="34">
        <f>IF(OR(H434="-",H434="",H434=0),IF(G434="-","-",G434),G434-H434)</f>
        <v>2</v>
      </c>
      <c r="J434" s="4" t="str">
        <f>IFERROR(IF(G434&gt;0, H434/G434, 0),"-")</f>
        <v>-</v>
      </c>
      <c r="K434" s="34" t="s">
        <v>959</v>
      </c>
      <c r="L434" s="35" t="s">
        <v>959</v>
      </c>
      <c r="M434" s="34" t="str">
        <f>IF(OR(L434="-",L434="",L434=0),IF(K434="-","-",K434),K434-L434)</f>
        <v>-</v>
      </c>
      <c r="N434" s="4" t="str">
        <f>IFERROR(IF(K434&gt;0, L434/K434, 0),"-")</f>
        <v>-</v>
      </c>
      <c r="O434" s="34" t="s">
        <v>959</v>
      </c>
      <c r="P434" s="35" t="s">
        <v>959</v>
      </c>
      <c r="Q434" s="34" t="str">
        <f>IF(OR(P434="-",P434="",P434=0),IF(O434="-","-",O434),O434-P434)</f>
        <v>-</v>
      </c>
      <c r="R434" s="4" t="str">
        <f>IFERROR(IF(O434&gt;0, P434/O434, 0),"-")</f>
        <v>-</v>
      </c>
      <c r="S434" s="34" t="s">
        <v>959</v>
      </c>
      <c r="T434" s="34" t="s">
        <v>959</v>
      </c>
      <c r="U434" s="34" t="s">
        <v>959</v>
      </c>
      <c r="V434" s="35" t="s">
        <v>959</v>
      </c>
      <c r="W434" s="35" t="s">
        <v>959</v>
      </c>
    </row>
    <row r="435" spans="1:23" x14ac:dyDescent="0.2">
      <c r="A435" s="30" t="s">
        <v>562</v>
      </c>
      <c r="B435" s="30" t="s">
        <v>1150</v>
      </c>
      <c r="C435" s="34">
        <v>96</v>
      </c>
      <c r="D435" s="35">
        <v>90</v>
      </c>
      <c r="E435" s="34">
        <f>IF(OR(D435="-",D435="",D435=0),IF(C435="-","-",C435),C435-D435)</f>
        <v>6</v>
      </c>
      <c r="F435" s="4">
        <f>IFERROR(IF(C435&gt;0, D435/C435, 0),"-")</f>
        <v>0.9375</v>
      </c>
      <c r="G435" s="34">
        <v>3</v>
      </c>
      <c r="H435" s="35" t="s">
        <v>959</v>
      </c>
      <c r="I435" s="34">
        <f>IF(OR(H435="-",H435="",H435=0),IF(G435="-","-",G435),G435-H435)</f>
        <v>3</v>
      </c>
      <c r="J435" s="4" t="str">
        <f>IFERROR(IF(G435&gt;0, H435/G435, 0),"-")</f>
        <v>-</v>
      </c>
      <c r="K435" s="34">
        <v>2</v>
      </c>
      <c r="L435" s="35" t="s">
        <v>959</v>
      </c>
      <c r="M435" s="34">
        <f>IF(OR(L435="-",L435="",L435=0),IF(K435="-","-",K435),K435-L435)</f>
        <v>2</v>
      </c>
      <c r="N435" s="4" t="str">
        <f>IFERROR(IF(K435&gt;0, L435/K435, 0),"-")</f>
        <v>-</v>
      </c>
      <c r="O435" s="34" t="s">
        <v>959</v>
      </c>
      <c r="P435" s="35" t="s">
        <v>959</v>
      </c>
      <c r="Q435" s="34" t="str">
        <f>IF(OR(P435="-",P435="",P435=0),IF(O435="-","-",O435),O435-P435)</f>
        <v>-</v>
      </c>
      <c r="R435" s="4" t="str">
        <f>IFERROR(IF(O435&gt;0, P435/O435, 0),"-")</f>
        <v>-</v>
      </c>
      <c r="S435" s="34" t="s">
        <v>959</v>
      </c>
      <c r="T435" s="34" t="s">
        <v>959</v>
      </c>
      <c r="U435" s="34" t="s">
        <v>959</v>
      </c>
      <c r="V435" s="35" t="s">
        <v>959</v>
      </c>
      <c r="W435" s="35" t="s">
        <v>959</v>
      </c>
    </row>
    <row r="436" spans="1:23" x14ac:dyDescent="0.2">
      <c r="A436" s="30" t="s">
        <v>561</v>
      </c>
      <c r="B436" s="30" t="s">
        <v>1151</v>
      </c>
      <c r="C436" s="34">
        <v>194</v>
      </c>
      <c r="D436" s="35">
        <v>193</v>
      </c>
      <c r="E436" s="34">
        <f>IF(OR(D436="-",D436="",D436=0),IF(C436="-","-",C436),C436-D436)</f>
        <v>1</v>
      </c>
      <c r="F436" s="4">
        <f>IFERROR(IF(C436&gt;0, D436/C436, 0),"-")</f>
        <v>0.99484536082474229</v>
      </c>
      <c r="G436" s="34" t="s">
        <v>959</v>
      </c>
      <c r="H436" s="35" t="s">
        <v>959</v>
      </c>
      <c r="I436" s="34" t="str">
        <f>IF(OR(H436="-",H436="",H436=0),IF(G436="-","-",G436),G436-H436)</f>
        <v>-</v>
      </c>
      <c r="J436" s="4" t="str">
        <f>IFERROR(IF(G436&gt;0, H436/G436, 0),"-")</f>
        <v>-</v>
      </c>
      <c r="K436" s="34" t="s">
        <v>959</v>
      </c>
      <c r="L436" s="35" t="s">
        <v>959</v>
      </c>
      <c r="M436" s="34" t="str">
        <f>IF(OR(L436="-",L436="",L436=0),IF(K436="-","-",K436),K436-L436)</f>
        <v>-</v>
      </c>
      <c r="N436" s="4" t="str">
        <f>IFERROR(IF(K436&gt;0, L436/K436, 0),"-")</f>
        <v>-</v>
      </c>
      <c r="O436" s="34" t="s">
        <v>959</v>
      </c>
      <c r="P436" s="35" t="s">
        <v>959</v>
      </c>
      <c r="Q436" s="34" t="str">
        <f>IF(OR(P436="-",P436="",P436=0),IF(O436="-","-",O436),O436-P436)</f>
        <v>-</v>
      </c>
      <c r="R436" s="4" t="str">
        <f>IFERROR(IF(O436&gt;0, P436/O436, 0),"-")</f>
        <v>-</v>
      </c>
      <c r="S436" s="34" t="s">
        <v>959</v>
      </c>
      <c r="T436" s="34" t="s">
        <v>959</v>
      </c>
      <c r="U436" s="34" t="s">
        <v>959</v>
      </c>
      <c r="V436" s="35" t="s">
        <v>959</v>
      </c>
      <c r="W436" s="35" t="s">
        <v>959</v>
      </c>
    </row>
    <row r="437" spans="1:23" x14ac:dyDescent="0.2">
      <c r="A437" s="29"/>
      <c r="B437" s="29" t="s">
        <v>14</v>
      </c>
      <c r="C437" s="32">
        <v>684</v>
      </c>
      <c r="D437" s="32">
        <v>670</v>
      </c>
      <c r="E437" s="32">
        <f>IF(OR(D437="-",D437="",D437=0),IF(C437="-","-",C437),C437-D437)</f>
        <v>14</v>
      </c>
      <c r="F437" s="36">
        <f>IFERROR(IF(C437&gt;0, D437/C437, 0),"-")</f>
        <v>0.97953216374269003</v>
      </c>
      <c r="G437" s="32">
        <v>4</v>
      </c>
      <c r="H437" s="32" t="s">
        <v>959</v>
      </c>
      <c r="I437" s="32">
        <f>IF(OR(H437="-",H437="",H437=0),IF(G437="-","-",G437),G437-H437)</f>
        <v>4</v>
      </c>
      <c r="J437" s="36" t="str">
        <f>IFERROR(IF(G437&gt;0, H437/G437, 0),"-")</f>
        <v>-</v>
      </c>
      <c r="K437" s="32">
        <v>1</v>
      </c>
      <c r="L437" s="32" t="s">
        <v>959</v>
      </c>
      <c r="M437" s="32">
        <f>IF(OR(L437="-",L437="",L437=0),IF(K437="-","-",K437),K437-L437)</f>
        <v>1</v>
      </c>
      <c r="N437" s="36" t="str">
        <f>IFERROR(IF(K437&gt;0, L437/K437, 0),"-")</f>
        <v>-</v>
      </c>
      <c r="O437" s="32" t="s">
        <v>959</v>
      </c>
      <c r="P437" s="32" t="s">
        <v>959</v>
      </c>
      <c r="Q437" s="32" t="str">
        <f>IF(OR(P437="-",P437="",P437=0),IF(O437="-","-",O437),O437-P437)</f>
        <v>-</v>
      </c>
      <c r="R437" s="36" t="str">
        <f>IFERROR(IF(O437&gt;0, P437/O437, 0),"-")</f>
        <v>-</v>
      </c>
      <c r="S437" s="32" t="s">
        <v>959</v>
      </c>
      <c r="T437" s="32" t="s">
        <v>959</v>
      </c>
      <c r="U437" s="32" t="s">
        <v>959</v>
      </c>
      <c r="V437" s="32" t="s">
        <v>959</v>
      </c>
      <c r="W437" s="32" t="s">
        <v>959</v>
      </c>
    </row>
    <row r="438" spans="1:23" x14ac:dyDescent="0.2">
      <c r="A438" s="30" t="s">
        <v>381</v>
      </c>
      <c r="B438" s="30" t="s">
        <v>1152</v>
      </c>
      <c r="C438" s="34">
        <v>136</v>
      </c>
      <c r="D438" s="35">
        <v>132</v>
      </c>
      <c r="E438" s="34">
        <f>IF(OR(D438="-",D438="",D438=0),IF(C438="-","-",C438),C438-D438)</f>
        <v>4</v>
      </c>
      <c r="F438" s="4">
        <f>IFERROR(IF(C438&gt;0, D438/C438, 0),"-")</f>
        <v>0.97058823529411764</v>
      </c>
      <c r="G438" s="34">
        <v>2</v>
      </c>
      <c r="H438" s="35" t="s">
        <v>959</v>
      </c>
      <c r="I438" s="34">
        <f>IF(OR(H438="-",H438="",H438=0),IF(G438="-","-",G438),G438-H438)</f>
        <v>2</v>
      </c>
      <c r="J438" s="4" t="str">
        <f>IFERROR(IF(G438&gt;0, H438/G438, 0),"-")</f>
        <v>-</v>
      </c>
      <c r="K438" s="34">
        <v>1</v>
      </c>
      <c r="L438" s="35" t="s">
        <v>959</v>
      </c>
      <c r="M438" s="34">
        <f>IF(OR(L438="-",L438="",L438=0),IF(K438="-","-",K438),K438-L438)</f>
        <v>1</v>
      </c>
      <c r="N438" s="4" t="str">
        <f>IFERROR(IF(K438&gt;0, L438/K438, 0),"-")</f>
        <v>-</v>
      </c>
      <c r="O438" s="34" t="s">
        <v>959</v>
      </c>
      <c r="P438" s="35" t="s">
        <v>959</v>
      </c>
      <c r="Q438" s="34" t="str">
        <f>IF(OR(P438="-",P438="",P438=0),IF(O438="-","-",O438),O438-P438)</f>
        <v>-</v>
      </c>
      <c r="R438" s="4" t="str">
        <f>IFERROR(IF(O438&gt;0, P438/O438, 0),"-")</f>
        <v>-</v>
      </c>
      <c r="S438" s="34" t="s">
        <v>959</v>
      </c>
      <c r="T438" s="34" t="s">
        <v>959</v>
      </c>
      <c r="U438" s="34" t="s">
        <v>959</v>
      </c>
      <c r="V438" s="35" t="s">
        <v>959</v>
      </c>
      <c r="W438" s="35" t="s">
        <v>959</v>
      </c>
    </row>
    <row r="439" spans="1:23" x14ac:dyDescent="0.2">
      <c r="A439" s="30" t="s">
        <v>380</v>
      </c>
      <c r="B439" s="30" t="s">
        <v>1153</v>
      </c>
      <c r="C439" s="34">
        <v>153</v>
      </c>
      <c r="D439" s="35">
        <v>150</v>
      </c>
      <c r="E439" s="34">
        <f>IF(OR(D439="-",D439="",D439=0),IF(C439="-","-",C439),C439-D439)</f>
        <v>3</v>
      </c>
      <c r="F439" s="4">
        <f>IFERROR(IF(C439&gt;0, D439/C439, 0),"-")</f>
        <v>0.98039215686274506</v>
      </c>
      <c r="G439" s="34">
        <v>1</v>
      </c>
      <c r="H439" s="35" t="s">
        <v>959</v>
      </c>
      <c r="I439" s="34">
        <f>IF(OR(H439="-",H439="",H439=0),IF(G439="-","-",G439),G439-H439)</f>
        <v>1</v>
      </c>
      <c r="J439" s="4" t="str">
        <f>IFERROR(IF(G439&gt;0, H439/G439, 0),"-")</f>
        <v>-</v>
      </c>
      <c r="K439" s="34" t="s">
        <v>959</v>
      </c>
      <c r="L439" s="35" t="s">
        <v>959</v>
      </c>
      <c r="M439" s="34" t="str">
        <f>IF(OR(L439="-",L439="",L439=0),IF(K439="-","-",K439),K439-L439)</f>
        <v>-</v>
      </c>
      <c r="N439" s="4" t="str">
        <f>IFERROR(IF(K439&gt;0, L439/K439, 0),"-")</f>
        <v>-</v>
      </c>
      <c r="O439" s="34" t="s">
        <v>959</v>
      </c>
      <c r="P439" s="35" t="s">
        <v>959</v>
      </c>
      <c r="Q439" s="34" t="str">
        <f>IF(OR(P439="-",P439="",P439=0),IF(O439="-","-",O439),O439-P439)</f>
        <v>-</v>
      </c>
      <c r="R439" s="4" t="str">
        <f>IFERROR(IF(O439&gt;0, P439/O439, 0),"-")</f>
        <v>-</v>
      </c>
      <c r="S439" s="34" t="s">
        <v>959</v>
      </c>
      <c r="T439" s="34" t="s">
        <v>959</v>
      </c>
      <c r="U439" s="34" t="s">
        <v>959</v>
      </c>
      <c r="V439" s="35" t="s">
        <v>959</v>
      </c>
      <c r="W439" s="35" t="s">
        <v>959</v>
      </c>
    </row>
    <row r="440" spans="1:23" x14ac:dyDescent="0.2">
      <c r="A440" s="30" t="s">
        <v>379</v>
      </c>
      <c r="B440" s="30" t="s">
        <v>1154</v>
      </c>
      <c r="C440" s="34">
        <v>107</v>
      </c>
      <c r="D440" s="35">
        <v>104</v>
      </c>
      <c r="E440" s="34">
        <f>IF(OR(D440="-",D440="",D440=0),IF(C440="-","-",C440),C440-D440)</f>
        <v>3</v>
      </c>
      <c r="F440" s="4">
        <f>IFERROR(IF(C440&gt;0, D440/C440, 0),"-")</f>
        <v>0.9719626168224299</v>
      </c>
      <c r="G440" s="34" t="s">
        <v>959</v>
      </c>
      <c r="H440" s="35" t="s">
        <v>959</v>
      </c>
      <c r="I440" s="34" t="str">
        <f>IF(OR(H440="-",H440="",H440=0),IF(G440="-","-",G440),G440-H440)</f>
        <v>-</v>
      </c>
      <c r="J440" s="4" t="str">
        <f>IFERROR(IF(G440&gt;0, H440/G440, 0),"-")</f>
        <v>-</v>
      </c>
      <c r="K440" s="34" t="s">
        <v>959</v>
      </c>
      <c r="L440" s="35" t="s">
        <v>959</v>
      </c>
      <c r="M440" s="34" t="str">
        <f>IF(OR(L440="-",L440="",L440=0),IF(K440="-","-",K440),K440-L440)</f>
        <v>-</v>
      </c>
      <c r="N440" s="4" t="str">
        <f>IFERROR(IF(K440&gt;0, L440/K440, 0),"-")</f>
        <v>-</v>
      </c>
      <c r="O440" s="34" t="s">
        <v>959</v>
      </c>
      <c r="P440" s="35" t="s">
        <v>959</v>
      </c>
      <c r="Q440" s="34" t="str">
        <f>IF(OR(P440="-",P440="",P440=0),IF(O440="-","-",O440),O440-P440)</f>
        <v>-</v>
      </c>
      <c r="R440" s="4" t="str">
        <f>IFERROR(IF(O440&gt;0, P440/O440, 0),"-")</f>
        <v>-</v>
      </c>
      <c r="S440" s="34" t="s">
        <v>959</v>
      </c>
      <c r="T440" s="34" t="s">
        <v>959</v>
      </c>
      <c r="U440" s="34" t="s">
        <v>959</v>
      </c>
      <c r="V440" s="35" t="s">
        <v>959</v>
      </c>
      <c r="W440" s="35" t="s">
        <v>959</v>
      </c>
    </row>
    <row r="441" spans="1:23" x14ac:dyDescent="0.2">
      <c r="A441" s="30" t="s">
        <v>378</v>
      </c>
      <c r="B441" s="30" t="s">
        <v>1155</v>
      </c>
      <c r="C441" s="34">
        <v>161</v>
      </c>
      <c r="D441" s="35">
        <v>160</v>
      </c>
      <c r="E441" s="34">
        <f>IF(OR(D441="-",D441="",D441=0),IF(C441="-","-",C441),C441-D441)</f>
        <v>1</v>
      </c>
      <c r="F441" s="4">
        <f>IFERROR(IF(C441&gt;0, D441/C441, 0),"-")</f>
        <v>0.99378881987577639</v>
      </c>
      <c r="G441" s="34" t="s">
        <v>959</v>
      </c>
      <c r="H441" s="35" t="s">
        <v>959</v>
      </c>
      <c r="I441" s="34" t="str">
        <f>IF(OR(H441="-",H441="",H441=0),IF(G441="-","-",G441),G441-H441)</f>
        <v>-</v>
      </c>
      <c r="J441" s="4" t="str">
        <f>IFERROR(IF(G441&gt;0, H441/G441, 0),"-")</f>
        <v>-</v>
      </c>
      <c r="K441" s="34" t="s">
        <v>959</v>
      </c>
      <c r="L441" s="35" t="s">
        <v>959</v>
      </c>
      <c r="M441" s="34" t="str">
        <f>IF(OR(L441="-",L441="",L441=0),IF(K441="-","-",K441),K441-L441)</f>
        <v>-</v>
      </c>
      <c r="N441" s="4" t="str">
        <f>IFERROR(IF(K441&gt;0, L441/K441, 0),"-")</f>
        <v>-</v>
      </c>
      <c r="O441" s="34" t="s">
        <v>959</v>
      </c>
      <c r="P441" s="35" t="s">
        <v>959</v>
      </c>
      <c r="Q441" s="34" t="str">
        <f>IF(OR(P441="-",P441="",P441=0),IF(O441="-","-",O441),O441-P441)</f>
        <v>-</v>
      </c>
      <c r="R441" s="4" t="str">
        <f>IFERROR(IF(O441&gt;0, P441/O441, 0),"-")</f>
        <v>-</v>
      </c>
      <c r="S441" s="34" t="s">
        <v>959</v>
      </c>
      <c r="T441" s="34" t="s">
        <v>959</v>
      </c>
      <c r="U441" s="34" t="s">
        <v>959</v>
      </c>
      <c r="V441" s="35" t="s">
        <v>959</v>
      </c>
      <c r="W441" s="35" t="s">
        <v>959</v>
      </c>
    </row>
    <row r="442" spans="1:23" x14ac:dyDescent="0.2">
      <c r="A442" s="30" t="s">
        <v>377</v>
      </c>
      <c r="B442" s="30" t="s">
        <v>1156</v>
      </c>
      <c r="C442" s="34">
        <v>127</v>
      </c>
      <c r="D442" s="35">
        <v>124</v>
      </c>
      <c r="E442" s="34">
        <f>IF(OR(D442="-",D442="",D442=0),IF(C442="-","-",C442),C442-D442)</f>
        <v>3</v>
      </c>
      <c r="F442" s="4">
        <f>IFERROR(IF(C442&gt;0, D442/C442, 0),"-")</f>
        <v>0.97637795275590555</v>
      </c>
      <c r="G442" s="34">
        <v>1</v>
      </c>
      <c r="H442" s="35" t="s">
        <v>959</v>
      </c>
      <c r="I442" s="34">
        <f>IF(OR(H442="-",H442="",H442=0),IF(G442="-","-",G442),G442-H442)</f>
        <v>1</v>
      </c>
      <c r="J442" s="4" t="str">
        <f>IFERROR(IF(G442&gt;0, H442/G442, 0),"-")</f>
        <v>-</v>
      </c>
      <c r="K442" s="34" t="s">
        <v>959</v>
      </c>
      <c r="L442" s="35" t="s">
        <v>959</v>
      </c>
      <c r="M442" s="34" t="str">
        <f>IF(OR(L442="-",L442="",L442=0),IF(K442="-","-",K442),K442-L442)</f>
        <v>-</v>
      </c>
      <c r="N442" s="4" t="str">
        <f>IFERROR(IF(K442&gt;0, L442/K442, 0),"-")</f>
        <v>-</v>
      </c>
      <c r="O442" s="34" t="s">
        <v>959</v>
      </c>
      <c r="P442" s="35" t="s">
        <v>959</v>
      </c>
      <c r="Q442" s="34" t="str">
        <f>IF(OR(P442="-",P442="",P442=0),IF(O442="-","-",O442),O442-P442)</f>
        <v>-</v>
      </c>
      <c r="R442" s="4" t="str">
        <f>IFERROR(IF(O442&gt;0, P442/O442, 0),"-")</f>
        <v>-</v>
      </c>
      <c r="S442" s="34" t="s">
        <v>959</v>
      </c>
      <c r="T442" s="34" t="s">
        <v>959</v>
      </c>
      <c r="U442" s="34" t="s">
        <v>959</v>
      </c>
      <c r="V442" s="35" t="s">
        <v>959</v>
      </c>
      <c r="W442" s="35" t="s">
        <v>959</v>
      </c>
    </row>
    <row r="443" spans="1:23" x14ac:dyDescent="0.2">
      <c r="A443" s="29"/>
      <c r="B443" s="29" t="s">
        <v>98</v>
      </c>
      <c r="C443" s="32">
        <v>423</v>
      </c>
      <c r="D443" s="32">
        <v>415</v>
      </c>
      <c r="E443" s="32">
        <f>IF(OR(D443="-",D443="",D443=0),IF(C443="-","-",C443),C443-D443)</f>
        <v>8</v>
      </c>
      <c r="F443" s="36">
        <f>IFERROR(IF(C443&gt;0, D443/C443, 0),"-")</f>
        <v>0.98108747044917255</v>
      </c>
      <c r="G443" s="32">
        <v>4</v>
      </c>
      <c r="H443" s="32">
        <v>1</v>
      </c>
      <c r="I443" s="32">
        <f>IF(OR(H443="-",H443="",H443=0),IF(G443="-","-",G443),G443-H443)</f>
        <v>3</v>
      </c>
      <c r="J443" s="36">
        <f>IFERROR(IF(G443&gt;0, H443/G443, 0),"-")</f>
        <v>0.25</v>
      </c>
      <c r="K443" s="32" t="s">
        <v>959</v>
      </c>
      <c r="L443" s="32" t="s">
        <v>959</v>
      </c>
      <c r="M443" s="32" t="str">
        <f>IF(OR(L443="-",L443="",L443=0),IF(K443="-","-",K443),K443-L443)</f>
        <v>-</v>
      </c>
      <c r="N443" s="36" t="str">
        <f>IFERROR(IF(K443&gt;0, L443/K443, 0),"-")</f>
        <v>-</v>
      </c>
      <c r="O443" s="32">
        <v>1</v>
      </c>
      <c r="P443" s="32" t="s">
        <v>959</v>
      </c>
      <c r="Q443" s="32">
        <f>IF(OR(P443="-",P443="",P443=0),IF(O443="-","-",O443),O443-P443)</f>
        <v>1</v>
      </c>
      <c r="R443" s="36" t="str">
        <f>IFERROR(IF(O443&gt;0, P443/O443, 0),"-")</f>
        <v>-</v>
      </c>
      <c r="S443" s="32">
        <v>8</v>
      </c>
      <c r="T443" s="32" t="s">
        <v>959</v>
      </c>
      <c r="U443" s="32" t="s">
        <v>959</v>
      </c>
      <c r="V443" s="32" t="s">
        <v>959</v>
      </c>
      <c r="W443" s="32" t="s">
        <v>959</v>
      </c>
    </row>
    <row r="444" spans="1:23" x14ac:dyDescent="0.2">
      <c r="A444" s="30" t="s">
        <v>695</v>
      </c>
      <c r="B444" s="30" t="s">
        <v>1157</v>
      </c>
      <c r="C444" s="34">
        <v>101</v>
      </c>
      <c r="D444" s="35">
        <v>99</v>
      </c>
      <c r="E444" s="34">
        <f>IF(OR(D444="-",D444="",D444=0),IF(C444="-","-",C444),C444-D444)</f>
        <v>2</v>
      </c>
      <c r="F444" s="4">
        <f>IFERROR(IF(C444&gt;0, D444/C444, 0),"-")</f>
        <v>0.98019801980198018</v>
      </c>
      <c r="G444" s="34">
        <v>1</v>
      </c>
      <c r="H444" s="35" t="s">
        <v>959</v>
      </c>
      <c r="I444" s="34">
        <f>IF(OR(H444="-",H444="",H444=0),IF(G444="-","-",G444),G444-H444)</f>
        <v>1</v>
      </c>
      <c r="J444" s="4" t="str">
        <f>IFERROR(IF(G444&gt;0, H444/G444, 0),"-")</f>
        <v>-</v>
      </c>
      <c r="K444" s="34" t="s">
        <v>959</v>
      </c>
      <c r="L444" s="35" t="s">
        <v>959</v>
      </c>
      <c r="M444" s="34" t="str">
        <f>IF(OR(L444="-",L444="",L444=0),IF(K444="-","-",K444),K444-L444)</f>
        <v>-</v>
      </c>
      <c r="N444" s="4" t="str">
        <f>IFERROR(IF(K444&gt;0, L444/K444, 0),"-")</f>
        <v>-</v>
      </c>
      <c r="O444" s="34" t="s">
        <v>959</v>
      </c>
      <c r="P444" s="35" t="s">
        <v>959</v>
      </c>
      <c r="Q444" s="34" t="str">
        <f>IF(OR(P444="-",P444="",P444=0),IF(O444="-","-",O444),O444-P444)</f>
        <v>-</v>
      </c>
      <c r="R444" s="4" t="str">
        <f>IFERROR(IF(O444&gt;0, P444/O444, 0),"-")</f>
        <v>-</v>
      </c>
      <c r="S444" s="34" t="s">
        <v>959</v>
      </c>
      <c r="T444" s="34" t="s">
        <v>959</v>
      </c>
      <c r="U444" s="34" t="s">
        <v>959</v>
      </c>
      <c r="V444" s="35" t="s">
        <v>959</v>
      </c>
      <c r="W444" s="35" t="s">
        <v>959</v>
      </c>
    </row>
    <row r="445" spans="1:23" x14ac:dyDescent="0.2">
      <c r="A445" s="30" t="s">
        <v>693</v>
      </c>
      <c r="B445" s="30" t="s">
        <v>1158</v>
      </c>
      <c r="C445" s="34">
        <v>58</v>
      </c>
      <c r="D445" s="35">
        <v>58</v>
      </c>
      <c r="E445" s="34">
        <f>IF(OR(D445="-",D445="",D445=0),IF(C445="-","-",C445),C445-D445)</f>
        <v>0</v>
      </c>
      <c r="F445" s="4">
        <f>IFERROR(IF(C445&gt;0, D445/C445, 0),"-")</f>
        <v>1</v>
      </c>
      <c r="G445" s="34">
        <v>1</v>
      </c>
      <c r="H445" s="35" t="s">
        <v>959</v>
      </c>
      <c r="I445" s="34">
        <f>IF(OR(H445="-",H445="",H445=0),IF(G445="-","-",G445),G445-H445)</f>
        <v>1</v>
      </c>
      <c r="J445" s="4" t="str">
        <f>IFERROR(IF(G445&gt;0, H445/G445, 0),"-")</f>
        <v>-</v>
      </c>
      <c r="K445" s="34" t="s">
        <v>959</v>
      </c>
      <c r="L445" s="35" t="s">
        <v>959</v>
      </c>
      <c r="M445" s="34" t="str">
        <f>IF(OR(L445="-",L445="",L445=0),IF(K445="-","-",K445),K445-L445)</f>
        <v>-</v>
      </c>
      <c r="N445" s="4" t="str">
        <f>IFERROR(IF(K445&gt;0, L445/K445, 0),"-")</f>
        <v>-</v>
      </c>
      <c r="O445" s="34" t="s">
        <v>959</v>
      </c>
      <c r="P445" s="35" t="s">
        <v>959</v>
      </c>
      <c r="Q445" s="34" t="str">
        <f>IF(OR(P445="-",P445="",P445=0),IF(O445="-","-",O445),O445-P445)</f>
        <v>-</v>
      </c>
      <c r="R445" s="4" t="str">
        <f>IFERROR(IF(O445&gt;0, P445/O445, 0),"-")</f>
        <v>-</v>
      </c>
      <c r="S445" s="34">
        <v>3</v>
      </c>
      <c r="T445" s="34" t="s">
        <v>959</v>
      </c>
      <c r="U445" s="34" t="s">
        <v>959</v>
      </c>
      <c r="V445" s="35" t="s">
        <v>959</v>
      </c>
      <c r="W445" s="35" t="s">
        <v>959</v>
      </c>
    </row>
    <row r="446" spans="1:23" x14ac:dyDescent="0.2">
      <c r="A446" s="30" t="s">
        <v>691</v>
      </c>
      <c r="B446" s="30" t="s">
        <v>1159</v>
      </c>
      <c r="C446" s="34">
        <v>45</v>
      </c>
      <c r="D446" s="35">
        <v>43</v>
      </c>
      <c r="E446" s="34">
        <f>IF(OR(D446="-",D446="",D446=0),IF(C446="-","-",C446),C446-D446)</f>
        <v>2</v>
      </c>
      <c r="F446" s="4">
        <f>IFERROR(IF(C446&gt;0, D446/C446, 0),"-")</f>
        <v>0.9555555555555556</v>
      </c>
      <c r="G446" s="34">
        <v>1</v>
      </c>
      <c r="H446" s="35" t="s">
        <v>959</v>
      </c>
      <c r="I446" s="34">
        <f>IF(OR(H446="-",H446="",H446=0),IF(G446="-","-",G446),G446-H446)</f>
        <v>1</v>
      </c>
      <c r="J446" s="4" t="str">
        <f>IFERROR(IF(G446&gt;0, H446/G446, 0),"-")</f>
        <v>-</v>
      </c>
      <c r="K446" s="34" t="s">
        <v>959</v>
      </c>
      <c r="L446" s="35" t="s">
        <v>959</v>
      </c>
      <c r="M446" s="34" t="str">
        <f>IF(OR(L446="-",L446="",L446=0),IF(K446="-","-",K446),K446-L446)</f>
        <v>-</v>
      </c>
      <c r="N446" s="4" t="str">
        <f>IFERROR(IF(K446&gt;0, L446/K446, 0),"-")</f>
        <v>-</v>
      </c>
      <c r="O446" s="34" t="s">
        <v>959</v>
      </c>
      <c r="P446" s="35" t="s">
        <v>959</v>
      </c>
      <c r="Q446" s="34" t="str">
        <f>IF(OR(P446="-",P446="",P446=0),IF(O446="-","-",O446),O446-P446)</f>
        <v>-</v>
      </c>
      <c r="R446" s="4" t="str">
        <f>IFERROR(IF(O446&gt;0, P446/O446, 0),"-")</f>
        <v>-</v>
      </c>
      <c r="S446" s="34" t="s">
        <v>959</v>
      </c>
      <c r="T446" s="34" t="s">
        <v>959</v>
      </c>
      <c r="U446" s="34" t="s">
        <v>959</v>
      </c>
      <c r="V446" s="35" t="s">
        <v>959</v>
      </c>
      <c r="W446" s="35" t="s">
        <v>959</v>
      </c>
    </row>
    <row r="447" spans="1:23" x14ac:dyDescent="0.2">
      <c r="A447" s="30" t="s">
        <v>692</v>
      </c>
      <c r="B447" s="30" t="s">
        <v>1160</v>
      </c>
      <c r="C447" s="34">
        <v>90</v>
      </c>
      <c r="D447" s="35">
        <v>87</v>
      </c>
      <c r="E447" s="34">
        <f>IF(OR(D447="-",D447="",D447=0),IF(C447="-","-",C447),C447-D447)</f>
        <v>3</v>
      </c>
      <c r="F447" s="4">
        <f>IFERROR(IF(C447&gt;0, D447/C447, 0),"-")</f>
        <v>0.96666666666666667</v>
      </c>
      <c r="G447" s="34">
        <v>1</v>
      </c>
      <c r="H447" s="35">
        <v>1</v>
      </c>
      <c r="I447" s="34">
        <f>IF(OR(H447="-",H447="",H447=0),IF(G447="-","-",G447),G447-H447)</f>
        <v>0</v>
      </c>
      <c r="J447" s="4">
        <f>IFERROR(IF(G447&gt;0, H447/G447, 0),"-")</f>
        <v>1</v>
      </c>
      <c r="K447" s="34" t="s">
        <v>959</v>
      </c>
      <c r="L447" s="35" t="s">
        <v>959</v>
      </c>
      <c r="M447" s="34" t="str">
        <f>IF(OR(L447="-",L447="",L447=0),IF(K447="-","-",K447),K447-L447)</f>
        <v>-</v>
      </c>
      <c r="N447" s="4" t="str">
        <f>IFERROR(IF(K447&gt;0, L447/K447, 0),"-")</f>
        <v>-</v>
      </c>
      <c r="O447" s="34">
        <v>1</v>
      </c>
      <c r="P447" s="35" t="s">
        <v>959</v>
      </c>
      <c r="Q447" s="34">
        <f>IF(OR(P447="-",P447="",P447=0),IF(O447="-","-",O447),O447-P447)</f>
        <v>1</v>
      </c>
      <c r="R447" s="4" t="str">
        <f>IFERROR(IF(O447&gt;0, P447/O447, 0),"-")</f>
        <v>-</v>
      </c>
      <c r="S447" s="34">
        <v>2</v>
      </c>
      <c r="T447" s="34" t="s">
        <v>959</v>
      </c>
      <c r="U447" s="34" t="s">
        <v>959</v>
      </c>
      <c r="V447" s="35" t="s">
        <v>959</v>
      </c>
      <c r="W447" s="35" t="s">
        <v>959</v>
      </c>
    </row>
    <row r="448" spans="1:23" x14ac:dyDescent="0.2">
      <c r="A448" s="30" t="s">
        <v>694</v>
      </c>
      <c r="B448" s="30" t="s">
        <v>1161</v>
      </c>
      <c r="C448" s="34">
        <v>129</v>
      </c>
      <c r="D448" s="35">
        <v>128</v>
      </c>
      <c r="E448" s="34">
        <f>IF(OR(D448="-",D448="",D448=0),IF(C448="-","-",C448),C448-D448)</f>
        <v>1</v>
      </c>
      <c r="F448" s="4">
        <f>IFERROR(IF(C448&gt;0, D448/C448, 0),"-")</f>
        <v>0.99224806201550386</v>
      </c>
      <c r="G448" s="34" t="s">
        <v>959</v>
      </c>
      <c r="H448" s="35" t="s">
        <v>959</v>
      </c>
      <c r="I448" s="34" t="str">
        <f>IF(OR(H448="-",H448="",H448=0),IF(G448="-","-",G448),G448-H448)</f>
        <v>-</v>
      </c>
      <c r="J448" s="4" t="str">
        <f>IFERROR(IF(G448&gt;0, H448/G448, 0),"-")</f>
        <v>-</v>
      </c>
      <c r="K448" s="34" t="s">
        <v>959</v>
      </c>
      <c r="L448" s="35" t="s">
        <v>959</v>
      </c>
      <c r="M448" s="34" t="str">
        <f>IF(OR(L448="-",L448="",L448=0),IF(K448="-","-",K448),K448-L448)</f>
        <v>-</v>
      </c>
      <c r="N448" s="4" t="str">
        <f>IFERROR(IF(K448&gt;0, L448/K448, 0),"-")</f>
        <v>-</v>
      </c>
      <c r="O448" s="34" t="s">
        <v>959</v>
      </c>
      <c r="P448" s="35" t="s">
        <v>959</v>
      </c>
      <c r="Q448" s="34" t="str">
        <f>IF(OR(P448="-",P448="",P448=0),IF(O448="-","-",O448),O448-P448)</f>
        <v>-</v>
      </c>
      <c r="R448" s="4" t="str">
        <f>IFERROR(IF(O448&gt;0, P448/O448, 0),"-")</f>
        <v>-</v>
      </c>
      <c r="S448" s="34">
        <v>3</v>
      </c>
      <c r="T448" s="34" t="s">
        <v>959</v>
      </c>
      <c r="U448" s="34" t="s">
        <v>959</v>
      </c>
      <c r="V448" s="35" t="s">
        <v>959</v>
      </c>
      <c r="W448" s="35" t="s">
        <v>959</v>
      </c>
    </row>
    <row r="449" spans="1:23" x14ac:dyDescent="0.2">
      <c r="A449" s="29"/>
      <c r="B449" s="29" t="s">
        <v>21</v>
      </c>
      <c r="C449" s="32">
        <v>518</v>
      </c>
      <c r="D449" s="32">
        <v>511</v>
      </c>
      <c r="E449" s="32">
        <f>IF(OR(D449="-",D449="",D449=0),IF(C449="-","-",C449),C449-D449)</f>
        <v>7</v>
      </c>
      <c r="F449" s="36">
        <f>IFERROR(IF(C449&gt;0, D449/C449, 0),"-")</f>
        <v>0.98648648648648651</v>
      </c>
      <c r="G449" s="32">
        <v>1</v>
      </c>
      <c r="H449" s="32" t="s">
        <v>959</v>
      </c>
      <c r="I449" s="32">
        <f>IF(OR(H449="-",H449="",H449=0),IF(G449="-","-",G449),G449-H449)</f>
        <v>1</v>
      </c>
      <c r="J449" s="36" t="str">
        <f>IFERROR(IF(G449&gt;0, H449/G449, 0),"-")</f>
        <v>-</v>
      </c>
      <c r="K449" s="32" t="s">
        <v>959</v>
      </c>
      <c r="L449" s="32" t="s">
        <v>959</v>
      </c>
      <c r="M449" s="32" t="str">
        <f>IF(OR(L449="-",L449="",L449=0),IF(K449="-","-",K449),K449-L449)</f>
        <v>-</v>
      </c>
      <c r="N449" s="36" t="str">
        <f>IFERROR(IF(K449&gt;0, L449/K449, 0),"-")</f>
        <v>-</v>
      </c>
      <c r="O449" s="32" t="s">
        <v>959</v>
      </c>
      <c r="P449" s="32" t="s">
        <v>959</v>
      </c>
      <c r="Q449" s="32" t="str">
        <f>IF(OR(P449="-",P449="",P449=0),IF(O449="-","-",O449),O449-P449)</f>
        <v>-</v>
      </c>
      <c r="R449" s="36" t="str">
        <f>IFERROR(IF(O449&gt;0, P449/O449, 0),"-")</f>
        <v>-</v>
      </c>
      <c r="S449" s="32">
        <v>1</v>
      </c>
      <c r="T449" s="32" t="s">
        <v>959</v>
      </c>
      <c r="U449" s="32" t="s">
        <v>959</v>
      </c>
      <c r="V449" s="32" t="s">
        <v>959</v>
      </c>
      <c r="W449" s="32" t="s">
        <v>959</v>
      </c>
    </row>
    <row r="450" spans="1:23" x14ac:dyDescent="0.2">
      <c r="A450" s="30" t="s">
        <v>651</v>
      </c>
      <c r="B450" s="30" t="s">
        <v>1162</v>
      </c>
      <c r="C450" s="34">
        <v>115</v>
      </c>
      <c r="D450" s="35">
        <v>115</v>
      </c>
      <c r="E450" s="34">
        <f>IF(OR(D450="-",D450="",D450=0),IF(C450="-","-",C450),C450-D450)</f>
        <v>0</v>
      </c>
      <c r="F450" s="4">
        <f>IFERROR(IF(C450&gt;0, D450/C450, 0),"-")</f>
        <v>1</v>
      </c>
      <c r="G450" s="34">
        <v>1</v>
      </c>
      <c r="H450" s="35" t="s">
        <v>959</v>
      </c>
      <c r="I450" s="34">
        <f>IF(OR(H450="-",H450="",H450=0),IF(G450="-","-",G450),G450-H450)</f>
        <v>1</v>
      </c>
      <c r="J450" s="4" t="str">
        <f>IFERROR(IF(G450&gt;0, H450/G450, 0),"-")</f>
        <v>-</v>
      </c>
      <c r="K450" s="34" t="s">
        <v>959</v>
      </c>
      <c r="L450" s="35" t="s">
        <v>959</v>
      </c>
      <c r="M450" s="34" t="str">
        <f>IF(OR(L450="-",L450="",L450=0),IF(K450="-","-",K450),K450-L450)</f>
        <v>-</v>
      </c>
      <c r="N450" s="4" t="str">
        <f>IFERROR(IF(K450&gt;0, L450/K450, 0),"-")</f>
        <v>-</v>
      </c>
      <c r="O450" s="34" t="s">
        <v>959</v>
      </c>
      <c r="P450" s="35" t="s">
        <v>959</v>
      </c>
      <c r="Q450" s="34" t="str">
        <f>IF(OR(P450="-",P450="",P450=0),IF(O450="-","-",O450),O450-P450)</f>
        <v>-</v>
      </c>
      <c r="R450" s="4" t="str">
        <f>IFERROR(IF(O450&gt;0, P450/O450, 0),"-")</f>
        <v>-</v>
      </c>
      <c r="S450" s="34" t="s">
        <v>959</v>
      </c>
      <c r="T450" s="34" t="s">
        <v>959</v>
      </c>
      <c r="U450" s="34" t="s">
        <v>959</v>
      </c>
      <c r="V450" s="35" t="s">
        <v>959</v>
      </c>
      <c r="W450" s="35" t="s">
        <v>959</v>
      </c>
    </row>
    <row r="451" spans="1:23" x14ac:dyDescent="0.2">
      <c r="A451" s="30" t="s">
        <v>653</v>
      </c>
      <c r="B451" s="30" t="s">
        <v>1163</v>
      </c>
      <c r="C451" s="34">
        <v>66</v>
      </c>
      <c r="D451" s="35">
        <v>65</v>
      </c>
      <c r="E451" s="34">
        <f>IF(OR(D451="-",D451="",D451=0),IF(C451="-","-",C451),C451-D451)</f>
        <v>1</v>
      </c>
      <c r="F451" s="4">
        <f>IFERROR(IF(C451&gt;0, D451/C451, 0),"-")</f>
        <v>0.98484848484848486</v>
      </c>
      <c r="G451" s="34" t="s">
        <v>959</v>
      </c>
      <c r="H451" s="35" t="s">
        <v>959</v>
      </c>
      <c r="I451" s="34" t="str">
        <f>IF(OR(H451="-",H451="",H451=0),IF(G451="-","-",G451),G451-H451)</f>
        <v>-</v>
      </c>
      <c r="J451" s="4" t="str">
        <f>IFERROR(IF(G451&gt;0, H451/G451, 0),"-")</f>
        <v>-</v>
      </c>
      <c r="K451" s="34" t="s">
        <v>959</v>
      </c>
      <c r="L451" s="35" t="s">
        <v>959</v>
      </c>
      <c r="M451" s="34" t="str">
        <f>IF(OR(L451="-",L451="",L451=0),IF(K451="-","-",K451),K451-L451)</f>
        <v>-</v>
      </c>
      <c r="N451" s="4" t="str">
        <f>IFERROR(IF(K451&gt;0, L451/K451, 0),"-")</f>
        <v>-</v>
      </c>
      <c r="O451" s="34" t="s">
        <v>959</v>
      </c>
      <c r="P451" s="35" t="s">
        <v>959</v>
      </c>
      <c r="Q451" s="34" t="str">
        <f>IF(OR(P451="-",P451="",P451=0),IF(O451="-","-",O451),O451-P451)</f>
        <v>-</v>
      </c>
      <c r="R451" s="4" t="str">
        <f>IFERROR(IF(O451&gt;0, P451/O451, 0),"-")</f>
        <v>-</v>
      </c>
      <c r="S451" s="34" t="s">
        <v>959</v>
      </c>
      <c r="T451" s="34" t="s">
        <v>959</v>
      </c>
      <c r="U451" s="34" t="s">
        <v>959</v>
      </c>
      <c r="V451" s="35" t="s">
        <v>959</v>
      </c>
      <c r="W451" s="35" t="s">
        <v>959</v>
      </c>
    </row>
    <row r="452" spans="1:23" x14ac:dyDescent="0.2">
      <c r="A452" s="30" t="s">
        <v>655</v>
      </c>
      <c r="B452" s="30" t="s">
        <v>1164</v>
      </c>
      <c r="C452" s="34">
        <v>51</v>
      </c>
      <c r="D452" s="35">
        <v>50</v>
      </c>
      <c r="E452" s="34">
        <f>IF(OR(D452="-",D452="",D452=0),IF(C452="-","-",C452),C452-D452)</f>
        <v>1</v>
      </c>
      <c r="F452" s="4">
        <f>IFERROR(IF(C452&gt;0, D452/C452, 0),"-")</f>
        <v>0.98039215686274506</v>
      </c>
      <c r="G452" s="34" t="s">
        <v>959</v>
      </c>
      <c r="H452" s="35" t="s">
        <v>959</v>
      </c>
      <c r="I452" s="34" t="str">
        <f>IF(OR(H452="-",H452="",H452=0),IF(G452="-","-",G452),G452-H452)</f>
        <v>-</v>
      </c>
      <c r="J452" s="4" t="str">
        <f>IFERROR(IF(G452&gt;0, H452/G452, 0),"-")</f>
        <v>-</v>
      </c>
      <c r="K452" s="34" t="s">
        <v>959</v>
      </c>
      <c r="L452" s="35" t="s">
        <v>959</v>
      </c>
      <c r="M452" s="34" t="str">
        <f>IF(OR(L452="-",L452="",L452=0),IF(K452="-","-",K452),K452-L452)</f>
        <v>-</v>
      </c>
      <c r="N452" s="4" t="str">
        <f>IFERROR(IF(K452&gt;0, L452/K452, 0),"-")</f>
        <v>-</v>
      </c>
      <c r="O452" s="34" t="s">
        <v>959</v>
      </c>
      <c r="P452" s="35" t="s">
        <v>959</v>
      </c>
      <c r="Q452" s="34" t="str">
        <f>IF(OR(P452="-",P452="",P452=0),IF(O452="-","-",O452),O452-P452)</f>
        <v>-</v>
      </c>
      <c r="R452" s="4" t="str">
        <f>IFERROR(IF(O452&gt;0, P452/O452, 0),"-")</f>
        <v>-</v>
      </c>
      <c r="S452" s="34">
        <v>1</v>
      </c>
      <c r="T452" s="34" t="s">
        <v>959</v>
      </c>
      <c r="U452" s="34" t="s">
        <v>959</v>
      </c>
      <c r="V452" s="35" t="s">
        <v>959</v>
      </c>
      <c r="W452" s="35" t="s">
        <v>959</v>
      </c>
    </row>
    <row r="453" spans="1:23" x14ac:dyDescent="0.2">
      <c r="A453" s="30" t="s">
        <v>652</v>
      </c>
      <c r="B453" s="30" t="s">
        <v>1165</v>
      </c>
      <c r="C453" s="34">
        <v>61</v>
      </c>
      <c r="D453" s="35">
        <v>60</v>
      </c>
      <c r="E453" s="34">
        <f>IF(OR(D453="-",D453="",D453=0),IF(C453="-","-",C453),C453-D453)</f>
        <v>1</v>
      </c>
      <c r="F453" s="4">
        <f>IFERROR(IF(C453&gt;0, D453/C453, 0),"-")</f>
        <v>0.98360655737704916</v>
      </c>
      <c r="G453" s="34" t="s">
        <v>959</v>
      </c>
      <c r="H453" s="35" t="s">
        <v>959</v>
      </c>
      <c r="I453" s="34" t="str">
        <f>IF(OR(H453="-",H453="",H453=0),IF(G453="-","-",G453),G453-H453)</f>
        <v>-</v>
      </c>
      <c r="J453" s="4" t="str">
        <f>IFERROR(IF(G453&gt;0, H453/G453, 0),"-")</f>
        <v>-</v>
      </c>
      <c r="K453" s="34" t="s">
        <v>959</v>
      </c>
      <c r="L453" s="35" t="s">
        <v>959</v>
      </c>
      <c r="M453" s="34" t="str">
        <f>IF(OR(L453="-",L453="",L453=0),IF(K453="-","-",K453),K453-L453)</f>
        <v>-</v>
      </c>
      <c r="N453" s="4" t="str">
        <f>IFERROR(IF(K453&gt;0, L453/K453, 0),"-")</f>
        <v>-</v>
      </c>
      <c r="O453" s="34" t="s">
        <v>959</v>
      </c>
      <c r="P453" s="35" t="s">
        <v>959</v>
      </c>
      <c r="Q453" s="34" t="str">
        <f>IF(OR(P453="-",P453="",P453=0),IF(O453="-","-",O453),O453-P453)</f>
        <v>-</v>
      </c>
      <c r="R453" s="4" t="str">
        <f>IFERROR(IF(O453&gt;0, P453/O453, 0),"-")</f>
        <v>-</v>
      </c>
      <c r="S453" s="34" t="s">
        <v>959</v>
      </c>
      <c r="T453" s="34" t="s">
        <v>959</v>
      </c>
      <c r="U453" s="34" t="s">
        <v>959</v>
      </c>
      <c r="V453" s="35" t="s">
        <v>959</v>
      </c>
      <c r="W453" s="35" t="s">
        <v>959</v>
      </c>
    </row>
    <row r="454" spans="1:23" x14ac:dyDescent="0.2">
      <c r="A454" s="30" t="s">
        <v>654</v>
      </c>
      <c r="B454" s="30" t="s">
        <v>1166</v>
      </c>
      <c r="C454" s="34">
        <v>17</v>
      </c>
      <c r="D454" s="35">
        <v>17</v>
      </c>
      <c r="E454" s="34">
        <f>IF(OR(D454="-",D454="",D454=0),IF(C454="-","-",C454),C454-D454)</f>
        <v>0</v>
      </c>
      <c r="F454" s="4">
        <f>IFERROR(IF(C454&gt;0, D454/C454, 0),"-")</f>
        <v>1</v>
      </c>
      <c r="G454" s="34" t="s">
        <v>959</v>
      </c>
      <c r="H454" s="35" t="s">
        <v>959</v>
      </c>
      <c r="I454" s="34" t="str">
        <f>IF(OR(H454="-",H454="",H454=0),IF(G454="-","-",G454),G454-H454)</f>
        <v>-</v>
      </c>
      <c r="J454" s="4" t="str">
        <f>IFERROR(IF(G454&gt;0, H454/G454, 0),"-")</f>
        <v>-</v>
      </c>
      <c r="K454" s="34" t="s">
        <v>959</v>
      </c>
      <c r="L454" s="35" t="s">
        <v>959</v>
      </c>
      <c r="M454" s="34" t="str">
        <f>IF(OR(L454="-",L454="",L454=0),IF(K454="-","-",K454),K454-L454)</f>
        <v>-</v>
      </c>
      <c r="N454" s="4" t="str">
        <f>IFERROR(IF(K454&gt;0, L454/K454, 0),"-")</f>
        <v>-</v>
      </c>
      <c r="O454" s="34" t="s">
        <v>959</v>
      </c>
      <c r="P454" s="35" t="s">
        <v>959</v>
      </c>
      <c r="Q454" s="34" t="str">
        <f>IF(OR(P454="-",P454="",P454=0),IF(O454="-","-",O454),O454-P454)</f>
        <v>-</v>
      </c>
      <c r="R454" s="4" t="str">
        <f>IFERROR(IF(O454&gt;0, P454/O454, 0),"-")</f>
        <v>-</v>
      </c>
      <c r="S454" s="34" t="s">
        <v>959</v>
      </c>
      <c r="T454" s="34" t="s">
        <v>959</v>
      </c>
      <c r="U454" s="34" t="s">
        <v>959</v>
      </c>
      <c r="V454" s="35" t="s">
        <v>959</v>
      </c>
      <c r="W454" s="35" t="s">
        <v>959</v>
      </c>
    </row>
    <row r="455" spans="1:23" x14ac:dyDescent="0.2">
      <c r="A455" s="30" t="s">
        <v>647</v>
      </c>
      <c r="B455" s="30" t="s">
        <v>1167</v>
      </c>
      <c r="C455" s="34">
        <v>55</v>
      </c>
      <c r="D455" s="35">
        <v>54</v>
      </c>
      <c r="E455" s="34">
        <f>IF(OR(D455="-",D455="",D455=0),IF(C455="-","-",C455),C455-D455)</f>
        <v>1</v>
      </c>
      <c r="F455" s="4">
        <f>IFERROR(IF(C455&gt;0, D455/C455, 0),"-")</f>
        <v>0.98181818181818181</v>
      </c>
      <c r="G455" s="34" t="s">
        <v>959</v>
      </c>
      <c r="H455" s="35" t="s">
        <v>959</v>
      </c>
      <c r="I455" s="34" t="str">
        <f>IF(OR(H455="-",H455="",H455=0),IF(G455="-","-",G455),G455-H455)</f>
        <v>-</v>
      </c>
      <c r="J455" s="4" t="str">
        <f>IFERROR(IF(G455&gt;0, H455/G455, 0),"-")</f>
        <v>-</v>
      </c>
      <c r="K455" s="34" t="s">
        <v>959</v>
      </c>
      <c r="L455" s="35" t="s">
        <v>959</v>
      </c>
      <c r="M455" s="34" t="str">
        <f>IF(OR(L455="-",L455="",L455=0),IF(K455="-","-",K455),K455-L455)</f>
        <v>-</v>
      </c>
      <c r="N455" s="4" t="str">
        <f>IFERROR(IF(K455&gt;0, L455/K455, 0),"-")</f>
        <v>-</v>
      </c>
      <c r="O455" s="34" t="s">
        <v>959</v>
      </c>
      <c r="P455" s="35" t="s">
        <v>959</v>
      </c>
      <c r="Q455" s="34" t="str">
        <f>IF(OR(P455="-",P455="",P455=0),IF(O455="-","-",O455),O455-P455)</f>
        <v>-</v>
      </c>
      <c r="R455" s="4" t="str">
        <f>IFERROR(IF(O455&gt;0, P455/O455, 0),"-")</f>
        <v>-</v>
      </c>
      <c r="S455" s="34" t="s">
        <v>959</v>
      </c>
      <c r="T455" s="34" t="s">
        <v>959</v>
      </c>
      <c r="U455" s="34" t="s">
        <v>959</v>
      </c>
      <c r="V455" s="35" t="s">
        <v>959</v>
      </c>
      <c r="W455" s="35" t="s">
        <v>959</v>
      </c>
    </row>
    <row r="456" spans="1:23" x14ac:dyDescent="0.2">
      <c r="A456" s="30" t="s">
        <v>650</v>
      </c>
      <c r="B456" s="30" t="s">
        <v>1168</v>
      </c>
      <c r="C456" s="34">
        <v>52</v>
      </c>
      <c r="D456" s="35">
        <v>49</v>
      </c>
      <c r="E456" s="34">
        <f>IF(OR(D456="-",D456="",D456=0),IF(C456="-","-",C456),C456-D456)</f>
        <v>3</v>
      </c>
      <c r="F456" s="4">
        <f>IFERROR(IF(C456&gt;0, D456/C456, 0),"-")</f>
        <v>0.94230769230769229</v>
      </c>
      <c r="G456" s="34" t="s">
        <v>959</v>
      </c>
      <c r="H456" s="35" t="s">
        <v>959</v>
      </c>
      <c r="I456" s="34" t="str">
        <f>IF(OR(H456="-",H456="",H456=0),IF(G456="-","-",G456),G456-H456)</f>
        <v>-</v>
      </c>
      <c r="J456" s="4" t="str">
        <f>IFERROR(IF(G456&gt;0, H456/G456, 0),"-")</f>
        <v>-</v>
      </c>
      <c r="K456" s="34" t="s">
        <v>959</v>
      </c>
      <c r="L456" s="35" t="s">
        <v>959</v>
      </c>
      <c r="M456" s="34" t="str">
        <f>IF(OR(L456="-",L456="",L456=0),IF(K456="-","-",K456),K456-L456)</f>
        <v>-</v>
      </c>
      <c r="N456" s="4" t="str">
        <f>IFERROR(IF(K456&gt;0, L456/K456, 0),"-")</f>
        <v>-</v>
      </c>
      <c r="O456" s="34" t="s">
        <v>959</v>
      </c>
      <c r="P456" s="35" t="s">
        <v>959</v>
      </c>
      <c r="Q456" s="34" t="str">
        <f>IF(OR(P456="-",P456="",P456=0),IF(O456="-","-",O456),O456-P456)</f>
        <v>-</v>
      </c>
      <c r="R456" s="4" t="str">
        <f>IFERROR(IF(O456&gt;0, P456/O456, 0),"-")</f>
        <v>-</v>
      </c>
      <c r="S456" s="34" t="s">
        <v>959</v>
      </c>
      <c r="T456" s="34" t="s">
        <v>959</v>
      </c>
      <c r="U456" s="34" t="s">
        <v>959</v>
      </c>
      <c r="V456" s="35" t="s">
        <v>959</v>
      </c>
      <c r="W456" s="35" t="s">
        <v>959</v>
      </c>
    </row>
    <row r="457" spans="1:23" x14ac:dyDescent="0.2">
      <c r="A457" s="30" t="s">
        <v>648</v>
      </c>
      <c r="B457" s="30" t="s">
        <v>1169</v>
      </c>
      <c r="C457" s="34">
        <v>82</v>
      </c>
      <c r="D457" s="35">
        <v>82</v>
      </c>
      <c r="E457" s="34">
        <f>IF(OR(D457="-",D457="",D457=0),IF(C457="-","-",C457),C457-D457)</f>
        <v>0</v>
      </c>
      <c r="F457" s="4">
        <f>IFERROR(IF(C457&gt;0, D457/C457, 0),"-")</f>
        <v>1</v>
      </c>
      <c r="G457" s="34" t="s">
        <v>959</v>
      </c>
      <c r="H457" s="35" t="s">
        <v>959</v>
      </c>
      <c r="I457" s="34" t="str">
        <f>IF(OR(H457="-",H457="",H457=0),IF(G457="-","-",G457),G457-H457)</f>
        <v>-</v>
      </c>
      <c r="J457" s="4" t="str">
        <f>IFERROR(IF(G457&gt;0, H457/G457, 0),"-")</f>
        <v>-</v>
      </c>
      <c r="K457" s="34" t="s">
        <v>959</v>
      </c>
      <c r="L457" s="35" t="s">
        <v>959</v>
      </c>
      <c r="M457" s="34" t="str">
        <f>IF(OR(L457="-",L457="",L457=0),IF(K457="-","-",K457),K457-L457)</f>
        <v>-</v>
      </c>
      <c r="N457" s="4" t="str">
        <f>IFERROR(IF(K457&gt;0, L457/K457, 0),"-")</f>
        <v>-</v>
      </c>
      <c r="O457" s="34" t="s">
        <v>959</v>
      </c>
      <c r="P457" s="35" t="s">
        <v>959</v>
      </c>
      <c r="Q457" s="34" t="str">
        <f>IF(OR(P457="-",P457="",P457=0),IF(O457="-","-",O457),O457-P457)</f>
        <v>-</v>
      </c>
      <c r="R457" s="4" t="str">
        <f>IFERROR(IF(O457&gt;0, P457/O457, 0),"-")</f>
        <v>-</v>
      </c>
      <c r="S457" s="34" t="s">
        <v>959</v>
      </c>
      <c r="T457" s="34" t="s">
        <v>959</v>
      </c>
      <c r="U457" s="34" t="s">
        <v>959</v>
      </c>
      <c r="V457" s="35" t="s">
        <v>959</v>
      </c>
      <c r="W457" s="35" t="s">
        <v>959</v>
      </c>
    </row>
    <row r="458" spans="1:23" x14ac:dyDescent="0.2">
      <c r="A458" s="30" t="s">
        <v>649</v>
      </c>
      <c r="B458" s="30" t="s">
        <v>1170</v>
      </c>
      <c r="C458" s="34">
        <v>19</v>
      </c>
      <c r="D458" s="35">
        <v>19</v>
      </c>
      <c r="E458" s="34">
        <f>IF(OR(D458="-",D458="",D458=0),IF(C458="-","-",C458),C458-D458)</f>
        <v>0</v>
      </c>
      <c r="F458" s="4">
        <f>IFERROR(IF(C458&gt;0, D458/C458, 0),"-")</f>
        <v>1</v>
      </c>
      <c r="G458" s="34" t="s">
        <v>959</v>
      </c>
      <c r="H458" s="35" t="s">
        <v>959</v>
      </c>
      <c r="I458" s="34" t="str">
        <f>IF(OR(H458="-",H458="",H458=0),IF(G458="-","-",G458),G458-H458)</f>
        <v>-</v>
      </c>
      <c r="J458" s="4" t="str">
        <f>IFERROR(IF(G458&gt;0, H458/G458, 0),"-")</f>
        <v>-</v>
      </c>
      <c r="K458" s="34" t="s">
        <v>959</v>
      </c>
      <c r="L458" s="35" t="s">
        <v>959</v>
      </c>
      <c r="M458" s="34" t="str">
        <f>IF(OR(L458="-",L458="",L458=0),IF(K458="-","-",K458),K458-L458)</f>
        <v>-</v>
      </c>
      <c r="N458" s="4" t="str">
        <f>IFERROR(IF(K458&gt;0, L458/K458, 0),"-")</f>
        <v>-</v>
      </c>
      <c r="O458" s="34" t="s">
        <v>959</v>
      </c>
      <c r="P458" s="35" t="s">
        <v>959</v>
      </c>
      <c r="Q458" s="34" t="str">
        <f>IF(OR(P458="-",P458="",P458=0),IF(O458="-","-",O458),O458-P458)</f>
        <v>-</v>
      </c>
      <c r="R458" s="4" t="str">
        <f>IFERROR(IF(O458&gt;0, P458/O458, 0),"-")</f>
        <v>-</v>
      </c>
      <c r="S458" s="34" t="s">
        <v>959</v>
      </c>
      <c r="T458" s="34" t="s">
        <v>959</v>
      </c>
      <c r="U458" s="34" t="s">
        <v>959</v>
      </c>
      <c r="V458" s="35" t="s">
        <v>959</v>
      </c>
      <c r="W458" s="35" t="s">
        <v>959</v>
      </c>
    </row>
    <row r="459" spans="1:23" x14ac:dyDescent="0.2">
      <c r="A459" s="29"/>
      <c r="B459" s="29" t="s">
        <v>65</v>
      </c>
      <c r="C459" s="32">
        <v>300</v>
      </c>
      <c r="D459" s="32">
        <v>293</v>
      </c>
      <c r="E459" s="32">
        <f>IF(OR(D459="-",D459="",D459=0),IF(C459="-","-",C459),C459-D459)</f>
        <v>7</v>
      </c>
      <c r="F459" s="36">
        <f>IFERROR(IF(C459&gt;0, D459/C459, 0),"-")</f>
        <v>0.97666666666666668</v>
      </c>
      <c r="G459" s="32">
        <v>2</v>
      </c>
      <c r="H459" s="32">
        <v>1</v>
      </c>
      <c r="I459" s="32">
        <f>IF(OR(H459="-",H459="",H459=0),IF(G459="-","-",G459),G459-H459)</f>
        <v>1</v>
      </c>
      <c r="J459" s="36">
        <f>IFERROR(IF(G459&gt;0, H459/G459, 0),"-")</f>
        <v>0.5</v>
      </c>
      <c r="K459" s="32">
        <v>1</v>
      </c>
      <c r="L459" s="32" t="s">
        <v>959</v>
      </c>
      <c r="M459" s="32">
        <f>IF(OR(L459="-",L459="",L459=0),IF(K459="-","-",K459),K459-L459)</f>
        <v>1</v>
      </c>
      <c r="N459" s="36" t="str">
        <f>IFERROR(IF(K459&gt;0, L459/K459, 0),"-")</f>
        <v>-</v>
      </c>
      <c r="O459" s="32" t="s">
        <v>959</v>
      </c>
      <c r="P459" s="32" t="s">
        <v>959</v>
      </c>
      <c r="Q459" s="32" t="str">
        <f>IF(OR(P459="-",P459="",P459=0),IF(O459="-","-",O459),O459-P459)</f>
        <v>-</v>
      </c>
      <c r="R459" s="36" t="str">
        <f>IFERROR(IF(O459&gt;0, P459/O459, 0),"-")</f>
        <v>-</v>
      </c>
      <c r="S459" s="32">
        <v>2</v>
      </c>
      <c r="T459" s="32" t="s">
        <v>959</v>
      </c>
      <c r="U459" s="32" t="s">
        <v>959</v>
      </c>
      <c r="V459" s="32" t="s">
        <v>959</v>
      </c>
      <c r="W459" s="32" t="s">
        <v>959</v>
      </c>
    </row>
    <row r="460" spans="1:23" x14ac:dyDescent="0.2">
      <c r="A460" s="30" t="s">
        <v>416</v>
      </c>
      <c r="B460" s="30" t="s">
        <v>1171</v>
      </c>
      <c r="C460" s="34">
        <v>79</v>
      </c>
      <c r="D460" s="35">
        <v>77</v>
      </c>
      <c r="E460" s="34">
        <f>IF(OR(D460="-",D460="",D460=0),IF(C460="-","-",C460),C460-D460)</f>
        <v>2</v>
      </c>
      <c r="F460" s="4">
        <f>IFERROR(IF(C460&gt;0, D460/C460, 0),"-")</f>
        <v>0.97468354430379744</v>
      </c>
      <c r="G460" s="34">
        <v>1</v>
      </c>
      <c r="H460" s="35">
        <v>1</v>
      </c>
      <c r="I460" s="34">
        <f>IF(OR(H460="-",H460="",H460=0),IF(G460="-","-",G460),G460-H460)</f>
        <v>0</v>
      </c>
      <c r="J460" s="4">
        <f>IFERROR(IF(G460&gt;0, H460/G460, 0),"-")</f>
        <v>1</v>
      </c>
      <c r="K460" s="34" t="s">
        <v>959</v>
      </c>
      <c r="L460" s="35" t="s">
        <v>959</v>
      </c>
      <c r="M460" s="34" t="str">
        <f>IF(OR(L460="-",L460="",L460=0),IF(K460="-","-",K460),K460-L460)</f>
        <v>-</v>
      </c>
      <c r="N460" s="4" t="str">
        <f>IFERROR(IF(K460&gt;0, L460/K460, 0),"-")</f>
        <v>-</v>
      </c>
      <c r="O460" s="34" t="s">
        <v>959</v>
      </c>
      <c r="P460" s="35" t="s">
        <v>959</v>
      </c>
      <c r="Q460" s="34" t="str">
        <f>IF(OR(P460="-",P460="",P460=0),IF(O460="-","-",O460),O460-P460)</f>
        <v>-</v>
      </c>
      <c r="R460" s="4" t="str">
        <f>IFERROR(IF(O460&gt;0, P460/O460, 0),"-")</f>
        <v>-</v>
      </c>
      <c r="S460" s="34" t="s">
        <v>959</v>
      </c>
      <c r="T460" s="34" t="s">
        <v>959</v>
      </c>
      <c r="U460" s="34" t="s">
        <v>959</v>
      </c>
      <c r="V460" s="35" t="s">
        <v>959</v>
      </c>
      <c r="W460" s="35" t="s">
        <v>959</v>
      </c>
    </row>
    <row r="461" spans="1:23" x14ac:dyDescent="0.2">
      <c r="A461" s="30" t="s">
        <v>417</v>
      </c>
      <c r="B461" s="30" t="s">
        <v>1172</v>
      </c>
      <c r="C461" s="34">
        <v>28</v>
      </c>
      <c r="D461" s="35">
        <v>26</v>
      </c>
      <c r="E461" s="34">
        <f>IF(OR(D461="-",D461="",D461=0),IF(C461="-","-",C461),C461-D461)</f>
        <v>2</v>
      </c>
      <c r="F461" s="4">
        <f>IFERROR(IF(C461&gt;0, D461/C461, 0),"-")</f>
        <v>0.9285714285714286</v>
      </c>
      <c r="G461" s="34" t="s">
        <v>959</v>
      </c>
      <c r="H461" s="35" t="s">
        <v>959</v>
      </c>
      <c r="I461" s="34" t="str">
        <f>IF(OR(H461="-",H461="",H461=0),IF(G461="-","-",G461),G461-H461)</f>
        <v>-</v>
      </c>
      <c r="J461" s="4" t="str">
        <f>IFERROR(IF(G461&gt;0, H461/G461, 0),"-")</f>
        <v>-</v>
      </c>
      <c r="K461" s="34" t="s">
        <v>959</v>
      </c>
      <c r="L461" s="35" t="s">
        <v>959</v>
      </c>
      <c r="M461" s="34" t="str">
        <f>IF(OR(L461="-",L461="",L461=0),IF(K461="-","-",K461),K461-L461)</f>
        <v>-</v>
      </c>
      <c r="N461" s="4" t="str">
        <f>IFERROR(IF(K461&gt;0, L461/K461, 0),"-")</f>
        <v>-</v>
      </c>
      <c r="O461" s="34" t="s">
        <v>959</v>
      </c>
      <c r="P461" s="35" t="s">
        <v>959</v>
      </c>
      <c r="Q461" s="34" t="str">
        <f>IF(OR(P461="-",P461="",P461=0),IF(O461="-","-",O461),O461-P461)</f>
        <v>-</v>
      </c>
      <c r="R461" s="4" t="str">
        <f>IFERROR(IF(O461&gt;0, P461/O461, 0),"-")</f>
        <v>-</v>
      </c>
      <c r="S461" s="34" t="s">
        <v>959</v>
      </c>
      <c r="T461" s="34" t="s">
        <v>959</v>
      </c>
      <c r="U461" s="34" t="s">
        <v>959</v>
      </c>
      <c r="V461" s="35" t="s">
        <v>959</v>
      </c>
      <c r="W461" s="35" t="s">
        <v>959</v>
      </c>
    </row>
    <row r="462" spans="1:23" x14ac:dyDescent="0.2">
      <c r="A462" s="30" t="s">
        <v>419</v>
      </c>
      <c r="B462" s="30" t="s">
        <v>1173</v>
      </c>
      <c r="C462" s="34">
        <v>48</v>
      </c>
      <c r="D462" s="35">
        <v>45</v>
      </c>
      <c r="E462" s="34">
        <f>IF(OR(D462="-",D462="",D462=0),IF(C462="-","-",C462),C462-D462)</f>
        <v>3</v>
      </c>
      <c r="F462" s="4">
        <f>IFERROR(IF(C462&gt;0, D462/C462, 0),"-")</f>
        <v>0.9375</v>
      </c>
      <c r="G462" s="34" t="s">
        <v>959</v>
      </c>
      <c r="H462" s="35" t="s">
        <v>959</v>
      </c>
      <c r="I462" s="34" t="str">
        <f>IF(OR(H462="-",H462="",H462=0),IF(G462="-","-",G462),G462-H462)</f>
        <v>-</v>
      </c>
      <c r="J462" s="4" t="str">
        <f>IFERROR(IF(G462&gt;0, H462/G462, 0),"-")</f>
        <v>-</v>
      </c>
      <c r="K462" s="34" t="s">
        <v>959</v>
      </c>
      <c r="L462" s="35" t="s">
        <v>959</v>
      </c>
      <c r="M462" s="34" t="str">
        <f>IF(OR(L462="-",L462="",L462=0),IF(K462="-","-",K462),K462-L462)</f>
        <v>-</v>
      </c>
      <c r="N462" s="4" t="str">
        <f>IFERROR(IF(K462&gt;0, L462/K462, 0),"-")</f>
        <v>-</v>
      </c>
      <c r="O462" s="34" t="s">
        <v>959</v>
      </c>
      <c r="P462" s="35" t="s">
        <v>959</v>
      </c>
      <c r="Q462" s="34" t="str">
        <f>IF(OR(P462="-",P462="",P462=0),IF(O462="-","-",O462),O462-P462)</f>
        <v>-</v>
      </c>
      <c r="R462" s="4" t="str">
        <f>IFERROR(IF(O462&gt;0, P462/O462, 0),"-")</f>
        <v>-</v>
      </c>
      <c r="S462" s="34" t="s">
        <v>959</v>
      </c>
      <c r="T462" s="34" t="s">
        <v>959</v>
      </c>
      <c r="U462" s="34" t="s">
        <v>959</v>
      </c>
      <c r="V462" s="35" t="s">
        <v>959</v>
      </c>
      <c r="W462" s="35" t="s">
        <v>959</v>
      </c>
    </row>
    <row r="463" spans="1:23" x14ac:dyDescent="0.2">
      <c r="A463" s="30" t="s">
        <v>418</v>
      </c>
      <c r="B463" s="30" t="s">
        <v>1174</v>
      </c>
      <c r="C463" s="34">
        <v>86</v>
      </c>
      <c r="D463" s="35">
        <v>86</v>
      </c>
      <c r="E463" s="34">
        <f>IF(OR(D463="-",D463="",D463=0),IF(C463="-","-",C463),C463-D463)</f>
        <v>0</v>
      </c>
      <c r="F463" s="4">
        <f>IFERROR(IF(C463&gt;0, D463/C463, 0),"-")</f>
        <v>1</v>
      </c>
      <c r="G463" s="34">
        <v>1</v>
      </c>
      <c r="H463" s="35" t="s">
        <v>959</v>
      </c>
      <c r="I463" s="34">
        <f>IF(OR(H463="-",H463="",H463=0),IF(G463="-","-",G463),G463-H463)</f>
        <v>1</v>
      </c>
      <c r="J463" s="4" t="str">
        <f>IFERROR(IF(G463&gt;0, H463/G463, 0),"-")</f>
        <v>-</v>
      </c>
      <c r="K463" s="34">
        <v>1</v>
      </c>
      <c r="L463" s="35" t="s">
        <v>959</v>
      </c>
      <c r="M463" s="34">
        <f>IF(OR(L463="-",L463="",L463=0),IF(K463="-","-",K463),K463-L463)</f>
        <v>1</v>
      </c>
      <c r="N463" s="4" t="str">
        <f>IFERROR(IF(K463&gt;0, L463/K463, 0),"-")</f>
        <v>-</v>
      </c>
      <c r="O463" s="34" t="s">
        <v>959</v>
      </c>
      <c r="P463" s="35" t="s">
        <v>959</v>
      </c>
      <c r="Q463" s="34" t="str">
        <f>IF(OR(P463="-",P463="",P463=0),IF(O463="-","-",O463),O463-P463)</f>
        <v>-</v>
      </c>
      <c r="R463" s="4" t="str">
        <f>IFERROR(IF(O463&gt;0, P463/O463, 0),"-")</f>
        <v>-</v>
      </c>
      <c r="S463" s="34">
        <v>2</v>
      </c>
      <c r="T463" s="34" t="s">
        <v>959</v>
      </c>
      <c r="U463" s="34" t="s">
        <v>959</v>
      </c>
      <c r="V463" s="35" t="s">
        <v>959</v>
      </c>
      <c r="W463" s="35" t="s">
        <v>959</v>
      </c>
    </row>
    <row r="464" spans="1:23" x14ac:dyDescent="0.2">
      <c r="A464" s="30" t="s">
        <v>415</v>
      </c>
      <c r="B464" s="30" t="s">
        <v>1175</v>
      </c>
      <c r="C464" s="34">
        <v>59</v>
      </c>
      <c r="D464" s="35">
        <v>59</v>
      </c>
      <c r="E464" s="34">
        <f>IF(OR(D464="-",D464="",D464=0),IF(C464="-","-",C464),C464-D464)</f>
        <v>0</v>
      </c>
      <c r="F464" s="4">
        <f>IFERROR(IF(C464&gt;0, D464/C464, 0),"-")</f>
        <v>1</v>
      </c>
      <c r="G464" s="34" t="s">
        <v>959</v>
      </c>
      <c r="H464" s="35" t="s">
        <v>959</v>
      </c>
      <c r="I464" s="34" t="str">
        <f>IF(OR(H464="-",H464="",H464=0),IF(G464="-","-",G464),G464-H464)</f>
        <v>-</v>
      </c>
      <c r="J464" s="4" t="str">
        <f>IFERROR(IF(G464&gt;0, H464/G464, 0),"-")</f>
        <v>-</v>
      </c>
      <c r="K464" s="34" t="s">
        <v>959</v>
      </c>
      <c r="L464" s="35" t="s">
        <v>959</v>
      </c>
      <c r="M464" s="34" t="str">
        <f>IF(OR(L464="-",L464="",L464=0),IF(K464="-","-",K464),K464-L464)</f>
        <v>-</v>
      </c>
      <c r="N464" s="4" t="str">
        <f>IFERROR(IF(K464&gt;0, L464/K464, 0),"-")</f>
        <v>-</v>
      </c>
      <c r="O464" s="34" t="s">
        <v>959</v>
      </c>
      <c r="P464" s="35" t="s">
        <v>959</v>
      </c>
      <c r="Q464" s="34" t="str">
        <f>IF(OR(P464="-",P464="",P464=0),IF(O464="-","-",O464),O464-P464)</f>
        <v>-</v>
      </c>
      <c r="R464" s="4" t="str">
        <f>IFERROR(IF(O464&gt;0, P464/O464, 0),"-")</f>
        <v>-</v>
      </c>
      <c r="S464" s="34" t="s">
        <v>959</v>
      </c>
      <c r="T464" s="34" t="s">
        <v>959</v>
      </c>
      <c r="U464" s="34" t="s">
        <v>959</v>
      </c>
      <c r="V464" s="35" t="s">
        <v>959</v>
      </c>
      <c r="W464" s="35" t="s">
        <v>959</v>
      </c>
    </row>
    <row r="465" spans="1:23" x14ac:dyDescent="0.2">
      <c r="A465" s="29"/>
      <c r="B465" s="29" t="s">
        <v>87</v>
      </c>
      <c r="C465" s="32">
        <v>781</v>
      </c>
      <c r="D465" s="32">
        <v>767</v>
      </c>
      <c r="E465" s="32">
        <f>IF(OR(D465="-",D465="",D465=0),IF(C465="-","-",C465),C465-D465)</f>
        <v>14</v>
      </c>
      <c r="F465" s="36">
        <f>IFERROR(IF(C465&gt;0, D465/C465, 0),"-")</f>
        <v>0.98207426376440465</v>
      </c>
      <c r="G465" s="32">
        <v>6</v>
      </c>
      <c r="H465" s="32">
        <v>2</v>
      </c>
      <c r="I465" s="32">
        <f>IF(OR(H465="-",H465="",H465=0),IF(G465="-","-",G465),G465-H465)</f>
        <v>4</v>
      </c>
      <c r="J465" s="36">
        <f>IFERROR(IF(G465&gt;0, H465/G465, 0),"-")</f>
        <v>0.33333333333333331</v>
      </c>
      <c r="K465" s="32">
        <v>2</v>
      </c>
      <c r="L465" s="32" t="s">
        <v>959</v>
      </c>
      <c r="M465" s="32">
        <f>IF(OR(L465="-",L465="",L465=0),IF(K465="-","-",K465),K465-L465)</f>
        <v>2</v>
      </c>
      <c r="N465" s="36" t="str">
        <f>IFERROR(IF(K465&gt;0, L465/K465, 0),"-")</f>
        <v>-</v>
      </c>
      <c r="O465" s="32">
        <v>1</v>
      </c>
      <c r="P465" s="32" t="s">
        <v>959</v>
      </c>
      <c r="Q465" s="32">
        <f>IF(OR(P465="-",P465="",P465=0),IF(O465="-","-",O465),O465-P465)</f>
        <v>1</v>
      </c>
      <c r="R465" s="36" t="str">
        <f>IFERROR(IF(O465&gt;0, P465/O465, 0),"-")</f>
        <v>-</v>
      </c>
      <c r="S465" s="32">
        <v>2</v>
      </c>
      <c r="T465" s="32">
        <v>1</v>
      </c>
      <c r="U465" s="32">
        <v>2700</v>
      </c>
      <c r="V465" s="32" t="s">
        <v>959</v>
      </c>
      <c r="W465" s="32" t="s">
        <v>959</v>
      </c>
    </row>
    <row r="466" spans="1:23" x14ac:dyDescent="0.2">
      <c r="A466" s="30" t="s">
        <v>591</v>
      </c>
      <c r="B466" s="30" t="s">
        <v>1176</v>
      </c>
      <c r="C466" s="34">
        <v>153</v>
      </c>
      <c r="D466" s="35">
        <v>151</v>
      </c>
      <c r="E466" s="34">
        <f>IF(OR(D466="-",D466="",D466=0),IF(C466="-","-",C466),C466-D466)</f>
        <v>2</v>
      </c>
      <c r="F466" s="4">
        <f>IFERROR(IF(C466&gt;0, D466/C466, 0),"-")</f>
        <v>0.98692810457516345</v>
      </c>
      <c r="G466" s="34" t="s">
        <v>959</v>
      </c>
      <c r="H466" s="35" t="s">
        <v>959</v>
      </c>
      <c r="I466" s="34" t="str">
        <f>IF(OR(H466="-",H466="",H466=0),IF(G466="-","-",G466),G466-H466)</f>
        <v>-</v>
      </c>
      <c r="J466" s="4" t="str">
        <f>IFERROR(IF(G466&gt;0, H466/G466, 0),"-")</f>
        <v>-</v>
      </c>
      <c r="K466" s="34" t="s">
        <v>959</v>
      </c>
      <c r="L466" s="35" t="s">
        <v>959</v>
      </c>
      <c r="M466" s="34" t="str">
        <f>IF(OR(L466="-",L466="",L466=0),IF(K466="-","-",K466),K466-L466)</f>
        <v>-</v>
      </c>
      <c r="N466" s="4" t="str">
        <f>IFERROR(IF(K466&gt;0, L466/K466, 0),"-")</f>
        <v>-</v>
      </c>
      <c r="O466" s="34" t="s">
        <v>959</v>
      </c>
      <c r="P466" s="35" t="s">
        <v>959</v>
      </c>
      <c r="Q466" s="34" t="str">
        <f>IF(OR(P466="-",P466="",P466=0),IF(O466="-","-",O466),O466-P466)</f>
        <v>-</v>
      </c>
      <c r="R466" s="4" t="str">
        <f>IFERROR(IF(O466&gt;0, P466/O466, 0),"-")</f>
        <v>-</v>
      </c>
      <c r="S466" s="34" t="s">
        <v>959</v>
      </c>
      <c r="T466" s="34" t="s">
        <v>959</v>
      </c>
      <c r="U466" s="34" t="s">
        <v>959</v>
      </c>
      <c r="V466" s="35" t="s">
        <v>959</v>
      </c>
      <c r="W466" s="35" t="s">
        <v>959</v>
      </c>
    </row>
    <row r="467" spans="1:23" x14ac:dyDescent="0.2">
      <c r="A467" s="30" t="s">
        <v>588</v>
      </c>
      <c r="B467" s="30" t="s">
        <v>1177</v>
      </c>
      <c r="C467" s="34">
        <v>127</v>
      </c>
      <c r="D467" s="35">
        <v>123</v>
      </c>
      <c r="E467" s="34">
        <f>IF(OR(D467="-",D467="",D467=0),IF(C467="-","-",C467),C467-D467)</f>
        <v>4</v>
      </c>
      <c r="F467" s="4">
        <f>IFERROR(IF(C467&gt;0, D467/C467, 0),"-")</f>
        <v>0.96850393700787396</v>
      </c>
      <c r="G467" s="34">
        <v>3</v>
      </c>
      <c r="H467" s="35">
        <v>2</v>
      </c>
      <c r="I467" s="34">
        <f>IF(OR(H467="-",H467="",H467=0),IF(G467="-","-",G467),G467-H467)</f>
        <v>1</v>
      </c>
      <c r="J467" s="4">
        <f>IFERROR(IF(G467&gt;0, H467/G467, 0),"-")</f>
        <v>0.66666666666666663</v>
      </c>
      <c r="K467" s="34" t="s">
        <v>959</v>
      </c>
      <c r="L467" s="35" t="s">
        <v>959</v>
      </c>
      <c r="M467" s="34" t="str">
        <f>IF(OR(L467="-",L467="",L467=0),IF(K467="-","-",K467),K467-L467)</f>
        <v>-</v>
      </c>
      <c r="N467" s="4" t="str">
        <f>IFERROR(IF(K467&gt;0, L467/K467, 0),"-")</f>
        <v>-</v>
      </c>
      <c r="O467" s="34" t="s">
        <v>959</v>
      </c>
      <c r="P467" s="35" t="s">
        <v>959</v>
      </c>
      <c r="Q467" s="34" t="str">
        <f>IF(OR(P467="-",P467="",P467=0),IF(O467="-","-",O467),O467-P467)</f>
        <v>-</v>
      </c>
      <c r="R467" s="4" t="str">
        <f>IFERROR(IF(O467&gt;0, P467/O467, 0),"-")</f>
        <v>-</v>
      </c>
      <c r="S467" s="34" t="s">
        <v>959</v>
      </c>
      <c r="T467" s="34" t="s">
        <v>959</v>
      </c>
      <c r="U467" s="34" t="s">
        <v>959</v>
      </c>
      <c r="V467" s="35" t="s">
        <v>959</v>
      </c>
      <c r="W467" s="35" t="s">
        <v>959</v>
      </c>
    </row>
    <row r="468" spans="1:23" x14ac:dyDescent="0.2">
      <c r="A468" s="30" t="s">
        <v>586</v>
      </c>
      <c r="B468" s="30" t="s">
        <v>1178</v>
      </c>
      <c r="C468" s="34">
        <v>138</v>
      </c>
      <c r="D468" s="35">
        <v>136</v>
      </c>
      <c r="E468" s="34">
        <f>IF(OR(D468="-",D468="",D468=0),IF(C468="-","-",C468),C468-D468)</f>
        <v>2</v>
      </c>
      <c r="F468" s="4">
        <f>IFERROR(IF(C468&gt;0, D468/C468, 0),"-")</f>
        <v>0.98550724637681164</v>
      </c>
      <c r="G468" s="34">
        <v>2</v>
      </c>
      <c r="H468" s="35" t="s">
        <v>959</v>
      </c>
      <c r="I468" s="34">
        <f>IF(OR(H468="-",H468="",H468=0),IF(G468="-","-",G468),G468-H468)</f>
        <v>2</v>
      </c>
      <c r="J468" s="4" t="str">
        <f>IFERROR(IF(G468&gt;0, H468/G468, 0),"-")</f>
        <v>-</v>
      </c>
      <c r="K468" s="34">
        <v>2</v>
      </c>
      <c r="L468" s="35" t="s">
        <v>959</v>
      </c>
      <c r="M468" s="34">
        <f>IF(OR(L468="-",L468="",L468=0),IF(K468="-","-",K468),K468-L468)</f>
        <v>2</v>
      </c>
      <c r="N468" s="4" t="str">
        <f>IFERROR(IF(K468&gt;0, L468/K468, 0),"-")</f>
        <v>-</v>
      </c>
      <c r="O468" s="34">
        <v>1</v>
      </c>
      <c r="P468" s="35" t="s">
        <v>959</v>
      </c>
      <c r="Q468" s="34">
        <f>IF(OR(P468="-",P468="",P468=0),IF(O468="-","-",O468),O468-P468)</f>
        <v>1</v>
      </c>
      <c r="R468" s="4" t="str">
        <f>IFERROR(IF(O468&gt;0, P468/O468, 0),"-")</f>
        <v>-</v>
      </c>
      <c r="S468" s="34" t="s">
        <v>959</v>
      </c>
      <c r="T468" s="34" t="s">
        <v>959</v>
      </c>
      <c r="U468" s="34" t="s">
        <v>959</v>
      </c>
      <c r="V468" s="35" t="s">
        <v>959</v>
      </c>
      <c r="W468" s="35" t="s">
        <v>959</v>
      </c>
    </row>
    <row r="469" spans="1:23" x14ac:dyDescent="0.2">
      <c r="A469" s="30" t="s">
        <v>587</v>
      </c>
      <c r="B469" s="30" t="s">
        <v>1179</v>
      </c>
      <c r="C469" s="34">
        <v>45</v>
      </c>
      <c r="D469" s="35">
        <v>44</v>
      </c>
      <c r="E469" s="34">
        <f>IF(OR(D469="-",D469="",D469=0),IF(C469="-","-",C469),C469-D469)</f>
        <v>1</v>
      </c>
      <c r="F469" s="4">
        <f>IFERROR(IF(C469&gt;0, D469/C469, 0),"-")</f>
        <v>0.97777777777777775</v>
      </c>
      <c r="G469" s="34">
        <v>1</v>
      </c>
      <c r="H469" s="35" t="s">
        <v>959</v>
      </c>
      <c r="I469" s="34">
        <f>IF(OR(H469="-",H469="",H469=0),IF(G469="-","-",G469),G469-H469)</f>
        <v>1</v>
      </c>
      <c r="J469" s="4" t="str">
        <f>IFERROR(IF(G469&gt;0, H469/G469, 0),"-")</f>
        <v>-</v>
      </c>
      <c r="K469" s="34" t="s">
        <v>959</v>
      </c>
      <c r="L469" s="35" t="s">
        <v>959</v>
      </c>
      <c r="M469" s="34" t="str">
        <f>IF(OR(L469="-",L469="",L469=0),IF(K469="-","-",K469),K469-L469)</f>
        <v>-</v>
      </c>
      <c r="N469" s="4" t="str">
        <f>IFERROR(IF(K469&gt;0, L469/K469, 0),"-")</f>
        <v>-</v>
      </c>
      <c r="O469" s="34" t="s">
        <v>959</v>
      </c>
      <c r="P469" s="35" t="s">
        <v>959</v>
      </c>
      <c r="Q469" s="34" t="str">
        <f>IF(OR(P469="-",P469="",P469=0),IF(O469="-","-",O469),O469-P469)</f>
        <v>-</v>
      </c>
      <c r="R469" s="4" t="str">
        <f>IFERROR(IF(O469&gt;0, P469/O469, 0),"-")</f>
        <v>-</v>
      </c>
      <c r="S469" s="34">
        <v>1</v>
      </c>
      <c r="T469" s="34" t="s">
        <v>959</v>
      </c>
      <c r="U469" s="34" t="s">
        <v>959</v>
      </c>
      <c r="V469" s="35" t="s">
        <v>959</v>
      </c>
      <c r="W469" s="35" t="s">
        <v>959</v>
      </c>
    </row>
    <row r="470" spans="1:23" x14ac:dyDescent="0.2">
      <c r="A470" s="30" t="s">
        <v>590</v>
      </c>
      <c r="B470" s="30" t="s">
        <v>1180</v>
      </c>
      <c r="C470" s="34">
        <v>186</v>
      </c>
      <c r="D470" s="35">
        <v>182</v>
      </c>
      <c r="E470" s="34">
        <f>IF(OR(D470="-",D470="",D470=0),IF(C470="-","-",C470),C470-D470)</f>
        <v>4</v>
      </c>
      <c r="F470" s="4">
        <f>IFERROR(IF(C470&gt;0, D470/C470, 0),"-")</f>
        <v>0.978494623655914</v>
      </c>
      <c r="G470" s="34" t="s">
        <v>959</v>
      </c>
      <c r="H470" s="35" t="s">
        <v>959</v>
      </c>
      <c r="I470" s="34" t="str">
        <f>IF(OR(H470="-",H470="",H470=0),IF(G470="-","-",G470),G470-H470)</f>
        <v>-</v>
      </c>
      <c r="J470" s="4" t="str">
        <f>IFERROR(IF(G470&gt;0, H470/G470, 0),"-")</f>
        <v>-</v>
      </c>
      <c r="K470" s="34" t="s">
        <v>959</v>
      </c>
      <c r="L470" s="35" t="s">
        <v>959</v>
      </c>
      <c r="M470" s="34" t="str">
        <f>IF(OR(L470="-",L470="",L470=0),IF(K470="-","-",K470),K470-L470)</f>
        <v>-</v>
      </c>
      <c r="N470" s="4" t="str">
        <f>IFERROR(IF(K470&gt;0, L470/K470, 0),"-")</f>
        <v>-</v>
      </c>
      <c r="O470" s="34" t="s">
        <v>959</v>
      </c>
      <c r="P470" s="35" t="s">
        <v>959</v>
      </c>
      <c r="Q470" s="34" t="str">
        <f>IF(OR(P470="-",P470="",P470=0),IF(O470="-","-",O470),O470-P470)</f>
        <v>-</v>
      </c>
      <c r="R470" s="4" t="str">
        <f>IFERROR(IF(O470&gt;0, P470/O470, 0),"-")</f>
        <v>-</v>
      </c>
      <c r="S470" s="34">
        <v>1</v>
      </c>
      <c r="T470" s="34">
        <v>1</v>
      </c>
      <c r="U470" s="34">
        <v>2700</v>
      </c>
      <c r="V470" s="35" t="s">
        <v>959</v>
      </c>
      <c r="W470" s="35" t="s">
        <v>959</v>
      </c>
    </row>
    <row r="471" spans="1:23" x14ac:dyDescent="0.2">
      <c r="A471" s="30" t="s">
        <v>589</v>
      </c>
      <c r="B471" s="30" t="s">
        <v>1181</v>
      </c>
      <c r="C471" s="34">
        <v>132</v>
      </c>
      <c r="D471" s="35">
        <v>131</v>
      </c>
      <c r="E471" s="34">
        <f>IF(OR(D471="-",D471="",D471=0),IF(C471="-","-",C471),C471-D471)</f>
        <v>1</v>
      </c>
      <c r="F471" s="4">
        <f>IFERROR(IF(C471&gt;0, D471/C471, 0),"-")</f>
        <v>0.99242424242424243</v>
      </c>
      <c r="G471" s="34" t="s">
        <v>959</v>
      </c>
      <c r="H471" s="35" t="s">
        <v>959</v>
      </c>
      <c r="I471" s="34" t="str">
        <f>IF(OR(H471="-",H471="",H471=0),IF(G471="-","-",G471),G471-H471)</f>
        <v>-</v>
      </c>
      <c r="J471" s="4" t="str">
        <f>IFERROR(IF(G471&gt;0, H471/G471, 0),"-")</f>
        <v>-</v>
      </c>
      <c r="K471" s="34" t="s">
        <v>959</v>
      </c>
      <c r="L471" s="35" t="s">
        <v>959</v>
      </c>
      <c r="M471" s="34" t="str">
        <f>IF(OR(L471="-",L471="",L471=0),IF(K471="-","-",K471),K471-L471)</f>
        <v>-</v>
      </c>
      <c r="N471" s="4" t="str">
        <f>IFERROR(IF(K471&gt;0, L471/K471, 0),"-")</f>
        <v>-</v>
      </c>
      <c r="O471" s="34" t="s">
        <v>959</v>
      </c>
      <c r="P471" s="35" t="s">
        <v>959</v>
      </c>
      <c r="Q471" s="34" t="str">
        <f>IF(OR(P471="-",P471="",P471=0),IF(O471="-","-",O471),O471-P471)</f>
        <v>-</v>
      </c>
      <c r="R471" s="4" t="str">
        <f>IFERROR(IF(O471&gt;0, P471/O471, 0),"-")</f>
        <v>-</v>
      </c>
      <c r="S471" s="34" t="s">
        <v>959</v>
      </c>
      <c r="T471" s="34" t="s">
        <v>959</v>
      </c>
      <c r="U471" s="34" t="s">
        <v>959</v>
      </c>
      <c r="V471" s="35" t="s">
        <v>959</v>
      </c>
      <c r="W471" s="35" t="s">
        <v>959</v>
      </c>
    </row>
    <row r="472" spans="1:23" x14ac:dyDescent="0.2">
      <c r="A472" s="29"/>
      <c r="B472" s="29" t="s">
        <v>23</v>
      </c>
      <c r="C472" s="32">
        <v>553</v>
      </c>
      <c r="D472" s="32">
        <v>547</v>
      </c>
      <c r="E472" s="32">
        <f>IF(OR(D472="-",D472="",D472=0),IF(C472="-","-",C472),C472-D472)</f>
        <v>6</v>
      </c>
      <c r="F472" s="36">
        <f>IFERROR(IF(C472&gt;0, D472/C472, 0),"-")</f>
        <v>0.98915009041591317</v>
      </c>
      <c r="G472" s="32">
        <v>3</v>
      </c>
      <c r="H472" s="32">
        <v>2</v>
      </c>
      <c r="I472" s="32">
        <f>IF(OR(H472="-",H472="",H472=0),IF(G472="-","-",G472),G472-H472)</f>
        <v>1</v>
      </c>
      <c r="J472" s="36">
        <f>IFERROR(IF(G472&gt;0, H472/G472, 0),"-")</f>
        <v>0.66666666666666663</v>
      </c>
      <c r="K472" s="32" t="s">
        <v>959</v>
      </c>
      <c r="L472" s="32" t="s">
        <v>959</v>
      </c>
      <c r="M472" s="32" t="str">
        <f>IF(OR(L472="-",L472="",L472=0),IF(K472="-","-",K472),K472-L472)</f>
        <v>-</v>
      </c>
      <c r="N472" s="36" t="str">
        <f>IFERROR(IF(K472&gt;0, L472/K472, 0),"-")</f>
        <v>-</v>
      </c>
      <c r="O472" s="32">
        <v>2</v>
      </c>
      <c r="P472" s="32">
        <v>1</v>
      </c>
      <c r="Q472" s="32">
        <f>IF(OR(P472="-",P472="",P472=0),IF(O472="-","-",O472),O472-P472)</f>
        <v>1</v>
      </c>
      <c r="R472" s="36">
        <f>IFERROR(IF(O472&gt;0, P472/O472, 0),"-")</f>
        <v>0.5</v>
      </c>
      <c r="S472" s="32">
        <v>2</v>
      </c>
      <c r="T472" s="32" t="s">
        <v>959</v>
      </c>
      <c r="U472" s="32" t="s">
        <v>959</v>
      </c>
      <c r="V472" s="32" t="s">
        <v>959</v>
      </c>
      <c r="W472" s="32" t="s">
        <v>959</v>
      </c>
    </row>
    <row r="473" spans="1:23" x14ac:dyDescent="0.2">
      <c r="A473" s="30" t="s">
        <v>721</v>
      </c>
      <c r="B473" s="30" t="s">
        <v>1182</v>
      </c>
      <c r="C473" s="34">
        <v>120</v>
      </c>
      <c r="D473" s="35">
        <v>118</v>
      </c>
      <c r="E473" s="34">
        <f>IF(OR(D473="-",D473="",D473=0),IF(C473="-","-",C473),C473-D473)</f>
        <v>2</v>
      </c>
      <c r="F473" s="4">
        <f>IFERROR(IF(C473&gt;0, D473/C473, 0),"-")</f>
        <v>0.98333333333333328</v>
      </c>
      <c r="G473" s="34" t="s">
        <v>959</v>
      </c>
      <c r="H473" s="35" t="s">
        <v>959</v>
      </c>
      <c r="I473" s="34" t="str">
        <f>IF(OR(H473="-",H473="",H473=0),IF(G473="-","-",G473),G473-H473)</f>
        <v>-</v>
      </c>
      <c r="J473" s="4" t="str">
        <f>IFERROR(IF(G473&gt;0, H473/G473, 0),"-")</f>
        <v>-</v>
      </c>
      <c r="K473" s="34" t="s">
        <v>959</v>
      </c>
      <c r="L473" s="35" t="s">
        <v>959</v>
      </c>
      <c r="M473" s="34" t="str">
        <f>IF(OR(L473="-",L473="",L473=0),IF(K473="-","-",K473),K473-L473)</f>
        <v>-</v>
      </c>
      <c r="N473" s="4" t="str">
        <f>IFERROR(IF(K473&gt;0, L473/K473, 0),"-")</f>
        <v>-</v>
      </c>
      <c r="O473" s="34" t="s">
        <v>959</v>
      </c>
      <c r="P473" s="35" t="s">
        <v>959</v>
      </c>
      <c r="Q473" s="34" t="str">
        <f>IF(OR(P473="-",P473="",P473=0),IF(O473="-","-",O473),O473-P473)</f>
        <v>-</v>
      </c>
      <c r="R473" s="4" t="str">
        <f>IFERROR(IF(O473&gt;0, P473/O473, 0),"-")</f>
        <v>-</v>
      </c>
      <c r="S473" s="34" t="s">
        <v>959</v>
      </c>
      <c r="T473" s="34" t="s">
        <v>959</v>
      </c>
      <c r="U473" s="34" t="s">
        <v>959</v>
      </c>
      <c r="V473" s="35" t="s">
        <v>959</v>
      </c>
      <c r="W473" s="35" t="s">
        <v>959</v>
      </c>
    </row>
    <row r="474" spans="1:23" x14ac:dyDescent="0.2">
      <c r="A474" s="30" t="s">
        <v>719</v>
      </c>
      <c r="B474" s="30" t="s">
        <v>1183</v>
      </c>
      <c r="C474" s="34">
        <v>119</v>
      </c>
      <c r="D474" s="35">
        <v>119</v>
      </c>
      <c r="E474" s="34">
        <f>IF(OR(D474="-",D474="",D474=0),IF(C474="-","-",C474),C474-D474)</f>
        <v>0</v>
      </c>
      <c r="F474" s="4">
        <f>IFERROR(IF(C474&gt;0, D474/C474, 0),"-")</f>
        <v>1</v>
      </c>
      <c r="G474" s="34" t="s">
        <v>959</v>
      </c>
      <c r="H474" s="35" t="s">
        <v>959</v>
      </c>
      <c r="I474" s="34" t="str">
        <f>IF(OR(H474="-",H474="",H474=0),IF(G474="-","-",G474),G474-H474)</f>
        <v>-</v>
      </c>
      <c r="J474" s="4" t="str">
        <f>IFERROR(IF(G474&gt;0, H474/G474, 0),"-")</f>
        <v>-</v>
      </c>
      <c r="K474" s="34" t="s">
        <v>959</v>
      </c>
      <c r="L474" s="35" t="s">
        <v>959</v>
      </c>
      <c r="M474" s="34" t="str">
        <f>IF(OR(L474="-",L474="",L474=0),IF(K474="-","-",K474),K474-L474)</f>
        <v>-</v>
      </c>
      <c r="N474" s="4" t="str">
        <f>IFERROR(IF(K474&gt;0, L474/K474, 0),"-")</f>
        <v>-</v>
      </c>
      <c r="O474" s="34" t="s">
        <v>959</v>
      </c>
      <c r="P474" s="35" t="s">
        <v>959</v>
      </c>
      <c r="Q474" s="34" t="str">
        <f>IF(OR(P474="-",P474="",P474=0),IF(O474="-","-",O474),O474-P474)</f>
        <v>-</v>
      </c>
      <c r="R474" s="4" t="str">
        <f>IFERROR(IF(O474&gt;0, P474/O474, 0),"-")</f>
        <v>-</v>
      </c>
      <c r="S474" s="34" t="s">
        <v>959</v>
      </c>
      <c r="T474" s="34" t="s">
        <v>959</v>
      </c>
      <c r="U474" s="34" t="s">
        <v>959</v>
      </c>
      <c r="V474" s="35" t="s">
        <v>959</v>
      </c>
      <c r="W474" s="35" t="s">
        <v>959</v>
      </c>
    </row>
    <row r="475" spans="1:23" x14ac:dyDescent="0.2">
      <c r="A475" s="30" t="s">
        <v>720</v>
      </c>
      <c r="B475" s="30" t="s">
        <v>1184</v>
      </c>
      <c r="C475" s="34">
        <v>76</v>
      </c>
      <c r="D475" s="35">
        <v>73</v>
      </c>
      <c r="E475" s="34">
        <f>IF(OR(D475="-",D475="",D475=0),IF(C475="-","-",C475),C475-D475)</f>
        <v>3</v>
      </c>
      <c r="F475" s="4">
        <f>IFERROR(IF(C475&gt;0, D475/C475, 0),"-")</f>
        <v>0.96052631578947367</v>
      </c>
      <c r="G475" s="34" t="s">
        <v>959</v>
      </c>
      <c r="H475" s="35" t="s">
        <v>959</v>
      </c>
      <c r="I475" s="34" t="str">
        <f>IF(OR(H475="-",H475="",H475=0),IF(G475="-","-",G475),G475-H475)</f>
        <v>-</v>
      </c>
      <c r="J475" s="4" t="str">
        <f>IFERROR(IF(G475&gt;0, H475/G475, 0),"-")</f>
        <v>-</v>
      </c>
      <c r="K475" s="34" t="s">
        <v>959</v>
      </c>
      <c r="L475" s="35" t="s">
        <v>959</v>
      </c>
      <c r="M475" s="34" t="str">
        <f>IF(OR(L475="-",L475="",L475=0),IF(K475="-","-",K475),K475-L475)</f>
        <v>-</v>
      </c>
      <c r="N475" s="4" t="str">
        <f>IFERROR(IF(K475&gt;0, L475/K475, 0),"-")</f>
        <v>-</v>
      </c>
      <c r="O475" s="34">
        <v>1</v>
      </c>
      <c r="P475" s="35">
        <v>1</v>
      </c>
      <c r="Q475" s="34">
        <f>IF(OR(P475="-",P475="",P475=0),IF(O475="-","-",O475),O475-P475)</f>
        <v>0</v>
      </c>
      <c r="R475" s="4">
        <f>IFERROR(IF(O475&gt;0, P475/O475, 0),"-")</f>
        <v>1</v>
      </c>
      <c r="S475" s="34" t="s">
        <v>959</v>
      </c>
      <c r="T475" s="34" t="s">
        <v>959</v>
      </c>
      <c r="U475" s="34" t="s">
        <v>959</v>
      </c>
      <c r="V475" s="35" t="s">
        <v>959</v>
      </c>
      <c r="W475" s="35" t="s">
        <v>959</v>
      </c>
    </row>
    <row r="476" spans="1:23" x14ac:dyDescent="0.2">
      <c r="A476" s="30" t="s">
        <v>726</v>
      </c>
      <c r="B476" s="30" t="s">
        <v>1185</v>
      </c>
      <c r="C476" s="34">
        <v>48</v>
      </c>
      <c r="D476" s="35">
        <v>47</v>
      </c>
      <c r="E476" s="34">
        <f>IF(OR(D476="-",D476="",D476=0),IF(C476="-","-",C476),C476-D476)</f>
        <v>1</v>
      </c>
      <c r="F476" s="4">
        <f>IFERROR(IF(C476&gt;0, D476/C476, 0),"-")</f>
        <v>0.97916666666666663</v>
      </c>
      <c r="G476" s="34">
        <v>1</v>
      </c>
      <c r="H476" s="35">
        <v>1</v>
      </c>
      <c r="I476" s="34">
        <f>IF(OR(H476="-",H476="",H476=0),IF(G476="-","-",G476),G476-H476)</f>
        <v>0</v>
      </c>
      <c r="J476" s="4">
        <f>IFERROR(IF(G476&gt;0, H476/G476, 0),"-")</f>
        <v>1</v>
      </c>
      <c r="K476" s="34" t="s">
        <v>959</v>
      </c>
      <c r="L476" s="35" t="s">
        <v>959</v>
      </c>
      <c r="M476" s="34" t="str">
        <f>IF(OR(L476="-",L476="",L476=0),IF(K476="-","-",K476),K476-L476)</f>
        <v>-</v>
      </c>
      <c r="N476" s="4" t="str">
        <f>IFERROR(IF(K476&gt;0, L476/K476, 0),"-")</f>
        <v>-</v>
      </c>
      <c r="O476" s="34" t="s">
        <v>959</v>
      </c>
      <c r="P476" s="35" t="s">
        <v>959</v>
      </c>
      <c r="Q476" s="34" t="str">
        <f>IF(OR(P476="-",P476="",P476=0),IF(O476="-","-",O476),O476-P476)</f>
        <v>-</v>
      </c>
      <c r="R476" s="4" t="str">
        <f>IFERROR(IF(O476&gt;0, P476/O476, 0),"-")</f>
        <v>-</v>
      </c>
      <c r="S476" s="34">
        <v>1</v>
      </c>
      <c r="T476" s="34" t="s">
        <v>959</v>
      </c>
      <c r="U476" s="34" t="s">
        <v>959</v>
      </c>
      <c r="V476" s="35" t="s">
        <v>959</v>
      </c>
      <c r="W476" s="35" t="s">
        <v>959</v>
      </c>
    </row>
    <row r="477" spans="1:23" x14ac:dyDescent="0.2">
      <c r="A477" s="30" t="s">
        <v>722</v>
      </c>
      <c r="B477" s="30" t="s">
        <v>1186</v>
      </c>
      <c r="C477" s="34">
        <v>68</v>
      </c>
      <c r="D477" s="35">
        <v>68</v>
      </c>
      <c r="E477" s="34">
        <f>IF(OR(D477="-",D477="",D477=0),IF(C477="-","-",C477),C477-D477)</f>
        <v>0</v>
      </c>
      <c r="F477" s="4">
        <f>IFERROR(IF(C477&gt;0, D477/C477, 0),"-")</f>
        <v>1</v>
      </c>
      <c r="G477" s="34">
        <v>2</v>
      </c>
      <c r="H477" s="35">
        <v>1</v>
      </c>
      <c r="I477" s="34">
        <f>IF(OR(H477="-",H477="",H477=0),IF(G477="-","-",G477),G477-H477)</f>
        <v>1</v>
      </c>
      <c r="J477" s="4">
        <f>IFERROR(IF(G477&gt;0, H477/G477, 0),"-")</f>
        <v>0.5</v>
      </c>
      <c r="K477" s="34" t="s">
        <v>959</v>
      </c>
      <c r="L477" s="35" t="s">
        <v>959</v>
      </c>
      <c r="M477" s="34" t="str">
        <f>IF(OR(L477="-",L477="",L477=0),IF(K477="-","-",K477),K477-L477)</f>
        <v>-</v>
      </c>
      <c r="N477" s="4" t="str">
        <f>IFERROR(IF(K477&gt;0, L477/K477, 0),"-")</f>
        <v>-</v>
      </c>
      <c r="O477" s="34" t="s">
        <v>959</v>
      </c>
      <c r="P477" s="35" t="s">
        <v>959</v>
      </c>
      <c r="Q477" s="34" t="str">
        <f>IF(OR(P477="-",P477="",P477=0),IF(O477="-","-",O477),O477-P477)</f>
        <v>-</v>
      </c>
      <c r="R477" s="4" t="str">
        <f>IFERROR(IF(O477&gt;0, P477/O477, 0),"-")</f>
        <v>-</v>
      </c>
      <c r="S477" s="34" t="s">
        <v>959</v>
      </c>
      <c r="T477" s="34" t="s">
        <v>959</v>
      </c>
      <c r="U477" s="34" t="s">
        <v>959</v>
      </c>
      <c r="V477" s="35" t="s">
        <v>959</v>
      </c>
      <c r="W477" s="35" t="s">
        <v>959</v>
      </c>
    </row>
    <row r="478" spans="1:23" x14ac:dyDescent="0.2">
      <c r="A478" s="30" t="s">
        <v>723</v>
      </c>
      <c r="B478" s="30" t="s">
        <v>1187</v>
      </c>
      <c r="C478" s="34">
        <v>83</v>
      </c>
      <c r="D478" s="35">
        <v>83</v>
      </c>
      <c r="E478" s="34">
        <f>IF(OR(D478="-",D478="",D478=0),IF(C478="-","-",C478),C478-D478)</f>
        <v>0</v>
      </c>
      <c r="F478" s="4">
        <f>IFERROR(IF(C478&gt;0, D478/C478, 0),"-")</f>
        <v>1</v>
      </c>
      <c r="G478" s="34" t="s">
        <v>959</v>
      </c>
      <c r="H478" s="35" t="s">
        <v>959</v>
      </c>
      <c r="I478" s="34" t="str">
        <f>IF(OR(H478="-",H478="",H478=0),IF(G478="-","-",G478),G478-H478)</f>
        <v>-</v>
      </c>
      <c r="J478" s="4" t="str">
        <f>IFERROR(IF(G478&gt;0, H478/G478, 0),"-")</f>
        <v>-</v>
      </c>
      <c r="K478" s="34" t="s">
        <v>959</v>
      </c>
      <c r="L478" s="35" t="s">
        <v>959</v>
      </c>
      <c r="M478" s="34" t="str">
        <f>IF(OR(L478="-",L478="",L478=0),IF(K478="-","-",K478),K478-L478)</f>
        <v>-</v>
      </c>
      <c r="N478" s="4" t="str">
        <f>IFERROR(IF(K478&gt;0, L478/K478, 0),"-")</f>
        <v>-</v>
      </c>
      <c r="O478" s="34" t="s">
        <v>959</v>
      </c>
      <c r="P478" s="35" t="s">
        <v>959</v>
      </c>
      <c r="Q478" s="34" t="str">
        <f>IF(OR(P478="-",P478="",P478=0),IF(O478="-","-",O478),O478-P478)</f>
        <v>-</v>
      </c>
      <c r="R478" s="4" t="str">
        <f>IFERROR(IF(O478&gt;0, P478/O478, 0),"-")</f>
        <v>-</v>
      </c>
      <c r="S478" s="34">
        <v>1</v>
      </c>
      <c r="T478" s="34" t="s">
        <v>959</v>
      </c>
      <c r="U478" s="34" t="s">
        <v>959</v>
      </c>
      <c r="V478" s="35" t="s">
        <v>959</v>
      </c>
      <c r="W478" s="35" t="s">
        <v>959</v>
      </c>
    </row>
    <row r="479" spans="1:23" x14ac:dyDescent="0.2">
      <c r="A479" s="30" t="s">
        <v>725</v>
      </c>
      <c r="B479" s="30" t="s">
        <v>1188</v>
      </c>
      <c r="C479" s="34">
        <v>1</v>
      </c>
      <c r="D479" s="35">
        <v>1</v>
      </c>
      <c r="E479" s="34">
        <f>IF(OR(D479="-",D479="",D479=0),IF(C479="-","-",C479),C479-D479)</f>
        <v>0</v>
      </c>
      <c r="F479" s="4">
        <f>IFERROR(IF(C479&gt;0, D479/C479, 0),"-")</f>
        <v>1</v>
      </c>
      <c r="G479" s="34" t="s">
        <v>959</v>
      </c>
      <c r="H479" s="35" t="s">
        <v>959</v>
      </c>
      <c r="I479" s="34" t="str">
        <f>IF(OR(H479="-",H479="",H479=0),IF(G479="-","-",G479),G479-H479)</f>
        <v>-</v>
      </c>
      <c r="J479" s="4" t="str">
        <f>IFERROR(IF(G479&gt;0, H479/G479, 0),"-")</f>
        <v>-</v>
      </c>
      <c r="K479" s="34" t="s">
        <v>959</v>
      </c>
      <c r="L479" s="35" t="s">
        <v>959</v>
      </c>
      <c r="M479" s="34" t="str">
        <f>IF(OR(L479="-",L479="",L479=0),IF(K479="-","-",K479),K479-L479)</f>
        <v>-</v>
      </c>
      <c r="N479" s="4" t="str">
        <f>IFERROR(IF(K479&gt;0, L479/K479, 0),"-")</f>
        <v>-</v>
      </c>
      <c r="O479" s="34" t="s">
        <v>959</v>
      </c>
      <c r="P479" s="35" t="s">
        <v>959</v>
      </c>
      <c r="Q479" s="34" t="str">
        <f>IF(OR(P479="-",P479="",P479=0),IF(O479="-","-",O479),O479-P479)</f>
        <v>-</v>
      </c>
      <c r="R479" s="4" t="str">
        <f>IFERROR(IF(O479&gt;0, P479/O479, 0),"-")</f>
        <v>-</v>
      </c>
      <c r="S479" s="34" t="s">
        <v>959</v>
      </c>
      <c r="T479" s="34" t="s">
        <v>959</v>
      </c>
      <c r="U479" s="34" t="s">
        <v>959</v>
      </c>
      <c r="V479" s="35" t="s">
        <v>959</v>
      </c>
      <c r="W479" s="35" t="s">
        <v>959</v>
      </c>
    </row>
    <row r="480" spans="1:23" x14ac:dyDescent="0.2">
      <c r="A480" s="30" t="s">
        <v>724</v>
      </c>
      <c r="B480" s="30" t="s">
        <v>1189</v>
      </c>
      <c r="C480" s="34">
        <v>38</v>
      </c>
      <c r="D480" s="35">
        <v>38</v>
      </c>
      <c r="E480" s="34">
        <f>IF(OR(D480="-",D480="",D480=0),IF(C480="-","-",C480),C480-D480)</f>
        <v>0</v>
      </c>
      <c r="F480" s="4">
        <f>IFERROR(IF(C480&gt;0, D480/C480, 0),"-")</f>
        <v>1</v>
      </c>
      <c r="G480" s="34" t="s">
        <v>959</v>
      </c>
      <c r="H480" s="35" t="s">
        <v>959</v>
      </c>
      <c r="I480" s="34" t="str">
        <f>IF(OR(H480="-",H480="",H480=0),IF(G480="-","-",G480),G480-H480)</f>
        <v>-</v>
      </c>
      <c r="J480" s="4" t="str">
        <f>IFERROR(IF(G480&gt;0, H480/G480, 0),"-")</f>
        <v>-</v>
      </c>
      <c r="K480" s="34" t="s">
        <v>959</v>
      </c>
      <c r="L480" s="35" t="s">
        <v>959</v>
      </c>
      <c r="M480" s="34" t="str">
        <f>IF(OR(L480="-",L480="",L480=0),IF(K480="-","-",K480),K480-L480)</f>
        <v>-</v>
      </c>
      <c r="N480" s="4" t="str">
        <f>IFERROR(IF(K480&gt;0, L480/K480, 0),"-")</f>
        <v>-</v>
      </c>
      <c r="O480" s="34">
        <v>1</v>
      </c>
      <c r="P480" s="35" t="s">
        <v>959</v>
      </c>
      <c r="Q480" s="34">
        <f>IF(OR(P480="-",P480="",P480=0),IF(O480="-","-",O480),O480-P480)</f>
        <v>1</v>
      </c>
      <c r="R480" s="4" t="str">
        <f>IFERROR(IF(O480&gt;0, P480/O480, 0),"-")</f>
        <v>-</v>
      </c>
      <c r="S480" s="34" t="s">
        <v>959</v>
      </c>
      <c r="T480" s="34" t="s">
        <v>959</v>
      </c>
      <c r="U480" s="34" t="s">
        <v>959</v>
      </c>
      <c r="V480" s="35" t="s">
        <v>959</v>
      </c>
      <c r="W480" s="35" t="s">
        <v>959</v>
      </c>
    </row>
    <row r="481" spans="1:23" x14ac:dyDescent="0.2">
      <c r="A481" s="29"/>
      <c r="B481" s="29" t="s">
        <v>127</v>
      </c>
      <c r="C481" s="32">
        <v>864</v>
      </c>
      <c r="D481" s="32">
        <v>852</v>
      </c>
      <c r="E481" s="32">
        <f>IF(OR(D481="-",D481="",D481=0),IF(C481="-","-",C481),C481-D481)</f>
        <v>12</v>
      </c>
      <c r="F481" s="36">
        <f>IFERROR(IF(C481&gt;0, D481/C481, 0),"-")</f>
        <v>0.98611111111111116</v>
      </c>
      <c r="G481" s="32">
        <v>5</v>
      </c>
      <c r="H481" s="32">
        <v>3</v>
      </c>
      <c r="I481" s="32">
        <f>IF(OR(H481="-",H481="",H481=0),IF(G481="-","-",G481),G481-H481)</f>
        <v>2</v>
      </c>
      <c r="J481" s="36">
        <f>IFERROR(IF(G481&gt;0, H481/G481, 0),"-")</f>
        <v>0.6</v>
      </c>
      <c r="K481" s="32">
        <v>1</v>
      </c>
      <c r="L481" s="32" t="s">
        <v>959</v>
      </c>
      <c r="M481" s="32">
        <f>IF(OR(L481="-",L481="",L481=0),IF(K481="-","-",K481),K481-L481)</f>
        <v>1</v>
      </c>
      <c r="N481" s="36" t="str">
        <f>IFERROR(IF(K481&gt;0, L481/K481, 0),"-")</f>
        <v>-</v>
      </c>
      <c r="O481" s="32">
        <v>5</v>
      </c>
      <c r="P481" s="32" t="s">
        <v>959</v>
      </c>
      <c r="Q481" s="32">
        <f>IF(OR(P481="-",P481="",P481=0),IF(O481="-","-",O481),O481-P481)</f>
        <v>5</v>
      </c>
      <c r="R481" s="36" t="str">
        <f>IFERROR(IF(O481&gt;0, P481/O481, 0),"-")</f>
        <v>-</v>
      </c>
      <c r="S481" s="32">
        <v>2</v>
      </c>
      <c r="T481" s="32" t="s">
        <v>959</v>
      </c>
      <c r="U481" s="32" t="s">
        <v>959</v>
      </c>
      <c r="V481" s="32" t="s">
        <v>959</v>
      </c>
      <c r="W481" s="32" t="s">
        <v>959</v>
      </c>
    </row>
    <row r="482" spans="1:23" x14ac:dyDescent="0.2">
      <c r="A482" s="30" t="s">
        <v>887</v>
      </c>
      <c r="B482" s="30" t="s">
        <v>1190</v>
      </c>
      <c r="C482" s="34">
        <v>338</v>
      </c>
      <c r="D482" s="35">
        <v>332</v>
      </c>
      <c r="E482" s="34">
        <f>IF(OR(D482="-",D482="",D482=0),IF(C482="-","-",C482),C482-D482)</f>
        <v>6</v>
      </c>
      <c r="F482" s="4">
        <f>IFERROR(IF(C482&gt;0, D482/C482, 0),"-")</f>
        <v>0.98224852071005919</v>
      </c>
      <c r="G482" s="34" t="s">
        <v>959</v>
      </c>
      <c r="H482" s="35" t="s">
        <v>959</v>
      </c>
      <c r="I482" s="34" t="str">
        <f>IF(OR(H482="-",H482="",H482=0),IF(G482="-","-",G482),G482-H482)</f>
        <v>-</v>
      </c>
      <c r="J482" s="4" t="str">
        <f>IFERROR(IF(G482&gt;0, H482/G482, 0),"-")</f>
        <v>-</v>
      </c>
      <c r="K482" s="34" t="s">
        <v>959</v>
      </c>
      <c r="L482" s="35" t="s">
        <v>959</v>
      </c>
      <c r="M482" s="34" t="str">
        <f>IF(OR(L482="-",L482="",L482=0),IF(K482="-","-",K482),K482-L482)</f>
        <v>-</v>
      </c>
      <c r="N482" s="4" t="str">
        <f>IFERROR(IF(K482&gt;0, L482/K482, 0),"-")</f>
        <v>-</v>
      </c>
      <c r="O482" s="34">
        <v>1</v>
      </c>
      <c r="P482" s="35" t="s">
        <v>959</v>
      </c>
      <c r="Q482" s="34">
        <f>IF(OR(P482="-",P482="",P482=0),IF(O482="-","-",O482),O482-P482)</f>
        <v>1</v>
      </c>
      <c r="R482" s="4" t="str">
        <f>IFERROR(IF(O482&gt;0, P482/O482, 0),"-")</f>
        <v>-</v>
      </c>
      <c r="S482" s="34" t="s">
        <v>959</v>
      </c>
      <c r="T482" s="34" t="s">
        <v>959</v>
      </c>
      <c r="U482" s="34" t="s">
        <v>959</v>
      </c>
      <c r="V482" s="35" t="s">
        <v>959</v>
      </c>
      <c r="W482" s="35" t="s">
        <v>959</v>
      </c>
    </row>
    <row r="483" spans="1:23" x14ac:dyDescent="0.2">
      <c r="A483" s="30" t="s">
        <v>907</v>
      </c>
      <c r="B483" s="30" t="s">
        <v>1191</v>
      </c>
      <c r="C483" s="34">
        <v>71</v>
      </c>
      <c r="D483" s="35">
        <v>69</v>
      </c>
      <c r="E483" s="34">
        <f>IF(OR(D483="-",D483="",D483=0),IF(C483="-","-",C483),C483-D483)</f>
        <v>2</v>
      </c>
      <c r="F483" s="4">
        <f>IFERROR(IF(C483&gt;0, D483/C483, 0),"-")</f>
        <v>0.971830985915493</v>
      </c>
      <c r="G483" s="34">
        <v>3</v>
      </c>
      <c r="H483" s="35">
        <v>2</v>
      </c>
      <c r="I483" s="34">
        <f>IF(OR(H483="-",H483="",H483=0),IF(G483="-","-",G483),G483-H483)</f>
        <v>1</v>
      </c>
      <c r="J483" s="4">
        <f>IFERROR(IF(G483&gt;0, H483/G483, 0),"-")</f>
        <v>0.66666666666666663</v>
      </c>
      <c r="K483" s="34">
        <v>1</v>
      </c>
      <c r="L483" s="35" t="s">
        <v>959</v>
      </c>
      <c r="M483" s="34">
        <f>IF(OR(L483="-",L483="",L483=0),IF(K483="-","-",K483),K483-L483)</f>
        <v>1</v>
      </c>
      <c r="N483" s="4" t="str">
        <f>IFERROR(IF(K483&gt;0, L483/K483, 0),"-")</f>
        <v>-</v>
      </c>
      <c r="O483" s="34">
        <v>3</v>
      </c>
      <c r="P483" s="35" t="s">
        <v>959</v>
      </c>
      <c r="Q483" s="34">
        <f>IF(OR(P483="-",P483="",P483=0),IF(O483="-","-",O483),O483-P483)</f>
        <v>3</v>
      </c>
      <c r="R483" s="4" t="str">
        <f>IFERROR(IF(O483&gt;0, P483/O483, 0),"-")</f>
        <v>-</v>
      </c>
      <c r="S483" s="34">
        <v>2</v>
      </c>
      <c r="T483" s="34" t="s">
        <v>959</v>
      </c>
      <c r="U483" s="34" t="s">
        <v>959</v>
      </c>
      <c r="V483" s="35" t="s">
        <v>959</v>
      </c>
      <c r="W483" s="35" t="s">
        <v>959</v>
      </c>
    </row>
    <row r="484" spans="1:23" x14ac:dyDescent="0.2">
      <c r="A484" s="30" t="s">
        <v>888</v>
      </c>
      <c r="B484" s="30" t="s">
        <v>1192</v>
      </c>
      <c r="C484" s="34">
        <v>150</v>
      </c>
      <c r="D484" s="35">
        <v>149</v>
      </c>
      <c r="E484" s="34">
        <f>IF(OR(D484="-",D484="",D484=0),IF(C484="-","-",C484),C484-D484)</f>
        <v>1</v>
      </c>
      <c r="F484" s="4">
        <f>IFERROR(IF(C484&gt;0, D484/C484, 0),"-")</f>
        <v>0.99333333333333329</v>
      </c>
      <c r="G484" s="34" t="s">
        <v>959</v>
      </c>
      <c r="H484" s="35" t="s">
        <v>959</v>
      </c>
      <c r="I484" s="34" t="str">
        <f>IF(OR(H484="-",H484="",H484=0),IF(G484="-","-",G484),G484-H484)</f>
        <v>-</v>
      </c>
      <c r="J484" s="4" t="str">
        <f>IFERROR(IF(G484&gt;0, H484/G484, 0),"-")</f>
        <v>-</v>
      </c>
      <c r="K484" s="34" t="s">
        <v>959</v>
      </c>
      <c r="L484" s="35" t="s">
        <v>959</v>
      </c>
      <c r="M484" s="34" t="str">
        <f>IF(OR(L484="-",L484="",L484=0),IF(K484="-","-",K484),K484-L484)</f>
        <v>-</v>
      </c>
      <c r="N484" s="4" t="str">
        <f>IFERROR(IF(K484&gt;0, L484/K484, 0),"-")</f>
        <v>-</v>
      </c>
      <c r="O484" s="34" t="s">
        <v>959</v>
      </c>
      <c r="P484" s="35" t="s">
        <v>959</v>
      </c>
      <c r="Q484" s="34" t="str">
        <f>IF(OR(P484="-",P484="",P484=0),IF(O484="-","-",O484),O484-P484)</f>
        <v>-</v>
      </c>
      <c r="R484" s="4" t="str">
        <f>IFERROR(IF(O484&gt;0, P484/O484, 0),"-")</f>
        <v>-</v>
      </c>
      <c r="S484" s="34" t="s">
        <v>959</v>
      </c>
      <c r="T484" s="34" t="s">
        <v>959</v>
      </c>
      <c r="U484" s="34" t="s">
        <v>959</v>
      </c>
      <c r="V484" s="35" t="s">
        <v>959</v>
      </c>
      <c r="W484" s="35" t="s">
        <v>959</v>
      </c>
    </row>
    <row r="485" spans="1:23" x14ac:dyDescent="0.2">
      <c r="A485" s="30" t="s">
        <v>885</v>
      </c>
      <c r="B485" s="30" t="s">
        <v>1193</v>
      </c>
      <c r="C485" s="34">
        <v>112</v>
      </c>
      <c r="D485" s="35">
        <v>111</v>
      </c>
      <c r="E485" s="34">
        <f>IF(OR(D485="-",D485="",D485=0),IF(C485="-","-",C485),C485-D485)</f>
        <v>1</v>
      </c>
      <c r="F485" s="4">
        <f>IFERROR(IF(C485&gt;0, D485/C485, 0),"-")</f>
        <v>0.9910714285714286</v>
      </c>
      <c r="G485" s="34" t="s">
        <v>959</v>
      </c>
      <c r="H485" s="35" t="s">
        <v>959</v>
      </c>
      <c r="I485" s="34" t="str">
        <f>IF(OR(H485="-",H485="",H485=0),IF(G485="-","-",G485),G485-H485)</f>
        <v>-</v>
      </c>
      <c r="J485" s="4" t="str">
        <f>IFERROR(IF(G485&gt;0, H485/G485, 0),"-")</f>
        <v>-</v>
      </c>
      <c r="K485" s="34" t="s">
        <v>959</v>
      </c>
      <c r="L485" s="35" t="s">
        <v>959</v>
      </c>
      <c r="M485" s="34" t="str">
        <f>IF(OR(L485="-",L485="",L485=0),IF(K485="-","-",K485),K485-L485)</f>
        <v>-</v>
      </c>
      <c r="N485" s="4" t="str">
        <f>IFERROR(IF(K485&gt;0, L485/K485, 0),"-")</f>
        <v>-</v>
      </c>
      <c r="O485" s="34" t="s">
        <v>959</v>
      </c>
      <c r="P485" s="35" t="s">
        <v>959</v>
      </c>
      <c r="Q485" s="34" t="str">
        <f>IF(OR(P485="-",P485="",P485=0),IF(O485="-","-",O485),O485-P485)</f>
        <v>-</v>
      </c>
      <c r="R485" s="4" t="str">
        <f>IFERROR(IF(O485&gt;0, P485/O485, 0),"-")</f>
        <v>-</v>
      </c>
      <c r="S485" s="34" t="s">
        <v>959</v>
      </c>
      <c r="T485" s="34" t="s">
        <v>959</v>
      </c>
      <c r="U485" s="34" t="s">
        <v>959</v>
      </c>
      <c r="V485" s="35" t="s">
        <v>959</v>
      </c>
      <c r="W485" s="35" t="s">
        <v>959</v>
      </c>
    </row>
    <row r="486" spans="1:23" x14ac:dyDescent="0.2">
      <c r="A486" s="30" t="s">
        <v>886</v>
      </c>
      <c r="B486" s="30" t="s">
        <v>1194</v>
      </c>
      <c r="C486" s="34">
        <v>193</v>
      </c>
      <c r="D486" s="35">
        <v>191</v>
      </c>
      <c r="E486" s="34">
        <f>IF(OR(D486="-",D486="",D486=0),IF(C486="-","-",C486),C486-D486)</f>
        <v>2</v>
      </c>
      <c r="F486" s="4">
        <f>IFERROR(IF(C486&gt;0, D486/C486, 0),"-")</f>
        <v>0.98963730569948183</v>
      </c>
      <c r="G486" s="34">
        <v>2</v>
      </c>
      <c r="H486" s="35">
        <v>1</v>
      </c>
      <c r="I486" s="34">
        <f>IF(OR(H486="-",H486="",H486=0),IF(G486="-","-",G486),G486-H486)</f>
        <v>1</v>
      </c>
      <c r="J486" s="4">
        <f>IFERROR(IF(G486&gt;0, H486/G486, 0),"-")</f>
        <v>0.5</v>
      </c>
      <c r="K486" s="34" t="s">
        <v>959</v>
      </c>
      <c r="L486" s="35" t="s">
        <v>959</v>
      </c>
      <c r="M486" s="34" t="str">
        <f>IF(OR(L486="-",L486="",L486=0),IF(K486="-","-",K486),K486-L486)</f>
        <v>-</v>
      </c>
      <c r="N486" s="4" t="str">
        <f>IFERROR(IF(K486&gt;0, L486/K486, 0),"-")</f>
        <v>-</v>
      </c>
      <c r="O486" s="34">
        <v>1</v>
      </c>
      <c r="P486" s="35" t="s">
        <v>959</v>
      </c>
      <c r="Q486" s="34">
        <f>IF(OR(P486="-",P486="",P486=0),IF(O486="-","-",O486),O486-P486)</f>
        <v>1</v>
      </c>
      <c r="R486" s="4" t="str">
        <f>IFERROR(IF(O486&gt;0, P486/O486, 0),"-")</f>
        <v>-</v>
      </c>
      <c r="S486" s="34" t="s">
        <v>959</v>
      </c>
      <c r="T486" s="34" t="s">
        <v>959</v>
      </c>
      <c r="U486" s="34" t="s">
        <v>959</v>
      </c>
      <c r="V486" s="35" t="s">
        <v>959</v>
      </c>
      <c r="W486" s="35" t="s">
        <v>959</v>
      </c>
    </row>
    <row r="487" spans="1:23" x14ac:dyDescent="0.2">
      <c r="A487" s="29"/>
      <c r="B487" s="29" t="s">
        <v>15</v>
      </c>
      <c r="C487" s="32">
        <v>852</v>
      </c>
      <c r="D487" s="32">
        <v>789</v>
      </c>
      <c r="E487" s="32">
        <f>IF(OR(D487="-",D487="",D487=0),IF(C487="-","-",C487),C487-D487)</f>
        <v>63</v>
      </c>
      <c r="F487" s="36">
        <f>IFERROR(IF(C487&gt;0, D487/C487, 0),"-")</f>
        <v>0.926056338028169</v>
      </c>
      <c r="G487" s="32">
        <v>9</v>
      </c>
      <c r="H487" s="32">
        <v>2</v>
      </c>
      <c r="I487" s="32">
        <f>IF(OR(H487="-",H487="",H487=0),IF(G487="-","-",G487),G487-H487)</f>
        <v>7</v>
      </c>
      <c r="J487" s="36">
        <f>IFERROR(IF(G487&gt;0, H487/G487, 0),"-")</f>
        <v>0.22222222222222221</v>
      </c>
      <c r="K487" s="32">
        <v>2</v>
      </c>
      <c r="L487" s="32" t="s">
        <v>959</v>
      </c>
      <c r="M487" s="32">
        <f>IF(OR(L487="-",L487="",L487=0),IF(K487="-","-",K487),K487-L487)</f>
        <v>2</v>
      </c>
      <c r="N487" s="36" t="str">
        <f>IFERROR(IF(K487&gt;0, L487/K487, 0),"-")</f>
        <v>-</v>
      </c>
      <c r="O487" s="32">
        <v>4</v>
      </c>
      <c r="P487" s="32">
        <v>1</v>
      </c>
      <c r="Q487" s="32">
        <f>IF(OR(P487="-",P487="",P487=0),IF(O487="-","-",O487),O487-P487)</f>
        <v>3</v>
      </c>
      <c r="R487" s="36">
        <f>IFERROR(IF(O487&gt;0, P487/O487, 0),"-")</f>
        <v>0.25</v>
      </c>
      <c r="S487" s="32">
        <v>5</v>
      </c>
      <c r="T487" s="32" t="s">
        <v>959</v>
      </c>
      <c r="U487" s="32" t="s">
        <v>959</v>
      </c>
      <c r="V487" s="32" t="s">
        <v>959</v>
      </c>
      <c r="W487" s="32" t="s">
        <v>959</v>
      </c>
    </row>
    <row r="488" spans="1:23" x14ac:dyDescent="0.2">
      <c r="A488" s="30" t="s">
        <v>431</v>
      </c>
      <c r="B488" s="30" t="s">
        <v>1195</v>
      </c>
      <c r="C488" s="34">
        <v>46</v>
      </c>
      <c r="D488" s="35">
        <v>33</v>
      </c>
      <c r="E488" s="34">
        <f>IF(OR(D488="-",D488="",D488=0),IF(C488="-","-",C488),C488-D488)</f>
        <v>13</v>
      </c>
      <c r="F488" s="4">
        <f>IFERROR(IF(C488&gt;0, D488/C488, 0),"-")</f>
        <v>0.71739130434782605</v>
      </c>
      <c r="G488" s="34" t="s">
        <v>959</v>
      </c>
      <c r="H488" s="35" t="s">
        <v>959</v>
      </c>
      <c r="I488" s="34" t="str">
        <f>IF(OR(H488="-",H488="",H488=0),IF(G488="-","-",G488),G488-H488)</f>
        <v>-</v>
      </c>
      <c r="J488" s="4" t="str">
        <f>IFERROR(IF(G488&gt;0, H488/G488, 0),"-")</f>
        <v>-</v>
      </c>
      <c r="K488" s="34" t="s">
        <v>959</v>
      </c>
      <c r="L488" s="35" t="s">
        <v>959</v>
      </c>
      <c r="M488" s="34" t="str">
        <f>IF(OR(L488="-",L488="",L488=0),IF(K488="-","-",K488),K488-L488)</f>
        <v>-</v>
      </c>
      <c r="N488" s="4" t="str">
        <f>IFERROR(IF(K488&gt;0, L488/K488, 0),"-")</f>
        <v>-</v>
      </c>
      <c r="O488" s="34">
        <v>1</v>
      </c>
      <c r="P488" s="35" t="s">
        <v>959</v>
      </c>
      <c r="Q488" s="34">
        <f>IF(OR(P488="-",P488="",P488=0),IF(O488="-","-",O488),O488-P488)</f>
        <v>1</v>
      </c>
      <c r="R488" s="4" t="str">
        <f>IFERROR(IF(O488&gt;0, P488/O488, 0),"-")</f>
        <v>-</v>
      </c>
      <c r="S488" s="34">
        <v>2</v>
      </c>
      <c r="T488" s="34" t="s">
        <v>959</v>
      </c>
      <c r="U488" s="34" t="s">
        <v>959</v>
      </c>
      <c r="V488" s="35" t="s">
        <v>959</v>
      </c>
      <c r="W488" s="35" t="s">
        <v>959</v>
      </c>
    </row>
    <row r="489" spans="1:23" x14ac:dyDescent="0.2">
      <c r="A489" s="30" t="s">
        <v>427</v>
      </c>
      <c r="B489" s="30" t="s">
        <v>1196</v>
      </c>
      <c r="C489" s="34">
        <v>123</v>
      </c>
      <c r="D489" s="35">
        <v>122</v>
      </c>
      <c r="E489" s="34">
        <f>IF(OR(D489="-",D489="",D489=0),IF(C489="-","-",C489),C489-D489)</f>
        <v>1</v>
      </c>
      <c r="F489" s="4">
        <f>IFERROR(IF(C489&gt;0, D489/C489, 0),"-")</f>
        <v>0.99186991869918695</v>
      </c>
      <c r="G489" s="34" t="s">
        <v>959</v>
      </c>
      <c r="H489" s="35" t="s">
        <v>959</v>
      </c>
      <c r="I489" s="34" t="str">
        <f>IF(OR(H489="-",H489="",H489=0),IF(G489="-","-",G489),G489-H489)</f>
        <v>-</v>
      </c>
      <c r="J489" s="4" t="str">
        <f>IFERROR(IF(G489&gt;0, H489/G489, 0),"-")</f>
        <v>-</v>
      </c>
      <c r="K489" s="34" t="s">
        <v>959</v>
      </c>
      <c r="L489" s="35" t="s">
        <v>959</v>
      </c>
      <c r="M489" s="34" t="str">
        <f>IF(OR(L489="-",L489="",L489=0),IF(K489="-","-",K489),K489-L489)</f>
        <v>-</v>
      </c>
      <c r="N489" s="4" t="str">
        <f>IFERROR(IF(K489&gt;0, L489/K489, 0),"-")</f>
        <v>-</v>
      </c>
      <c r="O489" s="34" t="s">
        <v>959</v>
      </c>
      <c r="P489" s="35" t="s">
        <v>959</v>
      </c>
      <c r="Q489" s="34" t="str">
        <f>IF(OR(P489="-",P489="",P489=0),IF(O489="-","-",O489),O489-P489)</f>
        <v>-</v>
      </c>
      <c r="R489" s="4" t="str">
        <f>IFERROR(IF(O489&gt;0, P489/O489, 0),"-")</f>
        <v>-</v>
      </c>
      <c r="S489" s="34" t="s">
        <v>959</v>
      </c>
      <c r="T489" s="34" t="s">
        <v>959</v>
      </c>
      <c r="U489" s="34" t="s">
        <v>959</v>
      </c>
      <c r="V489" s="35" t="s">
        <v>959</v>
      </c>
      <c r="W489" s="35" t="s">
        <v>959</v>
      </c>
    </row>
    <row r="490" spans="1:23" x14ac:dyDescent="0.2">
      <c r="A490" s="30" t="s">
        <v>429</v>
      </c>
      <c r="B490" s="30" t="s">
        <v>1197</v>
      </c>
      <c r="C490" s="34">
        <v>102</v>
      </c>
      <c r="D490" s="35">
        <v>97</v>
      </c>
      <c r="E490" s="34">
        <f>IF(OR(D490="-",D490="",D490=0),IF(C490="-","-",C490),C490-D490)</f>
        <v>5</v>
      </c>
      <c r="F490" s="4">
        <f>IFERROR(IF(C490&gt;0, D490/C490, 0),"-")</f>
        <v>0.9509803921568627</v>
      </c>
      <c r="G490" s="34">
        <v>3</v>
      </c>
      <c r="H490" s="35">
        <v>1</v>
      </c>
      <c r="I490" s="34">
        <f>IF(OR(H490="-",H490="",H490=0),IF(G490="-","-",G490),G490-H490)</f>
        <v>2</v>
      </c>
      <c r="J490" s="4">
        <f>IFERROR(IF(G490&gt;0, H490/G490, 0),"-")</f>
        <v>0.33333333333333331</v>
      </c>
      <c r="K490" s="34" t="s">
        <v>959</v>
      </c>
      <c r="L490" s="35" t="s">
        <v>959</v>
      </c>
      <c r="M490" s="34" t="str">
        <f>IF(OR(L490="-",L490="",L490=0),IF(K490="-","-",K490),K490-L490)</f>
        <v>-</v>
      </c>
      <c r="N490" s="4" t="str">
        <f>IFERROR(IF(K490&gt;0, L490/K490, 0),"-")</f>
        <v>-</v>
      </c>
      <c r="O490" s="34">
        <v>1</v>
      </c>
      <c r="P490" s="35">
        <v>1</v>
      </c>
      <c r="Q490" s="34">
        <f>IF(OR(P490="-",P490="",P490=0),IF(O490="-","-",O490),O490-P490)</f>
        <v>0</v>
      </c>
      <c r="R490" s="4">
        <f>IFERROR(IF(O490&gt;0, P490/O490, 0),"-")</f>
        <v>1</v>
      </c>
      <c r="S490" s="34" t="s">
        <v>959</v>
      </c>
      <c r="T490" s="34" t="s">
        <v>959</v>
      </c>
      <c r="U490" s="34" t="s">
        <v>959</v>
      </c>
      <c r="V490" s="35" t="s">
        <v>959</v>
      </c>
      <c r="W490" s="35" t="s">
        <v>959</v>
      </c>
    </row>
    <row r="491" spans="1:23" x14ac:dyDescent="0.2">
      <c r="A491" s="30" t="s">
        <v>430</v>
      </c>
      <c r="B491" s="30" t="s">
        <v>1198</v>
      </c>
      <c r="C491" s="34">
        <v>56</v>
      </c>
      <c r="D491" s="35">
        <v>45</v>
      </c>
      <c r="E491" s="34">
        <f>IF(OR(D491="-",D491="",D491=0),IF(C491="-","-",C491),C491-D491)</f>
        <v>11</v>
      </c>
      <c r="F491" s="4">
        <f>IFERROR(IF(C491&gt;0, D491/C491, 0),"-")</f>
        <v>0.8035714285714286</v>
      </c>
      <c r="G491" s="34">
        <v>3</v>
      </c>
      <c r="H491" s="35">
        <v>1</v>
      </c>
      <c r="I491" s="34">
        <f>IF(OR(H491="-",H491="",H491=0),IF(G491="-","-",G491),G491-H491)</f>
        <v>2</v>
      </c>
      <c r="J491" s="4">
        <f>IFERROR(IF(G491&gt;0, H491/G491, 0),"-")</f>
        <v>0.33333333333333331</v>
      </c>
      <c r="K491" s="34" t="s">
        <v>959</v>
      </c>
      <c r="L491" s="35" t="s">
        <v>959</v>
      </c>
      <c r="M491" s="34" t="str">
        <f>IF(OR(L491="-",L491="",L491=0),IF(K491="-","-",K491),K491-L491)</f>
        <v>-</v>
      </c>
      <c r="N491" s="4" t="str">
        <f>IFERROR(IF(K491&gt;0, L491/K491, 0),"-")</f>
        <v>-</v>
      </c>
      <c r="O491" s="34">
        <v>1</v>
      </c>
      <c r="P491" s="35" t="s">
        <v>959</v>
      </c>
      <c r="Q491" s="34">
        <f>IF(OR(P491="-",P491="",P491=0),IF(O491="-","-",O491),O491-P491)</f>
        <v>1</v>
      </c>
      <c r="R491" s="4" t="str">
        <f>IFERROR(IF(O491&gt;0, P491/O491, 0),"-")</f>
        <v>-</v>
      </c>
      <c r="S491" s="34">
        <v>1</v>
      </c>
      <c r="T491" s="34" t="s">
        <v>959</v>
      </c>
      <c r="U491" s="34" t="s">
        <v>959</v>
      </c>
      <c r="V491" s="35" t="s">
        <v>959</v>
      </c>
      <c r="W491" s="35" t="s">
        <v>959</v>
      </c>
    </row>
    <row r="492" spans="1:23" x14ac:dyDescent="0.2">
      <c r="A492" s="30" t="s">
        <v>432</v>
      </c>
      <c r="B492" s="30" t="s">
        <v>1199</v>
      </c>
      <c r="C492" s="34">
        <v>5</v>
      </c>
      <c r="D492" s="35">
        <v>4</v>
      </c>
      <c r="E492" s="34">
        <f>IF(OR(D492="-",D492="",D492=0),IF(C492="-","-",C492),C492-D492)</f>
        <v>1</v>
      </c>
      <c r="F492" s="4">
        <f>IFERROR(IF(C492&gt;0, D492/C492, 0),"-")</f>
        <v>0.8</v>
      </c>
      <c r="G492" s="34" t="s">
        <v>959</v>
      </c>
      <c r="H492" s="35" t="s">
        <v>959</v>
      </c>
      <c r="I492" s="34" t="str">
        <f>IF(OR(H492="-",H492="",H492=0),IF(G492="-","-",G492),G492-H492)</f>
        <v>-</v>
      </c>
      <c r="J492" s="4" t="str">
        <f>IFERROR(IF(G492&gt;0, H492/G492, 0),"-")</f>
        <v>-</v>
      </c>
      <c r="K492" s="34" t="s">
        <v>959</v>
      </c>
      <c r="L492" s="35" t="s">
        <v>959</v>
      </c>
      <c r="M492" s="34" t="str">
        <f>IF(OR(L492="-",L492="",L492=0),IF(K492="-","-",K492),K492-L492)</f>
        <v>-</v>
      </c>
      <c r="N492" s="4" t="str">
        <f>IFERROR(IF(K492&gt;0, L492/K492, 0),"-")</f>
        <v>-</v>
      </c>
      <c r="O492" s="34" t="s">
        <v>959</v>
      </c>
      <c r="P492" s="35" t="s">
        <v>959</v>
      </c>
      <c r="Q492" s="34" t="str">
        <f>IF(OR(P492="-",P492="",P492=0),IF(O492="-","-",O492),O492-P492)</f>
        <v>-</v>
      </c>
      <c r="R492" s="4" t="str">
        <f>IFERROR(IF(O492&gt;0, P492/O492, 0),"-")</f>
        <v>-</v>
      </c>
      <c r="S492" s="34" t="s">
        <v>959</v>
      </c>
      <c r="T492" s="34" t="s">
        <v>959</v>
      </c>
      <c r="U492" s="34" t="s">
        <v>959</v>
      </c>
      <c r="V492" s="35" t="s">
        <v>959</v>
      </c>
      <c r="W492" s="35" t="s">
        <v>959</v>
      </c>
    </row>
    <row r="493" spans="1:23" x14ac:dyDescent="0.2">
      <c r="A493" s="30" t="s">
        <v>425</v>
      </c>
      <c r="B493" s="30" t="s">
        <v>1200</v>
      </c>
      <c r="C493" s="34">
        <v>105</v>
      </c>
      <c r="D493" s="35">
        <v>101</v>
      </c>
      <c r="E493" s="34">
        <f>IF(OR(D493="-",D493="",D493=0),IF(C493="-","-",C493),C493-D493)</f>
        <v>4</v>
      </c>
      <c r="F493" s="4">
        <f>IFERROR(IF(C493&gt;0, D493/C493, 0),"-")</f>
        <v>0.96190476190476193</v>
      </c>
      <c r="G493" s="34">
        <v>2</v>
      </c>
      <c r="H493" s="35" t="s">
        <v>959</v>
      </c>
      <c r="I493" s="34">
        <f>IF(OR(H493="-",H493="",H493=0),IF(G493="-","-",G493),G493-H493)</f>
        <v>2</v>
      </c>
      <c r="J493" s="4" t="str">
        <f>IFERROR(IF(G493&gt;0, H493/G493, 0),"-")</f>
        <v>-</v>
      </c>
      <c r="K493" s="34" t="s">
        <v>959</v>
      </c>
      <c r="L493" s="35" t="s">
        <v>959</v>
      </c>
      <c r="M493" s="34" t="str">
        <f>IF(OR(L493="-",L493="",L493=0),IF(K493="-","-",K493),K493-L493)</f>
        <v>-</v>
      </c>
      <c r="N493" s="4" t="str">
        <f>IFERROR(IF(K493&gt;0, L493/K493, 0),"-")</f>
        <v>-</v>
      </c>
      <c r="O493" s="34" t="s">
        <v>959</v>
      </c>
      <c r="P493" s="35" t="s">
        <v>959</v>
      </c>
      <c r="Q493" s="34" t="str">
        <f>IF(OR(P493="-",P493="",P493=0),IF(O493="-","-",O493),O493-P493)</f>
        <v>-</v>
      </c>
      <c r="R493" s="4" t="str">
        <f>IFERROR(IF(O493&gt;0, P493/O493, 0),"-")</f>
        <v>-</v>
      </c>
      <c r="S493" s="34" t="s">
        <v>959</v>
      </c>
      <c r="T493" s="34" t="s">
        <v>959</v>
      </c>
      <c r="U493" s="34" t="s">
        <v>959</v>
      </c>
      <c r="V493" s="35" t="s">
        <v>959</v>
      </c>
      <c r="W493" s="35" t="s">
        <v>959</v>
      </c>
    </row>
    <row r="494" spans="1:23" x14ac:dyDescent="0.2">
      <c r="A494" s="30" t="s">
        <v>424</v>
      </c>
      <c r="B494" s="30" t="s">
        <v>1201</v>
      </c>
      <c r="C494" s="34">
        <v>103</v>
      </c>
      <c r="D494" s="35">
        <v>100</v>
      </c>
      <c r="E494" s="34">
        <f>IF(OR(D494="-",D494="",D494=0),IF(C494="-","-",C494),C494-D494)</f>
        <v>3</v>
      </c>
      <c r="F494" s="4">
        <f>IFERROR(IF(C494&gt;0, D494/C494, 0),"-")</f>
        <v>0.970873786407767</v>
      </c>
      <c r="G494" s="34" t="s">
        <v>959</v>
      </c>
      <c r="H494" s="35" t="s">
        <v>959</v>
      </c>
      <c r="I494" s="34" t="str">
        <f>IF(OR(H494="-",H494="",H494=0),IF(G494="-","-",G494),G494-H494)</f>
        <v>-</v>
      </c>
      <c r="J494" s="4" t="str">
        <f>IFERROR(IF(G494&gt;0, H494/G494, 0),"-")</f>
        <v>-</v>
      </c>
      <c r="K494" s="34" t="s">
        <v>959</v>
      </c>
      <c r="L494" s="35" t="s">
        <v>959</v>
      </c>
      <c r="M494" s="34" t="str">
        <f>IF(OR(L494="-",L494="",L494=0),IF(K494="-","-",K494),K494-L494)</f>
        <v>-</v>
      </c>
      <c r="N494" s="4" t="str">
        <f>IFERROR(IF(K494&gt;0, L494/K494, 0),"-")</f>
        <v>-</v>
      </c>
      <c r="O494" s="34" t="s">
        <v>959</v>
      </c>
      <c r="P494" s="35" t="s">
        <v>959</v>
      </c>
      <c r="Q494" s="34" t="str">
        <f>IF(OR(P494="-",P494="",P494=0),IF(O494="-","-",O494),O494-P494)</f>
        <v>-</v>
      </c>
      <c r="R494" s="4" t="str">
        <f>IFERROR(IF(O494&gt;0, P494/O494, 0),"-")</f>
        <v>-</v>
      </c>
      <c r="S494" s="34" t="s">
        <v>959</v>
      </c>
      <c r="T494" s="34" t="s">
        <v>959</v>
      </c>
      <c r="U494" s="34" t="s">
        <v>959</v>
      </c>
      <c r="V494" s="35" t="s">
        <v>959</v>
      </c>
      <c r="W494" s="35" t="s">
        <v>959</v>
      </c>
    </row>
    <row r="495" spans="1:23" x14ac:dyDescent="0.2">
      <c r="A495" s="30" t="s">
        <v>428</v>
      </c>
      <c r="B495" s="30" t="s">
        <v>1202</v>
      </c>
      <c r="C495" s="34">
        <v>191</v>
      </c>
      <c r="D495" s="35">
        <v>176</v>
      </c>
      <c r="E495" s="34">
        <f>IF(OR(D495="-",D495="",D495=0),IF(C495="-","-",C495),C495-D495)</f>
        <v>15</v>
      </c>
      <c r="F495" s="4">
        <f>IFERROR(IF(C495&gt;0, D495/C495, 0),"-")</f>
        <v>0.92146596858638741</v>
      </c>
      <c r="G495" s="34" t="s">
        <v>959</v>
      </c>
      <c r="H495" s="35" t="s">
        <v>959</v>
      </c>
      <c r="I495" s="34" t="str">
        <f>IF(OR(H495="-",H495="",H495=0),IF(G495="-","-",G495),G495-H495)</f>
        <v>-</v>
      </c>
      <c r="J495" s="4" t="str">
        <f>IFERROR(IF(G495&gt;0, H495/G495, 0),"-")</f>
        <v>-</v>
      </c>
      <c r="K495" s="34">
        <v>1</v>
      </c>
      <c r="L495" s="35" t="s">
        <v>959</v>
      </c>
      <c r="M495" s="34">
        <f>IF(OR(L495="-",L495="",L495=0),IF(K495="-","-",K495),K495-L495)</f>
        <v>1</v>
      </c>
      <c r="N495" s="4" t="str">
        <f>IFERROR(IF(K495&gt;0, L495/K495, 0),"-")</f>
        <v>-</v>
      </c>
      <c r="O495" s="34" t="s">
        <v>959</v>
      </c>
      <c r="P495" s="35" t="s">
        <v>959</v>
      </c>
      <c r="Q495" s="34" t="str">
        <f>IF(OR(P495="-",P495="",P495=0),IF(O495="-","-",O495),O495-P495)</f>
        <v>-</v>
      </c>
      <c r="R495" s="4" t="str">
        <f>IFERROR(IF(O495&gt;0, P495/O495, 0),"-")</f>
        <v>-</v>
      </c>
      <c r="S495" s="34">
        <v>2</v>
      </c>
      <c r="T495" s="34" t="s">
        <v>959</v>
      </c>
      <c r="U495" s="34" t="s">
        <v>959</v>
      </c>
      <c r="V495" s="35" t="s">
        <v>959</v>
      </c>
      <c r="W495" s="35" t="s">
        <v>959</v>
      </c>
    </row>
    <row r="496" spans="1:23" x14ac:dyDescent="0.2">
      <c r="A496" s="30" t="s">
        <v>426</v>
      </c>
      <c r="B496" s="30" t="s">
        <v>1203</v>
      </c>
      <c r="C496" s="34">
        <v>121</v>
      </c>
      <c r="D496" s="35">
        <v>111</v>
      </c>
      <c r="E496" s="34">
        <f>IF(OR(D496="-",D496="",D496=0),IF(C496="-","-",C496),C496-D496)</f>
        <v>10</v>
      </c>
      <c r="F496" s="4">
        <f>IFERROR(IF(C496&gt;0, D496/C496, 0),"-")</f>
        <v>0.9173553719008265</v>
      </c>
      <c r="G496" s="34">
        <v>1</v>
      </c>
      <c r="H496" s="35" t="s">
        <v>959</v>
      </c>
      <c r="I496" s="34">
        <f>IF(OR(H496="-",H496="",H496=0),IF(G496="-","-",G496),G496-H496)</f>
        <v>1</v>
      </c>
      <c r="J496" s="4" t="str">
        <f>IFERROR(IF(G496&gt;0, H496/G496, 0),"-")</f>
        <v>-</v>
      </c>
      <c r="K496" s="34">
        <v>1</v>
      </c>
      <c r="L496" s="35" t="s">
        <v>959</v>
      </c>
      <c r="M496" s="34">
        <f>IF(OR(L496="-",L496="",L496=0),IF(K496="-","-",K496),K496-L496)</f>
        <v>1</v>
      </c>
      <c r="N496" s="4" t="str">
        <f>IFERROR(IF(K496&gt;0, L496/K496, 0),"-")</f>
        <v>-</v>
      </c>
      <c r="O496" s="34">
        <v>1</v>
      </c>
      <c r="P496" s="35" t="s">
        <v>959</v>
      </c>
      <c r="Q496" s="34">
        <f>IF(OR(P496="-",P496="",P496=0),IF(O496="-","-",O496),O496-P496)</f>
        <v>1</v>
      </c>
      <c r="R496" s="4" t="str">
        <f>IFERROR(IF(O496&gt;0, P496/O496, 0),"-")</f>
        <v>-</v>
      </c>
      <c r="S496" s="34" t="s">
        <v>959</v>
      </c>
      <c r="T496" s="34" t="s">
        <v>959</v>
      </c>
      <c r="U496" s="34" t="s">
        <v>959</v>
      </c>
      <c r="V496" s="35" t="s">
        <v>959</v>
      </c>
      <c r="W496" s="35" t="s">
        <v>959</v>
      </c>
    </row>
    <row r="497" spans="1:23" x14ac:dyDescent="0.2">
      <c r="A497" s="29"/>
      <c r="B497" s="29" t="s">
        <v>111</v>
      </c>
      <c r="C497" s="32">
        <v>353</v>
      </c>
      <c r="D497" s="32">
        <v>345</v>
      </c>
      <c r="E497" s="32">
        <f>IF(OR(D497="-",D497="",D497=0),IF(C497="-","-",C497),C497-D497)</f>
        <v>8</v>
      </c>
      <c r="F497" s="36">
        <f>IFERROR(IF(C497&gt;0, D497/C497, 0),"-")</f>
        <v>0.97733711048158645</v>
      </c>
      <c r="G497" s="32">
        <v>1</v>
      </c>
      <c r="H497" s="32" t="s">
        <v>959</v>
      </c>
      <c r="I497" s="32">
        <f>IF(OR(H497="-",H497="",H497=0),IF(G497="-","-",G497),G497-H497)</f>
        <v>1</v>
      </c>
      <c r="J497" s="36" t="str">
        <f>IFERROR(IF(G497&gt;0, H497/G497, 0),"-")</f>
        <v>-</v>
      </c>
      <c r="K497" s="32" t="s">
        <v>959</v>
      </c>
      <c r="L497" s="32" t="s">
        <v>959</v>
      </c>
      <c r="M497" s="32" t="str">
        <f>IF(OR(L497="-",L497="",L497=0),IF(K497="-","-",K497),K497-L497)</f>
        <v>-</v>
      </c>
      <c r="N497" s="36" t="str">
        <f>IFERROR(IF(K497&gt;0, L497/K497, 0),"-")</f>
        <v>-</v>
      </c>
      <c r="O497" s="32" t="s">
        <v>959</v>
      </c>
      <c r="P497" s="32" t="s">
        <v>959</v>
      </c>
      <c r="Q497" s="32" t="str">
        <f>IF(OR(P497="-",P497="",P497=0),IF(O497="-","-",O497),O497-P497)</f>
        <v>-</v>
      </c>
      <c r="R497" s="36" t="str">
        <f>IFERROR(IF(O497&gt;0, P497/O497, 0),"-")</f>
        <v>-</v>
      </c>
      <c r="S497" s="32">
        <v>3</v>
      </c>
      <c r="T497" s="32" t="s">
        <v>959</v>
      </c>
      <c r="U497" s="32" t="s">
        <v>959</v>
      </c>
      <c r="V497" s="32" t="s">
        <v>959</v>
      </c>
      <c r="W497" s="32" t="s">
        <v>959</v>
      </c>
    </row>
    <row r="498" spans="1:23" x14ac:dyDescent="0.2">
      <c r="A498" s="30" t="s">
        <v>805</v>
      </c>
      <c r="B498" s="30" t="s">
        <v>1204</v>
      </c>
      <c r="C498" s="34">
        <v>137</v>
      </c>
      <c r="D498" s="35">
        <v>136</v>
      </c>
      <c r="E498" s="34">
        <f>IF(OR(D498="-",D498="",D498=0),IF(C498="-","-",C498),C498-D498)</f>
        <v>1</v>
      </c>
      <c r="F498" s="4">
        <f>IFERROR(IF(C498&gt;0, D498/C498, 0),"-")</f>
        <v>0.99270072992700731</v>
      </c>
      <c r="G498" s="34" t="s">
        <v>959</v>
      </c>
      <c r="H498" s="35" t="s">
        <v>959</v>
      </c>
      <c r="I498" s="34" t="str">
        <f>IF(OR(H498="-",H498="",H498=0),IF(G498="-","-",G498),G498-H498)</f>
        <v>-</v>
      </c>
      <c r="J498" s="4" t="str">
        <f>IFERROR(IF(G498&gt;0, H498/G498, 0),"-")</f>
        <v>-</v>
      </c>
      <c r="K498" s="34" t="s">
        <v>959</v>
      </c>
      <c r="L498" s="35" t="s">
        <v>959</v>
      </c>
      <c r="M498" s="34" t="str">
        <f>IF(OR(L498="-",L498="",L498=0),IF(K498="-","-",K498),K498-L498)</f>
        <v>-</v>
      </c>
      <c r="N498" s="4" t="str">
        <f>IFERROR(IF(K498&gt;0, L498/K498, 0),"-")</f>
        <v>-</v>
      </c>
      <c r="O498" s="34" t="s">
        <v>959</v>
      </c>
      <c r="P498" s="35" t="s">
        <v>959</v>
      </c>
      <c r="Q498" s="34" t="str">
        <f>IF(OR(P498="-",P498="",P498=0),IF(O498="-","-",O498),O498-P498)</f>
        <v>-</v>
      </c>
      <c r="R498" s="4" t="str">
        <f>IFERROR(IF(O498&gt;0, P498/O498, 0),"-")</f>
        <v>-</v>
      </c>
      <c r="S498" s="34" t="s">
        <v>959</v>
      </c>
      <c r="T498" s="34" t="s">
        <v>959</v>
      </c>
      <c r="U498" s="34" t="s">
        <v>959</v>
      </c>
      <c r="V498" s="35" t="s">
        <v>959</v>
      </c>
      <c r="W498" s="35" t="s">
        <v>959</v>
      </c>
    </row>
    <row r="499" spans="1:23" x14ac:dyDescent="0.2">
      <c r="A499" s="30" t="s">
        <v>806</v>
      </c>
      <c r="B499" s="30" t="s">
        <v>1205</v>
      </c>
      <c r="C499" s="34">
        <v>56</v>
      </c>
      <c r="D499" s="35">
        <v>54</v>
      </c>
      <c r="E499" s="34">
        <f>IF(OR(D499="-",D499="",D499=0),IF(C499="-","-",C499),C499-D499)</f>
        <v>2</v>
      </c>
      <c r="F499" s="4">
        <f>IFERROR(IF(C499&gt;0, D499/C499, 0),"-")</f>
        <v>0.9642857142857143</v>
      </c>
      <c r="G499" s="34" t="s">
        <v>959</v>
      </c>
      <c r="H499" s="35" t="s">
        <v>959</v>
      </c>
      <c r="I499" s="34" t="str">
        <f>IF(OR(H499="-",H499="",H499=0),IF(G499="-","-",G499),G499-H499)</f>
        <v>-</v>
      </c>
      <c r="J499" s="4" t="str">
        <f>IFERROR(IF(G499&gt;0, H499/G499, 0),"-")</f>
        <v>-</v>
      </c>
      <c r="K499" s="34" t="s">
        <v>959</v>
      </c>
      <c r="L499" s="35" t="s">
        <v>959</v>
      </c>
      <c r="M499" s="34" t="str">
        <f>IF(OR(L499="-",L499="",L499=0),IF(K499="-","-",K499),K499-L499)</f>
        <v>-</v>
      </c>
      <c r="N499" s="4" t="str">
        <f>IFERROR(IF(K499&gt;0, L499/K499, 0),"-")</f>
        <v>-</v>
      </c>
      <c r="O499" s="34" t="s">
        <v>959</v>
      </c>
      <c r="P499" s="35" t="s">
        <v>959</v>
      </c>
      <c r="Q499" s="34" t="str">
        <f>IF(OR(P499="-",P499="",P499=0),IF(O499="-","-",O499),O499-P499)</f>
        <v>-</v>
      </c>
      <c r="R499" s="4" t="str">
        <f>IFERROR(IF(O499&gt;0, P499/O499, 0),"-")</f>
        <v>-</v>
      </c>
      <c r="S499" s="34" t="s">
        <v>959</v>
      </c>
      <c r="T499" s="34" t="s">
        <v>959</v>
      </c>
      <c r="U499" s="34" t="s">
        <v>959</v>
      </c>
      <c r="V499" s="35" t="s">
        <v>959</v>
      </c>
      <c r="W499" s="35" t="s">
        <v>959</v>
      </c>
    </row>
    <row r="500" spans="1:23" x14ac:dyDescent="0.2">
      <c r="A500" s="30" t="s">
        <v>808</v>
      </c>
      <c r="B500" s="30" t="s">
        <v>1206</v>
      </c>
      <c r="C500" s="34">
        <v>45</v>
      </c>
      <c r="D500" s="35">
        <v>44</v>
      </c>
      <c r="E500" s="34">
        <f>IF(OR(D500="-",D500="",D500=0),IF(C500="-","-",C500),C500-D500)</f>
        <v>1</v>
      </c>
      <c r="F500" s="4">
        <f>IFERROR(IF(C500&gt;0, D500/C500, 0),"-")</f>
        <v>0.97777777777777775</v>
      </c>
      <c r="G500" s="34">
        <v>1</v>
      </c>
      <c r="H500" s="35" t="s">
        <v>959</v>
      </c>
      <c r="I500" s="34">
        <f>IF(OR(H500="-",H500="",H500=0),IF(G500="-","-",G500),G500-H500)</f>
        <v>1</v>
      </c>
      <c r="J500" s="4" t="str">
        <f>IFERROR(IF(G500&gt;0, H500/G500, 0),"-")</f>
        <v>-</v>
      </c>
      <c r="K500" s="34" t="s">
        <v>959</v>
      </c>
      <c r="L500" s="35" t="s">
        <v>959</v>
      </c>
      <c r="M500" s="34" t="str">
        <f>IF(OR(L500="-",L500="",L500=0),IF(K500="-","-",K500),K500-L500)</f>
        <v>-</v>
      </c>
      <c r="N500" s="4" t="str">
        <f>IFERROR(IF(K500&gt;0, L500/K500, 0),"-")</f>
        <v>-</v>
      </c>
      <c r="O500" s="34" t="s">
        <v>959</v>
      </c>
      <c r="P500" s="35" t="s">
        <v>959</v>
      </c>
      <c r="Q500" s="34" t="str">
        <f>IF(OR(P500="-",P500="",P500=0),IF(O500="-","-",O500),O500-P500)</f>
        <v>-</v>
      </c>
      <c r="R500" s="4" t="str">
        <f>IFERROR(IF(O500&gt;0, P500/O500, 0),"-")</f>
        <v>-</v>
      </c>
      <c r="S500" s="34">
        <v>2</v>
      </c>
      <c r="T500" s="34" t="s">
        <v>959</v>
      </c>
      <c r="U500" s="34" t="s">
        <v>959</v>
      </c>
      <c r="V500" s="35" t="s">
        <v>959</v>
      </c>
      <c r="W500" s="35" t="s">
        <v>959</v>
      </c>
    </row>
    <row r="501" spans="1:23" x14ac:dyDescent="0.2">
      <c r="A501" s="30" t="s">
        <v>804</v>
      </c>
      <c r="B501" s="30" t="s">
        <v>1207</v>
      </c>
      <c r="C501" s="34">
        <v>67</v>
      </c>
      <c r="D501" s="35">
        <v>65</v>
      </c>
      <c r="E501" s="34">
        <f>IF(OR(D501="-",D501="",D501=0),IF(C501="-","-",C501),C501-D501)</f>
        <v>2</v>
      </c>
      <c r="F501" s="4">
        <f>IFERROR(IF(C501&gt;0, D501/C501, 0),"-")</f>
        <v>0.97014925373134331</v>
      </c>
      <c r="G501" s="34" t="s">
        <v>959</v>
      </c>
      <c r="H501" s="35" t="s">
        <v>959</v>
      </c>
      <c r="I501" s="34" t="str">
        <f>IF(OR(H501="-",H501="",H501=0),IF(G501="-","-",G501),G501-H501)</f>
        <v>-</v>
      </c>
      <c r="J501" s="4" t="str">
        <f>IFERROR(IF(G501&gt;0, H501/G501, 0),"-")</f>
        <v>-</v>
      </c>
      <c r="K501" s="34" t="s">
        <v>959</v>
      </c>
      <c r="L501" s="35" t="s">
        <v>959</v>
      </c>
      <c r="M501" s="34" t="str">
        <f>IF(OR(L501="-",L501="",L501=0),IF(K501="-","-",K501),K501-L501)</f>
        <v>-</v>
      </c>
      <c r="N501" s="4" t="str">
        <f>IFERROR(IF(K501&gt;0, L501/K501, 0),"-")</f>
        <v>-</v>
      </c>
      <c r="O501" s="34" t="s">
        <v>959</v>
      </c>
      <c r="P501" s="35" t="s">
        <v>959</v>
      </c>
      <c r="Q501" s="34" t="str">
        <f>IF(OR(P501="-",P501="",P501=0),IF(O501="-","-",O501),O501-P501)</f>
        <v>-</v>
      </c>
      <c r="R501" s="4" t="str">
        <f>IFERROR(IF(O501&gt;0, P501/O501, 0),"-")</f>
        <v>-</v>
      </c>
      <c r="S501" s="34">
        <v>1</v>
      </c>
      <c r="T501" s="34" t="s">
        <v>959</v>
      </c>
      <c r="U501" s="34" t="s">
        <v>959</v>
      </c>
      <c r="V501" s="35" t="s">
        <v>959</v>
      </c>
      <c r="W501" s="35" t="s">
        <v>959</v>
      </c>
    </row>
    <row r="502" spans="1:23" x14ac:dyDescent="0.2">
      <c r="A502" s="30" t="s">
        <v>809</v>
      </c>
      <c r="B502" s="30" t="s">
        <v>1208</v>
      </c>
      <c r="C502" s="34">
        <v>16</v>
      </c>
      <c r="D502" s="35">
        <v>15</v>
      </c>
      <c r="E502" s="34">
        <f>IF(OR(D502="-",D502="",D502=0),IF(C502="-","-",C502),C502-D502)</f>
        <v>1</v>
      </c>
      <c r="F502" s="4">
        <f>IFERROR(IF(C502&gt;0, D502/C502, 0),"-")</f>
        <v>0.9375</v>
      </c>
      <c r="G502" s="34" t="s">
        <v>959</v>
      </c>
      <c r="H502" s="35" t="s">
        <v>959</v>
      </c>
      <c r="I502" s="34" t="str">
        <f>IF(OR(H502="-",H502="",H502=0),IF(G502="-","-",G502),G502-H502)</f>
        <v>-</v>
      </c>
      <c r="J502" s="4" t="str">
        <f>IFERROR(IF(G502&gt;0, H502/G502, 0),"-")</f>
        <v>-</v>
      </c>
      <c r="K502" s="34" t="s">
        <v>959</v>
      </c>
      <c r="L502" s="35" t="s">
        <v>959</v>
      </c>
      <c r="M502" s="34" t="str">
        <f>IF(OR(L502="-",L502="",L502=0),IF(K502="-","-",K502),K502-L502)</f>
        <v>-</v>
      </c>
      <c r="N502" s="4" t="str">
        <f>IFERROR(IF(K502&gt;0, L502/K502, 0),"-")</f>
        <v>-</v>
      </c>
      <c r="O502" s="34" t="s">
        <v>959</v>
      </c>
      <c r="P502" s="35" t="s">
        <v>959</v>
      </c>
      <c r="Q502" s="34" t="str">
        <f>IF(OR(P502="-",P502="",P502=0),IF(O502="-","-",O502),O502-P502)</f>
        <v>-</v>
      </c>
      <c r="R502" s="4" t="str">
        <f>IFERROR(IF(O502&gt;0, P502/O502, 0),"-")</f>
        <v>-</v>
      </c>
      <c r="S502" s="34" t="s">
        <v>959</v>
      </c>
      <c r="T502" s="34" t="s">
        <v>959</v>
      </c>
      <c r="U502" s="34" t="s">
        <v>959</v>
      </c>
      <c r="V502" s="35" t="s">
        <v>959</v>
      </c>
      <c r="W502" s="35" t="s">
        <v>959</v>
      </c>
    </row>
    <row r="503" spans="1:23" x14ac:dyDescent="0.2">
      <c r="A503" s="30" t="s">
        <v>807</v>
      </c>
      <c r="B503" s="30" t="s">
        <v>1209</v>
      </c>
      <c r="C503" s="34">
        <v>32</v>
      </c>
      <c r="D503" s="35">
        <v>31</v>
      </c>
      <c r="E503" s="34">
        <f>IF(OR(D503="-",D503="",D503=0),IF(C503="-","-",C503),C503-D503)</f>
        <v>1</v>
      </c>
      <c r="F503" s="4">
        <f>IFERROR(IF(C503&gt;0, D503/C503, 0),"-")</f>
        <v>0.96875</v>
      </c>
      <c r="G503" s="34" t="s">
        <v>959</v>
      </c>
      <c r="H503" s="35" t="s">
        <v>959</v>
      </c>
      <c r="I503" s="34" t="str">
        <f>IF(OR(H503="-",H503="",H503=0),IF(G503="-","-",G503),G503-H503)</f>
        <v>-</v>
      </c>
      <c r="J503" s="4" t="str">
        <f>IFERROR(IF(G503&gt;0, H503/G503, 0),"-")</f>
        <v>-</v>
      </c>
      <c r="K503" s="34" t="s">
        <v>959</v>
      </c>
      <c r="L503" s="35" t="s">
        <v>959</v>
      </c>
      <c r="M503" s="34" t="str">
        <f>IF(OR(L503="-",L503="",L503=0),IF(K503="-","-",K503),K503-L503)</f>
        <v>-</v>
      </c>
      <c r="N503" s="4" t="str">
        <f>IFERROR(IF(K503&gt;0, L503/K503, 0),"-")</f>
        <v>-</v>
      </c>
      <c r="O503" s="34" t="s">
        <v>959</v>
      </c>
      <c r="P503" s="35" t="s">
        <v>959</v>
      </c>
      <c r="Q503" s="34" t="str">
        <f>IF(OR(P503="-",P503="",P503=0),IF(O503="-","-",O503),O503-P503)</f>
        <v>-</v>
      </c>
      <c r="R503" s="4" t="str">
        <f>IFERROR(IF(O503&gt;0, P503/O503, 0),"-")</f>
        <v>-</v>
      </c>
      <c r="S503" s="34" t="s">
        <v>959</v>
      </c>
      <c r="T503" s="34" t="s">
        <v>959</v>
      </c>
      <c r="U503" s="34" t="s">
        <v>959</v>
      </c>
      <c r="V503" s="35" t="s">
        <v>959</v>
      </c>
      <c r="W503" s="35" t="s">
        <v>959</v>
      </c>
    </row>
    <row r="504" spans="1:23" x14ac:dyDescent="0.2">
      <c r="A504" s="29"/>
      <c r="B504" s="29" t="s">
        <v>83</v>
      </c>
      <c r="C504" s="32">
        <v>239</v>
      </c>
      <c r="D504" s="32">
        <v>232</v>
      </c>
      <c r="E504" s="32">
        <f>IF(OR(D504="-",D504="",D504=0),IF(C504="-","-",C504),C504-D504)</f>
        <v>7</v>
      </c>
      <c r="F504" s="36">
        <f>IFERROR(IF(C504&gt;0, D504/C504, 0),"-")</f>
        <v>0.97071129707112969</v>
      </c>
      <c r="G504" s="32">
        <v>2</v>
      </c>
      <c r="H504" s="32">
        <v>1</v>
      </c>
      <c r="I504" s="32">
        <f>IF(OR(H504="-",H504="",H504=0),IF(G504="-","-",G504),G504-H504)</f>
        <v>1</v>
      </c>
      <c r="J504" s="36">
        <f>IFERROR(IF(G504&gt;0, H504/G504, 0),"-")</f>
        <v>0.5</v>
      </c>
      <c r="K504" s="32" t="s">
        <v>959</v>
      </c>
      <c r="L504" s="32" t="s">
        <v>959</v>
      </c>
      <c r="M504" s="32" t="str">
        <f>IF(OR(L504="-",L504="",L504=0),IF(K504="-","-",K504),K504-L504)</f>
        <v>-</v>
      </c>
      <c r="N504" s="36" t="str">
        <f>IFERROR(IF(K504&gt;0, L504/K504, 0),"-")</f>
        <v>-</v>
      </c>
      <c r="O504" s="32" t="s">
        <v>959</v>
      </c>
      <c r="P504" s="32" t="s">
        <v>959</v>
      </c>
      <c r="Q504" s="32" t="str">
        <f>IF(OR(P504="-",P504="",P504=0),IF(O504="-","-",O504),O504-P504)</f>
        <v>-</v>
      </c>
      <c r="R504" s="36" t="str">
        <f>IFERROR(IF(O504&gt;0, P504/O504, 0),"-")</f>
        <v>-</v>
      </c>
      <c r="S504" s="32">
        <v>1</v>
      </c>
      <c r="T504" s="32" t="s">
        <v>959</v>
      </c>
      <c r="U504" s="32" t="s">
        <v>959</v>
      </c>
      <c r="V504" s="32" t="s">
        <v>959</v>
      </c>
      <c r="W504" s="32" t="s">
        <v>959</v>
      </c>
    </row>
    <row r="505" spans="1:23" x14ac:dyDescent="0.2">
      <c r="A505" s="30" t="s">
        <v>558</v>
      </c>
      <c r="B505" s="30" t="s">
        <v>1210</v>
      </c>
      <c r="C505" s="34">
        <v>100</v>
      </c>
      <c r="D505" s="35">
        <v>96</v>
      </c>
      <c r="E505" s="34">
        <f>IF(OR(D505="-",D505="",D505=0),IF(C505="-","-",C505),C505-D505)</f>
        <v>4</v>
      </c>
      <c r="F505" s="4">
        <f>IFERROR(IF(C505&gt;0, D505/C505, 0),"-")</f>
        <v>0.96</v>
      </c>
      <c r="G505" s="34">
        <v>1</v>
      </c>
      <c r="H505" s="35">
        <v>1</v>
      </c>
      <c r="I505" s="34">
        <f>IF(OR(H505="-",H505="",H505=0),IF(G505="-","-",G505),G505-H505)</f>
        <v>0</v>
      </c>
      <c r="J505" s="4">
        <f>IFERROR(IF(G505&gt;0, H505/G505, 0),"-")</f>
        <v>1</v>
      </c>
      <c r="K505" s="34" t="s">
        <v>959</v>
      </c>
      <c r="L505" s="35" t="s">
        <v>959</v>
      </c>
      <c r="M505" s="34" t="str">
        <f>IF(OR(L505="-",L505="",L505=0),IF(K505="-","-",K505),K505-L505)</f>
        <v>-</v>
      </c>
      <c r="N505" s="4" t="str">
        <f>IFERROR(IF(K505&gt;0, L505/K505, 0),"-")</f>
        <v>-</v>
      </c>
      <c r="O505" s="34" t="s">
        <v>959</v>
      </c>
      <c r="P505" s="35" t="s">
        <v>959</v>
      </c>
      <c r="Q505" s="34" t="str">
        <f>IF(OR(P505="-",P505="",P505=0),IF(O505="-","-",O505),O505-P505)</f>
        <v>-</v>
      </c>
      <c r="R505" s="4" t="str">
        <f>IFERROR(IF(O505&gt;0, P505/O505, 0),"-")</f>
        <v>-</v>
      </c>
      <c r="S505" s="34" t="s">
        <v>959</v>
      </c>
      <c r="T505" s="34" t="s">
        <v>959</v>
      </c>
      <c r="U505" s="34" t="s">
        <v>959</v>
      </c>
      <c r="V505" s="35" t="s">
        <v>959</v>
      </c>
      <c r="W505" s="35" t="s">
        <v>959</v>
      </c>
    </row>
    <row r="506" spans="1:23" x14ac:dyDescent="0.2">
      <c r="A506" s="30" t="s">
        <v>560</v>
      </c>
      <c r="B506" s="30" t="s">
        <v>1211</v>
      </c>
      <c r="C506" s="34">
        <v>1</v>
      </c>
      <c r="D506" s="35">
        <v>1</v>
      </c>
      <c r="E506" s="34">
        <f>IF(OR(D506="-",D506="",D506=0),IF(C506="-","-",C506),C506-D506)</f>
        <v>0</v>
      </c>
      <c r="F506" s="4">
        <f>IFERROR(IF(C506&gt;0, D506/C506, 0),"-")</f>
        <v>1</v>
      </c>
      <c r="G506" s="34" t="s">
        <v>959</v>
      </c>
      <c r="H506" s="35" t="s">
        <v>959</v>
      </c>
      <c r="I506" s="34" t="str">
        <f>IF(OR(H506="-",H506="",H506=0),IF(G506="-","-",G506),G506-H506)</f>
        <v>-</v>
      </c>
      <c r="J506" s="4" t="str">
        <f>IFERROR(IF(G506&gt;0, H506/G506, 0),"-")</f>
        <v>-</v>
      </c>
      <c r="K506" s="34" t="s">
        <v>959</v>
      </c>
      <c r="L506" s="35" t="s">
        <v>959</v>
      </c>
      <c r="M506" s="34" t="str">
        <f>IF(OR(L506="-",L506="",L506=0),IF(K506="-","-",K506),K506-L506)</f>
        <v>-</v>
      </c>
      <c r="N506" s="4" t="str">
        <f>IFERROR(IF(K506&gt;0, L506/K506, 0),"-")</f>
        <v>-</v>
      </c>
      <c r="O506" s="34" t="s">
        <v>959</v>
      </c>
      <c r="P506" s="35" t="s">
        <v>959</v>
      </c>
      <c r="Q506" s="34" t="str">
        <f>IF(OR(P506="-",P506="",P506=0),IF(O506="-","-",O506),O506-P506)</f>
        <v>-</v>
      </c>
      <c r="R506" s="4" t="str">
        <f>IFERROR(IF(O506&gt;0, P506/O506, 0),"-")</f>
        <v>-</v>
      </c>
      <c r="S506" s="34" t="s">
        <v>959</v>
      </c>
      <c r="T506" s="34" t="s">
        <v>959</v>
      </c>
      <c r="U506" s="34" t="s">
        <v>959</v>
      </c>
      <c r="V506" s="35" t="s">
        <v>959</v>
      </c>
      <c r="W506" s="35" t="s">
        <v>959</v>
      </c>
    </row>
    <row r="507" spans="1:23" x14ac:dyDescent="0.2">
      <c r="A507" s="30" t="s">
        <v>556</v>
      </c>
      <c r="B507" s="30" t="s">
        <v>1212</v>
      </c>
      <c r="C507" s="34">
        <v>65</v>
      </c>
      <c r="D507" s="35">
        <v>64</v>
      </c>
      <c r="E507" s="34">
        <f>IF(OR(D507="-",D507="",D507=0),IF(C507="-","-",C507),C507-D507)</f>
        <v>1</v>
      </c>
      <c r="F507" s="4">
        <f>IFERROR(IF(C507&gt;0, D507/C507, 0),"-")</f>
        <v>0.98461538461538467</v>
      </c>
      <c r="G507" s="34" t="s">
        <v>959</v>
      </c>
      <c r="H507" s="35" t="s">
        <v>959</v>
      </c>
      <c r="I507" s="34" t="str">
        <f>IF(OR(H507="-",H507="",H507=0),IF(G507="-","-",G507),G507-H507)</f>
        <v>-</v>
      </c>
      <c r="J507" s="4" t="str">
        <f>IFERROR(IF(G507&gt;0, H507/G507, 0),"-")</f>
        <v>-</v>
      </c>
      <c r="K507" s="34" t="s">
        <v>959</v>
      </c>
      <c r="L507" s="35" t="s">
        <v>959</v>
      </c>
      <c r="M507" s="34" t="str">
        <f>IF(OR(L507="-",L507="",L507=0),IF(K507="-","-",K507),K507-L507)</f>
        <v>-</v>
      </c>
      <c r="N507" s="4" t="str">
        <f>IFERROR(IF(K507&gt;0, L507/K507, 0),"-")</f>
        <v>-</v>
      </c>
      <c r="O507" s="34" t="s">
        <v>959</v>
      </c>
      <c r="P507" s="35" t="s">
        <v>959</v>
      </c>
      <c r="Q507" s="34" t="str">
        <f>IF(OR(P507="-",P507="",P507=0),IF(O507="-","-",O507),O507-P507)</f>
        <v>-</v>
      </c>
      <c r="R507" s="4" t="str">
        <f>IFERROR(IF(O507&gt;0, P507/O507, 0),"-")</f>
        <v>-</v>
      </c>
      <c r="S507" s="34" t="s">
        <v>959</v>
      </c>
      <c r="T507" s="34" t="s">
        <v>959</v>
      </c>
      <c r="U507" s="34" t="s">
        <v>959</v>
      </c>
      <c r="V507" s="35" t="s">
        <v>959</v>
      </c>
      <c r="W507" s="35" t="s">
        <v>959</v>
      </c>
    </row>
    <row r="508" spans="1:23" x14ac:dyDescent="0.2">
      <c r="A508" s="30" t="s">
        <v>557</v>
      </c>
      <c r="B508" s="30" t="s">
        <v>1213</v>
      </c>
      <c r="C508" s="34">
        <v>70</v>
      </c>
      <c r="D508" s="35">
        <v>69</v>
      </c>
      <c r="E508" s="34">
        <f>IF(OR(D508="-",D508="",D508=0),IF(C508="-","-",C508),C508-D508)</f>
        <v>1</v>
      </c>
      <c r="F508" s="4">
        <f>IFERROR(IF(C508&gt;0, D508/C508, 0),"-")</f>
        <v>0.98571428571428577</v>
      </c>
      <c r="G508" s="34">
        <v>1</v>
      </c>
      <c r="H508" s="35" t="s">
        <v>959</v>
      </c>
      <c r="I508" s="34">
        <f>IF(OR(H508="-",H508="",H508=0),IF(G508="-","-",G508),G508-H508)</f>
        <v>1</v>
      </c>
      <c r="J508" s="4" t="str">
        <f>IFERROR(IF(G508&gt;0, H508/G508, 0),"-")</f>
        <v>-</v>
      </c>
      <c r="K508" s="34" t="s">
        <v>959</v>
      </c>
      <c r="L508" s="35" t="s">
        <v>959</v>
      </c>
      <c r="M508" s="34" t="str">
        <f>IF(OR(L508="-",L508="",L508=0),IF(K508="-","-",K508),K508-L508)</f>
        <v>-</v>
      </c>
      <c r="N508" s="4" t="str">
        <f>IFERROR(IF(K508&gt;0, L508/K508, 0),"-")</f>
        <v>-</v>
      </c>
      <c r="O508" s="34" t="s">
        <v>959</v>
      </c>
      <c r="P508" s="35" t="s">
        <v>959</v>
      </c>
      <c r="Q508" s="34" t="str">
        <f>IF(OR(P508="-",P508="",P508=0),IF(O508="-","-",O508),O508-P508)</f>
        <v>-</v>
      </c>
      <c r="R508" s="4" t="str">
        <f>IFERROR(IF(O508&gt;0, P508/O508, 0),"-")</f>
        <v>-</v>
      </c>
      <c r="S508" s="34">
        <v>1</v>
      </c>
      <c r="T508" s="34" t="s">
        <v>959</v>
      </c>
      <c r="U508" s="34" t="s">
        <v>959</v>
      </c>
      <c r="V508" s="35" t="s">
        <v>959</v>
      </c>
      <c r="W508" s="35" t="s">
        <v>959</v>
      </c>
    </row>
    <row r="509" spans="1:23" x14ac:dyDescent="0.2">
      <c r="A509" s="30" t="s">
        <v>559</v>
      </c>
      <c r="B509" s="30" t="s">
        <v>1214</v>
      </c>
      <c r="C509" s="34">
        <v>3</v>
      </c>
      <c r="D509" s="35">
        <v>2</v>
      </c>
      <c r="E509" s="34">
        <f>IF(OR(D509="-",D509="",D509=0),IF(C509="-","-",C509),C509-D509)</f>
        <v>1</v>
      </c>
      <c r="F509" s="4">
        <f>IFERROR(IF(C509&gt;0, D509/C509, 0),"-")</f>
        <v>0.66666666666666663</v>
      </c>
      <c r="G509" s="34" t="s">
        <v>959</v>
      </c>
      <c r="H509" s="35" t="s">
        <v>959</v>
      </c>
      <c r="I509" s="34" t="str">
        <f>IF(OR(H509="-",H509="",H509=0),IF(G509="-","-",G509),G509-H509)</f>
        <v>-</v>
      </c>
      <c r="J509" s="4" t="str">
        <f>IFERROR(IF(G509&gt;0, H509/G509, 0),"-")</f>
        <v>-</v>
      </c>
      <c r="K509" s="34" t="s">
        <v>959</v>
      </c>
      <c r="L509" s="35" t="s">
        <v>959</v>
      </c>
      <c r="M509" s="34" t="str">
        <f>IF(OR(L509="-",L509="",L509=0),IF(K509="-","-",K509),K509-L509)</f>
        <v>-</v>
      </c>
      <c r="N509" s="4" t="str">
        <f>IFERROR(IF(K509&gt;0, L509/K509, 0),"-")</f>
        <v>-</v>
      </c>
      <c r="O509" s="34" t="s">
        <v>959</v>
      </c>
      <c r="P509" s="35" t="s">
        <v>959</v>
      </c>
      <c r="Q509" s="34" t="str">
        <f>IF(OR(P509="-",P509="",P509=0),IF(O509="-","-",O509),O509-P509)</f>
        <v>-</v>
      </c>
      <c r="R509" s="4" t="str">
        <f>IFERROR(IF(O509&gt;0, P509/O509, 0),"-")</f>
        <v>-</v>
      </c>
      <c r="S509" s="34" t="s">
        <v>959</v>
      </c>
      <c r="T509" s="34" t="s">
        <v>959</v>
      </c>
      <c r="U509" s="34" t="s">
        <v>959</v>
      </c>
      <c r="V509" s="35" t="s">
        <v>959</v>
      </c>
      <c r="W509" s="35" t="s">
        <v>959</v>
      </c>
    </row>
    <row r="510" spans="1:23" x14ac:dyDescent="0.2">
      <c r="A510" s="29"/>
      <c r="B510" s="29" t="s">
        <v>116</v>
      </c>
      <c r="C510" s="32">
        <v>573</v>
      </c>
      <c r="D510" s="32">
        <v>568</v>
      </c>
      <c r="E510" s="32">
        <f>IF(OR(D510="-",D510="",D510=0),IF(C510="-","-",C510),C510-D510)</f>
        <v>5</v>
      </c>
      <c r="F510" s="36">
        <f>IFERROR(IF(C510&gt;0, D510/C510, 0),"-")</f>
        <v>0.99127399650959858</v>
      </c>
      <c r="G510" s="32">
        <v>2</v>
      </c>
      <c r="H510" s="32">
        <v>1</v>
      </c>
      <c r="I510" s="32">
        <f>IF(OR(H510="-",H510="",H510=0),IF(G510="-","-",G510),G510-H510)</f>
        <v>1</v>
      </c>
      <c r="J510" s="36">
        <f>IFERROR(IF(G510&gt;0, H510/G510, 0),"-")</f>
        <v>0.5</v>
      </c>
      <c r="K510" s="32">
        <v>1</v>
      </c>
      <c r="L510" s="32" t="s">
        <v>959</v>
      </c>
      <c r="M510" s="32">
        <f>IF(OR(L510="-",L510="",L510=0),IF(K510="-","-",K510),K510-L510)</f>
        <v>1</v>
      </c>
      <c r="N510" s="36" t="str">
        <f>IFERROR(IF(K510&gt;0, L510/K510, 0),"-")</f>
        <v>-</v>
      </c>
      <c r="O510" s="32">
        <v>1</v>
      </c>
      <c r="P510" s="32" t="s">
        <v>959</v>
      </c>
      <c r="Q510" s="32">
        <f>IF(OR(P510="-",P510="",P510=0),IF(O510="-","-",O510),O510-P510)</f>
        <v>1</v>
      </c>
      <c r="R510" s="36" t="str">
        <f>IFERROR(IF(O510&gt;0, P510/O510, 0),"-")</f>
        <v>-</v>
      </c>
      <c r="S510" s="32">
        <v>2</v>
      </c>
      <c r="T510" s="32" t="s">
        <v>959</v>
      </c>
      <c r="U510" s="32" t="s">
        <v>959</v>
      </c>
      <c r="V510" s="32" t="s">
        <v>959</v>
      </c>
      <c r="W510" s="32" t="s">
        <v>959</v>
      </c>
    </row>
    <row r="511" spans="1:23" x14ac:dyDescent="0.2">
      <c r="A511" s="30" t="s">
        <v>829</v>
      </c>
      <c r="B511" s="30" t="s">
        <v>1215</v>
      </c>
      <c r="C511" s="34">
        <v>131</v>
      </c>
      <c r="D511" s="35">
        <v>131</v>
      </c>
      <c r="E511" s="34">
        <f>IF(OR(D511="-",D511="",D511=0),IF(C511="-","-",C511),C511-D511)</f>
        <v>0</v>
      </c>
      <c r="F511" s="4">
        <f>IFERROR(IF(C511&gt;0, D511/C511, 0),"-")</f>
        <v>1</v>
      </c>
      <c r="G511" s="34" t="s">
        <v>959</v>
      </c>
      <c r="H511" s="35" t="s">
        <v>959</v>
      </c>
      <c r="I511" s="34" t="str">
        <f>IF(OR(H511="-",H511="",H511=0),IF(G511="-","-",G511),G511-H511)</f>
        <v>-</v>
      </c>
      <c r="J511" s="4" t="str">
        <f>IFERROR(IF(G511&gt;0, H511/G511, 0),"-")</f>
        <v>-</v>
      </c>
      <c r="K511" s="34" t="s">
        <v>959</v>
      </c>
      <c r="L511" s="35" t="s">
        <v>959</v>
      </c>
      <c r="M511" s="34" t="str">
        <f>IF(OR(L511="-",L511="",L511=0),IF(K511="-","-",K511),K511-L511)</f>
        <v>-</v>
      </c>
      <c r="N511" s="4" t="str">
        <f>IFERROR(IF(K511&gt;0, L511/K511, 0),"-")</f>
        <v>-</v>
      </c>
      <c r="O511" s="34" t="s">
        <v>959</v>
      </c>
      <c r="P511" s="35" t="s">
        <v>959</v>
      </c>
      <c r="Q511" s="34" t="str">
        <f>IF(OR(P511="-",P511="",P511=0),IF(O511="-","-",O511),O511-P511)</f>
        <v>-</v>
      </c>
      <c r="R511" s="4" t="str">
        <f>IFERROR(IF(O511&gt;0, P511/O511, 0),"-")</f>
        <v>-</v>
      </c>
      <c r="S511" s="34" t="s">
        <v>959</v>
      </c>
      <c r="T511" s="34" t="s">
        <v>959</v>
      </c>
      <c r="U511" s="34" t="s">
        <v>959</v>
      </c>
      <c r="V511" s="35" t="s">
        <v>959</v>
      </c>
      <c r="W511" s="35" t="s">
        <v>959</v>
      </c>
    </row>
    <row r="512" spans="1:23" x14ac:dyDescent="0.2">
      <c r="A512" s="30" t="s">
        <v>831</v>
      </c>
      <c r="B512" s="30" t="s">
        <v>1216</v>
      </c>
      <c r="C512" s="34">
        <v>204</v>
      </c>
      <c r="D512" s="35">
        <v>203</v>
      </c>
      <c r="E512" s="34">
        <f>IF(OR(D512="-",D512="",D512=0),IF(C512="-","-",C512),C512-D512)</f>
        <v>1</v>
      </c>
      <c r="F512" s="4">
        <f>IFERROR(IF(C512&gt;0, D512/C512, 0),"-")</f>
        <v>0.99509803921568629</v>
      </c>
      <c r="G512" s="34" t="s">
        <v>959</v>
      </c>
      <c r="H512" s="35" t="s">
        <v>959</v>
      </c>
      <c r="I512" s="34" t="str">
        <f>IF(OR(H512="-",H512="",H512=0),IF(G512="-","-",G512),G512-H512)</f>
        <v>-</v>
      </c>
      <c r="J512" s="4" t="str">
        <f>IFERROR(IF(G512&gt;0, H512/G512, 0),"-")</f>
        <v>-</v>
      </c>
      <c r="K512" s="34" t="s">
        <v>959</v>
      </c>
      <c r="L512" s="35" t="s">
        <v>959</v>
      </c>
      <c r="M512" s="34" t="str">
        <f>IF(OR(L512="-",L512="",L512=0),IF(K512="-","-",K512),K512-L512)</f>
        <v>-</v>
      </c>
      <c r="N512" s="4" t="str">
        <f>IFERROR(IF(K512&gt;0, L512/K512, 0),"-")</f>
        <v>-</v>
      </c>
      <c r="O512" s="34">
        <v>1</v>
      </c>
      <c r="P512" s="35" t="s">
        <v>959</v>
      </c>
      <c r="Q512" s="34">
        <f>IF(OR(P512="-",P512="",P512=0),IF(O512="-","-",O512),O512-P512)</f>
        <v>1</v>
      </c>
      <c r="R512" s="4" t="str">
        <f>IFERROR(IF(O512&gt;0, P512/O512, 0),"-")</f>
        <v>-</v>
      </c>
      <c r="S512" s="34" t="s">
        <v>959</v>
      </c>
      <c r="T512" s="34" t="s">
        <v>959</v>
      </c>
      <c r="U512" s="34" t="s">
        <v>959</v>
      </c>
      <c r="V512" s="35" t="s">
        <v>959</v>
      </c>
      <c r="W512" s="35" t="s">
        <v>959</v>
      </c>
    </row>
    <row r="513" spans="1:23" x14ac:dyDescent="0.2">
      <c r="A513" s="30" t="s">
        <v>833</v>
      </c>
      <c r="B513" s="30" t="s">
        <v>1217</v>
      </c>
      <c r="C513" s="34">
        <v>173</v>
      </c>
      <c r="D513" s="35">
        <v>173</v>
      </c>
      <c r="E513" s="34">
        <f>IF(OR(D513="-",D513="",D513=0),IF(C513="-","-",C513),C513-D513)</f>
        <v>0</v>
      </c>
      <c r="F513" s="4">
        <f>IFERROR(IF(C513&gt;0, D513/C513, 0),"-")</f>
        <v>1</v>
      </c>
      <c r="G513" s="34">
        <v>2</v>
      </c>
      <c r="H513" s="35">
        <v>1</v>
      </c>
      <c r="I513" s="34">
        <f>IF(OR(H513="-",H513="",H513=0),IF(G513="-","-",G513),G513-H513)</f>
        <v>1</v>
      </c>
      <c r="J513" s="4">
        <f>IFERROR(IF(G513&gt;0, H513/G513, 0),"-")</f>
        <v>0.5</v>
      </c>
      <c r="K513" s="34" t="s">
        <v>959</v>
      </c>
      <c r="L513" s="35" t="s">
        <v>959</v>
      </c>
      <c r="M513" s="34" t="str">
        <f>IF(OR(L513="-",L513="",L513=0),IF(K513="-","-",K513),K513-L513)</f>
        <v>-</v>
      </c>
      <c r="N513" s="4" t="str">
        <f>IFERROR(IF(K513&gt;0, L513/K513, 0),"-")</f>
        <v>-</v>
      </c>
      <c r="O513" s="34" t="s">
        <v>959</v>
      </c>
      <c r="P513" s="35" t="s">
        <v>959</v>
      </c>
      <c r="Q513" s="34" t="str">
        <f>IF(OR(P513="-",P513="",P513=0),IF(O513="-","-",O513),O513-P513)</f>
        <v>-</v>
      </c>
      <c r="R513" s="4" t="str">
        <f>IFERROR(IF(O513&gt;0, P513/O513, 0),"-")</f>
        <v>-</v>
      </c>
      <c r="S513" s="34" t="s">
        <v>959</v>
      </c>
      <c r="T513" s="34" t="s">
        <v>959</v>
      </c>
      <c r="U513" s="34" t="s">
        <v>959</v>
      </c>
      <c r="V513" s="35" t="s">
        <v>959</v>
      </c>
      <c r="W513" s="35" t="s">
        <v>959</v>
      </c>
    </row>
    <row r="514" spans="1:23" x14ac:dyDescent="0.2">
      <c r="A514" s="30" t="s">
        <v>830</v>
      </c>
      <c r="B514" s="30" t="s">
        <v>1218</v>
      </c>
      <c r="C514" s="34">
        <v>38</v>
      </c>
      <c r="D514" s="35">
        <v>38</v>
      </c>
      <c r="E514" s="34">
        <f>IF(OR(D514="-",D514="",D514=0),IF(C514="-","-",C514),C514-D514)</f>
        <v>0</v>
      </c>
      <c r="F514" s="4">
        <f>IFERROR(IF(C514&gt;0, D514/C514, 0),"-")</f>
        <v>1</v>
      </c>
      <c r="G514" s="34" t="s">
        <v>959</v>
      </c>
      <c r="H514" s="35" t="s">
        <v>959</v>
      </c>
      <c r="I514" s="34" t="str">
        <f>IF(OR(H514="-",H514="",H514=0),IF(G514="-","-",G514),G514-H514)</f>
        <v>-</v>
      </c>
      <c r="J514" s="4" t="str">
        <f>IFERROR(IF(G514&gt;0, H514/G514, 0),"-")</f>
        <v>-</v>
      </c>
      <c r="K514" s="34" t="s">
        <v>959</v>
      </c>
      <c r="L514" s="35" t="s">
        <v>959</v>
      </c>
      <c r="M514" s="34" t="str">
        <f>IF(OR(L514="-",L514="",L514=0),IF(K514="-","-",K514),K514-L514)</f>
        <v>-</v>
      </c>
      <c r="N514" s="4" t="str">
        <f>IFERROR(IF(K514&gt;0, L514/K514, 0),"-")</f>
        <v>-</v>
      </c>
      <c r="O514" s="34" t="s">
        <v>959</v>
      </c>
      <c r="P514" s="35" t="s">
        <v>959</v>
      </c>
      <c r="Q514" s="34" t="str">
        <f>IF(OR(P514="-",P514="",P514=0),IF(O514="-","-",O514),O514-P514)</f>
        <v>-</v>
      </c>
      <c r="R514" s="4" t="str">
        <f>IFERROR(IF(O514&gt;0, P514/O514, 0),"-")</f>
        <v>-</v>
      </c>
      <c r="S514" s="34" t="s">
        <v>959</v>
      </c>
      <c r="T514" s="34" t="s">
        <v>959</v>
      </c>
      <c r="U514" s="34" t="s">
        <v>959</v>
      </c>
      <c r="V514" s="35" t="s">
        <v>959</v>
      </c>
      <c r="W514" s="35" t="s">
        <v>959</v>
      </c>
    </row>
    <row r="515" spans="1:23" x14ac:dyDescent="0.2">
      <c r="A515" s="30" t="s">
        <v>832</v>
      </c>
      <c r="B515" s="30" t="s">
        <v>1219</v>
      </c>
      <c r="C515" s="34">
        <v>27</v>
      </c>
      <c r="D515" s="35">
        <v>23</v>
      </c>
      <c r="E515" s="34">
        <f>IF(OR(D515="-",D515="",D515=0),IF(C515="-","-",C515),C515-D515)</f>
        <v>4</v>
      </c>
      <c r="F515" s="4">
        <f>IFERROR(IF(C515&gt;0, D515/C515, 0),"-")</f>
        <v>0.85185185185185186</v>
      </c>
      <c r="G515" s="34" t="s">
        <v>959</v>
      </c>
      <c r="H515" s="35" t="s">
        <v>959</v>
      </c>
      <c r="I515" s="34" t="str">
        <f>IF(OR(H515="-",H515="",H515=0),IF(G515="-","-",G515),G515-H515)</f>
        <v>-</v>
      </c>
      <c r="J515" s="4" t="str">
        <f>IFERROR(IF(G515&gt;0, H515/G515, 0),"-")</f>
        <v>-</v>
      </c>
      <c r="K515" s="34">
        <v>1</v>
      </c>
      <c r="L515" s="35" t="s">
        <v>959</v>
      </c>
      <c r="M515" s="34">
        <f>IF(OR(L515="-",L515="",L515=0),IF(K515="-","-",K515),K515-L515)</f>
        <v>1</v>
      </c>
      <c r="N515" s="4" t="str">
        <f>IFERROR(IF(K515&gt;0, L515/K515, 0),"-")</f>
        <v>-</v>
      </c>
      <c r="O515" s="34" t="s">
        <v>959</v>
      </c>
      <c r="P515" s="35" t="s">
        <v>959</v>
      </c>
      <c r="Q515" s="34" t="str">
        <f>IF(OR(P515="-",P515="",P515=0),IF(O515="-","-",O515),O515-P515)</f>
        <v>-</v>
      </c>
      <c r="R515" s="4" t="str">
        <f>IFERROR(IF(O515&gt;0, P515/O515, 0),"-")</f>
        <v>-</v>
      </c>
      <c r="S515" s="34">
        <v>2</v>
      </c>
      <c r="T515" s="34" t="s">
        <v>959</v>
      </c>
      <c r="U515" s="34" t="s">
        <v>959</v>
      </c>
      <c r="V515" s="35" t="s">
        <v>959</v>
      </c>
      <c r="W515" s="35" t="s">
        <v>959</v>
      </c>
    </row>
    <row r="516" spans="1:23" x14ac:dyDescent="0.2">
      <c r="A516" s="29"/>
      <c r="B516" s="29" t="s">
        <v>20</v>
      </c>
      <c r="C516" s="32">
        <v>854</v>
      </c>
      <c r="D516" s="32">
        <v>840</v>
      </c>
      <c r="E516" s="32">
        <f>IF(OR(D516="-",D516="",D516=0),IF(C516="-","-",C516),C516-D516)</f>
        <v>14</v>
      </c>
      <c r="F516" s="36">
        <f>IFERROR(IF(C516&gt;0, D516/C516, 0),"-")</f>
        <v>0.98360655737704916</v>
      </c>
      <c r="G516" s="32">
        <v>3</v>
      </c>
      <c r="H516" s="32" t="s">
        <v>959</v>
      </c>
      <c r="I516" s="32">
        <f>IF(OR(H516="-",H516="",H516=0),IF(G516="-","-",G516),G516-H516)</f>
        <v>3</v>
      </c>
      <c r="J516" s="36" t="str">
        <f>IFERROR(IF(G516&gt;0, H516/G516, 0),"-")</f>
        <v>-</v>
      </c>
      <c r="K516" s="32">
        <v>1</v>
      </c>
      <c r="L516" s="32" t="s">
        <v>959</v>
      </c>
      <c r="M516" s="32">
        <f>IF(OR(L516="-",L516="",L516=0),IF(K516="-","-",K516),K516-L516)</f>
        <v>1</v>
      </c>
      <c r="N516" s="36" t="str">
        <f>IFERROR(IF(K516&gt;0, L516/K516, 0),"-")</f>
        <v>-</v>
      </c>
      <c r="O516" s="32">
        <v>3</v>
      </c>
      <c r="P516" s="32" t="s">
        <v>959</v>
      </c>
      <c r="Q516" s="32">
        <f>IF(OR(P516="-",P516="",P516=0),IF(O516="-","-",O516),O516-P516)</f>
        <v>3</v>
      </c>
      <c r="R516" s="36" t="str">
        <f>IFERROR(IF(O516&gt;0, P516/O516, 0),"-")</f>
        <v>-</v>
      </c>
      <c r="S516" s="32">
        <v>2</v>
      </c>
      <c r="T516" s="32" t="s">
        <v>959</v>
      </c>
      <c r="U516" s="32" t="s">
        <v>959</v>
      </c>
      <c r="V516" s="32" t="s">
        <v>959</v>
      </c>
      <c r="W516" s="32" t="s">
        <v>959</v>
      </c>
    </row>
    <row r="517" spans="1:23" x14ac:dyDescent="0.2">
      <c r="A517" s="30" t="s">
        <v>678</v>
      </c>
      <c r="B517" s="30" t="s">
        <v>1220</v>
      </c>
      <c r="C517" s="34">
        <v>80</v>
      </c>
      <c r="D517" s="35">
        <v>80</v>
      </c>
      <c r="E517" s="34">
        <f>IF(OR(D517="-",D517="",D517=0),IF(C517="-","-",C517),C517-D517)</f>
        <v>0</v>
      </c>
      <c r="F517" s="4">
        <f>IFERROR(IF(C517&gt;0, D517/C517, 0),"-")</f>
        <v>1</v>
      </c>
      <c r="G517" s="34" t="s">
        <v>959</v>
      </c>
      <c r="H517" s="35" t="s">
        <v>959</v>
      </c>
      <c r="I517" s="34" t="str">
        <f>IF(OR(H517="-",H517="",H517=0),IF(G517="-","-",G517),G517-H517)</f>
        <v>-</v>
      </c>
      <c r="J517" s="4" t="str">
        <f>IFERROR(IF(G517&gt;0, H517/G517, 0),"-")</f>
        <v>-</v>
      </c>
      <c r="K517" s="34" t="s">
        <v>959</v>
      </c>
      <c r="L517" s="35" t="s">
        <v>959</v>
      </c>
      <c r="M517" s="34" t="str">
        <f>IF(OR(L517="-",L517="",L517=0),IF(K517="-","-",K517),K517-L517)</f>
        <v>-</v>
      </c>
      <c r="N517" s="4" t="str">
        <f>IFERROR(IF(K517&gt;0, L517/K517, 0),"-")</f>
        <v>-</v>
      </c>
      <c r="O517" s="34" t="s">
        <v>959</v>
      </c>
      <c r="P517" s="35" t="s">
        <v>959</v>
      </c>
      <c r="Q517" s="34" t="str">
        <f>IF(OR(P517="-",P517="",P517=0),IF(O517="-","-",O517),O517-P517)</f>
        <v>-</v>
      </c>
      <c r="R517" s="4" t="str">
        <f>IFERROR(IF(O517&gt;0, P517/O517, 0),"-")</f>
        <v>-</v>
      </c>
      <c r="S517" s="34">
        <v>1</v>
      </c>
      <c r="T517" s="34" t="s">
        <v>959</v>
      </c>
      <c r="U517" s="34" t="s">
        <v>959</v>
      </c>
      <c r="V517" s="35" t="s">
        <v>959</v>
      </c>
      <c r="W517" s="35" t="s">
        <v>959</v>
      </c>
    </row>
    <row r="518" spans="1:23" x14ac:dyDescent="0.2">
      <c r="A518" s="30" t="s">
        <v>677</v>
      </c>
      <c r="B518" s="30" t="s">
        <v>1221</v>
      </c>
      <c r="C518" s="34">
        <v>95</v>
      </c>
      <c r="D518" s="35">
        <v>93</v>
      </c>
      <c r="E518" s="34">
        <f>IF(OR(D518="-",D518="",D518=0),IF(C518="-","-",C518),C518-D518)</f>
        <v>2</v>
      </c>
      <c r="F518" s="4">
        <f>IFERROR(IF(C518&gt;0, D518/C518, 0),"-")</f>
        <v>0.97894736842105268</v>
      </c>
      <c r="G518" s="34" t="s">
        <v>959</v>
      </c>
      <c r="H518" s="35" t="s">
        <v>959</v>
      </c>
      <c r="I518" s="34" t="str">
        <f>IF(OR(H518="-",H518="",H518=0),IF(G518="-","-",G518),G518-H518)</f>
        <v>-</v>
      </c>
      <c r="J518" s="4" t="str">
        <f>IFERROR(IF(G518&gt;0, H518/G518, 0),"-")</f>
        <v>-</v>
      </c>
      <c r="K518" s="34" t="s">
        <v>959</v>
      </c>
      <c r="L518" s="35" t="s">
        <v>959</v>
      </c>
      <c r="M518" s="34" t="str">
        <f>IF(OR(L518="-",L518="",L518=0),IF(K518="-","-",K518),K518-L518)</f>
        <v>-</v>
      </c>
      <c r="N518" s="4" t="str">
        <f>IFERROR(IF(K518&gt;0, L518/K518, 0),"-")</f>
        <v>-</v>
      </c>
      <c r="O518" s="34" t="s">
        <v>959</v>
      </c>
      <c r="P518" s="35" t="s">
        <v>959</v>
      </c>
      <c r="Q518" s="34" t="str">
        <f>IF(OR(P518="-",P518="",P518=0),IF(O518="-","-",O518),O518-P518)</f>
        <v>-</v>
      </c>
      <c r="R518" s="4" t="str">
        <f>IFERROR(IF(O518&gt;0, P518/O518, 0),"-")</f>
        <v>-</v>
      </c>
      <c r="S518" s="34" t="s">
        <v>959</v>
      </c>
      <c r="T518" s="34" t="s">
        <v>959</v>
      </c>
      <c r="U518" s="34" t="s">
        <v>959</v>
      </c>
      <c r="V518" s="35" t="s">
        <v>959</v>
      </c>
      <c r="W518" s="35" t="s">
        <v>959</v>
      </c>
    </row>
    <row r="519" spans="1:23" x14ac:dyDescent="0.2">
      <c r="A519" s="30" t="s">
        <v>697</v>
      </c>
      <c r="B519" s="30" t="s">
        <v>1222</v>
      </c>
      <c r="C519" s="34">
        <v>5</v>
      </c>
      <c r="D519" s="35">
        <v>5</v>
      </c>
      <c r="E519" s="34">
        <f>IF(OR(D519="-",D519="",D519=0),IF(C519="-","-",C519),C519-D519)</f>
        <v>0</v>
      </c>
      <c r="F519" s="4">
        <f>IFERROR(IF(C519&gt;0, D519/C519, 0),"-")</f>
        <v>1</v>
      </c>
      <c r="G519" s="34" t="s">
        <v>959</v>
      </c>
      <c r="H519" s="35" t="s">
        <v>959</v>
      </c>
      <c r="I519" s="34" t="str">
        <f>IF(OR(H519="-",H519="",H519=0),IF(G519="-","-",G519),G519-H519)</f>
        <v>-</v>
      </c>
      <c r="J519" s="4" t="str">
        <f>IFERROR(IF(G519&gt;0, H519/G519, 0),"-")</f>
        <v>-</v>
      </c>
      <c r="K519" s="34" t="s">
        <v>959</v>
      </c>
      <c r="L519" s="35" t="s">
        <v>959</v>
      </c>
      <c r="M519" s="34" t="str">
        <f>IF(OR(L519="-",L519="",L519=0),IF(K519="-","-",K519),K519-L519)</f>
        <v>-</v>
      </c>
      <c r="N519" s="4" t="str">
        <f>IFERROR(IF(K519&gt;0, L519/K519, 0),"-")</f>
        <v>-</v>
      </c>
      <c r="O519" s="34" t="s">
        <v>959</v>
      </c>
      <c r="P519" s="35" t="s">
        <v>959</v>
      </c>
      <c r="Q519" s="34" t="str">
        <f>IF(OR(P519="-",P519="",P519=0),IF(O519="-","-",O519),O519-P519)</f>
        <v>-</v>
      </c>
      <c r="R519" s="4" t="str">
        <f>IFERROR(IF(O519&gt;0, P519/O519, 0),"-")</f>
        <v>-</v>
      </c>
      <c r="S519" s="34" t="s">
        <v>959</v>
      </c>
      <c r="T519" s="34" t="s">
        <v>959</v>
      </c>
      <c r="U519" s="34" t="s">
        <v>959</v>
      </c>
      <c r="V519" s="35" t="s">
        <v>959</v>
      </c>
      <c r="W519" s="35" t="s">
        <v>959</v>
      </c>
    </row>
    <row r="520" spans="1:23" x14ac:dyDescent="0.2">
      <c r="A520" s="30" t="s">
        <v>696</v>
      </c>
      <c r="B520" s="30" t="s">
        <v>1223</v>
      </c>
      <c r="C520" s="34">
        <v>99</v>
      </c>
      <c r="D520" s="35">
        <v>97</v>
      </c>
      <c r="E520" s="34">
        <f>IF(OR(D520="-",D520="",D520=0),IF(C520="-","-",C520),C520-D520)</f>
        <v>2</v>
      </c>
      <c r="F520" s="4">
        <f>IFERROR(IF(C520&gt;0, D520/C520, 0),"-")</f>
        <v>0.97979797979797978</v>
      </c>
      <c r="G520" s="34">
        <v>1</v>
      </c>
      <c r="H520" s="35" t="s">
        <v>959</v>
      </c>
      <c r="I520" s="34">
        <f>IF(OR(H520="-",H520="",H520=0),IF(G520="-","-",G520),G520-H520)</f>
        <v>1</v>
      </c>
      <c r="J520" s="4" t="str">
        <f>IFERROR(IF(G520&gt;0, H520/G520, 0),"-")</f>
        <v>-</v>
      </c>
      <c r="K520" s="34" t="s">
        <v>959</v>
      </c>
      <c r="L520" s="35" t="s">
        <v>959</v>
      </c>
      <c r="M520" s="34" t="str">
        <f>IF(OR(L520="-",L520="",L520=0),IF(K520="-","-",K520),K520-L520)</f>
        <v>-</v>
      </c>
      <c r="N520" s="4" t="str">
        <f>IFERROR(IF(K520&gt;0, L520/K520, 0),"-")</f>
        <v>-</v>
      </c>
      <c r="O520" s="34">
        <v>2</v>
      </c>
      <c r="P520" s="35" t="s">
        <v>959</v>
      </c>
      <c r="Q520" s="34">
        <f>IF(OR(P520="-",P520="",P520=0),IF(O520="-","-",O520),O520-P520)</f>
        <v>2</v>
      </c>
      <c r="R520" s="4" t="str">
        <f>IFERROR(IF(O520&gt;0, P520/O520, 0),"-")</f>
        <v>-</v>
      </c>
      <c r="S520" s="34" t="s">
        <v>959</v>
      </c>
      <c r="T520" s="34" t="s">
        <v>959</v>
      </c>
      <c r="U520" s="34" t="s">
        <v>959</v>
      </c>
      <c r="V520" s="35" t="s">
        <v>959</v>
      </c>
      <c r="W520" s="35" t="s">
        <v>959</v>
      </c>
    </row>
    <row r="521" spans="1:23" x14ac:dyDescent="0.2">
      <c r="A521" s="30" t="s">
        <v>698</v>
      </c>
      <c r="B521" s="30" t="s">
        <v>1224</v>
      </c>
      <c r="C521" s="34">
        <v>1</v>
      </c>
      <c r="D521" s="35">
        <v>1</v>
      </c>
      <c r="E521" s="34">
        <f>IF(OR(D521="-",D521="",D521=0),IF(C521="-","-",C521),C521-D521)</f>
        <v>0</v>
      </c>
      <c r="F521" s="4">
        <f>IFERROR(IF(C521&gt;0, D521/C521, 0),"-")</f>
        <v>1</v>
      </c>
      <c r="G521" s="34" t="s">
        <v>959</v>
      </c>
      <c r="H521" s="35" t="s">
        <v>959</v>
      </c>
      <c r="I521" s="34" t="str">
        <f>IF(OR(H521="-",H521="",H521=0),IF(G521="-","-",G521),G521-H521)</f>
        <v>-</v>
      </c>
      <c r="J521" s="4" t="str">
        <f>IFERROR(IF(G521&gt;0, H521/G521, 0),"-")</f>
        <v>-</v>
      </c>
      <c r="K521" s="34" t="s">
        <v>959</v>
      </c>
      <c r="L521" s="35" t="s">
        <v>959</v>
      </c>
      <c r="M521" s="34" t="str">
        <f>IF(OR(L521="-",L521="",L521=0),IF(K521="-","-",K521),K521-L521)</f>
        <v>-</v>
      </c>
      <c r="N521" s="4" t="str">
        <f>IFERROR(IF(K521&gt;0, L521/K521, 0),"-")</f>
        <v>-</v>
      </c>
      <c r="O521" s="34" t="s">
        <v>959</v>
      </c>
      <c r="P521" s="35" t="s">
        <v>959</v>
      </c>
      <c r="Q521" s="34" t="str">
        <f>IF(OR(P521="-",P521="",P521=0),IF(O521="-","-",O521),O521-P521)</f>
        <v>-</v>
      </c>
      <c r="R521" s="4" t="str">
        <f>IFERROR(IF(O521&gt;0, P521/O521, 0),"-")</f>
        <v>-</v>
      </c>
      <c r="S521" s="34" t="s">
        <v>959</v>
      </c>
      <c r="T521" s="34" t="s">
        <v>959</v>
      </c>
      <c r="U521" s="34" t="s">
        <v>959</v>
      </c>
      <c r="V521" s="35" t="s">
        <v>959</v>
      </c>
      <c r="W521" s="35" t="s">
        <v>959</v>
      </c>
    </row>
    <row r="522" spans="1:23" x14ac:dyDescent="0.2">
      <c r="A522" s="30" t="s">
        <v>681</v>
      </c>
      <c r="B522" s="30" t="s">
        <v>1225</v>
      </c>
      <c r="C522" s="34">
        <v>77</v>
      </c>
      <c r="D522" s="35">
        <v>75</v>
      </c>
      <c r="E522" s="34">
        <f>IF(OR(D522="-",D522="",D522=0),IF(C522="-","-",C522),C522-D522)</f>
        <v>2</v>
      </c>
      <c r="F522" s="4">
        <f>IFERROR(IF(C522&gt;0, D522/C522, 0),"-")</f>
        <v>0.97402597402597402</v>
      </c>
      <c r="G522" s="34" t="s">
        <v>959</v>
      </c>
      <c r="H522" s="35" t="s">
        <v>959</v>
      </c>
      <c r="I522" s="34" t="str">
        <f>IF(OR(H522="-",H522="",H522=0),IF(G522="-","-",G522),G522-H522)</f>
        <v>-</v>
      </c>
      <c r="J522" s="4" t="str">
        <f>IFERROR(IF(G522&gt;0, H522/G522, 0),"-")</f>
        <v>-</v>
      </c>
      <c r="K522" s="34" t="s">
        <v>959</v>
      </c>
      <c r="L522" s="35" t="s">
        <v>959</v>
      </c>
      <c r="M522" s="34" t="str">
        <f>IF(OR(L522="-",L522="",L522=0),IF(K522="-","-",K522),K522-L522)</f>
        <v>-</v>
      </c>
      <c r="N522" s="4" t="str">
        <f>IFERROR(IF(K522&gt;0, L522/K522, 0),"-")</f>
        <v>-</v>
      </c>
      <c r="O522" s="34" t="s">
        <v>959</v>
      </c>
      <c r="P522" s="35" t="s">
        <v>959</v>
      </c>
      <c r="Q522" s="34" t="str">
        <f>IF(OR(P522="-",P522="",P522=0),IF(O522="-","-",O522),O522-P522)</f>
        <v>-</v>
      </c>
      <c r="R522" s="4" t="str">
        <f>IFERROR(IF(O522&gt;0, P522/O522, 0),"-")</f>
        <v>-</v>
      </c>
      <c r="S522" s="34" t="s">
        <v>959</v>
      </c>
      <c r="T522" s="34" t="s">
        <v>959</v>
      </c>
      <c r="U522" s="34" t="s">
        <v>959</v>
      </c>
      <c r="V522" s="35" t="s">
        <v>959</v>
      </c>
      <c r="W522" s="35" t="s">
        <v>959</v>
      </c>
    </row>
    <row r="523" spans="1:23" x14ac:dyDescent="0.2">
      <c r="A523" s="30" t="s">
        <v>683</v>
      </c>
      <c r="B523" s="30" t="s">
        <v>1226</v>
      </c>
      <c r="C523" s="34">
        <v>58</v>
      </c>
      <c r="D523" s="35">
        <v>55</v>
      </c>
      <c r="E523" s="34">
        <f>IF(OR(D523="-",D523="",D523=0),IF(C523="-","-",C523),C523-D523)</f>
        <v>3</v>
      </c>
      <c r="F523" s="4">
        <f>IFERROR(IF(C523&gt;0, D523/C523, 0),"-")</f>
        <v>0.94827586206896552</v>
      </c>
      <c r="G523" s="34" t="s">
        <v>959</v>
      </c>
      <c r="H523" s="35" t="s">
        <v>959</v>
      </c>
      <c r="I523" s="34" t="str">
        <f>IF(OR(H523="-",H523="",H523=0),IF(G523="-","-",G523),G523-H523)</f>
        <v>-</v>
      </c>
      <c r="J523" s="4" t="str">
        <f>IFERROR(IF(G523&gt;0, H523/G523, 0),"-")</f>
        <v>-</v>
      </c>
      <c r="K523" s="34" t="s">
        <v>959</v>
      </c>
      <c r="L523" s="35" t="s">
        <v>959</v>
      </c>
      <c r="M523" s="34" t="str">
        <f>IF(OR(L523="-",L523="",L523=0),IF(K523="-","-",K523),K523-L523)</f>
        <v>-</v>
      </c>
      <c r="N523" s="4" t="str">
        <f>IFERROR(IF(K523&gt;0, L523/K523, 0),"-")</f>
        <v>-</v>
      </c>
      <c r="O523" s="34">
        <v>1</v>
      </c>
      <c r="P523" s="35" t="s">
        <v>959</v>
      </c>
      <c r="Q523" s="34">
        <f>IF(OR(P523="-",P523="",P523=0),IF(O523="-","-",O523),O523-P523)</f>
        <v>1</v>
      </c>
      <c r="R523" s="4" t="str">
        <f>IFERROR(IF(O523&gt;0, P523/O523, 0),"-")</f>
        <v>-</v>
      </c>
      <c r="S523" s="34" t="s">
        <v>959</v>
      </c>
      <c r="T523" s="34" t="s">
        <v>959</v>
      </c>
      <c r="U523" s="34" t="s">
        <v>959</v>
      </c>
      <c r="V523" s="35" t="s">
        <v>959</v>
      </c>
      <c r="W523" s="35" t="s">
        <v>959</v>
      </c>
    </row>
    <row r="524" spans="1:23" x14ac:dyDescent="0.2">
      <c r="A524" s="30" t="s">
        <v>684</v>
      </c>
      <c r="B524" s="30" t="s">
        <v>1227</v>
      </c>
      <c r="C524" s="34">
        <v>103</v>
      </c>
      <c r="D524" s="35">
        <v>102</v>
      </c>
      <c r="E524" s="34">
        <f>IF(OR(D524="-",D524="",D524=0),IF(C524="-","-",C524),C524-D524)</f>
        <v>1</v>
      </c>
      <c r="F524" s="4">
        <f>IFERROR(IF(C524&gt;0, D524/C524, 0),"-")</f>
        <v>0.99029126213592233</v>
      </c>
      <c r="G524" s="34">
        <v>1</v>
      </c>
      <c r="H524" s="35" t="s">
        <v>959</v>
      </c>
      <c r="I524" s="34">
        <f>IF(OR(H524="-",H524="",H524=0),IF(G524="-","-",G524),G524-H524)</f>
        <v>1</v>
      </c>
      <c r="J524" s="4" t="str">
        <f>IFERROR(IF(G524&gt;0, H524/G524, 0),"-")</f>
        <v>-</v>
      </c>
      <c r="K524" s="34" t="s">
        <v>959</v>
      </c>
      <c r="L524" s="35" t="s">
        <v>959</v>
      </c>
      <c r="M524" s="34" t="str">
        <f>IF(OR(L524="-",L524="",L524=0),IF(K524="-","-",K524),K524-L524)</f>
        <v>-</v>
      </c>
      <c r="N524" s="4" t="str">
        <f>IFERROR(IF(K524&gt;0, L524/K524, 0),"-")</f>
        <v>-</v>
      </c>
      <c r="O524" s="34" t="s">
        <v>959</v>
      </c>
      <c r="P524" s="35" t="s">
        <v>959</v>
      </c>
      <c r="Q524" s="34" t="str">
        <f>IF(OR(P524="-",P524="",P524=0),IF(O524="-","-",O524),O524-P524)</f>
        <v>-</v>
      </c>
      <c r="R524" s="4" t="str">
        <f>IFERROR(IF(O524&gt;0, P524/O524, 0),"-")</f>
        <v>-</v>
      </c>
      <c r="S524" s="34">
        <v>1</v>
      </c>
      <c r="T524" s="34" t="s">
        <v>959</v>
      </c>
      <c r="U524" s="34" t="s">
        <v>959</v>
      </c>
      <c r="V524" s="35" t="s">
        <v>959</v>
      </c>
      <c r="W524" s="35" t="s">
        <v>959</v>
      </c>
    </row>
    <row r="525" spans="1:23" x14ac:dyDescent="0.2">
      <c r="A525" s="30" t="s">
        <v>679</v>
      </c>
      <c r="B525" s="30" t="s">
        <v>1228</v>
      </c>
      <c r="C525" s="34">
        <v>114</v>
      </c>
      <c r="D525" s="35">
        <v>112</v>
      </c>
      <c r="E525" s="34">
        <f>IF(OR(D525="-",D525="",D525=0),IF(C525="-","-",C525),C525-D525)</f>
        <v>2</v>
      </c>
      <c r="F525" s="4">
        <f>IFERROR(IF(C525&gt;0, D525/C525, 0),"-")</f>
        <v>0.98245614035087714</v>
      </c>
      <c r="G525" s="34">
        <v>1</v>
      </c>
      <c r="H525" s="35" t="s">
        <v>959</v>
      </c>
      <c r="I525" s="34">
        <f>IF(OR(H525="-",H525="",H525=0),IF(G525="-","-",G525),G525-H525)</f>
        <v>1</v>
      </c>
      <c r="J525" s="4" t="str">
        <f>IFERROR(IF(G525&gt;0, H525/G525, 0),"-")</f>
        <v>-</v>
      </c>
      <c r="K525" s="34">
        <v>1</v>
      </c>
      <c r="L525" s="35" t="s">
        <v>959</v>
      </c>
      <c r="M525" s="34">
        <f>IF(OR(L525="-",L525="",L525=0),IF(K525="-","-",K525),K525-L525)</f>
        <v>1</v>
      </c>
      <c r="N525" s="4" t="str">
        <f>IFERROR(IF(K525&gt;0, L525/K525, 0),"-")</f>
        <v>-</v>
      </c>
      <c r="O525" s="34" t="s">
        <v>959</v>
      </c>
      <c r="P525" s="35" t="s">
        <v>959</v>
      </c>
      <c r="Q525" s="34" t="str">
        <f>IF(OR(P525="-",P525="",P525=0),IF(O525="-","-",O525),O525-P525)</f>
        <v>-</v>
      </c>
      <c r="R525" s="4" t="str">
        <f>IFERROR(IF(O525&gt;0, P525/O525, 0),"-")</f>
        <v>-</v>
      </c>
      <c r="S525" s="34" t="s">
        <v>959</v>
      </c>
      <c r="T525" s="34" t="s">
        <v>959</v>
      </c>
      <c r="U525" s="34" t="s">
        <v>959</v>
      </c>
      <c r="V525" s="35" t="s">
        <v>959</v>
      </c>
      <c r="W525" s="35" t="s">
        <v>959</v>
      </c>
    </row>
    <row r="526" spans="1:23" x14ac:dyDescent="0.2">
      <c r="A526" s="30" t="s">
        <v>680</v>
      </c>
      <c r="B526" s="30" t="s">
        <v>1229</v>
      </c>
      <c r="C526" s="34">
        <v>112</v>
      </c>
      <c r="D526" s="35">
        <v>110</v>
      </c>
      <c r="E526" s="34">
        <f>IF(OR(D526="-",D526="",D526=0),IF(C526="-","-",C526),C526-D526)</f>
        <v>2</v>
      </c>
      <c r="F526" s="4">
        <f>IFERROR(IF(C526&gt;0, D526/C526, 0),"-")</f>
        <v>0.9821428571428571</v>
      </c>
      <c r="G526" s="34" t="s">
        <v>959</v>
      </c>
      <c r="H526" s="35" t="s">
        <v>959</v>
      </c>
      <c r="I526" s="34" t="str">
        <f>IF(OR(H526="-",H526="",H526=0),IF(G526="-","-",G526),G526-H526)</f>
        <v>-</v>
      </c>
      <c r="J526" s="4" t="str">
        <f>IFERROR(IF(G526&gt;0, H526/G526, 0),"-")</f>
        <v>-</v>
      </c>
      <c r="K526" s="34" t="s">
        <v>959</v>
      </c>
      <c r="L526" s="35" t="s">
        <v>959</v>
      </c>
      <c r="M526" s="34" t="str">
        <f>IF(OR(L526="-",L526="",L526=0),IF(K526="-","-",K526),K526-L526)</f>
        <v>-</v>
      </c>
      <c r="N526" s="4" t="str">
        <f>IFERROR(IF(K526&gt;0, L526/K526, 0),"-")</f>
        <v>-</v>
      </c>
      <c r="O526" s="34" t="s">
        <v>959</v>
      </c>
      <c r="P526" s="35" t="s">
        <v>959</v>
      </c>
      <c r="Q526" s="34" t="str">
        <f>IF(OR(P526="-",P526="",P526=0),IF(O526="-","-",O526),O526-P526)</f>
        <v>-</v>
      </c>
      <c r="R526" s="4" t="str">
        <f>IFERROR(IF(O526&gt;0, P526/O526, 0),"-")</f>
        <v>-</v>
      </c>
      <c r="S526" s="34" t="s">
        <v>959</v>
      </c>
      <c r="T526" s="34" t="s">
        <v>959</v>
      </c>
      <c r="U526" s="34" t="s">
        <v>959</v>
      </c>
      <c r="V526" s="35" t="s">
        <v>959</v>
      </c>
      <c r="W526" s="35" t="s">
        <v>959</v>
      </c>
    </row>
    <row r="527" spans="1:23" x14ac:dyDescent="0.2">
      <c r="A527" s="30" t="s">
        <v>682</v>
      </c>
      <c r="B527" s="30" t="s">
        <v>1230</v>
      </c>
      <c r="C527" s="34">
        <v>110</v>
      </c>
      <c r="D527" s="35">
        <v>110</v>
      </c>
      <c r="E527" s="34">
        <f>IF(OR(D527="-",D527="",D527=0),IF(C527="-","-",C527),C527-D527)</f>
        <v>0</v>
      </c>
      <c r="F527" s="4">
        <f>IFERROR(IF(C527&gt;0, D527/C527, 0),"-")</f>
        <v>1</v>
      </c>
      <c r="G527" s="34" t="s">
        <v>959</v>
      </c>
      <c r="H527" s="35" t="s">
        <v>959</v>
      </c>
      <c r="I527" s="34" t="str">
        <f>IF(OR(H527="-",H527="",H527=0),IF(G527="-","-",G527),G527-H527)</f>
        <v>-</v>
      </c>
      <c r="J527" s="4" t="str">
        <f>IFERROR(IF(G527&gt;0, H527/G527, 0),"-")</f>
        <v>-</v>
      </c>
      <c r="K527" s="34" t="s">
        <v>959</v>
      </c>
      <c r="L527" s="35" t="s">
        <v>959</v>
      </c>
      <c r="M527" s="34" t="str">
        <f>IF(OR(L527="-",L527="",L527=0),IF(K527="-","-",K527),K527-L527)</f>
        <v>-</v>
      </c>
      <c r="N527" s="4" t="str">
        <f>IFERROR(IF(K527&gt;0, L527/K527, 0),"-")</f>
        <v>-</v>
      </c>
      <c r="O527" s="34" t="s">
        <v>959</v>
      </c>
      <c r="P527" s="35" t="s">
        <v>959</v>
      </c>
      <c r="Q527" s="34" t="str">
        <f>IF(OR(P527="-",P527="",P527=0),IF(O527="-","-",O527),O527-P527)</f>
        <v>-</v>
      </c>
      <c r="R527" s="4" t="str">
        <f>IFERROR(IF(O527&gt;0, P527/O527, 0),"-")</f>
        <v>-</v>
      </c>
      <c r="S527" s="34" t="s">
        <v>959</v>
      </c>
      <c r="T527" s="34" t="s">
        <v>959</v>
      </c>
      <c r="U527" s="34" t="s">
        <v>959</v>
      </c>
      <c r="V527" s="35" t="s">
        <v>959</v>
      </c>
      <c r="W527" s="35" t="s">
        <v>959</v>
      </c>
    </row>
    <row r="528" spans="1:23" x14ac:dyDescent="0.2">
      <c r="A528" s="29"/>
      <c r="B528" s="29" t="s">
        <v>131</v>
      </c>
      <c r="C528" s="32">
        <v>587</v>
      </c>
      <c r="D528" s="32">
        <v>579</v>
      </c>
      <c r="E528" s="32">
        <f>IF(OR(D528="-",D528="",D528=0),IF(C528="-","-",C528),C528-D528)</f>
        <v>8</v>
      </c>
      <c r="F528" s="36">
        <f>IFERROR(IF(C528&gt;0, D528/C528, 0),"-")</f>
        <v>0.98637137989778534</v>
      </c>
      <c r="G528" s="32">
        <v>7</v>
      </c>
      <c r="H528" s="32">
        <v>1</v>
      </c>
      <c r="I528" s="32">
        <f>IF(OR(H528="-",H528="",H528=0),IF(G528="-","-",G528),G528-H528)</f>
        <v>6</v>
      </c>
      <c r="J528" s="36">
        <f>IFERROR(IF(G528&gt;0, H528/G528, 0),"-")</f>
        <v>0.14285714285714285</v>
      </c>
      <c r="K528" s="32" t="s">
        <v>959</v>
      </c>
      <c r="L528" s="32" t="s">
        <v>959</v>
      </c>
      <c r="M528" s="32" t="str">
        <f>IF(OR(L528="-",L528="",L528=0),IF(K528="-","-",K528),K528-L528)</f>
        <v>-</v>
      </c>
      <c r="N528" s="36" t="str">
        <f>IFERROR(IF(K528&gt;0, L528/K528, 0),"-")</f>
        <v>-</v>
      </c>
      <c r="O528" s="32">
        <v>2</v>
      </c>
      <c r="P528" s="32">
        <v>1</v>
      </c>
      <c r="Q528" s="32">
        <f>IF(OR(P528="-",P528="",P528=0),IF(O528="-","-",O528),O528-P528)</f>
        <v>1</v>
      </c>
      <c r="R528" s="36">
        <f>IFERROR(IF(O528&gt;0, P528/O528, 0),"-")</f>
        <v>0.5</v>
      </c>
      <c r="S528" s="32">
        <v>1</v>
      </c>
      <c r="T528" s="32" t="s">
        <v>959</v>
      </c>
      <c r="U528" s="32" t="s">
        <v>959</v>
      </c>
      <c r="V528" s="32" t="s">
        <v>959</v>
      </c>
      <c r="W528" s="32" t="s">
        <v>959</v>
      </c>
    </row>
    <row r="529" spans="1:23" x14ac:dyDescent="0.2">
      <c r="A529" s="30" t="s">
        <v>908</v>
      </c>
      <c r="B529" s="30" t="s">
        <v>1231</v>
      </c>
      <c r="C529" s="34">
        <v>103</v>
      </c>
      <c r="D529" s="35">
        <v>99</v>
      </c>
      <c r="E529" s="34">
        <f>IF(OR(D529="-",D529="",D529=0),IF(C529="-","-",C529),C529-D529)</f>
        <v>4</v>
      </c>
      <c r="F529" s="4">
        <f>IFERROR(IF(C529&gt;0, D529/C529, 0),"-")</f>
        <v>0.96116504854368934</v>
      </c>
      <c r="G529" s="34">
        <v>1</v>
      </c>
      <c r="H529" s="35" t="s">
        <v>959</v>
      </c>
      <c r="I529" s="34">
        <f>IF(OR(H529="-",H529="",H529=0),IF(G529="-","-",G529),G529-H529)</f>
        <v>1</v>
      </c>
      <c r="J529" s="4" t="str">
        <f>IFERROR(IF(G529&gt;0, H529/G529, 0),"-")</f>
        <v>-</v>
      </c>
      <c r="K529" s="34" t="s">
        <v>959</v>
      </c>
      <c r="L529" s="35" t="s">
        <v>959</v>
      </c>
      <c r="M529" s="34" t="str">
        <f>IF(OR(L529="-",L529="",L529=0),IF(K529="-","-",K529),K529-L529)</f>
        <v>-</v>
      </c>
      <c r="N529" s="4" t="str">
        <f>IFERROR(IF(K529&gt;0, L529/K529, 0),"-")</f>
        <v>-</v>
      </c>
      <c r="O529" s="34">
        <v>1</v>
      </c>
      <c r="P529" s="35" t="s">
        <v>959</v>
      </c>
      <c r="Q529" s="34">
        <f>IF(OR(P529="-",P529="",P529=0),IF(O529="-","-",O529),O529-P529)</f>
        <v>1</v>
      </c>
      <c r="R529" s="4" t="str">
        <f>IFERROR(IF(O529&gt;0, P529/O529, 0),"-")</f>
        <v>-</v>
      </c>
      <c r="S529" s="34" t="s">
        <v>959</v>
      </c>
      <c r="T529" s="34" t="s">
        <v>959</v>
      </c>
      <c r="U529" s="34" t="s">
        <v>959</v>
      </c>
      <c r="V529" s="35" t="s">
        <v>959</v>
      </c>
      <c r="W529" s="35" t="s">
        <v>959</v>
      </c>
    </row>
    <row r="530" spans="1:23" x14ac:dyDescent="0.2">
      <c r="A530" s="30" t="s">
        <v>913</v>
      </c>
      <c r="B530" s="30" t="s">
        <v>1232</v>
      </c>
      <c r="C530" s="34">
        <v>85</v>
      </c>
      <c r="D530" s="35">
        <v>84</v>
      </c>
      <c r="E530" s="34">
        <f>IF(OR(D530="-",D530="",D530=0),IF(C530="-","-",C530),C530-D530)</f>
        <v>1</v>
      </c>
      <c r="F530" s="4">
        <f>IFERROR(IF(C530&gt;0, D530/C530, 0),"-")</f>
        <v>0.9882352941176471</v>
      </c>
      <c r="G530" s="34" t="s">
        <v>959</v>
      </c>
      <c r="H530" s="35" t="s">
        <v>959</v>
      </c>
      <c r="I530" s="34" t="str">
        <f>IF(OR(H530="-",H530="",H530=0),IF(G530="-","-",G530),G530-H530)</f>
        <v>-</v>
      </c>
      <c r="J530" s="4" t="str">
        <f>IFERROR(IF(G530&gt;0, H530/G530, 0),"-")</f>
        <v>-</v>
      </c>
      <c r="K530" s="34" t="s">
        <v>959</v>
      </c>
      <c r="L530" s="35" t="s">
        <v>959</v>
      </c>
      <c r="M530" s="34" t="str">
        <f>IF(OR(L530="-",L530="",L530=0),IF(K530="-","-",K530),K530-L530)</f>
        <v>-</v>
      </c>
      <c r="N530" s="4" t="str">
        <f>IFERROR(IF(K530&gt;0, L530/K530, 0),"-")</f>
        <v>-</v>
      </c>
      <c r="O530" s="34" t="s">
        <v>959</v>
      </c>
      <c r="P530" s="35" t="s">
        <v>959</v>
      </c>
      <c r="Q530" s="34" t="str">
        <f>IF(OR(P530="-",P530="",P530=0),IF(O530="-","-",O530),O530-P530)</f>
        <v>-</v>
      </c>
      <c r="R530" s="4" t="str">
        <f>IFERROR(IF(O530&gt;0, P530/O530, 0),"-")</f>
        <v>-</v>
      </c>
      <c r="S530" s="34" t="s">
        <v>959</v>
      </c>
      <c r="T530" s="34" t="s">
        <v>959</v>
      </c>
      <c r="U530" s="34" t="s">
        <v>959</v>
      </c>
      <c r="V530" s="35" t="s">
        <v>959</v>
      </c>
      <c r="W530" s="35" t="s">
        <v>959</v>
      </c>
    </row>
    <row r="531" spans="1:23" x14ac:dyDescent="0.2">
      <c r="A531" s="30" t="s">
        <v>909</v>
      </c>
      <c r="B531" s="30" t="s">
        <v>1233</v>
      </c>
      <c r="C531" s="34">
        <v>100</v>
      </c>
      <c r="D531" s="35">
        <v>98</v>
      </c>
      <c r="E531" s="34">
        <f>IF(OR(D531="-",D531="",D531=0),IF(C531="-","-",C531),C531-D531)</f>
        <v>2</v>
      </c>
      <c r="F531" s="4">
        <f>IFERROR(IF(C531&gt;0, D531/C531, 0),"-")</f>
        <v>0.98</v>
      </c>
      <c r="G531" s="34">
        <v>2</v>
      </c>
      <c r="H531" s="35" t="s">
        <v>959</v>
      </c>
      <c r="I531" s="34">
        <f>IF(OR(H531="-",H531="",H531=0),IF(G531="-","-",G531),G531-H531)</f>
        <v>2</v>
      </c>
      <c r="J531" s="4" t="str">
        <f>IFERROR(IF(G531&gt;0, H531/G531, 0),"-")</f>
        <v>-</v>
      </c>
      <c r="K531" s="34" t="s">
        <v>959</v>
      </c>
      <c r="L531" s="35" t="s">
        <v>959</v>
      </c>
      <c r="M531" s="34" t="str">
        <f>IF(OR(L531="-",L531="",L531=0),IF(K531="-","-",K531),K531-L531)</f>
        <v>-</v>
      </c>
      <c r="N531" s="4" t="str">
        <f>IFERROR(IF(K531&gt;0, L531/K531, 0),"-")</f>
        <v>-</v>
      </c>
      <c r="O531" s="34" t="s">
        <v>959</v>
      </c>
      <c r="P531" s="35" t="s">
        <v>959</v>
      </c>
      <c r="Q531" s="34" t="str">
        <f>IF(OR(P531="-",P531="",P531=0),IF(O531="-","-",O531),O531-P531)</f>
        <v>-</v>
      </c>
      <c r="R531" s="4" t="str">
        <f>IFERROR(IF(O531&gt;0, P531/O531, 0),"-")</f>
        <v>-</v>
      </c>
      <c r="S531" s="34" t="s">
        <v>959</v>
      </c>
      <c r="T531" s="34" t="s">
        <v>959</v>
      </c>
      <c r="U531" s="34" t="s">
        <v>959</v>
      </c>
      <c r="V531" s="35" t="s">
        <v>959</v>
      </c>
      <c r="W531" s="35" t="s">
        <v>959</v>
      </c>
    </row>
    <row r="532" spans="1:23" x14ac:dyDescent="0.2">
      <c r="A532" s="30" t="s">
        <v>910</v>
      </c>
      <c r="B532" s="30" t="s">
        <v>1234</v>
      </c>
      <c r="C532" s="34">
        <v>110</v>
      </c>
      <c r="D532" s="35">
        <v>110</v>
      </c>
      <c r="E532" s="34">
        <f>IF(OR(D532="-",D532="",D532=0),IF(C532="-","-",C532),C532-D532)</f>
        <v>0</v>
      </c>
      <c r="F532" s="4">
        <f>IFERROR(IF(C532&gt;0, D532/C532, 0),"-")</f>
        <v>1</v>
      </c>
      <c r="G532" s="34">
        <v>2</v>
      </c>
      <c r="H532" s="35" t="s">
        <v>959</v>
      </c>
      <c r="I532" s="34">
        <f>IF(OR(H532="-",H532="",H532=0),IF(G532="-","-",G532),G532-H532)</f>
        <v>2</v>
      </c>
      <c r="J532" s="4" t="str">
        <f>IFERROR(IF(G532&gt;0, H532/G532, 0),"-")</f>
        <v>-</v>
      </c>
      <c r="K532" s="34" t="s">
        <v>959</v>
      </c>
      <c r="L532" s="35" t="s">
        <v>959</v>
      </c>
      <c r="M532" s="34" t="str">
        <f>IF(OR(L532="-",L532="",L532=0),IF(K532="-","-",K532),K532-L532)</f>
        <v>-</v>
      </c>
      <c r="N532" s="4" t="str">
        <f>IFERROR(IF(K532&gt;0, L532/K532, 0),"-")</f>
        <v>-</v>
      </c>
      <c r="O532" s="34">
        <v>1</v>
      </c>
      <c r="P532" s="35">
        <v>1</v>
      </c>
      <c r="Q532" s="34">
        <f>IF(OR(P532="-",P532="",P532=0),IF(O532="-","-",O532),O532-P532)</f>
        <v>0</v>
      </c>
      <c r="R532" s="4">
        <f>IFERROR(IF(O532&gt;0, P532/O532, 0),"-")</f>
        <v>1</v>
      </c>
      <c r="S532" s="34" t="s">
        <v>959</v>
      </c>
      <c r="T532" s="34" t="s">
        <v>959</v>
      </c>
      <c r="U532" s="34" t="s">
        <v>959</v>
      </c>
      <c r="V532" s="35" t="s">
        <v>959</v>
      </c>
      <c r="W532" s="35" t="s">
        <v>959</v>
      </c>
    </row>
    <row r="533" spans="1:23" x14ac:dyDescent="0.2">
      <c r="A533" s="30" t="s">
        <v>912</v>
      </c>
      <c r="B533" s="30" t="s">
        <v>1235</v>
      </c>
      <c r="C533" s="34">
        <v>96</v>
      </c>
      <c r="D533" s="35">
        <v>96</v>
      </c>
      <c r="E533" s="34">
        <f>IF(OR(D533="-",D533="",D533=0),IF(C533="-","-",C533),C533-D533)</f>
        <v>0</v>
      </c>
      <c r="F533" s="4">
        <f>IFERROR(IF(C533&gt;0, D533/C533, 0),"-")</f>
        <v>1</v>
      </c>
      <c r="G533" s="34" t="s">
        <v>959</v>
      </c>
      <c r="H533" s="35" t="s">
        <v>959</v>
      </c>
      <c r="I533" s="34" t="str">
        <f>IF(OR(H533="-",H533="",H533=0),IF(G533="-","-",G533),G533-H533)</f>
        <v>-</v>
      </c>
      <c r="J533" s="4" t="str">
        <f>IFERROR(IF(G533&gt;0, H533/G533, 0),"-")</f>
        <v>-</v>
      </c>
      <c r="K533" s="34" t="s">
        <v>959</v>
      </c>
      <c r="L533" s="35" t="s">
        <v>959</v>
      </c>
      <c r="M533" s="34" t="str">
        <f>IF(OR(L533="-",L533="",L533=0),IF(K533="-","-",K533),K533-L533)</f>
        <v>-</v>
      </c>
      <c r="N533" s="4" t="str">
        <f>IFERROR(IF(K533&gt;0, L533/K533, 0),"-")</f>
        <v>-</v>
      </c>
      <c r="O533" s="34" t="s">
        <v>959</v>
      </c>
      <c r="P533" s="35" t="s">
        <v>959</v>
      </c>
      <c r="Q533" s="34" t="str">
        <f>IF(OR(P533="-",P533="",P533=0),IF(O533="-","-",O533),O533-P533)</f>
        <v>-</v>
      </c>
      <c r="R533" s="4" t="str">
        <f>IFERROR(IF(O533&gt;0, P533/O533, 0),"-")</f>
        <v>-</v>
      </c>
      <c r="S533" s="34">
        <v>1</v>
      </c>
      <c r="T533" s="34" t="s">
        <v>959</v>
      </c>
      <c r="U533" s="34" t="s">
        <v>959</v>
      </c>
      <c r="V533" s="35" t="s">
        <v>959</v>
      </c>
      <c r="W533" s="35" t="s">
        <v>959</v>
      </c>
    </row>
    <row r="534" spans="1:23" x14ac:dyDescent="0.2">
      <c r="A534" s="30" t="s">
        <v>911</v>
      </c>
      <c r="B534" s="30" t="s">
        <v>1236</v>
      </c>
      <c r="C534" s="34">
        <v>93</v>
      </c>
      <c r="D534" s="35">
        <v>92</v>
      </c>
      <c r="E534" s="34">
        <f>IF(OR(D534="-",D534="",D534=0),IF(C534="-","-",C534),C534-D534)</f>
        <v>1</v>
      </c>
      <c r="F534" s="4">
        <f>IFERROR(IF(C534&gt;0, D534/C534, 0),"-")</f>
        <v>0.989247311827957</v>
      </c>
      <c r="G534" s="34">
        <v>2</v>
      </c>
      <c r="H534" s="35">
        <v>1</v>
      </c>
      <c r="I534" s="34">
        <f>IF(OR(H534="-",H534="",H534=0),IF(G534="-","-",G534),G534-H534)</f>
        <v>1</v>
      </c>
      <c r="J534" s="4">
        <f>IFERROR(IF(G534&gt;0, H534/G534, 0),"-")</f>
        <v>0.5</v>
      </c>
      <c r="K534" s="34" t="s">
        <v>959</v>
      </c>
      <c r="L534" s="35" t="s">
        <v>959</v>
      </c>
      <c r="M534" s="34" t="str">
        <f>IF(OR(L534="-",L534="",L534=0),IF(K534="-","-",K534),K534-L534)</f>
        <v>-</v>
      </c>
      <c r="N534" s="4" t="str">
        <f>IFERROR(IF(K534&gt;0, L534/K534, 0),"-")</f>
        <v>-</v>
      </c>
      <c r="O534" s="34" t="s">
        <v>959</v>
      </c>
      <c r="P534" s="35" t="s">
        <v>959</v>
      </c>
      <c r="Q534" s="34" t="str">
        <f>IF(OR(P534="-",P534="",P534=0),IF(O534="-","-",O534),O534-P534)</f>
        <v>-</v>
      </c>
      <c r="R534" s="4" t="str">
        <f>IFERROR(IF(O534&gt;0, P534/O534, 0),"-")</f>
        <v>-</v>
      </c>
      <c r="S534" s="34" t="s">
        <v>959</v>
      </c>
      <c r="T534" s="34" t="s">
        <v>959</v>
      </c>
      <c r="U534" s="34" t="s">
        <v>959</v>
      </c>
      <c r="V534" s="35" t="s">
        <v>959</v>
      </c>
      <c r="W534" s="35" t="s">
        <v>959</v>
      </c>
    </row>
    <row r="535" spans="1:23" x14ac:dyDescent="0.2">
      <c r="A535" s="29"/>
      <c r="B535" s="29" t="s">
        <v>24</v>
      </c>
      <c r="C535" s="32">
        <v>365</v>
      </c>
      <c r="D535" s="32">
        <v>363</v>
      </c>
      <c r="E535" s="32">
        <f>IF(OR(D535="-",D535="",D535=0),IF(C535="-","-",C535),C535-D535)</f>
        <v>2</v>
      </c>
      <c r="F535" s="36">
        <f>IFERROR(IF(C535&gt;0, D535/C535, 0),"-")</f>
        <v>0.9945205479452055</v>
      </c>
      <c r="G535" s="32" t="s">
        <v>959</v>
      </c>
      <c r="H535" s="32" t="s">
        <v>959</v>
      </c>
      <c r="I535" s="32" t="str">
        <f>IF(OR(H535="-",H535="",H535=0),IF(G535="-","-",G535),G535-H535)</f>
        <v>-</v>
      </c>
      <c r="J535" s="36" t="str">
        <f>IFERROR(IF(G535&gt;0, H535/G535, 0),"-")</f>
        <v>-</v>
      </c>
      <c r="K535" s="32">
        <v>1</v>
      </c>
      <c r="L535" s="32" t="s">
        <v>959</v>
      </c>
      <c r="M535" s="32">
        <f>IF(OR(L535="-",L535="",L535=0),IF(K535="-","-",K535),K535-L535)</f>
        <v>1</v>
      </c>
      <c r="N535" s="36" t="str">
        <f>IFERROR(IF(K535&gt;0, L535/K535, 0),"-")</f>
        <v>-</v>
      </c>
      <c r="O535" s="32" t="s">
        <v>959</v>
      </c>
      <c r="P535" s="32" t="s">
        <v>959</v>
      </c>
      <c r="Q535" s="32" t="str">
        <f>IF(OR(P535="-",P535="",P535=0),IF(O535="-","-",O535),O535-P535)</f>
        <v>-</v>
      </c>
      <c r="R535" s="36" t="str">
        <f>IFERROR(IF(O535&gt;0, P535/O535, 0),"-")</f>
        <v>-</v>
      </c>
      <c r="S535" s="32">
        <v>1</v>
      </c>
      <c r="T535" s="32" t="s">
        <v>959</v>
      </c>
      <c r="U535" s="32" t="s">
        <v>959</v>
      </c>
      <c r="V535" s="32" t="s">
        <v>959</v>
      </c>
      <c r="W535" s="32" t="s">
        <v>959</v>
      </c>
    </row>
    <row r="536" spans="1:23" x14ac:dyDescent="0.2">
      <c r="A536" s="30" t="s">
        <v>735</v>
      </c>
      <c r="B536" s="30" t="s">
        <v>1237</v>
      </c>
      <c r="C536" s="34">
        <v>80</v>
      </c>
      <c r="D536" s="35">
        <v>79</v>
      </c>
      <c r="E536" s="34">
        <f>IF(OR(D536="-",D536="",D536=0),IF(C536="-","-",C536),C536-D536)</f>
        <v>1</v>
      </c>
      <c r="F536" s="4">
        <f>IFERROR(IF(C536&gt;0, D536/C536, 0),"-")</f>
        <v>0.98750000000000004</v>
      </c>
      <c r="G536" s="34" t="s">
        <v>959</v>
      </c>
      <c r="H536" s="35" t="s">
        <v>959</v>
      </c>
      <c r="I536" s="34" t="str">
        <f>IF(OR(H536="-",H536="",H536=0),IF(G536="-","-",G536),G536-H536)</f>
        <v>-</v>
      </c>
      <c r="J536" s="4" t="str">
        <f>IFERROR(IF(G536&gt;0, H536/G536, 0),"-")</f>
        <v>-</v>
      </c>
      <c r="K536" s="34" t="s">
        <v>959</v>
      </c>
      <c r="L536" s="35" t="s">
        <v>959</v>
      </c>
      <c r="M536" s="34" t="str">
        <f>IF(OR(L536="-",L536="",L536=0),IF(K536="-","-",K536),K536-L536)</f>
        <v>-</v>
      </c>
      <c r="N536" s="4" t="str">
        <f>IFERROR(IF(K536&gt;0, L536/K536, 0),"-")</f>
        <v>-</v>
      </c>
      <c r="O536" s="34" t="s">
        <v>959</v>
      </c>
      <c r="P536" s="35" t="s">
        <v>959</v>
      </c>
      <c r="Q536" s="34" t="str">
        <f>IF(OR(P536="-",P536="",P536=0),IF(O536="-","-",O536),O536-P536)</f>
        <v>-</v>
      </c>
      <c r="R536" s="4" t="str">
        <f>IFERROR(IF(O536&gt;0, P536/O536, 0),"-")</f>
        <v>-</v>
      </c>
      <c r="S536" s="34" t="s">
        <v>959</v>
      </c>
      <c r="T536" s="34" t="s">
        <v>959</v>
      </c>
      <c r="U536" s="34" t="s">
        <v>959</v>
      </c>
      <c r="V536" s="35" t="s">
        <v>959</v>
      </c>
      <c r="W536" s="35" t="s">
        <v>959</v>
      </c>
    </row>
    <row r="537" spans="1:23" x14ac:dyDescent="0.2">
      <c r="A537" s="30" t="s">
        <v>736</v>
      </c>
      <c r="B537" s="30" t="s">
        <v>1238</v>
      </c>
      <c r="C537" s="34">
        <v>74</v>
      </c>
      <c r="D537" s="35">
        <v>74</v>
      </c>
      <c r="E537" s="34">
        <f>IF(OR(D537="-",D537="",D537=0),IF(C537="-","-",C537),C537-D537)</f>
        <v>0</v>
      </c>
      <c r="F537" s="4">
        <f>IFERROR(IF(C537&gt;0, D537/C537, 0),"-")</f>
        <v>1</v>
      </c>
      <c r="G537" s="34" t="s">
        <v>959</v>
      </c>
      <c r="H537" s="35" t="s">
        <v>959</v>
      </c>
      <c r="I537" s="34" t="str">
        <f>IF(OR(H537="-",H537="",H537=0),IF(G537="-","-",G537),G537-H537)</f>
        <v>-</v>
      </c>
      <c r="J537" s="4" t="str">
        <f>IFERROR(IF(G537&gt;0, H537/G537, 0),"-")</f>
        <v>-</v>
      </c>
      <c r="K537" s="34">
        <v>1</v>
      </c>
      <c r="L537" s="35" t="s">
        <v>959</v>
      </c>
      <c r="M537" s="34">
        <f>IF(OR(L537="-",L537="",L537=0),IF(K537="-","-",K537),K537-L537)</f>
        <v>1</v>
      </c>
      <c r="N537" s="4" t="str">
        <f>IFERROR(IF(K537&gt;0, L537/K537, 0),"-")</f>
        <v>-</v>
      </c>
      <c r="O537" s="34" t="s">
        <v>959</v>
      </c>
      <c r="P537" s="35" t="s">
        <v>959</v>
      </c>
      <c r="Q537" s="34" t="str">
        <f>IF(OR(P537="-",P537="",P537=0),IF(O537="-","-",O537),O537-P537)</f>
        <v>-</v>
      </c>
      <c r="R537" s="4" t="str">
        <f>IFERROR(IF(O537&gt;0, P537/O537, 0),"-")</f>
        <v>-</v>
      </c>
      <c r="S537" s="34" t="s">
        <v>959</v>
      </c>
      <c r="T537" s="34" t="s">
        <v>959</v>
      </c>
      <c r="U537" s="34" t="s">
        <v>959</v>
      </c>
      <c r="V537" s="35" t="s">
        <v>959</v>
      </c>
      <c r="W537" s="35" t="s">
        <v>959</v>
      </c>
    </row>
    <row r="538" spans="1:23" x14ac:dyDescent="0.2">
      <c r="A538" s="30" t="s">
        <v>734</v>
      </c>
      <c r="B538" s="30" t="s">
        <v>1239</v>
      </c>
      <c r="C538" s="34">
        <v>79</v>
      </c>
      <c r="D538" s="35">
        <v>79</v>
      </c>
      <c r="E538" s="34">
        <f>IF(OR(D538="-",D538="",D538=0),IF(C538="-","-",C538),C538-D538)</f>
        <v>0</v>
      </c>
      <c r="F538" s="4">
        <f>IFERROR(IF(C538&gt;0, D538/C538, 0),"-")</f>
        <v>1</v>
      </c>
      <c r="G538" s="34" t="s">
        <v>959</v>
      </c>
      <c r="H538" s="35" t="s">
        <v>959</v>
      </c>
      <c r="I538" s="34" t="str">
        <f>IF(OR(H538="-",H538="",H538=0),IF(G538="-","-",G538),G538-H538)</f>
        <v>-</v>
      </c>
      <c r="J538" s="4" t="str">
        <f>IFERROR(IF(G538&gt;0, H538/G538, 0),"-")</f>
        <v>-</v>
      </c>
      <c r="K538" s="34" t="s">
        <v>959</v>
      </c>
      <c r="L538" s="35" t="s">
        <v>959</v>
      </c>
      <c r="M538" s="34" t="str">
        <f>IF(OR(L538="-",L538="",L538=0),IF(K538="-","-",K538),K538-L538)</f>
        <v>-</v>
      </c>
      <c r="N538" s="4" t="str">
        <f>IFERROR(IF(K538&gt;0, L538/K538, 0),"-")</f>
        <v>-</v>
      </c>
      <c r="O538" s="34" t="s">
        <v>959</v>
      </c>
      <c r="P538" s="35" t="s">
        <v>959</v>
      </c>
      <c r="Q538" s="34" t="str">
        <f>IF(OR(P538="-",P538="",P538=0),IF(O538="-","-",O538),O538-P538)</f>
        <v>-</v>
      </c>
      <c r="R538" s="4" t="str">
        <f>IFERROR(IF(O538&gt;0, P538/O538, 0),"-")</f>
        <v>-</v>
      </c>
      <c r="S538" s="34" t="s">
        <v>959</v>
      </c>
      <c r="T538" s="34" t="s">
        <v>959</v>
      </c>
      <c r="U538" s="34" t="s">
        <v>959</v>
      </c>
      <c r="V538" s="35" t="s">
        <v>959</v>
      </c>
      <c r="W538" s="35" t="s">
        <v>959</v>
      </c>
    </row>
    <row r="539" spans="1:23" x14ac:dyDescent="0.2">
      <c r="A539" s="30" t="s">
        <v>739</v>
      </c>
      <c r="B539" s="30" t="s">
        <v>1240</v>
      </c>
      <c r="C539" s="34">
        <v>14</v>
      </c>
      <c r="D539" s="35">
        <v>13</v>
      </c>
      <c r="E539" s="34">
        <f>IF(OR(D539="-",D539="",D539=0),IF(C539="-","-",C539),C539-D539)</f>
        <v>1</v>
      </c>
      <c r="F539" s="4">
        <f>IFERROR(IF(C539&gt;0, D539/C539, 0),"-")</f>
        <v>0.9285714285714286</v>
      </c>
      <c r="G539" s="34" t="s">
        <v>959</v>
      </c>
      <c r="H539" s="35" t="s">
        <v>959</v>
      </c>
      <c r="I539" s="34" t="str">
        <f>IF(OR(H539="-",H539="",H539=0),IF(G539="-","-",G539),G539-H539)</f>
        <v>-</v>
      </c>
      <c r="J539" s="4" t="str">
        <f>IFERROR(IF(G539&gt;0, H539/G539, 0),"-")</f>
        <v>-</v>
      </c>
      <c r="K539" s="34" t="s">
        <v>959</v>
      </c>
      <c r="L539" s="35" t="s">
        <v>959</v>
      </c>
      <c r="M539" s="34" t="str">
        <f>IF(OR(L539="-",L539="",L539=0),IF(K539="-","-",K539),K539-L539)</f>
        <v>-</v>
      </c>
      <c r="N539" s="4" t="str">
        <f>IFERROR(IF(K539&gt;0, L539/K539, 0),"-")</f>
        <v>-</v>
      </c>
      <c r="O539" s="34" t="s">
        <v>959</v>
      </c>
      <c r="P539" s="35" t="s">
        <v>959</v>
      </c>
      <c r="Q539" s="34" t="str">
        <f>IF(OR(P539="-",P539="",P539=0),IF(O539="-","-",O539),O539-P539)</f>
        <v>-</v>
      </c>
      <c r="R539" s="4" t="str">
        <f>IFERROR(IF(O539&gt;0, P539/O539, 0),"-")</f>
        <v>-</v>
      </c>
      <c r="S539" s="34" t="s">
        <v>959</v>
      </c>
      <c r="T539" s="34" t="s">
        <v>959</v>
      </c>
      <c r="U539" s="34" t="s">
        <v>959</v>
      </c>
      <c r="V539" s="35" t="s">
        <v>959</v>
      </c>
      <c r="W539" s="35" t="s">
        <v>959</v>
      </c>
    </row>
    <row r="540" spans="1:23" x14ac:dyDescent="0.2">
      <c r="A540" s="30" t="s">
        <v>733</v>
      </c>
      <c r="B540" s="30" t="s">
        <v>1241</v>
      </c>
      <c r="C540" s="34">
        <v>31</v>
      </c>
      <c r="D540" s="35">
        <v>31</v>
      </c>
      <c r="E540" s="34">
        <f>IF(OR(D540="-",D540="",D540=0),IF(C540="-","-",C540),C540-D540)</f>
        <v>0</v>
      </c>
      <c r="F540" s="4">
        <f>IFERROR(IF(C540&gt;0, D540/C540, 0),"-")</f>
        <v>1</v>
      </c>
      <c r="G540" s="34" t="s">
        <v>959</v>
      </c>
      <c r="H540" s="35" t="s">
        <v>959</v>
      </c>
      <c r="I540" s="34" t="str">
        <f>IF(OR(H540="-",H540="",H540=0),IF(G540="-","-",G540),G540-H540)</f>
        <v>-</v>
      </c>
      <c r="J540" s="4" t="str">
        <f>IFERROR(IF(G540&gt;0, H540/G540, 0),"-")</f>
        <v>-</v>
      </c>
      <c r="K540" s="34" t="s">
        <v>959</v>
      </c>
      <c r="L540" s="35" t="s">
        <v>959</v>
      </c>
      <c r="M540" s="34" t="str">
        <f>IF(OR(L540="-",L540="",L540=0),IF(K540="-","-",K540),K540-L540)</f>
        <v>-</v>
      </c>
      <c r="N540" s="4" t="str">
        <f>IFERROR(IF(K540&gt;0, L540/K540, 0),"-")</f>
        <v>-</v>
      </c>
      <c r="O540" s="34" t="s">
        <v>959</v>
      </c>
      <c r="P540" s="35" t="s">
        <v>959</v>
      </c>
      <c r="Q540" s="34" t="str">
        <f>IF(OR(P540="-",P540="",P540=0),IF(O540="-","-",O540),O540-P540)</f>
        <v>-</v>
      </c>
      <c r="R540" s="4" t="str">
        <f>IFERROR(IF(O540&gt;0, P540/O540, 0),"-")</f>
        <v>-</v>
      </c>
      <c r="S540" s="34" t="s">
        <v>959</v>
      </c>
      <c r="T540" s="34" t="s">
        <v>959</v>
      </c>
      <c r="U540" s="34" t="s">
        <v>959</v>
      </c>
      <c r="V540" s="35" t="s">
        <v>959</v>
      </c>
      <c r="W540" s="35" t="s">
        <v>959</v>
      </c>
    </row>
    <row r="541" spans="1:23" x14ac:dyDescent="0.2">
      <c r="A541" s="30" t="s">
        <v>738</v>
      </c>
      <c r="B541" s="30" t="s">
        <v>1242</v>
      </c>
      <c r="C541" s="34">
        <v>54</v>
      </c>
      <c r="D541" s="35">
        <v>54</v>
      </c>
      <c r="E541" s="34">
        <f>IF(OR(D541="-",D541="",D541=0),IF(C541="-","-",C541),C541-D541)</f>
        <v>0</v>
      </c>
      <c r="F541" s="4">
        <f>IFERROR(IF(C541&gt;0, D541/C541, 0),"-")</f>
        <v>1</v>
      </c>
      <c r="G541" s="34" t="s">
        <v>959</v>
      </c>
      <c r="H541" s="35" t="s">
        <v>959</v>
      </c>
      <c r="I541" s="34" t="str">
        <f>IF(OR(H541="-",H541="",H541=0),IF(G541="-","-",G541),G541-H541)</f>
        <v>-</v>
      </c>
      <c r="J541" s="4" t="str">
        <f>IFERROR(IF(G541&gt;0, H541/G541, 0),"-")</f>
        <v>-</v>
      </c>
      <c r="K541" s="34" t="s">
        <v>959</v>
      </c>
      <c r="L541" s="35" t="s">
        <v>959</v>
      </c>
      <c r="M541" s="34" t="str">
        <f>IF(OR(L541="-",L541="",L541=0),IF(K541="-","-",K541),K541-L541)</f>
        <v>-</v>
      </c>
      <c r="N541" s="4" t="str">
        <f>IFERROR(IF(K541&gt;0, L541/K541, 0),"-")</f>
        <v>-</v>
      </c>
      <c r="O541" s="34" t="s">
        <v>959</v>
      </c>
      <c r="P541" s="35" t="s">
        <v>959</v>
      </c>
      <c r="Q541" s="34" t="str">
        <f>IF(OR(P541="-",P541="",P541=0),IF(O541="-","-",O541),O541-P541)</f>
        <v>-</v>
      </c>
      <c r="R541" s="4" t="str">
        <f>IFERROR(IF(O541&gt;0, P541/O541, 0),"-")</f>
        <v>-</v>
      </c>
      <c r="S541" s="34">
        <v>1</v>
      </c>
      <c r="T541" s="34" t="s">
        <v>959</v>
      </c>
      <c r="U541" s="34" t="s">
        <v>959</v>
      </c>
      <c r="V541" s="35" t="s">
        <v>959</v>
      </c>
      <c r="W541" s="35" t="s">
        <v>959</v>
      </c>
    </row>
    <row r="542" spans="1:23" x14ac:dyDescent="0.2">
      <c r="A542" s="30" t="s">
        <v>737</v>
      </c>
      <c r="B542" s="30" t="s">
        <v>1243</v>
      </c>
      <c r="C542" s="34">
        <v>33</v>
      </c>
      <c r="D542" s="35">
        <v>33</v>
      </c>
      <c r="E542" s="34">
        <f>IF(OR(D542="-",D542="",D542=0),IF(C542="-","-",C542),C542-D542)</f>
        <v>0</v>
      </c>
      <c r="F542" s="4">
        <f>IFERROR(IF(C542&gt;0, D542/C542, 0),"-")</f>
        <v>1</v>
      </c>
      <c r="G542" s="34" t="s">
        <v>959</v>
      </c>
      <c r="H542" s="35" t="s">
        <v>959</v>
      </c>
      <c r="I542" s="34" t="str">
        <f>IF(OR(H542="-",H542="",H542=0),IF(G542="-","-",G542),G542-H542)</f>
        <v>-</v>
      </c>
      <c r="J542" s="4" t="str">
        <f>IFERROR(IF(G542&gt;0, H542/G542, 0),"-")</f>
        <v>-</v>
      </c>
      <c r="K542" s="34" t="s">
        <v>959</v>
      </c>
      <c r="L542" s="35" t="s">
        <v>959</v>
      </c>
      <c r="M542" s="34" t="str">
        <f>IF(OR(L542="-",L542="",L542=0),IF(K542="-","-",K542),K542-L542)</f>
        <v>-</v>
      </c>
      <c r="N542" s="4" t="str">
        <f>IFERROR(IF(K542&gt;0, L542/K542, 0),"-")</f>
        <v>-</v>
      </c>
      <c r="O542" s="34" t="s">
        <v>959</v>
      </c>
      <c r="P542" s="35" t="s">
        <v>959</v>
      </c>
      <c r="Q542" s="34" t="str">
        <f>IF(OR(P542="-",P542="",P542=0),IF(O542="-","-",O542),O542-P542)</f>
        <v>-</v>
      </c>
      <c r="R542" s="4" t="str">
        <f>IFERROR(IF(O542&gt;0, P542/O542, 0),"-")</f>
        <v>-</v>
      </c>
      <c r="S542" s="34" t="s">
        <v>959</v>
      </c>
      <c r="T542" s="34" t="s">
        <v>959</v>
      </c>
      <c r="U542" s="34" t="s">
        <v>959</v>
      </c>
      <c r="V542" s="35" t="s">
        <v>959</v>
      </c>
      <c r="W542" s="35" t="s">
        <v>959</v>
      </c>
    </row>
    <row r="543" spans="1:23" x14ac:dyDescent="0.2">
      <c r="A543" s="29"/>
      <c r="B543" s="29" t="s">
        <v>122</v>
      </c>
      <c r="C543" s="32">
        <v>218</v>
      </c>
      <c r="D543" s="32">
        <v>213</v>
      </c>
      <c r="E543" s="32">
        <f>IF(OR(D543="-",D543="",D543=0),IF(C543="-","-",C543),C543-D543)</f>
        <v>5</v>
      </c>
      <c r="F543" s="36">
        <f>IFERROR(IF(C543&gt;0, D543/C543, 0),"-")</f>
        <v>0.97706422018348627</v>
      </c>
      <c r="G543" s="32">
        <v>2</v>
      </c>
      <c r="H543" s="32">
        <v>1</v>
      </c>
      <c r="I543" s="32">
        <f>IF(OR(H543="-",H543="",H543=0),IF(G543="-","-",G543),G543-H543)</f>
        <v>1</v>
      </c>
      <c r="J543" s="36">
        <f>IFERROR(IF(G543&gt;0, H543/G543, 0),"-")</f>
        <v>0.5</v>
      </c>
      <c r="K543" s="32">
        <v>2</v>
      </c>
      <c r="L543" s="32">
        <v>1</v>
      </c>
      <c r="M543" s="32">
        <f>IF(OR(L543="-",L543="",L543=0),IF(K543="-","-",K543),K543-L543)</f>
        <v>1</v>
      </c>
      <c r="N543" s="36">
        <f>IFERROR(IF(K543&gt;0, L543/K543, 0),"-")</f>
        <v>0.5</v>
      </c>
      <c r="O543" s="32" t="s">
        <v>959</v>
      </c>
      <c r="P543" s="32" t="s">
        <v>959</v>
      </c>
      <c r="Q543" s="32" t="str">
        <f>IF(OR(P543="-",P543="",P543=0),IF(O543="-","-",O543),O543-P543)</f>
        <v>-</v>
      </c>
      <c r="R543" s="36" t="str">
        <f>IFERROR(IF(O543&gt;0, P543/O543, 0),"-")</f>
        <v>-</v>
      </c>
      <c r="S543" s="32">
        <v>1</v>
      </c>
      <c r="T543" s="32" t="s">
        <v>959</v>
      </c>
      <c r="U543" s="32" t="s">
        <v>959</v>
      </c>
      <c r="V543" s="32" t="s">
        <v>959</v>
      </c>
      <c r="W543" s="32" t="s">
        <v>959</v>
      </c>
    </row>
    <row r="544" spans="1:23" x14ac:dyDescent="0.2">
      <c r="A544" s="30" t="s">
        <v>863</v>
      </c>
      <c r="B544" s="30" t="s">
        <v>1244</v>
      </c>
      <c r="C544" s="34">
        <v>73</v>
      </c>
      <c r="D544" s="35">
        <v>71</v>
      </c>
      <c r="E544" s="34">
        <f>IF(OR(D544="-",D544="",D544=0),IF(C544="-","-",C544),C544-D544)</f>
        <v>2</v>
      </c>
      <c r="F544" s="4">
        <f>IFERROR(IF(C544&gt;0, D544/C544, 0),"-")</f>
        <v>0.9726027397260274</v>
      </c>
      <c r="G544" s="34">
        <v>1</v>
      </c>
      <c r="H544" s="35" t="s">
        <v>959</v>
      </c>
      <c r="I544" s="34">
        <f>IF(OR(H544="-",H544="",H544=0),IF(G544="-","-",G544),G544-H544)</f>
        <v>1</v>
      </c>
      <c r="J544" s="4" t="str">
        <f>IFERROR(IF(G544&gt;0, H544/G544, 0),"-")</f>
        <v>-</v>
      </c>
      <c r="K544" s="34">
        <v>2</v>
      </c>
      <c r="L544" s="35">
        <v>1</v>
      </c>
      <c r="M544" s="34">
        <f>IF(OR(L544="-",L544="",L544=0),IF(K544="-","-",K544),K544-L544)</f>
        <v>1</v>
      </c>
      <c r="N544" s="4">
        <f>IFERROR(IF(K544&gt;0, L544/K544, 0),"-")</f>
        <v>0.5</v>
      </c>
      <c r="O544" s="34" t="s">
        <v>959</v>
      </c>
      <c r="P544" s="35" t="s">
        <v>959</v>
      </c>
      <c r="Q544" s="34" t="str">
        <f>IF(OR(P544="-",P544="",P544=0),IF(O544="-","-",O544),O544-P544)</f>
        <v>-</v>
      </c>
      <c r="R544" s="4" t="str">
        <f>IFERROR(IF(O544&gt;0, P544/O544, 0),"-")</f>
        <v>-</v>
      </c>
      <c r="S544" s="34" t="s">
        <v>959</v>
      </c>
      <c r="T544" s="34" t="s">
        <v>959</v>
      </c>
      <c r="U544" s="34" t="s">
        <v>959</v>
      </c>
      <c r="V544" s="35" t="s">
        <v>959</v>
      </c>
      <c r="W544" s="35" t="s">
        <v>959</v>
      </c>
    </row>
    <row r="545" spans="1:23" x14ac:dyDescent="0.2">
      <c r="A545" s="30" t="s">
        <v>866</v>
      </c>
      <c r="B545" s="30" t="s">
        <v>1245</v>
      </c>
      <c r="C545" s="34">
        <v>73</v>
      </c>
      <c r="D545" s="35">
        <v>70</v>
      </c>
      <c r="E545" s="34">
        <f>IF(OR(D545="-",D545="",D545=0),IF(C545="-","-",C545),C545-D545)</f>
        <v>3</v>
      </c>
      <c r="F545" s="4">
        <f>IFERROR(IF(C545&gt;0, D545/C545, 0),"-")</f>
        <v>0.95890410958904104</v>
      </c>
      <c r="G545" s="34">
        <v>1</v>
      </c>
      <c r="H545" s="35">
        <v>1</v>
      </c>
      <c r="I545" s="34">
        <f>IF(OR(H545="-",H545="",H545=0),IF(G545="-","-",G545),G545-H545)</f>
        <v>0</v>
      </c>
      <c r="J545" s="4">
        <f>IFERROR(IF(G545&gt;0, H545/G545, 0),"-")</f>
        <v>1</v>
      </c>
      <c r="K545" s="34" t="s">
        <v>959</v>
      </c>
      <c r="L545" s="35" t="s">
        <v>959</v>
      </c>
      <c r="M545" s="34" t="str">
        <f>IF(OR(L545="-",L545="",L545=0),IF(K545="-","-",K545),K545-L545)</f>
        <v>-</v>
      </c>
      <c r="N545" s="4" t="str">
        <f>IFERROR(IF(K545&gt;0, L545/K545, 0),"-")</f>
        <v>-</v>
      </c>
      <c r="O545" s="34" t="s">
        <v>959</v>
      </c>
      <c r="P545" s="35" t="s">
        <v>959</v>
      </c>
      <c r="Q545" s="34" t="str">
        <f>IF(OR(P545="-",P545="",P545=0),IF(O545="-","-",O545),O545-P545)</f>
        <v>-</v>
      </c>
      <c r="R545" s="4" t="str">
        <f>IFERROR(IF(O545&gt;0, P545/O545, 0),"-")</f>
        <v>-</v>
      </c>
      <c r="S545" s="34">
        <v>1</v>
      </c>
      <c r="T545" s="34" t="s">
        <v>959</v>
      </c>
      <c r="U545" s="34" t="s">
        <v>959</v>
      </c>
      <c r="V545" s="35" t="s">
        <v>959</v>
      </c>
      <c r="W545" s="35" t="s">
        <v>959</v>
      </c>
    </row>
    <row r="546" spans="1:23" x14ac:dyDescent="0.2">
      <c r="A546" s="30" t="s">
        <v>865</v>
      </c>
      <c r="B546" s="30" t="s">
        <v>1246</v>
      </c>
      <c r="C546" s="34">
        <v>42</v>
      </c>
      <c r="D546" s="35">
        <v>42</v>
      </c>
      <c r="E546" s="34">
        <f>IF(OR(D546="-",D546="",D546=0),IF(C546="-","-",C546),C546-D546)</f>
        <v>0</v>
      </c>
      <c r="F546" s="4">
        <f>IFERROR(IF(C546&gt;0, D546/C546, 0),"-")</f>
        <v>1</v>
      </c>
      <c r="G546" s="34" t="s">
        <v>959</v>
      </c>
      <c r="H546" s="35" t="s">
        <v>959</v>
      </c>
      <c r="I546" s="34" t="str">
        <f>IF(OR(H546="-",H546="",H546=0),IF(G546="-","-",G546),G546-H546)</f>
        <v>-</v>
      </c>
      <c r="J546" s="4" t="str">
        <f>IFERROR(IF(G546&gt;0, H546/G546, 0),"-")</f>
        <v>-</v>
      </c>
      <c r="K546" s="34" t="s">
        <v>959</v>
      </c>
      <c r="L546" s="35" t="s">
        <v>959</v>
      </c>
      <c r="M546" s="34" t="str">
        <f>IF(OR(L546="-",L546="",L546=0),IF(K546="-","-",K546),K546-L546)</f>
        <v>-</v>
      </c>
      <c r="N546" s="4" t="str">
        <f>IFERROR(IF(K546&gt;0, L546/K546, 0),"-")</f>
        <v>-</v>
      </c>
      <c r="O546" s="34" t="s">
        <v>959</v>
      </c>
      <c r="P546" s="35" t="s">
        <v>959</v>
      </c>
      <c r="Q546" s="34" t="str">
        <f>IF(OR(P546="-",P546="",P546=0),IF(O546="-","-",O546),O546-P546)</f>
        <v>-</v>
      </c>
      <c r="R546" s="4" t="str">
        <f>IFERROR(IF(O546&gt;0, P546/O546, 0),"-")</f>
        <v>-</v>
      </c>
      <c r="S546" s="34" t="s">
        <v>959</v>
      </c>
      <c r="T546" s="34" t="s">
        <v>959</v>
      </c>
      <c r="U546" s="34" t="s">
        <v>959</v>
      </c>
      <c r="V546" s="35" t="s">
        <v>959</v>
      </c>
      <c r="W546" s="35" t="s">
        <v>959</v>
      </c>
    </row>
    <row r="547" spans="1:23" x14ac:dyDescent="0.2">
      <c r="A547" s="30" t="s">
        <v>864</v>
      </c>
      <c r="B547" s="30" t="s">
        <v>1247</v>
      </c>
      <c r="C547" s="34">
        <v>30</v>
      </c>
      <c r="D547" s="35">
        <v>30</v>
      </c>
      <c r="E547" s="34">
        <f>IF(OR(D547="-",D547="",D547=0),IF(C547="-","-",C547),C547-D547)</f>
        <v>0</v>
      </c>
      <c r="F547" s="4">
        <f>IFERROR(IF(C547&gt;0, D547/C547, 0),"-")</f>
        <v>1</v>
      </c>
      <c r="G547" s="34" t="s">
        <v>959</v>
      </c>
      <c r="H547" s="35" t="s">
        <v>959</v>
      </c>
      <c r="I547" s="34" t="str">
        <f>IF(OR(H547="-",H547="",H547=0),IF(G547="-","-",G547),G547-H547)</f>
        <v>-</v>
      </c>
      <c r="J547" s="4" t="str">
        <f>IFERROR(IF(G547&gt;0, H547/G547, 0),"-")</f>
        <v>-</v>
      </c>
      <c r="K547" s="34" t="s">
        <v>959</v>
      </c>
      <c r="L547" s="35" t="s">
        <v>959</v>
      </c>
      <c r="M547" s="34" t="str">
        <f>IF(OR(L547="-",L547="",L547=0),IF(K547="-","-",K547),K547-L547)</f>
        <v>-</v>
      </c>
      <c r="N547" s="4" t="str">
        <f>IFERROR(IF(K547&gt;0, L547/K547, 0),"-")</f>
        <v>-</v>
      </c>
      <c r="O547" s="34" t="s">
        <v>959</v>
      </c>
      <c r="P547" s="35" t="s">
        <v>959</v>
      </c>
      <c r="Q547" s="34" t="str">
        <f>IF(OR(P547="-",P547="",P547=0),IF(O547="-","-",O547),O547-P547)</f>
        <v>-</v>
      </c>
      <c r="R547" s="4" t="str">
        <f>IFERROR(IF(O547&gt;0, P547/O547, 0),"-")</f>
        <v>-</v>
      </c>
      <c r="S547" s="34" t="s">
        <v>959</v>
      </c>
      <c r="T547" s="34" t="s">
        <v>959</v>
      </c>
      <c r="U547" s="34" t="s">
        <v>959</v>
      </c>
      <c r="V547" s="35" t="s">
        <v>959</v>
      </c>
      <c r="W547" s="35" t="s">
        <v>959</v>
      </c>
    </row>
    <row r="548" spans="1:23" x14ac:dyDescent="0.2">
      <c r="A548" s="29"/>
      <c r="B548" s="29" t="s">
        <v>133</v>
      </c>
      <c r="C548" s="32">
        <v>395</v>
      </c>
      <c r="D548" s="32">
        <v>390</v>
      </c>
      <c r="E548" s="32">
        <f>IF(OR(D548="-",D548="",D548=0),IF(C548="-","-",C548),C548-D548)</f>
        <v>5</v>
      </c>
      <c r="F548" s="36">
        <f>IFERROR(IF(C548&gt;0, D548/C548, 0),"-")</f>
        <v>0.98734177215189878</v>
      </c>
      <c r="G548" s="32">
        <v>1</v>
      </c>
      <c r="H548" s="32" t="s">
        <v>959</v>
      </c>
      <c r="I548" s="32">
        <f>IF(OR(H548="-",H548="",H548=0),IF(G548="-","-",G548),G548-H548)</f>
        <v>1</v>
      </c>
      <c r="J548" s="36" t="str">
        <f>IFERROR(IF(G548&gt;0, H548/G548, 0),"-")</f>
        <v>-</v>
      </c>
      <c r="K548" s="32" t="s">
        <v>959</v>
      </c>
      <c r="L548" s="32" t="s">
        <v>959</v>
      </c>
      <c r="M548" s="32" t="str">
        <f>IF(OR(L548="-",L548="",L548=0),IF(K548="-","-",K548),K548-L548)</f>
        <v>-</v>
      </c>
      <c r="N548" s="36" t="str">
        <f>IFERROR(IF(K548&gt;0, L548/K548, 0),"-")</f>
        <v>-</v>
      </c>
      <c r="O548" s="32">
        <v>2</v>
      </c>
      <c r="P548" s="32" t="s">
        <v>959</v>
      </c>
      <c r="Q548" s="32">
        <f>IF(OR(P548="-",P548="",P548=0),IF(O548="-","-",O548),O548-P548)</f>
        <v>2</v>
      </c>
      <c r="R548" s="36" t="str">
        <f>IFERROR(IF(O548&gt;0, P548/O548, 0),"-")</f>
        <v>-</v>
      </c>
      <c r="S548" s="32" t="s">
        <v>959</v>
      </c>
      <c r="T548" s="32" t="s">
        <v>959</v>
      </c>
      <c r="U548" s="32" t="s">
        <v>959</v>
      </c>
      <c r="V548" s="32" t="s">
        <v>959</v>
      </c>
      <c r="W548" s="32" t="s">
        <v>959</v>
      </c>
    </row>
    <row r="549" spans="1:23" x14ac:dyDescent="0.2">
      <c r="A549" s="30" t="s">
        <v>932</v>
      </c>
      <c r="B549" s="30" t="s">
        <v>1248</v>
      </c>
      <c r="C549" s="34">
        <v>84</v>
      </c>
      <c r="D549" s="35">
        <v>84</v>
      </c>
      <c r="E549" s="34">
        <f>IF(OR(D549="-",D549="",D549=0),IF(C549="-","-",C549),C549-D549)</f>
        <v>0</v>
      </c>
      <c r="F549" s="4">
        <f>IFERROR(IF(C549&gt;0, D549/C549, 0),"-")</f>
        <v>1</v>
      </c>
      <c r="G549" s="34" t="s">
        <v>959</v>
      </c>
      <c r="H549" s="35" t="s">
        <v>959</v>
      </c>
      <c r="I549" s="34" t="str">
        <f>IF(OR(H549="-",H549="",H549=0),IF(G549="-","-",G549),G549-H549)</f>
        <v>-</v>
      </c>
      <c r="J549" s="4" t="str">
        <f>IFERROR(IF(G549&gt;0, H549/G549, 0),"-")</f>
        <v>-</v>
      </c>
      <c r="K549" s="34" t="s">
        <v>959</v>
      </c>
      <c r="L549" s="35" t="s">
        <v>959</v>
      </c>
      <c r="M549" s="34" t="str">
        <f>IF(OR(L549="-",L549="",L549=0),IF(K549="-","-",K549),K549-L549)</f>
        <v>-</v>
      </c>
      <c r="N549" s="4" t="str">
        <f>IFERROR(IF(K549&gt;0, L549/K549, 0),"-")</f>
        <v>-</v>
      </c>
      <c r="O549" s="34">
        <v>1</v>
      </c>
      <c r="P549" s="35" t="s">
        <v>959</v>
      </c>
      <c r="Q549" s="34">
        <f>IF(OR(P549="-",P549="",P549=0),IF(O549="-","-",O549),O549-P549)</f>
        <v>1</v>
      </c>
      <c r="R549" s="4" t="str">
        <f>IFERROR(IF(O549&gt;0, P549/O549, 0),"-")</f>
        <v>-</v>
      </c>
      <c r="S549" s="34" t="s">
        <v>959</v>
      </c>
      <c r="T549" s="34" t="s">
        <v>959</v>
      </c>
      <c r="U549" s="34" t="s">
        <v>959</v>
      </c>
      <c r="V549" s="35" t="s">
        <v>959</v>
      </c>
      <c r="W549" s="35" t="s">
        <v>959</v>
      </c>
    </row>
    <row r="550" spans="1:23" x14ac:dyDescent="0.2">
      <c r="A550" s="30" t="s">
        <v>930</v>
      </c>
      <c r="B550" s="30" t="s">
        <v>1249</v>
      </c>
      <c r="C550" s="34">
        <v>96</v>
      </c>
      <c r="D550" s="35">
        <v>92</v>
      </c>
      <c r="E550" s="34">
        <f>IF(OR(D550="-",D550="",D550=0),IF(C550="-","-",C550),C550-D550)</f>
        <v>4</v>
      </c>
      <c r="F550" s="4">
        <f>IFERROR(IF(C550&gt;0, D550/C550, 0),"-")</f>
        <v>0.95833333333333337</v>
      </c>
      <c r="G550" s="34" t="s">
        <v>959</v>
      </c>
      <c r="H550" s="35" t="s">
        <v>959</v>
      </c>
      <c r="I550" s="34" t="str">
        <f>IF(OR(H550="-",H550="",H550=0),IF(G550="-","-",G550),G550-H550)</f>
        <v>-</v>
      </c>
      <c r="J550" s="4" t="str">
        <f>IFERROR(IF(G550&gt;0, H550/G550, 0),"-")</f>
        <v>-</v>
      </c>
      <c r="K550" s="34" t="s">
        <v>959</v>
      </c>
      <c r="L550" s="35" t="s">
        <v>959</v>
      </c>
      <c r="M550" s="34" t="str">
        <f>IF(OR(L550="-",L550="",L550=0),IF(K550="-","-",K550),K550-L550)</f>
        <v>-</v>
      </c>
      <c r="N550" s="4" t="str">
        <f>IFERROR(IF(K550&gt;0, L550/K550, 0),"-")</f>
        <v>-</v>
      </c>
      <c r="O550" s="34" t="s">
        <v>959</v>
      </c>
      <c r="P550" s="35" t="s">
        <v>959</v>
      </c>
      <c r="Q550" s="34" t="str">
        <f>IF(OR(P550="-",P550="",P550=0),IF(O550="-","-",O550),O550-P550)</f>
        <v>-</v>
      </c>
      <c r="R550" s="4" t="str">
        <f>IFERROR(IF(O550&gt;0, P550/O550, 0),"-")</f>
        <v>-</v>
      </c>
      <c r="S550" s="34" t="s">
        <v>959</v>
      </c>
      <c r="T550" s="34" t="s">
        <v>959</v>
      </c>
      <c r="U550" s="34" t="s">
        <v>959</v>
      </c>
      <c r="V550" s="35" t="s">
        <v>959</v>
      </c>
      <c r="W550" s="35" t="s">
        <v>959</v>
      </c>
    </row>
    <row r="551" spans="1:23" x14ac:dyDescent="0.2">
      <c r="A551" s="30" t="s">
        <v>929</v>
      </c>
      <c r="B551" s="30" t="s">
        <v>1250</v>
      </c>
      <c r="C551" s="34">
        <v>74</v>
      </c>
      <c r="D551" s="35">
        <v>74</v>
      </c>
      <c r="E551" s="34">
        <f>IF(OR(D551="-",D551="",D551=0),IF(C551="-","-",C551),C551-D551)</f>
        <v>0</v>
      </c>
      <c r="F551" s="4">
        <f>IFERROR(IF(C551&gt;0, D551/C551, 0),"-")</f>
        <v>1</v>
      </c>
      <c r="G551" s="34" t="s">
        <v>959</v>
      </c>
      <c r="H551" s="35" t="s">
        <v>959</v>
      </c>
      <c r="I551" s="34" t="str">
        <f>IF(OR(H551="-",H551="",H551=0),IF(G551="-","-",G551),G551-H551)</f>
        <v>-</v>
      </c>
      <c r="J551" s="4" t="str">
        <f>IFERROR(IF(G551&gt;0, H551/G551, 0),"-")</f>
        <v>-</v>
      </c>
      <c r="K551" s="34" t="s">
        <v>959</v>
      </c>
      <c r="L551" s="35" t="s">
        <v>959</v>
      </c>
      <c r="M551" s="34" t="str">
        <f>IF(OR(L551="-",L551="",L551=0),IF(K551="-","-",K551),K551-L551)</f>
        <v>-</v>
      </c>
      <c r="N551" s="4" t="str">
        <f>IFERROR(IF(K551&gt;0, L551/K551, 0),"-")</f>
        <v>-</v>
      </c>
      <c r="O551" s="34" t="s">
        <v>959</v>
      </c>
      <c r="P551" s="35" t="s">
        <v>959</v>
      </c>
      <c r="Q551" s="34" t="str">
        <f>IF(OR(P551="-",P551="",P551=0),IF(O551="-","-",O551),O551-P551)</f>
        <v>-</v>
      </c>
      <c r="R551" s="4" t="str">
        <f>IFERROR(IF(O551&gt;0, P551/O551, 0),"-")</f>
        <v>-</v>
      </c>
      <c r="S551" s="34" t="s">
        <v>959</v>
      </c>
      <c r="T551" s="34" t="s">
        <v>959</v>
      </c>
      <c r="U551" s="34" t="s">
        <v>959</v>
      </c>
      <c r="V551" s="35" t="s">
        <v>959</v>
      </c>
      <c r="W551" s="35" t="s">
        <v>959</v>
      </c>
    </row>
    <row r="552" spans="1:23" x14ac:dyDescent="0.2">
      <c r="A552" s="30" t="s">
        <v>936</v>
      </c>
      <c r="B552" s="30" t="s">
        <v>1251</v>
      </c>
      <c r="C552" s="34">
        <v>17</v>
      </c>
      <c r="D552" s="35">
        <v>17</v>
      </c>
      <c r="E552" s="34">
        <f>IF(OR(D552="-",D552="",D552=0),IF(C552="-","-",C552),C552-D552)</f>
        <v>0</v>
      </c>
      <c r="F552" s="4">
        <f>IFERROR(IF(C552&gt;0, D552/C552, 0),"-")</f>
        <v>1</v>
      </c>
      <c r="G552" s="34" t="s">
        <v>959</v>
      </c>
      <c r="H552" s="35" t="s">
        <v>959</v>
      </c>
      <c r="I552" s="34" t="str">
        <f>IF(OR(H552="-",H552="",H552=0),IF(G552="-","-",G552),G552-H552)</f>
        <v>-</v>
      </c>
      <c r="J552" s="4" t="str">
        <f>IFERROR(IF(G552&gt;0, H552/G552, 0),"-")</f>
        <v>-</v>
      </c>
      <c r="K552" s="34" t="s">
        <v>959</v>
      </c>
      <c r="L552" s="35" t="s">
        <v>959</v>
      </c>
      <c r="M552" s="34" t="str">
        <f>IF(OR(L552="-",L552="",L552=0),IF(K552="-","-",K552),K552-L552)</f>
        <v>-</v>
      </c>
      <c r="N552" s="4" t="str">
        <f>IFERROR(IF(K552&gt;0, L552/K552, 0),"-")</f>
        <v>-</v>
      </c>
      <c r="O552" s="34" t="s">
        <v>959</v>
      </c>
      <c r="P552" s="35" t="s">
        <v>959</v>
      </c>
      <c r="Q552" s="34" t="str">
        <f>IF(OR(P552="-",P552="",P552=0),IF(O552="-","-",O552),O552-P552)</f>
        <v>-</v>
      </c>
      <c r="R552" s="4" t="str">
        <f>IFERROR(IF(O552&gt;0, P552/O552, 0),"-")</f>
        <v>-</v>
      </c>
      <c r="S552" s="34" t="s">
        <v>959</v>
      </c>
      <c r="T552" s="34" t="s">
        <v>959</v>
      </c>
      <c r="U552" s="34" t="s">
        <v>959</v>
      </c>
      <c r="V552" s="35" t="s">
        <v>959</v>
      </c>
      <c r="W552" s="35" t="s">
        <v>959</v>
      </c>
    </row>
    <row r="553" spans="1:23" x14ac:dyDescent="0.2">
      <c r="A553" s="30" t="s">
        <v>934</v>
      </c>
      <c r="B553" s="30" t="s">
        <v>1252</v>
      </c>
      <c r="C553" s="34">
        <v>32</v>
      </c>
      <c r="D553" s="35">
        <v>32</v>
      </c>
      <c r="E553" s="34">
        <f>IF(OR(D553="-",D553="",D553=0),IF(C553="-","-",C553),C553-D553)</f>
        <v>0</v>
      </c>
      <c r="F553" s="4">
        <f>IFERROR(IF(C553&gt;0, D553/C553, 0),"-")</f>
        <v>1</v>
      </c>
      <c r="G553" s="34" t="s">
        <v>959</v>
      </c>
      <c r="H553" s="35" t="s">
        <v>959</v>
      </c>
      <c r="I553" s="34" t="str">
        <f>IF(OR(H553="-",H553="",H553=0),IF(G553="-","-",G553),G553-H553)</f>
        <v>-</v>
      </c>
      <c r="J553" s="4" t="str">
        <f>IFERROR(IF(G553&gt;0, H553/G553, 0),"-")</f>
        <v>-</v>
      </c>
      <c r="K553" s="34" t="s">
        <v>959</v>
      </c>
      <c r="L553" s="35" t="s">
        <v>959</v>
      </c>
      <c r="M553" s="34" t="str">
        <f>IF(OR(L553="-",L553="",L553=0),IF(K553="-","-",K553),K553-L553)</f>
        <v>-</v>
      </c>
      <c r="N553" s="4" t="str">
        <f>IFERROR(IF(K553&gt;0, L553/K553, 0),"-")</f>
        <v>-</v>
      </c>
      <c r="O553" s="34">
        <v>1</v>
      </c>
      <c r="P553" s="35" t="s">
        <v>959</v>
      </c>
      <c r="Q553" s="34">
        <f>IF(OR(P553="-",P553="",P553=0),IF(O553="-","-",O553),O553-P553)</f>
        <v>1</v>
      </c>
      <c r="R553" s="4" t="str">
        <f>IFERROR(IF(O553&gt;0, P553/O553, 0),"-")</f>
        <v>-</v>
      </c>
      <c r="S553" s="34" t="s">
        <v>959</v>
      </c>
      <c r="T553" s="34" t="s">
        <v>959</v>
      </c>
      <c r="U553" s="34" t="s">
        <v>959</v>
      </c>
      <c r="V553" s="35" t="s">
        <v>959</v>
      </c>
      <c r="W553" s="35" t="s">
        <v>959</v>
      </c>
    </row>
    <row r="554" spans="1:23" x14ac:dyDescent="0.2">
      <c r="A554" s="30" t="s">
        <v>933</v>
      </c>
      <c r="B554" s="30" t="s">
        <v>1253</v>
      </c>
      <c r="C554" s="34">
        <v>44</v>
      </c>
      <c r="D554" s="35">
        <v>43</v>
      </c>
      <c r="E554" s="34">
        <f>IF(OR(D554="-",D554="",D554=0),IF(C554="-","-",C554),C554-D554)</f>
        <v>1</v>
      </c>
      <c r="F554" s="4">
        <f>IFERROR(IF(C554&gt;0, D554/C554, 0),"-")</f>
        <v>0.97727272727272729</v>
      </c>
      <c r="G554" s="34">
        <v>1</v>
      </c>
      <c r="H554" s="35" t="s">
        <v>959</v>
      </c>
      <c r="I554" s="34">
        <f>IF(OR(H554="-",H554="",H554=0),IF(G554="-","-",G554),G554-H554)</f>
        <v>1</v>
      </c>
      <c r="J554" s="4" t="str">
        <f>IFERROR(IF(G554&gt;0, H554/G554, 0),"-")</f>
        <v>-</v>
      </c>
      <c r="K554" s="34" t="s">
        <v>959</v>
      </c>
      <c r="L554" s="35" t="s">
        <v>959</v>
      </c>
      <c r="M554" s="34" t="str">
        <f>IF(OR(L554="-",L554="",L554=0),IF(K554="-","-",K554),K554-L554)</f>
        <v>-</v>
      </c>
      <c r="N554" s="4" t="str">
        <f>IFERROR(IF(K554&gt;0, L554/K554, 0),"-")</f>
        <v>-</v>
      </c>
      <c r="O554" s="34" t="s">
        <v>959</v>
      </c>
      <c r="P554" s="35" t="s">
        <v>959</v>
      </c>
      <c r="Q554" s="34" t="str">
        <f>IF(OR(P554="-",P554="",P554=0),IF(O554="-","-",O554),O554-P554)</f>
        <v>-</v>
      </c>
      <c r="R554" s="4" t="str">
        <f>IFERROR(IF(O554&gt;0, P554/O554, 0),"-")</f>
        <v>-</v>
      </c>
      <c r="S554" s="34" t="s">
        <v>959</v>
      </c>
      <c r="T554" s="34" t="s">
        <v>959</v>
      </c>
      <c r="U554" s="34" t="s">
        <v>959</v>
      </c>
      <c r="V554" s="35" t="s">
        <v>959</v>
      </c>
      <c r="W554" s="35" t="s">
        <v>959</v>
      </c>
    </row>
    <row r="555" spans="1:23" x14ac:dyDescent="0.2">
      <c r="A555" s="30" t="s">
        <v>931</v>
      </c>
      <c r="B555" s="30" t="s">
        <v>989</v>
      </c>
      <c r="C555" s="34">
        <v>48</v>
      </c>
      <c r="D555" s="35">
        <v>48</v>
      </c>
      <c r="E555" s="34">
        <f>IF(OR(D555="-",D555="",D555=0),IF(C555="-","-",C555),C555-D555)</f>
        <v>0</v>
      </c>
      <c r="F555" s="4">
        <f>IFERROR(IF(C555&gt;0, D555/C555, 0),"-")</f>
        <v>1</v>
      </c>
      <c r="G555" s="34" t="s">
        <v>959</v>
      </c>
      <c r="H555" s="35" t="s">
        <v>959</v>
      </c>
      <c r="I555" s="34" t="str">
        <f>IF(OR(H555="-",H555="",H555=0),IF(G555="-","-",G555),G555-H555)</f>
        <v>-</v>
      </c>
      <c r="J555" s="4" t="str">
        <f>IFERROR(IF(G555&gt;0, H555/G555, 0),"-")</f>
        <v>-</v>
      </c>
      <c r="K555" s="34" t="s">
        <v>959</v>
      </c>
      <c r="L555" s="35" t="s">
        <v>959</v>
      </c>
      <c r="M555" s="34" t="str">
        <f>IF(OR(L555="-",L555="",L555=0),IF(K555="-","-",K555),K555-L555)</f>
        <v>-</v>
      </c>
      <c r="N555" s="4" t="str">
        <f>IFERROR(IF(K555&gt;0, L555/K555, 0),"-")</f>
        <v>-</v>
      </c>
      <c r="O555" s="34" t="s">
        <v>959</v>
      </c>
      <c r="P555" s="35" t="s">
        <v>959</v>
      </c>
      <c r="Q555" s="34" t="str">
        <f>IF(OR(P555="-",P555="",P555=0),IF(O555="-","-",O555),O555-P555)</f>
        <v>-</v>
      </c>
      <c r="R555" s="4" t="str">
        <f>IFERROR(IF(O555&gt;0, P555/O555, 0),"-")</f>
        <v>-</v>
      </c>
      <c r="S555" s="34" t="s">
        <v>959</v>
      </c>
      <c r="T555" s="34" t="s">
        <v>959</v>
      </c>
      <c r="U555" s="34" t="s">
        <v>959</v>
      </c>
      <c r="V555" s="35" t="s">
        <v>959</v>
      </c>
      <c r="W555" s="35" t="s">
        <v>959</v>
      </c>
    </row>
    <row r="556" spans="1:23" x14ac:dyDescent="0.2">
      <c r="A556" s="29"/>
      <c r="B556" s="29" t="s">
        <v>108</v>
      </c>
      <c r="C556" s="32">
        <v>550</v>
      </c>
      <c r="D556" s="32">
        <v>545</v>
      </c>
      <c r="E556" s="32">
        <f>IF(OR(D556="-",D556="",D556=0),IF(C556="-","-",C556),C556-D556)</f>
        <v>5</v>
      </c>
      <c r="F556" s="36">
        <f>IFERROR(IF(C556&gt;0, D556/C556, 0),"-")</f>
        <v>0.99090909090909096</v>
      </c>
      <c r="G556" s="32" t="s">
        <v>959</v>
      </c>
      <c r="H556" s="32" t="s">
        <v>959</v>
      </c>
      <c r="I556" s="32" t="str">
        <f>IF(OR(H556="-",H556="",H556=0),IF(G556="-","-",G556),G556-H556)</f>
        <v>-</v>
      </c>
      <c r="J556" s="36" t="str">
        <f>IFERROR(IF(G556&gt;0, H556/G556, 0),"-")</f>
        <v>-</v>
      </c>
      <c r="K556" s="32">
        <v>3</v>
      </c>
      <c r="L556" s="32" t="s">
        <v>959</v>
      </c>
      <c r="M556" s="32">
        <f>IF(OR(L556="-",L556="",L556=0),IF(K556="-","-",K556),K556-L556)</f>
        <v>3</v>
      </c>
      <c r="N556" s="36" t="str">
        <f>IFERROR(IF(K556&gt;0, L556/K556, 0),"-")</f>
        <v>-</v>
      </c>
      <c r="O556" s="32">
        <v>1</v>
      </c>
      <c r="P556" s="32" t="s">
        <v>959</v>
      </c>
      <c r="Q556" s="32">
        <f>IF(OR(P556="-",P556="",P556=0),IF(O556="-","-",O556),O556-P556)</f>
        <v>1</v>
      </c>
      <c r="R556" s="36" t="str">
        <f>IFERROR(IF(O556&gt;0, P556/O556, 0),"-")</f>
        <v>-</v>
      </c>
      <c r="S556" s="32" t="s">
        <v>959</v>
      </c>
      <c r="T556" s="32" t="s">
        <v>959</v>
      </c>
      <c r="U556" s="32" t="s">
        <v>959</v>
      </c>
      <c r="V556" s="32" t="s">
        <v>959</v>
      </c>
      <c r="W556" s="32" t="s">
        <v>959</v>
      </c>
    </row>
    <row r="557" spans="1:23" x14ac:dyDescent="0.2">
      <c r="A557" s="30" t="s">
        <v>781</v>
      </c>
      <c r="B557" s="30" t="s">
        <v>1254</v>
      </c>
      <c r="C557" s="34">
        <v>44</v>
      </c>
      <c r="D557" s="35">
        <v>44</v>
      </c>
      <c r="E557" s="34">
        <f>IF(OR(D557="-",D557="",D557=0),IF(C557="-","-",C557),C557-D557)</f>
        <v>0</v>
      </c>
      <c r="F557" s="4">
        <f>IFERROR(IF(C557&gt;0, D557/C557, 0),"-")</f>
        <v>1</v>
      </c>
      <c r="G557" s="34" t="s">
        <v>959</v>
      </c>
      <c r="H557" s="35" t="s">
        <v>959</v>
      </c>
      <c r="I557" s="34" t="str">
        <f>IF(OR(H557="-",H557="",H557=0),IF(G557="-","-",G557),G557-H557)</f>
        <v>-</v>
      </c>
      <c r="J557" s="4" t="str">
        <f>IFERROR(IF(G557&gt;0, H557/G557, 0),"-")</f>
        <v>-</v>
      </c>
      <c r="K557" s="34" t="s">
        <v>959</v>
      </c>
      <c r="L557" s="35" t="s">
        <v>959</v>
      </c>
      <c r="M557" s="34" t="str">
        <f>IF(OR(L557="-",L557="",L557=0),IF(K557="-","-",K557),K557-L557)</f>
        <v>-</v>
      </c>
      <c r="N557" s="4" t="str">
        <f>IFERROR(IF(K557&gt;0, L557/K557, 0),"-")</f>
        <v>-</v>
      </c>
      <c r="O557" s="34" t="s">
        <v>959</v>
      </c>
      <c r="P557" s="35" t="s">
        <v>959</v>
      </c>
      <c r="Q557" s="34" t="str">
        <f>IF(OR(P557="-",P557="",P557=0),IF(O557="-","-",O557),O557-P557)</f>
        <v>-</v>
      </c>
      <c r="R557" s="4" t="str">
        <f>IFERROR(IF(O557&gt;0, P557/O557, 0),"-")</f>
        <v>-</v>
      </c>
      <c r="S557" s="34" t="s">
        <v>959</v>
      </c>
      <c r="T557" s="34" t="s">
        <v>959</v>
      </c>
      <c r="U557" s="34" t="s">
        <v>959</v>
      </c>
      <c r="V557" s="35" t="s">
        <v>959</v>
      </c>
      <c r="W557" s="35" t="s">
        <v>959</v>
      </c>
    </row>
    <row r="558" spans="1:23" x14ac:dyDescent="0.2">
      <c r="A558" s="30" t="s">
        <v>780</v>
      </c>
      <c r="B558" s="30" t="s">
        <v>1255</v>
      </c>
      <c r="C558" s="34">
        <v>125</v>
      </c>
      <c r="D558" s="35">
        <v>125</v>
      </c>
      <c r="E558" s="34">
        <f>IF(OR(D558="-",D558="",D558=0),IF(C558="-","-",C558),C558-D558)</f>
        <v>0</v>
      </c>
      <c r="F558" s="4">
        <f>IFERROR(IF(C558&gt;0, D558/C558, 0),"-")</f>
        <v>1</v>
      </c>
      <c r="G558" s="34" t="s">
        <v>959</v>
      </c>
      <c r="H558" s="35" t="s">
        <v>959</v>
      </c>
      <c r="I558" s="34" t="str">
        <f>IF(OR(H558="-",H558="",H558=0),IF(G558="-","-",G558),G558-H558)</f>
        <v>-</v>
      </c>
      <c r="J558" s="4" t="str">
        <f>IFERROR(IF(G558&gt;0, H558/G558, 0),"-")</f>
        <v>-</v>
      </c>
      <c r="K558" s="34">
        <v>1</v>
      </c>
      <c r="L558" s="35" t="s">
        <v>959</v>
      </c>
      <c r="M558" s="34">
        <f>IF(OR(L558="-",L558="",L558=0),IF(K558="-","-",K558),K558-L558)</f>
        <v>1</v>
      </c>
      <c r="N558" s="4" t="str">
        <f>IFERROR(IF(K558&gt;0, L558/K558, 0),"-")</f>
        <v>-</v>
      </c>
      <c r="O558" s="34" t="s">
        <v>959</v>
      </c>
      <c r="P558" s="35" t="s">
        <v>959</v>
      </c>
      <c r="Q558" s="34" t="str">
        <f>IF(OR(P558="-",P558="",P558=0),IF(O558="-","-",O558),O558-P558)</f>
        <v>-</v>
      </c>
      <c r="R558" s="4" t="str">
        <f>IFERROR(IF(O558&gt;0, P558/O558, 0),"-")</f>
        <v>-</v>
      </c>
      <c r="S558" s="34" t="s">
        <v>959</v>
      </c>
      <c r="T558" s="34" t="s">
        <v>959</v>
      </c>
      <c r="U558" s="34" t="s">
        <v>959</v>
      </c>
      <c r="V558" s="35" t="s">
        <v>959</v>
      </c>
      <c r="W558" s="35" t="s">
        <v>959</v>
      </c>
    </row>
    <row r="559" spans="1:23" x14ac:dyDescent="0.2">
      <c r="A559" s="30" t="s">
        <v>776</v>
      </c>
      <c r="B559" s="30" t="s">
        <v>1256</v>
      </c>
      <c r="C559" s="34">
        <v>74</v>
      </c>
      <c r="D559" s="35">
        <v>74</v>
      </c>
      <c r="E559" s="34">
        <f>IF(OR(D559="-",D559="",D559=0),IF(C559="-","-",C559),C559-D559)</f>
        <v>0</v>
      </c>
      <c r="F559" s="4">
        <f>IFERROR(IF(C559&gt;0, D559/C559, 0),"-")</f>
        <v>1</v>
      </c>
      <c r="G559" s="34" t="s">
        <v>959</v>
      </c>
      <c r="H559" s="35" t="s">
        <v>959</v>
      </c>
      <c r="I559" s="34" t="str">
        <f>IF(OR(H559="-",H559="",H559=0),IF(G559="-","-",G559),G559-H559)</f>
        <v>-</v>
      </c>
      <c r="J559" s="4" t="str">
        <f>IFERROR(IF(G559&gt;0, H559/G559, 0),"-")</f>
        <v>-</v>
      </c>
      <c r="K559" s="34" t="s">
        <v>959</v>
      </c>
      <c r="L559" s="35" t="s">
        <v>959</v>
      </c>
      <c r="M559" s="34" t="str">
        <f>IF(OR(L559="-",L559="",L559=0),IF(K559="-","-",K559),K559-L559)</f>
        <v>-</v>
      </c>
      <c r="N559" s="4" t="str">
        <f>IFERROR(IF(K559&gt;0, L559/K559, 0),"-")</f>
        <v>-</v>
      </c>
      <c r="O559" s="34" t="s">
        <v>959</v>
      </c>
      <c r="P559" s="35" t="s">
        <v>959</v>
      </c>
      <c r="Q559" s="34" t="str">
        <f>IF(OR(P559="-",P559="",P559=0),IF(O559="-","-",O559),O559-P559)</f>
        <v>-</v>
      </c>
      <c r="R559" s="4" t="str">
        <f>IFERROR(IF(O559&gt;0, P559/O559, 0),"-")</f>
        <v>-</v>
      </c>
      <c r="S559" s="34" t="s">
        <v>959</v>
      </c>
      <c r="T559" s="34" t="s">
        <v>959</v>
      </c>
      <c r="U559" s="34" t="s">
        <v>959</v>
      </c>
      <c r="V559" s="35" t="s">
        <v>959</v>
      </c>
      <c r="W559" s="35" t="s">
        <v>959</v>
      </c>
    </row>
    <row r="560" spans="1:23" x14ac:dyDescent="0.2">
      <c r="A560" s="30" t="s">
        <v>775</v>
      </c>
      <c r="B560" s="30" t="s">
        <v>1257</v>
      </c>
      <c r="C560" s="34">
        <v>100</v>
      </c>
      <c r="D560" s="35">
        <v>100</v>
      </c>
      <c r="E560" s="34">
        <f>IF(OR(D560="-",D560="",D560=0),IF(C560="-","-",C560),C560-D560)</f>
        <v>0</v>
      </c>
      <c r="F560" s="4">
        <f>IFERROR(IF(C560&gt;0, D560/C560, 0),"-")</f>
        <v>1</v>
      </c>
      <c r="G560" s="34" t="s">
        <v>959</v>
      </c>
      <c r="H560" s="35" t="s">
        <v>959</v>
      </c>
      <c r="I560" s="34" t="str">
        <f>IF(OR(H560="-",H560="",H560=0),IF(G560="-","-",G560),G560-H560)</f>
        <v>-</v>
      </c>
      <c r="J560" s="4" t="str">
        <f>IFERROR(IF(G560&gt;0, H560/G560, 0),"-")</f>
        <v>-</v>
      </c>
      <c r="K560" s="34" t="s">
        <v>959</v>
      </c>
      <c r="L560" s="35" t="s">
        <v>959</v>
      </c>
      <c r="M560" s="34" t="str">
        <f>IF(OR(L560="-",L560="",L560=0),IF(K560="-","-",K560),K560-L560)</f>
        <v>-</v>
      </c>
      <c r="N560" s="4" t="str">
        <f>IFERROR(IF(K560&gt;0, L560/K560, 0),"-")</f>
        <v>-</v>
      </c>
      <c r="O560" s="34" t="s">
        <v>959</v>
      </c>
      <c r="P560" s="35" t="s">
        <v>959</v>
      </c>
      <c r="Q560" s="34" t="str">
        <f>IF(OR(P560="-",P560="",P560=0),IF(O560="-","-",O560),O560-P560)</f>
        <v>-</v>
      </c>
      <c r="R560" s="4" t="str">
        <f>IFERROR(IF(O560&gt;0, P560/O560, 0),"-")</f>
        <v>-</v>
      </c>
      <c r="S560" s="34" t="s">
        <v>959</v>
      </c>
      <c r="T560" s="34" t="s">
        <v>959</v>
      </c>
      <c r="U560" s="34" t="s">
        <v>959</v>
      </c>
      <c r="V560" s="35" t="s">
        <v>959</v>
      </c>
      <c r="W560" s="35" t="s">
        <v>959</v>
      </c>
    </row>
    <row r="561" spans="1:23" x14ac:dyDescent="0.2">
      <c r="A561" s="30" t="s">
        <v>779</v>
      </c>
      <c r="B561" s="30" t="s">
        <v>989</v>
      </c>
      <c r="C561" s="34">
        <v>74</v>
      </c>
      <c r="D561" s="35">
        <v>73</v>
      </c>
      <c r="E561" s="34">
        <f>IF(OR(D561="-",D561="",D561=0),IF(C561="-","-",C561),C561-D561)</f>
        <v>1</v>
      </c>
      <c r="F561" s="4">
        <f>IFERROR(IF(C561&gt;0, D561/C561, 0),"-")</f>
        <v>0.98648648648648651</v>
      </c>
      <c r="G561" s="34" t="s">
        <v>959</v>
      </c>
      <c r="H561" s="35" t="s">
        <v>959</v>
      </c>
      <c r="I561" s="34" t="str">
        <f>IF(OR(H561="-",H561="",H561=0),IF(G561="-","-",G561),G561-H561)</f>
        <v>-</v>
      </c>
      <c r="J561" s="4" t="str">
        <f>IFERROR(IF(G561&gt;0, H561/G561, 0),"-")</f>
        <v>-</v>
      </c>
      <c r="K561" s="34">
        <v>1</v>
      </c>
      <c r="L561" s="35" t="s">
        <v>959</v>
      </c>
      <c r="M561" s="34">
        <f>IF(OR(L561="-",L561="",L561=0),IF(K561="-","-",K561),K561-L561)</f>
        <v>1</v>
      </c>
      <c r="N561" s="4" t="str">
        <f>IFERROR(IF(K561&gt;0, L561/K561, 0),"-")</f>
        <v>-</v>
      </c>
      <c r="O561" s="34" t="s">
        <v>959</v>
      </c>
      <c r="P561" s="35" t="s">
        <v>959</v>
      </c>
      <c r="Q561" s="34" t="str">
        <f>IF(OR(P561="-",P561="",P561=0),IF(O561="-","-",O561),O561-P561)</f>
        <v>-</v>
      </c>
      <c r="R561" s="4" t="str">
        <f>IFERROR(IF(O561&gt;0, P561/O561, 0),"-")</f>
        <v>-</v>
      </c>
      <c r="S561" s="34" t="s">
        <v>959</v>
      </c>
      <c r="T561" s="34" t="s">
        <v>959</v>
      </c>
      <c r="U561" s="34" t="s">
        <v>959</v>
      </c>
      <c r="V561" s="35" t="s">
        <v>959</v>
      </c>
      <c r="W561" s="35" t="s">
        <v>959</v>
      </c>
    </row>
    <row r="562" spans="1:23" x14ac:dyDescent="0.2">
      <c r="A562" s="30" t="s">
        <v>777</v>
      </c>
      <c r="B562" s="30" t="s">
        <v>1258</v>
      </c>
      <c r="C562" s="34">
        <v>66</v>
      </c>
      <c r="D562" s="35">
        <v>63</v>
      </c>
      <c r="E562" s="34">
        <f>IF(OR(D562="-",D562="",D562=0),IF(C562="-","-",C562),C562-D562)</f>
        <v>3</v>
      </c>
      <c r="F562" s="4">
        <f>IFERROR(IF(C562&gt;0, D562/C562, 0),"-")</f>
        <v>0.95454545454545459</v>
      </c>
      <c r="G562" s="34" t="s">
        <v>959</v>
      </c>
      <c r="H562" s="35" t="s">
        <v>959</v>
      </c>
      <c r="I562" s="34" t="str">
        <f>IF(OR(H562="-",H562="",H562=0),IF(G562="-","-",G562),G562-H562)</f>
        <v>-</v>
      </c>
      <c r="J562" s="4" t="str">
        <f>IFERROR(IF(G562&gt;0, H562/G562, 0),"-")</f>
        <v>-</v>
      </c>
      <c r="K562" s="34">
        <v>1</v>
      </c>
      <c r="L562" s="35" t="s">
        <v>959</v>
      </c>
      <c r="M562" s="34">
        <f>IF(OR(L562="-",L562="",L562=0),IF(K562="-","-",K562),K562-L562)</f>
        <v>1</v>
      </c>
      <c r="N562" s="4" t="str">
        <f>IFERROR(IF(K562&gt;0, L562/K562, 0),"-")</f>
        <v>-</v>
      </c>
      <c r="O562" s="34">
        <v>1</v>
      </c>
      <c r="P562" s="35" t="s">
        <v>959</v>
      </c>
      <c r="Q562" s="34">
        <f>IF(OR(P562="-",P562="",P562=0),IF(O562="-","-",O562),O562-P562)</f>
        <v>1</v>
      </c>
      <c r="R562" s="4" t="str">
        <f>IFERROR(IF(O562&gt;0, P562/O562, 0),"-")</f>
        <v>-</v>
      </c>
      <c r="S562" s="34" t="s">
        <v>959</v>
      </c>
      <c r="T562" s="34" t="s">
        <v>959</v>
      </c>
      <c r="U562" s="34" t="s">
        <v>959</v>
      </c>
      <c r="V562" s="35" t="s">
        <v>959</v>
      </c>
      <c r="W562" s="35" t="s">
        <v>959</v>
      </c>
    </row>
    <row r="563" spans="1:23" x14ac:dyDescent="0.2">
      <c r="A563" s="30" t="s">
        <v>778</v>
      </c>
      <c r="B563" s="30" t="s">
        <v>1259</v>
      </c>
      <c r="C563" s="34">
        <v>67</v>
      </c>
      <c r="D563" s="35">
        <v>66</v>
      </c>
      <c r="E563" s="34">
        <f>IF(OR(D563="-",D563="",D563=0),IF(C563="-","-",C563),C563-D563)</f>
        <v>1</v>
      </c>
      <c r="F563" s="4">
        <f>IFERROR(IF(C563&gt;0, D563/C563, 0),"-")</f>
        <v>0.9850746268656716</v>
      </c>
      <c r="G563" s="34" t="s">
        <v>959</v>
      </c>
      <c r="H563" s="35" t="s">
        <v>959</v>
      </c>
      <c r="I563" s="34" t="str">
        <f>IF(OR(H563="-",H563="",H563=0),IF(G563="-","-",G563),G563-H563)</f>
        <v>-</v>
      </c>
      <c r="J563" s="4" t="str">
        <f>IFERROR(IF(G563&gt;0, H563/G563, 0),"-")</f>
        <v>-</v>
      </c>
      <c r="K563" s="34" t="s">
        <v>959</v>
      </c>
      <c r="L563" s="35" t="s">
        <v>959</v>
      </c>
      <c r="M563" s="34" t="str">
        <f>IF(OR(L563="-",L563="",L563=0),IF(K563="-","-",K563),K563-L563)</f>
        <v>-</v>
      </c>
      <c r="N563" s="4" t="str">
        <f>IFERROR(IF(K563&gt;0, L563/K563, 0),"-")</f>
        <v>-</v>
      </c>
      <c r="O563" s="34" t="s">
        <v>959</v>
      </c>
      <c r="P563" s="35" t="s">
        <v>959</v>
      </c>
      <c r="Q563" s="34" t="str">
        <f>IF(OR(P563="-",P563="",P563=0),IF(O563="-","-",O563),O563-P563)</f>
        <v>-</v>
      </c>
      <c r="R563" s="4" t="str">
        <f>IFERROR(IF(O563&gt;0, P563/O563, 0),"-")</f>
        <v>-</v>
      </c>
      <c r="S563" s="34" t="s">
        <v>959</v>
      </c>
      <c r="T563" s="34" t="s">
        <v>959</v>
      </c>
      <c r="U563" s="34" t="s">
        <v>959</v>
      </c>
      <c r="V563" s="35" t="s">
        <v>959</v>
      </c>
      <c r="W563" s="35" t="s">
        <v>959</v>
      </c>
    </row>
    <row r="564" spans="1:23" x14ac:dyDescent="0.2">
      <c r="A564" s="29"/>
      <c r="B564" s="29" t="s">
        <v>85</v>
      </c>
      <c r="C564" s="32">
        <v>424</v>
      </c>
      <c r="D564" s="32">
        <v>406</v>
      </c>
      <c r="E564" s="32">
        <f>IF(OR(D564="-",D564="",D564=0),IF(C564="-","-",C564),C564-D564)</f>
        <v>18</v>
      </c>
      <c r="F564" s="36">
        <f>IFERROR(IF(C564&gt;0, D564/C564, 0),"-")</f>
        <v>0.95754716981132071</v>
      </c>
      <c r="G564" s="32">
        <v>4</v>
      </c>
      <c r="H564" s="32">
        <v>2</v>
      </c>
      <c r="I564" s="32">
        <f>IF(OR(H564="-",H564="",H564=0),IF(G564="-","-",G564),G564-H564)</f>
        <v>2</v>
      </c>
      <c r="J564" s="36">
        <f>IFERROR(IF(G564&gt;0, H564/G564, 0),"-")</f>
        <v>0.5</v>
      </c>
      <c r="K564" s="32">
        <v>4</v>
      </c>
      <c r="L564" s="32" t="s">
        <v>959</v>
      </c>
      <c r="M564" s="32">
        <f>IF(OR(L564="-",L564="",L564=0),IF(K564="-","-",K564),K564-L564)</f>
        <v>4</v>
      </c>
      <c r="N564" s="36" t="str">
        <f>IFERROR(IF(K564&gt;0, L564/K564, 0),"-")</f>
        <v>-</v>
      </c>
      <c r="O564" s="32">
        <v>4</v>
      </c>
      <c r="P564" s="32" t="s">
        <v>959</v>
      </c>
      <c r="Q564" s="32">
        <f>IF(OR(P564="-",P564="",P564=0),IF(O564="-","-",O564),O564-P564)</f>
        <v>4</v>
      </c>
      <c r="R564" s="36" t="str">
        <f>IFERROR(IF(O564&gt;0, P564/O564, 0),"-")</f>
        <v>-</v>
      </c>
      <c r="S564" s="32">
        <v>6</v>
      </c>
      <c r="T564" s="32" t="s">
        <v>959</v>
      </c>
      <c r="U564" s="32" t="s">
        <v>959</v>
      </c>
      <c r="V564" s="32" t="s">
        <v>959</v>
      </c>
      <c r="W564" s="32" t="s">
        <v>959</v>
      </c>
    </row>
    <row r="565" spans="1:23" x14ac:dyDescent="0.2">
      <c r="A565" s="30" t="s">
        <v>577</v>
      </c>
      <c r="B565" s="30" t="s">
        <v>1260</v>
      </c>
      <c r="C565" s="34">
        <v>24</v>
      </c>
      <c r="D565" s="35">
        <v>23</v>
      </c>
      <c r="E565" s="34">
        <f>IF(OR(D565="-",D565="",D565=0),IF(C565="-","-",C565),C565-D565)</f>
        <v>1</v>
      </c>
      <c r="F565" s="4">
        <f>IFERROR(IF(C565&gt;0, D565/C565, 0),"-")</f>
        <v>0.95833333333333337</v>
      </c>
      <c r="G565" s="34">
        <v>1</v>
      </c>
      <c r="H565" s="35">
        <v>1</v>
      </c>
      <c r="I565" s="34">
        <f>IF(OR(H565="-",H565="",H565=0),IF(G565="-","-",G565),G565-H565)</f>
        <v>0</v>
      </c>
      <c r="J565" s="4">
        <f>IFERROR(IF(G565&gt;0, H565/G565, 0),"-")</f>
        <v>1</v>
      </c>
      <c r="K565" s="34" t="s">
        <v>959</v>
      </c>
      <c r="L565" s="35" t="s">
        <v>959</v>
      </c>
      <c r="M565" s="34" t="str">
        <f>IF(OR(L565="-",L565="",L565=0),IF(K565="-","-",K565),K565-L565)</f>
        <v>-</v>
      </c>
      <c r="N565" s="4" t="str">
        <f>IFERROR(IF(K565&gt;0, L565/K565, 0),"-")</f>
        <v>-</v>
      </c>
      <c r="O565" s="34" t="s">
        <v>959</v>
      </c>
      <c r="P565" s="35" t="s">
        <v>959</v>
      </c>
      <c r="Q565" s="34" t="str">
        <f>IF(OR(P565="-",P565="",P565=0),IF(O565="-","-",O565),O565-P565)</f>
        <v>-</v>
      </c>
      <c r="R565" s="4" t="str">
        <f>IFERROR(IF(O565&gt;0, P565/O565, 0),"-")</f>
        <v>-</v>
      </c>
      <c r="S565" s="34" t="s">
        <v>959</v>
      </c>
      <c r="T565" s="34" t="s">
        <v>959</v>
      </c>
      <c r="U565" s="34" t="s">
        <v>959</v>
      </c>
      <c r="V565" s="35" t="s">
        <v>959</v>
      </c>
      <c r="W565" s="35" t="s">
        <v>959</v>
      </c>
    </row>
    <row r="566" spans="1:23" x14ac:dyDescent="0.2">
      <c r="A566" s="30" t="s">
        <v>569</v>
      </c>
      <c r="B566" s="30" t="s">
        <v>1261</v>
      </c>
      <c r="C566" s="34">
        <v>25</v>
      </c>
      <c r="D566" s="35">
        <v>25</v>
      </c>
      <c r="E566" s="34">
        <f>IF(OR(D566="-",D566="",D566=0),IF(C566="-","-",C566),C566-D566)</f>
        <v>0</v>
      </c>
      <c r="F566" s="4">
        <f>IFERROR(IF(C566&gt;0, D566/C566, 0),"-")</f>
        <v>1</v>
      </c>
      <c r="G566" s="34" t="s">
        <v>959</v>
      </c>
      <c r="H566" s="35" t="s">
        <v>959</v>
      </c>
      <c r="I566" s="34" t="str">
        <f>IF(OR(H566="-",H566="",H566=0),IF(G566="-","-",G566),G566-H566)</f>
        <v>-</v>
      </c>
      <c r="J566" s="4" t="str">
        <f>IFERROR(IF(G566&gt;0, H566/G566, 0),"-")</f>
        <v>-</v>
      </c>
      <c r="K566" s="34" t="s">
        <v>959</v>
      </c>
      <c r="L566" s="35" t="s">
        <v>959</v>
      </c>
      <c r="M566" s="34" t="str">
        <f>IF(OR(L566="-",L566="",L566=0),IF(K566="-","-",K566),K566-L566)</f>
        <v>-</v>
      </c>
      <c r="N566" s="4" t="str">
        <f>IFERROR(IF(K566&gt;0, L566/K566, 0),"-")</f>
        <v>-</v>
      </c>
      <c r="O566" s="34" t="s">
        <v>959</v>
      </c>
      <c r="P566" s="35" t="s">
        <v>959</v>
      </c>
      <c r="Q566" s="34" t="str">
        <f>IF(OR(P566="-",P566="",P566=0),IF(O566="-","-",O566),O566-P566)</f>
        <v>-</v>
      </c>
      <c r="R566" s="4" t="str">
        <f>IFERROR(IF(O566&gt;0, P566/O566, 0),"-")</f>
        <v>-</v>
      </c>
      <c r="S566" s="34" t="s">
        <v>959</v>
      </c>
      <c r="T566" s="34" t="s">
        <v>959</v>
      </c>
      <c r="U566" s="34" t="s">
        <v>959</v>
      </c>
      <c r="V566" s="35" t="s">
        <v>959</v>
      </c>
      <c r="W566" s="35" t="s">
        <v>959</v>
      </c>
    </row>
    <row r="567" spans="1:23" x14ac:dyDescent="0.2">
      <c r="A567" s="30" t="s">
        <v>572</v>
      </c>
      <c r="B567" s="30" t="s">
        <v>1262</v>
      </c>
      <c r="C567" s="34">
        <v>50</v>
      </c>
      <c r="D567" s="35">
        <v>50</v>
      </c>
      <c r="E567" s="34">
        <f>IF(OR(D567="-",D567="",D567=0),IF(C567="-","-",C567),C567-D567)</f>
        <v>0</v>
      </c>
      <c r="F567" s="4">
        <f>IFERROR(IF(C567&gt;0, D567/C567, 0),"-")</f>
        <v>1</v>
      </c>
      <c r="G567" s="34" t="s">
        <v>959</v>
      </c>
      <c r="H567" s="35" t="s">
        <v>959</v>
      </c>
      <c r="I567" s="34" t="str">
        <f>IF(OR(H567="-",H567="",H567=0),IF(G567="-","-",G567),G567-H567)</f>
        <v>-</v>
      </c>
      <c r="J567" s="4" t="str">
        <f>IFERROR(IF(G567&gt;0, H567/G567, 0),"-")</f>
        <v>-</v>
      </c>
      <c r="K567" s="34" t="s">
        <v>959</v>
      </c>
      <c r="L567" s="35" t="s">
        <v>959</v>
      </c>
      <c r="M567" s="34" t="str">
        <f>IF(OR(L567="-",L567="",L567=0),IF(K567="-","-",K567),K567-L567)</f>
        <v>-</v>
      </c>
      <c r="N567" s="4" t="str">
        <f>IFERROR(IF(K567&gt;0, L567/K567, 0),"-")</f>
        <v>-</v>
      </c>
      <c r="O567" s="34" t="s">
        <v>959</v>
      </c>
      <c r="P567" s="35" t="s">
        <v>959</v>
      </c>
      <c r="Q567" s="34" t="str">
        <f>IF(OR(P567="-",P567="",P567=0),IF(O567="-","-",O567),O567-P567)</f>
        <v>-</v>
      </c>
      <c r="R567" s="4" t="str">
        <f>IFERROR(IF(O567&gt;0, P567/O567, 0),"-")</f>
        <v>-</v>
      </c>
      <c r="S567" s="34" t="s">
        <v>959</v>
      </c>
      <c r="T567" s="34" t="s">
        <v>959</v>
      </c>
      <c r="U567" s="34" t="s">
        <v>959</v>
      </c>
      <c r="V567" s="35" t="s">
        <v>959</v>
      </c>
      <c r="W567" s="35" t="s">
        <v>959</v>
      </c>
    </row>
    <row r="568" spans="1:23" x14ac:dyDescent="0.2">
      <c r="A568" s="30" t="s">
        <v>575</v>
      </c>
      <c r="B568" s="30" t="s">
        <v>1263</v>
      </c>
      <c r="C568" s="34">
        <v>11</v>
      </c>
      <c r="D568" s="35">
        <v>10</v>
      </c>
      <c r="E568" s="34">
        <f>IF(OR(D568="-",D568="",D568=0),IF(C568="-","-",C568),C568-D568)</f>
        <v>1</v>
      </c>
      <c r="F568" s="4">
        <f>IFERROR(IF(C568&gt;0, D568/C568, 0),"-")</f>
        <v>0.90909090909090906</v>
      </c>
      <c r="G568" s="34" t="s">
        <v>959</v>
      </c>
      <c r="H568" s="35" t="s">
        <v>959</v>
      </c>
      <c r="I568" s="34" t="str">
        <f>IF(OR(H568="-",H568="",H568=0),IF(G568="-","-",G568),G568-H568)</f>
        <v>-</v>
      </c>
      <c r="J568" s="4" t="str">
        <f>IFERROR(IF(G568&gt;0, H568/G568, 0),"-")</f>
        <v>-</v>
      </c>
      <c r="K568" s="34" t="s">
        <v>959</v>
      </c>
      <c r="L568" s="35" t="s">
        <v>959</v>
      </c>
      <c r="M568" s="34" t="str">
        <f>IF(OR(L568="-",L568="",L568=0),IF(K568="-","-",K568),K568-L568)</f>
        <v>-</v>
      </c>
      <c r="N568" s="4" t="str">
        <f>IFERROR(IF(K568&gt;0, L568/K568, 0),"-")</f>
        <v>-</v>
      </c>
      <c r="O568" s="34" t="s">
        <v>959</v>
      </c>
      <c r="P568" s="35" t="s">
        <v>959</v>
      </c>
      <c r="Q568" s="34" t="str">
        <f>IF(OR(P568="-",P568="",P568=0),IF(O568="-","-",O568),O568-P568)</f>
        <v>-</v>
      </c>
      <c r="R568" s="4" t="str">
        <f>IFERROR(IF(O568&gt;0, P568/O568, 0),"-")</f>
        <v>-</v>
      </c>
      <c r="S568" s="34" t="s">
        <v>959</v>
      </c>
      <c r="T568" s="34" t="s">
        <v>959</v>
      </c>
      <c r="U568" s="34" t="s">
        <v>959</v>
      </c>
      <c r="V568" s="35" t="s">
        <v>959</v>
      </c>
      <c r="W568" s="35" t="s">
        <v>959</v>
      </c>
    </row>
    <row r="569" spans="1:23" x14ac:dyDescent="0.2">
      <c r="A569" s="30" t="s">
        <v>576</v>
      </c>
      <c r="B569" s="30" t="s">
        <v>1264</v>
      </c>
      <c r="C569" s="34">
        <v>8</v>
      </c>
      <c r="D569" s="35">
        <v>7</v>
      </c>
      <c r="E569" s="34">
        <f>IF(OR(D569="-",D569="",D569=0),IF(C569="-","-",C569),C569-D569)</f>
        <v>1</v>
      </c>
      <c r="F569" s="4">
        <f>IFERROR(IF(C569&gt;0, D569/C569, 0),"-")</f>
        <v>0.875</v>
      </c>
      <c r="G569" s="34" t="s">
        <v>959</v>
      </c>
      <c r="H569" s="35" t="s">
        <v>959</v>
      </c>
      <c r="I569" s="34" t="str">
        <f>IF(OR(H569="-",H569="",H569=0),IF(G569="-","-",G569),G569-H569)</f>
        <v>-</v>
      </c>
      <c r="J569" s="4" t="str">
        <f>IFERROR(IF(G569&gt;0, H569/G569, 0),"-")</f>
        <v>-</v>
      </c>
      <c r="K569" s="34" t="s">
        <v>959</v>
      </c>
      <c r="L569" s="35" t="s">
        <v>959</v>
      </c>
      <c r="M569" s="34" t="str">
        <f>IF(OR(L569="-",L569="",L569=0),IF(K569="-","-",K569),K569-L569)</f>
        <v>-</v>
      </c>
      <c r="N569" s="4" t="str">
        <f>IFERROR(IF(K569&gt;0, L569/K569, 0),"-")</f>
        <v>-</v>
      </c>
      <c r="O569" s="34">
        <v>1</v>
      </c>
      <c r="P569" s="35" t="s">
        <v>959</v>
      </c>
      <c r="Q569" s="34">
        <f>IF(OR(P569="-",P569="",P569=0),IF(O569="-","-",O569),O569-P569)</f>
        <v>1</v>
      </c>
      <c r="R569" s="4" t="str">
        <f>IFERROR(IF(O569&gt;0, P569/O569, 0),"-")</f>
        <v>-</v>
      </c>
      <c r="S569" s="34" t="s">
        <v>959</v>
      </c>
      <c r="T569" s="34" t="s">
        <v>959</v>
      </c>
      <c r="U569" s="34" t="s">
        <v>959</v>
      </c>
      <c r="V569" s="35" t="s">
        <v>959</v>
      </c>
      <c r="W569" s="35" t="s">
        <v>959</v>
      </c>
    </row>
    <row r="570" spans="1:23" x14ac:dyDescent="0.2">
      <c r="A570" s="30" t="s">
        <v>579</v>
      </c>
      <c r="B570" s="30" t="s">
        <v>1265</v>
      </c>
      <c r="C570" s="34">
        <v>92</v>
      </c>
      <c r="D570" s="35">
        <v>84</v>
      </c>
      <c r="E570" s="34">
        <f>IF(OR(D570="-",D570="",D570=0),IF(C570="-","-",C570),C570-D570)</f>
        <v>8</v>
      </c>
      <c r="F570" s="4">
        <f>IFERROR(IF(C570&gt;0, D570/C570, 0),"-")</f>
        <v>0.91304347826086951</v>
      </c>
      <c r="G570" s="34">
        <v>3</v>
      </c>
      <c r="H570" s="35">
        <v>1</v>
      </c>
      <c r="I570" s="34">
        <f>IF(OR(H570="-",H570="",H570=0),IF(G570="-","-",G570),G570-H570)</f>
        <v>2</v>
      </c>
      <c r="J570" s="4">
        <f>IFERROR(IF(G570&gt;0, H570/G570, 0),"-")</f>
        <v>0.33333333333333331</v>
      </c>
      <c r="K570" s="34">
        <v>3</v>
      </c>
      <c r="L570" s="35" t="s">
        <v>959</v>
      </c>
      <c r="M570" s="34">
        <f>IF(OR(L570="-",L570="",L570=0),IF(K570="-","-",K570),K570-L570)</f>
        <v>3</v>
      </c>
      <c r="N570" s="4" t="str">
        <f>IFERROR(IF(K570&gt;0, L570/K570, 0),"-")</f>
        <v>-</v>
      </c>
      <c r="O570" s="34">
        <v>3</v>
      </c>
      <c r="P570" s="35" t="s">
        <v>959</v>
      </c>
      <c r="Q570" s="34">
        <f>IF(OR(P570="-",P570="",P570=0),IF(O570="-","-",O570),O570-P570)</f>
        <v>3</v>
      </c>
      <c r="R570" s="4" t="str">
        <f>IFERROR(IF(O570&gt;0, P570/O570, 0),"-")</f>
        <v>-</v>
      </c>
      <c r="S570" s="34">
        <v>5</v>
      </c>
      <c r="T570" s="34" t="s">
        <v>959</v>
      </c>
      <c r="U570" s="34" t="s">
        <v>959</v>
      </c>
      <c r="V570" s="35" t="s">
        <v>959</v>
      </c>
      <c r="W570" s="35" t="s">
        <v>959</v>
      </c>
    </row>
    <row r="571" spans="1:23" x14ac:dyDescent="0.2">
      <c r="A571" s="30" t="s">
        <v>574</v>
      </c>
      <c r="B571" s="30" t="s">
        <v>1266</v>
      </c>
      <c r="C571" s="34">
        <v>50</v>
      </c>
      <c r="D571" s="35">
        <v>50</v>
      </c>
      <c r="E571" s="34">
        <f>IF(OR(D571="-",D571="",D571=0),IF(C571="-","-",C571),C571-D571)</f>
        <v>0</v>
      </c>
      <c r="F571" s="4">
        <f>IFERROR(IF(C571&gt;0, D571/C571, 0),"-")</f>
        <v>1</v>
      </c>
      <c r="G571" s="34" t="s">
        <v>959</v>
      </c>
      <c r="H571" s="35" t="s">
        <v>959</v>
      </c>
      <c r="I571" s="34" t="str">
        <f>IF(OR(H571="-",H571="",H571=0),IF(G571="-","-",G571),G571-H571)</f>
        <v>-</v>
      </c>
      <c r="J571" s="4" t="str">
        <f>IFERROR(IF(G571&gt;0, H571/G571, 0),"-")</f>
        <v>-</v>
      </c>
      <c r="K571" s="34" t="s">
        <v>959</v>
      </c>
      <c r="L571" s="35" t="s">
        <v>959</v>
      </c>
      <c r="M571" s="34" t="str">
        <f>IF(OR(L571="-",L571="",L571=0),IF(K571="-","-",K571),K571-L571)</f>
        <v>-</v>
      </c>
      <c r="N571" s="4" t="str">
        <f>IFERROR(IF(K571&gt;0, L571/K571, 0),"-")</f>
        <v>-</v>
      </c>
      <c r="O571" s="34" t="s">
        <v>959</v>
      </c>
      <c r="P571" s="35" t="s">
        <v>959</v>
      </c>
      <c r="Q571" s="34" t="str">
        <f>IF(OR(P571="-",P571="",P571=0),IF(O571="-","-",O571),O571-P571)</f>
        <v>-</v>
      </c>
      <c r="R571" s="4" t="str">
        <f>IFERROR(IF(O571&gt;0, P571/O571, 0),"-")</f>
        <v>-</v>
      </c>
      <c r="S571" s="34" t="s">
        <v>959</v>
      </c>
      <c r="T571" s="34" t="s">
        <v>959</v>
      </c>
      <c r="U571" s="34" t="s">
        <v>959</v>
      </c>
      <c r="V571" s="35" t="s">
        <v>959</v>
      </c>
      <c r="W571" s="35" t="s">
        <v>959</v>
      </c>
    </row>
    <row r="572" spans="1:23" x14ac:dyDescent="0.2">
      <c r="A572" s="30" t="s">
        <v>570</v>
      </c>
      <c r="B572" s="30" t="s">
        <v>1267</v>
      </c>
      <c r="C572" s="34">
        <v>78</v>
      </c>
      <c r="D572" s="35">
        <v>76</v>
      </c>
      <c r="E572" s="34">
        <f>IF(OR(D572="-",D572="",D572=0),IF(C572="-","-",C572),C572-D572)</f>
        <v>2</v>
      </c>
      <c r="F572" s="4">
        <f>IFERROR(IF(C572&gt;0, D572/C572, 0),"-")</f>
        <v>0.97435897435897434</v>
      </c>
      <c r="G572" s="34" t="s">
        <v>959</v>
      </c>
      <c r="H572" s="35" t="s">
        <v>959</v>
      </c>
      <c r="I572" s="34" t="str">
        <f>IF(OR(H572="-",H572="",H572=0),IF(G572="-","-",G572),G572-H572)</f>
        <v>-</v>
      </c>
      <c r="J572" s="4" t="str">
        <f>IFERROR(IF(G572&gt;0, H572/G572, 0),"-")</f>
        <v>-</v>
      </c>
      <c r="K572" s="34" t="s">
        <v>959</v>
      </c>
      <c r="L572" s="35" t="s">
        <v>959</v>
      </c>
      <c r="M572" s="34" t="str">
        <f>IF(OR(L572="-",L572="",L572=0),IF(K572="-","-",K572),K572-L572)</f>
        <v>-</v>
      </c>
      <c r="N572" s="4" t="str">
        <f>IFERROR(IF(K572&gt;0, L572/K572, 0),"-")</f>
        <v>-</v>
      </c>
      <c r="O572" s="34" t="s">
        <v>959</v>
      </c>
      <c r="P572" s="35" t="s">
        <v>959</v>
      </c>
      <c r="Q572" s="34" t="str">
        <f>IF(OR(P572="-",P572="",P572=0),IF(O572="-","-",O572),O572-P572)</f>
        <v>-</v>
      </c>
      <c r="R572" s="4" t="str">
        <f>IFERROR(IF(O572&gt;0, P572/O572, 0),"-")</f>
        <v>-</v>
      </c>
      <c r="S572" s="34">
        <v>1</v>
      </c>
      <c r="T572" s="34" t="s">
        <v>959</v>
      </c>
      <c r="U572" s="34" t="s">
        <v>959</v>
      </c>
      <c r="V572" s="35" t="s">
        <v>959</v>
      </c>
      <c r="W572" s="35" t="s">
        <v>959</v>
      </c>
    </row>
    <row r="573" spans="1:23" x14ac:dyDescent="0.2">
      <c r="A573" s="30" t="s">
        <v>571</v>
      </c>
      <c r="B573" s="30" t="s">
        <v>1268</v>
      </c>
      <c r="C573" s="34">
        <v>31</v>
      </c>
      <c r="D573" s="35">
        <v>30</v>
      </c>
      <c r="E573" s="34">
        <f>IF(OR(D573="-",D573="",D573=0),IF(C573="-","-",C573),C573-D573)</f>
        <v>1</v>
      </c>
      <c r="F573" s="4">
        <f>IFERROR(IF(C573&gt;0, D573/C573, 0),"-")</f>
        <v>0.967741935483871</v>
      </c>
      <c r="G573" s="34" t="s">
        <v>959</v>
      </c>
      <c r="H573" s="35" t="s">
        <v>959</v>
      </c>
      <c r="I573" s="34" t="str">
        <f>IF(OR(H573="-",H573="",H573=0),IF(G573="-","-",G573),G573-H573)</f>
        <v>-</v>
      </c>
      <c r="J573" s="4" t="str">
        <f>IFERROR(IF(G573&gt;0, H573/G573, 0),"-")</f>
        <v>-</v>
      </c>
      <c r="K573" s="34" t="s">
        <v>959</v>
      </c>
      <c r="L573" s="35" t="s">
        <v>959</v>
      </c>
      <c r="M573" s="34" t="str">
        <f>IF(OR(L573="-",L573="",L573=0),IF(K573="-","-",K573),K573-L573)</f>
        <v>-</v>
      </c>
      <c r="N573" s="4" t="str">
        <f>IFERROR(IF(K573&gt;0, L573/K573, 0),"-")</f>
        <v>-</v>
      </c>
      <c r="O573" s="34" t="s">
        <v>959</v>
      </c>
      <c r="P573" s="35" t="s">
        <v>959</v>
      </c>
      <c r="Q573" s="34" t="str">
        <f>IF(OR(P573="-",P573="",P573=0),IF(O573="-","-",O573),O573-P573)</f>
        <v>-</v>
      </c>
      <c r="R573" s="4" t="str">
        <f>IFERROR(IF(O573&gt;0, P573/O573, 0),"-")</f>
        <v>-</v>
      </c>
      <c r="S573" s="34" t="s">
        <v>959</v>
      </c>
      <c r="T573" s="34" t="s">
        <v>959</v>
      </c>
      <c r="U573" s="34" t="s">
        <v>959</v>
      </c>
      <c r="V573" s="35" t="s">
        <v>959</v>
      </c>
      <c r="W573" s="35" t="s">
        <v>959</v>
      </c>
    </row>
    <row r="574" spans="1:23" x14ac:dyDescent="0.2">
      <c r="A574" s="30" t="s">
        <v>573</v>
      </c>
      <c r="B574" s="30" t="s">
        <v>1269</v>
      </c>
      <c r="C574" s="34">
        <v>55</v>
      </c>
      <c r="D574" s="35">
        <v>51</v>
      </c>
      <c r="E574" s="34">
        <f>IF(OR(D574="-",D574="",D574=0),IF(C574="-","-",C574),C574-D574)</f>
        <v>4</v>
      </c>
      <c r="F574" s="4">
        <f>IFERROR(IF(C574&gt;0, D574/C574, 0),"-")</f>
        <v>0.92727272727272725</v>
      </c>
      <c r="G574" s="34" t="s">
        <v>959</v>
      </c>
      <c r="H574" s="35" t="s">
        <v>959</v>
      </c>
      <c r="I574" s="34" t="str">
        <f>IF(OR(H574="-",H574="",H574=0),IF(G574="-","-",G574),G574-H574)</f>
        <v>-</v>
      </c>
      <c r="J574" s="4" t="str">
        <f>IFERROR(IF(G574&gt;0, H574/G574, 0),"-")</f>
        <v>-</v>
      </c>
      <c r="K574" s="34">
        <v>1</v>
      </c>
      <c r="L574" s="35" t="s">
        <v>959</v>
      </c>
      <c r="M574" s="34">
        <f>IF(OR(L574="-",L574="",L574=0),IF(K574="-","-",K574),K574-L574)</f>
        <v>1</v>
      </c>
      <c r="N574" s="4" t="str">
        <f>IFERROR(IF(K574&gt;0, L574/K574, 0),"-")</f>
        <v>-</v>
      </c>
      <c r="O574" s="34" t="s">
        <v>959</v>
      </c>
      <c r="P574" s="35" t="s">
        <v>959</v>
      </c>
      <c r="Q574" s="34" t="str">
        <f>IF(OR(P574="-",P574="",P574=0),IF(O574="-","-",O574),O574-P574)</f>
        <v>-</v>
      </c>
      <c r="R574" s="4" t="str">
        <f>IFERROR(IF(O574&gt;0, P574/O574, 0),"-")</f>
        <v>-</v>
      </c>
      <c r="S574" s="34" t="s">
        <v>959</v>
      </c>
      <c r="T574" s="34" t="s">
        <v>959</v>
      </c>
      <c r="U574" s="34" t="s">
        <v>959</v>
      </c>
      <c r="V574" s="35" t="s">
        <v>959</v>
      </c>
      <c r="W574" s="35" t="s">
        <v>959</v>
      </c>
    </row>
    <row r="575" spans="1:23" x14ac:dyDescent="0.2">
      <c r="A575" s="29"/>
      <c r="B575" s="29" t="s">
        <v>132</v>
      </c>
      <c r="C575" s="32">
        <v>887</v>
      </c>
      <c r="D575" s="32">
        <v>870</v>
      </c>
      <c r="E575" s="32">
        <f>IF(OR(D575="-",D575="",D575=0),IF(C575="-","-",C575),C575-D575)</f>
        <v>17</v>
      </c>
      <c r="F575" s="36">
        <f>IFERROR(IF(C575&gt;0, D575/C575, 0),"-")</f>
        <v>0.98083427282976321</v>
      </c>
      <c r="G575" s="32">
        <v>6</v>
      </c>
      <c r="H575" s="32" t="s">
        <v>959</v>
      </c>
      <c r="I575" s="32">
        <f>IF(OR(H575="-",H575="",H575=0),IF(G575="-","-",G575),G575-H575)</f>
        <v>6</v>
      </c>
      <c r="J575" s="36" t="str">
        <f>IFERROR(IF(G575&gt;0, H575/G575, 0),"-")</f>
        <v>-</v>
      </c>
      <c r="K575" s="32">
        <v>3</v>
      </c>
      <c r="L575" s="32" t="s">
        <v>959</v>
      </c>
      <c r="M575" s="32">
        <f>IF(OR(L575="-",L575="",L575=0),IF(K575="-","-",K575),K575-L575)</f>
        <v>3</v>
      </c>
      <c r="N575" s="36" t="str">
        <f>IFERROR(IF(K575&gt;0, L575/K575, 0),"-")</f>
        <v>-</v>
      </c>
      <c r="O575" s="32">
        <v>2</v>
      </c>
      <c r="P575" s="32" t="s">
        <v>959</v>
      </c>
      <c r="Q575" s="32">
        <f>IF(OR(P575="-",P575="",P575=0),IF(O575="-","-",O575),O575-P575)</f>
        <v>2</v>
      </c>
      <c r="R575" s="36" t="str">
        <f>IFERROR(IF(O575&gt;0, P575/O575, 0),"-")</f>
        <v>-</v>
      </c>
      <c r="S575" s="32">
        <v>2</v>
      </c>
      <c r="T575" s="32" t="s">
        <v>959</v>
      </c>
      <c r="U575" s="32" t="s">
        <v>959</v>
      </c>
      <c r="V575" s="32" t="s">
        <v>959</v>
      </c>
      <c r="W575" s="32" t="s">
        <v>959</v>
      </c>
    </row>
    <row r="576" spans="1:23" x14ac:dyDescent="0.2">
      <c r="A576" s="30" t="s">
        <v>926</v>
      </c>
      <c r="B576" s="30" t="s">
        <v>1270</v>
      </c>
      <c r="C576" s="34">
        <v>117</v>
      </c>
      <c r="D576" s="35">
        <v>112</v>
      </c>
      <c r="E576" s="34">
        <f>IF(OR(D576="-",D576="",D576=0),IF(C576="-","-",C576),C576-D576)</f>
        <v>5</v>
      </c>
      <c r="F576" s="4">
        <f>IFERROR(IF(C576&gt;0, D576/C576, 0),"-")</f>
        <v>0.95726495726495731</v>
      </c>
      <c r="G576" s="34" t="s">
        <v>959</v>
      </c>
      <c r="H576" s="35" t="s">
        <v>959</v>
      </c>
      <c r="I576" s="34" t="str">
        <f>IF(OR(H576="-",H576="",H576=0),IF(G576="-","-",G576),G576-H576)</f>
        <v>-</v>
      </c>
      <c r="J576" s="4" t="str">
        <f>IFERROR(IF(G576&gt;0, H576/G576, 0),"-")</f>
        <v>-</v>
      </c>
      <c r="K576" s="34" t="s">
        <v>959</v>
      </c>
      <c r="L576" s="35" t="s">
        <v>959</v>
      </c>
      <c r="M576" s="34" t="str">
        <f>IF(OR(L576="-",L576="",L576=0),IF(K576="-","-",K576),K576-L576)</f>
        <v>-</v>
      </c>
      <c r="N576" s="4" t="str">
        <f>IFERROR(IF(K576&gt;0, L576/K576, 0),"-")</f>
        <v>-</v>
      </c>
      <c r="O576" s="34" t="s">
        <v>959</v>
      </c>
      <c r="P576" s="35" t="s">
        <v>959</v>
      </c>
      <c r="Q576" s="34" t="str">
        <f>IF(OR(P576="-",P576="",P576=0),IF(O576="-","-",O576),O576-P576)</f>
        <v>-</v>
      </c>
      <c r="R576" s="4" t="str">
        <f>IFERROR(IF(O576&gt;0, P576/O576, 0),"-")</f>
        <v>-</v>
      </c>
      <c r="S576" s="34" t="s">
        <v>959</v>
      </c>
      <c r="T576" s="34" t="s">
        <v>959</v>
      </c>
      <c r="U576" s="34" t="s">
        <v>959</v>
      </c>
      <c r="V576" s="35" t="s">
        <v>959</v>
      </c>
      <c r="W576" s="35" t="s">
        <v>959</v>
      </c>
    </row>
    <row r="577" spans="1:23" x14ac:dyDescent="0.2">
      <c r="A577" s="30" t="s">
        <v>942</v>
      </c>
      <c r="B577" s="30" t="s">
        <v>1271</v>
      </c>
      <c r="C577" s="34" t="s">
        <v>959</v>
      </c>
      <c r="D577" s="35" t="s">
        <v>959</v>
      </c>
      <c r="E577" s="34" t="str">
        <f>IF(OR(D577="-",D577="",D577=0),IF(C577="-","-",C577),C577-D577)</f>
        <v>-</v>
      </c>
      <c r="F577" s="4" t="str">
        <f>IFERROR(IF(C577&gt;0, D577/C577, 0),"-")</f>
        <v>-</v>
      </c>
      <c r="G577" s="34" t="s">
        <v>959</v>
      </c>
      <c r="H577" s="35" t="s">
        <v>959</v>
      </c>
      <c r="I577" s="34" t="str">
        <f>IF(OR(H577="-",H577="",H577=0),IF(G577="-","-",G577),G577-H577)</f>
        <v>-</v>
      </c>
      <c r="J577" s="4" t="str">
        <f>IFERROR(IF(G577&gt;0, H577/G577, 0),"-")</f>
        <v>-</v>
      </c>
      <c r="K577" s="34" t="s">
        <v>959</v>
      </c>
      <c r="L577" s="35" t="s">
        <v>959</v>
      </c>
      <c r="M577" s="34" t="str">
        <f>IF(OR(L577="-",L577="",L577=0),IF(K577="-","-",K577),K577-L577)</f>
        <v>-</v>
      </c>
      <c r="N577" s="4" t="str">
        <f>IFERROR(IF(K577&gt;0, L577/K577, 0),"-")</f>
        <v>-</v>
      </c>
      <c r="O577" s="34" t="s">
        <v>959</v>
      </c>
      <c r="P577" s="35" t="s">
        <v>959</v>
      </c>
      <c r="Q577" s="34" t="str">
        <f>IF(OR(P577="-",P577="",P577=0),IF(O577="-","-",O577),O577-P577)</f>
        <v>-</v>
      </c>
      <c r="R577" s="4" t="str">
        <f>IFERROR(IF(O577&gt;0, P577/O577, 0),"-")</f>
        <v>-</v>
      </c>
      <c r="S577" s="34" t="s">
        <v>959</v>
      </c>
      <c r="T577" s="34" t="s">
        <v>959</v>
      </c>
      <c r="U577" s="34" t="s">
        <v>959</v>
      </c>
      <c r="V577" s="35" t="s">
        <v>959</v>
      </c>
      <c r="W577" s="35" t="s">
        <v>959</v>
      </c>
    </row>
    <row r="578" spans="1:23" x14ac:dyDescent="0.2">
      <c r="A578" s="30" t="s">
        <v>935</v>
      </c>
      <c r="B578" s="30" t="s">
        <v>1272</v>
      </c>
      <c r="C578" s="34">
        <v>27</v>
      </c>
      <c r="D578" s="35">
        <v>22</v>
      </c>
      <c r="E578" s="34">
        <f>IF(OR(D578="-",D578="",D578=0),IF(C578="-","-",C578),C578-D578)</f>
        <v>5</v>
      </c>
      <c r="F578" s="4">
        <f>IFERROR(IF(C578&gt;0, D578/C578, 0),"-")</f>
        <v>0.81481481481481477</v>
      </c>
      <c r="G578" s="34">
        <v>2</v>
      </c>
      <c r="H578" s="35" t="s">
        <v>959</v>
      </c>
      <c r="I578" s="34">
        <f>IF(OR(H578="-",H578="",H578=0),IF(G578="-","-",G578),G578-H578)</f>
        <v>2</v>
      </c>
      <c r="J578" s="4" t="str">
        <f>IFERROR(IF(G578&gt;0, H578/G578, 0),"-")</f>
        <v>-</v>
      </c>
      <c r="K578" s="34" t="s">
        <v>959</v>
      </c>
      <c r="L578" s="35" t="s">
        <v>959</v>
      </c>
      <c r="M578" s="34" t="str">
        <f>IF(OR(L578="-",L578="",L578=0),IF(K578="-","-",K578),K578-L578)</f>
        <v>-</v>
      </c>
      <c r="N578" s="4" t="str">
        <f>IFERROR(IF(K578&gt;0, L578/K578, 0),"-")</f>
        <v>-</v>
      </c>
      <c r="O578" s="34" t="s">
        <v>959</v>
      </c>
      <c r="P578" s="35" t="s">
        <v>959</v>
      </c>
      <c r="Q578" s="34" t="str">
        <f>IF(OR(P578="-",P578="",P578=0),IF(O578="-","-",O578),O578-P578)</f>
        <v>-</v>
      </c>
      <c r="R578" s="4" t="str">
        <f>IFERROR(IF(O578&gt;0, P578/O578, 0),"-")</f>
        <v>-</v>
      </c>
      <c r="S578" s="34" t="s">
        <v>959</v>
      </c>
      <c r="T578" s="34" t="s">
        <v>959</v>
      </c>
      <c r="U578" s="34" t="s">
        <v>959</v>
      </c>
      <c r="V578" s="35" t="s">
        <v>959</v>
      </c>
      <c r="W578" s="35" t="s">
        <v>959</v>
      </c>
    </row>
    <row r="579" spans="1:23" x14ac:dyDescent="0.2">
      <c r="A579" s="30" t="s">
        <v>943</v>
      </c>
      <c r="B579" s="30" t="s">
        <v>1273</v>
      </c>
      <c r="C579" s="34">
        <v>5</v>
      </c>
      <c r="D579" s="35">
        <v>5</v>
      </c>
      <c r="E579" s="34">
        <f>IF(OR(D579="-",D579="",D579=0),IF(C579="-","-",C579),C579-D579)</f>
        <v>0</v>
      </c>
      <c r="F579" s="4">
        <f>IFERROR(IF(C579&gt;0, D579/C579, 0),"-")</f>
        <v>1</v>
      </c>
      <c r="G579" s="34" t="s">
        <v>959</v>
      </c>
      <c r="H579" s="35" t="s">
        <v>959</v>
      </c>
      <c r="I579" s="34" t="str">
        <f>IF(OR(H579="-",H579="",H579=0),IF(G579="-","-",G579),G579-H579)</f>
        <v>-</v>
      </c>
      <c r="J579" s="4" t="str">
        <f>IFERROR(IF(G579&gt;0, H579/G579, 0),"-")</f>
        <v>-</v>
      </c>
      <c r="K579" s="34" t="s">
        <v>959</v>
      </c>
      <c r="L579" s="35" t="s">
        <v>959</v>
      </c>
      <c r="M579" s="34" t="str">
        <f>IF(OR(L579="-",L579="",L579=0),IF(K579="-","-",K579),K579-L579)</f>
        <v>-</v>
      </c>
      <c r="N579" s="4" t="str">
        <f>IFERROR(IF(K579&gt;0, L579/K579, 0),"-")</f>
        <v>-</v>
      </c>
      <c r="O579" s="34" t="s">
        <v>959</v>
      </c>
      <c r="P579" s="35" t="s">
        <v>959</v>
      </c>
      <c r="Q579" s="34" t="str">
        <f>IF(OR(P579="-",P579="",P579=0),IF(O579="-","-",O579),O579-P579)</f>
        <v>-</v>
      </c>
      <c r="R579" s="4" t="str">
        <f>IFERROR(IF(O579&gt;0, P579/O579, 0),"-")</f>
        <v>-</v>
      </c>
      <c r="S579" s="34" t="s">
        <v>959</v>
      </c>
      <c r="T579" s="34" t="s">
        <v>959</v>
      </c>
      <c r="U579" s="34" t="s">
        <v>959</v>
      </c>
      <c r="V579" s="35" t="s">
        <v>959</v>
      </c>
      <c r="W579" s="35" t="s">
        <v>959</v>
      </c>
    </row>
    <row r="580" spans="1:23" x14ac:dyDescent="0.2">
      <c r="A580" s="30" t="s">
        <v>924</v>
      </c>
      <c r="B580" s="30" t="s">
        <v>1274</v>
      </c>
      <c r="C580" s="34">
        <v>304</v>
      </c>
      <c r="D580" s="35">
        <v>303</v>
      </c>
      <c r="E580" s="34">
        <f>IF(OR(D580="-",D580="",D580=0),IF(C580="-","-",C580),C580-D580)</f>
        <v>1</v>
      </c>
      <c r="F580" s="4">
        <f>IFERROR(IF(C580&gt;0, D580/C580, 0),"-")</f>
        <v>0.99671052631578949</v>
      </c>
      <c r="G580" s="34">
        <v>2</v>
      </c>
      <c r="H580" s="35" t="s">
        <v>959</v>
      </c>
      <c r="I580" s="34">
        <f>IF(OR(H580="-",H580="",H580=0),IF(G580="-","-",G580),G580-H580)</f>
        <v>2</v>
      </c>
      <c r="J580" s="4" t="str">
        <f>IFERROR(IF(G580&gt;0, H580/G580, 0),"-")</f>
        <v>-</v>
      </c>
      <c r="K580" s="34">
        <v>1</v>
      </c>
      <c r="L580" s="35" t="s">
        <v>959</v>
      </c>
      <c r="M580" s="34">
        <f>IF(OR(L580="-",L580="",L580=0),IF(K580="-","-",K580),K580-L580)</f>
        <v>1</v>
      </c>
      <c r="N580" s="4" t="str">
        <f>IFERROR(IF(K580&gt;0, L580/K580, 0),"-")</f>
        <v>-</v>
      </c>
      <c r="O580" s="34" t="s">
        <v>959</v>
      </c>
      <c r="P580" s="35" t="s">
        <v>959</v>
      </c>
      <c r="Q580" s="34" t="str">
        <f>IF(OR(P580="-",P580="",P580=0),IF(O580="-","-",O580),O580-P580)</f>
        <v>-</v>
      </c>
      <c r="R580" s="4" t="str">
        <f>IFERROR(IF(O580&gt;0, P580/O580, 0),"-")</f>
        <v>-</v>
      </c>
      <c r="S580" s="34" t="s">
        <v>959</v>
      </c>
      <c r="T580" s="34" t="s">
        <v>959</v>
      </c>
      <c r="U580" s="34" t="s">
        <v>959</v>
      </c>
      <c r="V580" s="35" t="s">
        <v>959</v>
      </c>
      <c r="W580" s="35" t="s">
        <v>959</v>
      </c>
    </row>
    <row r="581" spans="1:23" x14ac:dyDescent="0.2">
      <c r="A581" s="30" t="s">
        <v>922</v>
      </c>
      <c r="B581" s="30" t="s">
        <v>1275</v>
      </c>
      <c r="C581" s="34">
        <v>135</v>
      </c>
      <c r="D581" s="35">
        <v>135</v>
      </c>
      <c r="E581" s="34">
        <f>IF(OR(D581="-",D581="",D581=0),IF(C581="-","-",C581),C581-D581)</f>
        <v>0</v>
      </c>
      <c r="F581" s="4">
        <f>IFERROR(IF(C581&gt;0, D581/C581, 0),"-")</f>
        <v>1</v>
      </c>
      <c r="G581" s="34" t="s">
        <v>959</v>
      </c>
      <c r="H581" s="35" t="s">
        <v>959</v>
      </c>
      <c r="I581" s="34" t="str">
        <f>IF(OR(H581="-",H581="",H581=0),IF(G581="-","-",G581),G581-H581)</f>
        <v>-</v>
      </c>
      <c r="J581" s="4" t="str">
        <f>IFERROR(IF(G581&gt;0, H581/G581, 0),"-")</f>
        <v>-</v>
      </c>
      <c r="K581" s="34" t="s">
        <v>959</v>
      </c>
      <c r="L581" s="35" t="s">
        <v>959</v>
      </c>
      <c r="M581" s="34" t="str">
        <f>IF(OR(L581="-",L581="",L581=0),IF(K581="-","-",K581),K581-L581)</f>
        <v>-</v>
      </c>
      <c r="N581" s="4" t="str">
        <f>IFERROR(IF(K581&gt;0, L581/K581, 0),"-")</f>
        <v>-</v>
      </c>
      <c r="O581" s="34" t="s">
        <v>959</v>
      </c>
      <c r="P581" s="35" t="s">
        <v>959</v>
      </c>
      <c r="Q581" s="34" t="str">
        <f>IF(OR(P581="-",P581="",P581=0),IF(O581="-","-",O581),O581-P581)</f>
        <v>-</v>
      </c>
      <c r="R581" s="4" t="str">
        <f>IFERROR(IF(O581&gt;0, P581/O581, 0),"-")</f>
        <v>-</v>
      </c>
      <c r="S581" s="34" t="s">
        <v>959</v>
      </c>
      <c r="T581" s="34" t="s">
        <v>959</v>
      </c>
      <c r="U581" s="34" t="s">
        <v>959</v>
      </c>
      <c r="V581" s="35" t="s">
        <v>959</v>
      </c>
      <c r="W581" s="35" t="s">
        <v>959</v>
      </c>
    </row>
    <row r="582" spans="1:23" x14ac:dyDescent="0.2">
      <c r="A582" s="30" t="s">
        <v>923</v>
      </c>
      <c r="B582" s="30" t="s">
        <v>1276</v>
      </c>
      <c r="C582" s="34">
        <v>83</v>
      </c>
      <c r="D582" s="35">
        <v>79</v>
      </c>
      <c r="E582" s="34">
        <f>IF(OR(D582="-",D582="",D582=0),IF(C582="-","-",C582),C582-D582)</f>
        <v>4</v>
      </c>
      <c r="F582" s="4">
        <f>IFERROR(IF(C582&gt;0, D582/C582, 0),"-")</f>
        <v>0.95180722891566261</v>
      </c>
      <c r="G582" s="34">
        <v>1</v>
      </c>
      <c r="H582" s="35" t="s">
        <v>959</v>
      </c>
      <c r="I582" s="34">
        <f>IF(OR(H582="-",H582="",H582=0),IF(G582="-","-",G582),G582-H582)</f>
        <v>1</v>
      </c>
      <c r="J582" s="4" t="str">
        <f>IFERROR(IF(G582&gt;0, H582/G582, 0),"-")</f>
        <v>-</v>
      </c>
      <c r="K582" s="34" t="s">
        <v>959</v>
      </c>
      <c r="L582" s="35" t="s">
        <v>959</v>
      </c>
      <c r="M582" s="34" t="str">
        <f>IF(OR(L582="-",L582="",L582=0),IF(K582="-","-",K582),K582-L582)</f>
        <v>-</v>
      </c>
      <c r="N582" s="4" t="str">
        <f>IFERROR(IF(K582&gt;0, L582/K582, 0),"-")</f>
        <v>-</v>
      </c>
      <c r="O582" s="34" t="s">
        <v>959</v>
      </c>
      <c r="P582" s="35" t="s">
        <v>959</v>
      </c>
      <c r="Q582" s="34" t="str">
        <f>IF(OR(P582="-",P582="",P582=0),IF(O582="-","-",O582),O582-P582)</f>
        <v>-</v>
      </c>
      <c r="R582" s="4" t="str">
        <f>IFERROR(IF(O582&gt;0, P582/O582, 0),"-")</f>
        <v>-</v>
      </c>
      <c r="S582" s="34">
        <v>1</v>
      </c>
      <c r="T582" s="34" t="s">
        <v>959</v>
      </c>
      <c r="U582" s="34" t="s">
        <v>959</v>
      </c>
      <c r="V582" s="35" t="s">
        <v>959</v>
      </c>
      <c r="W582" s="35" t="s">
        <v>959</v>
      </c>
    </row>
    <row r="583" spans="1:23" x14ac:dyDescent="0.2">
      <c r="A583" s="30" t="s">
        <v>927</v>
      </c>
      <c r="B583" s="30" t="s">
        <v>1277</v>
      </c>
      <c r="C583" s="34">
        <v>106</v>
      </c>
      <c r="D583" s="35">
        <v>104</v>
      </c>
      <c r="E583" s="34">
        <f>IF(OR(D583="-",D583="",D583=0),IF(C583="-","-",C583),C583-D583)</f>
        <v>2</v>
      </c>
      <c r="F583" s="4">
        <f>IFERROR(IF(C583&gt;0, D583/C583, 0),"-")</f>
        <v>0.98113207547169812</v>
      </c>
      <c r="G583" s="34" t="s">
        <v>959</v>
      </c>
      <c r="H583" s="35" t="s">
        <v>959</v>
      </c>
      <c r="I583" s="34" t="str">
        <f>IF(OR(H583="-",H583="",H583=0),IF(G583="-","-",G583),G583-H583)</f>
        <v>-</v>
      </c>
      <c r="J583" s="4" t="str">
        <f>IFERROR(IF(G583&gt;0, H583/G583, 0),"-")</f>
        <v>-</v>
      </c>
      <c r="K583" s="34" t="s">
        <v>959</v>
      </c>
      <c r="L583" s="35" t="s">
        <v>959</v>
      </c>
      <c r="M583" s="34" t="str">
        <f>IF(OR(L583="-",L583="",L583=0),IF(K583="-","-",K583),K583-L583)</f>
        <v>-</v>
      </c>
      <c r="N583" s="4" t="str">
        <f>IFERROR(IF(K583&gt;0, L583/K583, 0),"-")</f>
        <v>-</v>
      </c>
      <c r="O583" s="34">
        <v>1</v>
      </c>
      <c r="P583" s="35" t="s">
        <v>959</v>
      </c>
      <c r="Q583" s="34">
        <f>IF(OR(P583="-",P583="",P583=0),IF(O583="-","-",O583),O583-P583)</f>
        <v>1</v>
      </c>
      <c r="R583" s="4" t="str">
        <f>IFERROR(IF(O583&gt;0, P583/O583, 0),"-")</f>
        <v>-</v>
      </c>
      <c r="S583" s="34" t="s">
        <v>959</v>
      </c>
      <c r="T583" s="34" t="s">
        <v>959</v>
      </c>
      <c r="U583" s="34" t="s">
        <v>959</v>
      </c>
      <c r="V583" s="35" t="s">
        <v>959</v>
      </c>
      <c r="W583" s="35" t="s">
        <v>959</v>
      </c>
    </row>
    <row r="584" spans="1:23" x14ac:dyDescent="0.2">
      <c r="A584" s="30" t="s">
        <v>925</v>
      </c>
      <c r="B584" s="30" t="s">
        <v>1278</v>
      </c>
      <c r="C584" s="34">
        <v>110</v>
      </c>
      <c r="D584" s="35">
        <v>110</v>
      </c>
      <c r="E584" s="34">
        <f>IF(OR(D584="-",D584="",D584=0),IF(C584="-","-",C584),C584-D584)</f>
        <v>0</v>
      </c>
      <c r="F584" s="4">
        <f>IFERROR(IF(C584&gt;0, D584/C584, 0),"-")</f>
        <v>1</v>
      </c>
      <c r="G584" s="34">
        <v>1</v>
      </c>
      <c r="H584" s="35" t="s">
        <v>959</v>
      </c>
      <c r="I584" s="34">
        <f>IF(OR(H584="-",H584="",H584=0),IF(G584="-","-",G584),G584-H584)</f>
        <v>1</v>
      </c>
      <c r="J584" s="4" t="str">
        <f>IFERROR(IF(G584&gt;0, H584/G584, 0),"-")</f>
        <v>-</v>
      </c>
      <c r="K584" s="34">
        <v>2</v>
      </c>
      <c r="L584" s="35" t="s">
        <v>959</v>
      </c>
      <c r="M584" s="34">
        <f>IF(OR(L584="-",L584="",L584=0),IF(K584="-","-",K584),K584-L584)</f>
        <v>2</v>
      </c>
      <c r="N584" s="4" t="str">
        <f>IFERROR(IF(K584&gt;0, L584/K584, 0),"-")</f>
        <v>-</v>
      </c>
      <c r="O584" s="34">
        <v>1</v>
      </c>
      <c r="P584" s="35" t="s">
        <v>959</v>
      </c>
      <c r="Q584" s="34">
        <f>IF(OR(P584="-",P584="",P584=0),IF(O584="-","-",O584),O584-P584)</f>
        <v>1</v>
      </c>
      <c r="R584" s="4" t="str">
        <f>IFERROR(IF(O584&gt;0, P584/O584, 0),"-")</f>
        <v>-</v>
      </c>
      <c r="S584" s="34">
        <v>1</v>
      </c>
      <c r="T584" s="34" t="s">
        <v>959</v>
      </c>
      <c r="U584" s="34" t="s">
        <v>959</v>
      </c>
      <c r="V584" s="35" t="s">
        <v>959</v>
      </c>
      <c r="W584" s="35" t="s">
        <v>959</v>
      </c>
    </row>
    <row r="585" spans="1:23" x14ac:dyDescent="0.2">
      <c r="A585" s="29"/>
      <c r="B585" s="29" t="s">
        <v>96</v>
      </c>
      <c r="C585" s="32">
        <v>524</v>
      </c>
      <c r="D585" s="32">
        <v>496</v>
      </c>
      <c r="E585" s="32">
        <f>IF(OR(D585="-",D585="",D585=0),IF(C585="-","-",C585),C585-D585)</f>
        <v>28</v>
      </c>
      <c r="F585" s="36">
        <f>IFERROR(IF(C585&gt;0, D585/C585, 0),"-")</f>
        <v>0.94656488549618323</v>
      </c>
      <c r="G585" s="32">
        <v>7</v>
      </c>
      <c r="H585" s="32">
        <v>2</v>
      </c>
      <c r="I585" s="32">
        <f>IF(OR(H585="-",H585="",H585=0),IF(G585="-","-",G585),G585-H585)</f>
        <v>5</v>
      </c>
      <c r="J585" s="36">
        <f>IFERROR(IF(G585&gt;0, H585/G585, 0),"-")</f>
        <v>0.2857142857142857</v>
      </c>
      <c r="K585" s="32">
        <v>3</v>
      </c>
      <c r="L585" s="32" t="s">
        <v>959</v>
      </c>
      <c r="M585" s="32">
        <f>IF(OR(L585="-",L585="",L585=0),IF(K585="-","-",K585),K585-L585)</f>
        <v>3</v>
      </c>
      <c r="N585" s="36" t="str">
        <f>IFERROR(IF(K585&gt;0, L585/K585, 0),"-")</f>
        <v>-</v>
      </c>
      <c r="O585" s="32">
        <v>4</v>
      </c>
      <c r="P585" s="32" t="s">
        <v>959</v>
      </c>
      <c r="Q585" s="32">
        <f>IF(OR(P585="-",P585="",P585=0),IF(O585="-","-",O585),O585-P585)</f>
        <v>4</v>
      </c>
      <c r="R585" s="36" t="str">
        <f>IFERROR(IF(O585&gt;0, P585/O585, 0),"-")</f>
        <v>-</v>
      </c>
      <c r="S585" s="32">
        <v>7</v>
      </c>
      <c r="T585" s="32" t="s">
        <v>959</v>
      </c>
      <c r="U585" s="32" t="s">
        <v>959</v>
      </c>
      <c r="V585" s="32" t="s">
        <v>959</v>
      </c>
      <c r="W585" s="32" t="s">
        <v>959</v>
      </c>
    </row>
    <row r="586" spans="1:23" x14ac:dyDescent="0.2">
      <c r="A586" s="30" t="s">
        <v>664</v>
      </c>
      <c r="B586" s="30" t="s">
        <v>1279</v>
      </c>
      <c r="C586" s="34">
        <v>126</v>
      </c>
      <c r="D586" s="35">
        <v>125</v>
      </c>
      <c r="E586" s="34">
        <f>IF(OR(D586="-",D586="",D586=0),IF(C586="-","-",C586),C586-D586)</f>
        <v>1</v>
      </c>
      <c r="F586" s="4">
        <f>IFERROR(IF(C586&gt;0, D586/C586, 0),"-")</f>
        <v>0.99206349206349209</v>
      </c>
      <c r="G586" s="34" t="s">
        <v>959</v>
      </c>
      <c r="H586" s="35" t="s">
        <v>959</v>
      </c>
      <c r="I586" s="34" t="str">
        <f>IF(OR(H586="-",H586="",H586=0),IF(G586="-","-",G586),G586-H586)</f>
        <v>-</v>
      </c>
      <c r="J586" s="4" t="str">
        <f>IFERROR(IF(G586&gt;0, H586/G586, 0),"-")</f>
        <v>-</v>
      </c>
      <c r="K586" s="34">
        <v>1</v>
      </c>
      <c r="L586" s="35" t="s">
        <v>959</v>
      </c>
      <c r="M586" s="34">
        <f>IF(OR(L586="-",L586="",L586=0),IF(K586="-","-",K586),K586-L586)</f>
        <v>1</v>
      </c>
      <c r="N586" s="4" t="str">
        <f>IFERROR(IF(K586&gt;0, L586/K586, 0),"-")</f>
        <v>-</v>
      </c>
      <c r="O586" s="34" t="s">
        <v>959</v>
      </c>
      <c r="P586" s="35" t="s">
        <v>959</v>
      </c>
      <c r="Q586" s="34" t="str">
        <f>IF(OR(P586="-",P586="",P586=0),IF(O586="-","-",O586),O586-P586)</f>
        <v>-</v>
      </c>
      <c r="R586" s="4" t="str">
        <f>IFERROR(IF(O586&gt;0, P586/O586, 0),"-")</f>
        <v>-</v>
      </c>
      <c r="S586" s="34" t="s">
        <v>959</v>
      </c>
      <c r="T586" s="34" t="s">
        <v>959</v>
      </c>
      <c r="U586" s="34" t="s">
        <v>959</v>
      </c>
      <c r="V586" s="35" t="s">
        <v>959</v>
      </c>
      <c r="W586" s="35" t="s">
        <v>959</v>
      </c>
    </row>
    <row r="587" spans="1:23" x14ac:dyDescent="0.2">
      <c r="A587" s="30" t="s">
        <v>669</v>
      </c>
      <c r="B587" s="30" t="s">
        <v>1280</v>
      </c>
      <c r="C587" s="34">
        <v>55</v>
      </c>
      <c r="D587" s="35">
        <v>51</v>
      </c>
      <c r="E587" s="34">
        <f>IF(OR(D587="-",D587="",D587=0),IF(C587="-","-",C587),C587-D587)</f>
        <v>4</v>
      </c>
      <c r="F587" s="4">
        <f>IFERROR(IF(C587&gt;0, D587/C587, 0),"-")</f>
        <v>0.92727272727272725</v>
      </c>
      <c r="G587" s="34" t="s">
        <v>959</v>
      </c>
      <c r="H587" s="35" t="s">
        <v>959</v>
      </c>
      <c r="I587" s="34" t="str">
        <f>IF(OR(H587="-",H587="",H587=0),IF(G587="-","-",G587),G587-H587)</f>
        <v>-</v>
      </c>
      <c r="J587" s="4" t="str">
        <f>IFERROR(IF(G587&gt;0, H587/G587, 0),"-")</f>
        <v>-</v>
      </c>
      <c r="K587" s="34" t="s">
        <v>959</v>
      </c>
      <c r="L587" s="35" t="s">
        <v>959</v>
      </c>
      <c r="M587" s="34" t="str">
        <f>IF(OR(L587="-",L587="",L587=0),IF(K587="-","-",K587),K587-L587)</f>
        <v>-</v>
      </c>
      <c r="N587" s="4" t="str">
        <f>IFERROR(IF(K587&gt;0, L587/K587, 0),"-")</f>
        <v>-</v>
      </c>
      <c r="O587" s="34" t="s">
        <v>959</v>
      </c>
      <c r="P587" s="35" t="s">
        <v>959</v>
      </c>
      <c r="Q587" s="34" t="str">
        <f>IF(OR(P587="-",P587="",P587=0),IF(O587="-","-",O587),O587-P587)</f>
        <v>-</v>
      </c>
      <c r="R587" s="4" t="str">
        <f>IFERROR(IF(O587&gt;0, P587/O587, 0),"-")</f>
        <v>-</v>
      </c>
      <c r="S587" s="34">
        <v>6</v>
      </c>
      <c r="T587" s="34" t="s">
        <v>959</v>
      </c>
      <c r="U587" s="34" t="s">
        <v>959</v>
      </c>
      <c r="V587" s="35" t="s">
        <v>959</v>
      </c>
      <c r="W587" s="35" t="s">
        <v>959</v>
      </c>
    </row>
    <row r="588" spans="1:23" x14ac:dyDescent="0.2">
      <c r="A588" s="30" t="s">
        <v>670</v>
      </c>
      <c r="B588" s="30" t="s">
        <v>1281</v>
      </c>
      <c r="C588" s="34">
        <v>20</v>
      </c>
      <c r="D588" s="35">
        <v>19</v>
      </c>
      <c r="E588" s="34">
        <f>IF(OR(D588="-",D588="",D588=0),IF(C588="-","-",C588),C588-D588)</f>
        <v>1</v>
      </c>
      <c r="F588" s="4">
        <f>IFERROR(IF(C588&gt;0, D588/C588, 0),"-")</f>
        <v>0.95</v>
      </c>
      <c r="G588" s="34" t="s">
        <v>959</v>
      </c>
      <c r="H588" s="35" t="s">
        <v>959</v>
      </c>
      <c r="I588" s="34" t="str">
        <f>IF(OR(H588="-",H588="",H588=0),IF(G588="-","-",G588),G588-H588)</f>
        <v>-</v>
      </c>
      <c r="J588" s="4" t="str">
        <f>IFERROR(IF(G588&gt;0, H588/G588, 0),"-")</f>
        <v>-</v>
      </c>
      <c r="K588" s="34" t="s">
        <v>959</v>
      </c>
      <c r="L588" s="35" t="s">
        <v>959</v>
      </c>
      <c r="M588" s="34" t="str">
        <f>IF(OR(L588="-",L588="",L588=0),IF(K588="-","-",K588),K588-L588)</f>
        <v>-</v>
      </c>
      <c r="N588" s="4" t="str">
        <f>IFERROR(IF(K588&gt;0, L588/K588, 0),"-")</f>
        <v>-</v>
      </c>
      <c r="O588" s="34" t="s">
        <v>959</v>
      </c>
      <c r="P588" s="35" t="s">
        <v>959</v>
      </c>
      <c r="Q588" s="34" t="str">
        <f>IF(OR(P588="-",P588="",P588=0),IF(O588="-","-",O588),O588-P588)</f>
        <v>-</v>
      </c>
      <c r="R588" s="4" t="str">
        <f>IFERROR(IF(O588&gt;0, P588/O588, 0),"-")</f>
        <v>-</v>
      </c>
      <c r="S588" s="34">
        <v>1</v>
      </c>
      <c r="T588" s="34" t="s">
        <v>959</v>
      </c>
      <c r="U588" s="34" t="s">
        <v>959</v>
      </c>
      <c r="V588" s="35" t="s">
        <v>959</v>
      </c>
      <c r="W588" s="35" t="s">
        <v>959</v>
      </c>
    </row>
    <row r="589" spans="1:23" x14ac:dyDescent="0.2">
      <c r="A589" s="30" t="s">
        <v>666</v>
      </c>
      <c r="B589" s="30" t="s">
        <v>1282</v>
      </c>
      <c r="C589" s="34">
        <v>85</v>
      </c>
      <c r="D589" s="35">
        <v>82</v>
      </c>
      <c r="E589" s="34">
        <f>IF(OR(D589="-",D589="",D589=0),IF(C589="-","-",C589),C589-D589)</f>
        <v>3</v>
      </c>
      <c r="F589" s="4">
        <f>IFERROR(IF(C589&gt;0, D589/C589, 0),"-")</f>
        <v>0.96470588235294119</v>
      </c>
      <c r="G589" s="34">
        <v>5</v>
      </c>
      <c r="H589" s="35">
        <v>2</v>
      </c>
      <c r="I589" s="34">
        <f>IF(OR(H589="-",H589="",H589=0),IF(G589="-","-",G589),G589-H589)</f>
        <v>3</v>
      </c>
      <c r="J589" s="4">
        <f>IFERROR(IF(G589&gt;0, H589/G589, 0),"-")</f>
        <v>0.4</v>
      </c>
      <c r="K589" s="34">
        <v>2</v>
      </c>
      <c r="L589" s="35" t="s">
        <v>959</v>
      </c>
      <c r="M589" s="34">
        <f>IF(OR(L589="-",L589="",L589=0),IF(K589="-","-",K589),K589-L589)</f>
        <v>2</v>
      </c>
      <c r="N589" s="4" t="str">
        <f>IFERROR(IF(K589&gt;0, L589/K589, 0),"-")</f>
        <v>-</v>
      </c>
      <c r="O589" s="34">
        <v>3</v>
      </c>
      <c r="P589" s="35" t="s">
        <v>959</v>
      </c>
      <c r="Q589" s="34">
        <f>IF(OR(P589="-",P589="",P589=0),IF(O589="-","-",O589),O589-P589)</f>
        <v>3</v>
      </c>
      <c r="R589" s="4" t="str">
        <f>IFERROR(IF(O589&gt;0, P589/O589, 0),"-")</f>
        <v>-</v>
      </c>
      <c r="S589" s="34" t="s">
        <v>959</v>
      </c>
      <c r="T589" s="34" t="s">
        <v>959</v>
      </c>
      <c r="U589" s="34" t="s">
        <v>959</v>
      </c>
      <c r="V589" s="35" t="s">
        <v>959</v>
      </c>
      <c r="W589" s="35" t="s">
        <v>959</v>
      </c>
    </row>
    <row r="590" spans="1:23" x14ac:dyDescent="0.2">
      <c r="A590" s="30" t="s">
        <v>665</v>
      </c>
      <c r="B590" s="30" t="s">
        <v>1283</v>
      </c>
      <c r="C590" s="34">
        <v>93</v>
      </c>
      <c r="D590" s="35">
        <v>86</v>
      </c>
      <c r="E590" s="34">
        <f>IF(OR(D590="-",D590="",D590=0),IF(C590="-","-",C590),C590-D590)</f>
        <v>7</v>
      </c>
      <c r="F590" s="4">
        <f>IFERROR(IF(C590&gt;0, D590/C590, 0),"-")</f>
        <v>0.92473118279569888</v>
      </c>
      <c r="G590" s="34">
        <v>1</v>
      </c>
      <c r="H590" s="35" t="s">
        <v>959</v>
      </c>
      <c r="I590" s="34">
        <f>IF(OR(H590="-",H590="",H590=0),IF(G590="-","-",G590),G590-H590)</f>
        <v>1</v>
      </c>
      <c r="J590" s="4" t="str">
        <f>IFERROR(IF(G590&gt;0, H590/G590, 0),"-")</f>
        <v>-</v>
      </c>
      <c r="K590" s="34" t="s">
        <v>959</v>
      </c>
      <c r="L590" s="35" t="s">
        <v>959</v>
      </c>
      <c r="M590" s="34" t="str">
        <f>IF(OR(L590="-",L590="",L590=0),IF(K590="-","-",K590),K590-L590)</f>
        <v>-</v>
      </c>
      <c r="N590" s="4" t="str">
        <f>IFERROR(IF(K590&gt;0, L590/K590, 0),"-")</f>
        <v>-</v>
      </c>
      <c r="O590" s="34">
        <v>1</v>
      </c>
      <c r="P590" s="35" t="s">
        <v>959</v>
      </c>
      <c r="Q590" s="34">
        <f>IF(OR(P590="-",P590="",P590=0),IF(O590="-","-",O590),O590-P590)</f>
        <v>1</v>
      </c>
      <c r="R590" s="4" t="str">
        <f>IFERROR(IF(O590&gt;0, P590/O590, 0),"-")</f>
        <v>-</v>
      </c>
      <c r="S590" s="34" t="s">
        <v>959</v>
      </c>
      <c r="T590" s="34" t="s">
        <v>959</v>
      </c>
      <c r="U590" s="34" t="s">
        <v>959</v>
      </c>
      <c r="V590" s="35" t="s">
        <v>959</v>
      </c>
      <c r="W590" s="35" t="s">
        <v>959</v>
      </c>
    </row>
    <row r="591" spans="1:23" x14ac:dyDescent="0.2">
      <c r="A591" s="30" t="s">
        <v>667</v>
      </c>
      <c r="B591" s="30" t="s">
        <v>1284</v>
      </c>
      <c r="C591" s="34">
        <v>91</v>
      </c>
      <c r="D591" s="35">
        <v>81</v>
      </c>
      <c r="E591" s="34">
        <f>IF(OR(D591="-",D591="",D591=0),IF(C591="-","-",C591),C591-D591)</f>
        <v>10</v>
      </c>
      <c r="F591" s="4">
        <f>IFERROR(IF(C591&gt;0, D591/C591, 0),"-")</f>
        <v>0.89010989010989006</v>
      </c>
      <c r="G591" s="34" t="s">
        <v>959</v>
      </c>
      <c r="H591" s="35" t="s">
        <v>959</v>
      </c>
      <c r="I591" s="34" t="str">
        <f>IF(OR(H591="-",H591="",H591=0),IF(G591="-","-",G591),G591-H591)</f>
        <v>-</v>
      </c>
      <c r="J591" s="4" t="str">
        <f>IFERROR(IF(G591&gt;0, H591/G591, 0),"-")</f>
        <v>-</v>
      </c>
      <c r="K591" s="34" t="s">
        <v>959</v>
      </c>
      <c r="L591" s="35" t="s">
        <v>959</v>
      </c>
      <c r="M591" s="34" t="str">
        <f>IF(OR(L591="-",L591="",L591=0),IF(K591="-","-",K591),K591-L591)</f>
        <v>-</v>
      </c>
      <c r="N591" s="4" t="str">
        <f>IFERROR(IF(K591&gt;0, L591/K591, 0),"-")</f>
        <v>-</v>
      </c>
      <c r="O591" s="34" t="s">
        <v>959</v>
      </c>
      <c r="P591" s="35" t="s">
        <v>959</v>
      </c>
      <c r="Q591" s="34" t="str">
        <f>IF(OR(P591="-",P591="",P591=0),IF(O591="-","-",O591),O591-P591)</f>
        <v>-</v>
      </c>
      <c r="R591" s="4" t="str">
        <f>IFERROR(IF(O591&gt;0, P591/O591, 0),"-")</f>
        <v>-</v>
      </c>
      <c r="S591" s="34" t="s">
        <v>959</v>
      </c>
      <c r="T591" s="34" t="s">
        <v>959</v>
      </c>
      <c r="U591" s="34" t="s">
        <v>959</v>
      </c>
      <c r="V591" s="35" t="s">
        <v>959</v>
      </c>
      <c r="W591" s="35" t="s">
        <v>959</v>
      </c>
    </row>
    <row r="592" spans="1:23" x14ac:dyDescent="0.2">
      <c r="A592" s="30" t="s">
        <v>668</v>
      </c>
      <c r="B592" s="30" t="s">
        <v>1285</v>
      </c>
      <c r="C592" s="34">
        <v>54</v>
      </c>
      <c r="D592" s="35">
        <v>52</v>
      </c>
      <c r="E592" s="34">
        <f>IF(OR(D592="-",D592="",D592=0),IF(C592="-","-",C592),C592-D592)</f>
        <v>2</v>
      </c>
      <c r="F592" s="4">
        <f>IFERROR(IF(C592&gt;0, D592/C592, 0),"-")</f>
        <v>0.96296296296296291</v>
      </c>
      <c r="G592" s="34">
        <v>1</v>
      </c>
      <c r="H592" s="35" t="s">
        <v>959</v>
      </c>
      <c r="I592" s="34">
        <f>IF(OR(H592="-",H592="",H592=0),IF(G592="-","-",G592),G592-H592)</f>
        <v>1</v>
      </c>
      <c r="J592" s="4" t="str">
        <f>IFERROR(IF(G592&gt;0, H592/G592, 0),"-")</f>
        <v>-</v>
      </c>
      <c r="K592" s="34" t="s">
        <v>959</v>
      </c>
      <c r="L592" s="35" t="s">
        <v>959</v>
      </c>
      <c r="M592" s="34" t="str">
        <f>IF(OR(L592="-",L592="",L592=0),IF(K592="-","-",K592),K592-L592)</f>
        <v>-</v>
      </c>
      <c r="N592" s="4" t="str">
        <f>IFERROR(IF(K592&gt;0, L592/K592, 0),"-")</f>
        <v>-</v>
      </c>
      <c r="O592" s="34" t="s">
        <v>959</v>
      </c>
      <c r="P592" s="35" t="s">
        <v>959</v>
      </c>
      <c r="Q592" s="34" t="str">
        <f>IF(OR(P592="-",P592="",P592=0),IF(O592="-","-",O592),O592-P592)</f>
        <v>-</v>
      </c>
      <c r="R592" s="4" t="str">
        <f>IFERROR(IF(O592&gt;0, P592/O592, 0),"-")</f>
        <v>-</v>
      </c>
      <c r="S592" s="34" t="s">
        <v>959</v>
      </c>
      <c r="T592" s="34" t="s">
        <v>959</v>
      </c>
      <c r="U592" s="34" t="s">
        <v>959</v>
      </c>
      <c r="V592" s="35" t="s">
        <v>959</v>
      </c>
      <c r="W592" s="35" t="s">
        <v>959</v>
      </c>
    </row>
    <row r="593" spans="1:23" x14ac:dyDescent="0.2">
      <c r="A593" s="29"/>
      <c r="B593" s="29" t="s">
        <v>117</v>
      </c>
      <c r="C593" s="32">
        <v>464</v>
      </c>
      <c r="D593" s="32">
        <v>454</v>
      </c>
      <c r="E593" s="32">
        <f>IF(OR(D593="-",D593="",D593=0),IF(C593="-","-",C593),C593-D593)</f>
        <v>10</v>
      </c>
      <c r="F593" s="36">
        <f>IFERROR(IF(C593&gt;0, D593/C593, 0),"-")</f>
        <v>0.97844827586206895</v>
      </c>
      <c r="G593" s="32">
        <v>2</v>
      </c>
      <c r="H593" s="32" t="s">
        <v>959</v>
      </c>
      <c r="I593" s="32">
        <f>IF(OR(H593="-",H593="",H593=0),IF(G593="-","-",G593),G593-H593)</f>
        <v>2</v>
      </c>
      <c r="J593" s="36" t="str">
        <f>IFERROR(IF(G593&gt;0, H593/G593, 0),"-")</f>
        <v>-</v>
      </c>
      <c r="K593" s="32">
        <v>1</v>
      </c>
      <c r="L593" s="32" t="s">
        <v>959</v>
      </c>
      <c r="M593" s="32">
        <f>IF(OR(L593="-",L593="",L593=0),IF(K593="-","-",K593),K593-L593)</f>
        <v>1</v>
      </c>
      <c r="N593" s="36" t="str">
        <f>IFERROR(IF(K593&gt;0, L593/K593, 0),"-")</f>
        <v>-</v>
      </c>
      <c r="O593" s="32">
        <v>1</v>
      </c>
      <c r="P593" s="32" t="s">
        <v>959</v>
      </c>
      <c r="Q593" s="32">
        <f>IF(OR(P593="-",P593="",P593=0),IF(O593="-","-",O593),O593-P593)</f>
        <v>1</v>
      </c>
      <c r="R593" s="36" t="str">
        <f>IFERROR(IF(O593&gt;0, P593/O593, 0),"-")</f>
        <v>-</v>
      </c>
      <c r="S593" s="32">
        <v>2</v>
      </c>
      <c r="T593" s="32" t="s">
        <v>959</v>
      </c>
      <c r="U593" s="32" t="s">
        <v>959</v>
      </c>
      <c r="V593" s="32" t="s">
        <v>959</v>
      </c>
      <c r="W593" s="32" t="s">
        <v>959</v>
      </c>
    </row>
    <row r="594" spans="1:23" x14ac:dyDescent="0.2">
      <c r="A594" s="30" t="s">
        <v>839</v>
      </c>
      <c r="B594" s="30" t="s">
        <v>1286</v>
      </c>
      <c r="C594" s="34">
        <v>8</v>
      </c>
      <c r="D594" s="35">
        <v>8</v>
      </c>
      <c r="E594" s="34">
        <f>IF(OR(D594="-",D594="",D594=0),IF(C594="-","-",C594),C594-D594)</f>
        <v>0</v>
      </c>
      <c r="F594" s="4">
        <f>IFERROR(IF(C594&gt;0, D594/C594, 0),"-")</f>
        <v>1</v>
      </c>
      <c r="G594" s="34" t="s">
        <v>959</v>
      </c>
      <c r="H594" s="35" t="s">
        <v>959</v>
      </c>
      <c r="I594" s="34" t="str">
        <f>IF(OR(H594="-",H594="",H594=0),IF(G594="-","-",G594),G594-H594)</f>
        <v>-</v>
      </c>
      <c r="J594" s="4" t="str">
        <f>IFERROR(IF(G594&gt;0, H594/G594, 0),"-")</f>
        <v>-</v>
      </c>
      <c r="K594" s="34" t="s">
        <v>959</v>
      </c>
      <c r="L594" s="35" t="s">
        <v>959</v>
      </c>
      <c r="M594" s="34" t="str">
        <f>IF(OR(L594="-",L594="",L594=0),IF(K594="-","-",K594),K594-L594)</f>
        <v>-</v>
      </c>
      <c r="N594" s="4" t="str">
        <f>IFERROR(IF(K594&gt;0, L594/K594, 0),"-")</f>
        <v>-</v>
      </c>
      <c r="O594" s="34" t="s">
        <v>959</v>
      </c>
      <c r="P594" s="35" t="s">
        <v>959</v>
      </c>
      <c r="Q594" s="34" t="str">
        <f>IF(OR(P594="-",P594="",P594=0),IF(O594="-","-",O594),O594-P594)</f>
        <v>-</v>
      </c>
      <c r="R594" s="4" t="str">
        <f>IFERROR(IF(O594&gt;0, P594/O594, 0),"-")</f>
        <v>-</v>
      </c>
      <c r="S594" s="34">
        <v>1</v>
      </c>
      <c r="T594" s="34" t="s">
        <v>959</v>
      </c>
      <c r="U594" s="34" t="s">
        <v>959</v>
      </c>
      <c r="V594" s="35" t="s">
        <v>959</v>
      </c>
      <c r="W594" s="35" t="s">
        <v>959</v>
      </c>
    </row>
    <row r="595" spans="1:23" x14ac:dyDescent="0.2">
      <c r="A595" s="30" t="s">
        <v>837</v>
      </c>
      <c r="B595" s="30" t="s">
        <v>1287</v>
      </c>
      <c r="C595" s="34">
        <v>83</v>
      </c>
      <c r="D595" s="35">
        <v>82</v>
      </c>
      <c r="E595" s="34">
        <f>IF(OR(D595="-",D595="",D595=0),IF(C595="-","-",C595),C595-D595)</f>
        <v>1</v>
      </c>
      <c r="F595" s="4">
        <f>IFERROR(IF(C595&gt;0, D595/C595, 0),"-")</f>
        <v>0.98795180722891562</v>
      </c>
      <c r="G595" s="34" t="s">
        <v>959</v>
      </c>
      <c r="H595" s="35" t="s">
        <v>959</v>
      </c>
      <c r="I595" s="34" t="str">
        <f>IF(OR(H595="-",H595="",H595=0),IF(G595="-","-",G595),G595-H595)</f>
        <v>-</v>
      </c>
      <c r="J595" s="4" t="str">
        <f>IFERROR(IF(G595&gt;0, H595/G595, 0),"-")</f>
        <v>-</v>
      </c>
      <c r="K595" s="34" t="s">
        <v>959</v>
      </c>
      <c r="L595" s="35" t="s">
        <v>959</v>
      </c>
      <c r="M595" s="34" t="str">
        <f>IF(OR(L595="-",L595="",L595=0),IF(K595="-","-",K595),K595-L595)</f>
        <v>-</v>
      </c>
      <c r="N595" s="4" t="str">
        <f>IFERROR(IF(K595&gt;0, L595/K595, 0),"-")</f>
        <v>-</v>
      </c>
      <c r="O595" s="34">
        <v>1</v>
      </c>
      <c r="P595" s="35" t="s">
        <v>959</v>
      </c>
      <c r="Q595" s="34">
        <f>IF(OR(P595="-",P595="",P595=0),IF(O595="-","-",O595),O595-P595)</f>
        <v>1</v>
      </c>
      <c r="R595" s="4" t="str">
        <f>IFERROR(IF(O595&gt;0, P595/O595, 0),"-")</f>
        <v>-</v>
      </c>
      <c r="S595" s="34" t="s">
        <v>959</v>
      </c>
      <c r="T595" s="34" t="s">
        <v>959</v>
      </c>
      <c r="U595" s="34" t="s">
        <v>959</v>
      </c>
      <c r="V595" s="35" t="s">
        <v>959</v>
      </c>
      <c r="W595" s="35" t="s">
        <v>959</v>
      </c>
    </row>
    <row r="596" spans="1:23" x14ac:dyDescent="0.2">
      <c r="A596" s="30" t="s">
        <v>835</v>
      </c>
      <c r="B596" s="30" t="s">
        <v>1288</v>
      </c>
      <c r="C596" s="34">
        <v>77</v>
      </c>
      <c r="D596" s="35">
        <v>77</v>
      </c>
      <c r="E596" s="34">
        <f>IF(OR(D596="-",D596="",D596=0),IF(C596="-","-",C596),C596-D596)</f>
        <v>0</v>
      </c>
      <c r="F596" s="4">
        <f>IFERROR(IF(C596&gt;0, D596/C596, 0),"-")</f>
        <v>1</v>
      </c>
      <c r="G596" s="34" t="s">
        <v>959</v>
      </c>
      <c r="H596" s="35" t="s">
        <v>959</v>
      </c>
      <c r="I596" s="34" t="str">
        <f>IF(OR(H596="-",H596="",H596=0),IF(G596="-","-",G596),G596-H596)</f>
        <v>-</v>
      </c>
      <c r="J596" s="4" t="str">
        <f>IFERROR(IF(G596&gt;0, H596/G596, 0),"-")</f>
        <v>-</v>
      </c>
      <c r="K596" s="34" t="s">
        <v>959</v>
      </c>
      <c r="L596" s="35" t="s">
        <v>959</v>
      </c>
      <c r="M596" s="34" t="str">
        <f>IF(OR(L596="-",L596="",L596=0),IF(K596="-","-",K596),K596-L596)</f>
        <v>-</v>
      </c>
      <c r="N596" s="4" t="str">
        <f>IFERROR(IF(K596&gt;0, L596/K596, 0),"-")</f>
        <v>-</v>
      </c>
      <c r="O596" s="34" t="s">
        <v>959</v>
      </c>
      <c r="P596" s="35" t="s">
        <v>959</v>
      </c>
      <c r="Q596" s="34" t="str">
        <f>IF(OR(P596="-",P596="",P596=0),IF(O596="-","-",O596),O596-P596)</f>
        <v>-</v>
      </c>
      <c r="R596" s="4" t="str">
        <f>IFERROR(IF(O596&gt;0, P596/O596, 0),"-")</f>
        <v>-</v>
      </c>
      <c r="S596" s="34" t="s">
        <v>959</v>
      </c>
      <c r="T596" s="34" t="s">
        <v>959</v>
      </c>
      <c r="U596" s="34" t="s">
        <v>959</v>
      </c>
      <c r="V596" s="35" t="s">
        <v>959</v>
      </c>
      <c r="W596" s="35" t="s">
        <v>959</v>
      </c>
    </row>
    <row r="597" spans="1:23" x14ac:dyDescent="0.2">
      <c r="A597" s="30" t="s">
        <v>836</v>
      </c>
      <c r="B597" s="30" t="s">
        <v>1289</v>
      </c>
      <c r="C597" s="34">
        <v>86</v>
      </c>
      <c r="D597" s="35">
        <v>82</v>
      </c>
      <c r="E597" s="34">
        <f>IF(OR(D597="-",D597="",D597=0),IF(C597="-","-",C597),C597-D597)</f>
        <v>4</v>
      </c>
      <c r="F597" s="4">
        <f>IFERROR(IF(C597&gt;0, D597/C597, 0),"-")</f>
        <v>0.95348837209302328</v>
      </c>
      <c r="G597" s="34">
        <v>1</v>
      </c>
      <c r="H597" s="35" t="s">
        <v>959</v>
      </c>
      <c r="I597" s="34">
        <f>IF(OR(H597="-",H597="",H597=0),IF(G597="-","-",G597),G597-H597)</f>
        <v>1</v>
      </c>
      <c r="J597" s="4" t="str">
        <f>IFERROR(IF(G597&gt;0, H597/G597, 0),"-")</f>
        <v>-</v>
      </c>
      <c r="K597" s="34" t="s">
        <v>959</v>
      </c>
      <c r="L597" s="35" t="s">
        <v>959</v>
      </c>
      <c r="M597" s="34" t="str">
        <f>IF(OR(L597="-",L597="",L597=0),IF(K597="-","-",K597),K597-L597)</f>
        <v>-</v>
      </c>
      <c r="N597" s="4" t="str">
        <f>IFERROR(IF(K597&gt;0, L597/K597, 0),"-")</f>
        <v>-</v>
      </c>
      <c r="O597" s="34" t="s">
        <v>959</v>
      </c>
      <c r="P597" s="35" t="s">
        <v>959</v>
      </c>
      <c r="Q597" s="34" t="str">
        <f>IF(OR(P597="-",P597="",P597=0),IF(O597="-","-",O597),O597-P597)</f>
        <v>-</v>
      </c>
      <c r="R597" s="4" t="str">
        <f>IFERROR(IF(O597&gt;0, P597/O597, 0),"-")</f>
        <v>-</v>
      </c>
      <c r="S597" s="34">
        <v>1</v>
      </c>
      <c r="T597" s="34" t="s">
        <v>959</v>
      </c>
      <c r="U597" s="34" t="s">
        <v>959</v>
      </c>
      <c r="V597" s="35" t="s">
        <v>959</v>
      </c>
      <c r="W597" s="35" t="s">
        <v>959</v>
      </c>
    </row>
    <row r="598" spans="1:23" x14ac:dyDescent="0.2">
      <c r="A598" s="30" t="s">
        <v>838</v>
      </c>
      <c r="B598" s="30" t="s">
        <v>1290</v>
      </c>
      <c r="C598" s="34">
        <v>117</v>
      </c>
      <c r="D598" s="35">
        <v>113</v>
      </c>
      <c r="E598" s="34">
        <f>IF(OR(D598="-",D598="",D598=0),IF(C598="-","-",C598),C598-D598)</f>
        <v>4</v>
      </c>
      <c r="F598" s="4">
        <f>IFERROR(IF(C598&gt;0, D598/C598, 0),"-")</f>
        <v>0.96581196581196582</v>
      </c>
      <c r="G598" s="34" t="s">
        <v>959</v>
      </c>
      <c r="H598" s="35" t="s">
        <v>959</v>
      </c>
      <c r="I598" s="34" t="str">
        <f>IF(OR(H598="-",H598="",H598=0),IF(G598="-","-",G598),G598-H598)</f>
        <v>-</v>
      </c>
      <c r="J598" s="4" t="str">
        <f>IFERROR(IF(G598&gt;0, H598/G598, 0),"-")</f>
        <v>-</v>
      </c>
      <c r="K598" s="34" t="s">
        <v>959</v>
      </c>
      <c r="L598" s="35" t="s">
        <v>959</v>
      </c>
      <c r="M598" s="34" t="str">
        <f>IF(OR(L598="-",L598="",L598=0),IF(K598="-","-",K598),K598-L598)</f>
        <v>-</v>
      </c>
      <c r="N598" s="4" t="str">
        <f>IFERROR(IF(K598&gt;0, L598/K598, 0),"-")</f>
        <v>-</v>
      </c>
      <c r="O598" s="34" t="s">
        <v>959</v>
      </c>
      <c r="P598" s="35" t="s">
        <v>959</v>
      </c>
      <c r="Q598" s="34" t="str">
        <f>IF(OR(P598="-",P598="",P598=0),IF(O598="-","-",O598),O598-P598)</f>
        <v>-</v>
      </c>
      <c r="R598" s="4" t="str">
        <f>IFERROR(IF(O598&gt;0, P598/O598, 0),"-")</f>
        <v>-</v>
      </c>
      <c r="S598" s="34" t="s">
        <v>959</v>
      </c>
      <c r="T598" s="34" t="s">
        <v>959</v>
      </c>
      <c r="U598" s="34" t="s">
        <v>959</v>
      </c>
      <c r="V598" s="35" t="s">
        <v>959</v>
      </c>
      <c r="W598" s="35" t="s">
        <v>959</v>
      </c>
    </row>
    <row r="599" spans="1:23" x14ac:dyDescent="0.2">
      <c r="A599" s="30" t="s">
        <v>834</v>
      </c>
      <c r="B599" s="30" t="s">
        <v>1291</v>
      </c>
      <c r="C599" s="34">
        <v>93</v>
      </c>
      <c r="D599" s="35">
        <v>92</v>
      </c>
      <c r="E599" s="34">
        <f>IF(OR(D599="-",D599="",D599=0),IF(C599="-","-",C599),C599-D599)</f>
        <v>1</v>
      </c>
      <c r="F599" s="4">
        <f>IFERROR(IF(C599&gt;0, D599/C599, 0),"-")</f>
        <v>0.989247311827957</v>
      </c>
      <c r="G599" s="34">
        <v>1</v>
      </c>
      <c r="H599" s="35" t="s">
        <v>959</v>
      </c>
      <c r="I599" s="34">
        <f>IF(OR(H599="-",H599="",H599=0),IF(G599="-","-",G599),G599-H599)</f>
        <v>1</v>
      </c>
      <c r="J599" s="4" t="str">
        <f>IFERROR(IF(G599&gt;0, H599/G599, 0),"-")</f>
        <v>-</v>
      </c>
      <c r="K599" s="34">
        <v>1</v>
      </c>
      <c r="L599" s="35" t="s">
        <v>959</v>
      </c>
      <c r="M599" s="34">
        <f>IF(OR(L599="-",L599="",L599=0),IF(K599="-","-",K599),K599-L599)</f>
        <v>1</v>
      </c>
      <c r="N599" s="4" t="str">
        <f>IFERROR(IF(K599&gt;0, L599/K599, 0),"-")</f>
        <v>-</v>
      </c>
      <c r="O599" s="34" t="s">
        <v>959</v>
      </c>
      <c r="P599" s="35" t="s">
        <v>959</v>
      </c>
      <c r="Q599" s="34" t="str">
        <f>IF(OR(P599="-",P599="",P599=0),IF(O599="-","-",O599),O599-P599)</f>
        <v>-</v>
      </c>
      <c r="R599" s="4" t="str">
        <f>IFERROR(IF(O599&gt;0, P599/O599, 0),"-")</f>
        <v>-</v>
      </c>
      <c r="S599" s="34" t="s">
        <v>959</v>
      </c>
      <c r="T599" s="34" t="s">
        <v>959</v>
      </c>
      <c r="U599" s="34" t="s">
        <v>959</v>
      </c>
      <c r="V599" s="35" t="s">
        <v>959</v>
      </c>
      <c r="W599" s="35" t="s">
        <v>959</v>
      </c>
    </row>
    <row r="600" spans="1:23" x14ac:dyDescent="0.2">
      <c r="A600" s="29"/>
      <c r="B600" s="29" t="s">
        <v>49</v>
      </c>
      <c r="C600" s="32">
        <v>606</v>
      </c>
      <c r="D600" s="32">
        <v>592</v>
      </c>
      <c r="E600" s="32">
        <f>IF(OR(D600="-",D600="",D600=0),IF(C600="-","-",C600),C600-D600)</f>
        <v>14</v>
      </c>
      <c r="F600" s="36">
        <f>IFERROR(IF(C600&gt;0, D600/C600, 0),"-")</f>
        <v>0.97689768976897695</v>
      </c>
      <c r="G600" s="32">
        <v>4</v>
      </c>
      <c r="H600" s="32">
        <v>1</v>
      </c>
      <c r="I600" s="32">
        <f>IF(OR(H600="-",H600="",H600=0),IF(G600="-","-",G600),G600-H600)</f>
        <v>3</v>
      </c>
      <c r="J600" s="36">
        <f>IFERROR(IF(G600&gt;0, H600/G600, 0),"-")</f>
        <v>0.25</v>
      </c>
      <c r="K600" s="32">
        <v>1</v>
      </c>
      <c r="L600" s="32" t="s">
        <v>959</v>
      </c>
      <c r="M600" s="32">
        <f>IF(OR(L600="-",L600="",L600=0),IF(K600="-","-",K600),K600-L600)</f>
        <v>1</v>
      </c>
      <c r="N600" s="36" t="str">
        <f>IFERROR(IF(K600&gt;0, L600/K600, 0),"-")</f>
        <v>-</v>
      </c>
      <c r="O600" s="32">
        <v>1</v>
      </c>
      <c r="P600" s="32">
        <v>1</v>
      </c>
      <c r="Q600" s="32">
        <f>IF(OR(P600="-",P600="",P600=0),IF(O600="-","-",O600),O600-P600)</f>
        <v>0</v>
      </c>
      <c r="R600" s="36">
        <f>IFERROR(IF(O600&gt;0, P600/O600, 0),"-")</f>
        <v>1</v>
      </c>
      <c r="S600" s="32">
        <v>1</v>
      </c>
      <c r="T600" s="32">
        <v>1</v>
      </c>
      <c r="U600" s="32">
        <v>500</v>
      </c>
      <c r="V600" s="32" t="s">
        <v>959</v>
      </c>
      <c r="W600" s="32" t="s">
        <v>959</v>
      </c>
    </row>
    <row r="601" spans="1:23" x14ac:dyDescent="0.2">
      <c r="A601" s="30" t="s">
        <v>270</v>
      </c>
      <c r="B601" s="30" t="s">
        <v>1292</v>
      </c>
      <c r="C601" s="34">
        <v>67</v>
      </c>
      <c r="D601" s="35">
        <v>66</v>
      </c>
      <c r="E601" s="34">
        <f>IF(OR(D601="-",D601="",D601=0),IF(C601="-","-",C601),C601-D601)</f>
        <v>1</v>
      </c>
      <c r="F601" s="4">
        <f>IFERROR(IF(C601&gt;0, D601/C601, 0),"-")</f>
        <v>0.9850746268656716</v>
      </c>
      <c r="G601" s="34">
        <v>1</v>
      </c>
      <c r="H601" s="35" t="s">
        <v>959</v>
      </c>
      <c r="I601" s="34">
        <f>IF(OR(H601="-",H601="",H601=0),IF(G601="-","-",G601),G601-H601)</f>
        <v>1</v>
      </c>
      <c r="J601" s="4" t="str">
        <f>IFERROR(IF(G601&gt;0, H601/G601, 0),"-")</f>
        <v>-</v>
      </c>
      <c r="K601" s="34" t="s">
        <v>959</v>
      </c>
      <c r="L601" s="35" t="s">
        <v>959</v>
      </c>
      <c r="M601" s="34" t="str">
        <f>IF(OR(L601="-",L601="",L601=0),IF(K601="-","-",K601),K601-L601)</f>
        <v>-</v>
      </c>
      <c r="N601" s="4" t="str">
        <f>IFERROR(IF(K601&gt;0, L601/K601, 0),"-")</f>
        <v>-</v>
      </c>
      <c r="O601" s="34" t="s">
        <v>959</v>
      </c>
      <c r="P601" s="35" t="s">
        <v>959</v>
      </c>
      <c r="Q601" s="34" t="str">
        <f>IF(OR(P601="-",P601="",P601=0),IF(O601="-","-",O601),O601-P601)</f>
        <v>-</v>
      </c>
      <c r="R601" s="4" t="str">
        <f>IFERROR(IF(O601&gt;0, P601/O601, 0),"-")</f>
        <v>-</v>
      </c>
      <c r="S601" s="34">
        <v>1</v>
      </c>
      <c r="T601" s="34">
        <v>1</v>
      </c>
      <c r="U601" s="34">
        <v>500</v>
      </c>
      <c r="V601" s="35" t="s">
        <v>959</v>
      </c>
      <c r="W601" s="35" t="s">
        <v>959</v>
      </c>
    </row>
    <row r="602" spans="1:23" x14ac:dyDescent="0.2">
      <c r="A602" s="30" t="s">
        <v>273</v>
      </c>
      <c r="B602" s="30" t="s">
        <v>1293</v>
      </c>
      <c r="C602" s="34">
        <v>74</v>
      </c>
      <c r="D602" s="35">
        <v>72</v>
      </c>
      <c r="E602" s="34">
        <f>IF(OR(D602="-",D602="",D602=0),IF(C602="-","-",C602),C602-D602)</f>
        <v>2</v>
      </c>
      <c r="F602" s="4">
        <f>IFERROR(IF(C602&gt;0, D602/C602, 0),"-")</f>
        <v>0.97297297297297303</v>
      </c>
      <c r="G602" s="34" t="s">
        <v>959</v>
      </c>
      <c r="H602" s="35" t="s">
        <v>959</v>
      </c>
      <c r="I602" s="34" t="str">
        <f>IF(OR(H602="-",H602="",H602=0),IF(G602="-","-",G602),G602-H602)</f>
        <v>-</v>
      </c>
      <c r="J602" s="4" t="str">
        <f>IFERROR(IF(G602&gt;0, H602/G602, 0),"-")</f>
        <v>-</v>
      </c>
      <c r="K602" s="34" t="s">
        <v>959</v>
      </c>
      <c r="L602" s="35" t="s">
        <v>959</v>
      </c>
      <c r="M602" s="34" t="str">
        <f>IF(OR(L602="-",L602="",L602=0),IF(K602="-","-",K602),K602-L602)</f>
        <v>-</v>
      </c>
      <c r="N602" s="4" t="str">
        <f>IFERROR(IF(K602&gt;0, L602/K602, 0),"-")</f>
        <v>-</v>
      </c>
      <c r="O602" s="34" t="s">
        <v>959</v>
      </c>
      <c r="P602" s="35" t="s">
        <v>959</v>
      </c>
      <c r="Q602" s="34" t="str">
        <f>IF(OR(P602="-",P602="",P602=0),IF(O602="-","-",O602),O602-P602)</f>
        <v>-</v>
      </c>
      <c r="R602" s="4" t="str">
        <f>IFERROR(IF(O602&gt;0, P602/O602, 0),"-")</f>
        <v>-</v>
      </c>
      <c r="S602" s="34" t="s">
        <v>959</v>
      </c>
      <c r="T602" s="34" t="s">
        <v>959</v>
      </c>
      <c r="U602" s="34" t="s">
        <v>959</v>
      </c>
      <c r="V602" s="35" t="s">
        <v>959</v>
      </c>
      <c r="W602" s="35" t="s">
        <v>959</v>
      </c>
    </row>
    <row r="603" spans="1:23" x14ac:dyDescent="0.2">
      <c r="A603" s="30" t="s">
        <v>268</v>
      </c>
      <c r="B603" s="30" t="s">
        <v>1294</v>
      </c>
      <c r="C603" s="34">
        <v>125</v>
      </c>
      <c r="D603" s="35">
        <v>122</v>
      </c>
      <c r="E603" s="34">
        <f>IF(OR(D603="-",D603="",D603=0),IF(C603="-","-",C603),C603-D603)</f>
        <v>3</v>
      </c>
      <c r="F603" s="4">
        <f>IFERROR(IF(C603&gt;0, D603/C603, 0),"-")</f>
        <v>0.97599999999999998</v>
      </c>
      <c r="G603" s="34">
        <v>2</v>
      </c>
      <c r="H603" s="35" t="s">
        <v>959</v>
      </c>
      <c r="I603" s="34">
        <f>IF(OR(H603="-",H603="",H603=0),IF(G603="-","-",G603),G603-H603)</f>
        <v>2</v>
      </c>
      <c r="J603" s="4" t="str">
        <f>IFERROR(IF(G603&gt;0, H603/G603, 0),"-")</f>
        <v>-</v>
      </c>
      <c r="K603" s="34" t="s">
        <v>959</v>
      </c>
      <c r="L603" s="35" t="s">
        <v>959</v>
      </c>
      <c r="M603" s="34" t="str">
        <f>IF(OR(L603="-",L603="",L603=0),IF(K603="-","-",K603),K603-L603)</f>
        <v>-</v>
      </c>
      <c r="N603" s="4" t="str">
        <f>IFERROR(IF(K603&gt;0, L603/K603, 0),"-")</f>
        <v>-</v>
      </c>
      <c r="O603" s="34" t="s">
        <v>959</v>
      </c>
      <c r="P603" s="35" t="s">
        <v>959</v>
      </c>
      <c r="Q603" s="34" t="str">
        <f>IF(OR(P603="-",P603="",P603=0),IF(O603="-","-",O603),O603-P603)</f>
        <v>-</v>
      </c>
      <c r="R603" s="4" t="str">
        <f>IFERROR(IF(O603&gt;0, P603/O603, 0),"-")</f>
        <v>-</v>
      </c>
      <c r="S603" s="34" t="s">
        <v>959</v>
      </c>
      <c r="T603" s="34" t="s">
        <v>959</v>
      </c>
      <c r="U603" s="34" t="s">
        <v>959</v>
      </c>
      <c r="V603" s="35" t="s">
        <v>959</v>
      </c>
      <c r="W603" s="35" t="s">
        <v>959</v>
      </c>
    </row>
    <row r="604" spans="1:23" x14ac:dyDescent="0.2">
      <c r="A604" s="30" t="s">
        <v>271</v>
      </c>
      <c r="B604" s="30" t="s">
        <v>1295</v>
      </c>
      <c r="C604" s="34">
        <v>90</v>
      </c>
      <c r="D604" s="35">
        <v>89</v>
      </c>
      <c r="E604" s="34">
        <f>IF(OR(D604="-",D604="",D604=0),IF(C604="-","-",C604),C604-D604)</f>
        <v>1</v>
      </c>
      <c r="F604" s="4">
        <f>IFERROR(IF(C604&gt;0, D604/C604, 0),"-")</f>
        <v>0.98888888888888893</v>
      </c>
      <c r="G604" s="34" t="s">
        <v>959</v>
      </c>
      <c r="H604" s="35" t="s">
        <v>959</v>
      </c>
      <c r="I604" s="34" t="str">
        <f>IF(OR(H604="-",H604="",H604=0),IF(G604="-","-",G604),G604-H604)</f>
        <v>-</v>
      </c>
      <c r="J604" s="4" t="str">
        <f>IFERROR(IF(G604&gt;0, H604/G604, 0),"-")</f>
        <v>-</v>
      </c>
      <c r="K604" s="34">
        <v>1</v>
      </c>
      <c r="L604" s="35" t="s">
        <v>959</v>
      </c>
      <c r="M604" s="34">
        <f>IF(OR(L604="-",L604="",L604=0),IF(K604="-","-",K604),K604-L604)</f>
        <v>1</v>
      </c>
      <c r="N604" s="4" t="str">
        <f>IFERROR(IF(K604&gt;0, L604/K604, 0),"-")</f>
        <v>-</v>
      </c>
      <c r="O604" s="34" t="s">
        <v>959</v>
      </c>
      <c r="P604" s="35" t="s">
        <v>959</v>
      </c>
      <c r="Q604" s="34" t="str">
        <f>IF(OR(P604="-",P604="",P604=0),IF(O604="-","-",O604),O604-P604)</f>
        <v>-</v>
      </c>
      <c r="R604" s="4" t="str">
        <f>IFERROR(IF(O604&gt;0, P604/O604, 0),"-")</f>
        <v>-</v>
      </c>
      <c r="S604" s="34" t="s">
        <v>959</v>
      </c>
      <c r="T604" s="34" t="s">
        <v>959</v>
      </c>
      <c r="U604" s="34" t="s">
        <v>959</v>
      </c>
      <c r="V604" s="35" t="s">
        <v>959</v>
      </c>
      <c r="W604" s="35" t="s">
        <v>959</v>
      </c>
    </row>
    <row r="605" spans="1:23" x14ac:dyDescent="0.2">
      <c r="A605" s="30" t="s">
        <v>269</v>
      </c>
      <c r="B605" s="30" t="s">
        <v>1296</v>
      </c>
      <c r="C605" s="34">
        <v>82</v>
      </c>
      <c r="D605" s="35">
        <v>80</v>
      </c>
      <c r="E605" s="34">
        <f>IF(OR(D605="-",D605="",D605=0),IF(C605="-","-",C605),C605-D605)</f>
        <v>2</v>
      </c>
      <c r="F605" s="4">
        <f>IFERROR(IF(C605&gt;0, D605/C605, 0),"-")</f>
        <v>0.97560975609756095</v>
      </c>
      <c r="G605" s="34" t="s">
        <v>959</v>
      </c>
      <c r="H605" s="35" t="s">
        <v>959</v>
      </c>
      <c r="I605" s="34" t="str">
        <f>IF(OR(H605="-",H605="",H605=0),IF(G605="-","-",G605),G605-H605)</f>
        <v>-</v>
      </c>
      <c r="J605" s="4" t="str">
        <f>IFERROR(IF(G605&gt;0, H605/G605, 0),"-")</f>
        <v>-</v>
      </c>
      <c r="K605" s="34" t="s">
        <v>959</v>
      </c>
      <c r="L605" s="35" t="s">
        <v>959</v>
      </c>
      <c r="M605" s="34" t="str">
        <f>IF(OR(L605="-",L605="",L605=0),IF(K605="-","-",K605),K605-L605)</f>
        <v>-</v>
      </c>
      <c r="N605" s="4" t="str">
        <f>IFERROR(IF(K605&gt;0, L605/K605, 0),"-")</f>
        <v>-</v>
      </c>
      <c r="O605" s="34" t="s">
        <v>959</v>
      </c>
      <c r="P605" s="35" t="s">
        <v>959</v>
      </c>
      <c r="Q605" s="34" t="str">
        <f>IF(OR(P605="-",P605="",P605=0),IF(O605="-","-",O605),O605-P605)</f>
        <v>-</v>
      </c>
      <c r="R605" s="4" t="str">
        <f>IFERROR(IF(O605&gt;0, P605/O605, 0),"-")</f>
        <v>-</v>
      </c>
      <c r="S605" s="34" t="s">
        <v>959</v>
      </c>
      <c r="T605" s="34" t="s">
        <v>959</v>
      </c>
      <c r="U605" s="34" t="s">
        <v>959</v>
      </c>
      <c r="V605" s="35" t="s">
        <v>959</v>
      </c>
      <c r="W605" s="35" t="s">
        <v>959</v>
      </c>
    </row>
    <row r="606" spans="1:23" x14ac:dyDescent="0.2">
      <c r="A606" s="30" t="s">
        <v>272</v>
      </c>
      <c r="B606" s="30" t="s">
        <v>1297</v>
      </c>
      <c r="C606" s="34">
        <v>168</v>
      </c>
      <c r="D606" s="35">
        <v>163</v>
      </c>
      <c r="E606" s="34">
        <f>IF(OR(D606="-",D606="",D606=0),IF(C606="-","-",C606),C606-D606)</f>
        <v>5</v>
      </c>
      <c r="F606" s="4">
        <f>IFERROR(IF(C606&gt;0, D606/C606, 0),"-")</f>
        <v>0.97023809523809523</v>
      </c>
      <c r="G606" s="34">
        <v>1</v>
      </c>
      <c r="H606" s="35">
        <v>1</v>
      </c>
      <c r="I606" s="34">
        <f>IF(OR(H606="-",H606="",H606=0),IF(G606="-","-",G606),G606-H606)</f>
        <v>0</v>
      </c>
      <c r="J606" s="4">
        <f>IFERROR(IF(G606&gt;0, H606/G606, 0),"-")</f>
        <v>1</v>
      </c>
      <c r="K606" s="34" t="s">
        <v>959</v>
      </c>
      <c r="L606" s="35" t="s">
        <v>959</v>
      </c>
      <c r="M606" s="34" t="str">
        <f>IF(OR(L606="-",L606="",L606=0),IF(K606="-","-",K606),K606-L606)</f>
        <v>-</v>
      </c>
      <c r="N606" s="4" t="str">
        <f>IFERROR(IF(K606&gt;0, L606/K606, 0),"-")</f>
        <v>-</v>
      </c>
      <c r="O606" s="34">
        <v>1</v>
      </c>
      <c r="P606" s="35">
        <v>1</v>
      </c>
      <c r="Q606" s="34">
        <f>IF(OR(P606="-",P606="",P606=0),IF(O606="-","-",O606),O606-P606)</f>
        <v>0</v>
      </c>
      <c r="R606" s="4">
        <f>IFERROR(IF(O606&gt;0, P606/O606, 0),"-")</f>
        <v>1</v>
      </c>
      <c r="S606" s="34" t="s">
        <v>959</v>
      </c>
      <c r="T606" s="34" t="s">
        <v>959</v>
      </c>
      <c r="U606" s="34" t="s">
        <v>959</v>
      </c>
      <c r="V606" s="35" t="s">
        <v>959</v>
      </c>
      <c r="W606" s="35" t="s">
        <v>959</v>
      </c>
    </row>
    <row r="607" spans="1:23" x14ac:dyDescent="0.2">
      <c r="A607" s="29"/>
      <c r="B607" s="29" t="s">
        <v>70</v>
      </c>
      <c r="C607" s="32">
        <v>449</v>
      </c>
      <c r="D607" s="32">
        <v>437</v>
      </c>
      <c r="E607" s="32">
        <f>IF(OR(D607="-",D607="",D607=0),IF(C607="-","-",C607),C607-D607)</f>
        <v>12</v>
      </c>
      <c r="F607" s="36">
        <f>IFERROR(IF(C607&gt;0, D607/C607, 0),"-")</f>
        <v>0.97327394209354123</v>
      </c>
      <c r="G607" s="32">
        <v>1</v>
      </c>
      <c r="H607" s="32" t="s">
        <v>959</v>
      </c>
      <c r="I607" s="32">
        <f>IF(OR(H607="-",H607="",H607=0),IF(G607="-","-",G607),G607-H607)</f>
        <v>1</v>
      </c>
      <c r="J607" s="36" t="str">
        <f>IFERROR(IF(G607&gt;0, H607/G607, 0),"-")</f>
        <v>-</v>
      </c>
      <c r="K607" s="32" t="s">
        <v>959</v>
      </c>
      <c r="L607" s="32" t="s">
        <v>959</v>
      </c>
      <c r="M607" s="32" t="str">
        <f>IF(OR(L607="-",L607="",L607=0),IF(K607="-","-",K607),K607-L607)</f>
        <v>-</v>
      </c>
      <c r="N607" s="36" t="str">
        <f>IFERROR(IF(K607&gt;0, L607/K607, 0),"-")</f>
        <v>-</v>
      </c>
      <c r="O607" s="32">
        <v>1</v>
      </c>
      <c r="P607" s="32" t="s">
        <v>959</v>
      </c>
      <c r="Q607" s="32">
        <f>IF(OR(P607="-",P607="",P607=0),IF(O607="-","-",O607),O607-P607)</f>
        <v>1</v>
      </c>
      <c r="R607" s="36" t="str">
        <f>IFERROR(IF(O607&gt;0, P607/O607, 0),"-")</f>
        <v>-</v>
      </c>
      <c r="S607" s="32">
        <v>1</v>
      </c>
      <c r="T607" s="32" t="s">
        <v>959</v>
      </c>
      <c r="U607" s="32" t="s">
        <v>959</v>
      </c>
      <c r="V607" s="32" t="s">
        <v>959</v>
      </c>
      <c r="W607" s="32" t="s">
        <v>959</v>
      </c>
    </row>
    <row r="608" spans="1:23" x14ac:dyDescent="0.2">
      <c r="A608" s="30" t="s">
        <v>466</v>
      </c>
      <c r="B608" s="30" t="s">
        <v>1298</v>
      </c>
      <c r="C608" s="34">
        <v>78</v>
      </c>
      <c r="D608" s="35">
        <v>77</v>
      </c>
      <c r="E608" s="34">
        <f>IF(OR(D608="-",D608="",D608=0),IF(C608="-","-",C608),C608-D608)</f>
        <v>1</v>
      </c>
      <c r="F608" s="4">
        <f>IFERROR(IF(C608&gt;0, D608/C608, 0),"-")</f>
        <v>0.98717948717948723</v>
      </c>
      <c r="G608" s="34" t="s">
        <v>959</v>
      </c>
      <c r="H608" s="35" t="s">
        <v>959</v>
      </c>
      <c r="I608" s="34" t="str">
        <f>IF(OR(H608="-",H608="",H608=0),IF(G608="-","-",G608),G608-H608)</f>
        <v>-</v>
      </c>
      <c r="J608" s="4" t="str">
        <f>IFERROR(IF(G608&gt;0, H608/G608, 0),"-")</f>
        <v>-</v>
      </c>
      <c r="K608" s="34" t="s">
        <v>959</v>
      </c>
      <c r="L608" s="35" t="s">
        <v>959</v>
      </c>
      <c r="M608" s="34" t="str">
        <f>IF(OR(L608="-",L608="",L608=0),IF(K608="-","-",K608),K608-L608)</f>
        <v>-</v>
      </c>
      <c r="N608" s="4" t="str">
        <f>IFERROR(IF(K608&gt;0, L608/K608, 0),"-")</f>
        <v>-</v>
      </c>
      <c r="O608" s="34" t="s">
        <v>959</v>
      </c>
      <c r="P608" s="35" t="s">
        <v>959</v>
      </c>
      <c r="Q608" s="34" t="str">
        <f>IF(OR(P608="-",P608="",P608=0),IF(O608="-","-",O608),O608-P608)</f>
        <v>-</v>
      </c>
      <c r="R608" s="4" t="str">
        <f>IFERROR(IF(O608&gt;0, P608/O608, 0),"-")</f>
        <v>-</v>
      </c>
      <c r="S608" s="34" t="s">
        <v>959</v>
      </c>
      <c r="T608" s="34" t="s">
        <v>959</v>
      </c>
      <c r="U608" s="34" t="s">
        <v>959</v>
      </c>
      <c r="V608" s="35" t="s">
        <v>959</v>
      </c>
      <c r="W608" s="35" t="s">
        <v>959</v>
      </c>
    </row>
    <row r="609" spans="1:23" x14ac:dyDescent="0.2">
      <c r="A609" s="30" t="s">
        <v>462</v>
      </c>
      <c r="B609" s="30" t="s">
        <v>1299</v>
      </c>
      <c r="C609" s="34">
        <v>102</v>
      </c>
      <c r="D609" s="35">
        <v>98</v>
      </c>
      <c r="E609" s="34">
        <f>IF(OR(D609="-",D609="",D609=0),IF(C609="-","-",C609),C609-D609)</f>
        <v>4</v>
      </c>
      <c r="F609" s="4">
        <f>IFERROR(IF(C609&gt;0, D609/C609, 0),"-")</f>
        <v>0.96078431372549022</v>
      </c>
      <c r="G609" s="34" t="s">
        <v>959</v>
      </c>
      <c r="H609" s="35" t="s">
        <v>959</v>
      </c>
      <c r="I609" s="34" t="str">
        <f>IF(OR(H609="-",H609="",H609=0),IF(G609="-","-",G609),G609-H609)</f>
        <v>-</v>
      </c>
      <c r="J609" s="4" t="str">
        <f>IFERROR(IF(G609&gt;0, H609/G609, 0),"-")</f>
        <v>-</v>
      </c>
      <c r="K609" s="34" t="s">
        <v>959</v>
      </c>
      <c r="L609" s="35" t="s">
        <v>959</v>
      </c>
      <c r="M609" s="34" t="str">
        <f>IF(OR(L609="-",L609="",L609=0),IF(K609="-","-",K609),K609-L609)</f>
        <v>-</v>
      </c>
      <c r="N609" s="4" t="str">
        <f>IFERROR(IF(K609&gt;0, L609/K609, 0),"-")</f>
        <v>-</v>
      </c>
      <c r="O609" s="34" t="s">
        <v>959</v>
      </c>
      <c r="P609" s="35" t="s">
        <v>959</v>
      </c>
      <c r="Q609" s="34" t="str">
        <f>IF(OR(P609="-",P609="",P609=0),IF(O609="-","-",O609),O609-P609)</f>
        <v>-</v>
      </c>
      <c r="R609" s="4" t="str">
        <f>IFERROR(IF(O609&gt;0, P609/O609, 0),"-")</f>
        <v>-</v>
      </c>
      <c r="S609" s="34">
        <v>1</v>
      </c>
      <c r="T609" s="34" t="s">
        <v>959</v>
      </c>
      <c r="U609" s="34" t="s">
        <v>959</v>
      </c>
      <c r="V609" s="35" t="s">
        <v>959</v>
      </c>
      <c r="W609" s="35" t="s">
        <v>959</v>
      </c>
    </row>
    <row r="610" spans="1:23" x14ac:dyDescent="0.2">
      <c r="A610" s="30" t="s">
        <v>467</v>
      </c>
      <c r="B610" s="30" t="s">
        <v>1300</v>
      </c>
      <c r="C610" s="34">
        <v>4</v>
      </c>
      <c r="D610" s="35">
        <v>4</v>
      </c>
      <c r="E610" s="34">
        <f>IF(OR(D610="-",D610="",D610=0),IF(C610="-","-",C610),C610-D610)</f>
        <v>0</v>
      </c>
      <c r="F610" s="4">
        <f>IFERROR(IF(C610&gt;0, D610/C610, 0),"-")</f>
        <v>1</v>
      </c>
      <c r="G610" s="34" t="s">
        <v>959</v>
      </c>
      <c r="H610" s="35" t="s">
        <v>959</v>
      </c>
      <c r="I610" s="34" t="str">
        <f>IF(OR(H610="-",H610="",H610=0),IF(G610="-","-",G610),G610-H610)</f>
        <v>-</v>
      </c>
      <c r="J610" s="4" t="str">
        <f>IFERROR(IF(G610&gt;0, H610/G610, 0),"-")</f>
        <v>-</v>
      </c>
      <c r="K610" s="34" t="s">
        <v>959</v>
      </c>
      <c r="L610" s="35" t="s">
        <v>959</v>
      </c>
      <c r="M610" s="34" t="str">
        <f>IF(OR(L610="-",L610="",L610=0),IF(K610="-","-",K610),K610-L610)</f>
        <v>-</v>
      </c>
      <c r="N610" s="4" t="str">
        <f>IFERROR(IF(K610&gt;0, L610/K610, 0),"-")</f>
        <v>-</v>
      </c>
      <c r="O610" s="34" t="s">
        <v>959</v>
      </c>
      <c r="P610" s="35" t="s">
        <v>959</v>
      </c>
      <c r="Q610" s="34" t="str">
        <f>IF(OR(P610="-",P610="",P610=0),IF(O610="-","-",O610),O610-P610)</f>
        <v>-</v>
      </c>
      <c r="R610" s="4" t="str">
        <f>IFERROR(IF(O610&gt;0, P610/O610, 0),"-")</f>
        <v>-</v>
      </c>
      <c r="S610" s="34" t="s">
        <v>959</v>
      </c>
      <c r="T610" s="34" t="s">
        <v>959</v>
      </c>
      <c r="U610" s="34" t="s">
        <v>959</v>
      </c>
      <c r="V610" s="35" t="s">
        <v>959</v>
      </c>
      <c r="W610" s="35" t="s">
        <v>959</v>
      </c>
    </row>
    <row r="611" spans="1:23" x14ac:dyDescent="0.2">
      <c r="A611" s="30" t="s">
        <v>464</v>
      </c>
      <c r="B611" s="30" t="s">
        <v>1301</v>
      </c>
      <c r="C611" s="34">
        <v>83</v>
      </c>
      <c r="D611" s="35">
        <v>81</v>
      </c>
      <c r="E611" s="34">
        <f>IF(OR(D611="-",D611="",D611=0),IF(C611="-","-",C611),C611-D611)</f>
        <v>2</v>
      </c>
      <c r="F611" s="4">
        <f>IFERROR(IF(C611&gt;0, D611/C611, 0),"-")</f>
        <v>0.97590361445783136</v>
      </c>
      <c r="G611" s="34" t="s">
        <v>959</v>
      </c>
      <c r="H611" s="35" t="s">
        <v>959</v>
      </c>
      <c r="I611" s="34" t="str">
        <f>IF(OR(H611="-",H611="",H611=0),IF(G611="-","-",G611),G611-H611)</f>
        <v>-</v>
      </c>
      <c r="J611" s="4" t="str">
        <f>IFERROR(IF(G611&gt;0, H611/G611, 0),"-")</f>
        <v>-</v>
      </c>
      <c r="K611" s="34" t="s">
        <v>959</v>
      </c>
      <c r="L611" s="35" t="s">
        <v>959</v>
      </c>
      <c r="M611" s="34" t="str">
        <f>IF(OR(L611="-",L611="",L611=0),IF(K611="-","-",K611),K611-L611)</f>
        <v>-</v>
      </c>
      <c r="N611" s="4" t="str">
        <f>IFERROR(IF(K611&gt;0, L611/K611, 0),"-")</f>
        <v>-</v>
      </c>
      <c r="O611" s="34" t="s">
        <v>959</v>
      </c>
      <c r="P611" s="35" t="s">
        <v>959</v>
      </c>
      <c r="Q611" s="34" t="str">
        <f>IF(OR(P611="-",P611="",P611=0),IF(O611="-","-",O611),O611-P611)</f>
        <v>-</v>
      </c>
      <c r="R611" s="4" t="str">
        <f>IFERROR(IF(O611&gt;0, P611/O611, 0),"-")</f>
        <v>-</v>
      </c>
      <c r="S611" s="34" t="s">
        <v>959</v>
      </c>
      <c r="T611" s="34" t="s">
        <v>959</v>
      </c>
      <c r="U611" s="34" t="s">
        <v>959</v>
      </c>
      <c r="V611" s="35" t="s">
        <v>959</v>
      </c>
      <c r="W611" s="35" t="s">
        <v>959</v>
      </c>
    </row>
    <row r="612" spans="1:23" x14ac:dyDescent="0.2">
      <c r="A612" s="30" t="s">
        <v>463</v>
      </c>
      <c r="B612" s="30" t="s">
        <v>1302</v>
      </c>
      <c r="C612" s="34">
        <v>95</v>
      </c>
      <c r="D612" s="35">
        <v>90</v>
      </c>
      <c r="E612" s="34">
        <f>IF(OR(D612="-",D612="",D612=0),IF(C612="-","-",C612),C612-D612)</f>
        <v>5</v>
      </c>
      <c r="F612" s="4">
        <f>IFERROR(IF(C612&gt;0, D612/C612, 0),"-")</f>
        <v>0.94736842105263153</v>
      </c>
      <c r="G612" s="34">
        <v>1</v>
      </c>
      <c r="H612" s="35" t="s">
        <v>959</v>
      </c>
      <c r="I612" s="34">
        <f>IF(OR(H612="-",H612="",H612=0),IF(G612="-","-",G612),G612-H612)</f>
        <v>1</v>
      </c>
      <c r="J612" s="4" t="str">
        <f>IFERROR(IF(G612&gt;0, H612/G612, 0),"-")</f>
        <v>-</v>
      </c>
      <c r="K612" s="34" t="s">
        <v>959</v>
      </c>
      <c r="L612" s="35" t="s">
        <v>959</v>
      </c>
      <c r="M612" s="34" t="str">
        <f>IF(OR(L612="-",L612="",L612=0),IF(K612="-","-",K612),K612-L612)</f>
        <v>-</v>
      </c>
      <c r="N612" s="4" t="str">
        <f>IFERROR(IF(K612&gt;0, L612/K612, 0),"-")</f>
        <v>-</v>
      </c>
      <c r="O612" s="34" t="s">
        <v>959</v>
      </c>
      <c r="P612" s="35" t="s">
        <v>959</v>
      </c>
      <c r="Q612" s="34" t="str">
        <f>IF(OR(P612="-",P612="",P612=0),IF(O612="-","-",O612),O612-P612)</f>
        <v>-</v>
      </c>
      <c r="R612" s="4" t="str">
        <f>IFERROR(IF(O612&gt;0, P612/O612, 0),"-")</f>
        <v>-</v>
      </c>
      <c r="S612" s="34" t="s">
        <v>959</v>
      </c>
      <c r="T612" s="34" t="s">
        <v>959</v>
      </c>
      <c r="U612" s="34" t="s">
        <v>959</v>
      </c>
      <c r="V612" s="35" t="s">
        <v>959</v>
      </c>
      <c r="W612" s="35" t="s">
        <v>959</v>
      </c>
    </row>
    <row r="613" spans="1:23" x14ac:dyDescent="0.2">
      <c r="A613" s="30" t="s">
        <v>465</v>
      </c>
      <c r="B613" s="30" t="s">
        <v>1303</v>
      </c>
      <c r="C613" s="34">
        <v>87</v>
      </c>
      <c r="D613" s="35">
        <v>87</v>
      </c>
      <c r="E613" s="34">
        <f>IF(OR(D613="-",D613="",D613=0),IF(C613="-","-",C613),C613-D613)</f>
        <v>0</v>
      </c>
      <c r="F613" s="4">
        <f>IFERROR(IF(C613&gt;0, D613/C613, 0),"-")</f>
        <v>1</v>
      </c>
      <c r="G613" s="34" t="s">
        <v>959</v>
      </c>
      <c r="H613" s="35" t="s">
        <v>959</v>
      </c>
      <c r="I613" s="34" t="str">
        <f>IF(OR(H613="-",H613="",H613=0),IF(G613="-","-",G613),G613-H613)</f>
        <v>-</v>
      </c>
      <c r="J613" s="4" t="str">
        <f>IFERROR(IF(G613&gt;0, H613/G613, 0),"-")</f>
        <v>-</v>
      </c>
      <c r="K613" s="34" t="s">
        <v>959</v>
      </c>
      <c r="L613" s="35" t="s">
        <v>959</v>
      </c>
      <c r="M613" s="34" t="str">
        <f>IF(OR(L613="-",L613="",L613=0),IF(K613="-","-",K613),K613-L613)</f>
        <v>-</v>
      </c>
      <c r="N613" s="4" t="str">
        <f>IFERROR(IF(K613&gt;0, L613/K613, 0),"-")</f>
        <v>-</v>
      </c>
      <c r="O613" s="34">
        <v>1</v>
      </c>
      <c r="P613" s="35" t="s">
        <v>959</v>
      </c>
      <c r="Q613" s="34">
        <f>IF(OR(P613="-",P613="",P613=0),IF(O613="-","-",O613),O613-P613)</f>
        <v>1</v>
      </c>
      <c r="R613" s="4" t="str">
        <f>IFERROR(IF(O613&gt;0, P613/O613, 0),"-")</f>
        <v>-</v>
      </c>
      <c r="S613" s="34" t="s">
        <v>959</v>
      </c>
      <c r="T613" s="34" t="s">
        <v>959</v>
      </c>
      <c r="U613" s="34" t="s">
        <v>959</v>
      </c>
      <c r="V613" s="35" t="s">
        <v>959</v>
      </c>
      <c r="W613" s="35" t="s">
        <v>959</v>
      </c>
    </row>
    <row r="614" spans="1:23" x14ac:dyDescent="0.2">
      <c r="A614" s="29"/>
      <c r="B614" s="29" t="s">
        <v>76</v>
      </c>
      <c r="C614" s="32">
        <v>531</v>
      </c>
      <c r="D614" s="32">
        <v>528</v>
      </c>
      <c r="E614" s="32">
        <f>IF(OR(D614="-",D614="",D614=0),IF(C614="-","-",C614),C614-D614)</f>
        <v>3</v>
      </c>
      <c r="F614" s="36">
        <f>IFERROR(IF(C614&gt;0, D614/C614, 0),"-")</f>
        <v>0.99435028248587576</v>
      </c>
      <c r="G614" s="32">
        <v>3</v>
      </c>
      <c r="H614" s="32">
        <v>3</v>
      </c>
      <c r="I614" s="32">
        <f>IF(OR(H614="-",H614="",H614=0),IF(G614="-","-",G614),G614-H614)</f>
        <v>0</v>
      </c>
      <c r="J614" s="36">
        <f>IFERROR(IF(G614&gt;0, H614/G614, 0),"-")</f>
        <v>1</v>
      </c>
      <c r="K614" s="32" t="s">
        <v>959</v>
      </c>
      <c r="L614" s="32" t="s">
        <v>959</v>
      </c>
      <c r="M614" s="32" t="str">
        <f>IF(OR(L614="-",L614="",L614=0),IF(K614="-","-",K614),K614-L614)</f>
        <v>-</v>
      </c>
      <c r="N614" s="36" t="str">
        <f>IFERROR(IF(K614&gt;0, L614/K614, 0),"-")</f>
        <v>-</v>
      </c>
      <c r="O614" s="32" t="s">
        <v>959</v>
      </c>
      <c r="P614" s="32" t="s">
        <v>959</v>
      </c>
      <c r="Q614" s="32" t="str">
        <f>IF(OR(P614="-",P614="",P614=0),IF(O614="-","-",O614),O614-P614)</f>
        <v>-</v>
      </c>
      <c r="R614" s="36" t="str">
        <f>IFERROR(IF(O614&gt;0, P614/O614, 0),"-")</f>
        <v>-</v>
      </c>
      <c r="S614" s="32" t="s">
        <v>959</v>
      </c>
      <c r="T614" s="32" t="s">
        <v>959</v>
      </c>
      <c r="U614" s="32" t="s">
        <v>959</v>
      </c>
      <c r="V614" s="32" t="s">
        <v>959</v>
      </c>
      <c r="W614" s="32" t="s">
        <v>959</v>
      </c>
    </row>
    <row r="615" spans="1:23" x14ac:dyDescent="0.2">
      <c r="A615" s="30" t="s">
        <v>501</v>
      </c>
      <c r="B615" s="30" t="s">
        <v>1304</v>
      </c>
      <c r="C615" s="34">
        <v>125</v>
      </c>
      <c r="D615" s="35">
        <v>125</v>
      </c>
      <c r="E615" s="34">
        <f>IF(OR(D615="-",D615="",D615=0),IF(C615="-","-",C615),C615-D615)</f>
        <v>0</v>
      </c>
      <c r="F615" s="4">
        <f>IFERROR(IF(C615&gt;0, D615/C615, 0),"-")</f>
        <v>1</v>
      </c>
      <c r="G615" s="34">
        <v>2</v>
      </c>
      <c r="H615" s="35">
        <v>2</v>
      </c>
      <c r="I615" s="34">
        <f>IF(OR(H615="-",H615="",H615=0),IF(G615="-","-",G615),G615-H615)</f>
        <v>0</v>
      </c>
      <c r="J615" s="4">
        <f>IFERROR(IF(G615&gt;0, H615/G615, 0),"-")</f>
        <v>1</v>
      </c>
      <c r="K615" s="34" t="s">
        <v>959</v>
      </c>
      <c r="L615" s="35" t="s">
        <v>959</v>
      </c>
      <c r="M615" s="34" t="str">
        <f>IF(OR(L615="-",L615="",L615=0),IF(K615="-","-",K615),K615-L615)</f>
        <v>-</v>
      </c>
      <c r="N615" s="4" t="str">
        <f>IFERROR(IF(K615&gt;0, L615/K615, 0),"-")</f>
        <v>-</v>
      </c>
      <c r="O615" s="34" t="s">
        <v>959</v>
      </c>
      <c r="P615" s="35" t="s">
        <v>959</v>
      </c>
      <c r="Q615" s="34" t="str">
        <f>IF(OR(P615="-",P615="",P615=0),IF(O615="-","-",O615),O615-P615)</f>
        <v>-</v>
      </c>
      <c r="R615" s="4" t="str">
        <f>IFERROR(IF(O615&gt;0, P615/O615, 0),"-")</f>
        <v>-</v>
      </c>
      <c r="S615" s="34" t="s">
        <v>959</v>
      </c>
      <c r="T615" s="34" t="s">
        <v>959</v>
      </c>
      <c r="U615" s="34" t="s">
        <v>959</v>
      </c>
      <c r="V615" s="35" t="s">
        <v>959</v>
      </c>
      <c r="W615" s="35" t="s">
        <v>959</v>
      </c>
    </row>
    <row r="616" spans="1:23" x14ac:dyDescent="0.2">
      <c r="A616" s="30" t="s">
        <v>504</v>
      </c>
      <c r="B616" s="30" t="s">
        <v>1305</v>
      </c>
      <c r="C616" s="34">
        <v>86</v>
      </c>
      <c r="D616" s="35">
        <v>85</v>
      </c>
      <c r="E616" s="34">
        <f>IF(OR(D616="-",D616="",D616=0),IF(C616="-","-",C616),C616-D616)</f>
        <v>1</v>
      </c>
      <c r="F616" s="4">
        <f>IFERROR(IF(C616&gt;0, D616/C616, 0),"-")</f>
        <v>0.98837209302325579</v>
      </c>
      <c r="G616" s="34" t="s">
        <v>959</v>
      </c>
      <c r="H616" s="35" t="s">
        <v>959</v>
      </c>
      <c r="I616" s="34" t="str">
        <f>IF(OR(H616="-",H616="",H616=0),IF(G616="-","-",G616),G616-H616)</f>
        <v>-</v>
      </c>
      <c r="J616" s="4" t="str">
        <f>IFERROR(IF(G616&gt;0, H616/G616, 0),"-")</f>
        <v>-</v>
      </c>
      <c r="K616" s="34" t="s">
        <v>959</v>
      </c>
      <c r="L616" s="35" t="s">
        <v>959</v>
      </c>
      <c r="M616" s="34" t="str">
        <f>IF(OR(L616="-",L616="",L616=0),IF(K616="-","-",K616),K616-L616)</f>
        <v>-</v>
      </c>
      <c r="N616" s="4" t="str">
        <f>IFERROR(IF(K616&gt;0, L616/K616, 0),"-")</f>
        <v>-</v>
      </c>
      <c r="O616" s="34" t="s">
        <v>959</v>
      </c>
      <c r="P616" s="35" t="s">
        <v>959</v>
      </c>
      <c r="Q616" s="34" t="str">
        <f>IF(OR(P616="-",P616="",P616=0),IF(O616="-","-",O616),O616-P616)</f>
        <v>-</v>
      </c>
      <c r="R616" s="4" t="str">
        <f>IFERROR(IF(O616&gt;0, P616/O616, 0),"-")</f>
        <v>-</v>
      </c>
      <c r="S616" s="34" t="s">
        <v>959</v>
      </c>
      <c r="T616" s="34" t="s">
        <v>959</v>
      </c>
      <c r="U616" s="34" t="s">
        <v>959</v>
      </c>
      <c r="V616" s="35" t="s">
        <v>959</v>
      </c>
      <c r="W616" s="35" t="s">
        <v>959</v>
      </c>
    </row>
    <row r="617" spans="1:23" x14ac:dyDescent="0.2">
      <c r="A617" s="30" t="s">
        <v>520</v>
      </c>
      <c r="B617" s="30" t="s">
        <v>1306</v>
      </c>
      <c r="C617" s="34">
        <v>13</v>
      </c>
      <c r="D617" s="35">
        <v>13</v>
      </c>
      <c r="E617" s="34">
        <f>IF(OR(D617="-",D617="",D617=0),IF(C617="-","-",C617),C617-D617)</f>
        <v>0</v>
      </c>
      <c r="F617" s="4">
        <f>IFERROR(IF(C617&gt;0, D617/C617, 0),"-")</f>
        <v>1</v>
      </c>
      <c r="G617" s="34" t="s">
        <v>959</v>
      </c>
      <c r="H617" s="35" t="s">
        <v>959</v>
      </c>
      <c r="I617" s="34" t="str">
        <f>IF(OR(H617="-",H617="",H617=0),IF(G617="-","-",G617),G617-H617)</f>
        <v>-</v>
      </c>
      <c r="J617" s="4" t="str">
        <f>IFERROR(IF(G617&gt;0, H617/G617, 0),"-")</f>
        <v>-</v>
      </c>
      <c r="K617" s="34" t="s">
        <v>959</v>
      </c>
      <c r="L617" s="35" t="s">
        <v>959</v>
      </c>
      <c r="M617" s="34" t="str">
        <f>IF(OR(L617="-",L617="",L617=0),IF(K617="-","-",K617),K617-L617)</f>
        <v>-</v>
      </c>
      <c r="N617" s="4" t="str">
        <f>IFERROR(IF(K617&gt;0, L617/K617, 0),"-")</f>
        <v>-</v>
      </c>
      <c r="O617" s="34" t="s">
        <v>959</v>
      </c>
      <c r="P617" s="35" t="s">
        <v>959</v>
      </c>
      <c r="Q617" s="34" t="str">
        <f>IF(OR(P617="-",P617="",P617=0),IF(O617="-","-",O617),O617-P617)</f>
        <v>-</v>
      </c>
      <c r="R617" s="4" t="str">
        <f>IFERROR(IF(O617&gt;0, P617/O617, 0),"-")</f>
        <v>-</v>
      </c>
      <c r="S617" s="34" t="s">
        <v>959</v>
      </c>
      <c r="T617" s="34" t="s">
        <v>959</v>
      </c>
      <c r="U617" s="34" t="s">
        <v>959</v>
      </c>
      <c r="V617" s="35" t="s">
        <v>959</v>
      </c>
      <c r="W617" s="35" t="s">
        <v>959</v>
      </c>
    </row>
    <row r="618" spans="1:23" x14ac:dyDescent="0.2">
      <c r="A618" s="30" t="s">
        <v>505</v>
      </c>
      <c r="B618" s="30" t="s">
        <v>1307</v>
      </c>
      <c r="C618" s="34">
        <v>60</v>
      </c>
      <c r="D618" s="35">
        <v>60</v>
      </c>
      <c r="E618" s="34">
        <f>IF(OR(D618="-",D618="",D618=0),IF(C618="-","-",C618),C618-D618)</f>
        <v>0</v>
      </c>
      <c r="F618" s="4">
        <f>IFERROR(IF(C618&gt;0, D618/C618, 0),"-")</f>
        <v>1</v>
      </c>
      <c r="G618" s="34" t="s">
        <v>959</v>
      </c>
      <c r="H618" s="35" t="s">
        <v>959</v>
      </c>
      <c r="I618" s="34" t="str">
        <f>IF(OR(H618="-",H618="",H618=0),IF(G618="-","-",G618),G618-H618)</f>
        <v>-</v>
      </c>
      <c r="J618" s="4" t="str">
        <f>IFERROR(IF(G618&gt;0, H618/G618, 0),"-")</f>
        <v>-</v>
      </c>
      <c r="K618" s="34" t="s">
        <v>959</v>
      </c>
      <c r="L618" s="35" t="s">
        <v>959</v>
      </c>
      <c r="M618" s="34" t="str">
        <f>IF(OR(L618="-",L618="",L618=0),IF(K618="-","-",K618),K618-L618)</f>
        <v>-</v>
      </c>
      <c r="N618" s="4" t="str">
        <f>IFERROR(IF(K618&gt;0, L618/K618, 0),"-")</f>
        <v>-</v>
      </c>
      <c r="O618" s="34" t="s">
        <v>959</v>
      </c>
      <c r="P618" s="35" t="s">
        <v>959</v>
      </c>
      <c r="Q618" s="34" t="str">
        <f>IF(OR(P618="-",P618="",P618=0),IF(O618="-","-",O618),O618-P618)</f>
        <v>-</v>
      </c>
      <c r="R618" s="4" t="str">
        <f>IFERROR(IF(O618&gt;0, P618/O618, 0),"-")</f>
        <v>-</v>
      </c>
      <c r="S618" s="34" t="s">
        <v>959</v>
      </c>
      <c r="T618" s="34" t="s">
        <v>959</v>
      </c>
      <c r="U618" s="34" t="s">
        <v>959</v>
      </c>
      <c r="V618" s="35" t="s">
        <v>959</v>
      </c>
      <c r="W618" s="35" t="s">
        <v>959</v>
      </c>
    </row>
    <row r="619" spans="1:23" x14ac:dyDescent="0.2">
      <c r="A619" s="30" t="s">
        <v>502</v>
      </c>
      <c r="B619" s="30" t="s">
        <v>1308</v>
      </c>
      <c r="C619" s="34">
        <v>93</v>
      </c>
      <c r="D619" s="35">
        <v>93</v>
      </c>
      <c r="E619" s="34">
        <f>IF(OR(D619="-",D619="",D619=0),IF(C619="-","-",C619),C619-D619)</f>
        <v>0</v>
      </c>
      <c r="F619" s="4">
        <f>IFERROR(IF(C619&gt;0, D619/C619, 0),"-")</f>
        <v>1</v>
      </c>
      <c r="G619" s="34" t="s">
        <v>959</v>
      </c>
      <c r="H619" s="35" t="s">
        <v>959</v>
      </c>
      <c r="I619" s="34" t="str">
        <f>IF(OR(H619="-",H619="",H619=0),IF(G619="-","-",G619),G619-H619)</f>
        <v>-</v>
      </c>
      <c r="J619" s="4" t="str">
        <f>IFERROR(IF(G619&gt;0, H619/G619, 0),"-")</f>
        <v>-</v>
      </c>
      <c r="K619" s="34" t="s">
        <v>959</v>
      </c>
      <c r="L619" s="35" t="s">
        <v>959</v>
      </c>
      <c r="M619" s="34" t="str">
        <f>IF(OR(L619="-",L619="",L619=0),IF(K619="-","-",K619),K619-L619)</f>
        <v>-</v>
      </c>
      <c r="N619" s="4" t="str">
        <f>IFERROR(IF(K619&gt;0, L619/K619, 0),"-")</f>
        <v>-</v>
      </c>
      <c r="O619" s="34" t="s">
        <v>959</v>
      </c>
      <c r="P619" s="35" t="s">
        <v>959</v>
      </c>
      <c r="Q619" s="34" t="str">
        <f>IF(OR(P619="-",P619="",P619=0),IF(O619="-","-",O619),O619-P619)</f>
        <v>-</v>
      </c>
      <c r="R619" s="4" t="str">
        <f>IFERROR(IF(O619&gt;0, P619/O619, 0),"-")</f>
        <v>-</v>
      </c>
      <c r="S619" s="34" t="s">
        <v>959</v>
      </c>
      <c r="T619" s="34" t="s">
        <v>959</v>
      </c>
      <c r="U619" s="34" t="s">
        <v>959</v>
      </c>
      <c r="V619" s="35" t="s">
        <v>959</v>
      </c>
      <c r="W619" s="35" t="s">
        <v>959</v>
      </c>
    </row>
    <row r="620" spans="1:23" x14ac:dyDescent="0.2">
      <c r="A620" s="30" t="s">
        <v>503</v>
      </c>
      <c r="B620" s="30" t="s">
        <v>1309</v>
      </c>
      <c r="C620" s="34">
        <v>154</v>
      </c>
      <c r="D620" s="35">
        <v>152</v>
      </c>
      <c r="E620" s="34">
        <f>IF(OR(D620="-",D620="",D620=0),IF(C620="-","-",C620),C620-D620)</f>
        <v>2</v>
      </c>
      <c r="F620" s="4">
        <f>IFERROR(IF(C620&gt;0, D620/C620, 0),"-")</f>
        <v>0.98701298701298701</v>
      </c>
      <c r="G620" s="34">
        <v>1</v>
      </c>
      <c r="H620" s="35">
        <v>1</v>
      </c>
      <c r="I620" s="34">
        <f>IF(OR(H620="-",H620="",H620=0),IF(G620="-","-",G620),G620-H620)</f>
        <v>0</v>
      </c>
      <c r="J620" s="4">
        <f>IFERROR(IF(G620&gt;0, H620/G620, 0),"-")</f>
        <v>1</v>
      </c>
      <c r="K620" s="34" t="s">
        <v>959</v>
      </c>
      <c r="L620" s="35" t="s">
        <v>959</v>
      </c>
      <c r="M620" s="34" t="str">
        <f>IF(OR(L620="-",L620="",L620=0),IF(K620="-","-",K620),K620-L620)</f>
        <v>-</v>
      </c>
      <c r="N620" s="4" t="str">
        <f>IFERROR(IF(K620&gt;0, L620/K620, 0),"-")</f>
        <v>-</v>
      </c>
      <c r="O620" s="34" t="s">
        <v>959</v>
      </c>
      <c r="P620" s="35" t="s">
        <v>959</v>
      </c>
      <c r="Q620" s="34" t="str">
        <f>IF(OR(P620="-",P620="",P620=0),IF(O620="-","-",O620),O620-P620)</f>
        <v>-</v>
      </c>
      <c r="R620" s="4" t="str">
        <f>IFERROR(IF(O620&gt;0, P620/O620, 0),"-")</f>
        <v>-</v>
      </c>
      <c r="S620" s="34" t="s">
        <v>959</v>
      </c>
      <c r="T620" s="34" t="s">
        <v>959</v>
      </c>
      <c r="U620" s="34" t="s">
        <v>959</v>
      </c>
      <c r="V620" s="35" t="s">
        <v>959</v>
      </c>
      <c r="W620" s="35" t="s">
        <v>959</v>
      </c>
    </row>
    <row r="621" spans="1:23" x14ac:dyDescent="0.2">
      <c r="A621" s="29"/>
      <c r="B621" s="29" t="s">
        <v>102</v>
      </c>
      <c r="C621" s="32">
        <v>646</v>
      </c>
      <c r="D621" s="32">
        <v>638</v>
      </c>
      <c r="E621" s="32">
        <f>IF(OR(D621="-",D621="",D621=0),IF(C621="-","-",C621),C621-D621)</f>
        <v>8</v>
      </c>
      <c r="F621" s="36">
        <f>IFERROR(IF(C621&gt;0, D621/C621, 0),"-")</f>
        <v>0.9876160990712074</v>
      </c>
      <c r="G621" s="32">
        <v>1</v>
      </c>
      <c r="H621" s="32" t="s">
        <v>959</v>
      </c>
      <c r="I621" s="32">
        <f>IF(OR(H621="-",H621="",H621=0),IF(G621="-","-",G621),G621-H621)</f>
        <v>1</v>
      </c>
      <c r="J621" s="36" t="str">
        <f>IFERROR(IF(G621&gt;0, H621/G621, 0),"-")</f>
        <v>-</v>
      </c>
      <c r="K621" s="32">
        <v>1</v>
      </c>
      <c r="L621" s="32" t="s">
        <v>959</v>
      </c>
      <c r="M621" s="32">
        <f>IF(OR(L621="-",L621="",L621=0),IF(K621="-","-",K621),K621-L621)</f>
        <v>1</v>
      </c>
      <c r="N621" s="36" t="str">
        <f>IFERROR(IF(K621&gt;0, L621/K621, 0),"-")</f>
        <v>-</v>
      </c>
      <c r="O621" s="32" t="s">
        <v>959</v>
      </c>
      <c r="P621" s="32" t="s">
        <v>959</v>
      </c>
      <c r="Q621" s="32" t="str">
        <f>IF(OR(P621="-",P621="",P621=0),IF(O621="-","-",O621),O621-P621)</f>
        <v>-</v>
      </c>
      <c r="R621" s="36" t="str">
        <f>IFERROR(IF(O621&gt;0, P621/O621, 0),"-")</f>
        <v>-</v>
      </c>
      <c r="S621" s="32">
        <v>2</v>
      </c>
      <c r="T621" s="32" t="s">
        <v>959</v>
      </c>
      <c r="U621" s="32" t="s">
        <v>959</v>
      </c>
      <c r="V621" s="32" t="s">
        <v>959</v>
      </c>
      <c r="W621" s="32" t="s">
        <v>959</v>
      </c>
    </row>
    <row r="622" spans="1:23" x14ac:dyDescent="0.2">
      <c r="A622" s="30" t="s">
        <v>731</v>
      </c>
      <c r="B622" s="30" t="s">
        <v>1310</v>
      </c>
      <c r="C622" s="34">
        <v>140</v>
      </c>
      <c r="D622" s="35">
        <v>140</v>
      </c>
      <c r="E622" s="34">
        <f>IF(OR(D622="-",D622="",D622=0),IF(C622="-","-",C622),C622-D622)</f>
        <v>0</v>
      </c>
      <c r="F622" s="4">
        <f>IFERROR(IF(C622&gt;0, D622/C622, 0),"-")</f>
        <v>1</v>
      </c>
      <c r="G622" s="34" t="s">
        <v>959</v>
      </c>
      <c r="H622" s="35" t="s">
        <v>959</v>
      </c>
      <c r="I622" s="34" t="str">
        <f>IF(OR(H622="-",H622="",H622=0),IF(G622="-","-",G622),G622-H622)</f>
        <v>-</v>
      </c>
      <c r="J622" s="4" t="str">
        <f>IFERROR(IF(G622&gt;0, H622/G622, 0),"-")</f>
        <v>-</v>
      </c>
      <c r="K622" s="34" t="s">
        <v>959</v>
      </c>
      <c r="L622" s="35" t="s">
        <v>959</v>
      </c>
      <c r="M622" s="34" t="str">
        <f>IF(OR(L622="-",L622="",L622=0),IF(K622="-","-",K622),K622-L622)</f>
        <v>-</v>
      </c>
      <c r="N622" s="4" t="str">
        <f>IFERROR(IF(K622&gt;0, L622/K622, 0),"-")</f>
        <v>-</v>
      </c>
      <c r="O622" s="34" t="s">
        <v>959</v>
      </c>
      <c r="P622" s="35" t="s">
        <v>959</v>
      </c>
      <c r="Q622" s="34" t="str">
        <f>IF(OR(P622="-",P622="",P622=0),IF(O622="-","-",O622),O622-P622)</f>
        <v>-</v>
      </c>
      <c r="R622" s="4" t="str">
        <f>IFERROR(IF(O622&gt;0, P622/O622, 0),"-")</f>
        <v>-</v>
      </c>
      <c r="S622" s="34" t="s">
        <v>959</v>
      </c>
      <c r="T622" s="34" t="s">
        <v>959</v>
      </c>
      <c r="U622" s="34" t="s">
        <v>959</v>
      </c>
      <c r="V622" s="35" t="s">
        <v>959</v>
      </c>
      <c r="W622" s="35" t="s">
        <v>959</v>
      </c>
    </row>
    <row r="623" spans="1:23" x14ac:dyDescent="0.2">
      <c r="A623" s="30" t="s">
        <v>729</v>
      </c>
      <c r="B623" s="30" t="s">
        <v>1311</v>
      </c>
      <c r="C623" s="34">
        <v>198</v>
      </c>
      <c r="D623" s="35">
        <v>195</v>
      </c>
      <c r="E623" s="34">
        <f>IF(OR(D623="-",D623="",D623=0),IF(C623="-","-",C623),C623-D623)</f>
        <v>3</v>
      </c>
      <c r="F623" s="4">
        <f>IFERROR(IF(C623&gt;0, D623/C623, 0),"-")</f>
        <v>0.98484848484848486</v>
      </c>
      <c r="G623" s="34" t="s">
        <v>959</v>
      </c>
      <c r="H623" s="35" t="s">
        <v>959</v>
      </c>
      <c r="I623" s="34" t="str">
        <f>IF(OR(H623="-",H623="",H623=0),IF(G623="-","-",G623),G623-H623)</f>
        <v>-</v>
      </c>
      <c r="J623" s="4" t="str">
        <f>IFERROR(IF(G623&gt;0, H623/G623, 0),"-")</f>
        <v>-</v>
      </c>
      <c r="K623" s="34" t="s">
        <v>959</v>
      </c>
      <c r="L623" s="35" t="s">
        <v>959</v>
      </c>
      <c r="M623" s="34" t="str">
        <f>IF(OR(L623="-",L623="",L623=0),IF(K623="-","-",K623),K623-L623)</f>
        <v>-</v>
      </c>
      <c r="N623" s="4" t="str">
        <f>IFERROR(IF(K623&gt;0, L623/K623, 0),"-")</f>
        <v>-</v>
      </c>
      <c r="O623" s="34" t="s">
        <v>959</v>
      </c>
      <c r="P623" s="35" t="s">
        <v>959</v>
      </c>
      <c r="Q623" s="34" t="str">
        <f>IF(OR(P623="-",P623="",P623=0),IF(O623="-","-",O623),O623-P623)</f>
        <v>-</v>
      </c>
      <c r="R623" s="4" t="str">
        <f>IFERROR(IF(O623&gt;0, P623/O623, 0),"-")</f>
        <v>-</v>
      </c>
      <c r="S623" s="34" t="s">
        <v>959</v>
      </c>
      <c r="T623" s="34" t="s">
        <v>959</v>
      </c>
      <c r="U623" s="34" t="s">
        <v>959</v>
      </c>
      <c r="V623" s="35" t="s">
        <v>959</v>
      </c>
      <c r="W623" s="35" t="s">
        <v>959</v>
      </c>
    </row>
    <row r="624" spans="1:23" x14ac:dyDescent="0.2">
      <c r="A624" s="30" t="s">
        <v>728</v>
      </c>
      <c r="B624" s="30" t="s">
        <v>1312</v>
      </c>
      <c r="C624" s="34">
        <v>130</v>
      </c>
      <c r="D624" s="35">
        <v>129</v>
      </c>
      <c r="E624" s="34">
        <f>IF(OR(D624="-",D624="",D624=0),IF(C624="-","-",C624),C624-D624)</f>
        <v>1</v>
      </c>
      <c r="F624" s="4">
        <f>IFERROR(IF(C624&gt;0, D624/C624, 0),"-")</f>
        <v>0.99230769230769234</v>
      </c>
      <c r="G624" s="34" t="s">
        <v>959</v>
      </c>
      <c r="H624" s="35" t="s">
        <v>959</v>
      </c>
      <c r="I624" s="34" t="str">
        <f>IF(OR(H624="-",H624="",H624=0),IF(G624="-","-",G624),G624-H624)</f>
        <v>-</v>
      </c>
      <c r="J624" s="4" t="str">
        <f>IFERROR(IF(G624&gt;0, H624/G624, 0),"-")</f>
        <v>-</v>
      </c>
      <c r="K624" s="34">
        <v>1</v>
      </c>
      <c r="L624" s="35" t="s">
        <v>959</v>
      </c>
      <c r="M624" s="34">
        <f>IF(OR(L624="-",L624="",L624=0),IF(K624="-","-",K624),K624-L624)</f>
        <v>1</v>
      </c>
      <c r="N624" s="4" t="str">
        <f>IFERROR(IF(K624&gt;0, L624/K624, 0),"-")</f>
        <v>-</v>
      </c>
      <c r="O624" s="34" t="s">
        <v>959</v>
      </c>
      <c r="P624" s="35" t="s">
        <v>959</v>
      </c>
      <c r="Q624" s="34" t="str">
        <f>IF(OR(P624="-",P624="",P624=0),IF(O624="-","-",O624),O624-P624)</f>
        <v>-</v>
      </c>
      <c r="R624" s="4" t="str">
        <f>IFERROR(IF(O624&gt;0, P624/O624, 0),"-")</f>
        <v>-</v>
      </c>
      <c r="S624" s="34" t="s">
        <v>959</v>
      </c>
      <c r="T624" s="34" t="s">
        <v>959</v>
      </c>
      <c r="U624" s="34" t="s">
        <v>959</v>
      </c>
      <c r="V624" s="35" t="s">
        <v>959</v>
      </c>
      <c r="W624" s="35" t="s">
        <v>959</v>
      </c>
    </row>
    <row r="625" spans="1:23" x14ac:dyDescent="0.2">
      <c r="A625" s="30" t="s">
        <v>727</v>
      </c>
      <c r="B625" s="30" t="s">
        <v>1313</v>
      </c>
      <c r="C625" s="34">
        <v>96</v>
      </c>
      <c r="D625" s="35">
        <v>94</v>
      </c>
      <c r="E625" s="34">
        <f>IF(OR(D625="-",D625="",D625=0),IF(C625="-","-",C625),C625-D625)</f>
        <v>2</v>
      </c>
      <c r="F625" s="4">
        <f>IFERROR(IF(C625&gt;0, D625/C625, 0),"-")</f>
        <v>0.97916666666666663</v>
      </c>
      <c r="G625" s="34">
        <v>1</v>
      </c>
      <c r="H625" s="35" t="s">
        <v>959</v>
      </c>
      <c r="I625" s="34">
        <f>IF(OR(H625="-",H625="",H625=0),IF(G625="-","-",G625),G625-H625)</f>
        <v>1</v>
      </c>
      <c r="J625" s="4" t="str">
        <f>IFERROR(IF(G625&gt;0, H625/G625, 0),"-")</f>
        <v>-</v>
      </c>
      <c r="K625" s="34" t="s">
        <v>959</v>
      </c>
      <c r="L625" s="35" t="s">
        <v>959</v>
      </c>
      <c r="M625" s="34" t="str">
        <f>IF(OR(L625="-",L625="",L625=0),IF(K625="-","-",K625),K625-L625)</f>
        <v>-</v>
      </c>
      <c r="N625" s="4" t="str">
        <f>IFERROR(IF(K625&gt;0, L625/K625, 0),"-")</f>
        <v>-</v>
      </c>
      <c r="O625" s="34" t="s">
        <v>959</v>
      </c>
      <c r="P625" s="35" t="s">
        <v>959</v>
      </c>
      <c r="Q625" s="34" t="str">
        <f>IF(OR(P625="-",P625="",P625=0),IF(O625="-","-",O625),O625-P625)</f>
        <v>-</v>
      </c>
      <c r="R625" s="4" t="str">
        <f>IFERROR(IF(O625&gt;0, P625/O625, 0),"-")</f>
        <v>-</v>
      </c>
      <c r="S625" s="34" t="s">
        <v>959</v>
      </c>
      <c r="T625" s="34" t="s">
        <v>959</v>
      </c>
      <c r="U625" s="34" t="s">
        <v>959</v>
      </c>
      <c r="V625" s="35" t="s">
        <v>959</v>
      </c>
      <c r="W625" s="35" t="s">
        <v>959</v>
      </c>
    </row>
    <row r="626" spans="1:23" x14ac:dyDescent="0.2">
      <c r="A626" s="30" t="s">
        <v>730</v>
      </c>
      <c r="B626" s="30" t="s">
        <v>1314</v>
      </c>
      <c r="C626" s="34">
        <v>82</v>
      </c>
      <c r="D626" s="35">
        <v>80</v>
      </c>
      <c r="E626" s="34">
        <f>IF(OR(D626="-",D626="",D626=0),IF(C626="-","-",C626),C626-D626)</f>
        <v>2</v>
      </c>
      <c r="F626" s="4">
        <f>IFERROR(IF(C626&gt;0, D626/C626, 0),"-")</f>
        <v>0.97560975609756095</v>
      </c>
      <c r="G626" s="34" t="s">
        <v>959</v>
      </c>
      <c r="H626" s="35" t="s">
        <v>959</v>
      </c>
      <c r="I626" s="34" t="str">
        <f>IF(OR(H626="-",H626="",H626=0),IF(G626="-","-",G626),G626-H626)</f>
        <v>-</v>
      </c>
      <c r="J626" s="4" t="str">
        <f>IFERROR(IF(G626&gt;0, H626/G626, 0),"-")</f>
        <v>-</v>
      </c>
      <c r="K626" s="34" t="s">
        <v>959</v>
      </c>
      <c r="L626" s="35" t="s">
        <v>959</v>
      </c>
      <c r="M626" s="34" t="str">
        <f>IF(OR(L626="-",L626="",L626=0),IF(K626="-","-",K626),K626-L626)</f>
        <v>-</v>
      </c>
      <c r="N626" s="4" t="str">
        <f>IFERROR(IF(K626&gt;0, L626/K626, 0),"-")</f>
        <v>-</v>
      </c>
      <c r="O626" s="34" t="s">
        <v>959</v>
      </c>
      <c r="P626" s="35" t="s">
        <v>959</v>
      </c>
      <c r="Q626" s="34" t="str">
        <f>IF(OR(P626="-",P626="",P626=0),IF(O626="-","-",O626),O626-P626)</f>
        <v>-</v>
      </c>
      <c r="R626" s="4" t="str">
        <f>IFERROR(IF(O626&gt;0, P626/O626, 0),"-")</f>
        <v>-</v>
      </c>
      <c r="S626" s="34">
        <v>2</v>
      </c>
      <c r="T626" s="34" t="s">
        <v>959</v>
      </c>
      <c r="U626" s="34" t="s">
        <v>959</v>
      </c>
      <c r="V626" s="35" t="s">
        <v>959</v>
      </c>
      <c r="W626" s="35" t="s">
        <v>959</v>
      </c>
    </row>
    <row r="627" spans="1:23" x14ac:dyDescent="0.2">
      <c r="A627" s="29"/>
      <c r="B627" s="29" t="s">
        <v>33</v>
      </c>
      <c r="C627" s="32">
        <v>289</v>
      </c>
      <c r="D627" s="32">
        <v>285</v>
      </c>
      <c r="E627" s="32">
        <f>IF(OR(D627="-",D627="",D627=0),IF(C627="-","-",C627),C627-D627)</f>
        <v>4</v>
      </c>
      <c r="F627" s="36">
        <f>IFERROR(IF(C627&gt;0, D627/C627, 0),"-")</f>
        <v>0.98615916955017302</v>
      </c>
      <c r="G627" s="32">
        <v>1</v>
      </c>
      <c r="H627" s="32" t="s">
        <v>959</v>
      </c>
      <c r="I627" s="32">
        <f>IF(OR(H627="-",H627="",H627=0),IF(G627="-","-",G627),G627-H627)</f>
        <v>1</v>
      </c>
      <c r="J627" s="36" t="str">
        <f>IFERROR(IF(G627&gt;0, H627/G627, 0),"-")</f>
        <v>-</v>
      </c>
      <c r="K627" s="32">
        <v>1</v>
      </c>
      <c r="L627" s="32" t="s">
        <v>959</v>
      </c>
      <c r="M627" s="32">
        <f>IF(OR(L627="-",L627="",L627=0),IF(K627="-","-",K627),K627-L627)</f>
        <v>1</v>
      </c>
      <c r="N627" s="36" t="str">
        <f>IFERROR(IF(K627&gt;0, L627/K627, 0),"-")</f>
        <v>-</v>
      </c>
      <c r="O627" s="32">
        <v>1</v>
      </c>
      <c r="P627" s="32" t="s">
        <v>959</v>
      </c>
      <c r="Q627" s="32">
        <f>IF(OR(P627="-",P627="",P627=0),IF(O627="-","-",O627),O627-P627)</f>
        <v>1</v>
      </c>
      <c r="R627" s="36" t="str">
        <f>IFERROR(IF(O627&gt;0, P627/O627, 0),"-")</f>
        <v>-</v>
      </c>
      <c r="S627" s="32">
        <v>3</v>
      </c>
      <c r="T627" s="32">
        <v>2</v>
      </c>
      <c r="U627" s="32">
        <v>4500</v>
      </c>
      <c r="V627" s="32" t="s">
        <v>959</v>
      </c>
      <c r="W627" s="32" t="s">
        <v>959</v>
      </c>
    </row>
    <row r="628" spans="1:23" x14ac:dyDescent="0.2">
      <c r="A628" s="30" t="s">
        <v>151</v>
      </c>
      <c r="B628" s="30" t="s">
        <v>1315</v>
      </c>
      <c r="C628" s="34">
        <v>66</v>
      </c>
      <c r="D628" s="35">
        <v>66</v>
      </c>
      <c r="E628" s="34">
        <f>IF(OR(D628="-",D628="",D628=0),IF(C628="-","-",C628),C628-D628)</f>
        <v>0</v>
      </c>
      <c r="F628" s="4">
        <f>IFERROR(IF(C628&gt;0, D628/C628, 0),"-")</f>
        <v>1</v>
      </c>
      <c r="G628" s="34" t="s">
        <v>959</v>
      </c>
      <c r="H628" s="35" t="s">
        <v>959</v>
      </c>
      <c r="I628" s="34" t="str">
        <f>IF(OR(H628="-",H628="",H628=0),IF(G628="-","-",G628),G628-H628)</f>
        <v>-</v>
      </c>
      <c r="J628" s="4" t="str">
        <f>IFERROR(IF(G628&gt;0, H628/G628, 0),"-")</f>
        <v>-</v>
      </c>
      <c r="K628" s="34" t="s">
        <v>959</v>
      </c>
      <c r="L628" s="35" t="s">
        <v>959</v>
      </c>
      <c r="M628" s="34" t="str">
        <f>IF(OR(L628="-",L628="",L628=0),IF(K628="-","-",K628),K628-L628)</f>
        <v>-</v>
      </c>
      <c r="N628" s="4" t="str">
        <f>IFERROR(IF(K628&gt;0, L628/K628, 0),"-")</f>
        <v>-</v>
      </c>
      <c r="O628" s="34">
        <v>1</v>
      </c>
      <c r="P628" s="35" t="s">
        <v>959</v>
      </c>
      <c r="Q628" s="34">
        <f>IF(OR(P628="-",P628="",P628=0),IF(O628="-","-",O628),O628-P628)</f>
        <v>1</v>
      </c>
      <c r="R628" s="4" t="str">
        <f>IFERROR(IF(O628&gt;0, P628/O628, 0),"-")</f>
        <v>-</v>
      </c>
      <c r="S628" s="34">
        <v>2</v>
      </c>
      <c r="T628" s="34">
        <v>2</v>
      </c>
      <c r="U628" s="34">
        <v>4500</v>
      </c>
      <c r="V628" s="35" t="s">
        <v>959</v>
      </c>
      <c r="W628" s="35" t="s">
        <v>959</v>
      </c>
    </row>
    <row r="629" spans="1:23" x14ac:dyDescent="0.2">
      <c r="A629" s="30" t="s">
        <v>152</v>
      </c>
      <c r="B629" s="30" t="s">
        <v>1316</v>
      </c>
      <c r="C629" s="34">
        <v>81</v>
      </c>
      <c r="D629" s="35">
        <v>80</v>
      </c>
      <c r="E629" s="34">
        <f>IF(OR(D629="-",D629="",D629=0),IF(C629="-","-",C629),C629-D629)</f>
        <v>1</v>
      </c>
      <c r="F629" s="4">
        <f>IFERROR(IF(C629&gt;0, D629/C629, 0),"-")</f>
        <v>0.98765432098765427</v>
      </c>
      <c r="G629" s="34">
        <v>1</v>
      </c>
      <c r="H629" s="35" t="s">
        <v>959</v>
      </c>
      <c r="I629" s="34">
        <f>IF(OR(H629="-",H629="",H629=0),IF(G629="-","-",G629),G629-H629)</f>
        <v>1</v>
      </c>
      <c r="J629" s="4" t="str">
        <f>IFERROR(IF(G629&gt;0, H629/G629, 0),"-")</f>
        <v>-</v>
      </c>
      <c r="K629" s="34">
        <v>1</v>
      </c>
      <c r="L629" s="35" t="s">
        <v>959</v>
      </c>
      <c r="M629" s="34">
        <f>IF(OR(L629="-",L629="",L629=0),IF(K629="-","-",K629),K629-L629)</f>
        <v>1</v>
      </c>
      <c r="N629" s="4" t="str">
        <f>IFERROR(IF(K629&gt;0, L629/K629, 0),"-")</f>
        <v>-</v>
      </c>
      <c r="O629" s="34" t="s">
        <v>959</v>
      </c>
      <c r="P629" s="35" t="s">
        <v>959</v>
      </c>
      <c r="Q629" s="34" t="str">
        <f>IF(OR(P629="-",P629="",P629=0),IF(O629="-","-",O629),O629-P629)</f>
        <v>-</v>
      </c>
      <c r="R629" s="4" t="str">
        <f>IFERROR(IF(O629&gt;0, P629/O629, 0),"-")</f>
        <v>-</v>
      </c>
      <c r="S629" s="34">
        <v>1</v>
      </c>
      <c r="T629" s="34" t="s">
        <v>959</v>
      </c>
      <c r="U629" s="34" t="s">
        <v>959</v>
      </c>
      <c r="V629" s="35" t="s">
        <v>959</v>
      </c>
      <c r="W629" s="35" t="s">
        <v>959</v>
      </c>
    </row>
    <row r="630" spans="1:23" x14ac:dyDescent="0.2">
      <c r="A630" s="30" t="s">
        <v>154</v>
      </c>
      <c r="B630" s="30" t="s">
        <v>1317</v>
      </c>
      <c r="C630" s="34">
        <v>74</v>
      </c>
      <c r="D630" s="35">
        <v>72</v>
      </c>
      <c r="E630" s="34">
        <f>IF(OR(D630="-",D630="",D630=0),IF(C630="-","-",C630),C630-D630)</f>
        <v>2</v>
      </c>
      <c r="F630" s="4">
        <f>IFERROR(IF(C630&gt;0, D630/C630, 0),"-")</f>
        <v>0.97297297297297303</v>
      </c>
      <c r="G630" s="34" t="s">
        <v>959</v>
      </c>
      <c r="H630" s="35" t="s">
        <v>959</v>
      </c>
      <c r="I630" s="34" t="str">
        <f>IF(OR(H630="-",H630="",H630=0),IF(G630="-","-",G630),G630-H630)</f>
        <v>-</v>
      </c>
      <c r="J630" s="4" t="str">
        <f>IFERROR(IF(G630&gt;0, H630/G630, 0),"-")</f>
        <v>-</v>
      </c>
      <c r="K630" s="34" t="s">
        <v>959</v>
      </c>
      <c r="L630" s="35" t="s">
        <v>959</v>
      </c>
      <c r="M630" s="34" t="str">
        <f>IF(OR(L630="-",L630="",L630=0),IF(K630="-","-",K630),K630-L630)</f>
        <v>-</v>
      </c>
      <c r="N630" s="4" t="str">
        <f>IFERROR(IF(K630&gt;0, L630/K630, 0),"-")</f>
        <v>-</v>
      </c>
      <c r="O630" s="34" t="s">
        <v>959</v>
      </c>
      <c r="P630" s="35" t="s">
        <v>959</v>
      </c>
      <c r="Q630" s="34" t="str">
        <f>IF(OR(P630="-",P630="",P630=0),IF(O630="-","-",O630),O630-P630)</f>
        <v>-</v>
      </c>
      <c r="R630" s="4" t="str">
        <f>IFERROR(IF(O630&gt;0, P630/O630, 0),"-")</f>
        <v>-</v>
      </c>
      <c r="S630" s="34" t="s">
        <v>959</v>
      </c>
      <c r="T630" s="34" t="s">
        <v>959</v>
      </c>
      <c r="U630" s="34" t="s">
        <v>959</v>
      </c>
      <c r="V630" s="35" t="s">
        <v>959</v>
      </c>
      <c r="W630" s="35" t="s">
        <v>959</v>
      </c>
    </row>
    <row r="631" spans="1:23" x14ac:dyDescent="0.2">
      <c r="A631" s="30" t="s">
        <v>153</v>
      </c>
      <c r="B631" s="30" t="s">
        <v>1318</v>
      </c>
      <c r="C631" s="34">
        <v>68</v>
      </c>
      <c r="D631" s="35">
        <v>67</v>
      </c>
      <c r="E631" s="34">
        <f>IF(OR(D631="-",D631="",D631=0),IF(C631="-","-",C631),C631-D631)</f>
        <v>1</v>
      </c>
      <c r="F631" s="4">
        <f>IFERROR(IF(C631&gt;0, D631/C631, 0),"-")</f>
        <v>0.98529411764705888</v>
      </c>
      <c r="G631" s="34" t="s">
        <v>959</v>
      </c>
      <c r="H631" s="35" t="s">
        <v>959</v>
      </c>
      <c r="I631" s="34" t="str">
        <f>IF(OR(H631="-",H631="",H631=0),IF(G631="-","-",G631),G631-H631)</f>
        <v>-</v>
      </c>
      <c r="J631" s="4" t="str">
        <f>IFERROR(IF(G631&gt;0, H631/G631, 0),"-")</f>
        <v>-</v>
      </c>
      <c r="K631" s="34" t="s">
        <v>959</v>
      </c>
      <c r="L631" s="35" t="s">
        <v>959</v>
      </c>
      <c r="M631" s="34" t="str">
        <f>IF(OR(L631="-",L631="",L631=0),IF(K631="-","-",K631),K631-L631)</f>
        <v>-</v>
      </c>
      <c r="N631" s="4" t="str">
        <f>IFERROR(IF(K631&gt;0, L631/K631, 0),"-")</f>
        <v>-</v>
      </c>
      <c r="O631" s="34" t="s">
        <v>959</v>
      </c>
      <c r="P631" s="35" t="s">
        <v>959</v>
      </c>
      <c r="Q631" s="34" t="str">
        <f>IF(OR(P631="-",P631="",P631=0),IF(O631="-","-",O631),O631-P631)</f>
        <v>-</v>
      </c>
      <c r="R631" s="4" t="str">
        <f>IFERROR(IF(O631&gt;0, P631/O631, 0),"-")</f>
        <v>-</v>
      </c>
      <c r="S631" s="34" t="s">
        <v>959</v>
      </c>
      <c r="T631" s="34" t="s">
        <v>959</v>
      </c>
      <c r="U631" s="34" t="s">
        <v>959</v>
      </c>
      <c r="V631" s="35" t="s">
        <v>959</v>
      </c>
      <c r="W631" s="35" t="s">
        <v>959</v>
      </c>
    </row>
    <row r="632" spans="1:23" x14ac:dyDescent="0.2">
      <c r="A632" s="29"/>
      <c r="B632" s="29" t="s">
        <v>67</v>
      </c>
      <c r="C632" s="32">
        <v>707</v>
      </c>
      <c r="D632" s="32">
        <v>675</v>
      </c>
      <c r="E632" s="32">
        <f>IF(OR(D632="-",D632="",D632=0),IF(C632="-","-",C632),C632-D632)</f>
        <v>32</v>
      </c>
      <c r="F632" s="36">
        <f>IFERROR(IF(C632&gt;0, D632/C632, 0),"-")</f>
        <v>0.95473833097595473</v>
      </c>
      <c r="G632" s="32">
        <v>7</v>
      </c>
      <c r="H632" s="32">
        <v>1</v>
      </c>
      <c r="I632" s="32">
        <f>IF(OR(H632="-",H632="",H632=0),IF(G632="-","-",G632),G632-H632)</f>
        <v>6</v>
      </c>
      <c r="J632" s="36">
        <f>IFERROR(IF(G632&gt;0, H632/G632, 0),"-")</f>
        <v>0.14285714285714285</v>
      </c>
      <c r="K632" s="32" t="s">
        <v>959</v>
      </c>
      <c r="L632" s="32" t="s">
        <v>959</v>
      </c>
      <c r="M632" s="32" t="str">
        <f>IF(OR(L632="-",L632="",L632=0),IF(K632="-","-",K632),K632-L632)</f>
        <v>-</v>
      </c>
      <c r="N632" s="36" t="str">
        <f>IFERROR(IF(K632&gt;0, L632/K632, 0),"-")</f>
        <v>-</v>
      </c>
      <c r="O632" s="32" t="s">
        <v>959</v>
      </c>
      <c r="P632" s="32" t="s">
        <v>959</v>
      </c>
      <c r="Q632" s="32" t="str">
        <f>IF(OR(P632="-",P632="",P632=0),IF(O632="-","-",O632),O632-P632)</f>
        <v>-</v>
      </c>
      <c r="R632" s="36" t="str">
        <f>IFERROR(IF(O632&gt;0, P632/O632, 0),"-")</f>
        <v>-</v>
      </c>
      <c r="S632" s="32">
        <v>11</v>
      </c>
      <c r="T632" s="32">
        <v>1</v>
      </c>
      <c r="U632" s="32">
        <v>4045</v>
      </c>
      <c r="V632" s="32" t="s">
        <v>959</v>
      </c>
      <c r="W632" s="32" t="s">
        <v>959</v>
      </c>
    </row>
    <row r="633" spans="1:23" x14ac:dyDescent="0.2">
      <c r="A633" s="30" t="s">
        <v>446</v>
      </c>
      <c r="B633" s="30" t="s">
        <v>1319</v>
      </c>
      <c r="C633" s="34">
        <v>79</v>
      </c>
      <c r="D633" s="35">
        <v>68</v>
      </c>
      <c r="E633" s="34">
        <f>IF(OR(D633="-",D633="",D633=0),IF(C633="-","-",C633),C633-D633)</f>
        <v>11</v>
      </c>
      <c r="F633" s="4">
        <f>IFERROR(IF(C633&gt;0, D633/C633, 0),"-")</f>
        <v>0.86075949367088611</v>
      </c>
      <c r="G633" s="34">
        <v>2</v>
      </c>
      <c r="H633" s="35" t="s">
        <v>959</v>
      </c>
      <c r="I633" s="34">
        <f>IF(OR(H633="-",H633="",H633=0),IF(G633="-","-",G633),G633-H633)</f>
        <v>2</v>
      </c>
      <c r="J633" s="4" t="str">
        <f>IFERROR(IF(G633&gt;0, H633/G633, 0),"-")</f>
        <v>-</v>
      </c>
      <c r="K633" s="34" t="s">
        <v>959</v>
      </c>
      <c r="L633" s="35" t="s">
        <v>959</v>
      </c>
      <c r="M633" s="34" t="str">
        <f>IF(OR(L633="-",L633="",L633=0),IF(K633="-","-",K633),K633-L633)</f>
        <v>-</v>
      </c>
      <c r="N633" s="4" t="str">
        <f>IFERROR(IF(K633&gt;0, L633/K633, 0),"-")</f>
        <v>-</v>
      </c>
      <c r="O633" s="34" t="s">
        <v>959</v>
      </c>
      <c r="P633" s="35" t="s">
        <v>959</v>
      </c>
      <c r="Q633" s="34" t="str">
        <f>IF(OR(P633="-",P633="",P633=0),IF(O633="-","-",O633),O633-P633)</f>
        <v>-</v>
      </c>
      <c r="R633" s="4" t="str">
        <f>IFERROR(IF(O633&gt;0, P633/O633, 0),"-")</f>
        <v>-</v>
      </c>
      <c r="S633" s="34" t="s">
        <v>959</v>
      </c>
      <c r="T633" s="34" t="s">
        <v>959</v>
      </c>
      <c r="U633" s="34" t="s">
        <v>959</v>
      </c>
      <c r="V633" s="35" t="s">
        <v>959</v>
      </c>
      <c r="W633" s="35" t="s">
        <v>959</v>
      </c>
    </row>
    <row r="634" spans="1:23" x14ac:dyDescent="0.2">
      <c r="A634" s="30" t="s">
        <v>444</v>
      </c>
      <c r="B634" s="30" t="s">
        <v>1320</v>
      </c>
      <c r="C634" s="34">
        <v>76</v>
      </c>
      <c r="D634" s="35">
        <v>72</v>
      </c>
      <c r="E634" s="34">
        <f>IF(OR(D634="-",D634="",D634=0),IF(C634="-","-",C634),C634-D634)</f>
        <v>4</v>
      </c>
      <c r="F634" s="4">
        <f>IFERROR(IF(C634&gt;0, D634/C634, 0),"-")</f>
        <v>0.94736842105263153</v>
      </c>
      <c r="G634" s="34">
        <v>2</v>
      </c>
      <c r="H634" s="35" t="s">
        <v>959</v>
      </c>
      <c r="I634" s="34">
        <f>IF(OR(H634="-",H634="",H634=0),IF(G634="-","-",G634),G634-H634)</f>
        <v>2</v>
      </c>
      <c r="J634" s="4" t="str">
        <f>IFERROR(IF(G634&gt;0, H634/G634, 0),"-")</f>
        <v>-</v>
      </c>
      <c r="K634" s="34" t="s">
        <v>959</v>
      </c>
      <c r="L634" s="35" t="s">
        <v>959</v>
      </c>
      <c r="M634" s="34" t="str">
        <f>IF(OR(L634="-",L634="",L634=0),IF(K634="-","-",K634),K634-L634)</f>
        <v>-</v>
      </c>
      <c r="N634" s="4" t="str">
        <f>IFERROR(IF(K634&gt;0, L634/K634, 0),"-")</f>
        <v>-</v>
      </c>
      <c r="O634" s="34" t="s">
        <v>959</v>
      </c>
      <c r="P634" s="35" t="s">
        <v>959</v>
      </c>
      <c r="Q634" s="34" t="str">
        <f>IF(OR(P634="-",P634="",P634=0),IF(O634="-","-",O634),O634-P634)</f>
        <v>-</v>
      </c>
      <c r="R634" s="4" t="str">
        <f>IFERROR(IF(O634&gt;0, P634/O634, 0),"-")</f>
        <v>-</v>
      </c>
      <c r="S634" s="34">
        <v>1</v>
      </c>
      <c r="T634" s="34" t="s">
        <v>959</v>
      </c>
      <c r="U634" s="34" t="s">
        <v>959</v>
      </c>
      <c r="V634" s="35" t="s">
        <v>959</v>
      </c>
      <c r="W634" s="35" t="s">
        <v>959</v>
      </c>
    </row>
    <row r="635" spans="1:23" x14ac:dyDescent="0.2">
      <c r="A635" s="30" t="s">
        <v>443</v>
      </c>
      <c r="B635" s="30" t="s">
        <v>1321</v>
      </c>
      <c r="C635" s="34">
        <v>150</v>
      </c>
      <c r="D635" s="35">
        <v>148</v>
      </c>
      <c r="E635" s="34">
        <f>IF(OR(D635="-",D635="",D635=0),IF(C635="-","-",C635),C635-D635)</f>
        <v>2</v>
      </c>
      <c r="F635" s="4">
        <f>IFERROR(IF(C635&gt;0, D635/C635, 0),"-")</f>
        <v>0.98666666666666669</v>
      </c>
      <c r="G635" s="34">
        <v>1</v>
      </c>
      <c r="H635" s="35" t="s">
        <v>959</v>
      </c>
      <c r="I635" s="34">
        <f>IF(OR(H635="-",H635="",H635=0),IF(G635="-","-",G635),G635-H635)</f>
        <v>1</v>
      </c>
      <c r="J635" s="4" t="str">
        <f>IFERROR(IF(G635&gt;0, H635/G635, 0),"-")</f>
        <v>-</v>
      </c>
      <c r="K635" s="34" t="s">
        <v>959</v>
      </c>
      <c r="L635" s="35" t="s">
        <v>959</v>
      </c>
      <c r="M635" s="34" t="str">
        <f>IF(OR(L635="-",L635="",L635=0),IF(K635="-","-",K635),K635-L635)</f>
        <v>-</v>
      </c>
      <c r="N635" s="4" t="str">
        <f>IFERROR(IF(K635&gt;0, L635/K635, 0),"-")</f>
        <v>-</v>
      </c>
      <c r="O635" s="34" t="s">
        <v>959</v>
      </c>
      <c r="P635" s="35" t="s">
        <v>959</v>
      </c>
      <c r="Q635" s="34" t="str">
        <f>IF(OR(P635="-",P635="",P635=0),IF(O635="-","-",O635),O635-P635)</f>
        <v>-</v>
      </c>
      <c r="R635" s="4" t="str">
        <f>IFERROR(IF(O635&gt;0, P635/O635, 0),"-")</f>
        <v>-</v>
      </c>
      <c r="S635" s="34">
        <v>1</v>
      </c>
      <c r="T635" s="34" t="s">
        <v>959</v>
      </c>
      <c r="U635" s="34" t="s">
        <v>959</v>
      </c>
      <c r="V635" s="35" t="s">
        <v>959</v>
      </c>
      <c r="W635" s="35" t="s">
        <v>959</v>
      </c>
    </row>
    <row r="636" spans="1:23" x14ac:dyDescent="0.2">
      <c r="A636" s="30" t="s">
        <v>440</v>
      </c>
      <c r="B636" s="30" t="s">
        <v>1322</v>
      </c>
      <c r="C636" s="34">
        <v>100</v>
      </c>
      <c r="D636" s="35">
        <v>92</v>
      </c>
      <c r="E636" s="34">
        <f>IF(OR(D636="-",D636="",D636=0),IF(C636="-","-",C636),C636-D636)</f>
        <v>8</v>
      </c>
      <c r="F636" s="4">
        <f>IFERROR(IF(C636&gt;0, D636/C636, 0),"-")</f>
        <v>0.92</v>
      </c>
      <c r="G636" s="34" t="s">
        <v>959</v>
      </c>
      <c r="H636" s="35" t="s">
        <v>959</v>
      </c>
      <c r="I636" s="34" t="str">
        <f>IF(OR(H636="-",H636="",H636=0),IF(G636="-","-",G636),G636-H636)</f>
        <v>-</v>
      </c>
      <c r="J636" s="4" t="str">
        <f>IFERROR(IF(G636&gt;0, H636/G636, 0),"-")</f>
        <v>-</v>
      </c>
      <c r="K636" s="34" t="s">
        <v>959</v>
      </c>
      <c r="L636" s="35" t="s">
        <v>959</v>
      </c>
      <c r="M636" s="34" t="str">
        <f>IF(OR(L636="-",L636="",L636=0),IF(K636="-","-",K636),K636-L636)</f>
        <v>-</v>
      </c>
      <c r="N636" s="4" t="str">
        <f>IFERROR(IF(K636&gt;0, L636/K636, 0),"-")</f>
        <v>-</v>
      </c>
      <c r="O636" s="34" t="s">
        <v>959</v>
      </c>
      <c r="P636" s="35" t="s">
        <v>959</v>
      </c>
      <c r="Q636" s="34" t="str">
        <f>IF(OR(P636="-",P636="",P636=0),IF(O636="-","-",O636),O636-P636)</f>
        <v>-</v>
      </c>
      <c r="R636" s="4" t="str">
        <f>IFERROR(IF(O636&gt;0, P636/O636, 0),"-")</f>
        <v>-</v>
      </c>
      <c r="S636" s="34">
        <v>3</v>
      </c>
      <c r="T636" s="34">
        <v>1</v>
      </c>
      <c r="U636" s="34">
        <v>4045</v>
      </c>
      <c r="V636" s="35" t="s">
        <v>959</v>
      </c>
      <c r="W636" s="35" t="s">
        <v>959</v>
      </c>
    </row>
    <row r="637" spans="1:23" x14ac:dyDescent="0.2">
      <c r="A637" s="30" t="s">
        <v>441</v>
      </c>
      <c r="B637" s="30" t="s">
        <v>1323</v>
      </c>
      <c r="C637" s="34">
        <v>105</v>
      </c>
      <c r="D637" s="35">
        <v>105</v>
      </c>
      <c r="E637" s="34">
        <f>IF(OR(D637="-",D637="",D637=0),IF(C637="-","-",C637),C637-D637)</f>
        <v>0</v>
      </c>
      <c r="F637" s="4">
        <f>IFERROR(IF(C637&gt;0, D637/C637, 0),"-")</f>
        <v>1</v>
      </c>
      <c r="G637" s="34">
        <v>1</v>
      </c>
      <c r="H637" s="35">
        <v>1</v>
      </c>
      <c r="I637" s="34">
        <f>IF(OR(H637="-",H637="",H637=0),IF(G637="-","-",G637),G637-H637)</f>
        <v>0</v>
      </c>
      <c r="J637" s="4">
        <f>IFERROR(IF(G637&gt;0, H637/G637, 0),"-")</f>
        <v>1</v>
      </c>
      <c r="K637" s="34" t="s">
        <v>959</v>
      </c>
      <c r="L637" s="35" t="s">
        <v>959</v>
      </c>
      <c r="M637" s="34" t="str">
        <f>IF(OR(L637="-",L637="",L637=0),IF(K637="-","-",K637),K637-L637)</f>
        <v>-</v>
      </c>
      <c r="N637" s="4" t="str">
        <f>IFERROR(IF(K637&gt;0, L637/K637, 0),"-")</f>
        <v>-</v>
      </c>
      <c r="O637" s="34" t="s">
        <v>959</v>
      </c>
      <c r="P637" s="35" t="s">
        <v>959</v>
      </c>
      <c r="Q637" s="34" t="str">
        <f>IF(OR(P637="-",P637="",P637=0),IF(O637="-","-",O637),O637-P637)</f>
        <v>-</v>
      </c>
      <c r="R637" s="4" t="str">
        <f>IFERROR(IF(O637&gt;0, P637/O637, 0),"-")</f>
        <v>-</v>
      </c>
      <c r="S637" s="34">
        <v>2</v>
      </c>
      <c r="T637" s="34" t="s">
        <v>959</v>
      </c>
      <c r="U637" s="34" t="s">
        <v>959</v>
      </c>
      <c r="V637" s="35" t="s">
        <v>959</v>
      </c>
      <c r="W637" s="35" t="s">
        <v>959</v>
      </c>
    </row>
    <row r="638" spans="1:23" x14ac:dyDescent="0.2">
      <c r="A638" s="30" t="s">
        <v>442</v>
      </c>
      <c r="B638" s="30" t="s">
        <v>1324</v>
      </c>
      <c r="C638" s="34">
        <v>126</v>
      </c>
      <c r="D638" s="35">
        <v>123</v>
      </c>
      <c r="E638" s="34">
        <f>IF(OR(D638="-",D638="",D638=0),IF(C638="-","-",C638),C638-D638)</f>
        <v>3</v>
      </c>
      <c r="F638" s="4">
        <f>IFERROR(IF(C638&gt;0, D638/C638, 0),"-")</f>
        <v>0.97619047619047616</v>
      </c>
      <c r="G638" s="34" t="s">
        <v>959</v>
      </c>
      <c r="H638" s="35" t="s">
        <v>959</v>
      </c>
      <c r="I638" s="34" t="str">
        <f>IF(OR(H638="-",H638="",H638=0),IF(G638="-","-",G638),G638-H638)</f>
        <v>-</v>
      </c>
      <c r="J638" s="4" t="str">
        <f>IFERROR(IF(G638&gt;0, H638/G638, 0),"-")</f>
        <v>-</v>
      </c>
      <c r="K638" s="34" t="s">
        <v>959</v>
      </c>
      <c r="L638" s="35" t="s">
        <v>959</v>
      </c>
      <c r="M638" s="34" t="str">
        <f>IF(OR(L638="-",L638="",L638=0),IF(K638="-","-",K638),K638-L638)</f>
        <v>-</v>
      </c>
      <c r="N638" s="4" t="str">
        <f>IFERROR(IF(K638&gt;0, L638/K638, 0),"-")</f>
        <v>-</v>
      </c>
      <c r="O638" s="34" t="s">
        <v>959</v>
      </c>
      <c r="P638" s="35" t="s">
        <v>959</v>
      </c>
      <c r="Q638" s="34" t="str">
        <f>IF(OR(P638="-",P638="",P638=0),IF(O638="-","-",O638),O638-P638)</f>
        <v>-</v>
      </c>
      <c r="R638" s="4" t="str">
        <f>IFERROR(IF(O638&gt;0, P638/O638, 0),"-")</f>
        <v>-</v>
      </c>
      <c r="S638" s="34">
        <v>2</v>
      </c>
      <c r="T638" s="34" t="s">
        <v>959</v>
      </c>
      <c r="U638" s="34" t="s">
        <v>959</v>
      </c>
      <c r="V638" s="35" t="s">
        <v>959</v>
      </c>
      <c r="W638" s="35" t="s">
        <v>959</v>
      </c>
    </row>
    <row r="639" spans="1:23" x14ac:dyDescent="0.2">
      <c r="A639" s="30" t="s">
        <v>445</v>
      </c>
      <c r="B639" s="30" t="s">
        <v>1325</v>
      </c>
      <c r="C639" s="34">
        <v>71</v>
      </c>
      <c r="D639" s="35">
        <v>67</v>
      </c>
      <c r="E639" s="34">
        <f>IF(OR(D639="-",D639="",D639=0),IF(C639="-","-",C639),C639-D639)</f>
        <v>4</v>
      </c>
      <c r="F639" s="4">
        <f>IFERROR(IF(C639&gt;0, D639/C639, 0),"-")</f>
        <v>0.94366197183098588</v>
      </c>
      <c r="G639" s="34">
        <v>1</v>
      </c>
      <c r="H639" s="35" t="s">
        <v>959</v>
      </c>
      <c r="I639" s="34">
        <f>IF(OR(H639="-",H639="",H639=0),IF(G639="-","-",G639),G639-H639)</f>
        <v>1</v>
      </c>
      <c r="J639" s="4" t="str">
        <f>IFERROR(IF(G639&gt;0, H639/G639, 0),"-")</f>
        <v>-</v>
      </c>
      <c r="K639" s="34" t="s">
        <v>959</v>
      </c>
      <c r="L639" s="35" t="s">
        <v>959</v>
      </c>
      <c r="M639" s="34" t="str">
        <f>IF(OR(L639="-",L639="",L639=0),IF(K639="-","-",K639),K639-L639)</f>
        <v>-</v>
      </c>
      <c r="N639" s="4" t="str">
        <f>IFERROR(IF(K639&gt;0, L639/K639, 0),"-")</f>
        <v>-</v>
      </c>
      <c r="O639" s="34" t="s">
        <v>959</v>
      </c>
      <c r="P639" s="35" t="s">
        <v>959</v>
      </c>
      <c r="Q639" s="34" t="str">
        <f>IF(OR(P639="-",P639="",P639=0),IF(O639="-","-",O639),O639-P639)</f>
        <v>-</v>
      </c>
      <c r="R639" s="4" t="str">
        <f>IFERROR(IF(O639&gt;0, P639/O639, 0),"-")</f>
        <v>-</v>
      </c>
      <c r="S639" s="34">
        <v>2</v>
      </c>
      <c r="T639" s="34" t="s">
        <v>959</v>
      </c>
      <c r="U639" s="34" t="s">
        <v>959</v>
      </c>
      <c r="V639" s="35" t="s">
        <v>959</v>
      </c>
      <c r="W639" s="35" t="s">
        <v>959</v>
      </c>
    </row>
    <row r="640" spans="1:23" x14ac:dyDescent="0.2">
      <c r="A640" s="29"/>
      <c r="B640" s="29" t="s">
        <v>135</v>
      </c>
      <c r="C640" s="32">
        <v>744</v>
      </c>
      <c r="D640" s="32">
        <v>714</v>
      </c>
      <c r="E640" s="32">
        <f>IF(OR(D640="-",D640="",D640=0),IF(C640="-","-",C640),C640-D640)</f>
        <v>30</v>
      </c>
      <c r="F640" s="36">
        <f>IFERROR(IF(C640&gt;0, D640/C640, 0),"-")</f>
        <v>0.95967741935483875</v>
      </c>
      <c r="G640" s="32">
        <v>10</v>
      </c>
      <c r="H640" s="32">
        <v>3</v>
      </c>
      <c r="I640" s="32">
        <f>IF(OR(H640="-",H640="",H640=0),IF(G640="-","-",G640),G640-H640)</f>
        <v>7</v>
      </c>
      <c r="J640" s="36">
        <f>IFERROR(IF(G640&gt;0, H640/G640, 0),"-")</f>
        <v>0.3</v>
      </c>
      <c r="K640" s="32">
        <v>3</v>
      </c>
      <c r="L640" s="32">
        <v>1</v>
      </c>
      <c r="M640" s="32">
        <f>IF(OR(L640="-",L640="",L640=0),IF(K640="-","-",K640),K640-L640)</f>
        <v>2</v>
      </c>
      <c r="N640" s="36">
        <f>IFERROR(IF(K640&gt;0, L640/K640, 0),"-")</f>
        <v>0.33333333333333331</v>
      </c>
      <c r="O640" s="32">
        <v>1</v>
      </c>
      <c r="P640" s="32" t="s">
        <v>959</v>
      </c>
      <c r="Q640" s="32">
        <f>IF(OR(P640="-",P640="",P640=0),IF(O640="-","-",O640),O640-P640)</f>
        <v>1</v>
      </c>
      <c r="R640" s="36" t="str">
        <f>IFERROR(IF(O640&gt;0, P640/O640, 0),"-")</f>
        <v>-</v>
      </c>
      <c r="S640" s="32">
        <v>2</v>
      </c>
      <c r="T640" s="32" t="s">
        <v>959</v>
      </c>
      <c r="U640" s="32" t="s">
        <v>959</v>
      </c>
      <c r="V640" s="32" t="s">
        <v>959</v>
      </c>
      <c r="W640" s="32" t="s">
        <v>959</v>
      </c>
    </row>
    <row r="641" spans="1:23" x14ac:dyDescent="0.2">
      <c r="A641" s="30" t="s">
        <v>947</v>
      </c>
      <c r="B641" s="30" t="s">
        <v>1326</v>
      </c>
      <c r="C641" s="34">
        <v>113</v>
      </c>
      <c r="D641" s="35">
        <v>106</v>
      </c>
      <c r="E641" s="34">
        <f>IF(OR(D641="-",D641="",D641=0),IF(C641="-","-",C641),C641-D641)</f>
        <v>7</v>
      </c>
      <c r="F641" s="4">
        <f>IFERROR(IF(C641&gt;0, D641/C641, 0),"-")</f>
        <v>0.93805309734513276</v>
      </c>
      <c r="G641" s="34">
        <v>4</v>
      </c>
      <c r="H641" s="35">
        <v>1</v>
      </c>
      <c r="I641" s="34">
        <f>IF(OR(H641="-",H641="",H641=0),IF(G641="-","-",G641),G641-H641)</f>
        <v>3</v>
      </c>
      <c r="J641" s="4">
        <f>IFERROR(IF(G641&gt;0, H641/G641, 0),"-")</f>
        <v>0.25</v>
      </c>
      <c r="K641" s="34">
        <v>2</v>
      </c>
      <c r="L641" s="35">
        <v>1</v>
      </c>
      <c r="M641" s="34">
        <f>IF(OR(L641="-",L641="",L641=0),IF(K641="-","-",K641),K641-L641)</f>
        <v>1</v>
      </c>
      <c r="N641" s="4">
        <f>IFERROR(IF(K641&gt;0, L641/K641, 0),"-")</f>
        <v>0.5</v>
      </c>
      <c r="O641" s="34" t="s">
        <v>959</v>
      </c>
      <c r="P641" s="35" t="s">
        <v>959</v>
      </c>
      <c r="Q641" s="34" t="str">
        <f>IF(OR(P641="-",P641="",P641=0),IF(O641="-","-",O641),O641-P641)</f>
        <v>-</v>
      </c>
      <c r="R641" s="4" t="str">
        <f>IFERROR(IF(O641&gt;0, P641/O641, 0),"-")</f>
        <v>-</v>
      </c>
      <c r="S641" s="34">
        <v>1</v>
      </c>
      <c r="T641" s="34" t="s">
        <v>959</v>
      </c>
      <c r="U641" s="34" t="s">
        <v>959</v>
      </c>
      <c r="V641" s="35" t="s">
        <v>959</v>
      </c>
      <c r="W641" s="35" t="s">
        <v>959</v>
      </c>
    </row>
    <row r="642" spans="1:23" x14ac:dyDescent="0.2">
      <c r="A642" s="30" t="s">
        <v>948</v>
      </c>
      <c r="B642" s="30" t="s">
        <v>1327</v>
      </c>
      <c r="C642" s="34">
        <v>123</v>
      </c>
      <c r="D642" s="35">
        <v>119</v>
      </c>
      <c r="E642" s="34">
        <f>IF(OR(D642="-",D642="",D642=0),IF(C642="-","-",C642),C642-D642)</f>
        <v>4</v>
      </c>
      <c r="F642" s="4">
        <f>IFERROR(IF(C642&gt;0, D642/C642, 0),"-")</f>
        <v>0.96747967479674801</v>
      </c>
      <c r="G642" s="34" t="s">
        <v>959</v>
      </c>
      <c r="H642" s="35" t="s">
        <v>959</v>
      </c>
      <c r="I642" s="34" t="str">
        <f>IF(OR(H642="-",H642="",H642=0),IF(G642="-","-",G642),G642-H642)</f>
        <v>-</v>
      </c>
      <c r="J642" s="4" t="str">
        <f>IFERROR(IF(G642&gt;0, H642/G642, 0),"-")</f>
        <v>-</v>
      </c>
      <c r="K642" s="34">
        <v>1</v>
      </c>
      <c r="L642" s="35" t="s">
        <v>959</v>
      </c>
      <c r="M642" s="34">
        <f>IF(OR(L642="-",L642="",L642=0),IF(K642="-","-",K642),K642-L642)</f>
        <v>1</v>
      </c>
      <c r="N642" s="4" t="str">
        <f>IFERROR(IF(K642&gt;0, L642/K642, 0),"-")</f>
        <v>-</v>
      </c>
      <c r="O642" s="34" t="s">
        <v>959</v>
      </c>
      <c r="P642" s="35" t="s">
        <v>959</v>
      </c>
      <c r="Q642" s="34" t="str">
        <f>IF(OR(P642="-",P642="",P642=0),IF(O642="-","-",O642),O642-P642)</f>
        <v>-</v>
      </c>
      <c r="R642" s="4" t="str">
        <f>IFERROR(IF(O642&gt;0, P642/O642, 0),"-")</f>
        <v>-</v>
      </c>
      <c r="S642" s="34">
        <v>1</v>
      </c>
      <c r="T642" s="34" t="s">
        <v>959</v>
      </c>
      <c r="U642" s="34" t="s">
        <v>959</v>
      </c>
      <c r="V642" s="35" t="s">
        <v>959</v>
      </c>
      <c r="W642" s="35" t="s">
        <v>959</v>
      </c>
    </row>
    <row r="643" spans="1:23" x14ac:dyDescent="0.2">
      <c r="A643" s="30" t="s">
        <v>949</v>
      </c>
      <c r="B643" s="30" t="s">
        <v>1328</v>
      </c>
      <c r="C643" s="34">
        <v>129</v>
      </c>
      <c r="D643" s="35">
        <v>124</v>
      </c>
      <c r="E643" s="34">
        <f>IF(OR(D643="-",D643="",D643=0),IF(C643="-","-",C643),C643-D643)</f>
        <v>5</v>
      </c>
      <c r="F643" s="4">
        <f>IFERROR(IF(C643&gt;0, D643/C643, 0),"-")</f>
        <v>0.96124031007751942</v>
      </c>
      <c r="G643" s="34">
        <v>2</v>
      </c>
      <c r="H643" s="35" t="s">
        <v>959</v>
      </c>
      <c r="I643" s="34">
        <f>IF(OR(H643="-",H643="",H643=0),IF(G643="-","-",G643),G643-H643)</f>
        <v>2</v>
      </c>
      <c r="J643" s="4" t="str">
        <f>IFERROR(IF(G643&gt;0, H643/G643, 0),"-")</f>
        <v>-</v>
      </c>
      <c r="K643" s="34" t="s">
        <v>959</v>
      </c>
      <c r="L643" s="35" t="s">
        <v>959</v>
      </c>
      <c r="M643" s="34" t="str">
        <f>IF(OR(L643="-",L643="",L643=0),IF(K643="-","-",K643),K643-L643)</f>
        <v>-</v>
      </c>
      <c r="N643" s="4" t="str">
        <f>IFERROR(IF(K643&gt;0, L643/K643, 0),"-")</f>
        <v>-</v>
      </c>
      <c r="O643" s="34" t="s">
        <v>959</v>
      </c>
      <c r="P643" s="35" t="s">
        <v>959</v>
      </c>
      <c r="Q643" s="34" t="str">
        <f>IF(OR(P643="-",P643="",P643=0),IF(O643="-","-",O643),O643-P643)</f>
        <v>-</v>
      </c>
      <c r="R643" s="4" t="str">
        <f>IFERROR(IF(O643&gt;0, P643/O643, 0),"-")</f>
        <v>-</v>
      </c>
      <c r="S643" s="34" t="s">
        <v>959</v>
      </c>
      <c r="T643" s="34" t="s">
        <v>959</v>
      </c>
      <c r="U643" s="34" t="s">
        <v>959</v>
      </c>
      <c r="V643" s="35" t="s">
        <v>959</v>
      </c>
      <c r="W643" s="35" t="s">
        <v>959</v>
      </c>
    </row>
    <row r="644" spans="1:23" x14ac:dyDescent="0.2">
      <c r="A644" s="30" t="s">
        <v>945</v>
      </c>
      <c r="B644" s="30" t="s">
        <v>1329</v>
      </c>
      <c r="C644" s="34">
        <v>110</v>
      </c>
      <c r="D644" s="35">
        <v>109</v>
      </c>
      <c r="E644" s="34">
        <f>IF(OR(D644="-",D644="",D644=0),IF(C644="-","-",C644),C644-D644)</f>
        <v>1</v>
      </c>
      <c r="F644" s="4">
        <f>IFERROR(IF(C644&gt;0, D644/C644, 0),"-")</f>
        <v>0.99090909090909096</v>
      </c>
      <c r="G644" s="34" t="s">
        <v>959</v>
      </c>
      <c r="H644" s="35" t="s">
        <v>959</v>
      </c>
      <c r="I644" s="34" t="str">
        <f>IF(OR(H644="-",H644="",H644=0),IF(G644="-","-",G644),G644-H644)</f>
        <v>-</v>
      </c>
      <c r="J644" s="4" t="str">
        <f>IFERROR(IF(G644&gt;0, H644/G644, 0),"-")</f>
        <v>-</v>
      </c>
      <c r="K644" s="34" t="s">
        <v>959</v>
      </c>
      <c r="L644" s="35" t="s">
        <v>959</v>
      </c>
      <c r="M644" s="34" t="str">
        <f>IF(OR(L644="-",L644="",L644=0),IF(K644="-","-",K644),K644-L644)</f>
        <v>-</v>
      </c>
      <c r="N644" s="4" t="str">
        <f>IFERROR(IF(K644&gt;0, L644/K644, 0),"-")</f>
        <v>-</v>
      </c>
      <c r="O644" s="34">
        <v>1</v>
      </c>
      <c r="P644" s="35" t="s">
        <v>959</v>
      </c>
      <c r="Q644" s="34">
        <f>IF(OR(P644="-",P644="",P644=0),IF(O644="-","-",O644),O644-P644)</f>
        <v>1</v>
      </c>
      <c r="R644" s="4" t="str">
        <f>IFERROR(IF(O644&gt;0, P644/O644, 0),"-")</f>
        <v>-</v>
      </c>
      <c r="S644" s="34" t="s">
        <v>959</v>
      </c>
      <c r="T644" s="34" t="s">
        <v>959</v>
      </c>
      <c r="U644" s="34" t="s">
        <v>959</v>
      </c>
      <c r="V644" s="35" t="s">
        <v>959</v>
      </c>
      <c r="W644" s="35" t="s">
        <v>959</v>
      </c>
    </row>
    <row r="645" spans="1:23" x14ac:dyDescent="0.2">
      <c r="A645" s="30" t="s">
        <v>946</v>
      </c>
      <c r="B645" s="30" t="s">
        <v>1330</v>
      </c>
      <c r="C645" s="34">
        <v>165</v>
      </c>
      <c r="D645" s="35">
        <v>155</v>
      </c>
      <c r="E645" s="34">
        <f>IF(OR(D645="-",D645="",D645=0),IF(C645="-","-",C645),C645-D645)</f>
        <v>10</v>
      </c>
      <c r="F645" s="4">
        <f>IFERROR(IF(C645&gt;0, D645/C645, 0),"-")</f>
        <v>0.93939393939393945</v>
      </c>
      <c r="G645" s="34">
        <v>3</v>
      </c>
      <c r="H645" s="35">
        <v>1</v>
      </c>
      <c r="I645" s="34">
        <f>IF(OR(H645="-",H645="",H645=0),IF(G645="-","-",G645),G645-H645)</f>
        <v>2</v>
      </c>
      <c r="J645" s="4">
        <f>IFERROR(IF(G645&gt;0, H645/G645, 0),"-")</f>
        <v>0.33333333333333331</v>
      </c>
      <c r="K645" s="34" t="s">
        <v>959</v>
      </c>
      <c r="L645" s="35" t="s">
        <v>959</v>
      </c>
      <c r="M645" s="34" t="str">
        <f>IF(OR(L645="-",L645="",L645=0),IF(K645="-","-",K645),K645-L645)</f>
        <v>-</v>
      </c>
      <c r="N645" s="4" t="str">
        <f>IFERROR(IF(K645&gt;0, L645/K645, 0),"-")</f>
        <v>-</v>
      </c>
      <c r="O645" s="34" t="s">
        <v>959</v>
      </c>
      <c r="P645" s="35" t="s">
        <v>959</v>
      </c>
      <c r="Q645" s="34" t="str">
        <f>IF(OR(P645="-",P645="",P645=0),IF(O645="-","-",O645),O645-P645)</f>
        <v>-</v>
      </c>
      <c r="R645" s="4" t="str">
        <f>IFERROR(IF(O645&gt;0, P645/O645, 0),"-")</f>
        <v>-</v>
      </c>
      <c r="S645" s="34" t="s">
        <v>959</v>
      </c>
      <c r="T645" s="34" t="s">
        <v>959</v>
      </c>
      <c r="U645" s="34" t="s">
        <v>959</v>
      </c>
      <c r="V645" s="35" t="s">
        <v>959</v>
      </c>
      <c r="W645" s="35" t="s">
        <v>959</v>
      </c>
    </row>
    <row r="646" spans="1:23" x14ac:dyDescent="0.2">
      <c r="A646" s="30" t="s">
        <v>944</v>
      </c>
      <c r="B646" s="30" t="s">
        <v>1331</v>
      </c>
      <c r="C646" s="34">
        <v>104</v>
      </c>
      <c r="D646" s="35">
        <v>101</v>
      </c>
      <c r="E646" s="34">
        <f>IF(OR(D646="-",D646="",D646=0),IF(C646="-","-",C646),C646-D646)</f>
        <v>3</v>
      </c>
      <c r="F646" s="4">
        <f>IFERROR(IF(C646&gt;0, D646/C646, 0),"-")</f>
        <v>0.97115384615384615</v>
      </c>
      <c r="G646" s="34">
        <v>1</v>
      </c>
      <c r="H646" s="35">
        <v>1</v>
      </c>
      <c r="I646" s="34">
        <f>IF(OR(H646="-",H646="",H646=0),IF(G646="-","-",G646),G646-H646)</f>
        <v>0</v>
      </c>
      <c r="J646" s="4">
        <f>IFERROR(IF(G646&gt;0, H646/G646, 0),"-")</f>
        <v>1</v>
      </c>
      <c r="K646" s="34" t="s">
        <v>959</v>
      </c>
      <c r="L646" s="35" t="s">
        <v>959</v>
      </c>
      <c r="M646" s="34" t="str">
        <f>IF(OR(L646="-",L646="",L646=0),IF(K646="-","-",K646),K646-L646)</f>
        <v>-</v>
      </c>
      <c r="N646" s="4" t="str">
        <f>IFERROR(IF(K646&gt;0, L646/K646, 0),"-")</f>
        <v>-</v>
      </c>
      <c r="O646" s="34" t="s">
        <v>959</v>
      </c>
      <c r="P646" s="35" t="s">
        <v>959</v>
      </c>
      <c r="Q646" s="34" t="str">
        <f>IF(OR(P646="-",P646="",P646=0),IF(O646="-","-",O646),O646-P646)</f>
        <v>-</v>
      </c>
      <c r="R646" s="4" t="str">
        <f>IFERROR(IF(O646&gt;0, P646/O646, 0),"-")</f>
        <v>-</v>
      </c>
      <c r="S646" s="34" t="s">
        <v>959</v>
      </c>
      <c r="T646" s="34" t="s">
        <v>959</v>
      </c>
      <c r="U646" s="34" t="s">
        <v>959</v>
      </c>
      <c r="V646" s="35" t="s">
        <v>959</v>
      </c>
      <c r="W646" s="35" t="s">
        <v>959</v>
      </c>
    </row>
    <row r="647" spans="1:23" x14ac:dyDescent="0.2">
      <c r="A647" s="29"/>
      <c r="B647" s="29" t="s">
        <v>120</v>
      </c>
      <c r="C647" s="32">
        <v>521</v>
      </c>
      <c r="D647" s="32">
        <v>513</v>
      </c>
      <c r="E647" s="32">
        <f>IF(OR(D647="-",D647="",D647=0),IF(C647="-","-",C647),C647-D647)</f>
        <v>8</v>
      </c>
      <c r="F647" s="36">
        <f>IFERROR(IF(C647&gt;0, D647/C647, 0),"-")</f>
        <v>0.98464491362763917</v>
      </c>
      <c r="G647" s="32">
        <v>1</v>
      </c>
      <c r="H647" s="32" t="s">
        <v>959</v>
      </c>
      <c r="I647" s="32">
        <f>IF(OR(H647="-",H647="",H647=0),IF(G647="-","-",G647),G647-H647)</f>
        <v>1</v>
      </c>
      <c r="J647" s="36" t="str">
        <f>IFERROR(IF(G647&gt;0, H647/G647, 0),"-")</f>
        <v>-</v>
      </c>
      <c r="K647" s="32">
        <v>2</v>
      </c>
      <c r="L647" s="32" t="s">
        <v>959</v>
      </c>
      <c r="M647" s="32">
        <f>IF(OR(L647="-",L647="",L647=0),IF(K647="-","-",K647),K647-L647)</f>
        <v>2</v>
      </c>
      <c r="N647" s="36" t="str">
        <f>IFERROR(IF(K647&gt;0, L647/K647, 0),"-")</f>
        <v>-</v>
      </c>
      <c r="O647" s="32">
        <v>2</v>
      </c>
      <c r="P647" s="32" t="s">
        <v>959</v>
      </c>
      <c r="Q647" s="32">
        <f>IF(OR(P647="-",P647="",P647=0),IF(O647="-","-",O647),O647-P647)</f>
        <v>2</v>
      </c>
      <c r="R647" s="36" t="str">
        <f>IFERROR(IF(O647&gt;0, P647/O647, 0),"-")</f>
        <v>-</v>
      </c>
      <c r="S647" s="32">
        <v>3</v>
      </c>
      <c r="T647" s="32" t="s">
        <v>959</v>
      </c>
      <c r="U647" s="32" t="s">
        <v>959</v>
      </c>
      <c r="V647" s="32" t="s">
        <v>959</v>
      </c>
      <c r="W647" s="32" t="s">
        <v>959</v>
      </c>
    </row>
    <row r="648" spans="1:23" x14ac:dyDescent="0.2">
      <c r="A648" s="30" t="s">
        <v>856</v>
      </c>
      <c r="B648" s="30" t="s">
        <v>1332</v>
      </c>
      <c r="C648" s="34">
        <v>1</v>
      </c>
      <c r="D648" s="35">
        <v>1</v>
      </c>
      <c r="E648" s="34">
        <f>IF(OR(D648="-",D648="",D648=0),IF(C648="-","-",C648),C648-D648)</f>
        <v>0</v>
      </c>
      <c r="F648" s="4">
        <f>IFERROR(IF(C648&gt;0, D648/C648, 0),"-")</f>
        <v>1</v>
      </c>
      <c r="G648" s="34" t="s">
        <v>959</v>
      </c>
      <c r="H648" s="35" t="s">
        <v>959</v>
      </c>
      <c r="I648" s="34" t="str">
        <f>IF(OR(H648="-",H648="",H648=0),IF(G648="-","-",G648),G648-H648)</f>
        <v>-</v>
      </c>
      <c r="J648" s="4" t="str">
        <f>IFERROR(IF(G648&gt;0, H648/G648, 0),"-")</f>
        <v>-</v>
      </c>
      <c r="K648" s="34" t="s">
        <v>959</v>
      </c>
      <c r="L648" s="35" t="s">
        <v>959</v>
      </c>
      <c r="M648" s="34" t="str">
        <f>IF(OR(L648="-",L648="",L648=0),IF(K648="-","-",K648),K648-L648)</f>
        <v>-</v>
      </c>
      <c r="N648" s="4" t="str">
        <f>IFERROR(IF(K648&gt;0, L648/K648, 0),"-")</f>
        <v>-</v>
      </c>
      <c r="O648" s="34" t="s">
        <v>959</v>
      </c>
      <c r="P648" s="35" t="s">
        <v>959</v>
      </c>
      <c r="Q648" s="34" t="str">
        <f>IF(OR(P648="-",P648="",P648=0),IF(O648="-","-",O648),O648-P648)</f>
        <v>-</v>
      </c>
      <c r="R648" s="4" t="str">
        <f>IFERROR(IF(O648&gt;0, P648/O648, 0),"-")</f>
        <v>-</v>
      </c>
      <c r="S648" s="34" t="s">
        <v>959</v>
      </c>
      <c r="T648" s="34" t="s">
        <v>959</v>
      </c>
      <c r="U648" s="34" t="s">
        <v>959</v>
      </c>
      <c r="V648" s="35" t="s">
        <v>959</v>
      </c>
      <c r="W648" s="35" t="s">
        <v>959</v>
      </c>
    </row>
    <row r="649" spans="1:23" x14ac:dyDescent="0.2">
      <c r="A649" s="30" t="s">
        <v>854</v>
      </c>
      <c r="B649" s="30" t="s">
        <v>1333</v>
      </c>
      <c r="C649" s="34">
        <v>89</v>
      </c>
      <c r="D649" s="35">
        <v>87</v>
      </c>
      <c r="E649" s="34">
        <f>IF(OR(D649="-",D649="",D649=0),IF(C649="-","-",C649),C649-D649)</f>
        <v>2</v>
      </c>
      <c r="F649" s="4">
        <f>IFERROR(IF(C649&gt;0, D649/C649, 0),"-")</f>
        <v>0.97752808988764039</v>
      </c>
      <c r="G649" s="34" t="s">
        <v>959</v>
      </c>
      <c r="H649" s="35" t="s">
        <v>959</v>
      </c>
      <c r="I649" s="34" t="str">
        <f>IF(OR(H649="-",H649="",H649=0),IF(G649="-","-",G649),G649-H649)</f>
        <v>-</v>
      </c>
      <c r="J649" s="4" t="str">
        <f>IFERROR(IF(G649&gt;0, H649/G649, 0),"-")</f>
        <v>-</v>
      </c>
      <c r="K649" s="34" t="s">
        <v>959</v>
      </c>
      <c r="L649" s="35" t="s">
        <v>959</v>
      </c>
      <c r="M649" s="34" t="str">
        <f>IF(OR(L649="-",L649="",L649=0),IF(K649="-","-",K649),K649-L649)</f>
        <v>-</v>
      </c>
      <c r="N649" s="4" t="str">
        <f>IFERROR(IF(K649&gt;0, L649/K649, 0),"-")</f>
        <v>-</v>
      </c>
      <c r="O649" s="34">
        <v>2</v>
      </c>
      <c r="P649" s="35" t="s">
        <v>959</v>
      </c>
      <c r="Q649" s="34">
        <f>IF(OR(P649="-",P649="",P649=0),IF(O649="-","-",O649),O649-P649)</f>
        <v>2</v>
      </c>
      <c r="R649" s="4" t="str">
        <f>IFERROR(IF(O649&gt;0, P649/O649, 0),"-")</f>
        <v>-</v>
      </c>
      <c r="S649" s="34" t="s">
        <v>959</v>
      </c>
      <c r="T649" s="34" t="s">
        <v>959</v>
      </c>
      <c r="U649" s="34" t="s">
        <v>959</v>
      </c>
      <c r="V649" s="35" t="s">
        <v>959</v>
      </c>
      <c r="W649" s="35" t="s">
        <v>959</v>
      </c>
    </row>
    <row r="650" spans="1:23" x14ac:dyDescent="0.2">
      <c r="A650" s="30" t="s">
        <v>851</v>
      </c>
      <c r="B650" s="30" t="s">
        <v>1334</v>
      </c>
      <c r="C650" s="34">
        <v>95</v>
      </c>
      <c r="D650" s="35">
        <v>94</v>
      </c>
      <c r="E650" s="34">
        <f>IF(OR(D650="-",D650="",D650=0),IF(C650="-","-",C650),C650-D650)</f>
        <v>1</v>
      </c>
      <c r="F650" s="4">
        <f>IFERROR(IF(C650&gt;0, D650/C650, 0),"-")</f>
        <v>0.98947368421052628</v>
      </c>
      <c r="G650" s="34" t="s">
        <v>959</v>
      </c>
      <c r="H650" s="35" t="s">
        <v>959</v>
      </c>
      <c r="I650" s="34" t="str">
        <f>IF(OR(H650="-",H650="",H650=0),IF(G650="-","-",G650),G650-H650)</f>
        <v>-</v>
      </c>
      <c r="J650" s="4" t="str">
        <f>IFERROR(IF(G650&gt;0, H650/G650, 0),"-")</f>
        <v>-</v>
      </c>
      <c r="K650" s="34">
        <v>1</v>
      </c>
      <c r="L650" s="35" t="s">
        <v>959</v>
      </c>
      <c r="M650" s="34">
        <f>IF(OR(L650="-",L650="",L650=0),IF(K650="-","-",K650),K650-L650)</f>
        <v>1</v>
      </c>
      <c r="N650" s="4" t="str">
        <f>IFERROR(IF(K650&gt;0, L650/K650, 0),"-")</f>
        <v>-</v>
      </c>
      <c r="O650" s="34" t="s">
        <v>959</v>
      </c>
      <c r="P650" s="35" t="s">
        <v>959</v>
      </c>
      <c r="Q650" s="34" t="str">
        <f>IF(OR(P650="-",P650="",P650=0),IF(O650="-","-",O650),O650-P650)</f>
        <v>-</v>
      </c>
      <c r="R650" s="4" t="str">
        <f>IFERROR(IF(O650&gt;0, P650/O650, 0),"-")</f>
        <v>-</v>
      </c>
      <c r="S650" s="34">
        <v>1</v>
      </c>
      <c r="T650" s="34" t="s">
        <v>959</v>
      </c>
      <c r="U650" s="34" t="s">
        <v>959</v>
      </c>
      <c r="V650" s="35" t="s">
        <v>959</v>
      </c>
      <c r="W650" s="35" t="s">
        <v>959</v>
      </c>
    </row>
    <row r="651" spans="1:23" x14ac:dyDescent="0.2">
      <c r="A651" s="30" t="s">
        <v>855</v>
      </c>
      <c r="B651" s="30" t="s">
        <v>1335</v>
      </c>
      <c r="C651" s="34">
        <v>111</v>
      </c>
      <c r="D651" s="35">
        <v>109</v>
      </c>
      <c r="E651" s="34">
        <f>IF(OR(D651="-",D651="",D651=0),IF(C651="-","-",C651),C651-D651)</f>
        <v>2</v>
      </c>
      <c r="F651" s="4">
        <f>IFERROR(IF(C651&gt;0, D651/C651, 0),"-")</f>
        <v>0.98198198198198194</v>
      </c>
      <c r="G651" s="34" t="s">
        <v>959</v>
      </c>
      <c r="H651" s="35" t="s">
        <v>959</v>
      </c>
      <c r="I651" s="34" t="str">
        <f>IF(OR(H651="-",H651="",H651=0),IF(G651="-","-",G651),G651-H651)</f>
        <v>-</v>
      </c>
      <c r="J651" s="4" t="str">
        <f>IFERROR(IF(G651&gt;0, H651/G651, 0),"-")</f>
        <v>-</v>
      </c>
      <c r="K651" s="34">
        <v>1</v>
      </c>
      <c r="L651" s="35" t="s">
        <v>959</v>
      </c>
      <c r="M651" s="34">
        <f>IF(OR(L651="-",L651="",L651=0),IF(K651="-","-",K651),K651-L651)</f>
        <v>1</v>
      </c>
      <c r="N651" s="4" t="str">
        <f>IFERROR(IF(K651&gt;0, L651/K651, 0),"-")</f>
        <v>-</v>
      </c>
      <c r="O651" s="34" t="s">
        <v>959</v>
      </c>
      <c r="P651" s="35" t="s">
        <v>959</v>
      </c>
      <c r="Q651" s="34" t="str">
        <f>IF(OR(P651="-",P651="",P651=0),IF(O651="-","-",O651),O651-P651)</f>
        <v>-</v>
      </c>
      <c r="R651" s="4" t="str">
        <f>IFERROR(IF(O651&gt;0, P651/O651, 0),"-")</f>
        <v>-</v>
      </c>
      <c r="S651" s="34">
        <v>2</v>
      </c>
      <c r="T651" s="34" t="s">
        <v>959</v>
      </c>
      <c r="U651" s="34" t="s">
        <v>959</v>
      </c>
      <c r="V651" s="35" t="s">
        <v>959</v>
      </c>
      <c r="W651" s="35" t="s">
        <v>959</v>
      </c>
    </row>
    <row r="652" spans="1:23" x14ac:dyDescent="0.2">
      <c r="A652" s="30" t="s">
        <v>853</v>
      </c>
      <c r="B652" s="30" t="s">
        <v>1336</v>
      </c>
      <c r="C652" s="34">
        <v>118</v>
      </c>
      <c r="D652" s="35">
        <v>118</v>
      </c>
      <c r="E652" s="34">
        <f>IF(OR(D652="-",D652="",D652=0),IF(C652="-","-",C652),C652-D652)</f>
        <v>0</v>
      </c>
      <c r="F652" s="4">
        <f>IFERROR(IF(C652&gt;0, D652/C652, 0),"-")</f>
        <v>1</v>
      </c>
      <c r="G652" s="34" t="s">
        <v>959</v>
      </c>
      <c r="H652" s="35" t="s">
        <v>959</v>
      </c>
      <c r="I652" s="34" t="str">
        <f>IF(OR(H652="-",H652="",H652=0),IF(G652="-","-",G652),G652-H652)</f>
        <v>-</v>
      </c>
      <c r="J652" s="4" t="str">
        <f>IFERROR(IF(G652&gt;0, H652/G652, 0),"-")</f>
        <v>-</v>
      </c>
      <c r="K652" s="34" t="s">
        <v>959</v>
      </c>
      <c r="L652" s="35" t="s">
        <v>959</v>
      </c>
      <c r="M652" s="34" t="str">
        <f>IF(OR(L652="-",L652="",L652=0),IF(K652="-","-",K652),K652-L652)</f>
        <v>-</v>
      </c>
      <c r="N652" s="4" t="str">
        <f>IFERROR(IF(K652&gt;0, L652/K652, 0),"-")</f>
        <v>-</v>
      </c>
      <c r="O652" s="34" t="s">
        <v>959</v>
      </c>
      <c r="P652" s="35" t="s">
        <v>959</v>
      </c>
      <c r="Q652" s="34" t="str">
        <f>IF(OR(P652="-",P652="",P652=0),IF(O652="-","-",O652),O652-P652)</f>
        <v>-</v>
      </c>
      <c r="R652" s="4" t="str">
        <f>IFERROR(IF(O652&gt;0, P652/O652, 0),"-")</f>
        <v>-</v>
      </c>
      <c r="S652" s="34" t="s">
        <v>959</v>
      </c>
      <c r="T652" s="34" t="s">
        <v>959</v>
      </c>
      <c r="U652" s="34" t="s">
        <v>959</v>
      </c>
      <c r="V652" s="35" t="s">
        <v>959</v>
      </c>
      <c r="W652" s="35" t="s">
        <v>959</v>
      </c>
    </row>
    <row r="653" spans="1:23" x14ac:dyDescent="0.2">
      <c r="A653" s="30" t="s">
        <v>852</v>
      </c>
      <c r="B653" s="30" t="s">
        <v>1337</v>
      </c>
      <c r="C653" s="34">
        <v>107</v>
      </c>
      <c r="D653" s="35">
        <v>104</v>
      </c>
      <c r="E653" s="34">
        <f>IF(OR(D653="-",D653="",D653=0),IF(C653="-","-",C653),C653-D653)</f>
        <v>3</v>
      </c>
      <c r="F653" s="4">
        <f>IFERROR(IF(C653&gt;0, D653/C653, 0),"-")</f>
        <v>0.9719626168224299</v>
      </c>
      <c r="G653" s="34">
        <v>1</v>
      </c>
      <c r="H653" s="35" t="s">
        <v>959</v>
      </c>
      <c r="I653" s="34">
        <f>IF(OR(H653="-",H653="",H653=0),IF(G653="-","-",G653),G653-H653)</f>
        <v>1</v>
      </c>
      <c r="J653" s="4" t="str">
        <f>IFERROR(IF(G653&gt;0, H653/G653, 0),"-")</f>
        <v>-</v>
      </c>
      <c r="K653" s="34" t="s">
        <v>959</v>
      </c>
      <c r="L653" s="35" t="s">
        <v>959</v>
      </c>
      <c r="M653" s="34" t="str">
        <f>IF(OR(L653="-",L653="",L653=0),IF(K653="-","-",K653),K653-L653)</f>
        <v>-</v>
      </c>
      <c r="N653" s="4" t="str">
        <f>IFERROR(IF(K653&gt;0, L653/K653, 0),"-")</f>
        <v>-</v>
      </c>
      <c r="O653" s="34" t="s">
        <v>959</v>
      </c>
      <c r="P653" s="35" t="s">
        <v>959</v>
      </c>
      <c r="Q653" s="34" t="str">
        <f>IF(OR(P653="-",P653="",P653=0),IF(O653="-","-",O653),O653-P653)</f>
        <v>-</v>
      </c>
      <c r="R653" s="4" t="str">
        <f>IFERROR(IF(O653&gt;0, P653/O653, 0),"-")</f>
        <v>-</v>
      </c>
      <c r="S653" s="34" t="s">
        <v>959</v>
      </c>
      <c r="T653" s="34" t="s">
        <v>959</v>
      </c>
      <c r="U653" s="34" t="s">
        <v>959</v>
      </c>
      <c r="V653" s="35" t="s">
        <v>959</v>
      </c>
      <c r="W653" s="35" t="s">
        <v>959</v>
      </c>
    </row>
    <row r="654" spans="1:23" x14ac:dyDescent="0.2">
      <c r="A654" s="29"/>
      <c r="B654" s="29" t="s">
        <v>99</v>
      </c>
      <c r="C654" s="32">
        <v>511</v>
      </c>
      <c r="D654" s="32">
        <v>505</v>
      </c>
      <c r="E654" s="32">
        <f>IF(OR(D654="-",D654="",D654=0),IF(C654="-","-",C654),C654-D654)</f>
        <v>6</v>
      </c>
      <c r="F654" s="36">
        <f>IFERROR(IF(C654&gt;0, D654/C654, 0),"-")</f>
        <v>0.98825831702544031</v>
      </c>
      <c r="G654" s="32">
        <v>3</v>
      </c>
      <c r="H654" s="32">
        <v>2</v>
      </c>
      <c r="I654" s="32">
        <f>IF(OR(H654="-",H654="",H654=0),IF(G654="-","-",G654),G654-H654)</f>
        <v>1</v>
      </c>
      <c r="J654" s="36">
        <f>IFERROR(IF(G654&gt;0, H654/G654, 0),"-")</f>
        <v>0.66666666666666663</v>
      </c>
      <c r="K654" s="32">
        <v>2</v>
      </c>
      <c r="L654" s="32" t="s">
        <v>959</v>
      </c>
      <c r="M654" s="32">
        <f>IF(OR(L654="-",L654="",L654=0),IF(K654="-","-",K654),K654-L654)</f>
        <v>2</v>
      </c>
      <c r="N654" s="36" t="str">
        <f>IFERROR(IF(K654&gt;0, L654/K654, 0),"-")</f>
        <v>-</v>
      </c>
      <c r="O654" s="32">
        <v>1</v>
      </c>
      <c r="P654" s="32" t="s">
        <v>959</v>
      </c>
      <c r="Q654" s="32">
        <f>IF(OR(P654="-",P654="",P654=0),IF(O654="-","-",O654),O654-P654)</f>
        <v>1</v>
      </c>
      <c r="R654" s="36" t="str">
        <f>IFERROR(IF(O654&gt;0, P654/O654, 0),"-")</f>
        <v>-</v>
      </c>
      <c r="S654" s="32">
        <v>4</v>
      </c>
      <c r="T654" s="32" t="s">
        <v>959</v>
      </c>
      <c r="U654" s="32" t="s">
        <v>959</v>
      </c>
      <c r="V654" s="32" t="s">
        <v>959</v>
      </c>
      <c r="W654" s="32" t="s">
        <v>959</v>
      </c>
    </row>
    <row r="655" spans="1:23" x14ac:dyDescent="0.2">
      <c r="A655" s="30" t="s">
        <v>701</v>
      </c>
      <c r="B655" s="30" t="s">
        <v>1338</v>
      </c>
      <c r="C655" s="34">
        <v>111</v>
      </c>
      <c r="D655" s="35">
        <v>111</v>
      </c>
      <c r="E655" s="34">
        <f>IF(OR(D655="-",D655="",D655=0),IF(C655="-","-",C655),C655-D655)</f>
        <v>0</v>
      </c>
      <c r="F655" s="4">
        <f>IFERROR(IF(C655&gt;0, D655/C655, 0),"-")</f>
        <v>1</v>
      </c>
      <c r="G655" s="34" t="s">
        <v>959</v>
      </c>
      <c r="H655" s="35" t="s">
        <v>959</v>
      </c>
      <c r="I655" s="34" t="str">
        <f>IF(OR(H655="-",H655="",H655=0),IF(G655="-","-",G655),G655-H655)</f>
        <v>-</v>
      </c>
      <c r="J655" s="4" t="str">
        <f>IFERROR(IF(G655&gt;0, H655/G655, 0),"-")</f>
        <v>-</v>
      </c>
      <c r="K655" s="34" t="s">
        <v>959</v>
      </c>
      <c r="L655" s="35" t="s">
        <v>959</v>
      </c>
      <c r="M655" s="34" t="str">
        <f>IF(OR(L655="-",L655="",L655=0),IF(K655="-","-",K655),K655-L655)</f>
        <v>-</v>
      </c>
      <c r="N655" s="4" t="str">
        <f>IFERROR(IF(K655&gt;0, L655/K655, 0),"-")</f>
        <v>-</v>
      </c>
      <c r="O655" s="34" t="s">
        <v>959</v>
      </c>
      <c r="P655" s="35" t="s">
        <v>959</v>
      </c>
      <c r="Q655" s="34" t="str">
        <f>IF(OR(P655="-",P655="",P655=0),IF(O655="-","-",O655),O655-P655)</f>
        <v>-</v>
      </c>
      <c r="R655" s="4" t="str">
        <f>IFERROR(IF(O655&gt;0, P655/O655, 0),"-")</f>
        <v>-</v>
      </c>
      <c r="S655" s="34" t="s">
        <v>959</v>
      </c>
      <c r="T655" s="34" t="s">
        <v>959</v>
      </c>
      <c r="U655" s="34" t="s">
        <v>959</v>
      </c>
      <c r="V655" s="35" t="s">
        <v>959</v>
      </c>
      <c r="W655" s="35" t="s">
        <v>959</v>
      </c>
    </row>
    <row r="656" spans="1:23" x14ac:dyDescent="0.2">
      <c r="A656" s="30" t="s">
        <v>703</v>
      </c>
      <c r="B656" s="30" t="s">
        <v>1339</v>
      </c>
      <c r="C656" s="34">
        <v>88</v>
      </c>
      <c r="D656" s="35">
        <v>88</v>
      </c>
      <c r="E656" s="34">
        <f>IF(OR(D656="-",D656="",D656=0),IF(C656="-","-",C656),C656-D656)</f>
        <v>0</v>
      </c>
      <c r="F656" s="4">
        <f>IFERROR(IF(C656&gt;0, D656/C656, 0),"-")</f>
        <v>1</v>
      </c>
      <c r="G656" s="34" t="s">
        <v>959</v>
      </c>
      <c r="H656" s="35" t="s">
        <v>959</v>
      </c>
      <c r="I656" s="34" t="str">
        <f>IF(OR(H656="-",H656="",H656=0),IF(G656="-","-",G656),G656-H656)</f>
        <v>-</v>
      </c>
      <c r="J656" s="4" t="str">
        <f>IFERROR(IF(G656&gt;0, H656/G656, 0),"-")</f>
        <v>-</v>
      </c>
      <c r="K656" s="34" t="s">
        <v>959</v>
      </c>
      <c r="L656" s="35" t="s">
        <v>959</v>
      </c>
      <c r="M656" s="34" t="str">
        <f>IF(OR(L656="-",L656="",L656=0),IF(K656="-","-",K656),K656-L656)</f>
        <v>-</v>
      </c>
      <c r="N656" s="4" t="str">
        <f>IFERROR(IF(K656&gt;0, L656/K656, 0),"-")</f>
        <v>-</v>
      </c>
      <c r="O656" s="34" t="s">
        <v>959</v>
      </c>
      <c r="P656" s="35" t="s">
        <v>959</v>
      </c>
      <c r="Q656" s="34" t="str">
        <f>IF(OR(P656="-",P656="",P656=0),IF(O656="-","-",O656),O656-P656)</f>
        <v>-</v>
      </c>
      <c r="R656" s="4" t="str">
        <f>IFERROR(IF(O656&gt;0, P656/O656, 0),"-")</f>
        <v>-</v>
      </c>
      <c r="S656" s="34" t="s">
        <v>959</v>
      </c>
      <c r="T656" s="34" t="s">
        <v>959</v>
      </c>
      <c r="U656" s="34" t="s">
        <v>959</v>
      </c>
      <c r="V656" s="35" t="s">
        <v>959</v>
      </c>
      <c r="W656" s="35" t="s">
        <v>959</v>
      </c>
    </row>
    <row r="657" spans="1:23" x14ac:dyDescent="0.2">
      <c r="A657" s="30" t="s">
        <v>702</v>
      </c>
      <c r="B657" s="30" t="s">
        <v>1340</v>
      </c>
      <c r="C657" s="34">
        <v>63</v>
      </c>
      <c r="D657" s="35">
        <v>63</v>
      </c>
      <c r="E657" s="34">
        <f>IF(OR(D657="-",D657="",D657=0),IF(C657="-","-",C657),C657-D657)</f>
        <v>0</v>
      </c>
      <c r="F657" s="4">
        <f>IFERROR(IF(C657&gt;0, D657/C657, 0),"-")</f>
        <v>1</v>
      </c>
      <c r="G657" s="34" t="s">
        <v>959</v>
      </c>
      <c r="H657" s="35" t="s">
        <v>959</v>
      </c>
      <c r="I657" s="34" t="str">
        <f>IF(OR(H657="-",H657="",H657=0),IF(G657="-","-",G657),G657-H657)</f>
        <v>-</v>
      </c>
      <c r="J657" s="4" t="str">
        <f>IFERROR(IF(G657&gt;0, H657/G657, 0),"-")</f>
        <v>-</v>
      </c>
      <c r="K657" s="34" t="s">
        <v>959</v>
      </c>
      <c r="L657" s="35" t="s">
        <v>959</v>
      </c>
      <c r="M657" s="34" t="str">
        <f>IF(OR(L657="-",L657="",L657=0),IF(K657="-","-",K657),K657-L657)</f>
        <v>-</v>
      </c>
      <c r="N657" s="4" t="str">
        <f>IFERROR(IF(K657&gt;0, L657/K657, 0),"-")</f>
        <v>-</v>
      </c>
      <c r="O657" s="34">
        <v>1</v>
      </c>
      <c r="P657" s="35" t="s">
        <v>959</v>
      </c>
      <c r="Q657" s="34">
        <f>IF(OR(P657="-",P657="",P657=0),IF(O657="-","-",O657),O657-P657)</f>
        <v>1</v>
      </c>
      <c r="R657" s="4" t="str">
        <f>IFERROR(IF(O657&gt;0, P657/O657, 0),"-")</f>
        <v>-</v>
      </c>
      <c r="S657" s="34" t="s">
        <v>959</v>
      </c>
      <c r="T657" s="34" t="s">
        <v>959</v>
      </c>
      <c r="U657" s="34" t="s">
        <v>959</v>
      </c>
      <c r="V657" s="35" t="s">
        <v>959</v>
      </c>
      <c r="W657" s="35" t="s">
        <v>959</v>
      </c>
    </row>
    <row r="658" spans="1:23" x14ac:dyDescent="0.2">
      <c r="A658" s="30" t="s">
        <v>700</v>
      </c>
      <c r="B658" s="30" t="s">
        <v>1341</v>
      </c>
      <c r="C658" s="34">
        <v>87</v>
      </c>
      <c r="D658" s="35">
        <v>87</v>
      </c>
      <c r="E658" s="34">
        <f>IF(OR(D658="-",D658="",D658=0),IF(C658="-","-",C658),C658-D658)</f>
        <v>0</v>
      </c>
      <c r="F658" s="4">
        <f>IFERROR(IF(C658&gt;0, D658/C658, 0),"-")</f>
        <v>1</v>
      </c>
      <c r="G658" s="34" t="s">
        <v>959</v>
      </c>
      <c r="H658" s="35" t="s">
        <v>959</v>
      </c>
      <c r="I658" s="34" t="str">
        <f>IF(OR(H658="-",H658="",H658=0),IF(G658="-","-",G658),G658-H658)</f>
        <v>-</v>
      </c>
      <c r="J658" s="4" t="str">
        <f>IFERROR(IF(G658&gt;0, H658/G658, 0),"-")</f>
        <v>-</v>
      </c>
      <c r="K658" s="34" t="s">
        <v>959</v>
      </c>
      <c r="L658" s="35" t="s">
        <v>959</v>
      </c>
      <c r="M658" s="34" t="str">
        <f>IF(OR(L658="-",L658="",L658=0),IF(K658="-","-",K658),K658-L658)</f>
        <v>-</v>
      </c>
      <c r="N658" s="4" t="str">
        <f>IFERROR(IF(K658&gt;0, L658/K658, 0),"-")</f>
        <v>-</v>
      </c>
      <c r="O658" s="34" t="s">
        <v>959</v>
      </c>
      <c r="P658" s="35" t="s">
        <v>959</v>
      </c>
      <c r="Q658" s="34" t="str">
        <f>IF(OR(P658="-",P658="",P658=0),IF(O658="-","-",O658),O658-P658)</f>
        <v>-</v>
      </c>
      <c r="R658" s="4" t="str">
        <f>IFERROR(IF(O658&gt;0, P658/O658, 0),"-")</f>
        <v>-</v>
      </c>
      <c r="S658" s="34" t="s">
        <v>959</v>
      </c>
      <c r="T658" s="34" t="s">
        <v>959</v>
      </c>
      <c r="U658" s="34" t="s">
        <v>959</v>
      </c>
      <c r="V658" s="35" t="s">
        <v>959</v>
      </c>
      <c r="W658" s="35" t="s">
        <v>959</v>
      </c>
    </row>
    <row r="659" spans="1:23" x14ac:dyDescent="0.2">
      <c r="A659" s="30" t="s">
        <v>710</v>
      </c>
      <c r="B659" s="30" t="s">
        <v>1342</v>
      </c>
      <c r="C659" s="34" t="s">
        <v>959</v>
      </c>
      <c r="D659" s="35" t="s">
        <v>959</v>
      </c>
      <c r="E659" s="34" t="str">
        <f>IF(OR(D659="-",D659="",D659=0),IF(C659="-","-",C659),C659-D659)</f>
        <v>-</v>
      </c>
      <c r="F659" s="4" t="str">
        <f>IFERROR(IF(C659&gt;0, D659/C659, 0),"-")</f>
        <v>-</v>
      </c>
      <c r="G659" s="34" t="s">
        <v>959</v>
      </c>
      <c r="H659" s="35" t="s">
        <v>959</v>
      </c>
      <c r="I659" s="34" t="str">
        <f>IF(OR(H659="-",H659="",H659=0),IF(G659="-","-",G659),G659-H659)</f>
        <v>-</v>
      </c>
      <c r="J659" s="4" t="str">
        <f>IFERROR(IF(G659&gt;0, H659/G659, 0),"-")</f>
        <v>-</v>
      </c>
      <c r="K659" s="34" t="s">
        <v>959</v>
      </c>
      <c r="L659" s="35" t="s">
        <v>959</v>
      </c>
      <c r="M659" s="34" t="str">
        <f>IF(OR(L659="-",L659="",L659=0),IF(K659="-","-",K659),K659-L659)</f>
        <v>-</v>
      </c>
      <c r="N659" s="4" t="str">
        <f>IFERROR(IF(K659&gt;0, L659/K659, 0),"-")</f>
        <v>-</v>
      </c>
      <c r="O659" s="34" t="s">
        <v>959</v>
      </c>
      <c r="P659" s="35" t="s">
        <v>959</v>
      </c>
      <c r="Q659" s="34" t="str">
        <f>IF(OR(P659="-",P659="",P659=0),IF(O659="-","-",O659),O659-P659)</f>
        <v>-</v>
      </c>
      <c r="R659" s="4" t="str">
        <f>IFERROR(IF(O659&gt;0, P659/O659, 0),"-")</f>
        <v>-</v>
      </c>
      <c r="S659" s="34" t="s">
        <v>959</v>
      </c>
      <c r="T659" s="34" t="s">
        <v>959</v>
      </c>
      <c r="U659" s="34" t="s">
        <v>959</v>
      </c>
      <c r="V659" s="35" t="s">
        <v>959</v>
      </c>
      <c r="W659" s="35" t="s">
        <v>959</v>
      </c>
    </row>
    <row r="660" spans="1:23" x14ac:dyDescent="0.2">
      <c r="A660" s="30" t="s">
        <v>699</v>
      </c>
      <c r="B660" s="30" t="s">
        <v>1343</v>
      </c>
      <c r="C660" s="34">
        <v>129</v>
      </c>
      <c r="D660" s="35">
        <v>129</v>
      </c>
      <c r="E660" s="34">
        <f>IF(OR(D660="-",D660="",D660=0),IF(C660="-","-",C660),C660-D660)</f>
        <v>0</v>
      </c>
      <c r="F660" s="4">
        <f>IFERROR(IF(C660&gt;0, D660/C660, 0),"-")</f>
        <v>1</v>
      </c>
      <c r="G660" s="34" t="s">
        <v>959</v>
      </c>
      <c r="H660" s="35" t="s">
        <v>959</v>
      </c>
      <c r="I660" s="34" t="str">
        <f>IF(OR(H660="-",H660="",H660=0),IF(G660="-","-",G660),G660-H660)</f>
        <v>-</v>
      </c>
      <c r="J660" s="4" t="str">
        <f>IFERROR(IF(G660&gt;0, H660/G660, 0),"-")</f>
        <v>-</v>
      </c>
      <c r="K660" s="34" t="s">
        <v>959</v>
      </c>
      <c r="L660" s="35" t="s">
        <v>959</v>
      </c>
      <c r="M660" s="34" t="str">
        <f>IF(OR(L660="-",L660="",L660=0),IF(K660="-","-",K660),K660-L660)</f>
        <v>-</v>
      </c>
      <c r="N660" s="4" t="str">
        <f>IFERROR(IF(K660&gt;0, L660/K660, 0),"-")</f>
        <v>-</v>
      </c>
      <c r="O660" s="34" t="s">
        <v>959</v>
      </c>
      <c r="P660" s="35" t="s">
        <v>959</v>
      </c>
      <c r="Q660" s="34" t="str">
        <f>IF(OR(P660="-",P660="",P660=0),IF(O660="-","-",O660),O660-P660)</f>
        <v>-</v>
      </c>
      <c r="R660" s="4" t="str">
        <f>IFERROR(IF(O660&gt;0, P660/O660, 0),"-")</f>
        <v>-</v>
      </c>
      <c r="S660" s="34" t="s">
        <v>959</v>
      </c>
      <c r="T660" s="34" t="s">
        <v>959</v>
      </c>
      <c r="U660" s="34" t="s">
        <v>959</v>
      </c>
      <c r="V660" s="35" t="s">
        <v>959</v>
      </c>
      <c r="W660" s="35" t="s">
        <v>959</v>
      </c>
    </row>
    <row r="661" spans="1:23" x14ac:dyDescent="0.2">
      <c r="A661" s="30" t="s">
        <v>711</v>
      </c>
      <c r="B661" s="30" t="s">
        <v>1344</v>
      </c>
      <c r="C661" s="34">
        <v>33</v>
      </c>
      <c r="D661" s="35">
        <v>27</v>
      </c>
      <c r="E661" s="34">
        <f>IF(OR(D661="-",D661="",D661=0),IF(C661="-","-",C661),C661-D661)</f>
        <v>6</v>
      </c>
      <c r="F661" s="4">
        <f>IFERROR(IF(C661&gt;0, D661/C661, 0),"-")</f>
        <v>0.81818181818181823</v>
      </c>
      <c r="G661" s="34">
        <v>3</v>
      </c>
      <c r="H661" s="35">
        <v>2</v>
      </c>
      <c r="I661" s="34">
        <f>IF(OR(H661="-",H661="",H661=0),IF(G661="-","-",G661),G661-H661)</f>
        <v>1</v>
      </c>
      <c r="J661" s="4">
        <f>IFERROR(IF(G661&gt;0, H661/G661, 0),"-")</f>
        <v>0.66666666666666663</v>
      </c>
      <c r="K661" s="34">
        <v>2</v>
      </c>
      <c r="L661" s="35" t="s">
        <v>959</v>
      </c>
      <c r="M661" s="34">
        <f>IF(OR(L661="-",L661="",L661=0),IF(K661="-","-",K661),K661-L661)</f>
        <v>2</v>
      </c>
      <c r="N661" s="4" t="str">
        <f>IFERROR(IF(K661&gt;0, L661/K661, 0),"-")</f>
        <v>-</v>
      </c>
      <c r="O661" s="34" t="s">
        <v>959</v>
      </c>
      <c r="P661" s="35" t="s">
        <v>959</v>
      </c>
      <c r="Q661" s="34" t="str">
        <f>IF(OR(P661="-",P661="",P661=0),IF(O661="-","-",O661),O661-P661)</f>
        <v>-</v>
      </c>
      <c r="R661" s="4" t="str">
        <f>IFERROR(IF(O661&gt;0, P661/O661, 0),"-")</f>
        <v>-</v>
      </c>
      <c r="S661" s="34">
        <v>4</v>
      </c>
      <c r="T661" s="34" t="s">
        <v>959</v>
      </c>
      <c r="U661" s="34" t="s">
        <v>959</v>
      </c>
      <c r="V661" s="35" t="s">
        <v>959</v>
      </c>
      <c r="W661" s="35" t="s">
        <v>959</v>
      </c>
    </row>
    <row r="662" spans="1:23" x14ac:dyDescent="0.2">
      <c r="A662" s="29"/>
      <c r="B662" s="29" t="s">
        <v>89</v>
      </c>
      <c r="C662" s="32">
        <v>318</v>
      </c>
      <c r="D662" s="32">
        <v>316</v>
      </c>
      <c r="E662" s="32">
        <f>IF(OR(D662="-",D662="",D662=0),IF(C662="-","-",C662),C662-D662)</f>
        <v>2</v>
      </c>
      <c r="F662" s="36">
        <f>IFERROR(IF(C662&gt;0, D662/C662, 0),"-")</f>
        <v>0.99371069182389937</v>
      </c>
      <c r="G662" s="32">
        <v>1</v>
      </c>
      <c r="H662" s="32" t="s">
        <v>959</v>
      </c>
      <c r="I662" s="32">
        <f>IF(OR(H662="-",H662="",H662=0),IF(G662="-","-",G662),G662-H662)</f>
        <v>1</v>
      </c>
      <c r="J662" s="36" t="str">
        <f>IFERROR(IF(G662&gt;0, H662/G662, 0),"-")</f>
        <v>-</v>
      </c>
      <c r="K662" s="32">
        <v>2</v>
      </c>
      <c r="L662" s="32" t="s">
        <v>959</v>
      </c>
      <c r="M662" s="32">
        <f>IF(OR(L662="-",L662="",L662=0),IF(K662="-","-",K662),K662-L662)</f>
        <v>2</v>
      </c>
      <c r="N662" s="36" t="str">
        <f>IFERROR(IF(K662&gt;0, L662/K662, 0),"-")</f>
        <v>-</v>
      </c>
      <c r="O662" s="32" t="s">
        <v>959</v>
      </c>
      <c r="P662" s="32" t="s">
        <v>959</v>
      </c>
      <c r="Q662" s="32" t="str">
        <f>IF(OR(P662="-",P662="",P662=0),IF(O662="-","-",O662),O662-P662)</f>
        <v>-</v>
      </c>
      <c r="R662" s="36" t="str">
        <f>IFERROR(IF(O662&gt;0, P662/O662, 0),"-")</f>
        <v>-</v>
      </c>
      <c r="S662" s="32">
        <v>1</v>
      </c>
      <c r="T662" s="32" t="s">
        <v>959</v>
      </c>
      <c r="U662" s="32" t="s">
        <v>959</v>
      </c>
      <c r="V662" s="32" t="s">
        <v>959</v>
      </c>
      <c r="W662" s="32" t="s">
        <v>959</v>
      </c>
    </row>
    <row r="663" spans="1:23" x14ac:dyDescent="0.2">
      <c r="A663" s="30" t="s">
        <v>601</v>
      </c>
      <c r="B663" s="30" t="s">
        <v>1345</v>
      </c>
      <c r="C663" s="34">
        <v>108</v>
      </c>
      <c r="D663" s="35">
        <v>107</v>
      </c>
      <c r="E663" s="34">
        <f>IF(OR(D663="-",D663="",D663=0),IF(C663="-","-",C663),C663-D663)</f>
        <v>1</v>
      </c>
      <c r="F663" s="4">
        <f>IFERROR(IF(C663&gt;0, D663/C663, 0),"-")</f>
        <v>0.9907407407407407</v>
      </c>
      <c r="G663" s="34">
        <v>1</v>
      </c>
      <c r="H663" s="35" t="s">
        <v>959</v>
      </c>
      <c r="I663" s="34">
        <f>IF(OR(H663="-",H663="",H663=0),IF(G663="-","-",G663),G663-H663)</f>
        <v>1</v>
      </c>
      <c r="J663" s="4" t="str">
        <f>IFERROR(IF(G663&gt;0, H663/G663, 0),"-")</f>
        <v>-</v>
      </c>
      <c r="K663" s="34" t="s">
        <v>959</v>
      </c>
      <c r="L663" s="35" t="s">
        <v>959</v>
      </c>
      <c r="M663" s="34" t="str">
        <f>IF(OR(L663="-",L663="",L663=0),IF(K663="-","-",K663),K663-L663)</f>
        <v>-</v>
      </c>
      <c r="N663" s="4" t="str">
        <f>IFERROR(IF(K663&gt;0, L663/K663, 0),"-")</f>
        <v>-</v>
      </c>
      <c r="O663" s="34" t="s">
        <v>959</v>
      </c>
      <c r="P663" s="35" t="s">
        <v>959</v>
      </c>
      <c r="Q663" s="34" t="str">
        <f>IF(OR(P663="-",P663="",P663=0),IF(O663="-","-",O663),O663-P663)</f>
        <v>-</v>
      </c>
      <c r="R663" s="4" t="str">
        <f>IFERROR(IF(O663&gt;0, P663/O663, 0),"-")</f>
        <v>-</v>
      </c>
      <c r="S663" s="34" t="s">
        <v>959</v>
      </c>
      <c r="T663" s="34" t="s">
        <v>959</v>
      </c>
      <c r="U663" s="34" t="s">
        <v>959</v>
      </c>
      <c r="V663" s="35" t="s">
        <v>959</v>
      </c>
      <c r="W663" s="35" t="s">
        <v>959</v>
      </c>
    </row>
    <row r="664" spans="1:23" x14ac:dyDescent="0.2">
      <c r="A664" s="30" t="s">
        <v>604</v>
      </c>
      <c r="B664" s="30" t="s">
        <v>1346</v>
      </c>
      <c r="C664" s="34">
        <v>41</v>
      </c>
      <c r="D664" s="35">
        <v>40</v>
      </c>
      <c r="E664" s="34">
        <f>IF(OR(D664="-",D664="",D664=0),IF(C664="-","-",C664),C664-D664)</f>
        <v>1</v>
      </c>
      <c r="F664" s="4">
        <f>IFERROR(IF(C664&gt;0, D664/C664, 0),"-")</f>
        <v>0.97560975609756095</v>
      </c>
      <c r="G664" s="34" t="s">
        <v>959</v>
      </c>
      <c r="H664" s="35" t="s">
        <v>959</v>
      </c>
      <c r="I664" s="34" t="str">
        <f>IF(OR(H664="-",H664="",H664=0),IF(G664="-","-",G664),G664-H664)</f>
        <v>-</v>
      </c>
      <c r="J664" s="4" t="str">
        <f>IFERROR(IF(G664&gt;0, H664/G664, 0),"-")</f>
        <v>-</v>
      </c>
      <c r="K664" s="34">
        <v>1</v>
      </c>
      <c r="L664" s="35" t="s">
        <v>959</v>
      </c>
      <c r="M664" s="34">
        <f>IF(OR(L664="-",L664="",L664=0),IF(K664="-","-",K664),K664-L664)</f>
        <v>1</v>
      </c>
      <c r="N664" s="4" t="str">
        <f>IFERROR(IF(K664&gt;0, L664/K664, 0),"-")</f>
        <v>-</v>
      </c>
      <c r="O664" s="34" t="s">
        <v>959</v>
      </c>
      <c r="P664" s="35" t="s">
        <v>959</v>
      </c>
      <c r="Q664" s="34" t="str">
        <f>IF(OR(P664="-",P664="",P664=0),IF(O664="-","-",O664),O664-P664)</f>
        <v>-</v>
      </c>
      <c r="R664" s="4" t="str">
        <f>IFERROR(IF(O664&gt;0, P664/O664, 0),"-")</f>
        <v>-</v>
      </c>
      <c r="S664" s="34">
        <v>1</v>
      </c>
      <c r="T664" s="34" t="s">
        <v>959</v>
      </c>
      <c r="U664" s="34" t="s">
        <v>959</v>
      </c>
      <c r="V664" s="35" t="s">
        <v>959</v>
      </c>
      <c r="W664" s="35" t="s">
        <v>959</v>
      </c>
    </row>
    <row r="665" spans="1:23" x14ac:dyDescent="0.2">
      <c r="A665" s="30" t="s">
        <v>615</v>
      </c>
      <c r="B665" s="30" t="s">
        <v>1347</v>
      </c>
      <c r="C665" s="34">
        <v>30</v>
      </c>
      <c r="D665" s="35">
        <v>30</v>
      </c>
      <c r="E665" s="34">
        <f>IF(OR(D665="-",D665="",D665=0),IF(C665="-","-",C665),C665-D665)</f>
        <v>0</v>
      </c>
      <c r="F665" s="4">
        <f>IFERROR(IF(C665&gt;0, D665/C665, 0),"-")</f>
        <v>1</v>
      </c>
      <c r="G665" s="34" t="s">
        <v>959</v>
      </c>
      <c r="H665" s="35" t="s">
        <v>959</v>
      </c>
      <c r="I665" s="34" t="str">
        <f>IF(OR(H665="-",H665="",H665=0),IF(G665="-","-",G665),G665-H665)</f>
        <v>-</v>
      </c>
      <c r="J665" s="4" t="str">
        <f>IFERROR(IF(G665&gt;0, H665/G665, 0),"-")</f>
        <v>-</v>
      </c>
      <c r="K665" s="34" t="s">
        <v>959</v>
      </c>
      <c r="L665" s="35" t="s">
        <v>959</v>
      </c>
      <c r="M665" s="34" t="str">
        <f>IF(OR(L665="-",L665="",L665=0),IF(K665="-","-",K665),K665-L665)</f>
        <v>-</v>
      </c>
      <c r="N665" s="4" t="str">
        <f>IFERROR(IF(K665&gt;0, L665/K665, 0),"-")</f>
        <v>-</v>
      </c>
      <c r="O665" s="34" t="s">
        <v>959</v>
      </c>
      <c r="P665" s="35" t="s">
        <v>959</v>
      </c>
      <c r="Q665" s="34" t="str">
        <f>IF(OR(P665="-",P665="",P665=0),IF(O665="-","-",O665),O665-P665)</f>
        <v>-</v>
      </c>
      <c r="R665" s="4" t="str">
        <f>IFERROR(IF(O665&gt;0, P665/O665, 0),"-")</f>
        <v>-</v>
      </c>
      <c r="S665" s="34" t="s">
        <v>959</v>
      </c>
      <c r="T665" s="34" t="s">
        <v>959</v>
      </c>
      <c r="U665" s="34" t="s">
        <v>959</v>
      </c>
      <c r="V665" s="35" t="s">
        <v>959</v>
      </c>
      <c r="W665" s="35" t="s">
        <v>959</v>
      </c>
    </row>
    <row r="666" spans="1:23" x14ac:dyDescent="0.2">
      <c r="A666" s="30" t="s">
        <v>603</v>
      </c>
      <c r="B666" s="30" t="s">
        <v>1348</v>
      </c>
      <c r="C666" s="34">
        <v>61</v>
      </c>
      <c r="D666" s="35">
        <v>61</v>
      </c>
      <c r="E666" s="34">
        <f>IF(OR(D666="-",D666="",D666=0),IF(C666="-","-",C666),C666-D666)</f>
        <v>0</v>
      </c>
      <c r="F666" s="4">
        <f>IFERROR(IF(C666&gt;0, D666/C666, 0),"-")</f>
        <v>1</v>
      </c>
      <c r="G666" s="34" t="s">
        <v>959</v>
      </c>
      <c r="H666" s="35" t="s">
        <v>959</v>
      </c>
      <c r="I666" s="34" t="str">
        <f>IF(OR(H666="-",H666="",H666=0),IF(G666="-","-",G666),G666-H666)</f>
        <v>-</v>
      </c>
      <c r="J666" s="4" t="str">
        <f>IFERROR(IF(G666&gt;0, H666/G666, 0),"-")</f>
        <v>-</v>
      </c>
      <c r="K666" s="34">
        <v>1</v>
      </c>
      <c r="L666" s="35" t="s">
        <v>959</v>
      </c>
      <c r="M666" s="34">
        <f>IF(OR(L666="-",L666="",L666=0),IF(K666="-","-",K666),K666-L666)</f>
        <v>1</v>
      </c>
      <c r="N666" s="4" t="str">
        <f>IFERROR(IF(K666&gt;0, L666/K666, 0),"-")</f>
        <v>-</v>
      </c>
      <c r="O666" s="34" t="s">
        <v>959</v>
      </c>
      <c r="P666" s="35" t="s">
        <v>959</v>
      </c>
      <c r="Q666" s="34" t="str">
        <f>IF(OR(P666="-",P666="",P666=0),IF(O666="-","-",O666),O666-P666)</f>
        <v>-</v>
      </c>
      <c r="R666" s="4" t="str">
        <f>IFERROR(IF(O666&gt;0, P666/O666, 0),"-")</f>
        <v>-</v>
      </c>
      <c r="S666" s="34" t="s">
        <v>959</v>
      </c>
      <c r="T666" s="34" t="s">
        <v>959</v>
      </c>
      <c r="U666" s="34" t="s">
        <v>959</v>
      </c>
      <c r="V666" s="35" t="s">
        <v>959</v>
      </c>
      <c r="W666" s="35" t="s">
        <v>959</v>
      </c>
    </row>
    <row r="667" spans="1:23" x14ac:dyDescent="0.2">
      <c r="A667" s="30" t="s">
        <v>602</v>
      </c>
      <c r="B667" s="30" t="s">
        <v>1349</v>
      </c>
      <c r="C667" s="34">
        <v>78</v>
      </c>
      <c r="D667" s="35">
        <v>78</v>
      </c>
      <c r="E667" s="34">
        <f>IF(OR(D667="-",D667="",D667=0),IF(C667="-","-",C667),C667-D667)</f>
        <v>0</v>
      </c>
      <c r="F667" s="4">
        <f>IFERROR(IF(C667&gt;0, D667/C667, 0),"-")</f>
        <v>1</v>
      </c>
      <c r="G667" s="34" t="s">
        <v>959</v>
      </c>
      <c r="H667" s="35" t="s">
        <v>959</v>
      </c>
      <c r="I667" s="34" t="str">
        <f>IF(OR(H667="-",H667="",H667=0),IF(G667="-","-",G667),G667-H667)</f>
        <v>-</v>
      </c>
      <c r="J667" s="4" t="str">
        <f>IFERROR(IF(G667&gt;0, H667/G667, 0),"-")</f>
        <v>-</v>
      </c>
      <c r="K667" s="34" t="s">
        <v>959</v>
      </c>
      <c r="L667" s="35" t="s">
        <v>959</v>
      </c>
      <c r="M667" s="34" t="str">
        <f>IF(OR(L667="-",L667="",L667=0),IF(K667="-","-",K667),K667-L667)</f>
        <v>-</v>
      </c>
      <c r="N667" s="4" t="str">
        <f>IFERROR(IF(K667&gt;0, L667/K667, 0),"-")</f>
        <v>-</v>
      </c>
      <c r="O667" s="34" t="s">
        <v>959</v>
      </c>
      <c r="P667" s="35" t="s">
        <v>959</v>
      </c>
      <c r="Q667" s="34" t="str">
        <f>IF(OR(P667="-",P667="",P667=0),IF(O667="-","-",O667),O667-P667)</f>
        <v>-</v>
      </c>
      <c r="R667" s="4" t="str">
        <f>IFERROR(IF(O667&gt;0, P667/O667, 0),"-")</f>
        <v>-</v>
      </c>
      <c r="S667" s="34" t="s">
        <v>959</v>
      </c>
      <c r="T667" s="34" t="s">
        <v>959</v>
      </c>
      <c r="U667" s="34" t="s">
        <v>959</v>
      </c>
      <c r="V667" s="35" t="s">
        <v>959</v>
      </c>
      <c r="W667" s="35" t="s">
        <v>959</v>
      </c>
    </row>
    <row r="668" spans="1:23" x14ac:dyDescent="0.2">
      <c r="A668" s="29"/>
      <c r="B668" s="29" t="s">
        <v>94</v>
      </c>
      <c r="C668" s="32">
        <v>513</v>
      </c>
      <c r="D668" s="32">
        <v>488</v>
      </c>
      <c r="E668" s="32">
        <f>IF(OR(D668="-",D668="",D668=0),IF(C668="-","-",C668),C668-D668)</f>
        <v>25</v>
      </c>
      <c r="F668" s="36">
        <f>IFERROR(IF(C668&gt;0, D668/C668, 0),"-")</f>
        <v>0.95126705653021437</v>
      </c>
      <c r="G668" s="32">
        <v>9</v>
      </c>
      <c r="H668" s="32">
        <v>1</v>
      </c>
      <c r="I668" s="32">
        <f>IF(OR(H668="-",H668="",H668=0),IF(G668="-","-",G668),G668-H668)</f>
        <v>8</v>
      </c>
      <c r="J668" s="36">
        <f>IFERROR(IF(G668&gt;0, H668/G668, 0),"-")</f>
        <v>0.1111111111111111</v>
      </c>
      <c r="K668" s="32">
        <v>10</v>
      </c>
      <c r="L668" s="32" t="s">
        <v>959</v>
      </c>
      <c r="M668" s="32">
        <f>IF(OR(L668="-",L668="",L668=0),IF(K668="-","-",K668),K668-L668)</f>
        <v>10</v>
      </c>
      <c r="N668" s="36" t="str">
        <f>IFERROR(IF(K668&gt;0, L668/K668, 0),"-")</f>
        <v>-</v>
      </c>
      <c r="O668" s="32">
        <v>2</v>
      </c>
      <c r="P668" s="32" t="s">
        <v>959</v>
      </c>
      <c r="Q668" s="32">
        <f>IF(OR(P668="-",P668="",P668=0),IF(O668="-","-",O668),O668-P668)</f>
        <v>2</v>
      </c>
      <c r="R668" s="36" t="str">
        <f>IFERROR(IF(O668&gt;0, P668/O668, 0),"-")</f>
        <v>-</v>
      </c>
      <c r="S668" s="32">
        <v>5</v>
      </c>
      <c r="T668" s="32" t="s">
        <v>959</v>
      </c>
      <c r="U668" s="32" t="s">
        <v>959</v>
      </c>
      <c r="V668" s="32" t="s">
        <v>959</v>
      </c>
      <c r="W668" s="32" t="s">
        <v>959</v>
      </c>
    </row>
    <row r="669" spans="1:23" x14ac:dyDescent="0.2">
      <c r="A669" s="30" t="s">
        <v>639</v>
      </c>
      <c r="B669" s="30" t="s">
        <v>1350</v>
      </c>
      <c r="C669" s="34">
        <v>70</v>
      </c>
      <c r="D669" s="35">
        <v>64</v>
      </c>
      <c r="E669" s="34">
        <f>IF(OR(D669="-",D669="",D669=0),IF(C669="-","-",C669),C669-D669)</f>
        <v>6</v>
      </c>
      <c r="F669" s="4">
        <f>IFERROR(IF(C669&gt;0, D669/C669, 0),"-")</f>
        <v>0.91428571428571426</v>
      </c>
      <c r="G669" s="34">
        <v>2</v>
      </c>
      <c r="H669" s="35" t="s">
        <v>959</v>
      </c>
      <c r="I669" s="34">
        <f>IF(OR(H669="-",H669="",H669=0),IF(G669="-","-",G669),G669-H669)</f>
        <v>2</v>
      </c>
      <c r="J669" s="4" t="str">
        <f>IFERROR(IF(G669&gt;0, H669/G669, 0),"-")</f>
        <v>-</v>
      </c>
      <c r="K669" s="34">
        <v>2</v>
      </c>
      <c r="L669" s="35" t="s">
        <v>959</v>
      </c>
      <c r="M669" s="34">
        <f>IF(OR(L669="-",L669="",L669=0),IF(K669="-","-",K669),K669-L669)</f>
        <v>2</v>
      </c>
      <c r="N669" s="4" t="str">
        <f>IFERROR(IF(K669&gt;0, L669/K669, 0),"-")</f>
        <v>-</v>
      </c>
      <c r="O669" s="34" t="s">
        <v>959</v>
      </c>
      <c r="P669" s="35" t="s">
        <v>959</v>
      </c>
      <c r="Q669" s="34" t="str">
        <f>IF(OR(P669="-",P669="",P669=0),IF(O669="-","-",O669),O669-P669)</f>
        <v>-</v>
      </c>
      <c r="R669" s="4" t="str">
        <f>IFERROR(IF(O669&gt;0, P669/O669, 0),"-")</f>
        <v>-</v>
      </c>
      <c r="S669" s="34" t="s">
        <v>959</v>
      </c>
      <c r="T669" s="34" t="s">
        <v>959</v>
      </c>
      <c r="U669" s="34" t="s">
        <v>959</v>
      </c>
      <c r="V669" s="35" t="s">
        <v>959</v>
      </c>
      <c r="W669" s="35" t="s">
        <v>959</v>
      </c>
    </row>
    <row r="670" spans="1:23" x14ac:dyDescent="0.2">
      <c r="A670" s="30" t="s">
        <v>644</v>
      </c>
      <c r="B670" s="30" t="s">
        <v>1351</v>
      </c>
      <c r="C670" s="34">
        <v>68</v>
      </c>
      <c r="D670" s="35">
        <v>65</v>
      </c>
      <c r="E670" s="34">
        <f>IF(OR(D670="-",D670="",D670=0),IF(C670="-","-",C670),C670-D670)</f>
        <v>3</v>
      </c>
      <c r="F670" s="4">
        <f>IFERROR(IF(C670&gt;0, D670/C670, 0),"-")</f>
        <v>0.95588235294117652</v>
      </c>
      <c r="G670" s="34" t="s">
        <v>959</v>
      </c>
      <c r="H670" s="35" t="s">
        <v>959</v>
      </c>
      <c r="I670" s="34" t="str">
        <f>IF(OR(H670="-",H670="",H670=0),IF(G670="-","-",G670),G670-H670)</f>
        <v>-</v>
      </c>
      <c r="J670" s="4" t="str">
        <f>IFERROR(IF(G670&gt;0, H670/G670, 0),"-")</f>
        <v>-</v>
      </c>
      <c r="K670" s="34" t="s">
        <v>959</v>
      </c>
      <c r="L670" s="35" t="s">
        <v>959</v>
      </c>
      <c r="M670" s="34" t="str">
        <f>IF(OR(L670="-",L670="",L670=0),IF(K670="-","-",K670),K670-L670)</f>
        <v>-</v>
      </c>
      <c r="N670" s="4" t="str">
        <f>IFERROR(IF(K670&gt;0, L670/K670, 0),"-")</f>
        <v>-</v>
      </c>
      <c r="O670" s="34">
        <v>1</v>
      </c>
      <c r="P670" s="35" t="s">
        <v>959</v>
      </c>
      <c r="Q670" s="34">
        <f>IF(OR(P670="-",P670="",P670=0),IF(O670="-","-",O670),O670-P670)</f>
        <v>1</v>
      </c>
      <c r="R670" s="4" t="str">
        <f>IFERROR(IF(O670&gt;0, P670/O670, 0),"-")</f>
        <v>-</v>
      </c>
      <c r="S670" s="34">
        <v>1</v>
      </c>
      <c r="T670" s="34" t="s">
        <v>959</v>
      </c>
      <c r="U670" s="34" t="s">
        <v>959</v>
      </c>
      <c r="V670" s="35" t="s">
        <v>959</v>
      </c>
      <c r="W670" s="35" t="s">
        <v>959</v>
      </c>
    </row>
    <row r="671" spans="1:23" x14ac:dyDescent="0.2">
      <c r="A671" s="30" t="s">
        <v>663</v>
      </c>
      <c r="B671" s="30" t="s">
        <v>1352</v>
      </c>
      <c r="C671" s="34">
        <v>28</v>
      </c>
      <c r="D671" s="35">
        <v>28</v>
      </c>
      <c r="E671" s="34">
        <f>IF(OR(D671="-",D671="",D671=0),IF(C671="-","-",C671),C671-D671)</f>
        <v>0</v>
      </c>
      <c r="F671" s="4">
        <f>IFERROR(IF(C671&gt;0, D671/C671, 0),"-")</f>
        <v>1</v>
      </c>
      <c r="G671" s="34">
        <v>1</v>
      </c>
      <c r="H671" s="35">
        <v>1</v>
      </c>
      <c r="I671" s="34">
        <f>IF(OR(H671="-",H671="",H671=0),IF(G671="-","-",G671),G671-H671)</f>
        <v>0</v>
      </c>
      <c r="J671" s="4">
        <f>IFERROR(IF(G671&gt;0, H671/G671, 0),"-")</f>
        <v>1</v>
      </c>
      <c r="K671" s="34" t="s">
        <v>959</v>
      </c>
      <c r="L671" s="35" t="s">
        <v>959</v>
      </c>
      <c r="M671" s="34" t="str">
        <f>IF(OR(L671="-",L671="",L671=0),IF(K671="-","-",K671),K671-L671)</f>
        <v>-</v>
      </c>
      <c r="N671" s="4" t="str">
        <f>IFERROR(IF(K671&gt;0, L671/K671, 0),"-")</f>
        <v>-</v>
      </c>
      <c r="O671" s="34" t="s">
        <v>959</v>
      </c>
      <c r="P671" s="35" t="s">
        <v>959</v>
      </c>
      <c r="Q671" s="34" t="str">
        <f>IF(OR(P671="-",P671="",P671=0),IF(O671="-","-",O671),O671-P671)</f>
        <v>-</v>
      </c>
      <c r="R671" s="4" t="str">
        <f>IFERROR(IF(O671&gt;0, P671/O671, 0),"-")</f>
        <v>-</v>
      </c>
      <c r="S671" s="34" t="s">
        <v>959</v>
      </c>
      <c r="T671" s="34" t="s">
        <v>959</v>
      </c>
      <c r="U671" s="34" t="s">
        <v>959</v>
      </c>
      <c r="V671" s="35" t="s">
        <v>959</v>
      </c>
      <c r="W671" s="35" t="s">
        <v>959</v>
      </c>
    </row>
    <row r="672" spans="1:23" x14ac:dyDescent="0.2">
      <c r="A672" s="30" t="s">
        <v>643</v>
      </c>
      <c r="B672" s="30" t="s">
        <v>1353</v>
      </c>
      <c r="C672" s="34">
        <v>79</v>
      </c>
      <c r="D672" s="35">
        <v>75</v>
      </c>
      <c r="E672" s="34">
        <f>IF(OR(D672="-",D672="",D672=0),IF(C672="-","-",C672),C672-D672)</f>
        <v>4</v>
      </c>
      <c r="F672" s="4">
        <f>IFERROR(IF(C672&gt;0, D672/C672, 0),"-")</f>
        <v>0.94936708860759489</v>
      </c>
      <c r="G672" s="34">
        <v>1</v>
      </c>
      <c r="H672" s="35" t="s">
        <v>959</v>
      </c>
      <c r="I672" s="34">
        <f>IF(OR(H672="-",H672="",H672=0),IF(G672="-","-",G672),G672-H672)</f>
        <v>1</v>
      </c>
      <c r="J672" s="4" t="str">
        <f>IFERROR(IF(G672&gt;0, H672/G672, 0),"-")</f>
        <v>-</v>
      </c>
      <c r="K672" s="34">
        <v>1</v>
      </c>
      <c r="L672" s="35" t="s">
        <v>959</v>
      </c>
      <c r="M672" s="34">
        <f>IF(OR(L672="-",L672="",L672=0),IF(K672="-","-",K672),K672-L672)</f>
        <v>1</v>
      </c>
      <c r="N672" s="4" t="str">
        <f>IFERROR(IF(K672&gt;0, L672/K672, 0),"-")</f>
        <v>-</v>
      </c>
      <c r="O672" s="34" t="s">
        <v>959</v>
      </c>
      <c r="P672" s="35" t="s">
        <v>959</v>
      </c>
      <c r="Q672" s="34" t="str">
        <f>IF(OR(P672="-",P672="",P672=0),IF(O672="-","-",O672),O672-P672)</f>
        <v>-</v>
      </c>
      <c r="R672" s="4" t="str">
        <f>IFERROR(IF(O672&gt;0, P672/O672, 0),"-")</f>
        <v>-</v>
      </c>
      <c r="S672" s="34">
        <v>4</v>
      </c>
      <c r="T672" s="34" t="s">
        <v>959</v>
      </c>
      <c r="U672" s="34" t="s">
        <v>959</v>
      </c>
      <c r="V672" s="35" t="s">
        <v>959</v>
      </c>
      <c r="W672" s="35" t="s">
        <v>959</v>
      </c>
    </row>
    <row r="673" spans="1:23" x14ac:dyDescent="0.2">
      <c r="A673" s="30" t="s">
        <v>638</v>
      </c>
      <c r="B673" s="30" t="s">
        <v>1354</v>
      </c>
      <c r="C673" s="34">
        <v>12</v>
      </c>
      <c r="D673" s="35">
        <v>9</v>
      </c>
      <c r="E673" s="34">
        <f>IF(OR(D673="-",D673="",D673=0),IF(C673="-","-",C673),C673-D673)</f>
        <v>3</v>
      </c>
      <c r="F673" s="4">
        <f>IFERROR(IF(C673&gt;0, D673/C673, 0),"-")</f>
        <v>0.75</v>
      </c>
      <c r="G673" s="34" t="s">
        <v>959</v>
      </c>
      <c r="H673" s="35" t="s">
        <v>959</v>
      </c>
      <c r="I673" s="34" t="str">
        <f>IF(OR(H673="-",H673="",H673=0),IF(G673="-","-",G673),G673-H673)</f>
        <v>-</v>
      </c>
      <c r="J673" s="4" t="str">
        <f>IFERROR(IF(G673&gt;0, H673/G673, 0),"-")</f>
        <v>-</v>
      </c>
      <c r="K673" s="34" t="s">
        <v>959</v>
      </c>
      <c r="L673" s="35" t="s">
        <v>959</v>
      </c>
      <c r="M673" s="34" t="str">
        <f>IF(OR(L673="-",L673="",L673=0),IF(K673="-","-",K673),K673-L673)</f>
        <v>-</v>
      </c>
      <c r="N673" s="4" t="str">
        <f>IFERROR(IF(K673&gt;0, L673/K673, 0),"-")</f>
        <v>-</v>
      </c>
      <c r="O673" s="34" t="s">
        <v>959</v>
      </c>
      <c r="P673" s="35" t="s">
        <v>959</v>
      </c>
      <c r="Q673" s="34" t="str">
        <f>IF(OR(P673="-",P673="",P673=0),IF(O673="-","-",O673),O673-P673)</f>
        <v>-</v>
      </c>
      <c r="R673" s="4" t="str">
        <f>IFERROR(IF(O673&gt;0, P673/O673, 0),"-")</f>
        <v>-</v>
      </c>
      <c r="S673" s="34" t="s">
        <v>959</v>
      </c>
      <c r="T673" s="34" t="s">
        <v>959</v>
      </c>
      <c r="U673" s="34" t="s">
        <v>959</v>
      </c>
      <c r="V673" s="35" t="s">
        <v>959</v>
      </c>
      <c r="W673" s="35" t="s">
        <v>959</v>
      </c>
    </row>
    <row r="674" spans="1:23" x14ac:dyDescent="0.2">
      <c r="A674" s="30" t="s">
        <v>640</v>
      </c>
      <c r="B674" s="30" t="s">
        <v>1355</v>
      </c>
      <c r="C674" s="34">
        <v>46</v>
      </c>
      <c r="D674" s="35">
        <v>46</v>
      </c>
      <c r="E674" s="34">
        <f>IF(OR(D674="-",D674="",D674=0),IF(C674="-","-",C674),C674-D674)</f>
        <v>0</v>
      </c>
      <c r="F674" s="4">
        <f>IFERROR(IF(C674&gt;0, D674/C674, 0),"-")</f>
        <v>1</v>
      </c>
      <c r="G674" s="34" t="s">
        <v>959</v>
      </c>
      <c r="H674" s="35" t="s">
        <v>959</v>
      </c>
      <c r="I674" s="34" t="str">
        <f>IF(OR(H674="-",H674="",H674=0),IF(G674="-","-",G674),G674-H674)</f>
        <v>-</v>
      </c>
      <c r="J674" s="4" t="str">
        <f>IFERROR(IF(G674&gt;0, H674/G674, 0),"-")</f>
        <v>-</v>
      </c>
      <c r="K674" s="34">
        <v>1</v>
      </c>
      <c r="L674" s="35" t="s">
        <v>959</v>
      </c>
      <c r="M674" s="34">
        <f>IF(OR(L674="-",L674="",L674=0),IF(K674="-","-",K674),K674-L674)</f>
        <v>1</v>
      </c>
      <c r="N674" s="4" t="str">
        <f>IFERROR(IF(K674&gt;0, L674/K674, 0),"-")</f>
        <v>-</v>
      </c>
      <c r="O674" s="34" t="s">
        <v>959</v>
      </c>
      <c r="P674" s="35" t="s">
        <v>959</v>
      </c>
      <c r="Q674" s="34" t="str">
        <f>IF(OR(P674="-",P674="",P674=0),IF(O674="-","-",O674),O674-P674)</f>
        <v>-</v>
      </c>
      <c r="R674" s="4" t="str">
        <f>IFERROR(IF(O674&gt;0, P674/O674, 0),"-")</f>
        <v>-</v>
      </c>
      <c r="S674" s="34" t="s">
        <v>959</v>
      </c>
      <c r="T674" s="34" t="s">
        <v>959</v>
      </c>
      <c r="U674" s="34" t="s">
        <v>959</v>
      </c>
      <c r="V674" s="35" t="s">
        <v>959</v>
      </c>
      <c r="W674" s="35" t="s">
        <v>959</v>
      </c>
    </row>
    <row r="675" spans="1:23" x14ac:dyDescent="0.2">
      <c r="A675" s="30" t="s">
        <v>642</v>
      </c>
      <c r="B675" s="30" t="s">
        <v>1356</v>
      </c>
      <c r="C675" s="34">
        <v>27</v>
      </c>
      <c r="D675" s="35">
        <v>26</v>
      </c>
      <c r="E675" s="34">
        <f>IF(OR(D675="-",D675="",D675=0),IF(C675="-","-",C675),C675-D675)</f>
        <v>1</v>
      </c>
      <c r="F675" s="4">
        <f>IFERROR(IF(C675&gt;0, D675/C675, 0),"-")</f>
        <v>0.96296296296296291</v>
      </c>
      <c r="G675" s="34" t="s">
        <v>959</v>
      </c>
      <c r="H675" s="35" t="s">
        <v>959</v>
      </c>
      <c r="I675" s="34" t="str">
        <f>IF(OR(H675="-",H675="",H675=0),IF(G675="-","-",G675),G675-H675)</f>
        <v>-</v>
      </c>
      <c r="J675" s="4" t="str">
        <f>IFERROR(IF(G675&gt;0, H675/G675, 0),"-")</f>
        <v>-</v>
      </c>
      <c r="K675" s="34">
        <v>4</v>
      </c>
      <c r="L675" s="35" t="s">
        <v>959</v>
      </c>
      <c r="M675" s="34">
        <f>IF(OR(L675="-",L675="",L675=0),IF(K675="-","-",K675),K675-L675)</f>
        <v>4</v>
      </c>
      <c r="N675" s="4" t="str">
        <f>IFERROR(IF(K675&gt;0, L675/K675, 0),"-")</f>
        <v>-</v>
      </c>
      <c r="O675" s="34" t="s">
        <v>959</v>
      </c>
      <c r="P675" s="35" t="s">
        <v>959</v>
      </c>
      <c r="Q675" s="34" t="str">
        <f>IF(OR(P675="-",P675="",P675=0),IF(O675="-","-",O675),O675-P675)</f>
        <v>-</v>
      </c>
      <c r="R675" s="4" t="str">
        <f>IFERROR(IF(O675&gt;0, P675/O675, 0),"-")</f>
        <v>-</v>
      </c>
      <c r="S675" s="34" t="s">
        <v>959</v>
      </c>
      <c r="T675" s="34" t="s">
        <v>959</v>
      </c>
      <c r="U675" s="34" t="s">
        <v>959</v>
      </c>
      <c r="V675" s="35" t="s">
        <v>959</v>
      </c>
      <c r="W675" s="35" t="s">
        <v>959</v>
      </c>
    </row>
    <row r="676" spans="1:23" x14ac:dyDescent="0.2">
      <c r="A676" s="30" t="s">
        <v>641</v>
      </c>
      <c r="B676" s="30" t="s">
        <v>1357</v>
      </c>
      <c r="C676" s="34">
        <v>81</v>
      </c>
      <c r="D676" s="35">
        <v>77</v>
      </c>
      <c r="E676" s="34">
        <f>IF(OR(D676="-",D676="",D676=0),IF(C676="-","-",C676),C676-D676)</f>
        <v>4</v>
      </c>
      <c r="F676" s="4">
        <f>IFERROR(IF(C676&gt;0, D676/C676, 0),"-")</f>
        <v>0.95061728395061729</v>
      </c>
      <c r="G676" s="34">
        <v>3</v>
      </c>
      <c r="H676" s="35" t="s">
        <v>959</v>
      </c>
      <c r="I676" s="34">
        <f>IF(OR(H676="-",H676="",H676=0),IF(G676="-","-",G676),G676-H676)</f>
        <v>3</v>
      </c>
      <c r="J676" s="4" t="str">
        <f>IFERROR(IF(G676&gt;0, H676/G676, 0),"-")</f>
        <v>-</v>
      </c>
      <c r="K676" s="34">
        <v>2</v>
      </c>
      <c r="L676" s="35" t="s">
        <v>959</v>
      </c>
      <c r="M676" s="34">
        <f>IF(OR(L676="-",L676="",L676=0),IF(K676="-","-",K676),K676-L676)</f>
        <v>2</v>
      </c>
      <c r="N676" s="4" t="str">
        <f>IFERROR(IF(K676&gt;0, L676/K676, 0),"-")</f>
        <v>-</v>
      </c>
      <c r="O676" s="34">
        <v>1</v>
      </c>
      <c r="P676" s="35" t="s">
        <v>959</v>
      </c>
      <c r="Q676" s="34">
        <f>IF(OR(P676="-",P676="",P676=0),IF(O676="-","-",O676),O676-P676)</f>
        <v>1</v>
      </c>
      <c r="R676" s="4" t="str">
        <f>IFERROR(IF(O676&gt;0, P676/O676, 0),"-")</f>
        <v>-</v>
      </c>
      <c r="S676" s="34" t="s">
        <v>959</v>
      </c>
      <c r="T676" s="34" t="s">
        <v>959</v>
      </c>
      <c r="U676" s="34" t="s">
        <v>959</v>
      </c>
      <c r="V676" s="35" t="s">
        <v>959</v>
      </c>
      <c r="W676" s="35" t="s">
        <v>959</v>
      </c>
    </row>
    <row r="677" spans="1:23" x14ac:dyDescent="0.2">
      <c r="A677" s="30" t="s">
        <v>645</v>
      </c>
      <c r="B677" s="30" t="s">
        <v>1358</v>
      </c>
      <c r="C677" s="34">
        <v>102</v>
      </c>
      <c r="D677" s="35">
        <v>98</v>
      </c>
      <c r="E677" s="34">
        <f>IF(OR(D677="-",D677="",D677=0),IF(C677="-","-",C677),C677-D677)</f>
        <v>4</v>
      </c>
      <c r="F677" s="4">
        <f>IFERROR(IF(C677&gt;0, D677/C677, 0),"-")</f>
        <v>0.96078431372549022</v>
      </c>
      <c r="G677" s="34">
        <v>2</v>
      </c>
      <c r="H677" s="35" t="s">
        <v>959</v>
      </c>
      <c r="I677" s="34">
        <f>IF(OR(H677="-",H677="",H677=0),IF(G677="-","-",G677),G677-H677)</f>
        <v>2</v>
      </c>
      <c r="J677" s="4" t="str">
        <f>IFERROR(IF(G677&gt;0, H677/G677, 0),"-")</f>
        <v>-</v>
      </c>
      <c r="K677" s="34" t="s">
        <v>959</v>
      </c>
      <c r="L677" s="35" t="s">
        <v>959</v>
      </c>
      <c r="M677" s="34" t="str">
        <f>IF(OR(L677="-",L677="",L677=0),IF(K677="-","-",K677),K677-L677)</f>
        <v>-</v>
      </c>
      <c r="N677" s="4" t="str">
        <f>IFERROR(IF(K677&gt;0, L677/K677, 0),"-")</f>
        <v>-</v>
      </c>
      <c r="O677" s="34" t="s">
        <v>959</v>
      </c>
      <c r="P677" s="35" t="s">
        <v>959</v>
      </c>
      <c r="Q677" s="34" t="str">
        <f>IF(OR(P677="-",P677="",P677=0),IF(O677="-","-",O677),O677-P677)</f>
        <v>-</v>
      </c>
      <c r="R677" s="4" t="str">
        <f>IFERROR(IF(O677&gt;0, P677/O677, 0),"-")</f>
        <v>-</v>
      </c>
      <c r="S677" s="34" t="s">
        <v>959</v>
      </c>
      <c r="T677" s="34" t="s">
        <v>959</v>
      </c>
      <c r="U677" s="34" t="s">
        <v>959</v>
      </c>
      <c r="V677" s="35" t="s">
        <v>959</v>
      </c>
      <c r="W677" s="35" t="s">
        <v>959</v>
      </c>
    </row>
    <row r="678" spans="1:23" x14ac:dyDescent="0.2">
      <c r="A678" s="29"/>
      <c r="B678" s="29" t="s">
        <v>34</v>
      </c>
      <c r="C678" s="32">
        <v>274</v>
      </c>
      <c r="D678" s="32">
        <v>273</v>
      </c>
      <c r="E678" s="32">
        <f>IF(OR(D678="-",D678="",D678=0),IF(C678="-","-",C678),C678-D678)</f>
        <v>1</v>
      </c>
      <c r="F678" s="36">
        <f>IFERROR(IF(C678&gt;0, D678/C678, 0),"-")</f>
        <v>0.9963503649635036</v>
      </c>
      <c r="G678" s="32">
        <v>1</v>
      </c>
      <c r="H678" s="32" t="s">
        <v>959</v>
      </c>
      <c r="I678" s="32">
        <f>IF(OR(H678="-",H678="",H678=0),IF(G678="-","-",G678),G678-H678)</f>
        <v>1</v>
      </c>
      <c r="J678" s="36" t="str">
        <f>IFERROR(IF(G678&gt;0, H678/G678, 0),"-")</f>
        <v>-</v>
      </c>
      <c r="K678" s="32">
        <v>1</v>
      </c>
      <c r="L678" s="32" t="s">
        <v>959</v>
      </c>
      <c r="M678" s="32">
        <f>IF(OR(L678="-",L678="",L678=0),IF(K678="-","-",K678),K678-L678)</f>
        <v>1</v>
      </c>
      <c r="N678" s="36" t="str">
        <f>IFERROR(IF(K678&gt;0, L678/K678, 0),"-")</f>
        <v>-</v>
      </c>
      <c r="O678" s="32" t="s">
        <v>959</v>
      </c>
      <c r="P678" s="32" t="s">
        <v>959</v>
      </c>
      <c r="Q678" s="32" t="str">
        <f>IF(OR(P678="-",P678="",P678=0),IF(O678="-","-",O678),O678-P678)</f>
        <v>-</v>
      </c>
      <c r="R678" s="36" t="str">
        <f>IFERROR(IF(O678&gt;0, P678/O678, 0),"-")</f>
        <v>-</v>
      </c>
      <c r="S678" s="32" t="s">
        <v>959</v>
      </c>
      <c r="T678" s="32" t="s">
        <v>959</v>
      </c>
      <c r="U678" s="32" t="s">
        <v>959</v>
      </c>
      <c r="V678" s="32" t="s">
        <v>959</v>
      </c>
      <c r="W678" s="32" t="s">
        <v>959</v>
      </c>
    </row>
    <row r="679" spans="1:23" x14ac:dyDescent="0.2">
      <c r="A679" s="30" t="s">
        <v>155</v>
      </c>
      <c r="B679" s="30" t="s">
        <v>1244</v>
      </c>
      <c r="C679" s="34">
        <v>91</v>
      </c>
      <c r="D679" s="35">
        <v>91</v>
      </c>
      <c r="E679" s="34">
        <f>IF(OR(D679="-",D679="",D679=0),IF(C679="-","-",C679),C679-D679)</f>
        <v>0</v>
      </c>
      <c r="F679" s="4">
        <f>IFERROR(IF(C679&gt;0, D679/C679, 0),"-")</f>
        <v>1</v>
      </c>
      <c r="G679" s="34" t="s">
        <v>959</v>
      </c>
      <c r="H679" s="35" t="s">
        <v>959</v>
      </c>
      <c r="I679" s="34" t="str">
        <f>IF(OR(H679="-",H679="",H679=0),IF(G679="-","-",G679),G679-H679)</f>
        <v>-</v>
      </c>
      <c r="J679" s="4" t="str">
        <f>IFERROR(IF(G679&gt;0, H679/G679, 0),"-")</f>
        <v>-</v>
      </c>
      <c r="K679" s="34" t="s">
        <v>959</v>
      </c>
      <c r="L679" s="35" t="s">
        <v>959</v>
      </c>
      <c r="M679" s="34" t="str">
        <f>IF(OR(L679="-",L679="",L679=0),IF(K679="-","-",K679),K679-L679)</f>
        <v>-</v>
      </c>
      <c r="N679" s="4" t="str">
        <f>IFERROR(IF(K679&gt;0, L679/K679, 0),"-")</f>
        <v>-</v>
      </c>
      <c r="O679" s="34" t="s">
        <v>959</v>
      </c>
      <c r="P679" s="35" t="s">
        <v>959</v>
      </c>
      <c r="Q679" s="34" t="str">
        <f>IF(OR(P679="-",P679="",P679=0),IF(O679="-","-",O679),O679-P679)</f>
        <v>-</v>
      </c>
      <c r="R679" s="4" t="str">
        <f>IFERROR(IF(O679&gt;0, P679/O679, 0),"-")</f>
        <v>-</v>
      </c>
      <c r="S679" s="34" t="s">
        <v>959</v>
      </c>
      <c r="T679" s="34" t="s">
        <v>959</v>
      </c>
      <c r="U679" s="34" t="s">
        <v>959</v>
      </c>
      <c r="V679" s="35" t="s">
        <v>959</v>
      </c>
      <c r="W679" s="35" t="s">
        <v>959</v>
      </c>
    </row>
    <row r="680" spans="1:23" x14ac:dyDescent="0.2">
      <c r="A680" s="30" t="s">
        <v>156</v>
      </c>
      <c r="B680" s="30" t="s">
        <v>1359</v>
      </c>
      <c r="C680" s="34">
        <v>106</v>
      </c>
      <c r="D680" s="35">
        <v>106</v>
      </c>
      <c r="E680" s="34">
        <f>IF(OR(D680="-",D680="",D680=0),IF(C680="-","-",C680),C680-D680)</f>
        <v>0</v>
      </c>
      <c r="F680" s="4">
        <f>IFERROR(IF(C680&gt;0, D680/C680, 0),"-")</f>
        <v>1</v>
      </c>
      <c r="G680" s="34">
        <v>1</v>
      </c>
      <c r="H680" s="35" t="s">
        <v>959</v>
      </c>
      <c r="I680" s="34">
        <f>IF(OR(H680="-",H680="",H680=0),IF(G680="-","-",G680),G680-H680)</f>
        <v>1</v>
      </c>
      <c r="J680" s="4" t="str">
        <f>IFERROR(IF(G680&gt;0, H680/G680, 0),"-")</f>
        <v>-</v>
      </c>
      <c r="K680" s="34">
        <v>1</v>
      </c>
      <c r="L680" s="35" t="s">
        <v>959</v>
      </c>
      <c r="M680" s="34">
        <f>IF(OR(L680="-",L680="",L680=0),IF(K680="-","-",K680),K680-L680)</f>
        <v>1</v>
      </c>
      <c r="N680" s="4" t="str">
        <f>IFERROR(IF(K680&gt;0, L680/K680, 0),"-")</f>
        <v>-</v>
      </c>
      <c r="O680" s="34" t="s">
        <v>959</v>
      </c>
      <c r="P680" s="35" t="s">
        <v>959</v>
      </c>
      <c r="Q680" s="34" t="str">
        <f>IF(OR(P680="-",P680="",P680=0),IF(O680="-","-",O680),O680-P680)</f>
        <v>-</v>
      </c>
      <c r="R680" s="4" t="str">
        <f>IFERROR(IF(O680&gt;0, P680/O680, 0),"-")</f>
        <v>-</v>
      </c>
      <c r="S680" s="34" t="s">
        <v>959</v>
      </c>
      <c r="T680" s="34" t="s">
        <v>959</v>
      </c>
      <c r="U680" s="34" t="s">
        <v>959</v>
      </c>
      <c r="V680" s="35" t="s">
        <v>959</v>
      </c>
      <c r="W680" s="35" t="s">
        <v>959</v>
      </c>
    </row>
    <row r="681" spans="1:23" x14ac:dyDescent="0.2">
      <c r="A681" s="30" t="s">
        <v>157</v>
      </c>
      <c r="B681" s="30" t="s">
        <v>1360</v>
      </c>
      <c r="C681" s="34">
        <v>52</v>
      </c>
      <c r="D681" s="35">
        <v>52</v>
      </c>
      <c r="E681" s="34">
        <f>IF(OR(D681="-",D681="",D681=0),IF(C681="-","-",C681),C681-D681)</f>
        <v>0</v>
      </c>
      <c r="F681" s="4">
        <f>IFERROR(IF(C681&gt;0, D681/C681, 0),"-")</f>
        <v>1</v>
      </c>
      <c r="G681" s="34" t="s">
        <v>959</v>
      </c>
      <c r="H681" s="35" t="s">
        <v>959</v>
      </c>
      <c r="I681" s="34" t="str">
        <f>IF(OR(H681="-",H681="",H681=0),IF(G681="-","-",G681),G681-H681)</f>
        <v>-</v>
      </c>
      <c r="J681" s="4" t="str">
        <f>IFERROR(IF(G681&gt;0, H681/G681, 0),"-")</f>
        <v>-</v>
      </c>
      <c r="K681" s="34" t="s">
        <v>959</v>
      </c>
      <c r="L681" s="35" t="s">
        <v>959</v>
      </c>
      <c r="M681" s="34" t="str">
        <f>IF(OR(L681="-",L681="",L681=0),IF(K681="-","-",K681),K681-L681)</f>
        <v>-</v>
      </c>
      <c r="N681" s="4" t="str">
        <f>IFERROR(IF(K681&gt;0, L681/K681, 0),"-")</f>
        <v>-</v>
      </c>
      <c r="O681" s="34" t="s">
        <v>959</v>
      </c>
      <c r="P681" s="35" t="s">
        <v>959</v>
      </c>
      <c r="Q681" s="34" t="str">
        <f>IF(OR(P681="-",P681="",P681=0),IF(O681="-","-",O681),O681-P681)</f>
        <v>-</v>
      </c>
      <c r="R681" s="4" t="str">
        <f>IFERROR(IF(O681&gt;0, P681/O681, 0),"-")</f>
        <v>-</v>
      </c>
      <c r="S681" s="34" t="s">
        <v>959</v>
      </c>
      <c r="T681" s="34" t="s">
        <v>959</v>
      </c>
      <c r="U681" s="34" t="s">
        <v>959</v>
      </c>
      <c r="V681" s="35" t="s">
        <v>959</v>
      </c>
      <c r="W681" s="35" t="s">
        <v>959</v>
      </c>
    </row>
    <row r="682" spans="1:23" x14ac:dyDescent="0.2">
      <c r="A682" s="30" t="s">
        <v>158</v>
      </c>
      <c r="B682" s="30" t="s">
        <v>1022</v>
      </c>
      <c r="C682" s="34">
        <v>25</v>
      </c>
      <c r="D682" s="35">
        <v>24</v>
      </c>
      <c r="E682" s="34">
        <f>IF(OR(D682="-",D682="",D682=0),IF(C682="-","-",C682),C682-D682)</f>
        <v>1</v>
      </c>
      <c r="F682" s="4">
        <f>IFERROR(IF(C682&gt;0, D682/C682, 0),"-")</f>
        <v>0.96</v>
      </c>
      <c r="G682" s="34" t="s">
        <v>959</v>
      </c>
      <c r="H682" s="35" t="s">
        <v>959</v>
      </c>
      <c r="I682" s="34" t="str">
        <f>IF(OR(H682="-",H682="",H682=0),IF(G682="-","-",G682),G682-H682)</f>
        <v>-</v>
      </c>
      <c r="J682" s="4" t="str">
        <f>IFERROR(IF(G682&gt;0, H682/G682, 0),"-")</f>
        <v>-</v>
      </c>
      <c r="K682" s="34" t="s">
        <v>959</v>
      </c>
      <c r="L682" s="35" t="s">
        <v>959</v>
      </c>
      <c r="M682" s="34" t="str">
        <f>IF(OR(L682="-",L682="",L682=0),IF(K682="-","-",K682),K682-L682)</f>
        <v>-</v>
      </c>
      <c r="N682" s="4" t="str">
        <f>IFERROR(IF(K682&gt;0, L682/K682, 0),"-")</f>
        <v>-</v>
      </c>
      <c r="O682" s="34" t="s">
        <v>959</v>
      </c>
      <c r="P682" s="35" t="s">
        <v>959</v>
      </c>
      <c r="Q682" s="34" t="str">
        <f>IF(OR(P682="-",P682="",P682=0),IF(O682="-","-",O682),O682-P682)</f>
        <v>-</v>
      </c>
      <c r="R682" s="4" t="str">
        <f>IFERROR(IF(O682&gt;0, P682/O682, 0),"-")</f>
        <v>-</v>
      </c>
      <c r="S682" s="34" t="s">
        <v>959</v>
      </c>
      <c r="T682" s="34" t="s">
        <v>959</v>
      </c>
      <c r="U682" s="34" t="s">
        <v>959</v>
      </c>
      <c r="V682" s="35" t="s">
        <v>959</v>
      </c>
      <c r="W682" s="35" t="s">
        <v>959</v>
      </c>
    </row>
    <row r="683" spans="1:23" x14ac:dyDescent="0.2">
      <c r="A683" s="29"/>
      <c r="B683" s="29" t="s">
        <v>5</v>
      </c>
      <c r="C683" s="32">
        <v>563</v>
      </c>
      <c r="D683" s="32">
        <v>557</v>
      </c>
      <c r="E683" s="32">
        <f>IF(OR(D683="-",D683="",D683=0),IF(C683="-","-",C683),C683-D683)</f>
        <v>6</v>
      </c>
      <c r="F683" s="36">
        <f>IFERROR(IF(C683&gt;0, D683/C683, 0),"-")</f>
        <v>0.98934280639431615</v>
      </c>
      <c r="G683" s="32">
        <v>4</v>
      </c>
      <c r="H683" s="32">
        <v>1</v>
      </c>
      <c r="I683" s="32">
        <f>IF(OR(H683="-",H683="",H683=0),IF(G683="-","-",G683),G683-H683)</f>
        <v>3</v>
      </c>
      <c r="J683" s="36">
        <f>IFERROR(IF(G683&gt;0, H683/G683, 0),"-")</f>
        <v>0.25</v>
      </c>
      <c r="K683" s="32">
        <v>1</v>
      </c>
      <c r="L683" s="32" t="s">
        <v>959</v>
      </c>
      <c r="M683" s="32">
        <f>IF(OR(L683="-",L683="",L683=0),IF(K683="-","-",K683),K683-L683)</f>
        <v>1</v>
      </c>
      <c r="N683" s="36" t="str">
        <f>IFERROR(IF(K683&gt;0, L683/K683, 0),"-")</f>
        <v>-</v>
      </c>
      <c r="O683" s="32">
        <v>2</v>
      </c>
      <c r="P683" s="32">
        <v>1</v>
      </c>
      <c r="Q683" s="32">
        <f>IF(OR(P683="-",P683="",P683=0),IF(O683="-","-",O683),O683-P683)</f>
        <v>1</v>
      </c>
      <c r="R683" s="36">
        <f>IFERROR(IF(O683&gt;0, P683/O683, 0),"-")</f>
        <v>0.5</v>
      </c>
      <c r="S683" s="32">
        <v>1</v>
      </c>
      <c r="T683" s="32" t="s">
        <v>959</v>
      </c>
      <c r="U683" s="32" t="s">
        <v>959</v>
      </c>
      <c r="V683" s="32" t="s">
        <v>959</v>
      </c>
      <c r="W683" s="32" t="s">
        <v>959</v>
      </c>
    </row>
    <row r="684" spans="1:23" x14ac:dyDescent="0.2">
      <c r="A684" s="30" t="s">
        <v>175</v>
      </c>
      <c r="B684" s="30" t="s">
        <v>1361</v>
      </c>
      <c r="C684" s="34">
        <v>61</v>
      </c>
      <c r="D684" s="35">
        <v>60</v>
      </c>
      <c r="E684" s="34">
        <f>IF(OR(D684="-",D684="",D684=0),IF(C684="-","-",C684),C684-D684)</f>
        <v>1</v>
      </c>
      <c r="F684" s="4">
        <f>IFERROR(IF(C684&gt;0, D684/C684, 0),"-")</f>
        <v>0.98360655737704916</v>
      </c>
      <c r="G684" s="34">
        <v>2</v>
      </c>
      <c r="H684" s="35">
        <v>1</v>
      </c>
      <c r="I684" s="34">
        <f>IF(OR(H684="-",H684="",H684=0),IF(G684="-","-",G684),G684-H684)</f>
        <v>1</v>
      </c>
      <c r="J684" s="4">
        <f>IFERROR(IF(G684&gt;0, H684/G684, 0),"-")</f>
        <v>0.5</v>
      </c>
      <c r="K684" s="34" t="s">
        <v>959</v>
      </c>
      <c r="L684" s="35" t="s">
        <v>959</v>
      </c>
      <c r="M684" s="34" t="str">
        <f>IF(OR(L684="-",L684="",L684=0),IF(K684="-","-",K684),K684-L684)</f>
        <v>-</v>
      </c>
      <c r="N684" s="4" t="str">
        <f>IFERROR(IF(K684&gt;0, L684/K684, 0),"-")</f>
        <v>-</v>
      </c>
      <c r="O684" s="34" t="s">
        <v>959</v>
      </c>
      <c r="P684" s="35" t="s">
        <v>959</v>
      </c>
      <c r="Q684" s="34" t="str">
        <f>IF(OR(P684="-",P684="",P684=0),IF(O684="-","-",O684),O684-P684)</f>
        <v>-</v>
      </c>
      <c r="R684" s="4" t="str">
        <f>IFERROR(IF(O684&gt;0, P684/O684, 0),"-")</f>
        <v>-</v>
      </c>
      <c r="S684" s="34" t="s">
        <v>959</v>
      </c>
      <c r="T684" s="34" t="s">
        <v>959</v>
      </c>
      <c r="U684" s="34" t="s">
        <v>959</v>
      </c>
      <c r="V684" s="35" t="s">
        <v>959</v>
      </c>
      <c r="W684" s="35" t="s">
        <v>959</v>
      </c>
    </row>
    <row r="685" spans="1:23" x14ac:dyDescent="0.2">
      <c r="A685" s="30" t="s">
        <v>178</v>
      </c>
      <c r="B685" s="30" t="s">
        <v>1362</v>
      </c>
      <c r="C685" s="34">
        <v>43</v>
      </c>
      <c r="D685" s="35">
        <v>43</v>
      </c>
      <c r="E685" s="34">
        <f>IF(OR(D685="-",D685="",D685=0),IF(C685="-","-",C685),C685-D685)</f>
        <v>0</v>
      </c>
      <c r="F685" s="4">
        <f>IFERROR(IF(C685&gt;0, D685/C685, 0),"-")</f>
        <v>1</v>
      </c>
      <c r="G685" s="34">
        <v>1</v>
      </c>
      <c r="H685" s="35" t="s">
        <v>959</v>
      </c>
      <c r="I685" s="34">
        <f>IF(OR(H685="-",H685="",H685=0),IF(G685="-","-",G685),G685-H685)</f>
        <v>1</v>
      </c>
      <c r="J685" s="4" t="str">
        <f>IFERROR(IF(G685&gt;0, H685/G685, 0),"-")</f>
        <v>-</v>
      </c>
      <c r="K685" s="34">
        <v>1</v>
      </c>
      <c r="L685" s="35" t="s">
        <v>959</v>
      </c>
      <c r="M685" s="34">
        <f>IF(OR(L685="-",L685="",L685=0),IF(K685="-","-",K685),K685-L685)</f>
        <v>1</v>
      </c>
      <c r="N685" s="4" t="str">
        <f>IFERROR(IF(K685&gt;0, L685/K685, 0),"-")</f>
        <v>-</v>
      </c>
      <c r="O685" s="34" t="s">
        <v>959</v>
      </c>
      <c r="P685" s="35" t="s">
        <v>959</v>
      </c>
      <c r="Q685" s="34" t="str">
        <f>IF(OR(P685="-",P685="",P685=0),IF(O685="-","-",O685),O685-P685)</f>
        <v>-</v>
      </c>
      <c r="R685" s="4" t="str">
        <f>IFERROR(IF(O685&gt;0, P685/O685, 0),"-")</f>
        <v>-</v>
      </c>
      <c r="S685" s="34" t="s">
        <v>959</v>
      </c>
      <c r="T685" s="34" t="s">
        <v>959</v>
      </c>
      <c r="U685" s="34" t="s">
        <v>959</v>
      </c>
      <c r="V685" s="35" t="s">
        <v>959</v>
      </c>
      <c r="W685" s="35" t="s">
        <v>959</v>
      </c>
    </row>
    <row r="686" spans="1:23" x14ac:dyDescent="0.2">
      <c r="A686" s="30" t="s">
        <v>176</v>
      </c>
      <c r="B686" s="30" t="s">
        <v>1363</v>
      </c>
      <c r="C686" s="34">
        <v>45</v>
      </c>
      <c r="D686" s="35">
        <v>45</v>
      </c>
      <c r="E686" s="34">
        <f>IF(OR(D686="-",D686="",D686=0),IF(C686="-","-",C686),C686-D686)</f>
        <v>0</v>
      </c>
      <c r="F686" s="4">
        <f>IFERROR(IF(C686&gt;0, D686/C686, 0),"-")</f>
        <v>1</v>
      </c>
      <c r="G686" s="34" t="s">
        <v>959</v>
      </c>
      <c r="H686" s="35" t="s">
        <v>959</v>
      </c>
      <c r="I686" s="34" t="str">
        <f>IF(OR(H686="-",H686="",H686=0),IF(G686="-","-",G686),G686-H686)</f>
        <v>-</v>
      </c>
      <c r="J686" s="4" t="str">
        <f>IFERROR(IF(G686&gt;0, H686/G686, 0),"-")</f>
        <v>-</v>
      </c>
      <c r="K686" s="34" t="s">
        <v>959</v>
      </c>
      <c r="L686" s="35" t="s">
        <v>959</v>
      </c>
      <c r="M686" s="34" t="str">
        <f>IF(OR(L686="-",L686="",L686=0),IF(K686="-","-",K686),K686-L686)</f>
        <v>-</v>
      </c>
      <c r="N686" s="4" t="str">
        <f>IFERROR(IF(K686&gt;0, L686/K686, 0),"-")</f>
        <v>-</v>
      </c>
      <c r="O686" s="34" t="s">
        <v>959</v>
      </c>
      <c r="P686" s="35" t="s">
        <v>959</v>
      </c>
      <c r="Q686" s="34" t="str">
        <f>IF(OR(P686="-",P686="",P686=0),IF(O686="-","-",O686),O686-P686)</f>
        <v>-</v>
      </c>
      <c r="R686" s="4" t="str">
        <f>IFERROR(IF(O686&gt;0, P686/O686, 0),"-")</f>
        <v>-</v>
      </c>
      <c r="S686" s="34" t="s">
        <v>959</v>
      </c>
      <c r="T686" s="34" t="s">
        <v>959</v>
      </c>
      <c r="U686" s="34" t="s">
        <v>959</v>
      </c>
      <c r="V686" s="35" t="s">
        <v>959</v>
      </c>
      <c r="W686" s="35" t="s">
        <v>959</v>
      </c>
    </row>
    <row r="687" spans="1:23" x14ac:dyDescent="0.2">
      <c r="A687" s="30" t="s">
        <v>173</v>
      </c>
      <c r="B687" s="30" t="s">
        <v>1364</v>
      </c>
      <c r="C687" s="34">
        <v>65</v>
      </c>
      <c r="D687" s="35">
        <v>65</v>
      </c>
      <c r="E687" s="34">
        <f>IF(OR(D687="-",D687="",D687=0),IF(C687="-","-",C687),C687-D687)</f>
        <v>0</v>
      </c>
      <c r="F687" s="4">
        <f>IFERROR(IF(C687&gt;0, D687/C687, 0),"-")</f>
        <v>1</v>
      </c>
      <c r="G687" s="34" t="s">
        <v>959</v>
      </c>
      <c r="H687" s="35" t="s">
        <v>959</v>
      </c>
      <c r="I687" s="34" t="str">
        <f>IF(OR(H687="-",H687="",H687=0),IF(G687="-","-",G687),G687-H687)</f>
        <v>-</v>
      </c>
      <c r="J687" s="4" t="str">
        <f>IFERROR(IF(G687&gt;0, H687/G687, 0),"-")</f>
        <v>-</v>
      </c>
      <c r="K687" s="34" t="s">
        <v>959</v>
      </c>
      <c r="L687" s="35" t="s">
        <v>959</v>
      </c>
      <c r="M687" s="34" t="str">
        <f>IF(OR(L687="-",L687="",L687=0),IF(K687="-","-",K687),K687-L687)</f>
        <v>-</v>
      </c>
      <c r="N687" s="4" t="str">
        <f>IFERROR(IF(K687&gt;0, L687/K687, 0),"-")</f>
        <v>-</v>
      </c>
      <c r="O687" s="34" t="s">
        <v>959</v>
      </c>
      <c r="P687" s="35" t="s">
        <v>959</v>
      </c>
      <c r="Q687" s="34" t="str">
        <f>IF(OR(P687="-",P687="",P687=0),IF(O687="-","-",O687),O687-P687)</f>
        <v>-</v>
      </c>
      <c r="R687" s="4" t="str">
        <f>IFERROR(IF(O687&gt;0, P687/O687, 0),"-")</f>
        <v>-</v>
      </c>
      <c r="S687" s="34">
        <v>1</v>
      </c>
      <c r="T687" s="34" t="s">
        <v>959</v>
      </c>
      <c r="U687" s="34" t="s">
        <v>959</v>
      </c>
      <c r="V687" s="35" t="s">
        <v>959</v>
      </c>
      <c r="W687" s="35" t="s">
        <v>959</v>
      </c>
    </row>
    <row r="688" spans="1:23" x14ac:dyDescent="0.2">
      <c r="A688" s="30" t="s">
        <v>172</v>
      </c>
      <c r="B688" s="30" t="s">
        <v>1365</v>
      </c>
      <c r="C688" s="34">
        <v>89</v>
      </c>
      <c r="D688" s="35">
        <v>89</v>
      </c>
      <c r="E688" s="34">
        <f>IF(OR(D688="-",D688="",D688=0),IF(C688="-","-",C688),C688-D688)</f>
        <v>0</v>
      </c>
      <c r="F688" s="4">
        <f>IFERROR(IF(C688&gt;0, D688/C688, 0),"-")</f>
        <v>1</v>
      </c>
      <c r="G688" s="34" t="s">
        <v>959</v>
      </c>
      <c r="H688" s="35" t="s">
        <v>959</v>
      </c>
      <c r="I688" s="34" t="str">
        <f>IF(OR(H688="-",H688="",H688=0),IF(G688="-","-",G688),G688-H688)</f>
        <v>-</v>
      </c>
      <c r="J688" s="4" t="str">
        <f>IFERROR(IF(G688&gt;0, H688/G688, 0),"-")</f>
        <v>-</v>
      </c>
      <c r="K688" s="34" t="s">
        <v>959</v>
      </c>
      <c r="L688" s="35" t="s">
        <v>959</v>
      </c>
      <c r="M688" s="34" t="str">
        <f>IF(OR(L688="-",L688="",L688=0),IF(K688="-","-",K688),K688-L688)</f>
        <v>-</v>
      </c>
      <c r="N688" s="4" t="str">
        <f>IFERROR(IF(K688&gt;0, L688/K688, 0),"-")</f>
        <v>-</v>
      </c>
      <c r="O688" s="34">
        <v>1</v>
      </c>
      <c r="P688" s="35" t="s">
        <v>959</v>
      </c>
      <c r="Q688" s="34">
        <f>IF(OR(P688="-",P688="",P688=0),IF(O688="-","-",O688),O688-P688)</f>
        <v>1</v>
      </c>
      <c r="R688" s="4" t="str">
        <f>IFERROR(IF(O688&gt;0, P688/O688, 0),"-")</f>
        <v>-</v>
      </c>
      <c r="S688" s="34" t="s">
        <v>959</v>
      </c>
      <c r="T688" s="34" t="s">
        <v>959</v>
      </c>
      <c r="U688" s="34" t="s">
        <v>959</v>
      </c>
      <c r="V688" s="35" t="s">
        <v>959</v>
      </c>
      <c r="W688" s="35" t="s">
        <v>959</v>
      </c>
    </row>
    <row r="689" spans="1:23" x14ac:dyDescent="0.2">
      <c r="A689" s="30" t="s">
        <v>174</v>
      </c>
      <c r="B689" s="30" t="s">
        <v>1366</v>
      </c>
      <c r="C689" s="34">
        <v>178</v>
      </c>
      <c r="D689" s="35">
        <v>174</v>
      </c>
      <c r="E689" s="34">
        <f>IF(OR(D689="-",D689="",D689=0),IF(C689="-","-",C689),C689-D689)</f>
        <v>4</v>
      </c>
      <c r="F689" s="4">
        <f>IFERROR(IF(C689&gt;0, D689/C689, 0),"-")</f>
        <v>0.97752808988764039</v>
      </c>
      <c r="G689" s="34">
        <v>1</v>
      </c>
      <c r="H689" s="35" t="s">
        <v>959</v>
      </c>
      <c r="I689" s="34">
        <f>IF(OR(H689="-",H689="",H689=0),IF(G689="-","-",G689),G689-H689)</f>
        <v>1</v>
      </c>
      <c r="J689" s="4" t="str">
        <f>IFERROR(IF(G689&gt;0, H689/G689, 0),"-")</f>
        <v>-</v>
      </c>
      <c r="K689" s="34" t="s">
        <v>959</v>
      </c>
      <c r="L689" s="35" t="s">
        <v>959</v>
      </c>
      <c r="M689" s="34" t="str">
        <f>IF(OR(L689="-",L689="",L689=0),IF(K689="-","-",K689),K689-L689)</f>
        <v>-</v>
      </c>
      <c r="N689" s="4" t="str">
        <f>IFERROR(IF(K689&gt;0, L689/K689, 0),"-")</f>
        <v>-</v>
      </c>
      <c r="O689" s="34" t="s">
        <v>959</v>
      </c>
      <c r="P689" s="35" t="s">
        <v>959</v>
      </c>
      <c r="Q689" s="34" t="str">
        <f>IF(OR(P689="-",P689="",P689=0),IF(O689="-","-",O689),O689-P689)</f>
        <v>-</v>
      </c>
      <c r="R689" s="4" t="str">
        <f>IFERROR(IF(O689&gt;0, P689/O689, 0),"-")</f>
        <v>-</v>
      </c>
      <c r="S689" s="34" t="s">
        <v>959</v>
      </c>
      <c r="T689" s="34" t="s">
        <v>959</v>
      </c>
      <c r="U689" s="34" t="s">
        <v>959</v>
      </c>
      <c r="V689" s="35" t="s">
        <v>959</v>
      </c>
      <c r="W689" s="35" t="s">
        <v>959</v>
      </c>
    </row>
    <row r="690" spans="1:23" x14ac:dyDescent="0.2">
      <c r="A690" s="30" t="s">
        <v>177</v>
      </c>
      <c r="B690" s="30" t="s">
        <v>1367</v>
      </c>
      <c r="C690" s="34">
        <v>82</v>
      </c>
      <c r="D690" s="35">
        <v>81</v>
      </c>
      <c r="E690" s="34">
        <f>IF(OR(D690="-",D690="",D690=0),IF(C690="-","-",C690),C690-D690)</f>
        <v>1</v>
      </c>
      <c r="F690" s="4">
        <f>IFERROR(IF(C690&gt;0, D690/C690, 0),"-")</f>
        <v>0.98780487804878048</v>
      </c>
      <c r="G690" s="34" t="s">
        <v>959</v>
      </c>
      <c r="H690" s="35" t="s">
        <v>959</v>
      </c>
      <c r="I690" s="34" t="str">
        <f>IF(OR(H690="-",H690="",H690=0),IF(G690="-","-",G690),G690-H690)</f>
        <v>-</v>
      </c>
      <c r="J690" s="4" t="str">
        <f>IFERROR(IF(G690&gt;0, H690/G690, 0),"-")</f>
        <v>-</v>
      </c>
      <c r="K690" s="34" t="s">
        <v>959</v>
      </c>
      <c r="L690" s="35" t="s">
        <v>959</v>
      </c>
      <c r="M690" s="34" t="str">
        <f>IF(OR(L690="-",L690="",L690=0),IF(K690="-","-",K690),K690-L690)</f>
        <v>-</v>
      </c>
      <c r="N690" s="4" t="str">
        <f>IFERROR(IF(K690&gt;0, L690/K690, 0),"-")</f>
        <v>-</v>
      </c>
      <c r="O690" s="34">
        <v>1</v>
      </c>
      <c r="P690" s="35">
        <v>1</v>
      </c>
      <c r="Q690" s="34">
        <f>IF(OR(P690="-",P690="",P690=0),IF(O690="-","-",O690),O690-P690)</f>
        <v>0</v>
      </c>
      <c r="R690" s="4">
        <f>IFERROR(IF(O690&gt;0, P690/O690, 0),"-")</f>
        <v>1</v>
      </c>
      <c r="S690" s="34" t="s">
        <v>959</v>
      </c>
      <c r="T690" s="34" t="s">
        <v>959</v>
      </c>
      <c r="U690" s="34" t="s">
        <v>959</v>
      </c>
      <c r="V690" s="35" t="s">
        <v>959</v>
      </c>
      <c r="W690" s="35" t="s">
        <v>959</v>
      </c>
    </row>
    <row r="691" spans="1:23" x14ac:dyDescent="0.2">
      <c r="A691" s="29"/>
      <c r="B691" s="29" t="s">
        <v>109</v>
      </c>
      <c r="C691" s="32">
        <v>383</v>
      </c>
      <c r="D691" s="32">
        <v>381</v>
      </c>
      <c r="E691" s="32">
        <f>IF(OR(D691="-",D691="",D691=0),IF(C691="-","-",C691),C691-D691)</f>
        <v>2</v>
      </c>
      <c r="F691" s="36">
        <f>IFERROR(IF(C691&gt;0, D691/C691, 0),"-")</f>
        <v>0.99477806788511747</v>
      </c>
      <c r="G691" s="32">
        <v>3</v>
      </c>
      <c r="H691" s="32" t="s">
        <v>959</v>
      </c>
      <c r="I691" s="32">
        <f>IF(OR(H691="-",H691="",H691=0),IF(G691="-","-",G691),G691-H691)</f>
        <v>3</v>
      </c>
      <c r="J691" s="36" t="str">
        <f>IFERROR(IF(G691&gt;0, H691/G691, 0),"-")</f>
        <v>-</v>
      </c>
      <c r="K691" s="32" t="s">
        <v>959</v>
      </c>
      <c r="L691" s="32" t="s">
        <v>959</v>
      </c>
      <c r="M691" s="32" t="str">
        <f>IF(OR(L691="-",L691="",L691=0),IF(K691="-","-",K691),K691-L691)</f>
        <v>-</v>
      </c>
      <c r="N691" s="36" t="str">
        <f>IFERROR(IF(K691&gt;0, L691/K691, 0),"-")</f>
        <v>-</v>
      </c>
      <c r="O691" s="32">
        <v>2</v>
      </c>
      <c r="P691" s="32" t="s">
        <v>959</v>
      </c>
      <c r="Q691" s="32">
        <f>IF(OR(P691="-",P691="",P691=0),IF(O691="-","-",O691),O691-P691)</f>
        <v>2</v>
      </c>
      <c r="R691" s="36" t="str">
        <f>IFERROR(IF(O691&gt;0, P691/O691, 0),"-")</f>
        <v>-</v>
      </c>
      <c r="S691" s="32">
        <v>5</v>
      </c>
      <c r="T691" s="32" t="s">
        <v>959</v>
      </c>
      <c r="U691" s="32" t="s">
        <v>959</v>
      </c>
      <c r="V691" s="32" t="s">
        <v>959</v>
      </c>
      <c r="W691" s="32" t="s">
        <v>959</v>
      </c>
    </row>
    <row r="692" spans="1:23" x14ac:dyDescent="0.2">
      <c r="A692" s="30" t="s">
        <v>782</v>
      </c>
      <c r="B692" s="30" t="s">
        <v>1368</v>
      </c>
      <c r="C692" s="34">
        <v>80</v>
      </c>
      <c r="D692" s="35">
        <v>79</v>
      </c>
      <c r="E692" s="34">
        <f>IF(OR(D692="-",D692="",D692=0),IF(C692="-","-",C692),C692-D692)</f>
        <v>1</v>
      </c>
      <c r="F692" s="4">
        <f>IFERROR(IF(C692&gt;0, D692/C692, 0),"-")</f>
        <v>0.98750000000000004</v>
      </c>
      <c r="G692" s="34">
        <v>2</v>
      </c>
      <c r="H692" s="35" t="s">
        <v>959</v>
      </c>
      <c r="I692" s="34">
        <f>IF(OR(H692="-",H692="",H692=0),IF(G692="-","-",G692),G692-H692)</f>
        <v>2</v>
      </c>
      <c r="J692" s="4" t="str">
        <f>IFERROR(IF(G692&gt;0, H692/G692, 0),"-")</f>
        <v>-</v>
      </c>
      <c r="K692" s="34" t="s">
        <v>959</v>
      </c>
      <c r="L692" s="35" t="s">
        <v>959</v>
      </c>
      <c r="M692" s="34" t="str">
        <f>IF(OR(L692="-",L692="",L692=0),IF(K692="-","-",K692),K692-L692)</f>
        <v>-</v>
      </c>
      <c r="N692" s="4" t="str">
        <f>IFERROR(IF(K692&gt;0, L692/K692, 0),"-")</f>
        <v>-</v>
      </c>
      <c r="O692" s="34" t="s">
        <v>959</v>
      </c>
      <c r="P692" s="35" t="s">
        <v>959</v>
      </c>
      <c r="Q692" s="34" t="str">
        <f>IF(OR(P692="-",P692="",P692=0),IF(O692="-","-",O692),O692-P692)</f>
        <v>-</v>
      </c>
      <c r="R692" s="4" t="str">
        <f>IFERROR(IF(O692&gt;0, P692/O692, 0),"-")</f>
        <v>-</v>
      </c>
      <c r="S692" s="34">
        <v>1</v>
      </c>
      <c r="T692" s="34" t="s">
        <v>959</v>
      </c>
      <c r="U692" s="34" t="s">
        <v>959</v>
      </c>
      <c r="V692" s="35" t="s">
        <v>959</v>
      </c>
      <c r="W692" s="35" t="s">
        <v>959</v>
      </c>
    </row>
    <row r="693" spans="1:23" x14ac:dyDescent="0.2">
      <c r="A693" s="30" t="s">
        <v>784</v>
      </c>
      <c r="B693" s="30" t="s">
        <v>1369</v>
      </c>
      <c r="C693" s="34">
        <v>81</v>
      </c>
      <c r="D693" s="35">
        <v>81</v>
      </c>
      <c r="E693" s="34">
        <f>IF(OR(D693="-",D693="",D693=0),IF(C693="-","-",C693),C693-D693)</f>
        <v>0</v>
      </c>
      <c r="F693" s="4">
        <f>IFERROR(IF(C693&gt;0, D693/C693, 0),"-")</f>
        <v>1</v>
      </c>
      <c r="G693" s="34" t="s">
        <v>959</v>
      </c>
      <c r="H693" s="35" t="s">
        <v>959</v>
      </c>
      <c r="I693" s="34" t="str">
        <f>IF(OR(H693="-",H693="",H693=0),IF(G693="-","-",G693),G693-H693)</f>
        <v>-</v>
      </c>
      <c r="J693" s="4" t="str">
        <f>IFERROR(IF(G693&gt;0, H693/G693, 0),"-")</f>
        <v>-</v>
      </c>
      <c r="K693" s="34" t="s">
        <v>959</v>
      </c>
      <c r="L693" s="35" t="s">
        <v>959</v>
      </c>
      <c r="M693" s="34" t="str">
        <f>IF(OR(L693="-",L693="",L693=0),IF(K693="-","-",K693),K693-L693)</f>
        <v>-</v>
      </c>
      <c r="N693" s="4" t="str">
        <f>IFERROR(IF(K693&gt;0, L693/K693, 0),"-")</f>
        <v>-</v>
      </c>
      <c r="O693" s="34" t="s">
        <v>959</v>
      </c>
      <c r="P693" s="35" t="s">
        <v>959</v>
      </c>
      <c r="Q693" s="34" t="str">
        <f>IF(OR(P693="-",P693="",P693=0),IF(O693="-","-",O693),O693-P693)</f>
        <v>-</v>
      </c>
      <c r="R693" s="4" t="str">
        <f>IFERROR(IF(O693&gt;0, P693/O693, 0),"-")</f>
        <v>-</v>
      </c>
      <c r="S693" s="34" t="s">
        <v>959</v>
      </c>
      <c r="T693" s="34" t="s">
        <v>959</v>
      </c>
      <c r="U693" s="34" t="s">
        <v>959</v>
      </c>
      <c r="V693" s="35" t="s">
        <v>959</v>
      </c>
      <c r="W693" s="35" t="s">
        <v>959</v>
      </c>
    </row>
    <row r="694" spans="1:23" x14ac:dyDescent="0.2">
      <c r="A694" s="30" t="s">
        <v>783</v>
      </c>
      <c r="B694" s="30" t="s">
        <v>1370</v>
      </c>
      <c r="C694" s="34">
        <v>28</v>
      </c>
      <c r="D694" s="35">
        <v>27</v>
      </c>
      <c r="E694" s="34">
        <f>IF(OR(D694="-",D694="",D694=0),IF(C694="-","-",C694),C694-D694)</f>
        <v>1</v>
      </c>
      <c r="F694" s="4">
        <f>IFERROR(IF(C694&gt;0, D694/C694, 0),"-")</f>
        <v>0.9642857142857143</v>
      </c>
      <c r="G694" s="34" t="s">
        <v>959</v>
      </c>
      <c r="H694" s="35" t="s">
        <v>959</v>
      </c>
      <c r="I694" s="34" t="str">
        <f>IF(OR(H694="-",H694="",H694=0),IF(G694="-","-",G694),G694-H694)</f>
        <v>-</v>
      </c>
      <c r="J694" s="4" t="str">
        <f>IFERROR(IF(G694&gt;0, H694/G694, 0),"-")</f>
        <v>-</v>
      </c>
      <c r="K694" s="34" t="s">
        <v>959</v>
      </c>
      <c r="L694" s="35" t="s">
        <v>959</v>
      </c>
      <c r="M694" s="34" t="str">
        <f>IF(OR(L694="-",L694="",L694=0),IF(K694="-","-",K694),K694-L694)</f>
        <v>-</v>
      </c>
      <c r="N694" s="4" t="str">
        <f>IFERROR(IF(K694&gt;0, L694/K694, 0),"-")</f>
        <v>-</v>
      </c>
      <c r="O694" s="34" t="s">
        <v>959</v>
      </c>
      <c r="P694" s="35" t="s">
        <v>959</v>
      </c>
      <c r="Q694" s="34" t="str">
        <f>IF(OR(P694="-",P694="",P694=0),IF(O694="-","-",O694),O694-P694)</f>
        <v>-</v>
      </c>
      <c r="R694" s="4" t="str">
        <f>IFERROR(IF(O694&gt;0, P694/O694, 0),"-")</f>
        <v>-</v>
      </c>
      <c r="S694" s="34" t="s">
        <v>959</v>
      </c>
      <c r="T694" s="34" t="s">
        <v>959</v>
      </c>
      <c r="U694" s="34" t="s">
        <v>959</v>
      </c>
      <c r="V694" s="35" t="s">
        <v>959</v>
      </c>
      <c r="W694" s="35" t="s">
        <v>959</v>
      </c>
    </row>
    <row r="695" spans="1:23" x14ac:dyDescent="0.2">
      <c r="A695" s="30" t="s">
        <v>785</v>
      </c>
      <c r="B695" s="30" t="s">
        <v>1371</v>
      </c>
      <c r="C695" s="34">
        <v>59</v>
      </c>
      <c r="D695" s="35">
        <v>59</v>
      </c>
      <c r="E695" s="34">
        <f>IF(OR(D695="-",D695="",D695=0),IF(C695="-","-",C695),C695-D695)</f>
        <v>0</v>
      </c>
      <c r="F695" s="4">
        <f>IFERROR(IF(C695&gt;0, D695/C695, 0),"-")</f>
        <v>1</v>
      </c>
      <c r="G695" s="34" t="s">
        <v>959</v>
      </c>
      <c r="H695" s="35" t="s">
        <v>959</v>
      </c>
      <c r="I695" s="34" t="str">
        <f>IF(OR(H695="-",H695="",H695=0),IF(G695="-","-",G695),G695-H695)</f>
        <v>-</v>
      </c>
      <c r="J695" s="4" t="str">
        <f>IFERROR(IF(G695&gt;0, H695/G695, 0),"-")</f>
        <v>-</v>
      </c>
      <c r="K695" s="34" t="s">
        <v>959</v>
      </c>
      <c r="L695" s="35" t="s">
        <v>959</v>
      </c>
      <c r="M695" s="34" t="str">
        <f>IF(OR(L695="-",L695="",L695=0),IF(K695="-","-",K695),K695-L695)</f>
        <v>-</v>
      </c>
      <c r="N695" s="4" t="str">
        <f>IFERROR(IF(K695&gt;0, L695/K695, 0),"-")</f>
        <v>-</v>
      </c>
      <c r="O695" s="34" t="s">
        <v>959</v>
      </c>
      <c r="P695" s="35" t="s">
        <v>959</v>
      </c>
      <c r="Q695" s="34" t="str">
        <f>IF(OR(P695="-",P695="",P695=0),IF(O695="-","-",O695),O695-P695)</f>
        <v>-</v>
      </c>
      <c r="R695" s="4" t="str">
        <f>IFERROR(IF(O695&gt;0, P695/O695, 0),"-")</f>
        <v>-</v>
      </c>
      <c r="S695" s="34">
        <v>2</v>
      </c>
      <c r="T695" s="34" t="s">
        <v>959</v>
      </c>
      <c r="U695" s="34" t="s">
        <v>959</v>
      </c>
      <c r="V695" s="35" t="s">
        <v>959</v>
      </c>
      <c r="W695" s="35" t="s">
        <v>959</v>
      </c>
    </row>
    <row r="696" spans="1:23" x14ac:dyDescent="0.2">
      <c r="A696" s="30" t="s">
        <v>786</v>
      </c>
      <c r="B696" s="30" t="s">
        <v>1372</v>
      </c>
      <c r="C696" s="34">
        <v>135</v>
      </c>
      <c r="D696" s="35">
        <v>135</v>
      </c>
      <c r="E696" s="34">
        <f>IF(OR(D696="-",D696="",D696=0),IF(C696="-","-",C696),C696-D696)</f>
        <v>0</v>
      </c>
      <c r="F696" s="4">
        <f>IFERROR(IF(C696&gt;0, D696/C696, 0),"-")</f>
        <v>1</v>
      </c>
      <c r="G696" s="34">
        <v>1</v>
      </c>
      <c r="H696" s="35" t="s">
        <v>959</v>
      </c>
      <c r="I696" s="34">
        <f>IF(OR(H696="-",H696="",H696=0),IF(G696="-","-",G696),G696-H696)</f>
        <v>1</v>
      </c>
      <c r="J696" s="4" t="str">
        <f>IFERROR(IF(G696&gt;0, H696/G696, 0),"-")</f>
        <v>-</v>
      </c>
      <c r="K696" s="34" t="s">
        <v>959</v>
      </c>
      <c r="L696" s="35" t="s">
        <v>959</v>
      </c>
      <c r="M696" s="34" t="str">
        <f>IF(OR(L696="-",L696="",L696=0),IF(K696="-","-",K696),K696-L696)</f>
        <v>-</v>
      </c>
      <c r="N696" s="4" t="str">
        <f>IFERROR(IF(K696&gt;0, L696/K696, 0),"-")</f>
        <v>-</v>
      </c>
      <c r="O696" s="34">
        <v>2</v>
      </c>
      <c r="P696" s="35" t="s">
        <v>959</v>
      </c>
      <c r="Q696" s="34">
        <f>IF(OR(P696="-",P696="",P696=0),IF(O696="-","-",O696),O696-P696)</f>
        <v>2</v>
      </c>
      <c r="R696" s="4" t="str">
        <f>IFERROR(IF(O696&gt;0, P696/O696, 0),"-")</f>
        <v>-</v>
      </c>
      <c r="S696" s="34">
        <v>2</v>
      </c>
      <c r="T696" s="34" t="s">
        <v>959</v>
      </c>
      <c r="U696" s="34" t="s">
        <v>959</v>
      </c>
      <c r="V696" s="35" t="s">
        <v>959</v>
      </c>
      <c r="W696" s="35" t="s">
        <v>959</v>
      </c>
    </row>
    <row r="697" spans="1:23" x14ac:dyDescent="0.2">
      <c r="A697" s="29"/>
      <c r="B697" s="29" t="s">
        <v>121</v>
      </c>
      <c r="C697" s="32">
        <v>377</v>
      </c>
      <c r="D697" s="32">
        <v>373</v>
      </c>
      <c r="E697" s="32">
        <f>IF(OR(D697="-",D697="",D697=0),IF(C697="-","-",C697),C697-D697)</f>
        <v>4</v>
      </c>
      <c r="F697" s="36">
        <f>IFERROR(IF(C697&gt;0, D697/C697, 0),"-")</f>
        <v>0.98938992042440321</v>
      </c>
      <c r="G697" s="32">
        <v>2</v>
      </c>
      <c r="H697" s="32" t="s">
        <v>959</v>
      </c>
      <c r="I697" s="32">
        <f>IF(OR(H697="-",H697="",H697=0),IF(G697="-","-",G697),G697-H697)</f>
        <v>2</v>
      </c>
      <c r="J697" s="36" t="str">
        <f>IFERROR(IF(G697&gt;0, H697/G697, 0),"-")</f>
        <v>-</v>
      </c>
      <c r="K697" s="32" t="s">
        <v>959</v>
      </c>
      <c r="L697" s="32" t="s">
        <v>959</v>
      </c>
      <c r="M697" s="32" t="str">
        <f>IF(OR(L697="-",L697="",L697=0),IF(K697="-","-",K697),K697-L697)</f>
        <v>-</v>
      </c>
      <c r="N697" s="36" t="str">
        <f>IFERROR(IF(K697&gt;0, L697/K697, 0),"-")</f>
        <v>-</v>
      </c>
      <c r="O697" s="32">
        <v>1</v>
      </c>
      <c r="P697" s="32">
        <v>1</v>
      </c>
      <c r="Q697" s="32">
        <f>IF(OR(P697="-",P697="",P697=0),IF(O697="-","-",O697),O697-P697)</f>
        <v>0</v>
      </c>
      <c r="R697" s="36">
        <f>IFERROR(IF(O697&gt;0, P697/O697, 0),"-")</f>
        <v>1</v>
      </c>
      <c r="S697" s="32">
        <v>1</v>
      </c>
      <c r="T697" s="32" t="s">
        <v>959</v>
      </c>
      <c r="U697" s="32" t="s">
        <v>959</v>
      </c>
      <c r="V697" s="32" t="s">
        <v>959</v>
      </c>
      <c r="W697" s="32" t="s">
        <v>959</v>
      </c>
    </row>
    <row r="698" spans="1:23" x14ac:dyDescent="0.2">
      <c r="A698" s="30" t="s">
        <v>861</v>
      </c>
      <c r="B698" s="30" t="s">
        <v>1373</v>
      </c>
      <c r="C698" s="34">
        <v>48</v>
      </c>
      <c r="D698" s="35">
        <v>47</v>
      </c>
      <c r="E698" s="34">
        <f>IF(OR(D698="-",D698="",D698=0),IF(C698="-","-",C698),C698-D698)</f>
        <v>1</v>
      </c>
      <c r="F698" s="4">
        <f>IFERROR(IF(C698&gt;0, D698/C698, 0),"-")</f>
        <v>0.97916666666666663</v>
      </c>
      <c r="G698" s="34" t="s">
        <v>959</v>
      </c>
      <c r="H698" s="35" t="s">
        <v>959</v>
      </c>
      <c r="I698" s="34" t="str">
        <f>IF(OR(H698="-",H698="",H698=0),IF(G698="-","-",G698),G698-H698)</f>
        <v>-</v>
      </c>
      <c r="J698" s="4" t="str">
        <f>IFERROR(IF(G698&gt;0, H698/G698, 0),"-")</f>
        <v>-</v>
      </c>
      <c r="K698" s="34" t="s">
        <v>959</v>
      </c>
      <c r="L698" s="35" t="s">
        <v>959</v>
      </c>
      <c r="M698" s="34" t="str">
        <f>IF(OR(L698="-",L698="",L698=0),IF(K698="-","-",K698),K698-L698)</f>
        <v>-</v>
      </c>
      <c r="N698" s="4" t="str">
        <f>IFERROR(IF(K698&gt;0, L698/K698, 0),"-")</f>
        <v>-</v>
      </c>
      <c r="O698" s="34" t="s">
        <v>959</v>
      </c>
      <c r="P698" s="35" t="s">
        <v>959</v>
      </c>
      <c r="Q698" s="34" t="str">
        <f>IF(OR(P698="-",P698="",P698=0),IF(O698="-","-",O698),O698-P698)</f>
        <v>-</v>
      </c>
      <c r="R698" s="4" t="str">
        <f>IFERROR(IF(O698&gt;0, P698/O698, 0),"-")</f>
        <v>-</v>
      </c>
      <c r="S698" s="34" t="s">
        <v>959</v>
      </c>
      <c r="T698" s="34" t="s">
        <v>959</v>
      </c>
      <c r="U698" s="34" t="s">
        <v>959</v>
      </c>
      <c r="V698" s="35" t="s">
        <v>959</v>
      </c>
      <c r="W698" s="35" t="s">
        <v>959</v>
      </c>
    </row>
    <row r="699" spans="1:23" x14ac:dyDescent="0.2">
      <c r="A699" s="30" t="s">
        <v>858</v>
      </c>
      <c r="B699" s="30" t="s">
        <v>1374</v>
      </c>
      <c r="C699" s="34">
        <v>59</v>
      </c>
      <c r="D699" s="35">
        <v>56</v>
      </c>
      <c r="E699" s="34">
        <f>IF(OR(D699="-",D699="",D699=0),IF(C699="-","-",C699),C699-D699)</f>
        <v>3</v>
      </c>
      <c r="F699" s="4">
        <f>IFERROR(IF(C699&gt;0, D699/C699, 0),"-")</f>
        <v>0.94915254237288138</v>
      </c>
      <c r="G699" s="34" t="s">
        <v>959</v>
      </c>
      <c r="H699" s="35" t="s">
        <v>959</v>
      </c>
      <c r="I699" s="34" t="str">
        <f>IF(OR(H699="-",H699="",H699=0),IF(G699="-","-",G699),G699-H699)</f>
        <v>-</v>
      </c>
      <c r="J699" s="4" t="str">
        <f>IFERROR(IF(G699&gt;0, H699/G699, 0),"-")</f>
        <v>-</v>
      </c>
      <c r="K699" s="34" t="s">
        <v>959</v>
      </c>
      <c r="L699" s="35" t="s">
        <v>959</v>
      </c>
      <c r="M699" s="34" t="str">
        <f>IF(OR(L699="-",L699="",L699=0),IF(K699="-","-",K699),K699-L699)</f>
        <v>-</v>
      </c>
      <c r="N699" s="4" t="str">
        <f>IFERROR(IF(K699&gt;0, L699/K699, 0),"-")</f>
        <v>-</v>
      </c>
      <c r="O699" s="34">
        <v>1</v>
      </c>
      <c r="P699" s="35">
        <v>1</v>
      </c>
      <c r="Q699" s="34">
        <f>IF(OR(P699="-",P699="",P699=0),IF(O699="-","-",O699),O699-P699)</f>
        <v>0</v>
      </c>
      <c r="R699" s="4">
        <f>IFERROR(IF(O699&gt;0, P699/O699, 0),"-")</f>
        <v>1</v>
      </c>
      <c r="S699" s="34" t="s">
        <v>959</v>
      </c>
      <c r="T699" s="34" t="s">
        <v>959</v>
      </c>
      <c r="U699" s="34" t="s">
        <v>959</v>
      </c>
      <c r="V699" s="35" t="s">
        <v>959</v>
      </c>
      <c r="W699" s="35" t="s">
        <v>959</v>
      </c>
    </row>
    <row r="700" spans="1:23" x14ac:dyDescent="0.2">
      <c r="A700" s="30" t="s">
        <v>859</v>
      </c>
      <c r="B700" s="30" t="s">
        <v>1375</v>
      </c>
      <c r="C700" s="34">
        <v>101</v>
      </c>
      <c r="D700" s="35">
        <v>101</v>
      </c>
      <c r="E700" s="34">
        <f>IF(OR(D700="-",D700="",D700=0),IF(C700="-","-",C700),C700-D700)</f>
        <v>0</v>
      </c>
      <c r="F700" s="4">
        <f>IFERROR(IF(C700&gt;0, D700/C700, 0),"-")</f>
        <v>1</v>
      </c>
      <c r="G700" s="34">
        <v>1</v>
      </c>
      <c r="H700" s="35" t="s">
        <v>959</v>
      </c>
      <c r="I700" s="34">
        <f>IF(OR(H700="-",H700="",H700=0),IF(G700="-","-",G700),G700-H700)</f>
        <v>1</v>
      </c>
      <c r="J700" s="4" t="str">
        <f>IFERROR(IF(G700&gt;0, H700/G700, 0),"-")</f>
        <v>-</v>
      </c>
      <c r="K700" s="34" t="s">
        <v>959</v>
      </c>
      <c r="L700" s="35" t="s">
        <v>959</v>
      </c>
      <c r="M700" s="34" t="str">
        <f>IF(OR(L700="-",L700="",L700=0),IF(K700="-","-",K700),K700-L700)</f>
        <v>-</v>
      </c>
      <c r="N700" s="4" t="str">
        <f>IFERROR(IF(K700&gt;0, L700/K700, 0),"-")</f>
        <v>-</v>
      </c>
      <c r="O700" s="34" t="s">
        <v>959</v>
      </c>
      <c r="P700" s="35" t="s">
        <v>959</v>
      </c>
      <c r="Q700" s="34" t="str">
        <f>IF(OR(P700="-",P700="",P700=0),IF(O700="-","-",O700),O700-P700)</f>
        <v>-</v>
      </c>
      <c r="R700" s="4" t="str">
        <f>IFERROR(IF(O700&gt;0, P700/O700, 0),"-")</f>
        <v>-</v>
      </c>
      <c r="S700" s="34">
        <v>1</v>
      </c>
      <c r="T700" s="34" t="s">
        <v>959</v>
      </c>
      <c r="U700" s="34" t="s">
        <v>959</v>
      </c>
      <c r="V700" s="35" t="s">
        <v>959</v>
      </c>
      <c r="W700" s="35" t="s">
        <v>959</v>
      </c>
    </row>
    <row r="701" spans="1:23" x14ac:dyDescent="0.2">
      <c r="A701" s="30" t="s">
        <v>860</v>
      </c>
      <c r="B701" s="30" t="s">
        <v>1376</v>
      </c>
      <c r="C701" s="34">
        <v>118</v>
      </c>
      <c r="D701" s="35">
        <v>118</v>
      </c>
      <c r="E701" s="34">
        <f>IF(OR(D701="-",D701="",D701=0),IF(C701="-","-",C701),C701-D701)</f>
        <v>0</v>
      </c>
      <c r="F701" s="4">
        <f>IFERROR(IF(C701&gt;0, D701/C701, 0),"-")</f>
        <v>1</v>
      </c>
      <c r="G701" s="34">
        <v>1</v>
      </c>
      <c r="H701" s="35" t="s">
        <v>959</v>
      </c>
      <c r="I701" s="34">
        <f>IF(OR(H701="-",H701="",H701=0),IF(G701="-","-",G701),G701-H701)</f>
        <v>1</v>
      </c>
      <c r="J701" s="4" t="str">
        <f>IFERROR(IF(G701&gt;0, H701/G701, 0),"-")</f>
        <v>-</v>
      </c>
      <c r="K701" s="34" t="s">
        <v>959</v>
      </c>
      <c r="L701" s="35" t="s">
        <v>959</v>
      </c>
      <c r="M701" s="34" t="str">
        <f>IF(OR(L701="-",L701="",L701=0),IF(K701="-","-",K701),K701-L701)</f>
        <v>-</v>
      </c>
      <c r="N701" s="4" t="str">
        <f>IFERROR(IF(K701&gt;0, L701/K701, 0),"-")</f>
        <v>-</v>
      </c>
      <c r="O701" s="34" t="s">
        <v>959</v>
      </c>
      <c r="P701" s="35" t="s">
        <v>959</v>
      </c>
      <c r="Q701" s="34" t="str">
        <f>IF(OR(P701="-",P701="",P701=0),IF(O701="-","-",O701),O701-P701)</f>
        <v>-</v>
      </c>
      <c r="R701" s="4" t="str">
        <f>IFERROR(IF(O701&gt;0, P701/O701, 0),"-")</f>
        <v>-</v>
      </c>
      <c r="S701" s="34" t="s">
        <v>959</v>
      </c>
      <c r="T701" s="34" t="s">
        <v>959</v>
      </c>
      <c r="U701" s="34" t="s">
        <v>959</v>
      </c>
      <c r="V701" s="35" t="s">
        <v>959</v>
      </c>
      <c r="W701" s="35" t="s">
        <v>959</v>
      </c>
    </row>
    <row r="702" spans="1:23" x14ac:dyDescent="0.2">
      <c r="A702" s="30" t="s">
        <v>862</v>
      </c>
      <c r="B702" s="30" t="s">
        <v>1377</v>
      </c>
      <c r="C702" s="34">
        <v>51</v>
      </c>
      <c r="D702" s="35">
        <v>51</v>
      </c>
      <c r="E702" s="34">
        <f>IF(OR(D702="-",D702="",D702=0),IF(C702="-","-",C702),C702-D702)</f>
        <v>0</v>
      </c>
      <c r="F702" s="4">
        <f>IFERROR(IF(C702&gt;0, D702/C702, 0),"-")</f>
        <v>1</v>
      </c>
      <c r="G702" s="34" t="s">
        <v>959</v>
      </c>
      <c r="H702" s="35" t="s">
        <v>959</v>
      </c>
      <c r="I702" s="34" t="str">
        <f>IF(OR(H702="-",H702="",H702=0),IF(G702="-","-",G702),G702-H702)</f>
        <v>-</v>
      </c>
      <c r="J702" s="4" t="str">
        <f>IFERROR(IF(G702&gt;0, H702/G702, 0),"-")</f>
        <v>-</v>
      </c>
      <c r="K702" s="34" t="s">
        <v>959</v>
      </c>
      <c r="L702" s="35" t="s">
        <v>959</v>
      </c>
      <c r="M702" s="34" t="str">
        <f>IF(OR(L702="-",L702="",L702=0),IF(K702="-","-",K702),K702-L702)</f>
        <v>-</v>
      </c>
      <c r="N702" s="4" t="str">
        <f>IFERROR(IF(K702&gt;0, L702/K702, 0),"-")</f>
        <v>-</v>
      </c>
      <c r="O702" s="34" t="s">
        <v>959</v>
      </c>
      <c r="P702" s="35" t="s">
        <v>959</v>
      </c>
      <c r="Q702" s="34" t="str">
        <f>IF(OR(P702="-",P702="",P702=0),IF(O702="-","-",O702),O702-P702)</f>
        <v>-</v>
      </c>
      <c r="R702" s="4" t="str">
        <f>IFERROR(IF(O702&gt;0, P702/O702, 0),"-")</f>
        <v>-</v>
      </c>
      <c r="S702" s="34" t="s">
        <v>959</v>
      </c>
      <c r="T702" s="34" t="s">
        <v>959</v>
      </c>
      <c r="U702" s="34" t="s">
        <v>959</v>
      </c>
      <c r="V702" s="35" t="s">
        <v>959</v>
      </c>
      <c r="W702" s="35" t="s">
        <v>959</v>
      </c>
    </row>
    <row r="703" spans="1:23" x14ac:dyDescent="0.2">
      <c r="A703" s="29"/>
      <c r="B703" s="29" t="s">
        <v>9</v>
      </c>
      <c r="C703" s="32">
        <v>587</v>
      </c>
      <c r="D703" s="32">
        <v>568</v>
      </c>
      <c r="E703" s="32">
        <f>IF(OR(D703="-",D703="",D703=0),IF(C703="-","-",C703),C703-D703)</f>
        <v>19</v>
      </c>
      <c r="F703" s="36">
        <f>IFERROR(IF(C703&gt;0, D703/C703, 0),"-")</f>
        <v>0.96763202725724018</v>
      </c>
      <c r="G703" s="32">
        <v>9</v>
      </c>
      <c r="H703" s="32">
        <v>2</v>
      </c>
      <c r="I703" s="32">
        <f>IF(OR(H703="-",H703="",H703=0),IF(G703="-","-",G703),G703-H703)</f>
        <v>7</v>
      </c>
      <c r="J703" s="36">
        <f>IFERROR(IF(G703&gt;0, H703/G703, 0),"-")</f>
        <v>0.22222222222222221</v>
      </c>
      <c r="K703" s="32">
        <v>5</v>
      </c>
      <c r="L703" s="32" t="s">
        <v>959</v>
      </c>
      <c r="M703" s="32">
        <f>IF(OR(L703="-",L703="",L703=0),IF(K703="-","-",K703),K703-L703)</f>
        <v>5</v>
      </c>
      <c r="N703" s="36" t="str">
        <f>IFERROR(IF(K703&gt;0, L703/K703, 0),"-")</f>
        <v>-</v>
      </c>
      <c r="O703" s="32">
        <v>5</v>
      </c>
      <c r="P703" s="32" t="s">
        <v>959</v>
      </c>
      <c r="Q703" s="32">
        <f>IF(OR(P703="-",P703="",P703=0),IF(O703="-","-",O703),O703-P703)</f>
        <v>5</v>
      </c>
      <c r="R703" s="36" t="str">
        <f>IFERROR(IF(O703&gt;0, P703/O703, 0),"-")</f>
        <v>-</v>
      </c>
      <c r="S703" s="32">
        <v>4</v>
      </c>
      <c r="T703" s="32">
        <v>1</v>
      </c>
      <c r="U703" s="32">
        <v>6000</v>
      </c>
      <c r="V703" s="32" t="s">
        <v>959</v>
      </c>
      <c r="W703" s="32" t="s">
        <v>959</v>
      </c>
    </row>
    <row r="704" spans="1:23" x14ac:dyDescent="0.2">
      <c r="A704" s="30" t="s">
        <v>312</v>
      </c>
      <c r="B704" s="30" t="s">
        <v>1378</v>
      </c>
      <c r="C704" s="34">
        <v>73</v>
      </c>
      <c r="D704" s="35">
        <v>73</v>
      </c>
      <c r="E704" s="34">
        <f>IF(OR(D704="-",D704="",D704=0),IF(C704="-","-",C704),C704-D704)</f>
        <v>0</v>
      </c>
      <c r="F704" s="4">
        <f>IFERROR(IF(C704&gt;0, D704/C704, 0),"-")</f>
        <v>1</v>
      </c>
      <c r="G704" s="34">
        <v>2</v>
      </c>
      <c r="H704" s="35" t="s">
        <v>959</v>
      </c>
      <c r="I704" s="34">
        <f>IF(OR(H704="-",H704="",H704=0),IF(G704="-","-",G704),G704-H704)</f>
        <v>2</v>
      </c>
      <c r="J704" s="4" t="str">
        <f>IFERROR(IF(G704&gt;0, H704/G704, 0),"-")</f>
        <v>-</v>
      </c>
      <c r="K704" s="34" t="s">
        <v>959</v>
      </c>
      <c r="L704" s="35" t="s">
        <v>959</v>
      </c>
      <c r="M704" s="34" t="str">
        <f>IF(OR(L704="-",L704="",L704=0),IF(K704="-","-",K704),K704-L704)</f>
        <v>-</v>
      </c>
      <c r="N704" s="4" t="str">
        <f>IFERROR(IF(K704&gt;0, L704/K704, 0),"-")</f>
        <v>-</v>
      </c>
      <c r="O704" s="34" t="s">
        <v>959</v>
      </c>
      <c r="P704" s="35" t="s">
        <v>959</v>
      </c>
      <c r="Q704" s="34" t="str">
        <f>IF(OR(P704="-",P704="",P704=0),IF(O704="-","-",O704),O704-P704)</f>
        <v>-</v>
      </c>
      <c r="R704" s="4" t="str">
        <f>IFERROR(IF(O704&gt;0, P704/O704, 0),"-")</f>
        <v>-</v>
      </c>
      <c r="S704" s="34" t="s">
        <v>959</v>
      </c>
      <c r="T704" s="34" t="s">
        <v>959</v>
      </c>
      <c r="U704" s="34" t="s">
        <v>959</v>
      </c>
      <c r="V704" s="35" t="s">
        <v>959</v>
      </c>
      <c r="W704" s="35" t="s">
        <v>959</v>
      </c>
    </row>
    <row r="705" spans="1:23" x14ac:dyDescent="0.2">
      <c r="A705" s="30" t="s">
        <v>314</v>
      </c>
      <c r="B705" s="30" t="s">
        <v>1379</v>
      </c>
      <c r="C705" s="34">
        <v>71</v>
      </c>
      <c r="D705" s="35">
        <v>66</v>
      </c>
      <c r="E705" s="34">
        <f>IF(OR(D705="-",D705="",D705=0),IF(C705="-","-",C705),C705-D705)</f>
        <v>5</v>
      </c>
      <c r="F705" s="4">
        <f>IFERROR(IF(C705&gt;0, D705/C705, 0),"-")</f>
        <v>0.92957746478873238</v>
      </c>
      <c r="G705" s="34" t="s">
        <v>959</v>
      </c>
      <c r="H705" s="35" t="s">
        <v>959</v>
      </c>
      <c r="I705" s="34" t="str">
        <f>IF(OR(H705="-",H705="",H705=0),IF(G705="-","-",G705),G705-H705)</f>
        <v>-</v>
      </c>
      <c r="J705" s="4" t="str">
        <f>IFERROR(IF(G705&gt;0, H705/G705, 0),"-")</f>
        <v>-</v>
      </c>
      <c r="K705" s="34" t="s">
        <v>959</v>
      </c>
      <c r="L705" s="35" t="s">
        <v>959</v>
      </c>
      <c r="M705" s="34" t="str">
        <f>IF(OR(L705="-",L705="",L705=0),IF(K705="-","-",K705),K705-L705)</f>
        <v>-</v>
      </c>
      <c r="N705" s="4" t="str">
        <f>IFERROR(IF(K705&gt;0, L705/K705, 0),"-")</f>
        <v>-</v>
      </c>
      <c r="O705" s="34" t="s">
        <v>959</v>
      </c>
      <c r="P705" s="35" t="s">
        <v>959</v>
      </c>
      <c r="Q705" s="34" t="str">
        <f>IF(OR(P705="-",P705="",P705=0),IF(O705="-","-",O705),O705-P705)</f>
        <v>-</v>
      </c>
      <c r="R705" s="4" t="str">
        <f>IFERROR(IF(O705&gt;0, P705/O705, 0),"-")</f>
        <v>-</v>
      </c>
      <c r="S705" s="34">
        <v>1</v>
      </c>
      <c r="T705" s="34" t="s">
        <v>959</v>
      </c>
      <c r="U705" s="34" t="s">
        <v>959</v>
      </c>
      <c r="V705" s="35" t="s">
        <v>959</v>
      </c>
      <c r="W705" s="35" t="s">
        <v>959</v>
      </c>
    </row>
    <row r="706" spans="1:23" x14ac:dyDescent="0.2">
      <c r="A706" s="30" t="s">
        <v>316</v>
      </c>
      <c r="B706" s="30" t="s">
        <v>1380</v>
      </c>
      <c r="C706" s="34">
        <v>34</v>
      </c>
      <c r="D706" s="35">
        <v>34</v>
      </c>
      <c r="E706" s="34">
        <f>IF(OR(D706="-",D706="",D706=0),IF(C706="-","-",C706),C706-D706)</f>
        <v>0</v>
      </c>
      <c r="F706" s="4">
        <f>IFERROR(IF(C706&gt;0, D706/C706, 0),"-")</f>
        <v>1</v>
      </c>
      <c r="G706" s="34" t="s">
        <v>959</v>
      </c>
      <c r="H706" s="35" t="s">
        <v>959</v>
      </c>
      <c r="I706" s="34" t="str">
        <f>IF(OR(H706="-",H706="",H706=0),IF(G706="-","-",G706),G706-H706)</f>
        <v>-</v>
      </c>
      <c r="J706" s="4" t="str">
        <f>IFERROR(IF(G706&gt;0, H706/G706, 0),"-")</f>
        <v>-</v>
      </c>
      <c r="K706" s="34" t="s">
        <v>959</v>
      </c>
      <c r="L706" s="35" t="s">
        <v>959</v>
      </c>
      <c r="M706" s="34" t="str">
        <f>IF(OR(L706="-",L706="",L706=0),IF(K706="-","-",K706),K706-L706)</f>
        <v>-</v>
      </c>
      <c r="N706" s="4" t="str">
        <f>IFERROR(IF(K706&gt;0, L706/K706, 0),"-")</f>
        <v>-</v>
      </c>
      <c r="O706" s="34">
        <v>1</v>
      </c>
      <c r="P706" s="35" t="s">
        <v>959</v>
      </c>
      <c r="Q706" s="34">
        <f>IF(OR(P706="-",P706="",P706=0),IF(O706="-","-",O706),O706-P706)</f>
        <v>1</v>
      </c>
      <c r="R706" s="4" t="str">
        <f>IFERROR(IF(O706&gt;0, P706/O706, 0),"-")</f>
        <v>-</v>
      </c>
      <c r="S706" s="34" t="s">
        <v>959</v>
      </c>
      <c r="T706" s="34" t="s">
        <v>959</v>
      </c>
      <c r="U706" s="34" t="s">
        <v>959</v>
      </c>
      <c r="V706" s="35" t="s">
        <v>959</v>
      </c>
      <c r="W706" s="35" t="s">
        <v>959</v>
      </c>
    </row>
    <row r="707" spans="1:23" x14ac:dyDescent="0.2">
      <c r="A707" s="30" t="s">
        <v>317</v>
      </c>
      <c r="B707" s="30" t="s">
        <v>1381</v>
      </c>
      <c r="C707" s="34">
        <v>77</v>
      </c>
      <c r="D707" s="35">
        <v>73</v>
      </c>
      <c r="E707" s="34">
        <f>IF(OR(D707="-",D707="",D707=0),IF(C707="-","-",C707),C707-D707)</f>
        <v>4</v>
      </c>
      <c r="F707" s="4">
        <f>IFERROR(IF(C707&gt;0, D707/C707, 0),"-")</f>
        <v>0.94805194805194803</v>
      </c>
      <c r="G707" s="34">
        <v>1</v>
      </c>
      <c r="H707" s="35" t="s">
        <v>959</v>
      </c>
      <c r="I707" s="34">
        <f>IF(OR(H707="-",H707="",H707=0),IF(G707="-","-",G707),G707-H707)</f>
        <v>1</v>
      </c>
      <c r="J707" s="4" t="str">
        <f>IFERROR(IF(G707&gt;0, H707/G707, 0),"-")</f>
        <v>-</v>
      </c>
      <c r="K707" s="34">
        <v>2</v>
      </c>
      <c r="L707" s="35" t="s">
        <v>959</v>
      </c>
      <c r="M707" s="34">
        <f>IF(OR(L707="-",L707="",L707=0),IF(K707="-","-",K707),K707-L707)</f>
        <v>2</v>
      </c>
      <c r="N707" s="4" t="str">
        <f>IFERROR(IF(K707&gt;0, L707/K707, 0),"-")</f>
        <v>-</v>
      </c>
      <c r="O707" s="34" t="s">
        <v>959</v>
      </c>
      <c r="P707" s="35" t="s">
        <v>959</v>
      </c>
      <c r="Q707" s="34" t="str">
        <f>IF(OR(P707="-",P707="",P707=0),IF(O707="-","-",O707),O707-P707)</f>
        <v>-</v>
      </c>
      <c r="R707" s="4" t="str">
        <f>IFERROR(IF(O707&gt;0, P707/O707, 0),"-")</f>
        <v>-</v>
      </c>
      <c r="S707" s="34">
        <v>1</v>
      </c>
      <c r="T707" s="34" t="s">
        <v>959</v>
      </c>
      <c r="U707" s="34" t="s">
        <v>959</v>
      </c>
      <c r="V707" s="35" t="s">
        <v>959</v>
      </c>
      <c r="W707" s="35" t="s">
        <v>959</v>
      </c>
    </row>
    <row r="708" spans="1:23" x14ac:dyDescent="0.2">
      <c r="A708" s="30" t="s">
        <v>315</v>
      </c>
      <c r="B708" s="30" t="s">
        <v>1382</v>
      </c>
      <c r="C708" s="34">
        <v>89</v>
      </c>
      <c r="D708" s="35">
        <v>86</v>
      </c>
      <c r="E708" s="34">
        <f>IF(OR(D708="-",D708="",D708=0),IF(C708="-","-",C708),C708-D708)</f>
        <v>3</v>
      </c>
      <c r="F708" s="4">
        <f>IFERROR(IF(C708&gt;0, D708/C708, 0),"-")</f>
        <v>0.9662921348314607</v>
      </c>
      <c r="G708" s="34">
        <v>1</v>
      </c>
      <c r="H708" s="35" t="s">
        <v>959</v>
      </c>
      <c r="I708" s="34">
        <f>IF(OR(H708="-",H708="",H708=0),IF(G708="-","-",G708),G708-H708)</f>
        <v>1</v>
      </c>
      <c r="J708" s="4" t="str">
        <f>IFERROR(IF(G708&gt;0, H708/G708, 0),"-")</f>
        <v>-</v>
      </c>
      <c r="K708" s="34" t="s">
        <v>959</v>
      </c>
      <c r="L708" s="35" t="s">
        <v>959</v>
      </c>
      <c r="M708" s="34" t="str">
        <f>IF(OR(L708="-",L708="",L708=0),IF(K708="-","-",K708),K708-L708)</f>
        <v>-</v>
      </c>
      <c r="N708" s="4" t="str">
        <f>IFERROR(IF(K708&gt;0, L708/K708, 0),"-")</f>
        <v>-</v>
      </c>
      <c r="O708" s="34">
        <v>3</v>
      </c>
      <c r="P708" s="35" t="s">
        <v>959</v>
      </c>
      <c r="Q708" s="34">
        <f>IF(OR(P708="-",P708="",P708=0),IF(O708="-","-",O708),O708-P708)</f>
        <v>3</v>
      </c>
      <c r="R708" s="4" t="str">
        <f>IFERROR(IF(O708&gt;0, P708/O708, 0),"-")</f>
        <v>-</v>
      </c>
      <c r="S708" s="34" t="s">
        <v>959</v>
      </c>
      <c r="T708" s="34" t="s">
        <v>959</v>
      </c>
      <c r="U708" s="34" t="s">
        <v>959</v>
      </c>
      <c r="V708" s="35" t="s">
        <v>959</v>
      </c>
      <c r="W708" s="35" t="s">
        <v>959</v>
      </c>
    </row>
    <row r="709" spans="1:23" x14ac:dyDescent="0.2">
      <c r="A709" s="30" t="s">
        <v>313</v>
      </c>
      <c r="B709" s="30" t="s">
        <v>1383</v>
      </c>
      <c r="C709" s="34">
        <v>96</v>
      </c>
      <c r="D709" s="35">
        <v>92</v>
      </c>
      <c r="E709" s="34">
        <f>IF(OR(D709="-",D709="",D709=0),IF(C709="-","-",C709),C709-D709)</f>
        <v>4</v>
      </c>
      <c r="F709" s="4">
        <f>IFERROR(IF(C709&gt;0, D709/C709, 0),"-")</f>
        <v>0.95833333333333337</v>
      </c>
      <c r="G709" s="34">
        <v>1</v>
      </c>
      <c r="H709" s="35">
        <v>1</v>
      </c>
      <c r="I709" s="34">
        <f>IF(OR(H709="-",H709="",H709=0),IF(G709="-","-",G709),G709-H709)</f>
        <v>0</v>
      </c>
      <c r="J709" s="4">
        <f>IFERROR(IF(G709&gt;0, H709/G709, 0),"-")</f>
        <v>1</v>
      </c>
      <c r="K709" s="34" t="s">
        <v>959</v>
      </c>
      <c r="L709" s="35" t="s">
        <v>959</v>
      </c>
      <c r="M709" s="34" t="str">
        <f>IF(OR(L709="-",L709="",L709=0),IF(K709="-","-",K709),K709-L709)</f>
        <v>-</v>
      </c>
      <c r="N709" s="4" t="str">
        <f>IFERROR(IF(K709&gt;0, L709/K709, 0),"-")</f>
        <v>-</v>
      </c>
      <c r="O709" s="34" t="s">
        <v>959</v>
      </c>
      <c r="P709" s="35" t="s">
        <v>959</v>
      </c>
      <c r="Q709" s="34" t="str">
        <f>IF(OR(P709="-",P709="",P709=0),IF(O709="-","-",O709),O709-P709)</f>
        <v>-</v>
      </c>
      <c r="R709" s="4" t="str">
        <f>IFERROR(IF(O709&gt;0, P709/O709, 0),"-")</f>
        <v>-</v>
      </c>
      <c r="S709" s="34" t="s">
        <v>959</v>
      </c>
      <c r="T709" s="34" t="s">
        <v>959</v>
      </c>
      <c r="U709" s="34" t="s">
        <v>959</v>
      </c>
      <c r="V709" s="35" t="s">
        <v>959</v>
      </c>
      <c r="W709" s="35" t="s">
        <v>959</v>
      </c>
    </row>
    <row r="710" spans="1:23" x14ac:dyDescent="0.2">
      <c r="A710" s="30" t="s">
        <v>311</v>
      </c>
      <c r="B710" s="30" t="s">
        <v>1384</v>
      </c>
      <c r="C710" s="34">
        <v>60</v>
      </c>
      <c r="D710" s="35">
        <v>58</v>
      </c>
      <c r="E710" s="34">
        <f>IF(OR(D710="-",D710="",D710=0),IF(C710="-","-",C710),C710-D710)</f>
        <v>2</v>
      </c>
      <c r="F710" s="4">
        <f>IFERROR(IF(C710&gt;0, D710/C710, 0),"-")</f>
        <v>0.96666666666666667</v>
      </c>
      <c r="G710" s="34">
        <v>1</v>
      </c>
      <c r="H710" s="35">
        <v>1</v>
      </c>
      <c r="I710" s="34">
        <f>IF(OR(H710="-",H710="",H710=0),IF(G710="-","-",G710),G710-H710)</f>
        <v>0</v>
      </c>
      <c r="J710" s="4">
        <f>IFERROR(IF(G710&gt;0, H710/G710, 0),"-")</f>
        <v>1</v>
      </c>
      <c r="K710" s="34">
        <v>3</v>
      </c>
      <c r="L710" s="35" t="s">
        <v>959</v>
      </c>
      <c r="M710" s="34">
        <f>IF(OR(L710="-",L710="",L710=0),IF(K710="-","-",K710),K710-L710)</f>
        <v>3</v>
      </c>
      <c r="N710" s="4" t="str">
        <f>IFERROR(IF(K710&gt;0, L710/K710, 0),"-")</f>
        <v>-</v>
      </c>
      <c r="O710" s="34" t="s">
        <v>959</v>
      </c>
      <c r="P710" s="35" t="s">
        <v>959</v>
      </c>
      <c r="Q710" s="34" t="str">
        <f>IF(OR(P710="-",P710="",P710=0),IF(O710="-","-",O710),O710-P710)</f>
        <v>-</v>
      </c>
      <c r="R710" s="4" t="str">
        <f>IFERROR(IF(O710&gt;0, P710/O710, 0),"-")</f>
        <v>-</v>
      </c>
      <c r="S710" s="34">
        <v>1</v>
      </c>
      <c r="T710" s="34">
        <v>1</v>
      </c>
      <c r="U710" s="34">
        <v>6000</v>
      </c>
      <c r="V710" s="35" t="s">
        <v>959</v>
      </c>
      <c r="W710" s="35" t="s">
        <v>959</v>
      </c>
    </row>
    <row r="711" spans="1:23" x14ac:dyDescent="0.2">
      <c r="A711" s="30" t="s">
        <v>310</v>
      </c>
      <c r="B711" s="30" t="s">
        <v>1385</v>
      </c>
      <c r="C711" s="34">
        <v>87</v>
      </c>
      <c r="D711" s="35">
        <v>86</v>
      </c>
      <c r="E711" s="34">
        <f>IF(OR(D711="-",D711="",D711=0),IF(C711="-","-",C711),C711-D711)</f>
        <v>1</v>
      </c>
      <c r="F711" s="4">
        <f>IFERROR(IF(C711&gt;0, D711/C711, 0),"-")</f>
        <v>0.9885057471264368</v>
      </c>
      <c r="G711" s="34">
        <v>3</v>
      </c>
      <c r="H711" s="35" t="s">
        <v>959</v>
      </c>
      <c r="I711" s="34">
        <f>IF(OR(H711="-",H711="",H711=0),IF(G711="-","-",G711),G711-H711)</f>
        <v>3</v>
      </c>
      <c r="J711" s="4" t="str">
        <f>IFERROR(IF(G711&gt;0, H711/G711, 0),"-")</f>
        <v>-</v>
      </c>
      <c r="K711" s="34" t="s">
        <v>959</v>
      </c>
      <c r="L711" s="35" t="s">
        <v>959</v>
      </c>
      <c r="M711" s="34" t="str">
        <f>IF(OR(L711="-",L711="",L711=0),IF(K711="-","-",K711),K711-L711)</f>
        <v>-</v>
      </c>
      <c r="N711" s="4" t="str">
        <f>IFERROR(IF(K711&gt;0, L711/K711, 0),"-")</f>
        <v>-</v>
      </c>
      <c r="O711" s="34">
        <v>1</v>
      </c>
      <c r="P711" s="35" t="s">
        <v>959</v>
      </c>
      <c r="Q711" s="34">
        <f>IF(OR(P711="-",P711="",P711=0),IF(O711="-","-",O711),O711-P711)</f>
        <v>1</v>
      </c>
      <c r="R711" s="4" t="str">
        <f>IFERROR(IF(O711&gt;0, P711/O711, 0),"-")</f>
        <v>-</v>
      </c>
      <c r="S711" s="34">
        <v>1</v>
      </c>
      <c r="T711" s="34" t="s">
        <v>959</v>
      </c>
      <c r="U711" s="34" t="s">
        <v>959</v>
      </c>
      <c r="V711" s="35" t="s">
        <v>959</v>
      </c>
      <c r="W711" s="35" t="s">
        <v>959</v>
      </c>
    </row>
    <row r="712" spans="1:23" x14ac:dyDescent="0.2">
      <c r="A712" s="29"/>
      <c r="B712" s="29" t="s">
        <v>78</v>
      </c>
      <c r="C712" s="32">
        <v>604</v>
      </c>
      <c r="D712" s="32">
        <v>591</v>
      </c>
      <c r="E712" s="32">
        <f>IF(OR(D712="-",D712="",D712=0),IF(C712="-","-",C712),C712-D712)</f>
        <v>13</v>
      </c>
      <c r="F712" s="36">
        <f>IFERROR(IF(C712&gt;0, D712/C712, 0),"-")</f>
        <v>0.97847682119205293</v>
      </c>
      <c r="G712" s="32">
        <v>10</v>
      </c>
      <c r="H712" s="32">
        <v>2</v>
      </c>
      <c r="I712" s="32">
        <f>IF(OR(H712="-",H712="",H712=0),IF(G712="-","-",G712),G712-H712)</f>
        <v>8</v>
      </c>
      <c r="J712" s="36">
        <f>IFERROR(IF(G712&gt;0, H712/G712, 0),"-")</f>
        <v>0.2</v>
      </c>
      <c r="K712" s="32">
        <v>4</v>
      </c>
      <c r="L712" s="32" t="s">
        <v>959</v>
      </c>
      <c r="M712" s="32">
        <f>IF(OR(L712="-",L712="",L712=0),IF(K712="-","-",K712),K712-L712)</f>
        <v>4</v>
      </c>
      <c r="N712" s="36" t="str">
        <f>IFERROR(IF(K712&gt;0, L712/K712, 0),"-")</f>
        <v>-</v>
      </c>
      <c r="O712" s="32">
        <v>6</v>
      </c>
      <c r="P712" s="32">
        <v>1</v>
      </c>
      <c r="Q712" s="32">
        <f>IF(OR(P712="-",P712="",P712=0),IF(O712="-","-",O712),O712-P712)</f>
        <v>5</v>
      </c>
      <c r="R712" s="36">
        <f>IFERROR(IF(O712&gt;0, P712/O712, 0),"-")</f>
        <v>0.16666666666666666</v>
      </c>
      <c r="S712" s="32">
        <v>5</v>
      </c>
      <c r="T712" s="32" t="s">
        <v>959</v>
      </c>
      <c r="U712" s="32" t="s">
        <v>959</v>
      </c>
      <c r="V712" s="32" t="s">
        <v>959</v>
      </c>
      <c r="W712" s="32" t="s">
        <v>959</v>
      </c>
    </row>
    <row r="713" spans="1:23" x14ac:dyDescent="0.2">
      <c r="A713" s="30" t="s">
        <v>523</v>
      </c>
      <c r="B713" s="30" t="s">
        <v>1386</v>
      </c>
      <c r="C713" s="34">
        <v>137</v>
      </c>
      <c r="D713" s="35">
        <v>130</v>
      </c>
      <c r="E713" s="34">
        <f>IF(OR(D713="-",D713="",D713=0),IF(C713="-","-",C713),C713-D713)</f>
        <v>7</v>
      </c>
      <c r="F713" s="4">
        <f>IFERROR(IF(C713&gt;0, D713/C713, 0),"-")</f>
        <v>0.94890510948905105</v>
      </c>
      <c r="G713" s="34">
        <v>6</v>
      </c>
      <c r="H713" s="35">
        <v>1</v>
      </c>
      <c r="I713" s="34">
        <f>IF(OR(H713="-",H713="",H713=0),IF(G713="-","-",G713),G713-H713)</f>
        <v>5</v>
      </c>
      <c r="J713" s="4">
        <f>IFERROR(IF(G713&gt;0, H713/G713, 0),"-")</f>
        <v>0.16666666666666666</v>
      </c>
      <c r="K713" s="34">
        <v>1</v>
      </c>
      <c r="L713" s="35" t="s">
        <v>959</v>
      </c>
      <c r="M713" s="34">
        <f>IF(OR(L713="-",L713="",L713=0),IF(K713="-","-",K713),K713-L713)</f>
        <v>1</v>
      </c>
      <c r="N713" s="4" t="str">
        <f>IFERROR(IF(K713&gt;0, L713/K713, 0),"-")</f>
        <v>-</v>
      </c>
      <c r="O713" s="34">
        <v>1</v>
      </c>
      <c r="P713" s="35" t="s">
        <v>959</v>
      </c>
      <c r="Q713" s="34">
        <f>IF(OR(P713="-",P713="",P713=0),IF(O713="-","-",O713),O713-P713)</f>
        <v>1</v>
      </c>
      <c r="R713" s="4" t="str">
        <f>IFERROR(IF(O713&gt;0, P713/O713, 0),"-")</f>
        <v>-</v>
      </c>
      <c r="S713" s="34" t="s">
        <v>959</v>
      </c>
      <c r="T713" s="34" t="s">
        <v>959</v>
      </c>
      <c r="U713" s="34" t="s">
        <v>959</v>
      </c>
      <c r="V713" s="35" t="s">
        <v>959</v>
      </c>
      <c r="W713" s="35" t="s">
        <v>959</v>
      </c>
    </row>
    <row r="714" spans="1:23" x14ac:dyDescent="0.2">
      <c r="A714" s="30" t="s">
        <v>521</v>
      </c>
      <c r="B714" s="30" t="s">
        <v>1387</v>
      </c>
      <c r="C714" s="34">
        <v>153</v>
      </c>
      <c r="D714" s="35">
        <v>150</v>
      </c>
      <c r="E714" s="34">
        <f>IF(OR(D714="-",D714="",D714=0),IF(C714="-","-",C714),C714-D714)</f>
        <v>3</v>
      </c>
      <c r="F714" s="4">
        <f>IFERROR(IF(C714&gt;0, D714/C714, 0),"-")</f>
        <v>0.98039215686274506</v>
      </c>
      <c r="G714" s="34" t="s">
        <v>959</v>
      </c>
      <c r="H714" s="35" t="s">
        <v>959</v>
      </c>
      <c r="I714" s="34" t="str">
        <f>IF(OR(H714="-",H714="",H714=0),IF(G714="-","-",G714),G714-H714)</f>
        <v>-</v>
      </c>
      <c r="J714" s="4" t="str">
        <f>IFERROR(IF(G714&gt;0, H714/G714, 0),"-")</f>
        <v>-</v>
      </c>
      <c r="K714" s="34">
        <v>1</v>
      </c>
      <c r="L714" s="35" t="s">
        <v>959</v>
      </c>
      <c r="M714" s="34">
        <f>IF(OR(L714="-",L714="",L714=0),IF(K714="-","-",K714),K714-L714)</f>
        <v>1</v>
      </c>
      <c r="N714" s="4" t="str">
        <f>IFERROR(IF(K714&gt;0, L714/K714, 0),"-")</f>
        <v>-</v>
      </c>
      <c r="O714" s="34">
        <v>2</v>
      </c>
      <c r="P714" s="35">
        <v>1</v>
      </c>
      <c r="Q714" s="34">
        <f>IF(OR(P714="-",P714="",P714=0),IF(O714="-","-",O714),O714-P714)</f>
        <v>1</v>
      </c>
      <c r="R714" s="4">
        <f>IFERROR(IF(O714&gt;0, P714/O714, 0),"-")</f>
        <v>0.5</v>
      </c>
      <c r="S714" s="34" t="s">
        <v>959</v>
      </c>
      <c r="T714" s="34" t="s">
        <v>959</v>
      </c>
      <c r="U714" s="34" t="s">
        <v>959</v>
      </c>
      <c r="V714" s="35" t="s">
        <v>959</v>
      </c>
      <c r="W714" s="35" t="s">
        <v>959</v>
      </c>
    </row>
    <row r="715" spans="1:23" x14ac:dyDescent="0.2">
      <c r="A715" s="30" t="s">
        <v>526</v>
      </c>
      <c r="B715" s="30" t="s">
        <v>1388</v>
      </c>
      <c r="C715" s="34">
        <v>73</v>
      </c>
      <c r="D715" s="35">
        <v>72</v>
      </c>
      <c r="E715" s="34">
        <f>IF(OR(D715="-",D715="",D715=0),IF(C715="-","-",C715),C715-D715)</f>
        <v>1</v>
      </c>
      <c r="F715" s="4">
        <f>IFERROR(IF(C715&gt;0, D715/C715, 0),"-")</f>
        <v>0.98630136986301364</v>
      </c>
      <c r="G715" s="34" t="s">
        <v>959</v>
      </c>
      <c r="H715" s="35" t="s">
        <v>959</v>
      </c>
      <c r="I715" s="34" t="str">
        <f>IF(OR(H715="-",H715="",H715=0),IF(G715="-","-",G715),G715-H715)</f>
        <v>-</v>
      </c>
      <c r="J715" s="4" t="str">
        <f>IFERROR(IF(G715&gt;0, H715/G715, 0),"-")</f>
        <v>-</v>
      </c>
      <c r="K715" s="34" t="s">
        <v>959</v>
      </c>
      <c r="L715" s="35" t="s">
        <v>959</v>
      </c>
      <c r="M715" s="34" t="str">
        <f>IF(OR(L715="-",L715="",L715=0),IF(K715="-","-",K715),K715-L715)</f>
        <v>-</v>
      </c>
      <c r="N715" s="4" t="str">
        <f>IFERROR(IF(K715&gt;0, L715/K715, 0),"-")</f>
        <v>-</v>
      </c>
      <c r="O715" s="34">
        <v>3</v>
      </c>
      <c r="P715" s="35" t="s">
        <v>959</v>
      </c>
      <c r="Q715" s="34">
        <f>IF(OR(P715="-",P715="",P715=0),IF(O715="-","-",O715),O715-P715)</f>
        <v>3</v>
      </c>
      <c r="R715" s="4" t="str">
        <f>IFERROR(IF(O715&gt;0, P715/O715, 0),"-")</f>
        <v>-</v>
      </c>
      <c r="S715" s="34">
        <v>5</v>
      </c>
      <c r="T715" s="34" t="s">
        <v>959</v>
      </c>
      <c r="U715" s="34" t="s">
        <v>959</v>
      </c>
      <c r="V715" s="35" t="s">
        <v>959</v>
      </c>
      <c r="W715" s="35" t="s">
        <v>959</v>
      </c>
    </row>
    <row r="716" spans="1:23" x14ac:dyDescent="0.2">
      <c r="A716" s="30" t="s">
        <v>522</v>
      </c>
      <c r="B716" s="30" t="s">
        <v>1389</v>
      </c>
      <c r="C716" s="34">
        <v>67</v>
      </c>
      <c r="D716" s="35">
        <v>65</v>
      </c>
      <c r="E716" s="34">
        <f>IF(OR(D716="-",D716="",D716=0),IF(C716="-","-",C716),C716-D716)</f>
        <v>2</v>
      </c>
      <c r="F716" s="4">
        <f>IFERROR(IF(C716&gt;0, D716/C716, 0),"-")</f>
        <v>0.97014925373134331</v>
      </c>
      <c r="G716" s="34">
        <v>1</v>
      </c>
      <c r="H716" s="35">
        <v>1</v>
      </c>
      <c r="I716" s="34">
        <f>IF(OR(H716="-",H716="",H716=0),IF(G716="-","-",G716),G716-H716)</f>
        <v>0</v>
      </c>
      <c r="J716" s="4">
        <f>IFERROR(IF(G716&gt;0, H716/G716, 0),"-")</f>
        <v>1</v>
      </c>
      <c r="K716" s="34" t="s">
        <v>959</v>
      </c>
      <c r="L716" s="35" t="s">
        <v>959</v>
      </c>
      <c r="M716" s="34" t="str">
        <f>IF(OR(L716="-",L716="",L716=0),IF(K716="-","-",K716),K716-L716)</f>
        <v>-</v>
      </c>
      <c r="N716" s="4" t="str">
        <f>IFERROR(IF(K716&gt;0, L716/K716, 0),"-")</f>
        <v>-</v>
      </c>
      <c r="O716" s="34" t="s">
        <v>959</v>
      </c>
      <c r="P716" s="35" t="s">
        <v>959</v>
      </c>
      <c r="Q716" s="34" t="str">
        <f>IF(OR(P716="-",P716="",P716=0),IF(O716="-","-",O716),O716-P716)</f>
        <v>-</v>
      </c>
      <c r="R716" s="4" t="str">
        <f>IFERROR(IF(O716&gt;0, P716/O716, 0),"-")</f>
        <v>-</v>
      </c>
      <c r="S716" s="34" t="s">
        <v>959</v>
      </c>
      <c r="T716" s="34" t="s">
        <v>959</v>
      </c>
      <c r="U716" s="34" t="s">
        <v>959</v>
      </c>
      <c r="V716" s="35" t="s">
        <v>959</v>
      </c>
      <c r="W716" s="35" t="s">
        <v>959</v>
      </c>
    </row>
    <row r="717" spans="1:23" x14ac:dyDescent="0.2">
      <c r="A717" s="30" t="s">
        <v>525</v>
      </c>
      <c r="B717" s="30" t="s">
        <v>1390</v>
      </c>
      <c r="C717" s="34">
        <v>112</v>
      </c>
      <c r="D717" s="35">
        <v>112</v>
      </c>
      <c r="E717" s="34">
        <f>IF(OR(D717="-",D717="",D717=0),IF(C717="-","-",C717),C717-D717)</f>
        <v>0</v>
      </c>
      <c r="F717" s="4">
        <f>IFERROR(IF(C717&gt;0, D717/C717, 0),"-")</f>
        <v>1</v>
      </c>
      <c r="G717" s="34" t="s">
        <v>959</v>
      </c>
      <c r="H717" s="35" t="s">
        <v>959</v>
      </c>
      <c r="I717" s="34" t="str">
        <f>IF(OR(H717="-",H717="",H717=0),IF(G717="-","-",G717),G717-H717)</f>
        <v>-</v>
      </c>
      <c r="J717" s="4" t="str">
        <f>IFERROR(IF(G717&gt;0, H717/G717, 0),"-")</f>
        <v>-</v>
      </c>
      <c r="K717" s="34">
        <v>1</v>
      </c>
      <c r="L717" s="35" t="s">
        <v>959</v>
      </c>
      <c r="M717" s="34">
        <f>IF(OR(L717="-",L717="",L717=0),IF(K717="-","-",K717),K717-L717)</f>
        <v>1</v>
      </c>
      <c r="N717" s="4" t="str">
        <f>IFERROR(IF(K717&gt;0, L717/K717, 0),"-")</f>
        <v>-</v>
      </c>
      <c r="O717" s="34" t="s">
        <v>959</v>
      </c>
      <c r="P717" s="35" t="s">
        <v>959</v>
      </c>
      <c r="Q717" s="34" t="str">
        <f>IF(OR(P717="-",P717="",P717=0),IF(O717="-","-",O717),O717-P717)</f>
        <v>-</v>
      </c>
      <c r="R717" s="4" t="str">
        <f>IFERROR(IF(O717&gt;0, P717/O717, 0),"-")</f>
        <v>-</v>
      </c>
      <c r="S717" s="34" t="s">
        <v>959</v>
      </c>
      <c r="T717" s="34" t="s">
        <v>959</v>
      </c>
      <c r="U717" s="34" t="s">
        <v>959</v>
      </c>
      <c r="V717" s="35" t="s">
        <v>959</v>
      </c>
      <c r="W717" s="35" t="s">
        <v>959</v>
      </c>
    </row>
    <row r="718" spans="1:23" x14ac:dyDescent="0.2">
      <c r="A718" s="30" t="s">
        <v>524</v>
      </c>
      <c r="B718" s="30" t="s">
        <v>1391</v>
      </c>
      <c r="C718" s="34">
        <v>62</v>
      </c>
      <c r="D718" s="35">
        <v>62</v>
      </c>
      <c r="E718" s="34">
        <f>IF(OR(D718="-",D718="",D718=0),IF(C718="-","-",C718),C718-D718)</f>
        <v>0</v>
      </c>
      <c r="F718" s="4">
        <f>IFERROR(IF(C718&gt;0, D718/C718, 0),"-")</f>
        <v>1</v>
      </c>
      <c r="G718" s="34">
        <v>3</v>
      </c>
      <c r="H718" s="35" t="s">
        <v>959</v>
      </c>
      <c r="I718" s="34">
        <f>IF(OR(H718="-",H718="",H718=0),IF(G718="-","-",G718),G718-H718)</f>
        <v>3</v>
      </c>
      <c r="J718" s="4" t="str">
        <f>IFERROR(IF(G718&gt;0, H718/G718, 0),"-")</f>
        <v>-</v>
      </c>
      <c r="K718" s="34">
        <v>1</v>
      </c>
      <c r="L718" s="35" t="s">
        <v>959</v>
      </c>
      <c r="M718" s="34">
        <f>IF(OR(L718="-",L718="",L718=0),IF(K718="-","-",K718),K718-L718)</f>
        <v>1</v>
      </c>
      <c r="N718" s="4" t="str">
        <f>IFERROR(IF(K718&gt;0, L718/K718, 0),"-")</f>
        <v>-</v>
      </c>
      <c r="O718" s="34" t="s">
        <v>959</v>
      </c>
      <c r="P718" s="35" t="s">
        <v>959</v>
      </c>
      <c r="Q718" s="34" t="str">
        <f>IF(OR(P718="-",P718="",P718=0),IF(O718="-","-",O718),O718-P718)</f>
        <v>-</v>
      </c>
      <c r="R718" s="4" t="str">
        <f>IFERROR(IF(O718&gt;0, P718/O718, 0),"-")</f>
        <v>-</v>
      </c>
      <c r="S718" s="34" t="s">
        <v>959</v>
      </c>
      <c r="T718" s="34" t="s">
        <v>959</v>
      </c>
      <c r="U718" s="34" t="s">
        <v>959</v>
      </c>
      <c r="V718" s="35" t="s">
        <v>959</v>
      </c>
      <c r="W718" s="35" t="s">
        <v>959</v>
      </c>
    </row>
    <row r="719" spans="1:23" x14ac:dyDescent="0.2">
      <c r="A719" s="29"/>
      <c r="B719" s="29" t="s">
        <v>104</v>
      </c>
      <c r="C719" s="32">
        <v>1007</v>
      </c>
      <c r="D719" s="32">
        <v>986</v>
      </c>
      <c r="E719" s="32">
        <f>IF(OR(D719="-",D719="",D719=0),IF(C719="-","-",C719),C719-D719)</f>
        <v>21</v>
      </c>
      <c r="F719" s="36">
        <f>IFERROR(IF(C719&gt;0, D719/C719, 0),"-")</f>
        <v>0.97914597815292947</v>
      </c>
      <c r="G719" s="32">
        <v>10</v>
      </c>
      <c r="H719" s="32">
        <v>4</v>
      </c>
      <c r="I719" s="32">
        <f>IF(OR(H719="-",H719="",H719=0),IF(G719="-","-",G719),G719-H719)</f>
        <v>6</v>
      </c>
      <c r="J719" s="36">
        <f>IFERROR(IF(G719&gt;0, H719/G719, 0),"-")</f>
        <v>0.4</v>
      </c>
      <c r="K719" s="32">
        <v>5</v>
      </c>
      <c r="L719" s="32">
        <v>2</v>
      </c>
      <c r="M719" s="32">
        <f>IF(OR(L719="-",L719="",L719=0),IF(K719="-","-",K719),K719-L719)</f>
        <v>3</v>
      </c>
      <c r="N719" s="36">
        <f>IFERROR(IF(K719&gt;0, L719/K719, 0),"-")</f>
        <v>0.4</v>
      </c>
      <c r="O719" s="32">
        <v>3</v>
      </c>
      <c r="P719" s="32">
        <v>1</v>
      </c>
      <c r="Q719" s="32">
        <f>IF(OR(P719="-",P719="",P719=0),IF(O719="-","-",O719),O719-P719)</f>
        <v>2</v>
      </c>
      <c r="R719" s="36">
        <f>IFERROR(IF(O719&gt;0, P719/O719, 0),"-")</f>
        <v>0.33333333333333331</v>
      </c>
      <c r="S719" s="32">
        <v>7</v>
      </c>
      <c r="T719" s="32">
        <v>1</v>
      </c>
      <c r="U719" s="32">
        <v>5710</v>
      </c>
      <c r="V719" s="32" t="s">
        <v>959</v>
      </c>
      <c r="W719" s="32" t="s">
        <v>959</v>
      </c>
    </row>
    <row r="720" spans="1:23" x14ac:dyDescent="0.2">
      <c r="A720" s="30" t="s">
        <v>745</v>
      </c>
      <c r="B720" s="30" t="s">
        <v>1392</v>
      </c>
      <c r="C720" s="34">
        <v>102</v>
      </c>
      <c r="D720" s="35">
        <v>97</v>
      </c>
      <c r="E720" s="34">
        <f>IF(OR(D720="-",D720="",D720=0),IF(C720="-","-",C720),C720-D720)</f>
        <v>5</v>
      </c>
      <c r="F720" s="4">
        <f>IFERROR(IF(C720&gt;0, D720/C720, 0),"-")</f>
        <v>0.9509803921568627</v>
      </c>
      <c r="G720" s="34">
        <v>2</v>
      </c>
      <c r="H720" s="35" t="s">
        <v>959</v>
      </c>
      <c r="I720" s="34">
        <f>IF(OR(H720="-",H720="",H720=0),IF(G720="-","-",G720),G720-H720)</f>
        <v>2</v>
      </c>
      <c r="J720" s="4" t="str">
        <f>IFERROR(IF(G720&gt;0, H720/G720, 0),"-")</f>
        <v>-</v>
      </c>
      <c r="K720" s="34" t="s">
        <v>959</v>
      </c>
      <c r="L720" s="35" t="s">
        <v>959</v>
      </c>
      <c r="M720" s="34" t="str">
        <f>IF(OR(L720="-",L720="",L720=0),IF(K720="-","-",K720),K720-L720)</f>
        <v>-</v>
      </c>
      <c r="N720" s="4" t="str">
        <f>IFERROR(IF(K720&gt;0, L720/K720, 0),"-")</f>
        <v>-</v>
      </c>
      <c r="O720" s="34">
        <v>1</v>
      </c>
      <c r="P720" s="35" t="s">
        <v>959</v>
      </c>
      <c r="Q720" s="34">
        <f>IF(OR(P720="-",P720="",P720=0),IF(O720="-","-",O720),O720-P720)</f>
        <v>1</v>
      </c>
      <c r="R720" s="4" t="str">
        <f>IFERROR(IF(O720&gt;0, P720/O720, 0),"-")</f>
        <v>-</v>
      </c>
      <c r="S720" s="34" t="s">
        <v>959</v>
      </c>
      <c r="T720" s="34" t="s">
        <v>959</v>
      </c>
      <c r="U720" s="34" t="s">
        <v>959</v>
      </c>
      <c r="V720" s="35" t="s">
        <v>959</v>
      </c>
      <c r="W720" s="35" t="s">
        <v>959</v>
      </c>
    </row>
    <row r="721" spans="1:23" x14ac:dyDescent="0.2">
      <c r="A721" s="30" t="s">
        <v>750</v>
      </c>
      <c r="B721" s="30" t="s">
        <v>1393</v>
      </c>
      <c r="C721" s="34">
        <v>112</v>
      </c>
      <c r="D721" s="35">
        <v>112</v>
      </c>
      <c r="E721" s="34">
        <f>IF(OR(D721="-",D721="",D721=0),IF(C721="-","-",C721),C721-D721)</f>
        <v>0</v>
      </c>
      <c r="F721" s="4">
        <f>IFERROR(IF(C721&gt;0, D721/C721, 0),"-")</f>
        <v>1</v>
      </c>
      <c r="G721" s="34">
        <v>1</v>
      </c>
      <c r="H721" s="35" t="s">
        <v>959</v>
      </c>
      <c r="I721" s="34">
        <f>IF(OR(H721="-",H721="",H721=0),IF(G721="-","-",G721),G721-H721)</f>
        <v>1</v>
      </c>
      <c r="J721" s="4" t="str">
        <f>IFERROR(IF(G721&gt;0, H721/G721, 0),"-")</f>
        <v>-</v>
      </c>
      <c r="K721" s="34">
        <v>1</v>
      </c>
      <c r="L721" s="35" t="s">
        <v>959</v>
      </c>
      <c r="M721" s="34">
        <f>IF(OR(L721="-",L721="",L721=0),IF(K721="-","-",K721),K721-L721)</f>
        <v>1</v>
      </c>
      <c r="N721" s="4" t="str">
        <f>IFERROR(IF(K721&gt;0, L721/K721, 0),"-")</f>
        <v>-</v>
      </c>
      <c r="O721" s="34" t="s">
        <v>959</v>
      </c>
      <c r="P721" s="35" t="s">
        <v>959</v>
      </c>
      <c r="Q721" s="34" t="str">
        <f>IF(OR(P721="-",P721="",P721=0),IF(O721="-","-",O721),O721-P721)</f>
        <v>-</v>
      </c>
      <c r="R721" s="4" t="str">
        <f>IFERROR(IF(O721&gt;0, P721/O721, 0),"-")</f>
        <v>-</v>
      </c>
      <c r="S721" s="34">
        <v>2</v>
      </c>
      <c r="T721" s="34" t="s">
        <v>959</v>
      </c>
      <c r="U721" s="34" t="s">
        <v>959</v>
      </c>
      <c r="V721" s="35" t="s">
        <v>959</v>
      </c>
      <c r="W721" s="35" t="s">
        <v>959</v>
      </c>
    </row>
    <row r="722" spans="1:23" x14ac:dyDescent="0.2">
      <c r="A722" s="30" t="s">
        <v>751</v>
      </c>
      <c r="B722" s="30" t="s">
        <v>1394</v>
      </c>
      <c r="C722" s="34">
        <v>59</v>
      </c>
      <c r="D722" s="35">
        <v>56</v>
      </c>
      <c r="E722" s="34">
        <f>IF(OR(D722="-",D722="",D722=0),IF(C722="-","-",C722),C722-D722)</f>
        <v>3</v>
      </c>
      <c r="F722" s="4">
        <f>IFERROR(IF(C722&gt;0, D722/C722, 0),"-")</f>
        <v>0.94915254237288138</v>
      </c>
      <c r="G722" s="34">
        <v>1</v>
      </c>
      <c r="H722" s="35">
        <v>1</v>
      </c>
      <c r="I722" s="34">
        <f>IF(OR(H722="-",H722="",H722=0),IF(G722="-","-",G722),G722-H722)</f>
        <v>0</v>
      </c>
      <c r="J722" s="4">
        <f>IFERROR(IF(G722&gt;0, H722/G722, 0),"-")</f>
        <v>1</v>
      </c>
      <c r="K722" s="34">
        <v>1</v>
      </c>
      <c r="L722" s="35" t="s">
        <v>959</v>
      </c>
      <c r="M722" s="34">
        <f>IF(OR(L722="-",L722="",L722=0),IF(K722="-","-",K722),K722-L722)</f>
        <v>1</v>
      </c>
      <c r="N722" s="4" t="str">
        <f>IFERROR(IF(K722&gt;0, L722/K722, 0),"-")</f>
        <v>-</v>
      </c>
      <c r="O722" s="34" t="s">
        <v>959</v>
      </c>
      <c r="P722" s="35" t="s">
        <v>959</v>
      </c>
      <c r="Q722" s="34" t="str">
        <f>IF(OR(P722="-",P722="",P722=0),IF(O722="-","-",O722),O722-P722)</f>
        <v>-</v>
      </c>
      <c r="R722" s="4" t="str">
        <f>IFERROR(IF(O722&gt;0, P722/O722, 0),"-")</f>
        <v>-</v>
      </c>
      <c r="S722" s="34" t="s">
        <v>959</v>
      </c>
      <c r="T722" s="34" t="s">
        <v>959</v>
      </c>
      <c r="U722" s="34" t="s">
        <v>959</v>
      </c>
      <c r="V722" s="35" t="s">
        <v>959</v>
      </c>
      <c r="W722" s="35" t="s">
        <v>959</v>
      </c>
    </row>
    <row r="723" spans="1:23" x14ac:dyDescent="0.2">
      <c r="A723" s="30" t="s">
        <v>748</v>
      </c>
      <c r="B723" s="30" t="s">
        <v>1395</v>
      </c>
      <c r="C723" s="34">
        <v>91</v>
      </c>
      <c r="D723" s="35">
        <v>88</v>
      </c>
      <c r="E723" s="34">
        <f>IF(OR(D723="-",D723="",D723=0),IF(C723="-","-",C723),C723-D723)</f>
        <v>3</v>
      </c>
      <c r="F723" s="4">
        <f>IFERROR(IF(C723&gt;0, D723/C723, 0),"-")</f>
        <v>0.96703296703296704</v>
      </c>
      <c r="G723" s="34" t="s">
        <v>959</v>
      </c>
      <c r="H723" s="35" t="s">
        <v>959</v>
      </c>
      <c r="I723" s="34" t="str">
        <f>IF(OR(H723="-",H723="",H723=0),IF(G723="-","-",G723),G723-H723)</f>
        <v>-</v>
      </c>
      <c r="J723" s="4" t="str">
        <f>IFERROR(IF(G723&gt;0, H723/G723, 0),"-")</f>
        <v>-</v>
      </c>
      <c r="K723" s="34" t="s">
        <v>959</v>
      </c>
      <c r="L723" s="35" t="s">
        <v>959</v>
      </c>
      <c r="M723" s="34" t="str">
        <f>IF(OR(L723="-",L723="",L723=0),IF(K723="-","-",K723),K723-L723)</f>
        <v>-</v>
      </c>
      <c r="N723" s="4" t="str">
        <f>IFERROR(IF(K723&gt;0, L723/K723, 0),"-")</f>
        <v>-</v>
      </c>
      <c r="O723" s="34" t="s">
        <v>959</v>
      </c>
      <c r="P723" s="35" t="s">
        <v>959</v>
      </c>
      <c r="Q723" s="34" t="str">
        <f>IF(OR(P723="-",P723="",P723=0),IF(O723="-","-",O723),O723-P723)</f>
        <v>-</v>
      </c>
      <c r="R723" s="4" t="str">
        <f>IFERROR(IF(O723&gt;0, P723/O723, 0),"-")</f>
        <v>-</v>
      </c>
      <c r="S723" s="34" t="s">
        <v>959</v>
      </c>
      <c r="T723" s="34" t="s">
        <v>959</v>
      </c>
      <c r="U723" s="34" t="s">
        <v>959</v>
      </c>
      <c r="V723" s="35" t="s">
        <v>959</v>
      </c>
      <c r="W723" s="35" t="s">
        <v>959</v>
      </c>
    </row>
    <row r="724" spans="1:23" x14ac:dyDescent="0.2">
      <c r="A724" s="30" t="s">
        <v>752</v>
      </c>
      <c r="B724" s="30" t="s">
        <v>1396</v>
      </c>
      <c r="C724" s="34">
        <v>115</v>
      </c>
      <c r="D724" s="35">
        <v>111</v>
      </c>
      <c r="E724" s="34">
        <f>IF(OR(D724="-",D724="",D724=0),IF(C724="-","-",C724),C724-D724)</f>
        <v>4</v>
      </c>
      <c r="F724" s="4">
        <f>IFERROR(IF(C724&gt;0, D724/C724, 0),"-")</f>
        <v>0.9652173913043478</v>
      </c>
      <c r="G724" s="34">
        <v>5</v>
      </c>
      <c r="H724" s="35">
        <v>3</v>
      </c>
      <c r="I724" s="34">
        <f>IF(OR(H724="-",H724="",H724=0),IF(G724="-","-",G724),G724-H724)</f>
        <v>2</v>
      </c>
      <c r="J724" s="4">
        <f>IFERROR(IF(G724&gt;0, H724/G724, 0),"-")</f>
        <v>0.6</v>
      </c>
      <c r="K724" s="34">
        <v>1</v>
      </c>
      <c r="L724" s="35">
        <v>1</v>
      </c>
      <c r="M724" s="34">
        <f>IF(OR(L724="-",L724="",L724=0),IF(K724="-","-",K724),K724-L724)</f>
        <v>0</v>
      </c>
      <c r="N724" s="4">
        <f>IFERROR(IF(K724&gt;0, L724/K724, 0),"-")</f>
        <v>1</v>
      </c>
      <c r="O724" s="34">
        <v>1</v>
      </c>
      <c r="P724" s="35" t="s">
        <v>959</v>
      </c>
      <c r="Q724" s="34">
        <f>IF(OR(P724="-",P724="",P724=0),IF(O724="-","-",O724),O724-P724)</f>
        <v>1</v>
      </c>
      <c r="R724" s="4" t="str">
        <f>IFERROR(IF(O724&gt;0, P724/O724, 0),"-")</f>
        <v>-</v>
      </c>
      <c r="S724" s="34">
        <v>4</v>
      </c>
      <c r="T724" s="34">
        <v>1</v>
      </c>
      <c r="U724" s="34">
        <v>5710</v>
      </c>
      <c r="V724" s="35" t="s">
        <v>959</v>
      </c>
      <c r="W724" s="35" t="s">
        <v>959</v>
      </c>
    </row>
    <row r="725" spans="1:23" x14ac:dyDescent="0.2">
      <c r="A725" s="30" t="s">
        <v>753</v>
      </c>
      <c r="B725" s="30" t="s">
        <v>1397</v>
      </c>
      <c r="C725" s="34">
        <v>9</v>
      </c>
      <c r="D725" s="35">
        <v>9</v>
      </c>
      <c r="E725" s="34">
        <f>IF(OR(D725="-",D725="",D725=0),IF(C725="-","-",C725),C725-D725)</f>
        <v>0</v>
      </c>
      <c r="F725" s="4">
        <f>IFERROR(IF(C725&gt;0, D725/C725, 0),"-")</f>
        <v>1</v>
      </c>
      <c r="G725" s="34" t="s">
        <v>959</v>
      </c>
      <c r="H725" s="35" t="s">
        <v>959</v>
      </c>
      <c r="I725" s="34" t="str">
        <f>IF(OR(H725="-",H725="",H725=0),IF(G725="-","-",G725),G725-H725)</f>
        <v>-</v>
      </c>
      <c r="J725" s="4" t="str">
        <f>IFERROR(IF(G725&gt;0, H725/G725, 0),"-")</f>
        <v>-</v>
      </c>
      <c r="K725" s="34" t="s">
        <v>959</v>
      </c>
      <c r="L725" s="35" t="s">
        <v>959</v>
      </c>
      <c r="M725" s="34" t="str">
        <f>IF(OR(L725="-",L725="",L725=0),IF(K725="-","-",K725),K725-L725)</f>
        <v>-</v>
      </c>
      <c r="N725" s="4" t="str">
        <f>IFERROR(IF(K725&gt;0, L725/K725, 0),"-")</f>
        <v>-</v>
      </c>
      <c r="O725" s="34" t="s">
        <v>959</v>
      </c>
      <c r="P725" s="35" t="s">
        <v>959</v>
      </c>
      <c r="Q725" s="34" t="str">
        <f>IF(OR(P725="-",P725="",P725=0),IF(O725="-","-",O725),O725-P725)</f>
        <v>-</v>
      </c>
      <c r="R725" s="4" t="str">
        <f>IFERROR(IF(O725&gt;0, P725/O725, 0),"-")</f>
        <v>-</v>
      </c>
      <c r="S725" s="34" t="s">
        <v>959</v>
      </c>
      <c r="T725" s="34" t="s">
        <v>959</v>
      </c>
      <c r="U725" s="34" t="s">
        <v>959</v>
      </c>
      <c r="V725" s="35" t="s">
        <v>959</v>
      </c>
      <c r="W725" s="35" t="s">
        <v>959</v>
      </c>
    </row>
    <row r="726" spans="1:23" x14ac:dyDescent="0.2">
      <c r="A726" s="30" t="s">
        <v>746</v>
      </c>
      <c r="B726" s="30" t="s">
        <v>1398</v>
      </c>
      <c r="C726" s="34">
        <v>178</v>
      </c>
      <c r="D726" s="35">
        <v>174</v>
      </c>
      <c r="E726" s="34">
        <f>IF(OR(D726="-",D726="",D726=0),IF(C726="-","-",C726),C726-D726)</f>
        <v>4</v>
      </c>
      <c r="F726" s="4">
        <f>IFERROR(IF(C726&gt;0, D726/C726, 0),"-")</f>
        <v>0.97752808988764039</v>
      </c>
      <c r="G726" s="34" t="s">
        <v>959</v>
      </c>
      <c r="H726" s="35" t="s">
        <v>959</v>
      </c>
      <c r="I726" s="34" t="str">
        <f>IF(OR(H726="-",H726="",H726=0),IF(G726="-","-",G726),G726-H726)</f>
        <v>-</v>
      </c>
      <c r="J726" s="4" t="str">
        <f>IFERROR(IF(G726&gt;0, H726/G726, 0),"-")</f>
        <v>-</v>
      </c>
      <c r="K726" s="34" t="s">
        <v>959</v>
      </c>
      <c r="L726" s="35" t="s">
        <v>959</v>
      </c>
      <c r="M726" s="34" t="str">
        <f>IF(OR(L726="-",L726="",L726=0),IF(K726="-","-",K726),K726-L726)</f>
        <v>-</v>
      </c>
      <c r="N726" s="4" t="str">
        <f>IFERROR(IF(K726&gt;0, L726/K726, 0),"-")</f>
        <v>-</v>
      </c>
      <c r="O726" s="34" t="s">
        <v>959</v>
      </c>
      <c r="P726" s="35" t="s">
        <v>959</v>
      </c>
      <c r="Q726" s="34" t="str">
        <f>IF(OR(P726="-",P726="",P726=0),IF(O726="-","-",O726),O726-P726)</f>
        <v>-</v>
      </c>
      <c r="R726" s="4" t="str">
        <f>IFERROR(IF(O726&gt;0, P726/O726, 0),"-")</f>
        <v>-</v>
      </c>
      <c r="S726" s="34">
        <v>1</v>
      </c>
      <c r="T726" s="34" t="s">
        <v>959</v>
      </c>
      <c r="U726" s="34" t="s">
        <v>959</v>
      </c>
      <c r="V726" s="35" t="s">
        <v>959</v>
      </c>
      <c r="W726" s="35" t="s">
        <v>959</v>
      </c>
    </row>
    <row r="727" spans="1:23" x14ac:dyDescent="0.2">
      <c r="A727" s="30" t="s">
        <v>749</v>
      </c>
      <c r="B727" s="30" t="s">
        <v>1399</v>
      </c>
      <c r="C727" s="34">
        <v>151</v>
      </c>
      <c r="D727" s="35">
        <v>149</v>
      </c>
      <c r="E727" s="34">
        <f>IF(OR(D727="-",D727="",D727=0),IF(C727="-","-",C727),C727-D727)</f>
        <v>2</v>
      </c>
      <c r="F727" s="4">
        <f>IFERROR(IF(C727&gt;0, D727/C727, 0),"-")</f>
        <v>0.98675496688741726</v>
      </c>
      <c r="G727" s="34" t="s">
        <v>959</v>
      </c>
      <c r="H727" s="35" t="s">
        <v>959</v>
      </c>
      <c r="I727" s="34" t="str">
        <f>IF(OR(H727="-",H727="",H727=0),IF(G727="-","-",G727),G727-H727)</f>
        <v>-</v>
      </c>
      <c r="J727" s="4" t="str">
        <f>IFERROR(IF(G727&gt;0, H727/G727, 0),"-")</f>
        <v>-</v>
      </c>
      <c r="K727" s="34" t="s">
        <v>959</v>
      </c>
      <c r="L727" s="35" t="s">
        <v>959</v>
      </c>
      <c r="M727" s="34" t="str">
        <f>IF(OR(L727="-",L727="",L727=0),IF(K727="-","-",K727),K727-L727)</f>
        <v>-</v>
      </c>
      <c r="N727" s="4" t="str">
        <f>IFERROR(IF(K727&gt;0, L727/K727, 0),"-")</f>
        <v>-</v>
      </c>
      <c r="O727" s="34" t="s">
        <v>959</v>
      </c>
      <c r="P727" s="35" t="s">
        <v>959</v>
      </c>
      <c r="Q727" s="34" t="str">
        <f>IF(OR(P727="-",P727="",P727=0),IF(O727="-","-",O727),O727-P727)</f>
        <v>-</v>
      </c>
      <c r="R727" s="4" t="str">
        <f>IFERROR(IF(O727&gt;0, P727/O727, 0),"-")</f>
        <v>-</v>
      </c>
      <c r="S727" s="34" t="s">
        <v>959</v>
      </c>
      <c r="T727" s="34" t="s">
        <v>959</v>
      </c>
      <c r="U727" s="34" t="s">
        <v>959</v>
      </c>
      <c r="V727" s="35" t="s">
        <v>959</v>
      </c>
      <c r="W727" s="35" t="s">
        <v>959</v>
      </c>
    </row>
    <row r="728" spans="1:23" x14ac:dyDescent="0.2">
      <c r="A728" s="30" t="s">
        <v>747</v>
      </c>
      <c r="B728" s="30" t="s">
        <v>1400</v>
      </c>
      <c r="C728" s="34">
        <v>190</v>
      </c>
      <c r="D728" s="35">
        <v>190</v>
      </c>
      <c r="E728" s="34">
        <f>IF(OR(D728="-",D728="",D728=0),IF(C728="-","-",C728),C728-D728)</f>
        <v>0</v>
      </c>
      <c r="F728" s="4">
        <f>IFERROR(IF(C728&gt;0, D728/C728, 0),"-")</f>
        <v>1</v>
      </c>
      <c r="G728" s="34">
        <v>1</v>
      </c>
      <c r="H728" s="35" t="s">
        <v>959</v>
      </c>
      <c r="I728" s="34">
        <f>IF(OR(H728="-",H728="",H728=0),IF(G728="-","-",G728),G728-H728)</f>
        <v>1</v>
      </c>
      <c r="J728" s="4" t="str">
        <f>IFERROR(IF(G728&gt;0, H728/G728, 0),"-")</f>
        <v>-</v>
      </c>
      <c r="K728" s="34">
        <v>2</v>
      </c>
      <c r="L728" s="35">
        <v>1</v>
      </c>
      <c r="M728" s="34">
        <f>IF(OR(L728="-",L728="",L728=0),IF(K728="-","-",K728),K728-L728)</f>
        <v>1</v>
      </c>
      <c r="N728" s="4">
        <f>IFERROR(IF(K728&gt;0, L728/K728, 0),"-")</f>
        <v>0.5</v>
      </c>
      <c r="O728" s="34">
        <v>1</v>
      </c>
      <c r="P728" s="35">
        <v>1</v>
      </c>
      <c r="Q728" s="34">
        <f>IF(OR(P728="-",P728="",P728=0),IF(O728="-","-",O728),O728-P728)</f>
        <v>0</v>
      </c>
      <c r="R728" s="4">
        <f>IFERROR(IF(O728&gt;0, P728/O728, 0),"-")</f>
        <v>1</v>
      </c>
      <c r="S728" s="34" t="s">
        <v>959</v>
      </c>
      <c r="T728" s="34" t="s">
        <v>959</v>
      </c>
      <c r="U728" s="34" t="s">
        <v>959</v>
      </c>
      <c r="V728" s="35" t="s">
        <v>959</v>
      </c>
      <c r="W728" s="35" t="s">
        <v>959</v>
      </c>
    </row>
    <row r="729" spans="1:23" x14ac:dyDescent="0.2">
      <c r="A729" s="29"/>
      <c r="B729" s="29" t="s">
        <v>119</v>
      </c>
      <c r="C729" s="32">
        <v>340</v>
      </c>
      <c r="D729" s="32">
        <v>337</v>
      </c>
      <c r="E729" s="32">
        <f>IF(OR(D729="-",D729="",D729=0),IF(C729="-","-",C729),C729-D729)</f>
        <v>3</v>
      </c>
      <c r="F729" s="36">
        <f>IFERROR(IF(C729&gt;0, D729/C729, 0),"-")</f>
        <v>0.99117647058823533</v>
      </c>
      <c r="G729" s="32" t="s">
        <v>959</v>
      </c>
      <c r="H729" s="32" t="s">
        <v>959</v>
      </c>
      <c r="I729" s="32" t="str">
        <f>IF(OR(H729="-",H729="",H729=0),IF(G729="-","-",G729),G729-H729)</f>
        <v>-</v>
      </c>
      <c r="J729" s="36" t="str">
        <f>IFERROR(IF(G729&gt;0, H729/G729, 0),"-")</f>
        <v>-</v>
      </c>
      <c r="K729" s="32">
        <v>1</v>
      </c>
      <c r="L729" s="32" t="s">
        <v>959</v>
      </c>
      <c r="M729" s="32">
        <f>IF(OR(L729="-",L729="",L729=0),IF(K729="-","-",K729),K729-L729)</f>
        <v>1</v>
      </c>
      <c r="N729" s="36" t="str">
        <f>IFERROR(IF(K729&gt;0, L729/K729, 0),"-")</f>
        <v>-</v>
      </c>
      <c r="O729" s="32">
        <v>1</v>
      </c>
      <c r="P729" s="32" t="s">
        <v>959</v>
      </c>
      <c r="Q729" s="32">
        <f>IF(OR(P729="-",P729="",P729=0),IF(O729="-","-",O729),O729-P729)</f>
        <v>1</v>
      </c>
      <c r="R729" s="36" t="str">
        <f>IFERROR(IF(O729&gt;0, P729/O729, 0),"-")</f>
        <v>-</v>
      </c>
      <c r="S729" s="32">
        <v>1</v>
      </c>
      <c r="T729" s="32" t="s">
        <v>959</v>
      </c>
      <c r="U729" s="32" t="s">
        <v>959</v>
      </c>
      <c r="V729" s="32" t="s">
        <v>959</v>
      </c>
      <c r="W729" s="32" t="s">
        <v>959</v>
      </c>
    </row>
    <row r="730" spans="1:23" x14ac:dyDescent="0.2">
      <c r="A730" s="30" t="s">
        <v>849</v>
      </c>
      <c r="B730" s="30" t="s">
        <v>1401</v>
      </c>
      <c r="C730" s="34">
        <v>40</v>
      </c>
      <c r="D730" s="35">
        <v>40</v>
      </c>
      <c r="E730" s="34">
        <f>IF(OR(D730="-",D730="",D730=0),IF(C730="-","-",C730),C730-D730)</f>
        <v>0</v>
      </c>
      <c r="F730" s="4">
        <f>IFERROR(IF(C730&gt;0, D730/C730, 0),"-")</f>
        <v>1</v>
      </c>
      <c r="G730" s="34" t="s">
        <v>959</v>
      </c>
      <c r="H730" s="35" t="s">
        <v>959</v>
      </c>
      <c r="I730" s="34" t="str">
        <f>IF(OR(H730="-",H730="",H730=0),IF(G730="-","-",G730),G730-H730)</f>
        <v>-</v>
      </c>
      <c r="J730" s="4" t="str">
        <f>IFERROR(IF(G730&gt;0, H730/G730, 0),"-")</f>
        <v>-</v>
      </c>
      <c r="K730" s="34" t="s">
        <v>959</v>
      </c>
      <c r="L730" s="35" t="s">
        <v>959</v>
      </c>
      <c r="M730" s="34" t="str">
        <f>IF(OR(L730="-",L730="",L730=0),IF(K730="-","-",K730),K730-L730)</f>
        <v>-</v>
      </c>
      <c r="N730" s="4" t="str">
        <f>IFERROR(IF(K730&gt;0, L730/K730, 0),"-")</f>
        <v>-</v>
      </c>
      <c r="O730" s="34" t="s">
        <v>959</v>
      </c>
      <c r="P730" s="35" t="s">
        <v>959</v>
      </c>
      <c r="Q730" s="34" t="str">
        <f>IF(OR(P730="-",P730="",P730=0),IF(O730="-","-",O730),O730-P730)</f>
        <v>-</v>
      </c>
      <c r="R730" s="4" t="str">
        <f>IFERROR(IF(O730&gt;0, P730/O730, 0),"-")</f>
        <v>-</v>
      </c>
      <c r="S730" s="34" t="s">
        <v>959</v>
      </c>
      <c r="T730" s="34" t="s">
        <v>959</v>
      </c>
      <c r="U730" s="34" t="s">
        <v>959</v>
      </c>
      <c r="V730" s="35" t="s">
        <v>959</v>
      </c>
      <c r="W730" s="35" t="s">
        <v>959</v>
      </c>
    </row>
    <row r="731" spans="1:23" x14ac:dyDescent="0.2">
      <c r="A731" s="30" t="s">
        <v>848</v>
      </c>
      <c r="B731" s="30" t="s">
        <v>1402</v>
      </c>
      <c r="C731" s="34">
        <v>45</v>
      </c>
      <c r="D731" s="35">
        <v>43</v>
      </c>
      <c r="E731" s="34">
        <f>IF(OR(D731="-",D731="",D731=0),IF(C731="-","-",C731),C731-D731)</f>
        <v>2</v>
      </c>
      <c r="F731" s="4">
        <f>IFERROR(IF(C731&gt;0, D731/C731, 0),"-")</f>
        <v>0.9555555555555556</v>
      </c>
      <c r="G731" s="34" t="s">
        <v>959</v>
      </c>
      <c r="H731" s="35" t="s">
        <v>959</v>
      </c>
      <c r="I731" s="34" t="str">
        <f>IF(OR(H731="-",H731="",H731=0),IF(G731="-","-",G731),G731-H731)</f>
        <v>-</v>
      </c>
      <c r="J731" s="4" t="str">
        <f>IFERROR(IF(G731&gt;0, H731/G731, 0),"-")</f>
        <v>-</v>
      </c>
      <c r="K731" s="34">
        <v>1</v>
      </c>
      <c r="L731" s="35" t="s">
        <v>959</v>
      </c>
      <c r="M731" s="34">
        <f>IF(OR(L731="-",L731="",L731=0),IF(K731="-","-",K731),K731-L731)</f>
        <v>1</v>
      </c>
      <c r="N731" s="4" t="str">
        <f>IFERROR(IF(K731&gt;0, L731/K731, 0),"-")</f>
        <v>-</v>
      </c>
      <c r="O731" s="34" t="s">
        <v>959</v>
      </c>
      <c r="P731" s="35" t="s">
        <v>959</v>
      </c>
      <c r="Q731" s="34" t="str">
        <f>IF(OR(P731="-",P731="",P731=0),IF(O731="-","-",O731),O731-P731)</f>
        <v>-</v>
      </c>
      <c r="R731" s="4" t="str">
        <f>IFERROR(IF(O731&gt;0, P731/O731, 0),"-")</f>
        <v>-</v>
      </c>
      <c r="S731" s="34" t="s">
        <v>959</v>
      </c>
      <c r="T731" s="34" t="s">
        <v>959</v>
      </c>
      <c r="U731" s="34" t="s">
        <v>959</v>
      </c>
      <c r="V731" s="35" t="s">
        <v>959</v>
      </c>
      <c r="W731" s="35" t="s">
        <v>959</v>
      </c>
    </row>
    <row r="732" spans="1:23" x14ac:dyDescent="0.2">
      <c r="A732" s="30" t="s">
        <v>847</v>
      </c>
      <c r="B732" s="30" t="s">
        <v>1403</v>
      </c>
      <c r="C732" s="34">
        <v>46</v>
      </c>
      <c r="D732" s="35">
        <v>45</v>
      </c>
      <c r="E732" s="34">
        <f>IF(OR(D732="-",D732="",D732=0),IF(C732="-","-",C732),C732-D732)</f>
        <v>1</v>
      </c>
      <c r="F732" s="4">
        <f>IFERROR(IF(C732&gt;0, D732/C732, 0),"-")</f>
        <v>0.97826086956521741</v>
      </c>
      <c r="G732" s="34" t="s">
        <v>959</v>
      </c>
      <c r="H732" s="35" t="s">
        <v>959</v>
      </c>
      <c r="I732" s="34" t="str">
        <f>IF(OR(H732="-",H732="",H732=0),IF(G732="-","-",G732),G732-H732)</f>
        <v>-</v>
      </c>
      <c r="J732" s="4" t="str">
        <f>IFERROR(IF(G732&gt;0, H732/G732, 0),"-")</f>
        <v>-</v>
      </c>
      <c r="K732" s="34" t="s">
        <v>959</v>
      </c>
      <c r="L732" s="35" t="s">
        <v>959</v>
      </c>
      <c r="M732" s="34" t="str">
        <f>IF(OR(L732="-",L732="",L732=0),IF(K732="-","-",K732),K732-L732)</f>
        <v>-</v>
      </c>
      <c r="N732" s="4" t="str">
        <f>IFERROR(IF(K732&gt;0, L732/K732, 0),"-")</f>
        <v>-</v>
      </c>
      <c r="O732" s="34" t="s">
        <v>959</v>
      </c>
      <c r="P732" s="35" t="s">
        <v>959</v>
      </c>
      <c r="Q732" s="34" t="str">
        <f>IF(OR(P732="-",P732="",P732=0),IF(O732="-","-",O732),O732-P732)</f>
        <v>-</v>
      </c>
      <c r="R732" s="4" t="str">
        <f>IFERROR(IF(O732&gt;0, P732/O732, 0),"-")</f>
        <v>-</v>
      </c>
      <c r="S732" s="34" t="s">
        <v>959</v>
      </c>
      <c r="T732" s="34" t="s">
        <v>959</v>
      </c>
      <c r="U732" s="34" t="s">
        <v>959</v>
      </c>
      <c r="V732" s="35" t="s">
        <v>959</v>
      </c>
      <c r="W732" s="35" t="s">
        <v>959</v>
      </c>
    </row>
    <row r="733" spans="1:23" x14ac:dyDescent="0.2">
      <c r="A733" s="30" t="s">
        <v>857</v>
      </c>
      <c r="B733" s="30" t="s">
        <v>1404</v>
      </c>
      <c r="C733" s="34">
        <v>6</v>
      </c>
      <c r="D733" s="35">
        <v>6</v>
      </c>
      <c r="E733" s="34">
        <f>IF(OR(D733="-",D733="",D733=0),IF(C733="-","-",C733),C733-D733)</f>
        <v>0</v>
      </c>
      <c r="F733" s="4">
        <f>IFERROR(IF(C733&gt;0, D733/C733, 0),"-")</f>
        <v>1</v>
      </c>
      <c r="G733" s="34" t="s">
        <v>959</v>
      </c>
      <c r="H733" s="35" t="s">
        <v>959</v>
      </c>
      <c r="I733" s="34" t="str">
        <f>IF(OR(H733="-",H733="",H733=0),IF(G733="-","-",G733),G733-H733)</f>
        <v>-</v>
      </c>
      <c r="J733" s="4" t="str">
        <f>IFERROR(IF(G733&gt;0, H733/G733, 0),"-")</f>
        <v>-</v>
      </c>
      <c r="K733" s="34" t="s">
        <v>959</v>
      </c>
      <c r="L733" s="35" t="s">
        <v>959</v>
      </c>
      <c r="M733" s="34" t="str">
        <f>IF(OR(L733="-",L733="",L733=0),IF(K733="-","-",K733),K733-L733)</f>
        <v>-</v>
      </c>
      <c r="N733" s="4" t="str">
        <f>IFERROR(IF(K733&gt;0, L733/K733, 0),"-")</f>
        <v>-</v>
      </c>
      <c r="O733" s="34" t="s">
        <v>959</v>
      </c>
      <c r="P733" s="35" t="s">
        <v>959</v>
      </c>
      <c r="Q733" s="34" t="str">
        <f>IF(OR(P733="-",P733="",P733=0),IF(O733="-","-",O733),O733-P733)</f>
        <v>-</v>
      </c>
      <c r="R733" s="4" t="str">
        <f>IFERROR(IF(O733&gt;0, P733/O733, 0),"-")</f>
        <v>-</v>
      </c>
      <c r="S733" s="34">
        <v>1</v>
      </c>
      <c r="T733" s="34" t="s">
        <v>959</v>
      </c>
      <c r="U733" s="34" t="s">
        <v>959</v>
      </c>
      <c r="V733" s="35" t="s">
        <v>959</v>
      </c>
      <c r="W733" s="35" t="s">
        <v>959</v>
      </c>
    </row>
    <row r="734" spans="1:23" x14ac:dyDescent="0.2">
      <c r="A734" s="30" t="s">
        <v>846</v>
      </c>
      <c r="B734" s="30" t="s">
        <v>1405</v>
      </c>
      <c r="C734" s="34">
        <v>49</v>
      </c>
      <c r="D734" s="35">
        <v>49</v>
      </c>
      <c r="E734" s="34">
        <f>IF(OR(D734="-",D734="",D734=0),IF(C734="-","-",C734),C734-D734)</f>
        <v>0</v>
      </c>
      <c r="F734" s="4">
        <f>IFERROR(IF(C734&gt;0, D734/C734, 0),"-")</f>
        <v>1</v>
      </c>
      <c r="G734" s="34" t="s">
        <v>959</v>
      </c>
      <c r="H734" s="35" t="s">
        <v>959</v>
      </c>
      <c r="I734" s="34" t="str">
        <f>IF(OR(H734="-",H734="",H734=0),IF(G734="-","-",G734),G734-H734)</f>
        <v>-</v>
      </c>
      <c r="J734" s="4" t="str">
        <f>IFERROR(IF(G734&gt;0, H734/G734, 0),"-")</f>
        <v>-</v>
      </c>
      <c r="K734" s="34" t="s">
        <v>959</v>
      </c>
      <c r="L734" s="35" t="s">
        <v>959</v>
      </c>
      <c r="M734" s="34" t="str">
        <f>IF(OR(L734="-",L734="",L734=0),IF(K734="-","-",K734),K734-L734)</f>
        <v>-</v>
      </c>
      <c r="N734" s="4" t="str">
        <f>IFERROR(IF(K734&gt;0, L734/K734, 0),"-")</f>
        <v>-</v>
      </c>
      <c r="O734" s="34">
        <v>1</v>
      </c>
      <c r="P734" s="35" t="s">
        <v>959</v>
      </c>
      <c r="Q734" s="34">
        <f>IF(OR(P734="-",P734="",P734=0),IF(O734="-","-",O734),O734-P734)</f>
        <v>1</v>
      </c>
      <c r="R734" s="4" t="str">
        <f>IFERROR(IF(O734&gt;0, P734/O734, 0),"-")</f>
        <v>-</v>
      </c>
      <c r="S734" s="34" t="s">
        <v>959</v>
      </c>
      <c r="T734" s="34" t="s">
        <v>959</v>
      </c>
      <c r="U734" s="34" t="s">
        <v>959</v>
      </c>
      <c r="V734" s="35" t="s">
        <v>959</v>
      </c>
      <c r="W734" s="35" t="s">
        <v>959</v>
      </c>
    </row>
    <row r="735" spans="1:23" x14ac:dyDescent="0.2">
      <c r="A735" s="30" t="s">
        <v>850</v>
      </c>
      <c r="B735" s="30" t="s">
        <v>1406</v>
      </c>
      <c r="C735" s="34">
        <v>154</v>
      </c>
      <c r="D735" s="35">
        <v>154</v>
      </c>
      <c r="E735" s="34">
        <f>IF(OR(D735="-",D735="",D735=0),IF(C735="-","-",C735),C735-D735)</f>
        <v>0</v>
      </c>
      <c r="F735" s="4">
        <f>IFERROR(IF(C735&gt;0, D735/C735, 0),"-")</f>
        <v>1</v>
      </c>
      <c r="G735" s="34" t="s">
        <v>959</v>
      </c>
      <c r="H735" s="35" t="s">
        <v>959</v>
      </c>
      <c r="I735" s="34" t="str">
        <f>IF(OR(H735="-",H735="",H735=0),IF(G735="-","-",G735),G735-H735)</f>
        <v>-</v>
      </c>
      <c r="J735" s="4" t="str">
        <f>IFERROR(IF(G735&gt;0, H735/G735, 0),"-")</f>
        <v>-</v>
      </c>
      <c r="K735" s="34" t="s">
        <v>959</v>
      </c>
      <c r="L735" s="35" t="s">
        <v>959</v>
      </c>
      <c r="M735" s="34" t="str">
        <f>IF(OR(L735="-",L735="",L735=0),IF(K735="-","-",K735),K735-L735)</f>
        <v>-</v>
      </c>
      <c r="N735" s="4" t="str">
        <f>IFERROR(IF(K735&gt;0, L735/K735, 0),"-")</f>
        <v>-</v>
      </c>
      <c r="O735" s="34" t="s">
        <v>959</v>
      </c>
      <c r="P735" s="35" t="s">
        <v>959</v>
      </c>
      <c r="Q735" s="34" t="str">
        <f>IF(OR(P735="-",P735="",P735=0),IF(O735="-","-",O735),O735-P735)</f>
        <v>-</v>
      </c>
      <c r="R735" s="4" t="str">
        <f>IFERROR(IF(O735&gt;0, P735/O735, 0),"-")</f>
        <v>-</v>
      </c>
      <c r="S735" s="34" t="s">
        <v>959</v>
      </c>
      <c r="T735" s="34" t="s">
        <v>959</v>
      </c>
      <c r="U735" s="34" t="s">
        <v>959</v>
      </c>
      <c r="V735" s="35" t="s">
        <v>959</v>
      </c>
      <c r="W735" s="35" t="s">
        <v>959</v>
      </c>
    </row>
    <row r="736" spans="1:23" x14ac:dyDescent="0.2">
      <c r="A736" s="29"/>
      <c r="B736" s="29" t="s">
        <v>39</v>
      </c>
      <c r="C736" s="32">
        <v>511</v>
      </c>
      <c r="D736" s="32">
        <v>501</v>
      </c>
      <c r="E736" s="32">
        <f>IF(OR(D736="-",D736="",D736=0),IF(C736="-","-",C736),C736-D736)</f>
        <v>10</v>
      </c>
      <c r="F736" s="36">
        <f>IFERROR(IF(C736&gt;0, D736/C736, 0),"-")</f>
        <v>0.98043052837573386</v>
      </c>
      <c r="G736" s="32">
        <v>3</v>
      </c>
      <c r="H736" s="32">
        <v>3</v>
      </c>
      <c r="I736" s="32">
        <f>IF(OR(H736="-",H736="",H736=0),IF(G736="-","-",G736),G736-H736)</f>
        <v>0</v>
      </c>
      <c r="J736" s="36">
        <f>IFERROR(IF(G736&gt;0, H736/G736, 0),"-")</f>
        <v>1</v>
      </c>
      <c r="K736" s="32">
        <v>7</v>
      </c>
      <c r="L736" s="32">
        <v>1</v>
      </c>
      <c r="M736" s="32">
        <f>IF(OR(L736="-",L736="",L736=0),IF(K736="-","-",K736),K736-L736)</f>
        <v>6</v>
      </c>
      <c r="N736" s="36">
        <f>IFERROR(IF(K736&gt;0, L736/K736, 0),"-")</f>
        <v>0.14285714285714285</v>
      </c>
      <c r="O736" s="32">
        <v>2</v>
      </c>
      <c r="P736" s="32">
        <v>1</v>
      </c>
      <c r="Q736" s="32">
        <f>IF(OR(P736="-",P736="",P736=0),IF(O736="-","-",O736),O736-P736)</f>
        <v>1</v>
      </c>
      <c r="R736" s="36">
        <f>IFERROR(IF(O736&gt;0, P736/O736, 0),"-")</f>
        <v>0.5</v>
      </c>
      <c r="S736" s="32">
        <v>3</v>
      </c>
      <c r="T736" s="32" t="s">
        <v>959</v>
      </c>
      <c r="U736" s="32" t="s">
        <v>959</v>
      </c>
      <c r="V736" s="32" t="s">
        <v>959</v>
      </c>
      <c r="W736" s="32" t="s">
        <v>959</v>
      </c>
    </row>
    <row r="737" spans="1:23" x14ac:dyDescent="0.2">
      <c r="A737" s="30" t="s">
        <v>199</v>
      </c>
      <c r="B737" s="30" t="s">
        <v>1407</v>
      </c>
      <c r="C737" s="34">
        <v>62</v>
      </c>
      <c r="D737" s="35">
        <v>61</v>
      </c>
      <c r="E737" s="34">
        <f>IF(OR(D737="-",D737="",D737=0),IF(C737="-","-",C737),C737-D737)</f>
        <v>1</v>
      </c>
      <c r="F737" s="4">
        <f>IFERROR(IF(C737&gt;0, D737/C737, 0),"-")</f>
        <v>0.9838709677419355</v>
      </c>
      <c r="G737" s="34" t="s">
        <v>959</v>
      </c>
      <c r="H737" s="35" t="s">
        <v>959</v>
      </c>
      <c r="I737" s="34" t="str">
        <f>IF(OR(H737="-",H737="",H737=0),IF(G737="-","-",G737),G737-H737)</f>
        <v>-</v>
      </c>
      <c r="J737" s="4" t="str">
        <f>IFERROR(IF(G737&gt;0, H737/G737, 0),"-")</f>
        <v>-</v>
      </c>
      <c r="K737" s="34" t="s">
        <v>959</v>
      </c>
      <c r="L737" s="35" t="s">
        <v>959</v>
      </c>
      <c r="M737" s="34" t="str">
        <f>IF(OR(L737="-",L737="",L737=0),IF(K737="-","-",K737),K737-L737)</f>
        <v>-</v>
      </c>
      <c r="N737" s="4" t="str">
        <f>IFERROR(IF(K737&gt;0, L737/K737, 0),"-")</f>
        <v>-</v>
      </c>
      <c r="O737" s="34" t="s">
        <v>959</v>
      </c>
      <c r="P737" s="35" t="s">
        <v>959</v>
      </c>
      <c r="Q737" s="34" t="str">
        <f>IF(OR(P737="-",P737="",P737=0),IF(O737="-","-",O737),O737-P737)</f>
        <v>-</v>
      </c>
      <c r="R737" s="4" t="str">
        <f>IFERROR(IF(O737&gt;0, P737/O737, 0),"-")</f>
        <v>-</v>
      </c>
      <c r="S737" s="34" t="s">
        <v>959</v>
      </c>
      <c r="T737" s="34" t="s">
        <v>959</v>
      </c>
      <c r="U737" s="34" t="s">
        <v>959</v>
      </c>
      <c r="V737" s="35" t="s">
        <v>959</v>
      </c>
      <c r="W737" s="35" t="s">
        <v>959</v>
      </c>
    </row>
    <row r="738" spans="1:23" x14ac:dyDescent="0.2">
      <c r="A738" s="30" t="s">
        <v>202</v>
      </c>
      <c r="B738" s="30" t="s">
        <v>1408</v>
      </c>
      <c r="C738" s="34">
        <v>90</v>
      </c>
      <c r="D738" s="35">
        <v>89</v>
      </c>
      <c r="E738" s="34">
        <f>IF(OR(D738="-",D738="",D738=0),IF(C738="-","-",C738),C738-D738)</f>
        <v>1</v>
      </c>
      <c r="F738" s="4">
        <f>IFERROR(IF(C738&gt;0, D738/C738, 0),"-")</f>
        <v>0.98888888888888893</v>
      </c>
      <c r="G738" s="34" t="s">
        <v>959</v>
      </c>
      <c r="H738" s="35" t="s">
        <v>959</v>
      </c>
      <c r="I738" s="34" t="str">
        <f>IF(OR(H738="-",H738="",H738=0),IF(G738="-","-",G738),G738-H738)</f>
        <v>-</v>
      </c>
      <c r="J738" s="4" t="str">
        <f>IFERROR(IF(G738&gt;0, H738/G738, 0),"-")</f>
        <v>-</v>
      </c>
      <c r="K738" s="34" t="s">
        <v>959</v>
      </c>
      <c r="L738" s="35" t="s">
        <v>959</v>
      </c>
      <c r="M738" s="34" t="str">
        <f>IF(OR(L738="-",L738="",L738=0),IF(K738="-","-",K738),K738-L738)</f>
        <v>-</v>
      </c>
      <c r="N738" s="4" t="str">
        <f>IFERROR(IF(K738&gt;0, L738/K738, 0),"-")</f>
        <v>-</v>
      </c>
      <c r="O738" s="34" t="s">
        <v>959</v>
      </c>
      <c r="P738" s="35" t="s">
        <v>959</v>
      </c>
      <c r="Q738" s="34" t="str">
        <f>IF(OR(P738="-",P738="",P738=0),IF(O738="-","-",O738),O738-P738)</f>
        <v>-</v>
      </c>
      <c r="R738" s="4" t="str">
        <f>IFERROR(IF(O738&gt;0, P738/O738, 0),"-")</f>
        <v>-</v>
      </c>
      <c r="S738" s="34">
        <v>2</v>
      </c>
      <c r="T738" s="34" t="s">
        <v>959</v>
      </c>
      <c r="U738" s="34" t="s">
        <v>959</v>
      </c>
      <c r="V738" s="35" t="s">
        <v>959</v>
      </c>
      <c r="W738" s="35" t="s">
        <v>959</v>
      </c>
    </row>
    <row r="739" spans="1:23" x14ac:dyDescent="0.2">
      <c r="A739" s="30" t="s">
        <v>201</v>
      </c>
      <c r="B739" s="30" t="s">
        <v>1409</v>
      </c>
      <c r="C739" s="34">
        <v>116</v>
      </c>
      <c r="D739" s="35">
        <v>116</v>
      </c>
      <c r="E739" s="34">
        <f>IF(OR(D739="-",D739="",D739=0),IF(C739="-","-",C739),C739-D739)</f>
        <v>0</v>
      </c>
      <c r="F739" s="4">
        <f>IFERROR(IF(C739&gt;0, D739/C739, 0),"-")</f>
        <v>1</v>
      </c>
      <c r="G739" s="34">
        <v>2</v>
      </c>
      <c r="H739" s="35">
        <v>2</v>
      </c>
      <c r="I739" s="34">
        <f>IF(OR(H739="-",H739="",H739=0),IF(G739="-","-",G739),G739-H739)</f>
        <v>0</v>
      </c>
      <c r="J739" s="4">
        <f>IFERROR(IF(G739&gt;0, H739/G739, 0),"-")</f>
        <v>1</v>
      </c>
      <c r="K739" s="34">
        <v>3</v>
      </c>
      <c r="L739" s="35" t="s">
        <v>959</v>
      </c>
      <c r="M739" s="34">
        <f>IF(OR(L739="-",L739="",L739=0),IF(K739="-","-",K739),K739-L739)</f>
        <v>3</v>
      </c>
      <c r="N739" s="4" t="str">
        <f>IFERROR(IF(K739&gt;0, L739/K739, 0),"-")</f>
        <v>-</v>
      </c>
      <c r="O739" s="34" t="s">
        <v>959</v>
      </c>
      <c r="P739" s="35" t="s">
        <v>959</v>
      </c>
      <c r="Q739" s="34" t="str">
        <f>IF(OR(P739="-",P739="",P739=0),IF(O739="-","-",O739),O739-P739)</f>
        <v>-</v>
      </c>
      <c r="R739" s="4" t="str">
        <f>IFERROR(IF(O739&gt;0, P739/O739, 0),"-")</f>
        <v>-</v>
      </c>
      <c r="S739" s="34" t="s">
        <v>959</v>
      </c>
      <c r="T739" s="34" t="s">
        <v>959</v>
      </c>
      <c r="U739" s="34" t="s">
        <v>959</v>
      </c>
      <c r="V739" s="35" t="s">
        <v>959</v>
      </c>
      <c r="W739" s="35" t="s">
        <v>959</v>
      </c>
    </row>
    <row r="740" spans="1:23" x14ac:dyDescent="0.2">
      <c r="A740" s="30" t="s">
        <v>207</v>
      </c>
      <c r="B740" s="30" t="s">
        <v>1410</v>
      </c>
      <c r="C740" s="34">
        <v>20</v>
      </c>
      <c r="D740" s="35">
        <v>17</v>
      </c>
      <c r="E740" s="34">
        <f>IF(OR(D740="-",D740="",D740=0),IF(C740="-","-",C740),C740-D740)</f>
        <v>3</v>
      </c>
      <c r="F740" s="4">
        <f>IFERROR(IF(C740&gt;0, D740/C740, 0),"-")</f>
        <v>0.85</v>
      </c>
      <c r="G740" s="34" t="s">
        <v>959</v>
      </c>
      <c r="H740" s="35" t="s">
        <v>959</v>
      </c>
      <c r="I740" s="34" t="str">
        <f>IF(OR(H740="-",H740="",H740=0),IF(G740="-","-",G740),G740-H740)</f>
        <v>-</v>
      </c>
      <c r="J740" s="4" t="str">
        <f>IFERROR(IF(G740&gt;0, H740/G740, 0),"-")</f>
        <v>-</v>
      </c>
      <c r="K740" s="34" t="s">
        <v>959</v>
      </c>
      <c r="L740" s="35" t="s">
        <v>959</v>
      </c>
      <c r="M740" s="34" t="str">
        <f>IF(OR(L740="-",L740="",L740=0),IF(K740="-","-",K740),K740-L740)</f>
        <v>-</v>
      </c>
      <c r="N740" s="4" t="str">
        <f>IFERROR(IF(K740&gt;0, L740/K740, 0),"-")</f>
        <v>-</v>
      </c>
      <c r="O740" s="34" t="s">
        <v>959</v>
      </c>
      <c r="P740" s="35" t="s">
        <v>959</v>
      </c>
      <c r="Q740" s="34" t="str">
        <f>IF(OR(P740="-",P740="",P740=0),IF(O740="-","-",O740),O740-P740)</f>
        <v>-</v>
      </c>
      <c r="R740" s="4" t="str">
        <f>IFERROR(IF(O740&gt;0, P740/O740, 0),"-")</f>
        <v>-</v>
      </c>
      <c r="S740" s="34" t="s">
        <v>959</v>
      </c>
      <c r="T740" s="34" t="s">
        <v>959</v>
      </c>
      <c r="U740" s="34" t="s">
        <v>959</v>
      </c>
      <c r="V740" s="35" t="s">
        <v>959</v>
      </c>
      <c r="W740" s="35" t="s">
        <v>959</v>
      </c>
    </row>
    <row r="741" spans="1:23" x14ac:dyDescent="0.2">
      <c r="A741" s="30" t="s">
        <v>206</v>
      </c>
      <c r="B741" s="30" t="s">
        <v>1411</v>
      </c>
      <c r="C741" s="34">
        <v>52</v>
      </c>
      <c r="D741" s="35">
        <v>50</v>
      </c>
      <c r="E741" s="34">
        <f>IF(OR(D741="-",D741="",D741=0),IF(C741="-","-",C741),C741-D741)</f>
        <v>2</v>
      </c>
      <c r="F741" s="4">
        <f>IFERROR(IF(C741&gt;0, D741/C741, 0),"-")</f>
        <v>0.96153846153846156</v>
      </c>
      <c r="G741" s="34" t="s">
        <v>959</v>
      </c>
      <c r="H741" s="35" t="s">
        <v>959</v>
      </c>
      <c r="I741" s="34" t="str">
        <f>IF(OR(H741="-",H741="",H741=0),IF(G741="-","-",G741),G741-H741)</f>
        <v>-</v>
      </c>
      <c r="J741" s="4" t="str">
        <f>IFERROR(IF(G741&gt;0, H741/G741, 0),"-")</f>
        <v>-</v>
      </c>
      <c r="K741" s="34">
        <v>2</v>
      </c>
      <c r="L741" s="35" t="s">
        <v>959</v>
      </c>
      <c r="M741" s="34">
        <f>IF(OR(L741="-",L741="",L741=0),IF(K741="-","-",K741),K741-L741)</f>
        <v>2</v>
      </c>
      <c r="N741" s="4" t="str">
        <f>IFERROR(IF(K741&gt;0, L741/K741, 0),"-")</f>
        <v>-</v>
      </c>
      <c r="O741" s="34" t="s">
        <v>959</v>
      </c>
      <c r="P741" s="35" t="s">
        <v>959</v>
      </c>
      <c r="Q741" s="34" t="str">
        <f>IF(OR(P741="-",P741="",P741=0),IF(O741="-","-",O741),O741-P741)</f>
        <v>-</v>
      </c>
      <c r="R741" s="4" t="str">
        <f>IFERROR(IF(O741&gt;0, P741/O741, 0),"-")</f>
        <v>-</v>
      </c>
      <c r="S741" s="34">
        <v>1</v>
      </c>
      <c r="T741" s="34" t="s">
        <v>959</v>
      </c>
      <c r="U741" s="34" t="s">
        <v>959</v>
      </c>
      <c r="V741" s="35" t="s">
        <v>959</v>
      </c>
      <c r="W741" s="35" t="s">
        <v>959</v>
      </c>
    </row>
    <row r="742" spans="1:23" x14ac:dyDescent="0.2">
      <c r="A742" s="30" t="s">
        <v>200</v>
      </c>
      <c r="B742" s="30" t="s">
        <v>1412</v>
      </c>
      <c r="C742" s="34">
        <v>69</v>
      </c>
      <c r="D742" s="35">
        <v>67</v>
      </c>
      <c r="E742" s="34">
        <f>IF(OR(D742="-",D742="",D742=0),IF(C742="-","-",C742),C742-D742)</f>
        <v>2</v>
      </c>
      <c r="F742" s="4">
        <f>IFERROR(IF(C742&gt;0, D742/C742, 0),"-")</f>
        <v>0.97101449275362317</v>
      </c>
      <c r="G742" s="34" t="s">
        <v>959</v>
      </c>
      <c r="H742" s="35" t="s">
        <v>959</v>
      </c>
      <c r="I742" s="34" t="str">
        <f>IF(OR(H742="-",H742="",H742=0),IF(G742="-","-",G742),G742-H742)</f>
        <v>-</v>
      </c>
      <c r="J742" s="4" t="str">
        <f>IFERROR(IF(G742&gt;0, H742/G742, 0),"-")</f>
        <v>-</v>
      </c>
      <c r="K742" s="34" t="s">
        <v>959</v>
      </c>
      <c r="L742" s="35" t="s">
        <v>959</v>
      </c>
      <c r="M742" s="34" t="str">
        <f>IF(OR(L742="-",L742="",L742=0),IF(K742="-","-",K742),K742-L742)</f>
        <v>-</v>
      </c>
      <c r="N742" s="4" t="str">
        <f>IFERROR(IF(K742&gt;0, L742/K742, 0),"-")</f>
        <v>-</v>
      </c>
      <c r="O742" s="34" t="s">
        <v>959</v>
      </c>
      <c r="P742" s="35" t="s">
        <v>959</v>
      </c>
      <c r="Q742" s="34" t="str">
        <f>IF(OR(P742="-",P742="",P742=0),IF(O742="-","-",O742),O742-P742)</f>
        <v>-</v>
      </c>
      <c r="R742" s="4" t="str">
        <f>IFERROR(IF(O742&gt;0, P742/O742, 0),"-")</f>
        <v>-</v>
      </c>
      <c r="S742" s="34" t="s">
        <v>959</v>
      </c>
      <c r="T742" s="34" t="s">
        <v>959</v>
      </c>
      <c r="U742" s="34" t="s">
        <v>959</v>
      </c>
      <c r="V742" s="35" t="s">
        <v>959</v>
      </c>
      <c r="W742" s="35" t="s">
        <v>959</v>
      </c>
    </row>
    <row r="743" spans="1:23" x14ac:dyDescent="0.2">
      <c r="A743" s="30" t="s">
        <v>203</v>
      </c>
      <c r="B743" s="30" t="s">
        <v>1413</v>
      </c>
      <c r="C743" s="34">
        <v>20</v>
      </c>
      <c r="D743" s="35">
        <v>19</v>
      </c>
      <c r="E743" s="34">
        <f>IF(OR(D743="-",D743="",D743=0),IF(C743="-","-",C743),C743-D743)</f>
        <v>1</v>
      </c>
      <c r="F743" s="4">
        <f>IFERROR(IF(C743&gt;0, D743/C743, 0),"-")</f>
        <v>0.95</v>
      </c>
      <c r="G743" s="34" t="s">
        <v>959</v>
      </c>
      <c r="H743" s="35" t="s">
        <v>959</v>
      </c>
      <c r="I743" s="34" t="str">
        <f>IF(OR(H743="-",H743="",H743=0),IF(G743="-","-",G743),G743-H743)</f>
        <v>-</v>
      </c>
      <c r="J743" s="4" t="str">
        <f>IFERROR(IF(G743&gt;0, H743/G743, 0),"-")</f>
        <v>-</v>
      </c>
      <c r="K743" s="34">
        <v>1</v>
      </c>
      <c r="L743" s="35">
        <v>1</v>
      </c>
      <c r="M743" s="34">
        <f>IF(OR(L743="-",L743="",L743=0),IF(K743="-","-",K743),K743-L743)</f>
        <v>0</v>
      </c>
      <c r="N743" s="4">
        <f>IFERROR(IF(K743&gt;0, L743/K743, 0),"-")</f>
        <v>1</v>
      </c>
      <c r="O743" s="34" t="s">
        <v>959</v>
      </c>
      <c r="P743" s="35" t="s">
        <v>959</v>
      </c>
      <c r="Q743" s="34" t="str">
        <f>IF(OR(P743="-",P743="",P743=0),IF(O743="-","-",O743),O743-P743)</f>
        <v>-</v>
      </c>
      <c r="R743" s="4" t="str">
        <f>IFERROR(IF(O743&gt;0, P743/O743, 0),"-")</f>
        <v>-</v>
      </c>
      <c r="S743" s="34" t="s">
        <v>959</v>
      </c>
      <c r="T743" s="34" t="s">
        <v>959</v>
      </c>
      <c r="U743" s="34" t="s">
        <v>959</v>
      </c>
      <c r="V743" s="35" t="s">
        <v>959</v>
      </c>
      <c r="W743" s="35" t="s">
        <v>959</v>
      </c>
    </row>
    <row r="744" spans="1:23" x14ac:dyDescent="0.2">
      <c r="A744" s="30" t="s">
        <v>204</v>
      </c>
      <c r="B744" s="30" t="s">
        <v>1414</v>
      </c>
      <c r="C744" s="34">
        <v>82</v>
      </c>
      <c r="D744" s="35">
        <v>82</v>
      </c>
      <c r="E744" s="34">
        <f>IF(OR(D744="-",D744="",D744=0),IF(C744="-","-",C744),C744-D744)</f>
        <v>0</v>
      </c>
      <c r="F744" s="4">
        <f>IFERROR(IF(C744&gt;0, D744/C744, 0),"-")</f>
        <v>1</v>
      </c>
      <c r="G744" s="34">
        <v>1</v>
      </c>
      <c r="H744" s="35">
        <v>1</v>
      </c>
      <c r="I744" s="34">
        <f>IF(OR(H744="-",H744="",H744=0),IF(G744="-","-",G744),G744-H744)</f>
        <v>0</v>
      </c>
      <c r="J744" s="4">
        <f>IFERROR(IF(G744&gt;0, H744/G744, 0),"-")</f>
        <v>1</v>
      </c>
      <c r="K744" s="34">
        <v>1</v>
      </c>
      <c r="L744" s="35" t="s">
        <v>959</v>
      </c>
      <c r="M744" s="34">
        <f>IF(OR(L744="-",L744="",L744=0),IF(K744="-","-",K744),K744-L744)</f>
        <v>1</v>
      </c>
      <c r="N744" s="4" t="str">
        <f>IFERROR(IF(K744&gt;0, L744/K744, 0),"-")</f>
        <v>-</v>
      </c>
      <c r="O744" s="34">
        <v>2</v>
      </c>
      <c r="P744" s="35">
        <v>1</v>
      </c>
      <c r="Q744" s="34">
        <f>IF(OR(P744="-",P744="",P744=0),IF(O744="-","-",O744),O744-P744)</f>
        <v>1</v>
      </c>
      <c r="R744" s="4">
        <f>IFERROR(IF(O744&gt;0, P744/O744, 0),"-")</f>
        <v>0.5</v>
      </c>
      <c r="S744" s="34" t="s">
        <v>959</v>
      </c>
      <c r="T744" s="34" t="s">
        <v>959</v>
      </c>
      <c r="U744" s="34" t="s">
        <v>959</v>
      </c>
      <c r="V744" s="35" t="s">
        <v>959</v>
      </c>
      <c r="W744" s="35" t="s">
        <v>959</v>
      </c>
    </row>
    <row r="745" spans="1:23" x14ac:dyDescent="0.2">
      <c r="A745" s="29"/>
      <c r="B745" s="29" t="s">
        <v>25</v>
      </c>
      <c r="C745" s="32">
        <v>419</v>
      </c>
      <c r="D745" s="32">
        <v>417</v>
      </c>
      <c r="E745" s="32">
        <f>IF(OR(D745="-",D745="",D745=0),IF(C745="-","-",C745),C745-D745)</f>
        <v>2</v>
      </c>
      <c r="F745" s="36">
        <f>IFERROR(IF(C745&gt;0, D745/C745, 0),"-")</f>
        <v>0.99522673031026254</v>
      </c>
      <c r="G745" s="32" t="s">
        <v>959</v>
      </c>
      <c r="H745" s="32" t="s">
        <v>959</v>
      </c>
      <c r="I745" s="32" t="str">
        <f>IF(OR(H745="-",H745="",H745=0),IF(G745="-","-",G745),G745-H745)</f>
        <v>-</v>
      </c>
      <c r="J745" s="36" t="str">
        <f>IFERROR(IF(G745&gt;0, H745/G745, 0),"-")</f>
        <v>-</v>
      </c>
      <c r="K745" s="32">
        <v>1</v>
      </c>
      <c r="L745" s="32">
        <v>1</v>
      </c>
      <c r="M745" s="32">
        <f>IF(OR(L745="-",L745="",L745=0),IF(K745="-","-",K745),K745-L745)</f>
        <v>0</v>
      </c>
      <c r="N745" s="36">
        <f>IFERROR(IF(K745&gt;0, L745/K745, 0),"-")</f>
        <v>1</v>
      </c>
      <c r="O745" s="32" t="s">
        <v>959</v>
      </c>
      <c r="P745" s="32" t="s">
        <v>959</v>
      </c>
      <c r="Q745" s="32" t="str">
        <f>IF(OR(P745="-",P745="",P745=0),IF(O745="-","-",O745),O745-P745)</f>
        <v>-</v>
      </c>
      <c r="R745" s="36" t="str">
        <f>IFERROR(IF(O745&gt;0, P745/O745, 0),"-")</f>
        <v>-</v>
      </c>
      <c r="S745" s="32">
        <v>1</v>
      </c>
      <c r="T745" s="32" t="s">
        <v>959</v>
      </c>
      <c r="U745" s="32" t="s">
        <v>959</v>
      </c>
      <c r="V745" s="32" t="s">
        <v>959</v>
      </c>
      <c r="W745" s="32" t="s">
        <v>959</v>
      </c>
    </row>
    <row r="746" spans="1:23" x14ac:dyDescent="0.2">
      <c r="A746" s="30" t="s">
        <v>769</v>
      </c>
      <c r="B746" s="30" t="s">
        <v>1415</v>
      </c>
      <c r="C746" s="34">
        <v>234</v>
      </c>
      <c r="D746" s="35">
        <v>233</v>
      </c>
      <c r="E746" s="34">
        <f>IF(OR(D746="-",D746="",D746=0),IF(C746="-","-",C746),C746-D746)</f>
        <v>1</v>
      </c>
      <c r="F746" s="4">
        <f>IFERROR(IF(C746&gt;0, D746/C746, 0),"-")</f>
        <v>0.99572649572649574</v>
      </c>
      <c r="G746" s="34" t="s">
        <v>959</v>
      </c>
      <c r="H746" s="35" t="s">
        <v>959</v>
      </c>
      <c r="I746" s="34" t="str">
        <f>IF(OR(H746="-",H746="",H746=0),IF(G746="-","-",G746),G746-H746)</f>
        <v>-</v>
      </c>
      <c r="J746" s="4" t="str">
        <f>IFERROR(IF(G746&gt;0, H746/G746, 0),"-")</f>
        <v>-</v>
      </c>
      <c r="K746" s="34" t="s">
        <v>959</v>
      </c>
      <c r="L746" s="35" t="s">
        <v>959</v>
      </c>
      <c r="M746" s="34" t="str">
        <f>IF(OR(L746="-",L746="",L746=0),IF(K746="-","-",K746),K746-L746)</f>
        <v>-</v>
      </c>
      <c r="N746" s="4" t="str">
        <f>IFERROR(IF(K746&gt;0, L746/K746, 0),"-")</f>
        <v>-</v>
      </c>
      <c r="O746" s="34" t="s">
        <v>959</v>
      </c>
      <c r="P746" s="35" t="s">
        <v>959</v>
      </c>
      <c r="Q746" s="34" t="str">
        <f>IF(OR(P746="-",P746="",P746=0),IF(O746="-","-",O746),O746-P746)</f>
        <v>-</v>
      </c>
      <c r="R746" s="4" t="str">
        <f>IFERROR(IF(O746&gt;0, P746/O746, 0),"-")</f>
        <v>-</v>
      </c>
      <c r="S746" s="34">
        <v>1</v>
      </c>
      <c r="T746" s="34" t="s">
        <v>959</v>
      </c>
      <c r="U746" s="34" t="s">
        <v>959</v>
      </c>
      <c r="V746" s="35" t="s">
        <v>959</v>
      </c>
      <c r="W746" s="35" t="s">
        <v>959</v>
      </c>
    </row>
    <row r="747" spans="1:23" x14ac:dyDescent="0.2">
      <c r="A747" s="30" t="s">
        <v>770</v>
      </c>
      <c r="B747" s="30" t="s">
        <v>1416</v>
      </c>
      <c r="C747" s="34">
        <v>121</v>
      </c>
      <c r="D747" s="35">
        <v>120</v>
      </c>
      <c r="E747" s="34">
        <f>IF(OR(D747="-",D747="",D747=0),IF(C747="-","-",C747),C747-D747)</f>
        <v>1</v>
      </c>
      <c r="F747" s="4">
        <f>IFERROR(IF(C747&gt;0, D747/C747, 0),"-")</f>
        <v>0.99173553719008267</v>
      </c>
      <c r="G747" s="34" t="s">
        <v>959</v>
      </c>
      <c r="H747" s="35" t="s">
        <v>959</v>
      </c>
      <c r="I747" s="34" t="str">
        <f>IF(OR(H747="-",H747="",H747=0),IF(G747="-","-",G747),G747-H747)</f>
        <v>-</v>
      </c>
      <c r="J747" s="4" t="str">
        <f>IFERROR(IF(G747&gt;0, H747/G747, 0),"-")</f>
        <v>-</v>
      </c>
      <c r="K747" s="34">
        <v>1</v>
      </c>
      <c r="L747" s="35">
        <v>1</v>
      </c>
      <c r="M747" s="34">
        <f>IF(OR(L747="-",L747="",L747=0),IF(K747="-","-",K747),K747-L747)</f>
        <v>0</v>
      </c>
      <c r="N747" s="4">
        <f>IFERROR(IF(K747&gt;0, L747/K747, 0),"-")</f>
        <v>1</v>
      </c>
      <c r="O747" s="34" t="s">
        <v>959</v>
      </c>
      <c r="P747" s="35" t="s">
        <v>959</v>
      </c>
      <c r="Q747" s="34" t="str">
        <f>IF(OR(P747="-",P747="",P747=0),IF(O747="-","-",O747),O747-P747)</f>
        <v>-</v>
      </c>
      <c r="R747" s="4" t="str">
        <f>IFERROR(IF(O747&gt;0, P747/O747, 0),"-")</f>
        <v>-</v>
      </c>
      <c r="S747" s="34" t="s">
        <v>959</v>
      </c>
      <c r="T747" s="34" t="s">
        <v>959</v>
      </c>
      <c r="U747" s="34" t="s">
        <v>959</v>
      </c>
      <c r="V747" s="35" t="s">
        <v>959</v>
      </c>
      <c r="W747" s="35" t="s">
        <v>959</v>
      </c>
    </row>
    <row r="748" spans="1:23" x14ac:dyDescent="0.2">
      <c r="A748" s="30" t="s">
        <v>794</v>
      </c>
      <c r="B748" s="30" t="s">
        <v>1417</v>
      </c>
      <c r="C748" s="34">
        <v>36</v>
      </c>
      <c r="D748" s="35">
        <v>36</v>
      </c>
      <c r="E748" s="34">
        <f>IF(OR(D748="-",D748="",D748=0),IF(C748="-","-",C748),C748-D748)</f>
        <v>0</v>
      </c>
      <c r="F748" s="4">
        <f>IFERROR(IF(C748&gt;0, D748/C748, 0),"-")</f>
        <v>1</v>
      </c>
      <c r="G748" s="34" t="s">
        <v>959</v>
      </c>
      <c r="H748" s="35" t="s">
        <v>959</v>
      </c>
      <c r="I748" s="34" t="str">
        <f>IF(OR(H748="-",H748="",H748=0),IF(G748="-","-",G748),G748-H748)</f>
        <v>-</v>
      </c>
      <c r="J748" s="4" t="str">
        <f>IFERROR(IF(G748&gt;0, H748/G748, 0),"-")</f>
        <v>-</v>
      </c>
      <c r="K748" s="34" t="s">
        <v>959</v>
      </c>
      <c r="L748" s="35" t="s">
        <v>959</v>
      </c>
      <c r="M748" s="34" t="str">
        <f>IF(OR(L748="-",L748="",L748=0),IF(K748="-","-",K748),K748-L748)</f>
        <v>-</v>
      </c>
      <c r="N748" s="4" t="str">
        <f>IFERROR(IF(K748&gt;0, L748/K748, 0),"-")</f>
        <v>-</v>
      </c>
      <c r="O748" s="34" t="s">
        <v>959</v>
      </c>
      <c r="P748" s="35" t="s">
        <v>959</v>
      </c>
      <c r="Q748" s="34" t="str">
        <f>IF(OR(P748="-",P748="",P748=0),IF(O748="-","-",O748),O748-P748)</f>
        <v>-</v>
      </c>
      <c r="R748" s="4" t="str">
        <f>IFERROR(IF(O748&gt;0, P748/O748, 0),"-")</f>
        <v>-</v>
      </c>
      <c r="S748" s="34" t="s">
        <v>959</v>
      </c>
      <c r="T748" s="34" t="s">
        <v>959</v>
      </c>
      <c r="U748" s="34" t="s">
        <v>959</v>
      </c>
      <c r="V748" s="35" t="s">
        <v>959</v>
      </c>
      <c r="W748" s="35" t="s">
        <v>959</v>
      </c>
    </row>
    <row r="749" spans="1:23" x14ac:dyDescent="0.2">
      <c r="A749" s="30" t="s">
        <v>795</v>
      </c>
      <c r="B749" s="30" t="s">
        <v>1418</v>
      </c>
      <c r="C749" s="34">
        <v>28</v>
      </c>
      <c r="D749" s="35">
        <v>28</v>
      </c>
      <c r="E749" s="34">
        <f>IF(OR(D749="-",D749="",D749=0),IF(C749="-","-",C749),C749-D749)</f>
        <v>0</v>
      </c>
      <c r="F749" s="4">
        <f>IFERROR(IF(C749&gt;0, D749/C749, 0),"-")</f>
        <v>1</v>
      </c>
      <c r="G749" s="34" t="s">
        <v>959</v>
      </c>
      <c r="H749" s="35" t="s">
        <v>959</v>
      </c>
      <c r="I749" s="34" t="str">
        <f>IF(OR(H749="-",H749="",H749=0),IF(G749="-","-",G749),G749-H749)</f>
        <v>-</v>
      </c>
      <c r="J749" s="4" t="str">
        <f>IFERROR(IF(G749&gt;0, H749/G749, 0),"-")</f>
        <v>-</v>
      </c>
      <c r="K749" s="34" t="s">
        <v>959</v>
      </c>
      <c r="L749" s="35" t="s">
        <v>959</v>
      </c>
      <c r="M749" s="34" t="str">
        <f>IF(OR(L749="-",L749="",L749=0),IF(K749="-","-",K749),K749-L749)</f>
        <v>-</v>
      </c>
      <c r="N749" s="4" t="str">
        <f>IFERROR(IF(K749&gt;0, L749/K749, 0),"-")</f>
        <v>-</v>
      </c>
      <c r="O749" s="34" t="s">
        <v>959</v>
      </c>
      <c r="P749" s="35" t="s">
        <v>959</v>
      </c>
      <c r="Q749" s="34" t="str">
        <f>IF(OR(P749="-",P749="",P749=0),IF(O749="-","-",O749),O749-P749)</f>
        <v>-</v>
      </c>
      <c r="R749" s="4" t="str">
        <f>IFERROR(IF(O749&gt;0, P749/O749, 0),"-")</f>
        <v>-</v>
      </c>
      <c r="S749" s="34" t="s">
        <v>959</v>
      </c>
      <c r="T749" s="34" t="s">
        <v>959</v>
      </c>
      <c r="U749" s="34" t="s">
        <v>959</v>
      </c>
      <c r="V749" s="35" t="s">
        <v>959</v>
      </c>
      <c r="W749" s="35" t="s">
        <v>959</v>
      </c>
    </row>
    <row r="750" spans="1:23" x14ac:dyDescent="0.2">
      <c r="A750" s="29"/>
      <c r="B750" s="29" t="s">
        <v>115</v>
      </c>
      <c r="C750" s="32">
        <v>483</v>
      </c>
      <c r="D750" s="32">
        <v>481</v>
      </c>
      <c r="E750" s="32">
        <f>IF(OR(D750="-",D750="",D750=0),IF(C750="-","-",C750),C750-D750)</f>
        <v>2</v>
      </c>
      <c r="F750" s="36">
        <f>IFERROR(IF(C750&gt;0, D750/C750, 0),"-")</f>
        <v>0.99585921325051763</v>
      </c>
      <c r="G750" s="32" t="s">
        <v>959</v>
      </c>
      <c r="H750" s="32" t="s">
        <v>959</v>
      </c>
      <c r="I750" s="32" t="str">
        <f>IF(OR(H750="-",H750="",H750=0),IF(G750="-","-",G750),G750-H750)</f>
        <v>-</v>
      </c>
      <c r="J750" s="36" t="str">
        <f>IFERROR(IF(G750&gt;0, H750/G750, 0),"-")</f>
        <v>-</v>
      </c>
      <c r="K750" s="32" t="s">
        <v>959</v>
      </c>
      <c r="L750" s="32" t="s">
        <v>959</v>
      </c>
      <c r="M750" s="32" t="str">
        <f>IF(OR(L750="-",L750="",L750=0),IF(K750="-","-",K750),K750-L750)</f>
        <v>-</v>
      </c>
      <c r="N750" s="36" t="str">
        <f>IFERROR(IF(K750&gt;0, L750/K750, 0),"-")</f>
        <v>-</v>
      </c>
      <c r="O750" s="32" t="s">
        <v>959</v>
      </c>
      <c r="P750" s="32" t="s">
        <v>959</v>
      </c>
      <c r="Q750" s="32" t="str">
        <f>IF(OR(P750="-",P750="",P750=0),IF(O750="-","-",O750),O750-P750)</f>
        <v>-</v>
      </c>
      <c r="R750" s="36" t="str">
        <f>IFERROR(IF(O750&gt;0, P750/O750, 0),"-")</f>
        <v>-</v>
      </c>
      <c r="S750" s="32" t="s">
        <v>959</v>
      </c>
      <c r="T750" s="32" t="s">
        <v>959</v>
      </c>
      <c r="U750" s="32" t="s">
        <v>959</v>
      </c>
      <c r="V750" s="32" t="s">
        <v>959</v>
      </c>
      <c r="W750" s="32" t="s">
        <v>959</v>
      </c>
    </row>
    <row r="751" spans="1:23" x14ac:dyDescent="0.2">
      <c r="A751" s="30" t="s">
        <v>828</v>
      </c>
      <c r="B751" s="30" t="s">
        <v>1419</v>
      </c>
      <c r="C751" s="34">
        <v>101</v>
      </c>
      <c r="D751" s="35">
        <v>101</v>
      </c>
      <c r="E751" s="34">
        <f>IF(OR(D751="-",D751="",D751=0),IF(C751="-","-",C751),C751-D751)</f>
        <v>0</v>
      </c>
      <c r="F751" s="4">
        <f>IFERROR(IF(C751&gt;0, D751/C751, 0),"-")</f>
        <v>1</v>
      </c>
      <c r="G751" s="34" t="s">
        <v>959</v>
      </c>
      <c r="H751" s="35" t="s">
        <v>959</v>
      </c>
      <c r="I751" s="34" t="str">
        <f>IF(OR(H751="-",H751="",H751=0),IF(G751="-","-",G751),G751-H751)</f>
        <v>-</v>
      </c>
      <c r="J751" s="4" t="str">
        <f>IFERROR(IF(G751&gt;0, H751/G751, 0),"-")</f>
        <v>-</v>
      </c>
      <c r="K751" s="34" t="s">
        <v>959</v>
      </c>
      <c r="L751" s="35" t="s">
        <v>959</v>
      </c>
      <c r="M751" s="34" t="str">
        <f>IF(OR(L751="-",L751="",L751=0),IF(K751="-","-",K751),K751-L751)</f>
        <v>-</v>
      </c>
      <c r="N751" s="4" t="str">
        <f>IFERROR(IF(K751&gt;0, L751/K751, 0),"-")</f>
        <v>-</v>
      </c>
      <c r="O751" s="34" t="s">
        <v>959</v>
      </c>
      <c r="P751" s="35" t="s">
        <v>959</v>
      </c>
      <c r="Q751" s="34" t="str">
        <f>IF(OR(P751="-",P751="",P751=0),IF(O751="-","-",O751),O751-P751)</f>
        <v>-</v>
      </c>
      <c r="R751" s="4" t="str">
        <f>IFERROR(IF(O751&gt;0, P751/O751, 0),"-")</f>
        <v>-</v>
      </c>
      <c r="S751" s="34" t="s">
        <v>959</v>
      </c>
      <c r="T751" s="34" t="s">
        <v>959</v>
      </c>
      <c r="U751" s="34" t="s">
        <v>959</v>
      </c>
      <c r="V751" s="35" t="s">
        <v>959</v>
      </c>
      <c r="W751" s="35" t="s">
        <v>959</v>
      </c>
    </row>
    <row r="752" spans="1:23" x14ac:dyDescent="0.2">
      <c r="A752" s="30" t="s">
        <v>827</v>
      </c>
      <c r="B752" s="30" t="s">
        <v>1420</v>
      </c>
      <c r="C752" s="34">
        <v>172</v>
      </c>
      <c r="D752" s="35">
        <v>172</v>
      </c>
      <c r="E752" s="34">
        <f>IF(OR(D752="-",D752="",D752=0),IF(C752="-","-",C752),C752-D752)</f>
        <v>0</v>
      </c>
      <c r="F752" s="4">
        <f>IFERROR(IF(C752&gt;0, D752/C752, 0),"-")</f>
        <v>1</v>
      </c>
      <c r="G752" s="34" t="s">
        <v>959</v>
      </c>
      <c r="H752" s="35" t="s">
        <v>959</v>
      </c>
      <c r="I752" s="34" t="str">
        <f>IF(OR(H752="-",H752="",H752=0),IF(G752="-","-",G752),G752-H752)</f>
        <v>-</v>
      </c>
      <c r="J752" s="4" t="str">
        <f>IFERROR(IF(G752&gt;0, H752/G752, 0),"-")</f>
        <v>-</v>
      </c>
      <c r="K752" s="34" t="s">
        <v>959</v>
      </c>
      <c r="L752" s="35" t="s">
        <v>959</v>
      </c>
      <c r="M752" s="34" t="str">
        <f>IF(OR(L752="-",L752="",L752=0),IF(K752="-","-",K752),K752-L752)</f>
        <v>-</v>
      </c>
      <c r="N752" s="4" t="str">
        <f>IFERROR(IF(K752&gt;0, L752/K752, 0),"-")</f>
        <v>-</v>
      </c>
      <c r="O752" s="34" t="s">
        <v>959</v>
      </c>
      <c r="P752" s="35" t="s">
        <v>959</v>
      </c>
      <c r="Q752" s="34" t="str">
        <f>IF(OR(P752="-",P752="",P752=0),IF(O752="-","-",O752),O752-P752)</f>
        <v>-</v>
      </c>
      <c r="R752" s="4" t="str">
        <f>IFERROR(IF(O752&gt;0, P752/O752, 0),"-")</f>
        <v>-</v>
      </c>
      <c r="S752" s="34" t="s">
        <v>959</v>
      </c>
      <c r="T752" s="34" t="s">
        <v>959</v>
      </c>
      <c r="U752" s="34" t="s">
        <v>959</v>
      </c>
      <c r="V752" s="35" t="s">
        <v>959</v>
      </c>
      <c r="W752" s="35" t="s">
        <v>959</v>
      </c>
    </row>
    <row r="753" spans="1:23" x14ac:dyDescent="0.2">
      <c r="A753" s="30" t="s">
        <v>825</v>
      </c>
      <c r="B753" s="30" t="s">
        <v>1421</v>
      </c>
      <c r="C753" s="34">
        <v>78</v>
      </c>
      <c r="D753" s="35">
        <v>78</v>
      </c>
      <c r="E753" s="34">
        <f>IF(OR(D753="-",D753="",D753=0),IF(C753="-","-",C753),C753-D753)</f>
        <v>0</v>
      </c>
      <c r="F753" s="4">
        <f>IFERROR(IF(C753&gt;0, D753/C753, 0),"-")</f>
        <v>1</v>
      </c>
      <c r="G753" s="34" t="s">
        <v>959</v>
      </c>
      <c r="H753" s="35" t="s">
        <v>959</v>
      </c>
      <c r="I753" s="34" t="str">
        <f>IF(OR(H753="-",H753="",H753=0),IF(G753="-","-",G753),G753-H753)</f>
        <v>-</v>
      </c>
      <c r="J753" s="4" t="str">
        <f>IFERROR(IF(G753&gt;0, H753/G753, 0),"-")</f>
        <v>-</v>
      </c>
      <c r="K753" s="34" t="s">
        <v>959</v>
      </c>
      <c r="L753" s="35" t="s">
        <v>959</v>
      </c>
      <c r="M753" s="34" t="str">
        <f>IF(OR(L753="-",L753="",L753=0),IF(K753="-","-",K753),K753-L753)</f>
        <v>-</v>
      </c>
      <c r="N753" s="4" t="str">
        <f>IFERROR(IF(K753&gt;0, L753/K753, 0),"-")</f>
        <v>-</v>
      </c>
      <c r="O753" s="34" t="s">
        <v>959</v>
      </c>
      <c r="P753" s="35" t="s">
        <v>959</v>
      </c>
      <c r="Q753" s="34" t="str">
        <f>IF(OR(P753="-",P753="",P753=0),IF(O753="-","-",O753),O753-P753)</f>
        <v>-</v>
      </c>
      <c r="R753" s="4" t="str">
        <f>IFERROR(IF(O753&gt;0, P753/O753, 0),"-")</f>
        <v>-</v>
      </c>
      <c r="S753" s="34" t="s">
        <v>959</v>
      </c>
      <c r="T753" s="34" t="s">
        <v>959</v>
      </c>
      <c r="U753" s="34" t="s">
        <v>959</v>
      </c>
      <c r="V753" s="35" t="s">
        <v>959</v>
      </c>
      <c r="W753" s="35" t="s">
        <v>959</v>
      </c>
    </row>
    <row r="754" spans="1:23" x14ac:dyDescent="0.2">
      <c r="A754" s="30" t="s">
        <v>824</v>
      </c>
      <c r="B754" s="30" t="s">
        <v>1422</v>
      </c>
      <c r="C754" s="34">
        <v>104</v>
      </c>
      <c r="D754" s="35">
        <v>104</v>
      </c>
      <c r="E754" s="34">
        <f>IF(OR(D754="-",D754="",D754=0),IF(C754="-","-",C754),C754-D754)</f>
        <v>0</v>
      </c>
      <c r="F754" s="4">
        <f>IFERROR(IF(C754&gt;0, D754/C754, 0),"-")</f>
        <v>1</v>
      </c>
      <c r="G754" s="34" t="s">
        <v>959</v>
      </c>
      <c r="H754" s="35" t="s">
        <v>959</v>
      </c>
      <c r="I754" s="34" t="str">
        <f>IF(OR(H754="-",H754="",H754=0),IF(G754="-","-",G754),G754-H754)</f>
        <v>-</v>
      </c>
      <c r="J754" s="4" t="str">
        <f>IFERROR(IF(G754&gt;0, H754/G754, 0),"-")</f>
        <v>-</v>
      </c>
      <c r="K754" s="34" t="s">
        <v>959</v>
      </c>
      <c r="L754" s="35" t="s">
        <v>959</v>
      </c>
      <c r="M754" s="34" t="str">
        <f>IF(OR(L754="-",L754="",L754=0),IF(K754="-","-",K754),K754-L754)</f>
        <v>-</v>
      </c>
      <c r="N754" s="4" t="str">
        <f>IFERROR(IF(K754&gt;0, L754/K754, 0),"-")</f>
        <v>-</v>
      </c>
      <c r="O754" s="34" t="s">
        <v>959</v>
      </c>
      <c r="P754" s="35" t="s">
        <v>959</v>
      </c>
      <c r="Q754" s="34" t="str">
        <f>IF(OR(P754="-",P754="",P754=0),IF(O754="-","-",O754),O754-P754)</f>
        <v>-</v>
      </c>
      <c r="R754" s="4" t="str">
        <f>IFERROR(IF(O754&gt;0, P754/O754, 0),"-")</f>
        <v>-</v>
      </c>
      <c r="S754" s="34" t="s">
        <v>959</v>
      </c>
      <c r="T754" s="34" t="s">
        <v>959</v>
      </c>
      <c r="U754" s="34" t="s">
        <v>959</v>
      </c>
      <c r="V754" s="35" t="s">
        <v>959</v>
      </c>
      <c r="W754" s="35" t="s">
        <v>959</v>
      </c>
    </row>
    <row r="755" spans="1:23" x14ac:dyDescent="0.2">
      <c r="A755" s="30" t="s">
        <v>826</v>
      </c>
      <c r="B755" s="30" t="s">
        <v>1423</v>
      </c>
      <c r="C755" s="34">
        <v>28</v>
      </c>
      <c r="D755" s="35">
        <v>26</v>
      </c>
      <c r="E755" s="34">
        <f>IF(OR(D755="-",D755="",D755=0),IF(C755="-","-",C755),C755-D755)</f>
        <v>2</v>
      </c>
      <c r="F755" s="4">
        <f>IFERROR(IF(C755&gt;0, D755/C755, 0),"-")</f>
        <v>0.9285714285714286</v>
      </c>
      <c r="G755" s="34" t="s">
        <v>959</v>
      </c>
      <c r="H755" s="35" t="s">
        <v>959</v>
      </c>
      <c r="I755" s="34" t="str">
        <f>IF(OR(H755="-",H755="",H755=0),IF(G755="-","-",G755),G755-H755)</f>
        <v>-</v>
      </c>
      <c r="J755" s="4" t="str">
        <f>IFERROR(IF(G755&gt;0, H755/G755, 0),"-")</f>
        <v>-</v>
      </c>
      <c r="K755" s="34" t="s">
        <v>959</v>
      </c>
      <c r="L755" s="35" t="s">
        <v>959</v>
      </c>
      <c r="M755" s="34" t="str">
        <f>IF(OR(L755="-",L755="",L755=0),IF(K755="-","-",K755),K755-L755)</f>
        <v>-</v>
      </c>
      <c r="N755" s="4" t="str">
        <f>IFERROR(IF(K755&gt;0, L755/K755, 0),"-")</f>
        <v>-</v>
      </c>
      <c r="O755" s="34" t="s">
        <v>959</v>
      </c>
      <c r="P755" s="35" t="s">
        <v>959</v>
      </c>
      <c r="Q755" s="34" t="str">
        <f>IF(OR(P755="-",P755="",P755=0),IF(O755="-","-",O755),O755-P755)</f>
        <v>-</v>
      </c>
      <c r="R755" s="4" t="str">
        <f>IFERROR(IF(O755&gt;0, P755/O755, 0),"-")</f>
        <v>-</v>
      </c>
      <c r="S755" s="34" t="s">
        <v>959</v>
      </c>
      <c r="T755" s="34" t="s">
        <v>959</v>
      </c>
      <c r="U755" s="34" t="s">
        <v>959</v>
      </c>
      <c r="V755" s="35" t="s">
        <v>959</v>
      </c>
      <c r="W755" s="35" t="s">
        <v>959</v>
      </c>
    </row>
    <row r="756" spans="1:23" x14ac:dyDescent="0.2">
      <c r="A756" s="29"/>
      <c r="B756" s="29" t="s">
        <v>6</v>
      </c>
      <c r="C756" s="32">
        <v>675</v>
      </c>
      <c r="D756" s="32">
        <v>615</v>
      </c>
      <c r="E756" s="32">
        <f>IF(OR(D756="-",D756="",D756=0),IF(C756="-","-",C756),C756-D756)</f>
        <v>60</v>
      </c>
      <c r="F756" s="36">
        <f>IFERROR(IF(C756&gt;0, D756/C756, 0),"-")</f>
        <v>0.91111111111111109</v>
      </c>
      <c r="G756" s="32">
        <v>18</v>
      </c>
      <c r="H756" s="32">
        <v>2</v>
      </c>
      <c r="I756" s="32">
        <f>IF(OR(H756="-",H756="",H756=0),IF(G756="-","-",G756),G756-H756)</f>
        <v>16</v>
      </c>
      <c r="J756" s="36">
        <f>IFERROR(IF(G756&gt;0, H756/G756, 0),"-")</f>
        <v>0.1111111111111111</v>
      </c>
      <c r="K756" s="32">
        <v>12</v>
      </c>
      <c r="L756" s="32">
        <v>1</v>
      </c>
      <c r="M756" s="32">
        <f>IF(OR(L756="-",L756="",L756=0),IF(K756="-","-",K756),K756-L756)</f>
        <v>11</v>
      </c>
      <c r="N756" s="36">
        <f>IFERROR(IF(K756&gt;0, L756/K756, 0),"-")</f>
        <v>8.3333333333333329E-2</v>
      </c>
      <c r="O756" s="32">
        <v>8</v>
      </c>
      <c r="P756" s="32" t="s">
        <v>959</v>
      </c>
      <c r="Q756" s="32">
        <f>IF(OR(P756="-",P756="",P756=0),IF(O756="-","-",O756),O756-P756)</f>
        <v>8</v>
      </c>
      <c r="R756" s="36" t="str">
        <f>IFERROR(IF(O756&gt;0, P756/O756, 0),"-")</f>
        <v>-</v>
      </c>
      <c r="S756" s="32">
        <v>3</v>
      </c>
      <c r="T756" s="32" t="s">
        <v>959</v>
      </c>
      <c r="U756" s="32" t="s">
        <v>959</v>
      </c>
      <c r="V756" s="32" t="s">
        <v>959</v>
      </c>
      <c r="W756" s="32" t="s">
        <v>959</v>
      </c>
    </row>
    <row r="757" spans="1:23" x14ac:dyDescent="0.2">
      <c r="A757" s="30" t="s">
        <v>180</v>
      </c>
      <c r="B757" s="30" t="s">
        <v>1424</v>
      </c>
      <c r="C757" s="34">
        <v>40</v>
      </c>
      <c r="D757" s="35">
        <v>37</v>
      </c>
      <c r="E757" s="34">
        <f>IF(OR(D757="-",D757="",D757=0),IF(C757="-","-",C757),C757-D757)</f>
        <v>3</v>
      </c>
      <c r="F757" s="4">
        <f>IFERROR(IF(C757&gt;0, D757/C757, 0),"-")</f>
        <v>0.92500000000000004</v>
      </c>
      <c r="G757" s="34" t="s">
        <v>959</v>
      </c>
      <c r="H757" s="35" t="s">
        <v>959</v>
      </c>
      <c r="I757" s="34" t="str">
        <f>IF(OR(H757="-",H757="",H757=0),IF(G757="-","-",G757),G757-H757)</f>
        <v>-</v>
      </c>
      <c r="J757" s="4" t="str">
        <f>IFERROR(IF(G757&gt;0, H757/G757, 0),"-")</f>
        <v>-</v>
      </c>
      <c r="K757" s="34" t="s">
        <v>959</v>
      </c>
      <c r="L757" s="35" t="s">
        <v>959</v>
      </c>
      <c r="M757" s="34" t="str">
        <f>IF(OR(L757="-",L757="",L757=0),IF(K757="-","-",K757),K757-L757)</f>
        <v>-</v>
      </c>
      <c r="N757" s="4" t="str">
        <f>IFERROR(IF(K757&gt;0, L757/K757, 0),"-")</f>
        <v>-</v>
      </c>
      <c r="O757" s="34" t="s">
        <v>959</v>
      </c>
      <c r="P757" s="35" t="s">
        <v>959</v>
      </c>
      <c r="Q757" s="34" t="str">
        <f>IF(OR(P757="-",P757="",P757=0),IF(O757="-","-",O757),O757-P757)</f>
        <v>-</v>
      </c>
      <c r="R757" s="4" t="str">
        <f>IFERROR(IF(O757&gt;0, P757/O757, 0),"-")</f>
        <v>-</v>
      </c>
      <c r="S757" s="34" t="s">
        <v>959</v>
      </c>
      <c r="T757" s="34" t="s">
        <v>959</v>
      </c>
      <c r="U757" s="34" t="s">
        <v>959</v>
      </c>
      <c r="V757" s="35" t="s">
        <v>959</v>
      </c>
      <c r="W757" s="35" t="s">
        <v>959</v>
      </c>
    </row>
    <row r="758" spans="1:23" x14ac:dyDescent="0.2">
      <c r="A758" s="30" t="s">
        <v>216</v>
      </c>
      <c r="B758" s="30" t="s">
        <v>1425</v>
      </c>
      <c r="C758" s="34" t="s">
        <v>959</v>
      </c>
      <c r="D758" s="35" t="s">
        <v>959</v>
      </c>
      <c r="E758" s="34" t="str">
        <f>IF(OR(D758="-",D758="",D758=0),IF(C758="-","-",C758),C758-D758)</f>
        <v>-</v>
      </c>
      <c r="F758" s="4" t="str">
        <f>IFERROR(IF(C758&gt;0, D758/C758, 0),"-")</f>
        <v>-</v>
      </c>
      <c r="G758" s="34" t="s">
        <v>959</v>
      </c>
      <c r="H758" s="35" t="s">
        <v>959</v>
      </c>
      <c r="I758" s="34" t="str">
        <f>IF(OR(H758="-",H758="",H758=0),IF(G758="-","-",G758),G758-H758)</f>
        <v>-</v>
      </c>
      <c r="J758" s="4" t="str">
        <f>IFERROR(IF(G758&gt;0, H758/G758, 0),"-")</f>
        <v>-</v>
      </c>
      <c r="K758" s="34" t="s">
        <v>959</v>
      </c>
      <c r="L758" s="35" t="s">
        <v>959</v>
      </c>
      <c r="M758" s="34" t="str">
        <f>IF(OR(L758="-",L758="",L758=0),IF(K758="-","-",K758),K758-L758)</f>
        <v>-</v>
      </c>
      <c r="N758" s="4" t="str">
        <f>IFERROR(IF(K758&gt;0, L758/K758, 0),"-")</f>
        <v>-</v>
      </c>
      <c r="O758" s="34" t="s">
        <v>959</v>
      </c>
      <c r="P758" s="35" t="s">
        <v>959</v>
      </c>
      <c r="Q758" s="34" t="str">
        <f>IF(OR(P758="-",P758="",P758=0),IF(O758="-","-",O758),O758-P758)</f>
        <v>-</v>
      </c>
      <c r="R758" s="4" t="str">
        <f>IFERROR(IF(O758&gt;0, P758/O758, 0),"-")</f>
        <v>-</v>
      </c>
      <c r="S758" s="34" t="s">
        <v>959</v>
      </c>
      <c r="T758" s="34" t="s">
        <v>959</v>
      </c>
      <c r="U758" s="34" t="s">
        <v>959</v>
      </c>
      <c r="V758" s="35" t="s">
        <v>959</v>
      </c>
      <c r="W758" s="35" t="s">
        <v>959</v>
      </c>
    </row>
    <row r="759" spans="1:23" x14ac:dyDescent="0.2">
      <c r="A759" s="30" t="s">
        <v>162</v>
      </c>
      <c r="B759" s="30" t="s">
        <v>1426</v>
      </c>
      <c r="C759" s="34">
        <v>83</v>
      </c>
      <c r="D759" s="35">
        <v>71</v>
      </c>
      <c r="E759" s="34">
        <f>IF(OR(D759="-",D759="",D759=0),IF(C759="-","-",C759),C759-D759)</f>
        <v>12</v>
      </c>
      <c r="F759" s="4">
        <f>IFERROR(IF(C759&gt;0, D759/C759, 0),"-")</f>
        <v>0.85542168674698793</v>
      </c>
      <c r="G759" s="34">
        <v>2</v>
      </c>
      <c r="H759" s="35" t="s">
        <v>959</v>
      </c>
      <c r="I759" s="34">
        <f>IF(OR(H759="-",H759="",H759=0),IF(G759="-","-",G759),G759-H759)</f>
        <v>2</v>
      </c>
      <c r="J759" s="4" t="str">
        <f>IFERROR(IF(G759&gt;0, H759/G759, 0),"-")</f>
        <v>-</v>
      </c>
      <c r="K759" s="34">
        <v>4</v>
      </c>
      <c r="L759" s="35" t="s">
        <v>959</v>
      </c>
      <c r="M759" s="34">
        <f>IF(OR(L759="-",L759="",L759=0),IF(K759="-","-",K759),K759-L759)</f>
        <v>4</v>
      </c>
      <c r="N759" s="4" t="str">
        <f>IFERROR(IF(K759&gt;0, L759/K759, 0),"-")</f>
        <v>-</v>
      </c>
      <c r="O759" s="34">
        <v>1</v>
      </c>
      <c r="P759" s="35" t="s">
        <v>959</v>
      </c>
      <c r="Q759" s="34">
        <f>IF(OR(P759="-",P759="",P759=0),IF(O759="-","-",O759),O759-P759)</f>
        <v>1</v>
      </c>
      <c r="R759" s="4" t="str">
        <f>IFERROR(IF(O759&gt;0, P759/O759, 0),"-")</f>
        <v>-</v>
      </c>
      <c r="S759" s="34" t="s">
        <v>959</v>
      </c>
      <c r="T759" s="34" t="s">
        <v>959</v>
      </c>
      <c r="U759" s="34" t="s">
        <v>959</v>
      </c>
      <c r="V759" s="35" t="s">
        <v>959</v>
      </c>
      <c r="W759" s="35" t="s">
        <v>959</v>
      </c>
    </row>
    <row r="760" spans="1:23" x14ac:dyDescent="0.2">
      <c r="A760" s="30" t="s">
        <v>161</v>
      </c>
      <c r="B760" s="30" t="s">
        <v>1427</v>
      </c>
      <c r="C760" s="34">
        <v>93</v>
      </c>
      <c r="D760" s="35">
        <v>87</v>
      </c>
      <c r="E760" s="34">
        <f>IF(OR(D760="-",D760="",D760=0),IF(C760="-","-",C760),C760-D760)</f>
        <v>6</v>
      </c>
      <c r="F760" s="4">
        <f>IFERROR(IF(C760&gt;0, D760/C760, 0),"-")</f>
        <v>0.93548387096774188</v>
      </c>
      <c r="G760" s="34">
        <v>1</v>
      </c>
      <c r="H760" s="35" t="s">
        <v>959</v>
      </c>
      <c r="I760" s="34">
        <f>IF(OR(H760="-",H760="",H760=0),IF(G760="-","-",G760),G760-H760)</f>
        <v>1</v>
      </c>
      <c r="J760" s="4" t="str">
        <f>IFERROR(IF(G760&gt;0, H760/G760, 0),"-")</f>
        <v>-</v>
      </c>
      <c r="K760" s="34" t="s">
        <v>959</v>
      </c>
      <c r="L760" s="35" t="s">
        <v>959</v>
      </c>
      <c r="M760" s="34" t="str">
        <f>IF(OR(L760="-",L760="",L760=0),IF(K760="-","-",K760),K760-L760)</f>
        <v>-</v>
      </c>
      <c r="N760" s="4" t="str">
        <f>IFERROR(IF(K760&gt;0, L760/K760, 0),"-")</f>
        <v>-</v>
      </c>
      <c r="O760" s="34">
        <v>1</v>
      </c>
      <c r="P760" s="35" t="s">
        <v>959</v>
      </c>
      <c r="Q760" s="34">
        <f>IF(OR(P760="-",P760="",P760=0),IF(O760="-","-",O760),O760-P760)</f>
        <v>1</v>
      </c>
      <c r="R760" s="4" t="str">
        <f>IFERROR(IF(O760&gt;0, P760/O760, 0),"-")</f>
        <v>-</v>
      </c>
      <c r="S760" s="34" t="s">
        <v>959</v>
      </c>
      <c r="T760" s="34" t="s">
        <v>959</v>
      </c>
      <c r="U760" s="34" t="s">
        <v>959</v>
      </c>
      <c r="V760" s="35" t="s">
        <v>959</v>
      </c>
      <c r="W760" s="35" t="s">
        <v>959</v>
      </c>
    </row>
    <row r="761" spans="1:23" x14ac:dyDescent="0.2">
      <c r="A761" s="30" t="s">
        <v>182</v>
      </c>
      <c r="B761" s="30" t="s">
        <v>1428</v>
      </c>
      <c r="C761" s="34">
        <v>3</v>
      </c>
      <c r="D761" s="35">
        <v>2</v>
      </c>
      <c r="E761" s="34">
        <f>IF(OR(D761="-",D761="",D761=0),IF(C761="-","-",C761),C761-D761)</f>
        <v>1</v>
      </c>
      <c r="F761" s="4">
        <f>IFERROR(IF(C761&gt;0, D761/C761, 0),"-")</f>
        <v>0.66666666666666663</v>
      </c>
      <c r="G761" s="34">
        <v>1</v>
      </c>
      <c r="H761" s="35">
        <v>1</v>
      </c>
      <c r="I761" s="34">
        <f>IF(OR(H761="-",H761="",H761=0),IF(G761="-","-",G761),G761-H761)</f>
        <v>0</v>
      </c>
      <c r="J761" s="4">
        <f>IFERROR(IF(G761&gt;0, H761/G761, 0),"-")</f>
        <v>1</v>
      </c>
      <c r="K761" s="34" t="s">
        <v>959</v>
      </c>
      <c r="L761" s="35" t="s">
        <v>959</v>
      </c>
      <c r="M761" s="34" t="str">
        <f>IF(OR(L761="-",L761="",L761=0),IF(K761="-","-",K761),K761-L761)</f>
        <v>-</v>
      </c>
      <c r="N761" s="4" t="str">
        <f>IFERROR(IF(K761&gt;0, L761/K761, 0),"-")</f>
        <v>-</v>
      </c>
      <c r="O761" s="34" t="s">
        <v>959</v>
      </c>
      <c r="P761" s="35" t="s">
        <v>959</v>
      </c>
      <c r="Q761" s="34" t="str">
        <f>IF(OR(P761="-",P761="",P761=0),IF(O761="-","-",O761),O761-P761)</f>
        <v>-</v>
      </c>
      <c r="R761" s="4" t="str">
        <f>IFERROR(IF(O761&gt;0, P761/O761, 0),"-")</f>
        <v>-</v>
      </c>
      <c r="S761" s="34" t="s">
        <v>959</v>
      </c>
      <c r="T761" s="34" t="s">
        <v>959</v>
      </c>
      <c r="U761" s="34" t="s">
        <v>959</v>
      </c>
      <c r="V761" s="35" t="s">
        <v>959</v>
      </c>
      <c r="W761" s="35" t="s">
        <v>959</v>
      </c>
    </row>
    <row r="762" spans="1:23" x14ac:dyDescent="0.2">
      <c r="A762" s="30" t="s">
        <v>164</v>
      </c>
      <c r="B762" s="30" t="s">
        <v>1429</v>
      </c>
      <c r="C762" s="34">
        <v>93</v>
      </c>
      <c r="D762" s="35">
        <v>83</v>
      </c>
      <c r="E762" s="34">
        <f>IF(OR(D762="-",D762="",D762=0),IF(C762="-","-",C762),C762-D762)</f>
        <v>10</v>
      </c>
      <c r="F762" s="4">
        <f>IFERROR(IF(C762&gt;0, D762/C762, 0),"-")</f>
        <v>0.89247311827956988</v>
      </c>
      <c r="G762" s="34">
        <v>1</v>
      </c>
      <c r="H762" s="35" t="s">
        <v>959</v>
      </c>
      <c r="I762" s="34">
        <f>IF(OR(H762="-",H762="",H762=0),IF(G762="-","-",G762),G762-H762)</f>
        <v>1</v>
      </c>
      <c r="J762" s="4" t="str">
        <f>IFERROR(IF(G762&gt;0, H762/G762, 0),"-")</f>
        <v>-</v>
      </c>
      <c r="K762" s="34">
        <v>2</v>
      </c>
      <c r="L762" s="35" t="s">
        <v>959</v>
      </c>
      <c r="M762" s="34">
        <f>IF(OR(L762="-",L762="",L762=0),IF(K762="-","-",K762),K762-L762)</f>
        <v>2</v>
      </c>
      <c r="N762" s="4" t="str">
        <f>IFERROR(IF(K762&gt;0, L762/K762, 0),"-")</f>
        <v>-</v>
      </c>
      <c r="O762" s="34">
        <v>2</v>
      </c>
      <c r="P762" s="35" t="s">
        <v>959</v>
      </c>
      <c r="Q762" s="34">
        <f>IF(OR(P762="-",P762="",P762=0),IF(O762="-","-",O762),O762-P762)</f>
        <v>2</v>
      </c>
      <c r="R762" s="4" t="str">
        <f>IFERROR(IF(O762&gt;0, P762/O762, 0),"-")</f>
        <v>-</v>
      </c>
      <c r="S762" s="34">
        <v>1</v>
      </c>
      <c r="T762" s="34" t="s">
        <v>959</v>
      </c>
      <c r="U762" s="34" t="s">
        <v>959</v>
      </c>
      <c r="V762" s="35" t="s">
        <v>959</v>
      </c>
      <c r="W762" s="35" t="s">
        <v>959</v>
      </c>
    </row>
    <row r="763" spans="1:23" x14ac:dyDescent="0.2">
      <c r="A763" s="30" t="s">
        <v>163</v>
      </c>
      <c r="B763" s="30" t="s">
        <v>1430</v>
      </c>
      <c r="C763" s="34">
        <v>161</v>
      </c>
      <c r="D763" s="35">
        <v>152</v>
      </c>
      <c r="E763" s="34">
        <f>IF(OR(D763="-",D763="",D763=0),IF(C763="-","-",C763),C763-D763)</f>
        <v>9</v>
      </c>
      <c r="F763" s="4">
        <f>IFERROR(IF(C763&gt;0, D763/C763, 0),"-")</f>
        <v>0.94409937888198758</v>
      </c>
      <c r="G763" s="34">
        <v>5</v>
      </c>
      <c r="H763" s="35" t="s">
        <v>959</v>
      </c>
      <c r="I763" s="34">
        <f>IF(OR(H763="-",H763="",H763=0),IF(G763="-","-",G763),G763-H763)</f>
        <v>5</v>
      </c>
      <c r="J763" s="4" t="str">
        <f>IFERROR(IF(G763&gt;0, H763/G763, 0),"-")</f>
        <v>-</v>
      </c>
      <c r="K763" s="34">
        <v>3</v>
      </c>
      <c r="L763" s="35" t="s">
        <v>959</v>
      </c>
      <c r="M763" s="34">
        <f>IF(OR(L763="-",L763="",L763=0),IF(K763="-","-",K763),K763-L763)</f>
        <v>3</v>
      </c>
      <c r="N763" s="4" t="str">
        <f>IFERROR(IF(K763&gt;0, L763/K763, 0),"-")</f>
        <v>-</v>
      </c>
      <c r="O763" s="34">
        <v>3</v>
      </c>
      <c r="P763" s="35" t="s">
        <v>959</v>
      </c>
      <c r="Q763" s="34">
        <f>IF(OR(P763="-",P763="",P763=0),IF(O763="-","-",O763),O763-P763)</f>
        <v>3</v>
      </c>
      <c r="R763" s="4" t="str">
        <f>IFERROR(IF(O763&gt;0, P763/O763, 0),"-")</f>
        <v>-</v>
      </c>
      <c r="S763" s="34">
        <v>2</v>
      </c>
      <c r="T763" s="34" t="s">
        <v>959</v>
      </c>
      <c r="U763" s="34" t="s">
        <v>959</v>
      </c>
      <c r="V763" s="35" t="s">
        <v>959</v>
      </c>
      <c r="W763" s="35" t="s">
        <v>959</v>
      </c>
    </row>
    <row r="764" spans="1:23" x14ac:dyDescent="0.2">
      <c r="A764" s="30" t="s">
        <v>160</v>
      </c>
      <c r="B764" s="30" t="s">
        <v>1431</v>
      </c>
      <c r="C764" s="34">
        <v>44</v>
      </c>
      <c r="D764" s="35">
        <v>42</v>
      </c>
      <c r="E764" s="34">
        <f>IF(OR(D764="-",D764="",D764=0),IF(C764="-","-",C764),C764-D764)</f>
        <v>2</v>
      </c>
      <c r="F764" s="4">
        <f>IFERROR(IF(C764&gt;0, D764/C764, 0),"-")</f>
        <v>0.95454545454545459</v>
      </c>
      <c r="G764" s="34" t="s">
        <v>959</v>
      </c>
      <c r="H764" s="35" t="s">
        <v>959</v>
      </c>
      <c r="I764" s="34" t="str">
        <f>IF(OR(H764="-",H764="",H764=0),IF(G764="-","-",G764),G764-H764)</f>
        <v>-</v>
      </c>
      <c r="J764" s="4" t="str">
        <f>IFERROR(IF(G764&gt;0, H764/G764, 0),"-")</f>
        <v>-</v>
      </c>
      <c r="K764" s="34">
        <v>1</v>
      </c>
      <c r="L764" s="35" t="s">
        <v>959</v>
      </c>
      <c r="M764" s="34">
        <f>IF(OR(L764="-",L764="",L764=0),IF(K764="-","-",K764),K764-L764)</f>
        <v>1</v>
      </c>
      <c r="N764" s="4" t="str">
        <f>IFERROR(IF(K764&gt;0, L764/K764, 0),"-")</f>
        <v>-</v>
      </c>
      <c r="O764" s="34">
        <v>1</v>
      </c>
      <c r="P764" s="35" t="s">
        <v>959</v>
      </c>
      <c r="Q764" s="34">
        <f>IF(OR(P764="-",P764="",P764=0),IF(O764="-","-",O764),O764-P764)</f>
        <v>1</v>
      </c>
      <c r="R764" s="4" t="str">
        <f>IFERROR(IF(O764&gt;0, P764/O764, 0),"-")</f>
        <v>-</v>
      </c>
      <c r="S764" s="34" t="s">
        <v>959</v>
      </c>
      <c r="T764" s="34" t="s">
        <v>959</v>
      </c>
      <c r="U764" s="34" t="s">
        <v>959</v>
      </c>
      <c r="V764" s="35" t="s">
        <v>959</v>
      </c>
      <c r="W764" s="35" t="s">
        <v>959</v>
      </c>
    </row>
    <row r="765" spans="1:23" x14ac:dyDescent="0.2">
      <c r="A765" s="30" t="s">
        <v>179</v>
      </c>
      <c r="B765" s="30" t="s">
        <v>1432</v>
      </c>
      <c r="C765" s="34">
        <v>4</v>
      </c>
      <c r="D765" s="35">
        <v>1</v>
      </c>
      <c r="E765" s="34">
        <f>IF(OR(D765="-",D765="",D765=0),IF(C765="-","-",C765),C765-D765)</f>
        <v>3</v>
      </c>
      <c r="F765" s="4">
        <f>IFERROR(IF(C765&gt;0, D765/C765, 0),"-")</f>
        <v>0.25</v>
      </c>
      <c r="G765" s="34" t="s">
        <v>959</v>
      </c>
      <c r="H765" s="35" t="s">
        <v>959</v>
      </c>
      <c r="I765" s="34" t="str">
        <f>IF(OR(H765="-",H765="",H765=0),IF(G765="-","-",G765),G765-H765)</f>
        <v>-</v>
      </c>
      <c r="J765" s="4" t="str">
        <f>IFERROR(IF(G765&gt;0, H765/G765, 0),"-")</f>
        <v>-</v>
      </c>
      <c r="K765" s="34" t="s">
        <v>959</v>
      </c>
      <c r="L765" s="35" t="s">
        <v>959</v>
      </c>
      <c r="M765" s="34" t="str">
        <f>IF(OR(L765="-",L765="",L765=0),IF(K765="-","-",K765),K765-L765)</f>
        <v>-</v>
      </c>
      <c r="N765" s="4" t="str">
        <f>IFERROR(IF(K765&gt;0, L765/K765, 0),"-")</f>
        <v>-</v>
      </c>
      <c r="O765" s="34" t="s">
        <v>959</v>
      </c>
      <c r="P765" s="35" t="s">
        <v>959</v>
      </c>
      <c r="Q765" s="34" t="str">
        <f>IF(OR(P765="-",P765="",P765=0),IF(O765="-","-",O765),O765-P765)</f>
        <v>-</v>
      </c>
      <c r="R765" s="4" t="str">
        <f>IFERROR(IF(O765&gt;0, P765/O765, 0),"-")</f>
        <v>-</v>
      </c>
      <c r="S765" s="34" t="s">
        <v>959</v>
      </c>
      <c r="T765" s="34" t="s">
        <v>959</v>
      </c>
      <c r="U765" s="34" t="s">
        <v>959</v>
      </c>
      <c r="V765" s="35" t="s">
        <v>959</v>
      </c>
      <c r="W765" s="35" t="s">
        <v>959</v>
      </c>
    </row>
    <row r="766" spans="1:23" x14ac:dyDescent="0.2">
      <c r="A766" s="30" t="s">
        <v>159</v>
      </c>
      <c r="B766" s="30" t="s">
        <v>1433</v>
      </c>
      <c r="C766" s="34">
        <v>154</v>
      </c>
      <c r="D766" s="35">
        <v>140</v>
      </c>
      <c r="E766" s="34">
        <f>IF(OR(D766="-",D766="",D766=0),IF(C766="-","-",C766),C766-D766)</f>
        <v>14</v>
      </c>
      <c r="F766" s="4">
        <f>IFERROR(IF(C766&gt;0, D766/C766, 0),"-")</f>
        <v>0.90909090909090906</v>
      </c>
      <c r="G766" s="34">
        <v>8</v>
      </c>
      <c r="H766" s="35">
        <v>1</v>
      </c>
      <c r="I766" s="34">
        <f>IF(OR(H766="-",H766="",H766=0),IF(G766="-","-",G766),G766-H766)</f>
        <v>7</v>
      </c>
      <c r="J766" s="4">
        <f>IFERROR(IF(G766&gt;0, H766/G766, 0),"-")</f>
        <v>0.125</v>
      </c>
      <c r="K766" s="34">
        <v>2</v>
      </c>
      <c r="L766" s="35">
        <v>1</v>
      </c>
      <c r="M766" s="34">
        <f>IF(OR(L766="-",L766="",L766=0),IF(K766="-","-",K766),K766-L766)</f>
        <v>1</v>
      </c>
      <c r="N766" s="4">
        <f>IFERROR(IF(K766&gt;0, L766/K766, 0),"-")</f>
        <v>0.5</v>
      </c>
      <c r="O766" s="34" t="s">
        <v>959</v>
      </c>
      <c r="P766" s="35" t="s">
        <v>959</v>
      </c>
      <c r="Q766" s="34" t="str">
        <f>IF(OR(P766="-",P766="",P766=0),IF(O766="-","-",O766),O766-P766)</f>
        <v>-</v>
      </c>
      <c r="R766" s="4" t="str">
        <f>IFERROR(IF(O766&gt;0, P766/O766, 0),"-")</f>
        <v>-</v>
      </c>
      <c r="S766" s="34" t="s">
        <v>959</v>
      </c>
      <c r="T766" s="34" t="s">
        <v>959</v>
      </c>
      <c r="U766" s="34" t="s">
        <v>959</v>
      </c>
      <c r="V766" s="35" t="s">
        <v>959</v>
      </c>
      <c r="W766" s="35" t="s">
        <v>959</v>
      </c>
    </row>
    <row r="767" spans="1:23" x14ac:dyDescent="0.2">
      <c r="A767" s="29"/>
      <c r="B767" s="29" t="s">
        <v>40</v>
      </c>
      <c r="C767" s="32">
        <v>752</v>
      </c>
      <c r="D767" s="32">
        <v>744</v>
      </c>
      <c r="E767" s="32">
        <f>IF(OR(D767="-",D767="",D767=0),IF(C767="-","-",C767),C767-D767)</f>
        <v>8</v>
      </c>
      <c r="F767" s="36">
        <f>IFERROR(IF(C767&gt;0, D767/C767, 0),"-")</f>
        <v>0.98936170212765961</v>
      </c>
      <c r="G767" s="32">
        <v>3</v>
      </c>
      <c r="H767" s="32">
        <v>1</v>
      </c>
      <c r="I767" s="32">
        <f>IF(OR(H767="-",H767="",H767=0),IF(G767="-","-",G767),G767-H767)</f>
        <v>2</v>
      </c>
      <c r="J767" s="36">
        <f>IFERROR(IF(G767&gt;0, H767/G767, 0),"-")</f>
        <v>0.33333333333333331</v>
      </c>
      <c r="K767" s="32">
        <v>1</v>
      </c>
      <c r="L767" s="32">
        <v>1</v>
      </c>
      <c r="M767" s="32">
        <f>IF(OR(L767="-",L767="",L767=0),IF(K767="-","-",K767),K767-L767)</f>
        <v>0</v>
      </c>
      <c r="N767" s="36">
        <f>IFERROR(IF(K767&gt;0, L767/K767, 0),"-")</f>
        <v>1</v>
      </c>
      <c r="O767" s="32">
        <v>1</v>
      </c>
      <c r="P767" s="32">
        <v>1</v>
      </c>
      <c r="Q767" s="32">
        <f>IF(OR(P767="-",P767="",P767=0),IF(O767="-","-",O767),O767-P767)</f>
        <v>0</v>
      </c>
      <c r="R767" s="36">
        <f>IFERROR(IF(O767&gt;0, P767/O767, 0),"-")</f>
        <v>1</v>
      </c>
      <c r="S767" s="32">
        <v>3</v>
      </c>
      <c r="T767" s="32">
        <v>1</v>
      </c>
      <c r="U767" s="32">
        <v>5390</v>
      </c>
      <c r="V767" s="32" t="s">
        <v>959</v>
      </c>
      <c r="W767" s="32" t="s">
        <v>959</v>
      </c>
    </row>
    <row r="768" spans="1:23" x14ac:dyDescent="0.2">
      <c r="A768" s="30" t="s">
        <v>213</v>
      </c>
      <c r="B768" s="30" t="s">
        <v>1434</v>
      </c>
      <c r="C768" s="34">
        <v>22</v>
      </c>
      <c r="D768" s="35">
        <v>22</v>
      </c>
      <c r="E768" s="34">
        <f>IF(OR(D768="-",D768="",D768=0),IF(C768="-","-",C768),C768-D768)</f>
        <v>0</v>
      </c>
      <c r="F768" s="4">
        <f>IFERROR(IF(C768&gt;0, D768/C768, 0),"-")</f>
        <v>1</v>
      </c>
      <c r="G768" s="34" t="s">
        <v>959</v>
      </c>
      <c r="H768" s="35" t="s">
        <v>959</v>
      </c>
      <c r="I768" s="34" t="str">
        <f>IF(OR(H768="-",H768="",H768=0),IF(G768="-","-",G768),G768-H768)</f>
        <v>-</v>
      </c>
      <c r="J768" s="4" t="str">
        <f>IFERROR(IF(G768&gt;0, H768/G768, 0),"-")</f>
        <v>-</v>
      </c>
      <c r="K768" s="34" t="s">
        <v>959</v>
      </c>
      <c r="L768" s="35" t="s">
        <v>959</v>
      </c>
      <c r="M768" s="34" t="str">
        <f>IF(OR(L768="-",L768="",L768=0),IF(K768="-","-",K768),K768-L768)</f>
        <v>-</v>
      </c>
      <c r="N768" s="4" t="str">
        <f>IFERROR(IF(K768&gt;0, L768/K768, 0),"-")</f>
        <v>-</v>
      </c>
      <c r="O768" s="34" t="s">
        <v>959</v>
      </c>
      <c r="P768" s="35" t="s">
        <v>959</v>
      </c>
      <c r="Q768" s="34" t="str">
        <f>IF(OR(P768="-",P768="",P768=0),IF(O768="-","-",O768),O768-P768)</f>
        <v>-</v>
      </c>
      <c r="R768" s="4" t="str">
        <f>IFERROR(IF(O768&gt;0, P768/O768, 0),"-")</f>
        <v>-</v>
      </c>
      <c r="S768" s="34" t="s">
        <v>959</v>
      </c>
      <c r="T768" s="34" t="s">
        <v>959</v>
      </c>
      <c r="U768" s="34" t="s">
        <v>959</v>
      </c>
      <c r="V768" s="35" t="s">
        <v>959</v>
      </c>
      <c r="W768" s="35" t="s">
        <v>959</v>
      </c>
    </row>
    <row r="769" spans="1:23" x14ac:dyDescent="0.2">
      <c r="A769" s="30" t="s">
        <v>227</v>
      </c>
      <c r="B769" s="30" t="s">
        <v>1435</v>
      </c>
      <c r="C769" s="34">
        <v>45</v>
      </c>
      <c r="D769" s="35">
        <v>44</v>
      </c>
      <c r="E769" s="34">
        <f>IF(OR(D769="-",D769="",D769=0),IF(C769="-","-",C769),C769-D769)</f>
        <v>1</v>
      </c>
      <c r="F769" s="4">
        <f>IFERROR(IF(C769&gt;0, D769/C769, 0),"-")</f>
        <v>0.97777777777777775</v>
      </c>
      <c r="G769" s="34" t="s">
        <v>959</v>
      </c>
      <c r="H769" s="35" t="s">
        <v>959</v>
      </c>
      <c r="I769" s="34" t="str">
        <f>IF(OR(H769="-",H769="",H769=0),IF(G769="-","-",G769),G769-H769)</f>
        <v>-</v>
      </c>
      <c r="J769" s="4" t="str">
        <f>IFERROR(IF(G769&gt;0, H769/G769, 0),"-")</f>
        <v>-</v>
      </c>
      <c r="K769" s="34" t="s">
        <v>959</v>
      </c>
      <c r="L769" s="35" t="s">
        <v>959</v>
      </c>
      <c r="M769" s="34" t="str">
        <f>IF(OR(L769="-",L769="",L769=0),IF(K769="-","-",K769),K769-L769)</f>
        <v>-</v>
      </c>
      <c r="N769" s="4" t="str">
        <f>IFERROR(IF(K769&gt;0, L769/K769, 0),"-")</f>
        <v>-</v>
      </c>
      <c r="O769" s="34" t="s">
        <v>959</v>
      </c>
      <c r="P769" s="35" t="s">
        <v>959</v>
      </c>
      <c r="Q769" s="34" t="str">
        <f>IF(OR(P769="-",P769="",P769=0),IF(O769="-","-",O769),O769-P769)</f>
        <v>-</v>
      </c>
      <c r="R769" s="4" t="str">
        <f>IFERROR(IF(O769&gt;0, P769/O769, 0),"-")</f>
        <v>-</v>
      </c>
      <c r="S769" s="34" t="s">
        <v>959</v>
      </c>
      <c r="T769" s="34" t="s">
        <v>959</v>
      </c>
      <c r="U769" s="34" t="s">
        <v>959</v>
      </c>
      <c r="V769" s="35" t="s">
        <v>959</v>
      </c>
      <c r="W769" s="35" t="s">
        <v>959</v>
      </c>
    </row>
    <row r="770" spans="1:23" x14ac:dyDescent="0.2">
      <c r="A770" s="30" t="s">
        <v>228</v>
      </c>
      <c r="B770" s="30" t="s">
        <v>1436</v>
      </c>
      <c r="C770" s="34">
        <v>41</v>
      </c>
      <c r="D770" s="35">
        <v>41</v>
      </c>
      <c r="E770" s="34">
        <f>IF(OR(D770="-",D770="",D770=0),IF(C770="-","-",C770),C770-D770)</f>
        <v>0</v>
      </c>
      <c r="F770" s="4">
        <f>IFERROR(IF(C770&gt;0, D770/C770, 0),"-")</f>
        <v>1</v>
      </c>
      <c r="G770" s="34" t="s">
        <v>959</v>
      </c>
      <c r="H770" s="35" t="s">
        <v>959</v>
      </c>
      <c r="I770" s="34" t="str">
        <f>IF(OR(H770="-",H770="",H770=0),IF(G770="-","-",G770),G770-H770)</f>
        <v>-</v>
      </c>
      <c r="J770" s="4" t="str">
        <f>IFERROR(IF(G770&gt;0, H770/G770, 0),"-")</f>
        <v>-</v>
      </c>
      <c r="K770" s="34" t="s">
        <v>959</v>
      </c>
      <c r="L770" s="35" t="s">
        <v>959</v>
      </c>
      <c r="M770" s="34" t="str">
        <f>IF(OR(L770="-",L770="",L770=0),IF(K770="-","-",K770),K770-L770)</f>
        <v>-</v>
      </c>
      <c r="N770" s="4" t="str">
        <f>IFERROR(IF(K770&gt;0, L770/K770, 0),"-")</f>
        <v>-</v>
      </c>
      <c r="O770" s="34" t="s">
        <v>959</v>
      </c>
      <c r="P770" s="35" t="s">
        <v>959</v>
      </c>
      <c r="Q770" s="34" t="str">
        <f>IF(OR(P770="-",P770="",P770=0),IF(O770="-","-",O770),O770-P770)</f>
        <v>-</v>
      </c>
      <c r="R770" s="4" t="str">
        <f>IFERROR(IF(O770&gt;0, P770/O770, 0),"-")</f>
        <v>-</v>
      </c>
      <c r="S770" s="34">
        <v>1</v>
      </c>
      <c r="T770" s="34" t="s">
        <v>959</v>
      </c>
      <c r="U770" s="34" t="s">
        <v>959</v>
      </c>
      <c r="V770" s="35" t="s">
        <v>959</v>
      </c>
      <c r="W770" s="35" t="s">
        <v>959</v>
      </c>
    </row>
    <row r="771" spans="1:23" x14ac:dyDescent="0.2">
      <c r="A771" s="30" t="s">
        <v>226</v>
      </c>
      <c r="B771" s="30" t="s">
        <v>1437</v>
      </c>
      <c r="C771" s="34">
        <v>7</v>
      </c>
      <c r="D771" s="35">
        <v>7</v>
      </c>
      <c r="E771" s="34">
        <f>IF(OR(D771="-",D771="",D771=0),IF(C771="-","-",C771),C771-D771)</f>
        <v>0</v>
      </c>
      <c r="F771" s="4">
        <f>IFERROR(IF(C771&gt;0, D771/C771, 0),"-")</f>
        <v>1</v>
      </c>
      <c r="G771" s="34" t="s">
        <v>959</v>
      </c>
      <c r="H771" s="35" t="s">
        <v>959</v>
      </c>
      <c r="I771" s="34" t="str">
        <f>IF(OR(H771="-",H771="",H771=0),IF(G771="-","-",G771),G771-H771)</f>
        <v>-</v>
      </c>
      <c r="J771" s="4" t="str">
        <f>IFERROR(IF(G771&gt;0, H771/G771, 0),"-")</f>
        <v>-</v>
      </c>
      <c r="K771" s="34" t="s">
        <v>959</v>
      </c>
      <c r="L771" s="35" t="s">
        <v>959</v>
      </c>
      <c r="M771" s="34" t="str">
        <f>IF(OR(L771="-",L771="",L771=0),IF(K771="-","-",K771),K771-L771)</f>
        <v>-</v>
      </c>
      <c r="N771" s="4" t="str">
        <f>IFERROR(IF(K771&gt;0, L771/K771, 0),"-")</f>
        <v>-</v>
      </c>
      <c r="O771" s="34" t="s">
        <v>959</v>
      </c>
      <c r="P771" s="35" t="s">
        <v>959</v>
      </c>
      <c r="Q771" s="34" t="str">
        <f>IF(OR(P771="-",P771="",P771=0),IF(O771="-","-",O771),O771-P771)</f>
        <v>-</v>
      </c>
      <c r="R771" s="4" t="str">
        <f>IFERROR(IF(O771&gt;0, P771/O771, 0),"-")</f>
        <v>-</v>
      </c>
      <c r="S771" s="34" t="s">
        <v>959</v>
      </c>
      <c r="T771" s="34" t="s">
        <v>959</v>
      </c>
      <c r="U771" s="34" t="s">
        <v>959</v>
      </c>
      <c r="V771" s="35" t="s">
        <v>959</v>
      </c>
      <c r="W771" s="35" t="s">
        <v>959</v>
      </c>
    </row>
    <row r="772" spans="1:23" x14ac:dyDescent="0.2">
      <c r="A772" s="30" t="s">
        <v>209</v>
      </c>
      <c r="B772" s="30" t="s">
        <v>1438</v>
      </c>
      <c r="C772" s="34">
        <v>111</v>
      </c>
      <c r="D772" s="35">
        <v>108</v>
      </c>
      <c r="E772" s="34">
        <f>IF(OR(D772="-",D772="",D772=0),IF(C772="-","-",C772),C772-D772)</f>
        <v>3</v>
      </c>
      <c r="F772" s="4">
        <f>IFERROR(IF(C772&gt;0, D772/C772, 0),"-")</f>
        <v>0.97297297297297303</v>
      </c>
      <c r="G772" s="34">
        <v>1</v>
      </c>
      <c r="H772" s="35">
        <v>1</v>
      </c>
      <c r="I772" s="34">
        <f>IF(OR(H772="-",H772="",H772=0),IF(G772="-","-",G772),G772-H772)</f>
        <v>0</v>
      </c>
      <c r="J772" s="4">
        <f>IFERROR(IF(G772&gt;0, H772/G772, 0),"-")</f>
        <v>1</v>
      </c>
      <c r="K772" s="34" t="s">
        <v>959</v>
      </c>
      <c r="L772" s="35" t="s">
        <v>959</v>
      </c>
      <c r="M772" s="34" t="str">
        <f>IF(OR(L772="-",L772="",L772=0),IF(K772="-","-",K772),K772-L772)</f>
        <v>-</v>
      </c>
      <c r="N772" s="4" t="str">
        <f>IFERROR(IF(K772&gt;0, L772/K772, 0),"-")</f>
        <v>-</v>
      </c>
      <c r="O772" s="34" t="s">
        <v>959</v>
      </c>
      <c r="P772" s="35" t="s">
        <v>959</v>
      </c>
      <c r="Q772" s="34" t="str">
        <f>IF(OR(P772="-",P772="",P772=0),IF(O772="-","-",O772),O772-P772)</f>
        <v>-</v>
      </c>
      <c r="R772" s="4" t="str">
        <f>IFERROR(IF(O772&gt;0, P772/O772, 0),"-")</f>
        <v>-</v>
      </c>
      <c r="S772" s="34">
        <v>1</v>
      </c>
      <c r="T772" s="34" t="s">
        <v>959</v>
      </c>
      <c r="U772" s="34" t="s">
        <v>959</v>
      </c>
      <c r="V772" s="35" t="s">
        <v>959</v>
      </c>
      <c r="W772" s="35" t="s">
        <v>959</v>
      </c>
    </row>
    <row r="773" spans="1:23" x14ac:dyDescent="0.2">
      <c r="A773" s="30" t="s">
        <v>212</v>
      </c>
      <c r="B773" s="30" t="s">
        <v>1439</v>
      </c>
      <c r="C773" s="34">
        <v>106</v>
      </c>
      <c r="D773" s="35">
        <v>106</v>
      </c>
      <c r="E773" s="34">
        <f>IF(OR(D773="-",D773="",D773=0),IF(C773="-","-",C773),C773-D773)</f>
        <v>0</v>
      </c>
      <c r="F773" s="4">
        <f>IFERROR(IF(C773&gt;0, D773/C773, 0),"-")</f>
        <v>1</v>
      </c>
      <c r="G773" s="34" t="s">
        <v>959</v>
      </c>
      <c r="H773" s="35" t="s">
        <v>959</v>
      </c>
      <c r="I773" s="34" t="str">
        <f>IF(OR(H773="-",H773="",H773=0),IF(G773="-","-",G773),G773-H773)</f>
        <v>-</v>
      </c>
      <c r="J773" s="4" t="str">
        <f>IFERROR(IF(G773&gt;0, H773/G773, 0),"-")</f>
        <v>-</v>
      </c>
      <c r="K773" s="34" t="s">
        <v>959</v>
      </c>
      <c r="L773" s="35" t="s">
        <v>959</v>
      </c>
      <c r="M773" s="34" t="str">
        <f>IF(OR(L773="-",L773="",L773=0),IF(K773="-","-",K773),K773-L773)</f>
        <v>-</v>
      </c>
      <c r="N773" s="4" t="str">
        <f>IFERROR(IF(K773&gt;0, L773/K773, 0),"-")</f>
        <v>-</v>
      </c>
      <c r="O773" s="34" t="s">
        <v>959</v>
      </c>
      <c r="P773" s="35" t="s">
        <v>959</v>
      </c>
      <c r="Q773" s="34" t="str">
        <f>IF(OR(P773="-",P773="",P773=0),IF(O773="-","-",O773),O773-P773)</f>
        <v>-</v>
      </c>
      <c r="R773" s="4" t="str">
        <f>IFERROR(IF(O773&gt;0, P773/O773, 0),"-")</f>
        <v>-</v>
      </c>
      <c r="S773" s="34">
        <v>1</v>
      </c>
      <c r="T773" s="34">
        <v>1</v>
      </c>
      <c r="U773" s="34">
        <v>5390</v>
      </c>
      <c r="V773" s="35" t="s">
        <v>959</v>
      </c>
      <c r="W773" s="35" t="s">
        <v>959</v>
      </c>
    </row>
    <row r="774" spans="1:23" x14ac:dyDescent="0.2">
      <c r="A774" s="30" t="s">
        <v>211</v>
      </c>
      <c r="B774" s="30" t="s">
        <v>1437</v>
      </c>
      <c r="C774" s="34">
        <v>91</v>
      </c>
      <c r="D774" s="35">
        <v>91</v>
      </c>
      <c r="E774" s="34">
        <f>IF(OR(D774="-",D774="",D774=0),IF(C774="-","-",C774),C774-D774)</f>
        <v>0</v>
      </c>
      <c r="F774" s="4">
        <f>IFERROR(IF(C774&gt;0, D774/C774, 0),"-")</f>
        <v>1</v>
      </c>
      <c r="G774" s="34" t="s">
        <v>959</v>
      </c>
      <c r="H774" s="35" t="s">
        <v>959</v>
      </c>
      <c r="I774" s="34" t="str">
        <f>IF(OR(H774="-",H774="",H774=0),IF(G774="-","-",G774),G774-H774)</f>
        <v>-</v>
      </c>
      <c r="J774" s="4" t="str">
        <f>IFERROR(IF(G774&gt;0, H774/G774, 0),"-")</f>
        <v>-</v>
      </c>
      <c r="K774" s="34" t="s">
        <v>959</v>
      </c>
      <c r="L774" s="35" t="s">
        <v>959</v>
      </c>
      <c r="M774" s="34" t="str">
        <f>IF(OR(L774="-",L774="",L774=0),IF(K774="-","-",K774),K774-L774)</f>
        <v>-</v>
      </c>
      <c r="N774" s="4" t="str">
        <f>IFERROR(IF(K774&gt;0, L774/K774, 0),"-")</f>
        <v>-</v>
      </c>
      <c r="O774" s="34" t="s">
        <v>959</v>
      </c>
      <c r="P774" s="35" t="s">
        <v>959</v>
      </c>
      <c r="Q774" s="34" t="str">
        <f>IF(OR(P774="-",P774="",P774=0),IF(O774="-","-",O774),O774-P774)</f>
        <v>-</v>
      </c>
      <c r="R774" s="4" t="str">
        <f>IFERROR(IF(O774&gt;0, P774/O774, 0),"-")</f>
        <v>-</v>
      </c>
      <c r="S774" s="34" t="s">
        <v>959</v>
      </c>
      <c r="T774" s="34" t="s">
        <v>959</v>
      </c>
      <c r="U774" s="34" t="s">
        <v>959</v>
      </c>
      <c r="V774" s="35" t="s">
        <v>959</v>
      </c>
      <c r="W774" s="35" t="s">
        <v>959</v>
      </c>
    </row>
    <row r="775" spans="1:23" x14ac:dyDescent="0.2">
      <c r="A775" s="30" t="s">
        <v>210</v>
      </c>
      <c r="B775" s="30" t="s">
        <v>1440</v>
      </c>
      <c r="C775" s="34">
        <v>109</v>
      </c>
      <c r="D775" s="35">
        <v>108</v>
      </c>
      <c r="E775" s="34">
        <f>IF(OR(D775="-",D775="",D775=0),IF(C775="-","-",C775),C775-D775)</f>
        <v>1</v>
      </c>
      <c r="F775" s="4">
        <f>IFERROR(IF(C775&gt;0, D775/C775, 0),"-")</f>
        <v>0.99082568807339455</v>
      </c>
      <c r="G775" s="34">
        <v>1</v>
      </c>
      <c r="H775" s="35" t="s">
        <v>959</v>
      </c>
      <c r="I775" s="34">
        <f>IF(OR(H775="-",H775="",H775=0),IF(G775="-","-",G775),G775-H775)</f>
        <v>1</v>
      </c>
      <c r="J775" s="4" t="str">
        <f>IFERROR(IF(G775&gt;0, H775/G775, 0),"-")</f>
        <v>-</v>
      </c>
      <c r="K775" s="34" t="s">
        <v>959</v>
      </c>
      <c r="L775" s="35" t="s">
        <v>959</v>
      </c>
      <c r="M775" s="34" t="str">
        <f>IF(OR(L775="-",L775="",L775=0),IF(K775="-","-",K775),K775-L775)</f>
        <v>-</v>
      </c>
      <c r="N775" s="4" t="str">
        <f>IFERROR(IF(K775&gt;0, L775/K775, 0),"-")</f>
        <v>-</v>
      </c>
      <c r="O775" s="34" t="s">
        <v>959</v>
      </c>
      <c r="P775" s="35" t="s">
        <v>959</v>
      </c>
      <c r="Q775" s="34" t="str">
        <f>IF(OR(P775="-",P775="",P775=0),IF(O775="-","-",O775),O775-P775)</f>
        <v>-</v>
      </c>
      <c r="R775" s="4" t="str">
        <f>IFERROR(IF(O775&gt;0, P775/O775, 0),"-")</f>
        <v>-</v>
      </c>
      <c r="S775" s="34" t="s">
        <v>959</v>
      </c>
      <c r="T775" s="34" t="s">
        <v>959</v>
      </c>
      <c r="U775" s="34" t="s">
        <v>959</v>
      </c>
      <c r="V775" s="35" t="s">
        <v>959</v>
      </c>
      <c r="W775" s="35" t="s">
        <v>959</v>
      </c>
    </row>
    <row r="776" spans="1:23" x14ac:dyDescent="0.2">
      <c r="A776" s="30" t="s">
        <v>215</v>
      </c>
      <c r="B776" s="30" t="s">
        <v>1441</v>
      </c>
      <c r="C776" s="34">
        <v>36</v>
      </c>
      <c r="D776" s="35">
        <v>36</v>
      </c>
      <c r="E776" s="34">
        <f>IF(OR(D776="-",D776="",D776=0),IF(C776="-","-",C776),C776-D776)</f>
        <v>0</v>
      </c>
      <c r="F776" s="4">
        <f>IFERROR(IF(C776&gt;0, D776/C776, 0),"-")</f>
        <v>1</v>
      </c>
      <c r="G776" s="34" t="s">
        <v>959</v>
      </c>
      <c r="H776" s="35" t="s">
        <v>959</v>
      </c>
      <c r="I776" s="34" t="str">
        <f>IF(OR(H776="-",H776="",H776=0),IF(G776="-","-",G776),G776-H776)</f>
        <v>-</v>
      </c>
      <c r="J776" s="4" t="str">
        <f>IFERROR(IF(G776&gt;0, H776/G776, 0),"-")</f>
        <v>-</v>
      </c>
      <c r="K776" s="34" t="s">
        <v>959</v>
      </c>
      <c r="L776" s="35" t="s">
        <v>959</v>
      </c>
      <c r="M776" s="34" t="str">
        <f>IF(OR(L776="-",L776="",L776=0),IF(K776="-","-",K776),K776-L776)</f>
        <v>-</v>
      </c>
      <c r="N776" s="4" t="str">
        <f>IFERROR(IF(K776&gt;0, L776/K776, 0),"-")</f>
        <v>-</v>
      </c>
      <c r="O776" s="34" t="s">
        <v>959</v>
      </c>
      <c r="P776" s="35" t="s">
        <v>959</v>
      </c>
      <c r="Q776" s="34" t="str">
        <f>IF(OR(P776="-",P776="",P776=0),IF(O776="-","-",O776),O776-P776)</f>
        <v>-</v>
      </c>
      <c r="R776" s="4" t="str">
        <f>IFERROR(IF(O776&gt;0, P776/O776, 0),"-")</f>
        <v>-</v>
      </c>
      <c r="S776" s="34" t="s">
        <v>959</v>
      </c>
      <c r="T776" s="34" t="s">
        <v>959</v>
      </c>
      <c r="U776" s="34" t="s">
        <v>959</v>
      </c>
      <c r="V776" s="35" t="s">
        <v>959</v>
      </c>
      <c r="W776" s="35" t="s">
        <v>959</v>
      </c>
    </row>
    <row r="777" spans="1:23" x14ac:dyDescent="0.2">
      <c r="A777" s="30" t="s">
        <v>214</v>
      </c>
      <c r="B777" s="30" t="s">
        <v>1442</v>
      </c>
      <c r="C777" s="34">
        <v>98</v>
      </c>
      <c r="D777" s="35">
        <v>97</v>
      </c>
      <c r="E777" s="34">
        <f>IF(OR(D777="-",D777="",D777=0),IF(C777="-","-",C777),C777-D777)</f>
        <v>1</v>
      </c>
      <c r="F777" s="4">
        <f>IFERROR(IF(C777&gt;0, D777/C777, 0),"-")</f>
        <v>0.98979591836734693</v>
      </c>
      <c r="G777" s="34" t="s">
        <v>959</v>
      </c>
      <c r="H777" s="35" t="s">
        <v>959</v>
      </c>
      <c r="I777" s="34" t="str">
        <f>IF(OR(H777="-",H777="",H777=0),IF(G777="-","-",G777),G777-H777)</f>
        <v>-</v>
      </c>
      <c r="J777" s="4" t="str">
        <f>IFERROR(IF(G777&gt;0, H777/G777, 0),"-")</f>
        <v>-</v>
      </c>
      <c r="K777" s="34" t="s">
        <v>959</v>
      </c>
      <c r="L777" s="35" t="s">
        <v>959</v>
      </c>
      <c r="M777" s="34" t="str">
        <f>IF(OR(L777="-",L777="",L777=0),IF(K777="-","-",K777),K777-L777)</f>
        <v>-</v>
      </c>
      <c r="N777" s="4" t="str">
        <f>IFERROR(IF(K777&gt;0, L777/K777, 0),"-")</f>
        <v>-</v>
      </c>
      <c r="O777" s="34">
        <v>1</v>
      </c>
      <c r="P777" s="35">
        <v>1</v>
      </c>
      <c r="Q777" s="34">
        <f>IF(OR(P777="-",P777="",P777=0),IF(O777="-","-",O777),O777-P777)</f>
        <v>0</v>
      </c>
      <c r="R777" s="4">
        <f>IFERROR(IF(O777&gt;0, P777/O777, 0),"-")</f>
        <v>1</v>
      </c>
      <c r="S777" s="34" t="s">
        <v>959</v>
      </c>
      <c r="T777" s="34" t="s">
        <v>959</v>
      </c>
      <c r="U777" s="34" t="s">
        <v>959</v>
      </c>
      <c r="V777" s="35" t="s">
        <v>959</v>
      </c>
      <c r="W777" s="35" t="s">
        <v>959</v>
      </c>
    </row>
    <row r="778" spans="1:23" x14ac:dyDescent="0.2">
      <c r="A778" s="30" t="s">
        <v>208</v>
      </c>
      <c r="B778" s="30" t="s">
        <v>1443</v>
      </c>
      <c r="C778" s="34">
        <v>86</v>
      </c>
      <c r="D778" s="35">
        <v>84</v>
      </c>
      <c r="E778" s="34">
        <f>IF(OR(D778="-",D778="",D778=0),IF(C778="-","-",C778),C778-D778)</f>
        <v>2</v>
      </c>
      <c r="F778" s="4">
        <f>IFERROR(IF(C778&gt;0, D778/C778, 0),"-")</f>
        <v>0.97674418604651159</v>
      </c>
      <c r="G778" s="34">
        <v>1</v>
      </c>
      <c r="H778" s="35" t="s">
        <v>959</v>
      </c>
      <c r="I778" s="34">
        <f>IF(OR(H778="-",H778="",H778=0),IF(G778="-","-",G778),G778-H778)</f>
        <v>1</v>
      </c>
      <c r="J778" s="4" t="str">
        <f>IFERROR(IF(G778&gt;0, H778/G778, 0),"-")</f>
        <v>-</v>
      </c>
      <c r="K778" s="34">
        <v>1</v>
      </c>
      <c r="L778" s="35">
        <v>1</v>
      </c>
      <c r="M778" s="34">
        <f>IF(OR(L778="-",L778="",L778=0),IF(K778="-","-",K778),K778-L778)</f>
        <v>0</v>
      </c>
      <c r="N778" s="4">
        <f>IFERROR(IF(K778&gt;0, L778/K778, 0),"-")</f>
        <v>1</v>
      </c>
      <c r="O778" s="34" t="s">
        <v>959</v>
      </c>
      <c r="P778" s="35" t="s">
        <v>959</v>
      </c>
      <c r="Q778" s="34" t="str">
        <f>IF(OR(P778="-",P778="",P778=0),IF(O778="-","-",O778),O778-P778)</f>
        <v>-</v>
      </c>
      <c r="R778" s="4" t="str">
        <f>IFERROR(IF(O778&gt;0, P778/O778, 0),"-")</f>
        <v>-</v>
      </c>
      <c r="S778" s="34" t="s">
        <v>959</v>
      </c>
      <c r="T778" s="34" t="s">
        <v>959</v>
      </c>
      <c r="U778" s="34" t="s">
        <v>959</v>
      </c>
      <c r="V778" s="35" t="s">
        <v>959</v>
      </c>
      <c r="W778" s="35" t="s">
        <v>959</v>
      </c>
    </row>
    <row r="779" spans="1:23" x14ac:dyDescent="0.2">
      <c r="A779" s="29"/>
      <c r="B779" s="29" t="s">
        <v>58</v>
      </c>
      <c r="C779" s="32">
        <v>342</v>
      </c>
      <c r="D779" s="32">
        <v>338</v>
      </c>
      <c r="E779" s="32">
        <f>IF(OR(D779="-",D779="",D779=0),IF(C779="-","-",C779),C779-D779)</f>
        <v>4</v>
      </c>
      <c r="F779" s="36">
        <f>IFERROR(IF(C779&gt;0, D779/C779, 0),"-")</f>
        <v>0.98830409356725146</v>
      </c>
      <c r="G779" s="32">
        <v>1</v>
      </c>
      <c r="H779" s="32" t="s">
        <v>959</v>
      </c>
      <c r="I779" s="32">
        <f>IF(OR(H779="-",H779="",H779=0),IF(G779="-","-",G779),G779-H779)</f>
        <v>1</v>
      </c>
      <c r="J779" s="36" t="str">
        <f>IFERROR(IF(G779&gt;0, H779/G779, 0),"-")</f>
        <v>-</v>
      </c>
      <c r="K779" s="32" t="s">
        <v>959</v>
      </c>
      <c r="L779" s="32" t="s">
        <v>959</v>
      </c>
      <c r="M779" s="32" t="str">
        <f>IF(OR(L779="-",L779="",L779=0),IF(K779="-","-",K779),K779-L779)</f>
        <v>-</v>
      </c>
      <c r="N779" s="36" t="str">
        <f>IFERROR(IF(K779&gt;0, L779/K779, 0),"-")</f>
        <v>-</v>
      </c>
      <c r="O779" s="32" t="s">
        <v>959</v>
      </c>
      <c r="P779" s="32" t="s">
        <v>959</v>
      </c>
      <c r="Q779" s="32" t="str">
        <f>IF(OR(P779="-",P779="",P779=0),IF(O779="-","-",O779),O779-P779)</f>
        <v>-</v>
      </c>
      <c r="R779" s="36" t="str">
        <f>IFERROR(IF(O779&gt;0, P779/O779, 0),"-")</f>
        <v>-</v>
      </c>
      <c r="S779" s="32">
        <v>2</v>
      </c>
      <c r="T779" s="32" t="s">
        <v>959</v>
      </c>
      <c r="U779" s="32" t="s">
        <v>959</v>
      </c>
      <c r="V779" s="32" t="s">
        <v>959</v>
      </c>
      <c r="W779" s="32" t="s">
        <v>959</v>
      </c>
    </row>
    <row r="780" spans="1:23" x14ac:dyDescent="0.2">
      <c r="A780" s="30" t="s">
        <v>361</v>
      </c>
      <c r="B780" s="30" t="s">
        <v>989</v>
      </c>
      <c r="C780" s="34">
        <v>108</v>
      </c>
      <c r="D780" s="35">
        <v>107</v>
      </c>
      <c r="E780" s="34">
        <f>IF(OR(D780="-",D780="",D780=0),IF(C780="-","-",C780),C780-D780)</f>
        <v>1</v>
      </c>
      <c r="F780" s="4">
        <f>IFERROR(IF(C780&gt;0, D780/C780, 0),"-")</f>
        <v>0.9907407407407407</v>
      </c>
      <c r="G780" s="34" t="s">
        <v>959</v>
      </c>
      <c r="H780" s="35" t="s">
        <v>959</v>
      </c>
      <c r="I780" s="34" t="str">
        <f>IF(OR(H780="-",H780="",H780=0),IF(G780="-","-",G780),G780-H780)</f>
        <v>-</v>
      </c>
      <c r="J780" s="4" t="str">
        <f>IFERROR(IF(G780&gt;0, H780/G780, 0),"-")</f>
        <v>-</v>
      </c>
      <c r="K780" s="34" t="s">
        <v>959</v>
      </c>
      <c r="L780" s="35" t="s">
        <v>959</v>
      </c>
      <c r="M780" s="34" t="str">
        <f>IF(OR(L780="-",L780="",L780=0),IF(K780="-","-",K780),K780-L780)</f>
        <v>-</v>
      </c>
      <c r="N780" s="4" t="str">
        <f>IFERROR(IF(K780&gt;0, L780/K780, 0),"-")</f>
        <v>-</v>
      </c>
      <c r="O780" s="34" t="s">
        <v>959</v>
      </c>
      <c r="P780" s="35" t="s">
        <v>959</v>
      </c>
      <c r="Q780" s="34" t="str">
        <f>IF(OR(P780="-",P780="",P780=0),IF(O780="-","-",O780),O780-P780)</f>
        <v>-</v>
      </c>
      <c r="R780" s="4" t="str">
        <f>IFERROR(IF(O780&gt;0, P780/O780, 0),"-")</f>
        <v>-</v>
      </c>
      <c r="S780" s="34">
        <v>1</v>
      </c>
      <c r="T780" s="34" t="s">
        <v>959</v>
      </c>
      <c r="U780" s="34" t="s">
        <v>959</v>
      </c>
      <c r="V780" s="35" t="s">
        <v>959</v>
      </c>
      <c r="W780" s="35" t="s">
        <v>959</v>
      </c>
    </row>
    <row r="781" spans="1:23" x14ac:dyDescent="0.2">
      <c r="A781" s="30" t="s">
        <v>358</v>
      </c>
      <c r="B781" s="30" t="s">
        <v>1444</v>
      </c>
      <c r="C781" s="34">
        <v>100</v>
      </c>
      <c r="D781" s="35">
        <v>97</v>
      </c>
      <c r="E781" s="34">
        <f>IF(OR(D781="-",D781="",D781=0),IF(C781="-","-",C781),C781-D781)</f>
        <v>3</v>
      </c>
      <c r="F781" s="4">
        <f>IFERROR(IF(C781&gt;0, D781/C781, 0),"-")</f>
        <v>0.97</v>
      </c>
      <c r="G781" s="34" t="s">
        <v>959</v>
      </c>
      <c r="H781" s="35" t="s">
        <v>959</v>
      </c>
      <c r="I781" s="34" t="str">
        <f>IF(OR(H781="-",H781="",H781=0),IF(G781="-","-",G781),G781-H781)</f>
        <v>-</v>
      </c>
      <c r="J781" s="4" t="str">
        <f>IFERROR(IF(G781&gt;0, H781/G781, 0),"-")</f>
        <v>-</v>
      </c>
      <c r="K781" s="34" t="s">
        <v>959</v>
      </c>
      <c r="L781" s="35" t="s">
        <v>959</v>
      </c>
      <c r="M781" s="34" t="str">
        <f>IF(OR(L781="-",L781="",L781=0),IF(K781="-","-",K781),K781-L781)</f>
        <v>-</v>
      </c>
      <c r="N781" s="4" t="str">
        <f>IFERROR(IF(K781&gt;0, L781/K781, 0),"-")</f>
        <v>-</v>
      </c>
      <c r="O781" s="34" t="s">
        <v>959</v>
      </c>
      <c r="P781" s="35" t="s">
        <v>959</v>
      </c>
      <c r="Q781" s="34" t="str">
        <f>IF(OR(P781="-",P781="",P781=0),IF(O781="-","-",O781),O781-P781)</f>
        <v>-</v>
      </c>
      <c r="R781" s="4" t="str">
        <f>IFERROR(IF(O781&gt;0, P781/O781, 0),"-")</f>
        <v>-</v>
      </c>
      <c r="S781" s="34">
        <v>1</v>
      </c>
      <c r="T781" s="34" t="s">
        <v>959</v>
      </c>
      <c r="U781" s="34" t="s">
        <v>959</v>
      </c>
      <c r="V781" s="35" t="s">
        <v>959</v>
      </c>
      <c r="W781" s="35" t="s">
        <v>959</v>
      </c>
    </row>
    <row r="782" spans="1:23" x14ac:dyDescent="0.2">
      <c r="A782" s="30" t="s">
        <v>357</v>
      </c>
      <c r="B782" s="30" t="s">
        <v>1445</v>
      </c>
      <c r="C782" s="34">
        <v>55</v>
      </c>
      <c r="D782" s="35">
        <v>55</v>
      </c>
      <c r="E782" s="34">
        <f>IF(OR(D782="-",D782="",D782=0),IF(C782="-","-",C782),C782-D782)</f>
        <v>0</v>
      </c>
      <c r="F782" s="4">
        <f>IFERROR(IF(C782&gt;0, D782/C782, 0),"-")</f>
        <v>1</v>
      </c>
      <c r="G782" s="34" t="s">
        <v>959</v>
      </c>
      <c r="H782" s="35" t="s">
        <v>959</v>
      </c>
      <c r="I782" s="34" t="str">
        <f>IF(OR(H782="-",H782="",H782=0),IF(G782="-","-",G782),G782-H782)</f>
        <v>-</v>
      </c>
      <c r="J782" s="4" t="str">
        <f>IFERROR(IF(G782&gt;0, H782/G782, 0),"-")</f>
        <v>-</v>
      </c>
      <c r="K782" s="34" t="s">
        <v>959</v>
      </c>
      <c r="L782" s="35" t="s">
        <v>959</v>
      </c>
      <c r="M782" s="34" t="str">
        <f>IF(OR(L782="-",L782="",L782=0),IF(K782="-","-",K782),K782-L782)</f>
        <v>-</v>
      </c>
      <c r="N782" s="4" t="str">
        <f>IFERROR(IF(K782&gt;0, L782/K782, 0),"-")</f>
        <v>-</v>
      </c>
      <c r="O782" s="34" t="s">
        <v>959</v>
      </c>
      <c r="P782" s="35" t="s">
        <v>959</v>
      </c>
      <c r="Q782" s="34" t="str">
        <f>IF(OR(P782="-",P782="",P782=0),IF(O782="-","-",O782),O782-P782)</f>
        <v>-</v>
      </c>
      <c r="R782" s="4" t="str">
        <f>IFERROR(IF(O782&gt;0, P782/O782, 0),"-")</f>
        <v>-</v>
      </c>
      <c r="S782" s="34" t="s">
        <v>959</v>
      </c>
      <c r="T782" s="34" t="s">
        <v>959</v>
      </c>
      <c r="U782" s="34" t="s">
        <v>959</v>
      </c>
      <c r="V782" s="35" t="s">
        <v>959</v>
      </c>
      <c r="W782" s="35" t="s">
        <v>959</v>
      </c>
    </row>
    <row r="783" spans="1:23" x14ac:dyDescent="0.2">
      <c r="A783" s="30" t="s">
        <v>360</v>
      </c>
      <c r="B783" s="30" t="s">
        <v>1446</v>
      </c>
      <c r="C783" s="34">
        <v>63</v>
      </c>
      <c r="D783" s="35">
        <v>63</v>
      </c>
      <c r="E783" s="34">
        <f>IF(OR(D783="-",D783="",D783=0),IF(C783="-","-",C783),C783-D783)</f>
        <v>0</v>
      </c>
      <c r="F783" s="4">
        <f>IFERROR(IF(C783&gt;0, D783/C783, 0),"-")</f>
        <v>1</v>
      </c>
      <c r="G783" s="34">
        <v>1</v>
      </c>
      <c r="H783" s="35" t="s">
        <v>959</v>
      </c>
      <c r="I783" s="34">
        <f>IF(OR(H783="-",H783="",H783=0),IF(G783="-","-",G783),G783-H783)</f>
        <v>1</v>
      </c>
      <c r="J783" s="4" t="str">
        <f>IFERROR(IF(G783&gt;0, H783/G783, 0),"-")</f>
        <v>-</v>
      </c>
      <c r="K783" s="34" t="s">
        <v>959</v>
      </c>
      <c r="L783" s="35" t="s">
        <v>959</v>
      </c>
      <c r="M783" s="34" t="str">
        <f>IF(OR(L783="-",L783="",L783=0),IF(K783="-","-",K783),K783-L783)</f>
        <v>-</v>
      </c>
      <c r="N783" s="4" t="str">
        <f>IFERROR(IF(K783&gt;0, L783/K783, 0),"-")</f>
        <v>-</v>
      </c>
      <c r="O783" s="34" t="s">
        <v>959</v>
      </c>
      <c r="P783" s="35" t="s">
        <v>959</v>
      </c>
      <c r="Q783" s="34" t="str">
        <f>IF(OR(P783="-",P783="",P783=0),IF(O783="-","-",O783),O783-P783)</f>
        <v>-</v>
      </c>
      <c r="R783" s="4" t="str">
        <f>IFERROR(IF(O783&gt;0, P783/O783, 0),"-")</f>
        <v>-</v>
      </c>
      <c r="S783" s="34" t="s">
        <v>959</v>
      </c>
      <c r="T783" s="34" t="s">
        <v>959</v>
      </c>
      <c r="U783" s="34" t="s">
        <v>959</v>
      </c>
      <c r="V783" s="35" t="s">
        <v>959</v>
      </c>
      <c r="W783" s="35" t="s">
        <v>959</v>
      </c>
    </row>
    <row r="784" spans="1:23" x14ac:dyDescent="0.2">
      <c r="A784" s="30" t="s">
        <v>367</v>
      </c>
      <c r="B784" s="30" t="s">
        <v>1447</v>
      </c>
      <c r="C784" s="34" t="s">
        <v>959</v>
      </c>
      <c r="D784" s="35" t="s">
        <v>959</v>
      </c>
      <c r="E784" s="34" t="str">
        <f>IF(OR(D784="-",D784="",D784=0),IF(C784="-","-",C784),C784-D784)</f>
        <v>-</v>
      </c>
      <c r="F784" s="4" t="str">
        <f>IFERROR(IF(C784&gt;0, D784/C784, 0),"-")</f>
        <v>-</v>
      </c>
      <c r="G784" s="34" t="s">
        <v>959</v>
      </c>
      <c r="H784" s="35" t="s">
        <v>959</v>
      </c>
      <c r="I784" s="34" t="str">
        <f>IF(OR(H784="-",H784="",H784=0),IF(G784="-","-",G784),G784-H784)</f>
        <v>-</v>
      </c>
      <c r="J784" s="4" t="str">
        <f>IFERROR(IF(G784&gt;0, H784/G784, 0),"-")</f>
        <v>-</v>
      </c>
      <c r="K784" s="34" t="s">
        <v>959</v>
      </c>
      <c r="L784" s="35" t="s">
        <v>959</v>
      </c>
      <c r="M784" s="34" t="str">
        <f>IF(OR(L784="-",L784="",L784=0),IF(K784="-","-",K784),K784-L784)</f>
        <v>-</v>
      </c>
      <c r="N784" s="4" t="str">
        <f>IFERROR(IF(K784&gt;0, L784/K784, 0),"-")</f>
        <v>-</v>
      </c>
      <c r="O784" s="34" t="s">
        <v>959</v>
      </c>
      <c r="P784" s="35" t="s">
        <v>959</v>
      </c>
      <c r="Q784" s="34" t="str">
        <f>IF(OR(P784="-",P784="",P784=0),IF(O784="-","-",O784),O784-P784)</f>
        <v>-</v>
      </c>
      <c r="R784" s="4" t="str">
        <f>IFERROR(IF(O784&gt;0, P784/O784, 0),"-")</f>
        <v>-</v>
      </c>
      <c r="S784" s="34" t="s">
        <v>959</v>
      </c>
      <c r="T784" s="34" t="s">
        <v>959</v>
      </c>
      <c r="U784" s="34" t="s">
        <v>959</v>
      </c>
      <c r="V784" s="35" t="s">
        <v>959</v>
      </c>
      <c r="W784" s="35" t="s">
        <v>959</v>
      </c>
    </row>
    <row r="785" spans="1:23" x14ac:dyDescent="0.2">
      <c r="A785" s="30" t="s">
        <v>359</v>
      </c>
      <c r="B785" s="30" t="s">
        <v>1448</v>
      </c>
      <c r="C785" s="34">
        <v>16</v>
      </c>
      <c r="D785" s="35">
        <v>16</v>
      </c>
      <c r="E785" s="34">
        <f>IF(OR(D785="-",D785="",D785=0),IF(C785="-","-",C785),C785-D785)</f>
        <v>0</v>
      </c>
      <c r="F785" s="4">
        <f>IFERROR(IF(C785&gt;0, D785/C785, 0),"-")</f>
        <v>1</v>
      </c>
      <c r="G785" s="34" t="s">
        <v>959</v>
      </c>
      <c r="H785" s="35" t="s">
        <v>959</v>
      </c>
      <c r="I785" s="34" t="str">
        <f>IF(OR(H785="-",H785="",H785=0),IF(G785="-","-",G785),G785-H785)</f>
        <v>-</v>
      </c>
      <c r="J785" s="4" t="str">
        <f>IFERROR(IF(G785&gt;0, H785/G785, 0),"-")</f>
        <v>-</v>
      </c>
      <c r="K785" s="34" t="s">
        <v>959</v>
      </c>
      <c r="L785" s="35" t="s">
        <v>959</v>
      </c>
      <c r="M785" s="34" t="str">
        <f>IF(OR(L785="-",L785="",L785=0),IF(K785="-","-",K785),K785-L785)</f>
        <v>-</v>
      </c>
      <c r="N785" s="4" t="str">
        <f>IFERROR(IF(K785&gt;0, L785/K785, 0),"-")</f>
        <v>-</v>
      </c>
      <c r="O785" s="34" t="s">
        <v>959</v>
      </c>
      <c r="P785" s="35" t="s">
        <v>959</v>
      </c>
      <c r="Q785" s="34" t="str">
        <f>IF(OR(P785="-",P785="",P785=0),IF(O785="-","-",O785),O785-P785)</f>
        <v>-</v>
      </c>
      <c r="R785" s="4" t="str">
        <f>IFERROR(IF(O785&gt;0, P785/O785, 0),"-")</f>
        <v>-</v>
      </c>
      <c r="S785" s="34" t="s">
        <v>959</v>
      </c>
      <c r="T785" s="34" t="s">
        <v>959</v>
      </c>
      <c r="U785" s="34" t="s">
        <v>959</v>
      </c>
      <c r="V785" s="35" t="s">
        <v>959</v>
      </c>
      <c r="W785" s="35" t="s">
        <v>959</v>
      </c>
    </row>
    <row r="786" spans="1:23" x14ac:dyDescent="0.2">
      <c r="A786" s="29"/>
      <c r="B786" s="29" t="s">
        <v>43</v>
      </c>
      <c r="C786" s="32">
        <v>599</v>
      </c>
      <c r="D786" s="32">
        <v>590</v>
      </c>
      <c r="E786" s="32">
        <f>IF(OR(D786="-",D786="",D786=0),IF(C786="-","-",C786),C786-D786)</f>
        <v>9</v>
      </c>
      <c r="F786" s="36">
        <f>IFERROR(IF(C786&gt;0, D786/C786, 0),"-")</f>
        <v>0.9849749582637729</v>
      </c>
      <c r="G786" s="32">
        <v>2</v>
      </c>
      <c r="H786" s="32" t="s">
        <v>959</v>
      </c>
      <c r="I786" s="32">
        <f>IF(OR(H786="-",H786="",H786=0),IF(G786="-","-",G786),G786-H786)</f>
        <v>2</v>
      </c>
      <c r="J786" s="36" t="str">
        <f>IFERROR(IF(G786&gt;0, H786/G786, 0),"-")</f>
        <v>-</v>
      </c>
      <c r="K786" s="32">
        <v>1</v>
      </c>
      <c r="L786" s="32">
        <v>1</v>
      </c>
      <c r="M786" s="32">
        <f>IF(OR(L786="-",L786="",L786=0),IF(K786="-","-",K786),K786-L786)</f>
        <v>0</v>
      </c>
      <c r="N786" s="36">
        <f>IFERROR(IF(K786&gt;0, L786/K786, 0),"-")</f>
        <v>1</v>
      </c>
      <c r="O786" s="32">
        <v>4</v>
      </c>
      <c r="P786" s="32" t="s">
        <v>959</v>
      </c>
      <c r="Q786" s="32">
        <f>IF(OR(P786="-",P786="",P786=0),IF(O786="-","-",O786),O786-P786)</f>
        <v>4</v>
      </c>
      <c r="R786" s="36" t="str">
        <f>IFERROR(IF(O786&gt;0, P786/O786, 0),"-")</f>
        <v>-</v>
      </c>
      <c r="S786" s="32">
        <v>2</v>
      </c>
      <c r="T786" s="32" t="s">
        <v>959</v>
      </c>
      <c r="U786" s="32" t="s">
        <v>959</v>
      </c>
      <c r="V786" s="32" t="s">
        <v>959</v>
      </c>
      <c r="W786" s="32" t="s">
        <v>959</v>
      </c>
    </row>
    <row r="787" spans="1:23" x14ac:dyDescent="0.2">
      <c r="A787" s="30" t="s">
        <v>229</v>
      </c>
      <c r="B787" s="30" t="s">
        <v>1449</v>
      </c>
      <c r="C787" s="34">
        <v>107</v>
      </c>
      <c r="D787" s="35">
        <v>103</v>
      </c>
      <c r="E787" s="34">
        <f>IF(OR(D787="-",D787="",D787=0),IF(C787="-","-",C787),C787-D787)</f>
        <v>4</v>
      </c>
      <c r="F787" s="4">
        <f>IFERROR(IF(C787&gt;0, D787/C787, 0),"-")</f>
        <v>0.96261682242990654</v>
      </c>
      <c r="G787" s="34" t="s">
        <v>959</v>
      </c>
      <c r="H787" s="35" t="s">
        <v>959</v>
      </c>
      <c r="I787" s="34" t="str">
        <f>IF(OR(H787="-",H787="",H787=0),IF(G787="-","-",G787),G787-H787)</f>
        <v>-</v>
      </c>
      <c r="J787" s="4" t="str">
        <f>IFERROR(IF(G787&gt;0, H787/G787, 0),"-")</f>
        <v>-</v>
      </c>
      <c r="K787" s="34" t="s">
        <v>959</v>
      </c>
      <c r="L787" s="35" t="s">
        <v>959</v>
      </c>
      <c r="M787" s="34" t="str">
        <f>IF(OR(L787="-",L787="",L787=0),IF(K787="-","-",K787),K787-L787)</f>
        <v>-</v>
      </c>
      <c r="N787" s="4" t="str">
        <f>IFERROR(IF(K787&gt;0, L787/K787, 0),"-")</f>
        <v>-</v>
      </c>
      <c r="O787" s="34">
        <v>1</v>
      </c>
      <c r="P787" s="35" t="s">
        <v>959</v>
      </c>
      <c r="Q787" s="34">
        <f>IF(OR(P787="-",P787="",P787=0),IF(O787="-","-",O787),O787-P787)</f>
        <v>1</v>
      </c>
      <c r="R787" s="4" t="str">
        <f>IFERROR(IF(O787&gt;0, P787/O787, 0),"-")</f>
        <v>-</v>
      </c>
      <c r="S787" s="34" t="s">
        <v>959</v>
      </c>
      <c r="T787" s="34" t="s">
        <v>959</v>
      </c>
      <c r="U787" s="34" t="s">
        <v>959</v>
      </c>
      <c r="V787" s="35" t="s">
        <v>959</v>
      </c>
      <c r="W787" s="35" t="s">
        <v>959</v>
      </c>
    </row>
    <row r="788" spans="1:23" x14ac:dyDescent="0.2">
      <c r="A788" s="30" t="s">
        <v>232</v>
      </c>
      <c r="B788" s="30" t="s">
        <v>1450</v>
      </c>
      <c r="C788" s="34">
        <v>82</v>
      </c>
      <c r="D788" s="35">
        <v>82</v>
      </c>
      <c r="E788" s="34">
        <f>IF(OR(D788="-",D788="",D788=0),IF(C788="-","-",C788),C788-D788)</f>
        <v>0</v>
      </c>
      <c r="F788" s="4">
        <f>IFERROR(IF(C788&gt;0, D788/C788, 0),"-")</f>
        <v>1</v>
      </c>
      <c r="G788" s="34" t="s">
        <v>959</v>
      </c>
      <c r="H788" s="35" t="s">
        <v>959</v>
      </c>
      <c r="I788" s="34" t="str">
        <f>IF(OR(H788="-",H788="",H788=0),IF(G788="-","-",G788),G788-H788)</f>
        <v>-</v>
      </c>
      <c r="J788" s="4" t="str">
        <f>IFERROR(IF(G788&gt;0, H788/G788, 0),"-")</f>
        <v>-</v>
      </c>
      <c r="K788" s="34" t="s">
        <v>959</v>
      </c>
      <c r="L788" s="35" t="s">
        <v>959</v>
      </c>
      <c r="M788" s="34" t="str">
        <f>IF(OR(L788="-",L788="",L788=0),IF(K788="-","-",K788),K788-L788)</f>
        <v>-</v>
      </c>
      <c r="N788" s="4" t="str">
        <f>IFERROR(IF(K788&gt;0, L788/K788, 0),"-")</f>
        <v>-</v>
      </c>
      <c r="O788" s="34">
        <v>2</v>
      </c>
      <c r="P788" s="35" t="s">
        <v>959</v>
      </c>
      <c r="Q788" s="34">
        <f>IF(OR(P788="-",P788="",P788=0),IF(O788="-","-",O788),O788-P788)</f>
        <v>2</v>
      </c>
      <c r="R788" s="4" t="str">
        <f>IFERROR(IF(O788&gt;0, P788/O788, 0),"-")</f>
        <v>-</v>
      </c>
      <c r="S788" s="34" t="s">
        <v>959</v>
      </c>
      <c r="T788" s="34" t="s">
        <v>959</v>
      </c>
      <c r="U788" s="34" t="s">
        <v>959</v>
      </c>
      <c r="V788" s="35" t="s">
        <v>959</v>
      </c>
      <c r="W788" s="35" t="s">
        <v>959</v>
      </c>
    </row>
    <row r="789" spans="1:23" x14ac:dyDescent="0.2">
      <c r="A789" s="30" t="s">
        <v>236</v>
      </c>
      <c r="B789" s="30" t="s">
        <v>1451</v>
      </c>
      <c r="C789" s="34">
        <v>83</v>
      </c>
      <c r="D789" s="35">
        <v>82</v>
      </c>
      <c r="E789" s="34">
        <f>IF(OR(D789="-",D789="",D789=0),IF(C789="-","-",C789),C789-D789)</f>
        <v>1</v>
      </c>
      <c r="F789" s="4">
        <f>IFERROR(IF(C789&gt;0, D789/C789, 0),"-")</f>
        <v>0.98795180722891562</v>
      </c>
      <c r="G789" s="34" t="s">
        <v>959</v>
      </c>
      <c r="H789" s="35" t="s">
        <v>959</v>
      </c>
      <c r="I789" s="34" t="str">
        <f>IF(OR(H789="-",H789="",H789=0),IF(G789="-","-",G789),G789-H789)</f>
        <v>-</v>
      </c>
      <c r="J789" s="4" t="str">
        <f>IFERROR(IF(G789&gt;0, H789/G789, 0),"-")</f>
        <v>-</v>
      </c>
      <c r="K789" s="34">
        <v>1</v>
      </c>
      <c r="L789" s="35">
        <v>1</v>
      </c>
      <c r="M789" s="34">
        <f>IF(OR(L789="-",L789="",L789=0),IF(K789="-","-",K789),K789-L789)</f>
        <v>0</v>
      </c>
      <c r="N789" s="4">
        <f>IFERROR(IF(K789&gt;0, L789/K789, 0),"-")</f>
        <v>1</v>
      </c>
      <c r="O789" s="34" t="s">
        <v>959</v>
      </c>
      <c r="P789" s="35" t="s">
        <v>959</v>
      </c>
      <c r="Q789" s="34" t="str">
        <f>IF(OR(P789="-",P789="",P789=0),IF(O789="-","-",O789),O789-P789)</f>
        <v>-</v>
      </c>
      <c r="R789" s="4" t="str">
        <f>IFERROR(IF(O789&gt;0, P789/O789, 0),"-")</f>
        <v>-</v>
      </c>
      <c r="S789" s="34" t="s">
        <v>959</v>
      </c>
      <c r="T789" s="34" t="s">
        <v>959</v>
      </c>
      <c r="U789" s="34" t="s">
        <v>959</v>
      </c>
      <c r="V789" s="35" t="s">
        <v>959</v>
      </c>
      <c r="W789" s="35" t="s">
        <v>959</v>
      </c>
    </row>
    <row r="790" spans="1:23" x14ac:dyDescent="0.2">
      <c r="A790" s="30" t="s">
        <v>235</v>
      </c>
      <c r="B790" s="30" t="s">
        <v>1452</v>
      </c>
      <c r="C790" s="34">
        <v>81</v>
      </c>
      <c r="D790" s="35">
        <v>80</v>
      </c>
      <c r="E790" s="34">
        <f>IF(OR(D790="-",D790="",D790=0),IF(C790="-","-",C790),C790-D790)</f>
        <v>1</v>
      </c>
      <c r="F790" s="4">
        <f>IFERROR(IF(C790&gt;0, D790/C790, 0),"-")</f>
        <v>0.98765432098765427</v>
      </c>
      <c r="G790" s="34">
        <v>1</v>
      </c>
      <c r="H790" s="35" t="s">
        <v>959</v>
      </c>
      <c r="I790" s="34">
        <f>IF(OR(H790="-",H790="",H790=0),IF(G790="-","-",G790),G790-H790)</f>
        <v>1</v>
      </c>
      <c r="J790" s="4" t="str">
        <f>IFERROR(IF(G790&gt;0, H790/G790, 0),"-")</f>
        <v>-</v>
      </c>
      <c r="K790" s="34" t="s">
        <v>959</v>
      </c>
      <c r="L790" s="35" t="s">
        <v>959</v>
      </c>
      <c r="M790" s="34" t="str">
        <f>IF(OR(L790="-",L790="",L790=0),IF(K790="-","-",K790),K790-L790)</f>
        <v>-</v>
      </c>
      <c r="N790" s="4" t="str">
        <f>IFERROR(IF(K790&gt;0, L790/K790, 0),"-")</f>
        <v>-</v>
      </c>
      <c r="O790" s="34" t="s">
        <v>959</v>
      </c>
      <c r="P790" s="35" t="s">
        <v>959</v>
      </c>
      <c r="Q790" s="34" t="str">
        <f>IF(OR(P790="-",P790="",P790=0),IF(O790="-","-",O790),O790-P790)</f>
        <v>-</v>
      </c>
      <c r="R790" s="4" t="str">
        <f>IFERROR(IF(O790&gt;0, P790/O790, 0),"-")</f>
        <v>-</v>
      </c>
      <c r="S790" s="34" t="s">
        <v>959</v>
      </c>
      <c r="T790" s="34" t="s">
        <v>959</v>
      </c>
      <c r="U790" s="34" t="s">
        <v>959</v>
      </c>
      <c r="V790" s="35" t="s">
        <v>959</v>
      </c>
      <c r="W790" s="35" t="s">
        <v>959</v>
      </c>
    </row>
    <row r="791" spans="1:23" x14ac:dyDescent="0.2">
      <c r="A791" s="30" t="s">
        <v>234</v>
      </c>
      <c r="B791" s="30" t="s">
        <v>1453</v>
      </c>
      <c r="C791" s="34">
        <v>15</v>
      </c>
      <c r="D791" s="35">
        <v>14</v>
      </c>
      <c r="E791" s="34">
        <f>IF(OR(D791="-",D791="",D791=0),IF(C791="-","-",C791),C791-D791)</f>
        <v>1</v>
      </c>
      <c r="F791" s="4">
        <f>IFERROR(IF(C791&gt;0, D791/C791, 0),"-")</f>
        <v>0.93333333333333335</v>
      </c>
      <c r="G791" s="34" t="s">
        <v>959</v>
      </c>
      <c r="H791" s="35" t="s">
        <v>959</v>
      </c>
      <c r="I791" s="34" t="str">
        <f>IF(OR(H791="-",H791="",H791=0),IF(G791="-","-",G791),G791-H791)</f>
        <v>-</v>
      </c>
      <c r="J791" s="4" t="str">
        <f>IFERROR(IF(G791&gt;0, H791/G791, 0),"-")</f>
        <v>-</v>
      </c>
      <c r="K791" s="34" t="s">
        <v>959</v>
      </c>
      <c r="L791" s="35" t="s">
        <v>959</v>
      </c>
      <c r="M791" s="34" t="str">
        <f>IF(OR(L791="-",L791="",L791=0),IF(K791="-","-",K791),K791-L791)</f>
        <v>-</v>
      </c>
      <c r="N791" s="4" t="str">
        <f>IFERROR(IF(K791&gt;0, L791/K791, 0),"-")</f>
        <v>-</v>
      </c>
      <c r="O791" s="34" t="s">
        <v>959</v>
      </c>
      <c r="P791" s="35" t="s">
        <v>959</v>
      </c>
      <c r="Q791" s="34" t="str">
        <f>IF(OR(P791="-",P791="",P791=0),IF(O791="-","-",O791),O791-P791)</f>
        <v>-</v>
      </c>
      <c r="R791" s="4" t="str">
        <f>IFERROR(IF(O791&gt;0, P791/O791, 0),"-")</f>
        <v>-</v>
      </c>
      <c r="S791" s="34" t="s">
        <v>959</v>
      </c>
      <c r="T791" s="34" t="s">
        <v>959</v>
      </c>
      <c r="U791" s="34" t="s">
        <v>959</v>
      </c>
      <c r="V791" s="35" t="s">
        <v>959</v>
      </c>
      <c r="W791" s="35" t="s">
        <v>959</v>
      </c>
    </row>
    <row r="792" spans="1:23" x14ac:dyDescent="0.2">
      <c r="A792" s="30" t="s">
        <v>231</v>
      </c>
      <c r="B792" s="30" t="s">
        <v>1446</v>
      </c>
      <c r="C792" s="34">
        <v>61</v>
      </c>
      <c r="D792" s="35">
        <v>61</v>
      </c>
      <c r="E792" s="34">
        <f>IF(OR(D792="-",D792="",D792=0),IF(C792="-","-",C792),C792-D792)</f>
        <v>0</v>
      </c>
      <c r="F792" s="4">
        <f>IFERROR(IF(C792&gt;0, D792/C792, 0),"-")</f>
        <v>1</v>
      </c>
      <c r="G792" s="34" t="s">
        <v>959</v>
      </c>
      <c r="H792" s="35" t="s">
        <v>959</v>
      </c>
      <c r="I792" s="34" t="str">
        <f>IF(OR(H792="-",H792="",H792=0),IF(G792="-","-",G792),G792-H792)</f>
        <v>-</v>
      </c>
      <c r="J792" s="4" t="str">
        <f>IFERROR(IF(G792&gt;0, H792/G792, 0),"-")</f>
        <v>-</v>
      </c>
      <c r="K792" s="34" t="s">
        <v>959</v>
      </c>
      <c r="L792" s="35" t="s">
        <v>959</v>
      </c>
      <c r="M792" s="34" t="str">
        <f>IF(OR(L792="-",L792="",L792=0),IF(K792="-","-",K792),K792-L792)</f>
        <v>-</v>
      </c>
      <c r="N792" s="4" t="str">
        <f>IFERROR(IF(K792&gt;0, L792/K792, 0),"-")</f>
        <v>-</v>
      </c>
      <c r="O792" s="34">
        <v>1</v>
      </c>
      <c r="P792" s="35" t="s">
        <v>959</v>
      </c>
      <c r="Q792" s="34">
        <f>IF(OR(P792="-",P792="",P792=0),IF(O792="-","-",O792),O792-P792)</f>
        <v>1</v>
      </c>
      <c r="R792" s="4" t="str">
        <f>IFERROR(IF(O792&gt;0, P792/O792, 0),"-")</f>
        <v>-</v>
      </c>
      <c r="S792" s="34">
        <v>2</v>
      </c>
      <c r="T792" s="34" t="s">
        <v>959</v>
      </c>
      <c r="U792" s="34" t="s">
        <v>959</v>
      </c>
      <c r="V792" s="35" t="s">
        <v>959</v>
      </c>
      <c r="W792" s="35" t="s">
        <v>959</v>
      </c>
    </row>
    <row r="793" spans="1:23" x14ac:dyDescent="0.2">
      <c r="A793" s="30" t="s">
        <v>237</v>
      </c>
      <c r="B793" s="30" t="s">
        <v>1454</v>
      </c>
      <c r="C793" s="34">
        <v>62</v>
      </c>
      <c r="D793" s="35">
        <v>62</v>
      </c>
      <c r="E793" s="34">
        <f>IF(OR(D793="-",D793="",D793=0),IF(C793="-","-",C793),C793-D793)</f>
        <v>0</v>
      </c>
      <c r="F793" s="4">
        <f>IFERROR(IF(C793&gt;0, D793/C793, 0),"-")</f>
        <v>1</v>
      </c>
      <c r="G793" s="34" t="s">
        <v>959</v>
      </c>
      <c r="H793" s="35" t="s">
        <v>959</v>
      </c>
      <c r="I793" s="34" t="str">
        <f>IF(OR(H793="-",H793="",H793=0),IF(G793="-","-",G793),G793-H793)</f>
        <v>-</v>
      </c>
      <c r="J793" s="4" t="str">
        <f>IFERROR(IF(G793&gt;0, H793/G793, 0),"-")</f>
        <v>-</v>
      </c>
      <c r="K793" s="34" t="s">
        <v>959</v>
      </c>
      <c r="L793" s="35" t="s">
        <v>959</v>
      </c>
      <c r="M793" s="34" t="str">
        <f>IF(OR(L793="-",L793="",L793=0),IF(K793="-","-",K793),K793-L793)</f>
        <v>-</v>
      </c>
      <c r="N793" s="4" t="str">
        <f>IFERROR(IF(K793&gt;0, L793/K793, 0),"-")</f>
        <v>-</v>
      </c>
      <c r="O793" s="34" t="s">
        <v>959</v>
      </c>
      <c r="P793" s="35" t="s">
        <v>959</v>
      </c>
      <c r="Q793" s="34" t="str">
        <f>IF(OR(P793="-",P793="",P793=0),IF(O793="-","-",O793),O793-P793)</f>
        <v>-</v>
      </c>
      <c r="R793" s="4" t="str">
        <f>IFERROR(IF(O793&gt;0, P793/O793, 0),"-")</f>
        <v>-</v>
      </c>
      <c r="S793" s="34" t="s">
        <v>959</v>
      </c>
      <c r="T793" s="34" t="s">
        <v>959</v>
      </c>
      <c r="U793" s="34" t="s">
        <v>959</v>
      </c>
      <c r="V793" s="35" t="s">
        <v>959</v>
      </c>
      <c r="W793" s="35" t="s">
        <v>959</v>
      </c>
    </row>
    <row r="794" spans="1:23" x14ac:dyDescent="0.2">
      <c r="A794" s="30" t="s">
        <v>230</v>
      </c>
      <c r="B794" s="30" t="s">
        <v>1455</v>
      </c>
      <c r="C794" s="34">
        <v>23</v>
      </c>
      <c r="D794" s="35">
        <v>22</v>
      </c>
      <c r="E794" s="34">
        <f>IF(OR(D794="-",D794="",D794=0),IF(C794="-","-",C794),C794-D794)</f>
        <v>1</v>
      </c>
      <c r="F794" s="4">
        <f>IFERROR(IF(C794&gt;0, D794/C794, 0),"-")</f>
        <v>0.95652173913043481</v>
      </c>
      <c r="G794" s="34" t="s">
        <v>959</v>
      </c>
      <c r="H794" s="35" t="s">
        <v>959</v>
      </c>
      <c r="I794" s="34" t="str">
        <f>IF(OR(H794="-",H794="",H794=0),IF(G794="-","-",G794),G794-H794)</f>
        <v>-</v>
      </c>
      <c r="J794" s="4" t="str">
        <f>IFERROR(IF(G794&gt;0, H794/G794, 0),"-")</f>
        <v>-</v>
      </c>
      <c r="K794" s="34" t="s">
        <v>959</v>
      </c>
      <c r="L794" s="35" t="s">
        <v>959</v>
      </c>
      <c r="M794" s="34" t="str">
        <f>IF(OR(L794="-",L794="",L794=0),IF(K794="-","-",K794),K794-L794)</f>
        <v>-</v>
      </c>
      <c r="N794" s="4" t="str">
        <f>IFERROR(IF(K794&gt;0, L794/K794, 0),"-")</f>
        <v>-</v>
      </c>
      <c r="O794" s="34" t="s">
        <v>959</v>
      </c>
      <c r="P794" s="35" t="s">
        <v>959</v>
      </c>
      <c r="Q794" s="34" t="str">
        <f>IF(OR(P794="-",P794="",P794=0),IF(O794="-","-",O794),O794-P794)</f>
        <v>-</v>
      </c>
      <c r="R794" s="4" t="str">
        <f>IFERROR(IF(O794&gt;0, P794/O794, 0),"-")</f>
        <v>-</v>
      </c>
      <c r="S794" s="34" t="s">
        <v>959</v>
      </c>
      <c r="T794" s="34" t="s">
        <v>959</v>
      </c>
      <c r="U794" s="34" t="s">
        <v>959</v>
      </c>
      <c r="V794" s="35" t="s">
        <v>959</v>
      </c>
      <c r="W794" s="35" t="s">
        <v>959</v>
      </c>
    </row>
    <row r="795" spans="1:23" x14ac:dyDescent="0.2">
      <c r="A795" s="30" t="s">
        <v>233</v>
      </c>
      <c r="B795" s="30" t="s">
        <v>1106</v>
      </c>
      <c r="C795" s="34">
        <v>85</v>
      </c>
      <c r="D795" s="35">
        <v>84</v>
      </c>
      <c r="E795" s="34">
        <f>IF(OR(D795="-",D795="",D795=0),IF(C795="-","-",C795),C795-D795)</f>
        <v>1</v>
      </c>
      <c r="F795" s="4">
        <f>IFERROR(IF(C795&gt;0, D795/C795, 0),"-")</f>
        <v>0.9882352941176471</v>
      </c>
      <c r="G795" s="34">
        <v>1</v>
      </c>
      <c r="H795" s="35" t="s">
        <v>959</v>
      </c>
      <c r="I795" s="34">
        <f>IF(OR(H795="-",H795="",H795=0),IF(G795="-","-",G795),G795-H795)</f>
        <v>1</v>
      </c>
      <c r="J795" s="4" t="str">
        <f>IFERROR(IF(G795&gt;0, H795/G795, 0),"-")</f>
        <v>-</v>
      </c>
      <c r="K795" s="34" t="s">
        <v>959</v>
      </c>
      <c r="L795" s="35" t="s">
        <v>959</v>
      </c>
      <c r="M795" s="34" t="str">
        <f>IF(OR(L795="-",L795="",L795=0),IF(K795="-","-",K795),K795-L795)</f>
        <v>-</v>
      </c>
      <c r="N795" s="4" t="str">
        <f>IFERROR(IF(K795&gt;0, L795/K795, 0),"-")</f>
        <v>-</v>
      </c>
      <c r="O795" s="34" t="s">
        <v>959</v>
      </c>
      <c r="P795" s="35" t="s">
        <v>959</v>
      </c>
      <c r="Q795" s="34" t="str">
        <f>IF(OR(P795="-",P795="",P795=0),IF(O795="-","-",O795),O795-P795)</f>
        <v>-</v>
      </c>
      <c r="R795" s="4" t="str">
        <f>IFERROR(IF(O795&gt;0, P795/O795, 0),"-")</f>
        <v>-</v>
      </c>
      <c r="S795" s="34" t="s">
        <v>959</v>
      </c>
      <c r="T795" s="34" t="s">
        <v>959</v>
      </c>
      <c r="U795" s="34" t="s">
        <v>959</v>
      </c>
      <c r="V795" s="35" t="s">
        <v>959</v>
      </c>
      <c r="W795" s="35" t="s">
        <v>959</v>
      </c>
    </row>
    <row r="796" spans="1:23" x14ac:dyDescent="0.2">
      <c r="A796" s="29"/>
      <c r="B796" s="29" t="s">
        <v>101</v>
      </c>
      <c r="C796" s="32">
        <v>851</v>
      </c>
      <c r="D796" s="32">
        <v>831</v>
      </c>
      <c r="E796" s="32">
        <f>IF(OR(D796="-",D796="",D796=0),IF(C796="-","-",C796),C796-D796)</f>
        <v>20</v>
      </c>
      <c r="F796" s="36">
        <f>IFERROR(IF(C796&gt;0, D796/C796, 0),"-")</f>
        <v>0.97649823736780261</v>
      </c>
      <c r="G796" s="32">
        <v>3</v>
      </c>
      <c r="H796" s="32" t="s">
        <v>959</v>
      </c>
      <c r="I796" s="32">
        <f>IF(OR(H796="-",H796="",H796=0),IF(G796="-","-",G796),G796-H796)</f>
        <v>3</v>
      </c>
      <c r="J796" s="36" t="str">
        <f>IFERROR(IF(G796&gt;0, H796/G796, 0),"-")</f>
        <v>-</v>
      </c>
      <c r="K796" s="32">
        <v>1</v>
      </c>
      <c r="L796" s="32" t="s">
        <v>959</v>
      </c>
      <c r="M796" s="32">
        <f>IF(OR(L796="-",L796="",L796=0),IF(K796="-","-",K796),K796-L796)</f>
        <v>1</v>
      </c>
      <c r="N796" s="36" t="str">
        <f>IFERROR(IF(K796&gt;0, L796/K796, 0),"-")</f>
        <v>-</v>
      </c>
      <c r="O796" s="32">
        <v>2</v>
      </c>
      <c r="P796" s="32" t="s">
        <v>959</v>
      </c>
      <c r="Q796" s="32">
        <f>IF(OR(P796="-",P796="",P796=0),IF(O796="-","-",O796),O796-P796)</f>
        <v>2</v>
      </c>
      <c r="R796" s="36" t="str">
        <f>IFERROR(IF(O796&gt;0, P796/O796, 0),"-")</f>
        <v>-</v>
      </c>
      <c r="S796" s="32">
        <v>6</v>
      </c>
      <c r="T796" s="32">
        <v>1</v>
      </c>
      <c r="U796" s="32">
        <v>100</v>
      </c>
      <c r="V796" s="32" t="s">
        <v>959</v>
      </c>
      <c r="W796" s="32" t="s">
        <v>959</v>
      </c>
    </row>
    <row r="797" spans="1:23" x14ac:dyDescent="0.2">
      <c r="A797" s="30" t="s">
        <v>712</v>
      </c>
      <c r="B797" s="30" t="s">
        <v>1456</v>
      </c>
      <c r="C797" s="34">
        <v>126</v>
      </c>
      <c r="D797" s="35">
        <v>122</v>
      </c>
      <c r="E797" s="34">
        <f>IF(OR(D797="-",D797="",D797=0),IF(C797="-","-",C797),C797-D797)</f>
        <v>4</v>
      </c>
      <c r="F797" s="4">
        <f>IFERROR(IF(C797&gt;0, D797/C797, 0),"-")</f>
        <v>0.96825396825396826</v>
      </c>
      <c r="G797" s="34" t="s">
        <v>959</v>
      </c>
      <c r="H797" s="35" t="s">
        <v>959</v>
      </c>
      <c r="I797" s="34" t="str">
        <f>IF(OR(H797="-",H797="",H797=0),IF(G797="-","-",G797),G797-H797)</f>
        <v>-</v>
      </c>
      <c r="J797" s="4" t="str">
        <f>IFERROR(IF(G797&gt;0, H797/G797, 0),"-")</f>
        <v>-</v>
      </c>
      <c r="K797" s="34" t="s">
        <v>959</v>
      </c>
      <c r="L797" s="35" t="s">
        <v>959</v>
      </c>
      <c r="M797" s="34" t="str">
        <f>IF(OR(L797="-",L797="",L797=0),IF(K797="-","-",K797),K797-L797)</f>
        <v>-</v>
      </c>
      <c r="N797" s="4" t="str">
        <f>IFERROR(IF(K797&gt;0, L797/K797, 0),"-")</f>
        <v>-</v>
      </c>
      <c r="O797" s="34" t="s">
        <v>959</v>
      </c>
      <c r="P797" s="35" t="s">
        <v>959</v>
      </c>
      <c r="Q797" s="34" t="str">
        <f>IF(OR(P797="-",P797="",P797=0),IF(O797="-","-",O797),O797-P797)</f>
        <v>-</v>
      </c>
      <c r="R797" s="4" t="str">
        <f>IFERROR(IF(O797&gt;0, P797/O797, 0),"-")</f>
        <v>-</v>
      </c>
      <c r="S797" s="34" t="s">
        <v>959</v>
      </c>
      <c r="T797" s="34" t="s">
        <v>959</v>
      </c>
      <c r="U797" s="34" t="s">
        <v>959</v>
      </c>
      <c r="V797" s="35" t="s">
        <v>959</v>
      </c>
      <c r="W797" s="35" t="s">
        <v>959</v>
      </c>
    </row>
    <row r="798" spans="1:23" x14ac:dyDescent="0.2">
      <c r="A798" s="30" t="s">
        <v>716</v>
      </c>
      <c r="B798" s="30" t="s">
        <v>1457</v>
      </c>
      <c r="C798" s="34">
        <v>92</v>
      </c>
      <c r="D798" s="35">
        <v>92</v>
      </c>
      <c r="E798" s="34">
        <f>IF(OR(D798="-",D798="",D798=0),IF(C798="-","-",C798),C798-D798)</f>
        <v>0</v>
      </c>
      <c r="F798" s="4">
        <f>IFERROR(IF(C798&gt;0, D798/C798, 0),"-")</f>
        <v>1</v>
      </c>
      <c r="G798" s="34" t="s">
        <v>959</v>
      </c>
      <c r="H798" s="35" t="s">
        <v>959</v>
      </c>
      <c r="I798" s="34" t="str">
        <f>IF(OR(H798="-",H798="",H798=0),IF(G798="-","-",G798),G798-H798)</f>
        <v>-</v>
      </c>
      <c r="J798" s="4" t="str">
        <f>IFERROR(IF(G798&gt;0, H798/G798, 0),"-")</f>
        <v>-</v>
      </c>
      <c r="K798" s="34" t="s">
        <v>959</v>
      </c>
      <c r="L798" s="35" t="s">
        <v>959</v>
      </c>
      <c r="M798" s="34" t="str">
        <f>IF(OR(L798="-",L798="",L798=0),IF(K798="-","-",K798),K798-L798)</f>
        <v>-</v>
      </c>
      <c r="N798" s="4" t="str">
        <f>IFERROR(IF(K798&gt;0, L798/K798, 0),"-")</f>
        <v>-</v>
      </c>
      <c r="O798" s="34" t="s">
        <v>959</v>
      </c>
      <c r="P798" s="35" t="s">
        <v>959</v>
      </c>
      <c r="Q798" s="34" t="str">
        <f>IF(OR(P798="-",P798="",P798=0),IF(O798="-","-",O798),O798-P798)</f>
        <v>-</v>
      </c>
      <c r="R798" s="4" t="str">
        <f>IFERROR(IF(O798&gt;0, P798/O798, 0),"-")</f>
        <v>-</v>
      </c>
      <c r="S798" s="34" t="s">
        <v>959</v>
      </c>
      <c r="T798" s="34" t="s">
        <v>959</v>
      </c>
      <c r="U798" s="34" t="s">
        <v>959</v>
      </c>
      <c r="V798" s="35" t="s">
        <v>959</v>
      </c>
      <c r="W798" s="35" t="s">
        <v>959</v>
      </c>
    </row>
    <row r="799" spans="1:23" x14ac:dyDescent="0.2">
      <c r="A799" s="30" t="s">
        <v>718</v>
      </c>
      <c r="B799" s="30" t="s">
        <v>1458</v>
      </c>
      <c r="C799" s="34">
        <v>107</v>
      </c>
      <c r="D799" s="35">
        <v>104</v>
      </c>
      <c r="E799" s="34">
        <f>IF(OR(D799="-",D799="",D799=0),IF(C799="-","-",C799),C799-D799)</f>
        <v>3</v>
      </c>
      <c r="F799" s="4">
        <f>IFERROR(IF(C799&gt;0, D799/C799, 0),"-")</f>
        <v>0.9719626168224299</v>
      </c>
      <c r="G799" s="34" t="s">
        <v>959</v>
      </c>
      <c r="H799" s="35" t="s">
        <v>959</v>
      </c>
      <c r="I799" s="34" t="str">
        <f>IF(OR(H799="-",H799="",H799=0),IF(G799="-","-",G799),G799-H799)</f>
        <v>-</v>
      </c>
      <c r="J799" s="4" t="str">
        <f>IFERROR(IF(G799&gt;0, H799/G799, 0),"-")</f>
        <v>-</v>
      </c>
      <c r="K799" s="34" t="s">
        <v>959</v>
      </c>
      <c r="L799" s="35" t="s">
        <v>959</v>
      </c>
      <c r="M799" s="34" t="str">
        <f>IF(OR(L799="-",L799="",L799=0),IF(K799="-","-",K799),K799-L799)</f>
        <v>-</v>
      </c>
      <c r="N799" s="4" t="str">
        <f>IFERROR(IF(K799&gt;0, L799/K799, 0),"-")</f>
        <v>-</v>
      </c>
      <c r="O799" s="34" t="s">
        <v>959</v>
      </c>
      <c r="P799" s="35" t="s">
        <v>959</v>
      </c>
      <c r="Q799" s="34" t="str">
        <f>IF(OR(P799="-",P799="",P799=0),IF(O799="-","-",O799),O799-P799)</f>
        <v>-</v>
      </c>
      <c r="R799" s="4" t="str">
        <f>IFERROR(IF(O799&gt;0, P799/O799, 0),"-")</f>
        <v>-</v>
      </c>
      <c r="S799" s="34" t="s">
        <v>959</v>
      </c>
      <c r="T799" s="34" t="s">
        <v>959</v>
      </c>
      <c r="U799" s="34" t="s">
        <v>959</v>
      </c>
      <c r="V799" s="35" t="s">
        <v>959</v>
      </c>
      <c r="W799" s="35" t="s">
        <v>959</v>
      </c>
    </row>
    <row r="800" spans="1:23" x14ac:dyDescent="0.2">
      <c r="A800" s="30" t="s">
        <v>715</v>
      </c>
      <c r="B800" s="30" t="s">
        <v>1459</v>
      </c>
      <c r="C800" s="34">
        <v>150</v>
      </c>
      <c r="D800" s="35">
        <v>147</v>
      </c>
      <c r="E800" s="34">
        <f>IF(OR(D800="-",D800="",D800=0),IF(C800="-","-",C800),C800-D800)</f>
        <v>3</v>
      </c>
      <c r="F800" s="4">
        <f>IFERROR(IF(C800&gt;0, D800/C800, 0),"-")</f>
        <v>0.98</v>
      </c>
      <c r="G800" s="34" t="s">
        <v>959</v>
      </c>
      <c r="H800" s="35" t="s">
        <v>959</v>
      </c>
      <c r="I800" s="34" t="str">
        <f>IF(OR(H800="-",H800="",H800=0),IF(G800="-","-",G800),G800-H800)</f>
        <v>-</v>
      </c>
      <c r="J800" s="4" t="str">
        <f>IFERROR(IF(G800&gt;0, H800/G800, 0),"-")</f>
        <v>-</v>
      </c>
      <c r="K800" s="34" t="s">
        <v>959</v>
      </c>
      <c r="L800" s="35" t="s">
        <v>959</v>
      </c>
      <c r="M800" s="34" t="str">
        <f>IF(OR(L800="-",L800="",L800=0),IF(K800="-","-",K800),K800-L800)</f>
        <v>-</v>
      </c>
      <c r="N800" s="4" t="str">
        <f>IFERROR(IF(K800&gt;0, L800/K800, 0),"-")</f>
        <v>-</v>
      </c>
      <c r="O800" s="34" t="s">
        <v>959</v>
      </c>
      <c r="P800" s="35" t="s">
        <v>959</v>
      </c>
      <c r="Q800" s="34" t="str">
        <f>IF(OR(P800="-",P800="",P800=0),IF(O800="-","-",O800),O800-P800)</f>
        <v>-</v>
      </c>
      <c r="R800" s="4" t="str">
        <f>IFERROR(IF(O800&gt;0, P800/O800, 0),"-")</f>
        <v>-</v>
      </c>
      <c r="S800" s="34">
        <v>3</v>
      </c>
      <c r="T800" s="34" t="s">
        <v>959</v>
      </c>
      <c r="U800" s="34" t="s">
        <v>959</v>
      </c>
      <c r="V800" s="35" t="s">
        <v>959</v>
      </c>
      <c r="W800" s="35" t="s">
        <v>959</v>
      </c>
    </row>
    <row r="801" spans="1:23" x14ac:dyDescent="0.2">
      <c r="A801" s="30" t="s">
        <v>714</v>
      </c>
      <c r="B801" s="30" t="s">
        <v>1460</v>
      </c>
      <c r="C801" s="34">
        <v>129</v>
      </c>
      <c r="D801" s="35">
        <v>127</v>
      </c>
      <c r="E801" s="34">
        <f>IF(OR(D801="-",D801="",D801=0),IF(C801="-","-",C801),C801-D801)</f>
        <v>2</v>
      </c>
      <c r="F801" s="4">
        <f>IFERROR(IF(C801&gt;0, D801/C801, 0),"-")</f>
        <v>0.98449612403100772</v>
      </c>
      <c r="G801" s="34" t="s">
        <v>959</v>
      </c>
      <c r="H801" s="35" t="s">
        <v>959</v>
      </c>
      <c r="I801" s="34" t="str">
        <f>IF(OR(H801="-",H801="",H801=0),IF(G801="-","-",G801),G801-H801)</f>
        <v>-</v>
      </c>
      <c r="J801" s="4" t="str">
        <f>IFERROR(IF(G801&gt;0, H801/G801, 0),"-")</f>
        <v>-</v>
      </c>
      <c r="K801" s="34" t="s">
        <v>959</v>
      </c>
      <c r="L801" s="35" t="s">
        <v>959</v>
      </c>
      <c r="M801" s="34" t="str">
        <f>IF(OR(L801="-",L801="",L801=0),IF(K801="-","-",K801),K801-L801)</f>
        <v>-</v>
      </c>
      <c r="N801" s="4" t="str">
        <f>IFERROR(IF(K801&gt;0, L801/K801, 0),"-")</f>
        <v>-</v>
      </c>
      <c r="O801" s="34" t="s">
        <v>959</v>
      </c>
      <c r="P801" s="35" t="s">
        <v>959</v>
      </c>
      <c r="Q801" s="34" t="str">
        <f>IF(OR(P801="-",P801="",P801=0),IF(O801="-","-",O801),O801-P801)</f>
        <v>-</v>
      </c>
      <c r="R801" s="4" t="str">
        <f>IFERROR(IF(O801&gt;0, P801/O801, 0),"-")</f>
        <v>-</v>
      </c>
      <c r="S801" s="34" t="s">
        <v>959</v>
      </c>
      <c r="T801" s="34" t="s">
        <v>959</v>
      </c>
      <c r="U801" s="34" t="s">
        <v>959</v>
      </c>
      <c r="V801" s="35" t="s">
        <v>959</v>
      </c>
      <c r="W801" s="35" t="s">
        <v>959</v>
      </c>
    </row>
    <row r="802" spans="1:23" x14ac:dyDescent="0.2">
      <c r="A802" s="30" t="s">
        <v>717</v>
      </c>
      <c r="B802" s="30" t="s">
        <v>1461</v>
      </c>
      <c r="C802" s="34">
        <v>126</v>
      </c>
      <c r="D802" s="35">
        <v>124</v>
      </c>
      <c r="E802" s="34">
        <f>IF(OR(D802="-",D802="",D802=0),IF(C802="-","-",C802),C802-D802)</f>
        <v>2</v>
      </c>
      <c r="F802" s="4">
        <f>IFERROR(IF(C802&gt;0, D802/C802, 0),"-")</f>
        <v>0.98412698412698407</v>
      </c>
      <c r="G802" s="34" t="s">
        <v>959</v>
      </c>
      <c r="H802" s="35" t="s">
        <v>959</v>
      </c>
      <c r="I802" s="34" t="str">
        <f>IF(OR(H802="-",H802="",H802=0),IF(G802="-","-",G802),G802-H802)</f>
        <v>-</v>
      </c>
      <c r="J802" s="4" t="str">
        <f>IFERROR(IF(G802&gt;0, H802/G802, 0),"-")</f>
        <v>-</v>
      </c>
      <c r="K802" s="34" t="s">
        <v>959</v>
      </c>
      <c r="L802" s="35" t="s">
        <v>959</v>
      </c>
      <c r="M802" s="34" t="str">
        <f>IF(OR(L802="-",L802="",L802=0),IF(K802="-","-",K802),K802-L802)</f>
        <v>-</v>
      </c>
      <c r="N802" s="4" t="str">
        <f>IFERROR(IF(K802&gt;0, L802/K802, 0),"-")</f>
        <v>-</v>
      </c>
      <c r="O802" s="34" t="s">
        <v>959</v>
      </c>
      <c r="P802" s="35" t="s">
        <v>959</v>
      </c>
      <c r="Q802" s="34" t="str">
        <f>IF(OR(P802="-",P802="",P802=0),IF(O802="-","-",O802),O802-P802)</f>
        <v>-</v>
      </c>
      <c r="R802" s="4" t="str">
        <f>IFERROR(IF(O802&gt;0, P802/O802, 0),"-")</f>
        <v>-</v>
      </c>
      <c r="S802" s="34">
        <v>1</v>
      </c>
      <c r="T802" s="34">
        <v>1</v>
      </c>
      <c r="U802" s="34">
        <v>100</v>
      </c>
      <c r="V802" s="35" t="s">
        <v>959</v>
      </c>
      <c r="W802" s="35" t="s">
        <v>959</v>
      </c>
    </row>
    <row r="803" spans="1:23" x14ac:dyDescent="0.2">
      <c r="A803" s="30" t="s">
        <v>732</v>
      </c>
      <c r="B803" s="30" t="s">
        <v>1462</v>
      </c>
      <c r="C803" s="34">
        <v>22</v>
      </c>
      <c r="D803" s="35">
        <v>19</v>
      </c>
      <c r="E803" s="34">
        <f>IF(OR(D803="-",D803="",D803=0),IF(C803="-","-",C803),C803-D803)</f>
        <v>3</v>
      </c>
      <c r="F803" s="4">
        <f>IFERROR(IF(C803&gt;0, D803/C803, 0),"-")</f>
        <v>0.86363636363636365</v>
      </c>
      <c r="G803" s="34" t="s">
        <v>959</v>
      </c>
      <c r="H803" s="35" t="s">
        <v>959</v>
      </c>
      <c r="I803" s="34" t="str">
        <f>IF(OR(H803="-",H803="",H803=0),IF(G803="-","-",G803),G803-H803)</f>
        <v>-</v>
      </c>
      <c r="J803" s="4" t="str">
        <f>IFERROR(IF(G803&gt;0, H803/G803, 0),"-")</f>
        <v>-</v>
      </c>
      <c r="K803" s="34">
        <v>1</v>
      </c>
      <c r="L803" s="35" t="s">
        <v>959</v>
      </c>
      <c r="M803" s="34">
        <f>IF(OR(L803="-",L803="",L803=0),IF(K803="-","-",K803),K803-L803)</f>
        <v>1</v>
      </c>
      <c r="N803" s="4" t="str">
        <f>IFERROR(IF(K803&gt;0, L803/K803, 0),"-")</f>
        <v>-</v>
      </c>
      <c r="O803" s="34">
        <v>2</v>
      </c>
      <c r="P803" s="35" t="s">
        <v>959</v>
      </c>
      <c r="Q803" s="34">
        <f>IF(OR(P803="-",P803="",P803=0),IF(O803="-","-",O803),O803-P803)</f>
        <v>2</v>
      </c>
      <c r="R803" s="4" t="str">
        <f>IFERROR(IF(O803&gt;0, P803/O803, 0),"-")</f>
        <v>-</v>
      </c>
      <c r="S803" s="34">
        <v>2</v>
      </c>
      <c r="T803" s="34" t="s">
        <v>959</v>
      </c>
      <c r="U803" s="34" t="s">
        <v>959</v>
      </c>
      <c r="V803" s="35" t="s">
        <v>959</v>
      </c>
      <c r="W803" s="35" t="s">
        <v>959</v>
      </c>
    </row>
    <row r="804" spans="1:23" x14ac:dyDescent="0.2">
      <c r="A804" s="30" t="s">
        <v>713</v>
      </c>
      <c r="B804" s="30" t="s">
        <v>1463</v>
      </c>
      <c r="C804" s="34">
        <v>99</v>
      </c>
      <c r="D804" s="35">
        <v>96</v>
      </c>
      <c r="E804" s="34">
        <f>IF(OR(D804="-",D804="",D804=0),IF(C804="-","-",C804),C804-D804)</f>
        <v>3</v>
      </c>
      <c r="F804" s="4">
        <f>IFERROR(IF(C804&gt;0, D804/C804, 0),"-")</f>
        <v>0.96969696969696972</v>
      </c>
      <c r="G804" s="34">
        <v>3</v>
      </c>
      <c r="H804" s="35" t="s">
        <v>959</v>
      </c>
      <c r="I804" s="34">
        <f>IF(OR(H804="-",H804="",H804=0),IF(G804="-","-",G804),G804-H804)</f>
        <v>3</v>
      </c>
      <c r="J804" s="4" t="str">
        <f>IFERROR(IF(G804&gt;0, H804/G804, 0),"-")</f>
        <v>-</v>
      </c>
      <c r="K804" s="34" t="s">
        <v>959</v>
      </c>
      <c r="L804" s="35" t="s">
        <v>959</v>
      </c>
      <c r="M804" s="34" t="str">
        <f>IF(OR(L804="-",L804="",L804=0),IF(K804="-","-",K804),K804-L804)</f>
        <v>-</v>
      </c>
      <c r="N804" s="4" t="str">
        <f>IFERROR(IF(K804&gt;0, L804/K804, 0),"-")</f>
        <v>-</v>
      </c>
      <c r="O804" s="34" t="s">
        <v>959</v>
      </c>
      <c r="P804" s="35" t="s">
        <v>959</v>
      </c>
      <c r="Q804" s="34" t="str">
        <f>IF(OR(P804="-",P804="",P804=0),IF(O804="-","-",O804),O804-P804)</f>
        <v>-</v>
      </c>
      <c r="R804" s="4" t="str">
        <f>IFERROR(IF(O804&gt;0, P804/O804, 0),"-")</f>
        <v>-</v>
      </c>
      <c r="S804" s="34" t="s">
        <v>959</v>
      </c>
      <c r="T804" s="34" t="s">
        <v>959</v>
      </c>
      <c r="U804" s="34" t="s">
        <v>959</v>
      </c>
      <c r="V804" s="35" t="s">
        <v>959</v>
      </c>
      <c r="W804" s="35" t="s">
        <v>959</v>
      </c>
    </row>
    <row r="805" spans="1:23" x14ac:dyDescent="0.2">
      <c r="A805" s="29"/>
      <c r="B805" s="29" t="s">
        <v>57</v>
      </c>
      <c r="C805" s="32">
        <v>257</v>
      </c>
      <c r="D805" s="32">
        <v>254</v>
      </c>
      <c r="E805" s="32">
        <f>IF(OR(D805="-",D805="",D805=0),IF(C805="-","-",C805),C805-D805)</f>
        <v>3</v>
      </c>
      <c r="F805" s="36">
        <f>IFERROR(IF(C805&gt;0, D805/C805, 0),"-")</f>
        <v>0.98832684824902728</v>
      </c>
      <c r="G805" s="32">
        <v>1</v>
      </c>
      <c r="H805" s="32" t="s">
        <v>959</v>
      </c>
      <c r="I805" s="32">
        <f>IF(OR(H805="-",H805="",H805=0),IF(G805="-","-",G805),G805-H805)</f>
        <v>1</v>
      </c>
      <c r="J805" s="36" t="str">
        <f>IFERROR(IF(G805&gt;0, H805/G805, 0),"-")</f>
        <v>-</v>
      </c>
      <c r="K805" s="32">
        <v>2</v>
      </c>
      <c r="L805" s="32" t="s">
        <v>959</v>
      </c>
      <c r="M805" s="32">
        <f>IF(OR(L805="-",L805="",L805=0),IF(K805="-","-",K805),K805-L805)</f>
        <v>2</v>
      </c>
      <c r="N805" s="36" t="str">
        <f>IFERROR(IF(K805&gt;0, L805/K805, 0),"-")</f>
        <v>-</v>
      </c>
      <c r="O805" s="32">
        <v>2</v>
      </c>
      <c r="P805" s="32" t="s">
        <v>959</v>
      </c>
      <c r="Q805" s="32">
        <f>IF(OR(P805="-",P805="",P805=0),IF(O805="-","-",O805),O805-P805)</f>
        <v>2</v>
      </c>
      <c r="R805" s="36" t="str">
        <f>IFERROR(IF(O805&gt;0, P805/O805, 0),"-")</f>
        <v>-</v>
      </c>
      <c r="S805" s="32">
        <v>1</v>
      </c>
      <c r="T805" s="32" t="s">
        <v>959</v>
      </c>
      <c r="U805" s="32" t="s">
        <v>959</v>
      </c>
      <c r="V805" s="32" t="s">
        <v>959</v>
      </c>
      <c r="W805" s="32" t="s">
        <v>959</v>
      </c>
    </row>
    <row r="806" spans="1:23" x14ac:dyDescent="0.2">
      <c r="A806" s="30" t="s">
        <v>356</v>
      </c>
      <c r="B806" s="30" t="s">
        <v>1464</v>
      </c>
      <c r="C806" s="34">
        <v>51</v>
      </c>
      <c r="D806" s="35">
        <v>50</v>
      </c>
      <c r="E806" s="34">
        <f>IF(OR(D806="-",D806="",D806=0),IF(C806="-","-",C806),C806-D806)</f>
        <v>1</v>
      </c>
      <c r="F806" s="4">
        <f>IFERROR(IF(C806&gt;0, D806/C806, 0),"-")</f>
        <v>0.98039215686274506</v>
      </c>
      <c r="G806" s="34" t="s">
        <v>959</v>
      </c>
      <c r="H806" s="35" t="s">
        <v>959</v>
      </c>
      <c r="I806" s="34" t="str">
        <f>IF(OR(H806="-",H806="",H806=0),IF(G806="-","-",G806),G806-H806)</f>
        <v>-</v>
      </c>
      <c r="J806" s="4" t="str">
        <f>IFERROR(IF(G806&gt;0, H806/G806, 0),"-")</f>
        <v>-</v>
      </c>
      <c r="K806" s="34">
        <v>1</v>
      </c>
      <c r="L806" s="35" t="s">
        <v>959</v>
      </c>
      <c r="M806" s="34">
        <f>IF(OR(L806="-",L806="",L806=0),IF(K806="-","-",K806),K806-L806)</f>
        <v>1</v>
      </c>
      <c r="N806" s="4" t="str">
        <f>IFERROR(IF(K806&gt;0, L806/K806, 0),"-")</f>
        <v>-</v>
      </c>
      <c r="O806" s="34">
        <v>1</v>
      </c>
      <c r="P806" s="35" t="s">
        <v>959</v>
      </c>
      <c r="Q806" s="34">
        <f>IF(OR(P806="-",P806="",P806=0),IF(O806="-","-",O806),O806-P806)</f>
        <v>1</v>
      </c>
      <c r="R806" s="4" t="str">
        <f>IFERROR(IF(O806&gt;0, P806/O806, 0),"-")</f>
        <v>-</v>
      </c>
      <c r="S806" s="34" t="s">
        <v>959</v>
      </c>
      <c r="T806" s="34" t="s">
        <v>959</v>
      </c>
      <c r="U806" s="34" t="s">
        <v>959</v>
      </c>
      <c r="V806" s="35" t="s">
        <v>959</v>
      </c>
      <c r="W806" s="35" t="s">
        <v>959</v>
      </c>
    </row>
    <row r="807" spans="1:23" x14ac:dyDescent="0.2">
      <c r="A807" s="30" t="s">
        <v>353</v>
      </c>
      <c r="B807" s="30" t="s">
        <v>1465</v>
      </c>
      <c r="C807" s="34">
        <v>95</v>
      </c>
      <c r="D807" s="35">
        <v>94</v>
      </c>
      <c r="E807" s="34">
        <f>IF(OR(D807="-",D807="",D807=0),IF(C807="-","-",C807),C807-D807)</f>
        <v>1</v>
      </c>
      <c r="F807" s="4">
        <f>IFERROR(IF(C807&gt;0, D807/C807, 0),"-")</f>
        <v>0.98947368421052628</v>
      </c>
      <c r="G807" s="34">
        <v>1</v>
      </c>
      <c r="H807" s="35" t="s">
        <v>959</v>
      </c>
      <c r="I807" s="34">
        <f>IF(OR(H807="-",H807="",H807=0),IF(G807="-","-",G807),G807-H807)</f>
        <v>1</v>
      </c>
      <c r="J807" s="4" t="str">
        <f>IFERROR(IF(G807&gt;0, H807/G807, 0),"-")</f>
        <v>-</v>
      </c>
      <c r="K807" s="34">
        <v>1</v>
      </c>
      <c r="L807" s="35" t="s">
        <v>959</v>
      </c>
      <c r="M807" s="34">
        <f>IF(OR(L807="-",L807="",L807=0),IF(K807="-","-",K807),K807-L807)</f>
        <v>1</v>
      </c>
      <c r="N807" s="4" t="str">
        <f>IFERROR(IF(K807&gt;0, L807/K807, 0),"-")</f>
        <v>-</v>
      </c>
      <c r="O807" s="34">
        <v>1</v>
      </c>
      <c r="P807" s="35" t="s">
        <v>959</v>
      </c>
      <c r="Q807" s="34">
        <f>IF(OR(P807="-",P807="",P807=0),IF(O807="-","-",O807),O807-P807)</f>
        <v>1</v>
      </c>
      <c r="R807" s="4" t="str">
        <f>IFERROR(IF(O807&gt;0, P807/O807, 0),"-")</f>
        <v>-</v>
      </c>
      <c r="S807" s="34">
        <v>1</v>
      </c>
      <c r="T807" s="34" t="s">
        <v>959</v>
      </c>
      <c r="U807" s="34" t="s">
        <v>959</v>
      </c>
      <c r="V807" s="35" t="s">
        <v>959</v>
      </c>
      <c r="W807" s="35" t="s">
        <v>959</v>
      </c>
    </row>
    <row r="808" spans="1:23" x14ac:dyDescent="0.2">
      <c r="A808" s="30" t="s">
        <v>354</v>
      </c>
      <c r="B808" s="30" t="s">
        <v>1466</v>
      </c>
      <c r="C808" s="34">
        <v>65</v>
      </c>
      <c r="D808" s="35">
        <v>65</v>
      </c>
      <c r="E808" s="34">
        <f>IF(OR(D808="-",D808="",D808=0),IF(C808="-","-",C808),C808-D808)</f>
        <v>0</v>
      </c>
      <c r="F808" s="4">
        <f>IFERROR(IF(C808&gt;0, D808/C808, 0),"-")</f>
        <v>1</v>
      </c>
      <c r="G808" s="34" t="s">
        <v>959</v>
      </c>
      <c r="H808" s="35" t="s">
        <v>959</v>
      </c>
      <c r="I808" s="34" t="str">
        <f>IF(OR(H808="-",H808="",H808=0),IF(G808="-","-",G808),G808-H808)</f>
        <v>-</v>
      </c>
      <c r="J808" s="4" t="str">
        <f>IFERROR(IF(G808&gt;0, H808/G808, 0),"-")</f>
        <v>-</v>
      </c>
      <c r="K808" s="34" t="s">
        <v>959</v>
      </c>
      <c r="L808" s="35" t="s">
        <v>959</v>
      </c>
      <c r="M808" s="34" t="str">
        <f>IF(OR(L808="-",L808="",L808=0),IF(K808="-","-",K808),K808-L808)</f>
        <v>-</v>
      </c>
      <c r="N808" s="4" t="str">
        <f>IFERROR(IF(K808&gt;0, L808/K808, 0),"-")</f>
        <v>-</v>
      </c>
      <c r="O808" s="34" t="s">
        <v>959</v>
      </c>
      <c r="P808" s="35" t="s">
        <v>959</v>
      </c>
      <c r="Q808" s="34" t="str">
        <f>IF(OR(P808="-",P808="",P808=0),IF(O808="-","-",O808),O808-P808)</f>
        <v>-</v>
      </c>
      <c r="R808" s="4" t="str">
        <f>IFERROR(IF(O808&gt;0, P808/O808, 0),"-")</f>
        <v>-</v>
      </c>
      <c r="S808" s="34" t="s">
        <v>959</v>
      </c>
      <c r="T808" s="34" t="s">
        <v>959</v>
      </c>
      <c r="U808" s="34" t="s">
        <v>959</v>
      </c>
      <c r="V808" s="35" t="s">
        <v>959</v>
      </c>
      <c r="W808" s="35" t="s">
        <v>959</v>
      </c>
    </row>
    <row r="809" spans="1:23" x14ac:dyDescent="0.2">
      <c r="A809" s="30" t="s">
        <v>355</v>
      </c>
      <c r="B809" s="30" t="s">
        <v>1467</v>
      </c>
      <c r="C809" s="34">
        <v>46</v>
      </c>
      <c r="D809" s="35">
        <v>45</v>
      </c>
      <c r="E809" s="34">
        <f>IF(OR(D809="-",D809="",D809=0),IF(C809="-","-",C809),C809-D809)</f>
        <v>1</v>
      </c>
      <c r="F809" s="4">
        <f>IFERROR(IF(C809&gt;0, D809/C809, 0),"-")</f>
        <v>0.97826086956521741</v>
      </c>
      <c r="G809" s="34" t="s">
        <v>959</v>
      </c>
      <c r="H809" s="35" t="s">
        <v>959</v>
      </c>
      <c r="I809" s="34" t="str">
        <f>IF(OR(H809="-",H809="",H809=0),IF(G809="-","-",G809),G809-H809)</f>
        <v>-</v>
      </c>
      <c r="J809" s="4" t="str">
        <f>IFERROR(IF(G809&gt;0, H809/G809, 0),"-")</f>
        <v>-</v>
      </c>
      <c r="K809" s="34" t="s">
        <v>959</v>
      </c>
      <c r="L809" s="35" t="s">
        <v>959</v>
      </c>
      <c r="M809" s="34" t="str">
        <f>IF(OR(L809="-",L809="",L809=0),IF(K809="-","-",K809),K809-L809)</f>
        <v>-</v>
      </c>
      <c r="N809" s="4" t="str">
        <f>IFERROR(IF(K809&gt;0, L809/K809, 0),"-")</f>
        <v>-</v>
      </c>
      <c r="O809" s="34" t="s">
        <v>959</v>
      </c>
      <c r="P809" s="35" t="s">
        <v>959</v>
      </c>
      <c r="Q809" s="34" t="str">
        <f>IF(OR(P809="-",P809="",P809=0),IF(O809="-","-",O809),O809-P809)</f>
        <v>-</v>
      </c>
      <c r="R809" s="4" t="str">
        <f>IFERROR(IF(O809&gt;0, P809/O809, 0),"-")</f>
        <v>-</v>
      </c>
      <c r="S809" s="34" t="s">
        <v>959</v>
      </c>
      <c r="T809" s="34" t="s">
        <v>959</v>
      </c>
      <c r="U809" s="34" t="s">
        <v>959</v>
      </c>
      <c r="V809" s="35" t="s">
        <v>959</v>
      </c>
      <c r="W809" s="35" t="s">
        <v>959</v>
      </c>
    </row>
    <row r="810" spans="1:23" x14ac:dyDescent="0.2">
      <c r="A810" s="29"/>
      <c r="B810" s="29" t="s">
        <v>80</v>
      </c>
      <c r="C810" s="32">
        <v>146</v>
      </c>
      <c r="D810" s="32">
        <v>141</v>
      </c>
      <c r="E810" s="32">
        <f>IF(OR(D810="-",D810="",D810=0),IF(C810="-","-",C810),C810-D810)</f>
        <v>5</v>
      </c>
      <c r="F810" s="36">
        <f>IFERROR(IF(C810&gt;0, D810/C810, 0),"-")</f>
        <v>0.96575342465753422</v>
      </c>
      <c r="G810" s="32">
        <v>3</v>
      </c>
      <c r="H810" s="32">
        <v>2</v>
      </c>
      <c r="I810" s="32">
        <f>IF(OR(H810="-",H810="",H810=0),IF(G810="-","-",G810),G810-H810)</f>
        <v>1</v>
      </c>
      <c r="J810" s="36">
        <f>IFERROR(IF(G810&gt;0, H810/G810, 0),"-")</f>
        <v>0.66666666666666663</v>
      </c>
      <c r="K810" s="32">
        <v>8</v>
      </c>
      <c r="L810" s="32">
        <v>3</v>
      </c>
      <c r="M810" s="32">
        <f>IF(OR(L810="-",L810="",L810=0),IF(K810="-","-",K810),K810-L810)</f>
        <v>5</v>
      </c>
      <c r="N810" s="36">
        <f>IFERROR(IF(K810&gt;0, L810/K810, 0),"-")</f>
        <v>0.375</v>
      </c>
      <c r="O810" s="32">
        <v>3</v>
      </c>
      <c r="P810" s="32" t="s">
        <v>959</v>
      </c>
      <c r="Q810" s="32">
        <f>IF(OR(P810="-",P810="",P810=0),IF(O810="-","-",O810),O810-P810)</f>
        <v>3</v>
      </c>
      <c r="R810" s="36" t="str">
        <f>IFERROR(IF(O810&gt;0, P810/O810, 0),"-")</f>
        <v>-</v>
      </c>
      <c r="S810" s="32">
        <v>1</v>
      </c>
      <c r="T810" s="32" t="s">
        <v>959</v>
      </c>
      <c r="U810" s="32" t="s">
        <v>959</v>
      </c>
      <c r="V810" s="32" t="s">
        <v>959</v>
      </c>
      <c r="W810" s="32" t="s">
        <v>959</v>
      </c>
    </row>
    <row r="811" spans="1:23" x14ac:dyDescent="0.2">
      <c r="A811" s="30" t="s">
        <v>535</v>
      </c>
      <c r="B811" s="30" t="s">
        <v>1468</v>
      </c>
      <c r="C811" s="34">
        <v>57</v>
      </c>
      <c r="D811" s="35">
        <v>57</v>
      </c>
      <c r="E811" s="34">
        <f>IF(OR(D811="-",D811="",D811=0),IF(C811="-","-",C811),C811-D811)</f>
        <v>0</v>
      </c>
      <c r="F811" s="4">
        <f>IFERROR(IF(C811&gt;0, D811/C811, 0),"-")</f>
        <v>1</v>
      </c>
      <c r="G811" s="34" t="s">
        <v>959</v>
      </c>
      <c r="H811" s="35" t="s">
        <v>959</v>
      </c>
      <c r="I811" s="34" t="str">
        <f>IF(OR(H811="-",H811="",H811=0),IF(G811="-","-",G811),G811-H811)</f>
        <v>-</v>
      </c>
      <c r="J811" s="4" t="str">
        <f>IFERROR(IF(G811&gt;0, H811/G811, 0),"-")</f>
        <v>-</v>
      </c>
      <c r="K811" s="34" t="s">
        <v>959</v>
      </c>
      <c r="L811" s="35" t="s">
        <v>959</v>
      </c>
      <c r="M811" s="34" t="str">
        <f>IF(OR(L811="-",L811="",L811=0),IF(K811="-","-",K811),K811-L811)</f>
        <v>-</v>
      </c>
      <c r="N811" s="4" t="str">
        <f>IFERROR(IF(K811&gt;0, L811/K811, 0),"-")</f>
        <v>-</v>
      </c>
      <c r="O811" s="34" t="s">
        <v>959</v>
      </c>
      <c r="P811" s="35" t="s">
        <v>959</v>
      </c>
      <c r="Q811" s="34" t="str">
        <f>IF(OR(P811="-",P811="",P811=0),IF(O811="-","-",O811),O811-P811)</f>
        <v>-</v>
      </c>
      <c r="R811" s="4" t="str">
        <f>IFERROR(IF(O811&gt;0, P811/O811, 0),"-")</f>
        <v>-</v>
      </c>
      <c r="S811" s="34" t="s">
        <v>959</v>
      </c>
      <c r="T811" s="34" t="s">
        <v>959</v>
      </c>
      <c r="U811" s="34" t="s">
        <v>959</v>
      </c>
      <c r="V811" s="35" t="s">
        <v>959</v>
      </c>
      <c r="W811" s="35" t="s">
        <v>959</v>
      </c>
    </row>
    <row r="812" spans="1:23" x14ac:dyDescent="0.2">
      <c r="A812" s="30" t="s">
        <v>536</v>
      </c>
      <c r="B812" s="30" t="s">
        <v>1469</v>
      </c>
      <c r="C812" s="34">
        <v>57</v>
      </c>
      <c r="D812" s="35">
        <v>57</v>
      </c>
      <c r="E812" s="34">
        <f>IF(OR(D812="-",D812="",D812=0),IF(C812="-","-",C812),C812-D812)</f>
        <v>0</v>
      </c>
      <c r="F812" s="4">
        <f>IFERROR(IF(C812&gt;0, D812/C812, 0),"-")</f>
        <v>1</v>
      </c>
      <c r="G812" s="34">
        <v>1</v>
      </c>
      <c r="H812" s="35">
        <v>1</v>
      </c>
      <c r="I812" s="34">
        <f>IF(OR(H812="-",H812="",H812=0),IF(G812="-","-",G812),G812-H812)</f>
        <v>0</v>
      </c>
      <c r="J812" s="4">
        <f>IFERROR(IF(G812&gt;0, H812/G812, 0),"-")</f>
        <v>1</v>
      </c>
      <c r="K812" s="34">
        <v>2</v>
      </c>
      <c r="L812" s="35" t="s">
        <v>959</v>
      </c>
      <c r="M812" s="34">
        <f>IF(OR(L812="-",L812="",L812=0),IF(K812="-","-",K812),K812-L812)</f>
        <v>2</v>
      </c>
      <c r="N812" s="4" t="str">
        <f>IFERROR(IF(K812&gt;0, L812/K812, 0),"-")</f>
        <v>-</v>
      </c>
      <c r="O812" s="34">
        <v>2</v>
      </c>
      <c r="P812" s="35" t="s">
        <v>959</v>
      </c>
      <c r="Q812" s="34">
        <f>IF(OR(P812="-",P812="",P812=0),IF(O812="-","-",O812),O812-P812)</f>
        <v>2</v>
      </c>
      <c r="R812" s="4" t="str">
        <f>IFERROR(IF(O812&gt;0, P812/O812, 0),"-")</f>
        <v>-</v>
      </c>
      <c r="S812" s="34" t="s">
        <v>959</v>
      </c>
      <c r="T812" s="34" t="s">
        <v>959</v>
      </c>
      <c r="U812" s="34" t="s">
        <v>959</v>
      </c>
      <c r="V812" s="35" t="s">
        <v>959</v>
      </c>
      <c r="W812" s="35" t="s">
        <v>959</v>
      </c>
    </row>
    <row r="813" spans="1:23" x14ac:dyDescent="0.2">
      <c r="A813" s="30" t="s">
        <v>538</v>
      </c>
      <c r="B813" s="30" t="s">
        <v>1470</v>
      </c>
      <c r="C813" s="34" t="s">
        <v>959</v>
      </c>
      <c r="D813" s="35" t="s">
        <v>959</v>
      </c>
      <c r="E813" s="34" t="str">
        <f>IF(OR(D813="-",D813="",D813=0),IF(C813="-","-",C813),C813-D813)</f>
        <v>-</v>
      </c>
      <c r="F813" s="4" t="str">
        <f>IFERROR(IF(C813&gt;0, D813/C813, 0),"-")</f>
        <v>-</v>
      </c>
      <c r="G813" s="34" t="s">
        <v>959</v>
      </c>
      <c r="H813" s="35" t="s">
        <v>959</v>
      </c>
      <c r="I813" s="34" t="str">
        <f>IF(OR(H813="-",H813="",H813=0),IF(G813="-","-",G813),G813-H813)</f>
        <v>-</v>
      </c>
      <c r="J813" s="4" t="str">
        <f>IFERROR(IF(G813&gt;0, H813/G813, 0),"-")</f>
        <v>-</v>
      </c>
      <c r="K813" s="34" t="s">
        <v>959</v>
      </c>
      <c r="L813" s="35" t="s">
        <v>959</v>
      </c>
      <c r="M813" s="34" t="str">
        <f>IF(OR(L813="-",L813="",L813=0),IF(K813="-","-",K813),K813-L813)</f>
        <v>-</v>
      </c>
      <c r="N813" s="4" t="str">
        <f>IFERROR(IF(K813&gt;0, L813/K813, 0),"-")</f>
        <v>-</v>
      </c>
      <c r="O813" s="34">
        <v>1</v>
      </c>
      <c r="P813" s="35" t="s">
        <v>959</v>
      </c>
      <c r="Q813" s="34">
        <f>IF(OR(P813="-",P813="",P813=0),IF(O813="-","-",O813),O813-P813)</f>
        <v>1</v>
      </c>
      <c r="R813" s="4" t="str">
        <f>IFERROR(IF(O813&gt;0, P813/O813, 0),"-")</f>
        <v>-</v>
      </c>
      <c r="S813" s="34" t="s">
        <v>959</v>
      </c>
      <c r="T813" s="34" t="s">
        <v>959</v>
      </c>
      <c r="U813" s="34" t="s">
        <v>959</v>
      </c>
      <c r="V813" s="35" t="s">
        <v>959</v>
      </c>
      <c r="W813" s="35" t="s">
        <v>959</v>
      </c>
    </row>
    <row r="814" spans="1:23" x14ac:dyDescent="0.2">
      <c r="A814" s="30" t="s">
        <v>537</v>
      </c>
      <c r="B814" s="30" t="s">
        <v>1471</v>
      </c>
      <c r="C814" s="34">
        <v>32</v>
      </c>
      <c r="D814" s="35">
        <v>27</v>
      </c>
      <c r="E814" s="34">
        <f>IF(OR(D814="-",D814="",D814=0),IF(C814="-","-",C814),C814-D814)</f>
        <v>5</v>
      </c>
      <c r="F814" s="4">
        <f>IFERROR(IF(C814&gt;0, D814/C814, 0),"-")</f>
        <v>0.84375</v>
      </c>
      <c r="G814" s="34">
        <v>2</v>
      </c>
      <c r="H814" s="35">
        <v>1</v>
      </c>
      <c r="I814" s="34">
        <f>IF(OR(H814="-",H814="",H814=0),IF(G814="-","-",G814),G814-H814)</f>
        <v>1</v>
      </c>
      <c r="J814" s="4">
        <f>IFERROR(IF(G814&gt;0, H814/G814, 0),"-")</f>
        <v>0.5</v>
      </c>
      <c r="K814" s="34">
        <v>6</v>
      </c>
      <c r="L814" s="35">
        <v>3</v>
      </c>
      <c r="M814" s="34">
        <f>IF(OR(L814="-",L814="",L814=0),IF(K814="-","-",K814),K814-L814)</f>
        <v>3</v>
      </c>
      <c r="N814" s="4">
        <f>IFERROR(IF(K814&gt;0, L814/K814, 0),"-")</f>
        <v>0.5</v>
      </c>
      <c r="O814" s="34" t="s">
        <v>959</v>
      </c>
      <c r="P814" s="35" t="s">
        <v>959</v>
      </c>
      <c r="Q814" s="34" t="str">
        <f>IF(OR(P814="-",P814="",P814=0),IF(O814="-","-",O814),O814-P814)</f>
        <v>-</v>
      </c>
      <c r="R814" s="4" t="str">
        <f>IFERROR(IF(O814&gt;0, P814/O814, 0),"-")</f>
        <v>-</v>
      </c>
      <c r="S814" s="34">
        <v>1</v>
      </c>
      <c r="T814" s="34" t="s">
        <v>959</v>
      </c>
      <c r="U814" s="34" t="s">
        <v>959</v>
      </c>
      <c r="V814" s="35" t="s">
        <v>959</v>
      </c>
      <c r="W814" s="35" t="s">
        <v>959</v>
      </c>
    </row>
    <row r="815" spans="1:23" x14ac:dyDescent="0.2">
      <c r="A815" s="29"/>
      <c r="B815" s="29" t="s">
        <v>45</v>
      </c>
      <c r="C815" s="32">
        <v>556</v>
      </c>
      <c r="D815" s="32">
        <v>550</v>
      </c>
      <c r="E815" s="32">
        <f>IF(OR(D815="-",D815="",D815=0),IF(C815="-","-",C815),C815-D815)</f>
        <v>6</v>
      </c>
      <c r="F815" s="36">
        <f>IFERROR(IF(C815&gt;0, D815/C815, 0),"-")</f>
        <v>0.98920863309352514</v>
      </c>
      <c r="G815" s="32">
        <v>1</v>
      </c>
      <c r="H815" s="32" t="s">
        <v>959</v>
      </c>
      <c r="I815" s="32">
        <f>IF(OR(H815="-",H815="",H815=0),IF(G815="-","-",G815),G815-H815)</f>
        <v>1</v>
      </c>
      <c r="J815" s="36" t="str">
        <f>IFERROR(IF(G815&gt;0, H815/G815, 0),"-")</f>
        <v>-</v>
      </c>
      <c r="K815" s="32">
        <v>2</v>
      </c>
      <c r="L815" s="32" t="s">
        <v>959</v>
      </c>
      <c r="M815" s="32">
        <f>IF(OR(L815="-",L815="",L815=0),IF(K815="-","-",K815),K815-L815)</f>
        <v>2</v>
      </c>
      <c r="N815" s="36" t="str">
        <f>IFERROR(IF(K815&gt;0, L815/K815, 0),"-")</f>
        <v>-</v>
      </c>
      <c r="O815" s="32" t="s">
        <v>959</v>
      </c>
      <c r="P815" s="32" t="s">
        <v>959</v>
      </c>
      <c r="Q815" s="32" t="str">
        <f>IF(OR(P815="-",P815="",P815=0),IF(O815="-","-",O815),O815-P815)</f>
        <v>-</v>
      </c>
      <c r="R815" s="36" t="str">
        <f>IFERROR(IF(O815&gt;0, P815/O815, 0),"-")</f>
        <v>-</v>
      </c>
      <c r="S815" s="32" t="s">
        <v>959</v>
      </c>
      <c r="T815" s="32" t="s">
        <v>959</v>
      </c>
      <c r="U815" s="32" t="s">
        <v>959</v>
      </c>
      <c r="V815" s="32" t="s">
        <v>959</v>
      </c>
      <c r="W815" s="32" t="s">
        <v>959</v>
      </c>
    </row>
    <row r="816" spans="1:23" x14ac:dyDescent="0.2">
      <c r="A816" s="30" t="s">
        <v>244</v>
      </c>
      <c r="B816" s="30" t="s">
        <v>1472</v>
      </c>
      <c r="C816" s="34">
        <v>91</v>
      </c>
      <c r="D816" s="35">
        <v>91</v>
      </c>
      <c r="E816" s="34">
        <f>IF(OR(D816="-",D816="",D816=0),IF(C816="-","-",C816),C816-D816)</f>
        <v>0</v>
      </c>
      <c r="F816" s="4">
        <f>IFERROR(IF(C816&gt;0, D816/C816, 0),"-")</f>
        <v>1</v>
      </c>
      <c r="G816" s="34" t="s">
        <v>959</v>
      </c>
      <c r="H816" s="35" t="s">
        <v>959</v>
      </c>
      <c r="I816" s="34" t="str">
        <f>IF(OR(H816="-",H816="",H816=0),IF(G816="-","-",G816),G816-H816)</f>
        <v>-</v>
      </c>
      <c r="J816" s="4" t="str">
        <f>IFERROR(IF(G816&gt;0, H816/G816, 0),"-")</f>
        <v>-</v>
      </c>
      <c r="K816" s="34">
        <v>1</v>
      </c>
      <c r="L816" s="35" t="s">
        <v>959</v>
      </c>
      <c r="M816" s="34">
        <f>IF(OR(L816="-",L816="",L816=0),IF(K816="-","-",K816),K816-L816)</f>
        <v>1</v>
      </c>
      <c r="N816" s="4" t="str">
        <f>IFERROR(IF(K816&gt;0, L816/K816, 0),"-")</f>
        <v>-</v>
      </c>
      <c r="O816" s="34" t="s">
        <v>959</v>
      </c>
      <c r="P816" s="35" t="s">
        <v>959</v>
      </c>
      <c r="Q816" s="34" t="str">
        <f>IF(OR(P816="-",P816="",P816=0),IF(O816="-","-",O816),O816-P816)</f>
        <v>-</v>
      </c>
      <c r="R816" s="4" t="str">
        <f>IFERROR(IF(O816&gt;0, P816/O816, 0),"-")</f>
        <v>-</v>
      </c>
      <c r="S816" s="34" t="s">
        <v>959</v>
      </c>
      <c r="T816" s="34" t="s">
        <v>959</v>
      </c>
      <c r="U816" s="34" t="s">
        <v>959</v>
      </c>
      <c r="V816" s="35" t="s">
        <v>959</v>
      </c>
      <c r="W816" s="35" t="s">
        <v>959</v>
      </c>
    </row>
    <row r="817" spans="1:23" x14ac:dyDescent="0.2">
      <c r="A817" s="30" t="s">
        <v>247</v>
      </c>
      <c r="B817" s="30" t="s">
        <v>1473</v>
      </c>
      <c r="C817" s="34">
        <v>89</v>
      </c>
      <c r="D817" s="35">
        <v>86</v>
      </c>
      <c r="E817" s="34">
        <f>IF(OR(D817="-",D817="",D817=0),IF(C817="-","-",C817),C817-D817)</f>
        <v>3</v>
      </c>
      <c r="F817" s="4">
        <f>IFERROR(IF(C817&gt;0, D817/C817, 0),"-")</f>
        <v>0.9662921348314607</v>
      </c>
      <c r="G817" s="34" t="s">
        <v>959</v>
      </c>
      <c r="H817" s="35" t="s">
        <v>959</v>
      </c>
      <c r="I817" s="34" t="str">
        <f>IF(OR(H817="-",H817="",H817=0),IF(G817="-","-",G817),G817-H817)</f>
        <v>-</v>
      </c>
      <c r="J817" s="4" t="str">
        <f>IFERROR(IF(G817&gt;0, H817/G817, 0),"-")</f>
        <v>-</v>
      </c>
      <c r="K817" s="34" t="s">
        <v>959</v>
      </c>
      <c r="L817" s="35" t="s">
        <v>959</v>
      </c>
      <c r="M817" s="34" t="str">
        <f>IF(OR(L817="-",L817="",L817=0),IF(K817="-","-",K817),K817-L817)</f>
        <v>-</v>
      </c>
      <c r="N817" s="4" t="str">
        <f>IFERROR(IF(K817&gt;0, L817/K817, 0),"-")</f>
        <v>-</v>
      </c>
      <c r="O817" s="34" t="s">
        <v>959</v>
      </c>
      <c r="P817" s="35" t="s">
        <v>959</v>
      </c>
      <c r="Q817" s="34" t="str">
        <f>IF(OR(P817="-",P817="",P817=0),IF(O817="-","-",O817),O817-P817)</f>
        <v>-</v>
      </c>
      <c r="R817" s="4" t="str">
        <f>IFERROR(IF(O817&gt;0, P817/O817, 0),"-")</f>
        <v>-</v>
      </c>
      <c r="S817" s="34" t="s">
        <v>959</v>
      </c>
      <c r="T817" s="34" t="s">
        <v>959</v>
      </c>
      <c r="U817" s="34" t="s">
        <v>959</v>
      </c>
      <c r="V817" s="35" t="s">
        <v>959</v>
      </c>
      <c r="W817" s="35" t="s">
        <v>959</v>
      </c>
    </row>
    <row r="818" spans="1:23" x14ac:dyDescent="0.2">
      <c r="A818" s="30" t="s">
        <v>267</v>
      </c>
      <c r="B818" s="30" t="s">
        <v>1474</v>
      </c>
      <c r="C818" s="34">
        <v>28</v>
      </c>
      <c r="D818" s="35">
        <v>28</v>
      </c>
      <c r="E818" s="34">
        <f>IF(OR(D818="-",D818="",D818=0),IF(C818="-","-",C818),C818-D818)</f>
        <v>0</v>
      </c>
      <c r="F818" s="4">
        <f>IFERROR(IF(C818&gt;0, D818/C818, 0),"-")</f>
        <v>1</v>
      </c>
      <c r="G818" s="34">
        <v>1</v>
      </c>
      <c r="H818" s="35" t="s">
        <v>959</v>
      </c>
      <c r="I818" s="34">
        <f>IF(OR(H818="-",H818="",H818=0),IF(G818="-","-",G818),G818-H818)</f>
        <v>1</v>
      </c>
      <c r="J818" s="4" t="str">
        <f>IFERROR(IF(G818&gt;0, H818/G818, 0),"-")</f>
        <v>-</v>
      </c>
      <c r="K818" s="34" t="s">
        <v>959</v>
      </c>
      <c r="L818" s="35" t="s">
        <v>959</v>
      </c>
      <c r="M818" s="34" t="str">
        <f>IF(OR(L818="-",L818="",L818=0),IF(K818="-","-",K818),K818-L818)</f>
        <v>-</v>
      </c>
      <c r="N818" s="4" t="str">
        <f>IFERROR(IF(K818&gt;0, L818/K818, 0),"-")</f>
        <v>-</v>
      </c>
      <c r="O818" s="34" t="s">
        <v>959</v>
      </c>
      <c r="P818" s="35" t="s">
        <v>959</v>
      </c>
      <c r="Q818" s="34" t="str">
        <f>IF(OR(P818="-",P818="",P818=0),IF(O818="-","-",O818),O818-P818)</f>
        <v>-</v>
      </c>
      <c r="R818" s="4" t="str">
        <f>IFERROR(IF(O818&gt;0, P818/O818, 0),"-")</f>
        <v>-</v>
      </c>
      <c r="S818" s="34" t="s">
        <v>959</v>
      </c>
      <c r="T818" s="34" t="s">
        <v>959</v>
      </c>
      <c r="U818" s="34" t="s">
        <v>959</v>
      </c>
      <c r="V818" s="35" t="s">
        <v>959</v>
      </c>
      <c r="W818" s="35" t="s">
        <v>959</v>
      </c>
    </row>
    <row r="819" spans="1:23" x14ac:dyDescent="0.2">
      <c r="A819" s="30" t="s">
        <v>246</v>
      </c>
      <c r="B819" s="30" t="s">
        <v>1475</v>
      </c>
      <c r="C819" s="34">
        <v>64</v>
      </c>
      <c r="D819" s="35">
        <v>64</v>
      </c>
      <c r="E819" s="34">
        <f>IF(OR(D819="-",D819="",D819=0),IF(C819="-","-",C819),C819-D819)</f>
        <v>0</v>
      </c>
      <c r="F819" s="4">
        <f>IFERROR(IF(C819&gt;0, D819/C819, 0),"-")</f>
        <v>1</v>
      </c>
      <c r="G819" s="34" t="s">
        <v>959</v>
      </c>
      <c r="H819" s="35" t="s">
        <v>959</v>
      </c>
      <c r="I819" s="34" t="str">
        <f>IF(OR(H819="-",H819="",H819=0),IF(G819="-","-",G819),G819-H819)</f>
        <v>-</v>
      </c>
      <c r="J819" s="4" t="str">
        <f>IFERROR(IF(G819&gt;0, H819/G819, 0),"-")</f>
        <v>-</v>
      </c>
      <c r="K819" s="34" t="s">
        <v>959</v>
      </c>
      <c r="L819" s="35" t="s">
        <v>959</v>
      </c>
      <c r="M819" s="34" t="str">
        <f>IF(OR(L819="-",L819="",L819=0),IF(K819="-","-",K819),K819-L819)</f>
        <v>-</v>
      </c>
      <c r="N819" s="4" t="str">
        <f>IFERROR(IF(K819&gt;0, L819/K819, 0),"-")</f>
        <v>-</v>
      </c>
      <c r="O819" s="34" t="s">
        <v>959</v>
      </c>
      <c r="P819" s="35" t="s">
        <v>959</v>
      </c>
      <c r="Q819" s="34" t="str">
        <f>IF(OR(P819="-",P819="",P819=0),IF(O819="-","-",O819),O819-P819)</f>
        <v>-</v>
      </c>
      <c r="R819" s="4" t="str">
        <f>IFERROR(IF(O819&gt;0, P819/O819, 0),"-")</f>
        <v>-</v>
      </c>
      <c r="S819" s="34" t="s">
        <v>959</v>
      </c>
      <c r="T819" s="34" t="s">
        <v>959</v>
      </c>
      <c r="U819" s="34" t="s">
        <v>959</v>
      </c>
      <c r="V819" s="35" t="s">
        <v>959</v>
      </c>
      <c r="W819" s="35" t="s">
        <v>959</v>
      </c>
    </row>
    <row r="820" spans="1:23" x14ac:dyDescent="0.2">
      <c r="A820" s="30" t="s">
        <v>245</v>
      </c>
      <c r="B820" s="30" t="s">
        <v>1476</v>
      </c>
      <c r="C820" s="34">
        <v>83</v>
      </c>
      <c r="D820" s="35">
        <v>83</v>
      </c>
      <c r="E820" s="34">
        <f>IF(OR(D820="-",D820="",D820=0),IF(C820="-","-",C820),C820-D820)</f>
        <v>0</v>
      </c>
      <c r="F820" s="4">
        <f>IFERROR(IF(C820&gt;0, D820/C820, 0),"-")</f>
        <v>1</v>
      </c>
      <c r="G820" s="34" t="s">
        <v>959</v>
      </c>
      <c r="H820" s="35" t="s">
        <v>959</v>
      </c>
      <c r="I820" s="34" t="str">
        <f>IF(OR(H820="-",H820="",H820=0),IF(G820="-","-",G820),G820-H820)</f>
        <v>-</v>
      </c>
      <c r="J820" s="4" t="str">
        <f>IFERROR(IF(G820&gt;0, H820/G820, 0),"-")</f>
        <v>-</v>
      </c>
      <c r="K820" s="34">
        <v>1</v>
      </c>
      <c r="L820" s="35" t="s">
        <v>959</v>
      </c>
      <c r="M820" s="34">
        <f>IF(OR(L820="-",L820="",L820=0),IF(K820="-","-",K820),K820-L820)</f>
        <v>1</v>
      </c>
      <c r="N820" s="4" t="str">
        <f>IFERROR(IF(K820&gt;0, L820/K820, 0),"-")</f>
        <v>-</v>
      </c>
      <c r="O820" s="34" t="s">
        <v>959</v>
      </c>
      <c r="P820" s="35" t="s">
        <v>959</v>
      </c>
      <c r="Q820" s="34" t="str">
        <f>IF(OR(P820="-",P820="",P820=0),IF(O820="-","-",O820),O820-P820)</f>
        <v>-</v>
      </c>
      <c r="R820" s="4" t="str">
        <f>IFERROR(IF(O820&gt;0, P820/O820, 0),"-")</f>
        <v>-</v>
      </c>
      <c r="S820" s="34" t="s">
        <v>959</v>
      </c>
      <c r="T820" s="34" t="s">
        <v>959</v>
      </c>
      <c r="U820" s="34" t="s">
        <v>959</v>
      </c>
      <c r="V820" s="35" t="s">
        <v>959</v>
      </c>
      <c r="W820" s="35" t="s">
        <v>959</v>
      </c>
    </row>
    <row r="821" spans="1:23" x14ac:dyDescent="0.2">
      <c r="A821" s="30" t="s">
        <v>242</v>
      </c>
      <c r="B821" s="30" t="s">
        <v>1477</v>
      </c>
      <c r="C821" s="34">
        <v>84</v>
      </c>
      <c r="D821" s="35">
        <v>81</v>
      </c>
      <c r="E821" s="34">
        <f>IF(OR(D821="-",D821="",D821=0),IF(C821="-","-",C821),C821-D821)</f>
        <v>3</v>
      </c>
      <c r="F821" s="4">
        <f>IFERROR(IF(C821&gt;0, D821/C821, 0),"-")</f>
        <v>0.9642857142857143</v>
      </c>
      <c r="G821" s="34" t="s">
        <v>959</v>
      </c>
      <c r="H821" s="35" t="s">
        <v>959</v>
      </c>
      <c r="I821" s="34" t="str">
        <f>IF(OR(H821="-",H821="",H821=0),IF(G821="-","-",G821),G821-H821)</f>
        <v>-</v>
      </c>
      <c r="J821" s="4" t="str">
        <f>IFERROR(IF(G821&gt;0, H821/G821, 0),"-")</f>
        <v>-</v>
      </c>
      <c r="K821" s="34" t="s">
        <v>959</v>
      </c>
      <c r="L821" s="35" t="s">
        <v>959</v>
      </c>
      <c r="M821" s="34" t="str">
        <f>IF(OR(L821="-",L821="",L821=0),IF(K821="-","-",K821),K821-L821)</f>
        <v>-</v>
      </c>
      <c r="N821" s="4" t="str">
        <f>IFERROR(IF(K821&gt;0, L821/K821, 0),"-")</f>
        <v>-</v>
      </c>
      <c r="O821" s="34" t="s">
        <v>959</v>
      </c>
      <c r="P821" s="35" t="s">
        <v>959</v>
      </c>
      <c r="Q821" s="34" t="str">
        <f>IF(OR(P821="-",P821="",P821=0),IF(O821="-","-",O821),O821-P821)</f>
        <v>-</v>
      </c>
      <c r="R821" s="4" t="str">
        <f>IFERROR(IF(O821&gt;0, P821/O821, 0),"-")</f>
        <v>-</v>
      </c>
      <c r="S821" s="34" t="s">
        <v>959</v>
      </c>
      <c r="T821" s="34" t="s">
        <v>959</v>
      </c>
      <c r="U821" s="34" t="s">
        <v>959</v>
      </c>
      <c r="V821" s="35" t="s">
        <v>959</v>
      </c>
      <c r="W821" s="35" t="s">
        <v>959</v>
      </c>
    </row>
    <row r="822" spans="1:23" x14ac:dyDescent="0.2">
      <c r="A822" s="30" t="s">
        <v>243</v>
      </c>
      <c r="B822" s="30" t="s">
        <v>1478</v>
      </c>
      <c r="C822" s="34">
        <v>68</v>
      </c>
      <c r="D822" s="35">
        <v>68</v>
      </c>
      <c r="E822" s="34">
        <f>IF(OR(D822="-",D822="",D822=0),IF(C822="-","-",C822),C822-D822)</f>
        <v>0</v>
      </c>
      <c r="F822" s="4">
        <f>IFERROR(IF(C822&gt;0, D822/C822, 0),"-")</f>
        <v>1</v>
      </c>
      <c r="G822" s="34" t="s">
        <v>959</v>
      </c>
      <c r="H822" s="35" t="s">
        <v>959</v>
      </c>
      <c r="I822" s="34" t="str">
        <f>IF(OR(H822="-",H822="",H822=0),IF(G822="-","-",G822),G822-H822)</f>
        <v>-</v>
      </c>
      <c r="J822" s="4" t="str">
        <f>IFERROR(IF(G822&gt;0, H822/G822, 0),"-")</f>
        <v>-</v>
      </c>
      <c r="K822" s="34" t="s">
        <v>959</v>
      </c>
      <c r="L822" s="35" t="s">
        <v>959</v>
      </c>
      <c r="M822" s="34" t="str">
        <f>IF(OR(L822="-",L822="",L822=0),IF(K822="-","-",K822),K822-L822)</f>
        <v>-</v>
      </c>
      <c r="N822" s="4" t="str">
        <f>IFERROR(IF(K822&gt;0, L822/K822, 0),"-")</f>
        <v>-</v>
      </c>
      <c r="O822" s="34" t="s">
        <v>959</v>
      </c>
      <c r="P822" s="35" t="s">
        <v>959</v>
      </c>
      <c r="Q822" s="34" t="str">
        <f>IF(OR(P822="-",P822="",P822=0),IF(O822="-","-",O822),O822-P822)</f>
        <v>-</v>
      </c>
      <c r="R822" s="4" t="str">
        <f>IFERROR(IF(O822&gt;0, P822/O822, 0),"-")</f>
        <v>-</v>
      </c>
      <c r="S822" s="34" t="s">
        <v>959</v>
      </c>
      <c r="T822" s="34" t="s">
        <v>959</v>
      </c>
      <c r="U822" s="34" t="s">
        <v>959</v>
      </c>
      <c r="V822" s="35" t="s">
        <v>959</v>
      </c>
      <c r="W822" s="35" t="s">
        <v>959</v>
      </c>
    </row>
    <row r="823" spans="1:23" x14ac:dyDescent="0.2">
      <c r="A823" s="30" t="s">
        <v>248</v>
      </c>
      <c r="B823" s="30" t="s">
        <v>1479</v>
      </c>
      <c r="C823" s="34">
        <v>49</v>
      </c>
      <c r="D823" s="35">
        <v>49</v>
      </c>
      <c r="E823" s="34">
        <f>IF(OR(D823="-",D823="",D823=0),IF(C823="-","-",C823),C823-D823)</f>
        <v>0</v>
      </c>
      <c r="F823" s="4">
        <f>IFERROR(IF(C823&gt;0, D823/C823, 0),"-")</f>
        <v>1</v>
      </c>
      <c r="G823" s="34" t="s">
        <v>959</v>
      </c>
      <c r="H823" s="35" t="s">
        <v>959</v>
      </c>
      <c r="I823" s="34" t="str">
        <f>IF(OR(H823="-",H823="",H823=0),IF(G823="-","-",G823),G823-H823)</f>
        <v>-</v>
      </c>
      <c r="J823" s="4" t="str">
        <f>IFERROR(IF(G823&gt;0, H823/G823, 0),"-")</f>
        <v>-</v>
      </c>
      <c r="K823" s="34" t="s">
        <v>959</v>
      </c>
      <c r="L823" s="35" t="s">
        <v>959</v>
      </c>
      <c r="M823" s="34" t="str">
        <f>IF(OR(L823="-",L823="",L823=0),IF(K823="-","-",K823),K823-L823)</f>
        <v>-</v>
      </c>
      <c r="N823" s="4" t="str">
        <f>IFERROR(IF(K823&gt;0, L823/K823, 0),"-")</f>
        <v>-</v>
      </c>
      <c r="O823" s="34" t="s">
        <v>959</v>
      </c>
      <c r="P823" s="35" t="s">
        <v>959</v>
      </c>
      <c r="Q823" s="34" t="str">
        <f>IF(OR(P823="-",P823="",P823=0),IF(O823="-","-",O823),O823-P823)</f>
        <v>-</v>
      </c>
      <c r="R823" s="4" t="str">
        <f>IFERROR(IF(O823&gt;0, P823/O823, 0),"-")</f>
        <v>-</v>
      </c>
      <c r="S823" s="34" t="s">
        <v>959</v>
      </c>
      <c r="T823" s="34" t="s">
        <v>959</v>
      </c>
      <c r="U823" s="34" t="s">
        <v>959</v>
      </c>
      <c r="V823" s="35" t="s">
        <v>959</v>
      </c>
      <c r="W823" s="35" t="s">
        <v>959</v>
      </c>
    </row>
    <row r="824" spans="1:23" x14ac:dyDescent="0.2">
      <c r="A824" s="29"/>
      <c r="B824" s="29" t="s">
        <v>90</v>
      </c>
      <c r="C824" s="32">
        <v>479</v>
      </c>
      <c r="D824" s="32">
        <v>473</v>
      </c>
      <c r="E824" s="32">
        <f>IF(OR(D824="-",D824="",D824=0),IF(C824="-","-",C824),C824-D824)</f>
        <v>6</v>
      </c>
      <c r="F824" s="36">
        <f>IFERROR(IF(C824&gt;0, D824/C824, 0),"-")</f>
        <v>0.98747390396659707</v>
      </c>
      <c r="G824" s="32">
        <v>1</v>
      </c>
      <c r="H824" s="32" t="s">
        <v>959</v>
      </c>
      <c r="I824" s="32">
        <f>IF(OR(H824="-",H824="",H824=0),IF(G824="-","-",G824),G824-H824)</f>
        <v>1</v>
      </c>
      <c r="J824" s="36" t="str">
        <f>IFERROR(IF(G824&gt;0, H824/G824, 0),"-")</f>
        <v>-</v>
      </c>
      <c r="K824" s="32" t="s">
        <v>959</v>
      </c>
      <c r="L824" s="32" t="s">
        <v>959</v>
      </c>
      <c r="M824" s="32" t="str">
        <f>IF(OR(L824="-",L824="",L824=0),IF(K824="-","-",K824),K824-L824)</f>
        <v>-</v>
      </c>
      <c r="N824" s="36" t="str">
        <f>IFERROR(IF(K824&gt;0, L824/K824, 0),"-")</f>
        <v>-</v>
      </c>
      <c r="O824" s="32">
        <v>2</v>
      </c>
      <c r="P824" s="32" t="s">
        <v>959</v>
      </c>
      <c r="Q824" s="32">
        <f>IF(OR(P824="-",P824="",P824=0),IF(O824="-","-",O824),O824-P824)</f>
        <v>2</v>
      </c>
      <c r="R824" s="36" t="str">
        <f>IFERROR(IF(O824&gt;0, P824/O824, 0),"-")</f>
        <v>-</v>
      </c>
      <c r="S824" s="32">
        <v>4</v>
      </c>
      <c r="T824" s="32" t="s">
        <v>959</v>
      </c>
      <c r="U824" s="32" t="s">
        <v>959</v>
      </c>
      <c r="V824" s="32" t="s">
        <v>959</v>
      </c>
      <c r="W824" s="32" t="s">
        <v>959</v>
      </c>
    </row>
    <row r="825" spans="1:23" x14ac:dyDescent="0.2">
      <c r="A825" s="30" t="s">
        <v>612</v>
      </c>
      <c r="B825" s="30" t="s">
        <v>1480</v>
      </c>
      <c r="C825" s="34">
        <v>97</v>
      </c>
      <c r="D825" s="35">
        <v>97</v>
      </c>
      <c r="E825" s="34">
        <f>IF(OR(D825="-",D825="",D825=0),IF(C825="-","-",C825),C825-D825)</f>
        <v>0</v>
      </c>
      <c r="F825" s="4">
        <f>IFERROR(IF(C825&gt;0, D825/C825, 0),"-")</f>
        <v>1</v>
      </c>
      <c r="G825" s="34" t="s">
        <v>959</v>
      </c>
      <c r="H825" s="35" t="s">
        <v>959</v>
      </c>
      <c r="I825" s="34" t="str">
        <f>IF(OR(H825="-",H825="",H825=0),IF(G825="-","-",G825),G825-H825)</f>
        <v>-</v>
      </c>
      <c r="J825" s="4" t="str">
        <f>IFERROR(IF(G825&gt;0, H825/G825, 0),"-")</f>
        <v>-</v>
      </c>
      <c r="K825" s="34" t="s">
        <v>959</v>
      </c>
      <c r="L825" s="35" t="s">
        <v>959</v>
      </c>
      <c r="M825" s="34" t="str">
        <f>IF(OR(L825="-",L825="",L825=0),IF(K825="-","-",K825),K825-L825)</f>
        <v>-</v>
      </c>
      <c r="N825" s="4" t="str">
        <f>IFERROR(IF(K825&gt;0, L825/K825, 0),"-")</f>
        <v>-</v>
      </c>
      <c r="O825" s="34" t="s">
        <v>959</v>
      </c>
      <c r="P825" s="35" t="s">
        <v>959</v>
      </c>
      <c r="Q825" s="34" t="str">
        <f>IF(OR(P825="-",P825="",P825=0),IF(O825="-","-",O825),O825-P825)</f>
        <v>-</v>
      </c>
      <c r="R825" s="4" t="str">
        <f>IFERROR(IF(O825&gt;0, P825/O825, 0),"-")</f>
        <v>-</v>
      </c>
      <c r="S825" s="34" t="s">
        <v>959</v>
      </c>
      <c r="T825" s="34" t="s">
        <v>959</v>
      </c>
      <c r="U825" s="34" t="s">
        <v>959</v>
      </c>
      <c r="V825" s="35" t="s">
        <v>959</v>
      </c>
      <c r="W825" s="35" t="s">
        <v>959</v>
      </c>
    </row>
    <row r="826" spans="1:23" x14ac:dyDescent="0.2">
      <c r="A826" s="30" t="s">
        <v>610</v>
      </c>
      <c r="B826" s="30" t="s">
        <v>1481</v>
      </c>
      <c r="C826" s="34">
        <v>60</v>
      </c>
      <c r="D826" s="35">
        <v>59</v>
      </c>
      <c r="E826" s="34">
        <f>IF(OR(D826="-",D826="",D826=0),IF(C826="-","-",C826),C826-D826)</f>
        <v>1</v>
      </c>
      <c r="F826" s="4">
        <f>IFERROR(IF(C826&gt;0, D826/C826, 0),"-")</f>
        <v>0.98333333333333328</v>
      </c>
      <c r="G826" s="34" t="s">
        <v>959</v>
      </c>
      <c r="H826" s="35" t="s">
        <v>959</v>
      </c>
      <c r="I826" s="34" t="str">
        <f>IF(OR(H826="-",H826="",H826=0),IF(G826="-","-",G826),G826-H826)</f>
        <v>-</v>
      </c>
      <c r="J826" s="4" t="str">
        <f>IFERROR(IF(G826&gt;0, H826/G826, 0),"-")</f>
        <v>-</v>
      </c>
      <c r="K826" s="34" t="s">
        <v>959</v>
      </c>
      <c r="L826" s="35" t="s">
        <v>959</v>
      </c>
      <c r="M826" s="34" t="str">
        <f>IF(OR(L826="-",L826="",L826=0),IF(K826="-","-",K826),K826-L826)</f>
        <v>-</v>
      </c>
      <c r="N826" s="4" t="str">
        <f>IFERROR(IF(K826&gt;0, L826/K826, 0),"-")</f>
        <v>-</v>
      </c>
      <c r="O826" s="34" t="s">
        <v>959</v>
      </c>
      <c r="P826" s="35" t="s">
        <v>959</v>
      </c>
      <c r="Q826" s="34" t="str">
        <f>IF(OR(P826="-",P826="",P826=0),IF(O826="-","-",O826),O826-P826)</f>
        <v>-</v>
      </c>
      <c r="R826" s="4" t="str">
        <f>IFERROR(IF(O826&gt;0, P826/O826, 0),"-")</f>
        <v>-</v>
      </c>
      <c r="S826" s="34" t="s">
        <v>959</v>
      </c>
      <c r="T826" s="34" t="s">
        <v>959</v>
      </c>
      <c r="U826" s="34" t="s">
        <v>959</v>
      </c>
      <c r="V826" s="35" t="s">
        <v>959</v>
      </c>
      <c r="W826" s="35" t="s">
        <v>959</v>
      </c>
    </row>
    <row r="827" spans="1:23" x14ac:dyDescent="0.2">
      <c r="A827" s="30" t="s">
        <v>613</v>
      </c>
      <c r="B827" s="30" t="s">
        <v>1482</v>
      </c>
      <c r="C827" s="34">
        <v>44</v>
      </c>
      <c r="D827" s="35">
        <v>44</v>
      </c>
      <c r="E827" s="34">
        <f>IF(OR(D827="-",D827="",D827=0),IF(C827="-","-",C827),C827-D827)</f>
        <v>0</v>
      </c>
      <c r="F827" s="4">
        <f>IFERROR(IF(C827&gt;0, D827/C827, 0),"-")</f>
        <v>1</v>
      </c>
      <c r="G827" s="34" t="s">
        <v>959</v>
      </c>
      <c r="H827" s="35" t="s">
        <v>959</v>
      </c>
      <c r="I827" s="34" t="str">
        <f>IF(OR(H827="-",H827="",H827=0),IF(G827="-","-",G827),G827-H827)</f>
        <v>-</v>
      </c>
      <c r="J827" s="4" t="str">
        <f>IFERROR(IF(G827&gt;0, H827/G827, 0),"-")</f>
        <v>-</v>
      </c>
      <c r="K827" s="34" t="s">
        <v>959</v>
      </c>
      <c r="L827" s="35" t="s">
        <v>959</v>
      </c>
      <c r="M827" s="34" t="str">
        <f>IF(OR(L827="-",L827="",L827=0),IF(K827="-","-",K827),K827-L827)</f>
        <v>-</v>
      </c>
      <c r="N827" s="4" t="str">
        <f>IFERROR(IF(K827&gt;0, L827/K827, 0),"-")</f>
        <v>-</v>
      </c>
      <c r="O827" s="34">
        <v>1</v>
      </c>
      <c r="P827" s="35" t="s">
        <v>959</v>
      </c>
      <c r="Q827" s="34">
        <f>IF(OR(P827="-",P827="",P827=0),IF(O827="-","-",O827),O827-P827)</f>
        <v>1</v>
      </c>
      <c r="R827" s="4" t="str">
        <f>IFERROR(IF(O827&gt;0, P827/O827, 0),"-")</f>
        <v>-</v>
      </c>
      <c r="S827" s="34" t="s">
        <v>959</v>
      </c>
      <c r="T827" s="34" t="s">
        <v>959</v>
      </c>
      <c r="U827" s="34" t="s">
        <v>959</v>
      </c>
      <c r="V827" s="35" t="s">
        <v>959</v>
      </c>
      <c r="W827" s="35" t="s">
        <v>959</v>
      </c>
    </row>
    <row r="828" spans="1:23" x14ac:dyDescent="0.2">
      <c r="A828" s="30" t="s">
        <v>608</v>
      </c>
      <c r="B828" s="30" t="s">
        <v>1483</v>
      </c>
      <c r="C828" s="34">
        <v>39</v>
      </c>
      <c r="D828" s="35">
        <v>39</v>
      </c>
      <c r="E828" s="34">
        <f>IF(OR(D828="-",D828="",D828=0),IF(C828="-","-",C828),C828-D828)</f>
        <v>0</v>
      </c>
      <c r="F828" s="4">
        <f>IFERROR(IF(C828&gt;0, D828/C828, 0),"-")</f>
        <v>1</v>
      </c>
      <c r="G828" s="34" t="s">
        <v>959</v>
      </c>
      <c r="H828" s="35" t="s">
        <v>959</v>
      </c>
      <c r="I828" s="34" t="str">
        <f>IF(OR(H828="-",H828="",H828=0),IF(G828="-","-",G828),G828-H828)</f>
        <v>-</v>
      </c>
      <c r="J828" s="4" t="str">
        <f>IFERROR(IF(G828&gt;0, H828/G828, 0),"-")</f>
        <v>-</v>
      </c>
      <c r="K828" s="34" t="s">
        <v>959</v>
      </c>
      <c r="L828" s="35" t="s">
        <v>959</v>
      </c>
      <c r="M828" s="34" t="str">
        <f>IF(OR(L828="-",L828="",L828=0),IF(K828="-","-",K828),K828-L828)</f>
        <v>-</v>
      </c>
      <c r="N828" s="4" t="str">
        <f>IFERROR(IF(K828&gt;0, L828/K828, 0),"-")</f>
        <v>-</v>
      </c>
      <c r="O828" s="34" t="s">
        <v>959</v>
      </c>
      <c r="P828" s="35" t="s">
        <v>959</v>
      </c>
      <c r="Q828" s="34" t="str">
        <f>IF(OR(P828="-",P828="",P828=0),IF(O828="-","-",O828),O828-P828)</f>
        <v>-</v>
      </c>
      <c r="R828" s="4" t="str">
        <f>IFERROR(IF(O828&gt;0, P828/O828, 0),"-")</f>
        <v>-</v>
      </c>
      <c r="S828" s="34" t="s">
        <v>959</v>
      </c>
      <c r="T828" s="34" t="s">
        <v>959</v>
      </c>
      <c r="U828" s="34" t="s">
        <v>959</v>
      </c>
      <c r="V828" s="35" t="s">
        <v>959</v>
      </c>
      <c r="W828" s="35" t="s">
        <v>959</v>
      </c>
    </row>
    <row r="829" spans="1:23" x14ac:dyDescent="0.2">
      <c r="A829" s="30" t="s">
        <v>622</v>
      </c>
      <c r="B829" s="30" t="s">
        <v>1484</v>
      </c>
      <c r="C829" s="34">
        <v>50</v>
      </c>
      <c r="D829" s="35">
        <v>48</v>
      </c>
      <c r="E829" s="34">
        <f>IF(OR(D829="-",D829="",D829=0),IF(C829="-","-",C829),C829-D829)</f>
        <v>2</v>
      </c>
      <c r="F829" s="4">
        <f>IFERROR(IF(C829&gt;0, D829/C829, 0),"-")</f>
        <v>0.96</v>
      </c>
      <c r="G829" s="34" t="s">
        <v>959</v>
      </c>
      <c r="H829" s="35" t="s">
        <v>959</v>
      </c>
      <c r="I829" s="34" t="str">
        <f>IF(OR(H829="-",H829="",H829=0),IF(G829="-","-",G829),G829-H829)</f>
        <v>-</v>
      </c>
      <c r="J829" s="4" t="str">
        <f>IFERROR(IF(G829&gt;0, H829/G829, 0),"-")</f>
        <v>-</v>
      </c>
      <c r="K829" s="34" t="s">
        <v>959</v>
      </c>
      <c r="L829" s="35" t="s">
        <v>959</v>
      </c>
      <c r="M829" s="34" t="str">
        <f>IF(OR(L829="-",L829="",L829=0),IF(K829="-","-",K829),K829-L829)</f>
        <v>-</v>
      </c>
      <c r="N829" s="4" t="str">
        <f>IFERROR(IF(K829&gt;0, L829/K829, 0),"-")</f>
        <v>-</v>
      </c>
      <c r="O829" s="34">
        <v>1</v>
      </c>
      <c r="P829" s="35" t="s">
        <v>959</v>
      </c>
      <c r="Q829" s="34">
        <f>IF(OR(P829="-",P829="",P829=0),IF(O829="-","-",O829),O829-P829)</f>
        <v>1</v>
      </c>
      <c r="R829" s="4" t="str">
        <f>IFERROR(IF(O829&gt;0, P829/O829, 0),"-")</f>
        <v>-</v>
      </c>
      <c r="S829" s="34">
        <v>3</v>
      </c>
      <c r="T829" s="34" t="s">
        <v>959</v>
      </c>
      <c r="U829" s="34" t="s">
        <v>959</v>
      </c>
      <c r="V829" s="35" t="s">
        <v>959</v>
      </c>
      <c r="W829" s="35" t="s">
        <v>959</v>
      </c>
    </row>
    <row r="830" spans="1:23" x14ac:dyDescent="0.2">
      <c r="A830" s="30" t="s">
        <v>609</v>
      </c>
      <c r="B830" s="30" t="s">
        <v>1485</v>
      </c>
      <c r="C830" s="34">
        <v>29</v>
      </c>
      <c r="D830" s="35">
        <v>29</v>
      </c>
      <c r="E830" s="34">
        <f>IF(OR(D830="-",D830="",D830=0),IF(C830="-","-",C830),C830-D830)</f>
        <v>0</v>
      </c>
      <c r="F830" s="4">
        <f>IFERROR(IF(C830&gt;0, D830/C830, 0),"-")</f>
        <v>1</v>
      </c>
      <c r="G830" s="34" t="s">
        <v>959</v>
      </c>
      <c r="H830" s="35" t="s">
        <v>959</v>
      </c>
      <c r="I830" s="34" t="str">
        <f>IF(OR(H830="-",H830="",H830=0),IF(G830="-","-",G830),G830-H830)</f>
        <v>-</v>
      </c>
      <c r="J830" s="4" t="str">
        <f>IFERROR(IF(G830&gt;0, H830/G830, 0),"-")</f>
        <v>-</v>
      </c>
      <c r="K830" s="34" t="s">
        <v>959</v>
      </c>
      <c r="L830" s="35" t="s">
        <v>959</v>
      </c>
      <c r="M830" s="34" t="str">
        <f>IF(OR(L830="-",L830="",L830=0),IF(K830="-","-",K830),K830-L830)</f>
        <v>-</v>
      </c>
      <c r="N830" s="4" t="str">
        <f>IFERROR(IF(K830&gt;0, L830/K830, 0),"-")</f>
        <v>-</v>
      </c>
      <c r="O830" s="34" t="s">
        <v>959</v>
      </c>
      <c r="P830" s="35" t="s">
        <v>959</v>
      </c>
      <c r="Q830" s="34" t="str">
        <f>IF(OR(P830="-",P830="",P830=0),IF(O830="-","-",O830),O830-P830)</f>
        <v>-</v>
      </c>
      <c r="R830" s="4" t="str">
        <f>IFERROR(IF(O830&gt;0, P830/O830, 0),"-")</f>
        <v>-</v>
      </c>
      <c r="S830" s="34" t="s">
        <v>959</v>
      </c>
      <c r="T830" s="34" t="s">
        <v>959</v>
      </c>
      <c r="U830" s="34" t="s">
        <v>959</v>
      </c>
      <c r="V830" s="35" t="s">
        <v>959</v>
      </c>
      <c r="W830" s="35" t="s">
        <v>959</v>
      </c>
    </row>
    <row r="831" spans="1:23" x14ac:dyDescent="0.2">
      <c r="A831" s="30" t="s">
        <v>607</v>
      </c>
      <c r="B831" s="30" t="s">
        <v>1486</v>
      </c>
      <c r="C831" s="34">
        <v>83</v>
      </c>
      <c r="D831" s="35">
        <v>80</v>
      </c>
      <c r="E831" s="34">
        <f>IF(OR(D831="-",D831="",D831=0),IF(C831="-","-",C831),C831-D831)</f>
        <v>3</v>
      </c>
      <c r="F831" s="4">
        <f>IFERROR(IF(C831&gt;0, D831/C831, 0),"-")</f>
        <v>0.96385542168674698</v>
      </c>
      <c r="G831" s="34">
        <v>1</v>
      </c>
      <c r="H831" s="35" t="s">
        <v>959</v>
      </c>
      <c r="I831" s="34">
        <f>IF(OR(H831="-",H831="",H831=0),IF(G831="-","-",G831),G831-H831)</f>
        <v>1</v>
      </c>
      <c r="J831" s="4" t="str">
        <f>IFERROR(IF(G831&gt;0, H831/G831, 0),"-")</f>
        <v>-</v>
      </c>
      <c r="K831" s="34" t="s">
        <v>959</v>
      </c>
      <c r="L831" s="35" t="s">
        <v>959</v>
      </c>
      <c r="M831" s="34" t="str">
        <f>IF(OR(L831="-",L831="",L831=0),IF(K831="-","-",K831),K831-L831)</f>
        <v>-</v>
      </c>
      <c r="N831" s="4" t="str">
        <f>IFERROR(IF(K831&gt;0, L831/K831, 0),"-")</f>
        <v>-</v>
      </c>
      <c r="O831" s="34" t="s">
        <v>959</v>
      </c>
      <c r="P831" s="35" t="s">
        <v>959</v>
      </c>
      <c r="Q831" s="34" t="str">
        <f>IF(OR(P831="-",P831="",P831=0),IF(O831="-","-",O831),O831-P831)</f>
        <v>-</v>
      </c>
      <c r="R831" s="4" t="str">
        <f>IFERROR(IF(O831&gt;0, P831/O831, 0),"-")</f>
        <v>-</v>
      </c>
      <c r="S831" s="34">
        <v>1</v>
      </c>
      <c r="T831" s="34" t="s">
        <v>959</v>
      </c>
      <c r="U831" s="34" t="s">
        <v>959</v>
      </c>
      <c r="V831" s="35" t="s">
        <v>959</v>
      </c>
      <c r="W831" s="35" t="s">
        <v>959</v>
      </c>
    </row>
    <row r="832" spans="1:23" x14ac:dyDescent="0.2">
      <c r="A832" s="30" t="s">
        <v>611</v>
      </c>
      <c r="B832" s="30" t="s">
        <v>1487</v>
      </c>
      <c r="C832" s="34">
        <v>77</v>
      </c>
      <c r="D832" s="35">
        <v>77</v>
      </c>
      <c r="E832" s="34">
        <f>IF(OR(D832="-",D832="",D832=0),IF(C832="-","-",C832),C832-D832)</f>
        <v>0</v>
      </c>
      <c r="F832" s="4">
        <f>IFERROR(IF(C832&gt;0, D832/C832, 0),"-")</f>
        <v>1</v>
      </c>
      <c r="G832" s="34" t="s">
        <v>959</v>
      </c>
      <c r="H832" s="35" t="s">
        <v>959</v>
      </c>
      <c r="I832" s="34" t="str">
        <f>IF(OR(H832="-",H832="",H832=0),IF(G832="-","-",G832),G832-H832)</f>
        <v>-</v>
      </c>
      <c r="J832" s="4" t="str">
        <f>IFERROR(IF(G832&gt;0, H832/G832, 0),"-")</f>
        <v>-</v>
      </c>
      <c r="K832" s="34" t="s">
        <v>959</v>
      </c>
      <c r="L832" s="35" t="s">
        <v>959</v>
      </c>
      <c r="M832" s="34" t="str">
        <f>IF(OR(L832="-",L832="",L832=0),IF(K832="-","-",K832),K832-L832)</f>
        <v>-</v>
      </c>
      <c r="N832" s="4" t="str">
        <f>IFERROR(IF(K832&gt;0, L832/K832, 0),"-")</f>
        <v>-</v>
      </c>
      <c r="O832" s="34" t="s">
        <v>959</v>
      </c>
      <c r="P832" s="35" t="s">
        <v>959</v>
      </c>
      <c r="Q832" s="34" t="str">
        <f>IF(OR(P832="-",P832="",P832=0),IF(O832="-","-",O832),O832-P832)</f>
        <v>-</v>
      </c>
      <c r="R832" s="4" t="str">
        <f>IFERROR(IF(O832&gt;0, P832/O832, 0),"-")</f>
        <v>-</v>
      </c>
      <c r="S832" s="34" t="s">
        <v>959</v>
      </c>
      <c r="T832" s="34" t="s">
        <v>959</v>
      </c>
      <c r="U832" s="34" t="s">
        <v>959</v>
      </c>
      <c r="V832" s="35" t="s">
        <v>959</v>
      </c>
      <c r="W832" s="35" t="s">
        <v>959</v>
      </c>
    </row>
    <row r="833" spans="1:23" x14ac:dyDescent="0.2">
      <c r="A833" s="29"/>
      <c r="B833" s="29" t="s">
        <v>114</v>
      </c>
      <c r="C833" s="32">
        <v>385</v>
      </c>
      <c r="D833" s="32">
        <v>360</v>
      </c>
      <c r="E833" s="32">
        <f>IF(OR(D833="-",D833="",D833=0),IF(C833="-","-",C833),C833-D833)</f>
        <v>25</v>
      </c>
      <c r="F833" s="36">
        <f>IFERROR(IF(C833&gt;0, D833/C833, 0),"-")</f>
        <v>0.93506493506493504</v>
      </c>
      <c r="G833" s="32">
        <v>8</v>
      </c>
      <c r="H833" s="32">
        <v>3</v>
      </c>
      <c r="I833" s="32">
        <f>IF(OR(H833="-",H833="",H833=0),IF(G833="-","-",G833),G833-H833)</f>
        <v>5</v>
      </c>
      <c r="J833" s="36">
        <f>IFERROR(IF(G833&gt;0, H833/G833, 0),"-")</f>
        <v>0.375</v>
      </c>
      <c r="K833" s="32">
        <v>4</v>
      </c>
      <c r="L833" s="32">
        <v>1</v>
      </c>
      <c r="M833" s="32">
        <f>IF(OR(L833="-",L833="",L833=0),IF(K833="-","-",K833),K833-L833)</f>
        <v>3</v>
      </c>
      <c r="N833" s="36">
        <f>IFERROR(IF(K833&gt;0, L833/K833, 0),"-")</f>
        <v>0.25</v>
      </c>
      <c r="O833" s="32">
        <v>2</v>
      </c>
      <c r="P833" s="32" t="s">
        <v>959</v>
      </c>
      <c r="Q833" s="32">
        <f>IF(OR(P833="-",P833="",P833=0),IF(O833="-","-",O833),O833-P833)</f>
        <v>2</v>
      </c>
      <c r="R833" s="36" t="str">
        <f>IFERROR(IF(O833&gt;0, P833/O833, 0),"-")</f>
        <v>-</v>
      </c>
      <c r="S833" s="32">
        <v>1</v>
      </c>
      <c r="T833" s="32" t="s">
        <v>959</v>
      </c>
      <c r="U833" s="32" t="s">
        <v>959</v>
      </c>
      <c r="V833" s="32" t="s">
        <v>959</v>
      </c>
      <c r="W833" s="32" t="s">
        <v>959</v>
      </c>
    </row>
    <row r="834" spans="1:23" x14ac:dyDescent="0.2">
      <c r="A834" s="30" t="s">
        <v>821</v>
      </c>
      <c r="B834" s="30" t="s">
        <v>1488</v>
      </c>
      <c r="C834" s="34">
        <v>156</v>
      </c>
      <c r="D834" s="35">
        <v>145</v>
      </c>
      <c r="E834" s="34">
        <f>IF(OR(D834="-",D834="",D834=0),IF(C834="-","-",C834),C834-D834)</f>
        <v>11</v>
      </c>
      <c r="F834" s="4">
        <f>IFERROR(IF(C834&gt;0, D834/C834, 0),"-")</f>
        <v>0.92948717948717952</v>
      </c>
      <c r="G834" s="34">
        <v>4</v>
      </c>
      <c r="H834" s="35">
        <v>2</v>
      </c>
      <c r="I834" s="34">
        <f>IF(OR(H834="-",H834="",H834=0),IF(G834="-","-",G834),G834-H834)</f>
        <v>2</v>
      </c>
      <c r="J834" s="4">
        <f>IFERROR(IF(G834&gt;0, H834/G834, 0),"-")</f>
        <v>0.5</v>
      </c>
      <c r="K834" s="34">
        <v>2</v>
      </c>
      <c r="L834" s="35">
        <v>1</v>
      </c>
      <c r="M834" s="34">
        <f>IF(OR(L834="-",L834="",L834=0),IF(K834="-","-",K834),K834-L834)</f>
        <v>1</v>
      </c>
      <c r="N834" s="4">
        <f>IFERROR(IF(K834&gt;0, L834/K834, 0),"-")</f>
        <v>0.5</v>
      </c>
      <c r="O834" s="34">
        <v>2</v>
      </c>
      <c r="P834" s="35" t="s">
        <v>959</v>
      </c>
      <c r="Q834" s="34">
        <f>IF(OR(P834="-",P834="",P834=0),IF(O834="-","-",O834),O834-P834)</f>
        <v>2</v>
      </c>
      <c r="R834" s="4" t="str">
        <f>IFERROR(IF(O834&gt;0, P834/O834, 0),"-")</f>
        <v>-</v>
      </c>
      <c r="S834" s="34" t="s">
        <v>959</v>
      </c>
      <c r="T834" s="34" t="s">
        <v>959</v>
      </c>
      <c r="U834" s="34" t="s">
        <v>959</v>
      </c>
      <c r="V834" s="35" t="s">
        <v>959</v>
      </c>
      <c r="W834" s="35" t="s">
        <v>959</v>
      </c>
    </row>
    <row r="835" spans="1:23" x14ac:dyDescent="0.2">
      <c r="A835" s="30" t="s">
        <v>823</v>
      </c>
      <c r="B835" s="30" t="s">
        <v>1489</v>
      </c>
      <c r="C835" s="34">
        <v>97</v>
      </c>
      <c r="D835" s="35">
        <v>87</v>
      </c>
      <c r="E835" s="34">
        <f>IF(OR(D835="-",D835="",D835=0),IF(C835="-","-",C835),C835-D835)</f>
        <v>10</v>
      </c>
      <c r="F835" s="4">
        <f>IFERROR(IF(C835&gt;0, D835/C835, 0),"-")</f>
        <v>0.89690721649484539</v>
      </c>
      <c r="G835" s="34" t="s">
        <v>959</v>
      </c>
      <c r="H835" s="35" t="s">
        <v>959</v>
      </c>
      <c r="I835" s="34" t="str">
        <f>IF(OR(H835="-",H835="",H835=0),IF(G835="-","-",G835),G835-H835)</f>
        <v>-</v>
      </c>
      <c r="J835" s="4" t="str">
        <f>IFERROR(IF(G835&gt;0, H835/G835, 0),"-")</f>
        <v>-</v>
      </c>
      <c r="K835" s="34" t="s">
        <v>959</v>
      </c>
      <c r="L835" s="35" t="s">
        <v>959</v>
      </c>
      <c r="M835" s="34" t="str">
        <f>IF(OR(L835="-",L835="",L835=0),IF(K835="-","-",K835),K835-L835)</f>
        <v>-</v>
      </c>
      <c r="N835" s="4" t="str">
        <f>IFERROR(IF(K835&gt;0, L835/K835, 0),"-")</f>
        <v>-</v>
      </c>
      <c r="O835" s="34" t="s">
        <v>959</v>
      </c>
      <c r="P835" s="35" t="s">
        <v>959</v>
      </c>
      <c r="Q835" s="34" t="str">
        <f>IF(OR(P835="-",P835="",P835=0),IF(O835="-","-",O835),O835-P835)</f>
        <v>-</v>
      </c>
      <c r="R835" s="4" t="str">
        <f>IFERROR(IF(O835&gt;0, P835/O835, 0),"-")</f>
        <v>-</v>
      </c>
      <c r="S835" s="34" t="s">
        <v>959</v>
      </c>
      <c r="T835" s="34" t="s">
        <v>959</v>
      </c>
      <c r="U835" s="34" t="s">
        <v>959</v>
      </c>
      <c r="V835" s="35" t="s">
        <v>959</v>
      </c>
      <c r="W835" s="35" t="s">
        <v>959</v>
      </c>
    </row>
    <row r="836" spans="1:23" x14ac:dyDescent="0.2">
      <c r="A836" s="30" t="s">
        <v>840</v>
      </c>
      <c r="B836" s="30" t="s">
        <v>1490</v>
      </c>
      <c r="C836" s="34">
        <v>86</v>
      </c>
      <c r="D836" s="35">
        <v>83</v>
      </c>
      <c r="E836" s="34">
        <f>IF(OR(D836="-",D836="",D836=0),IF(C836="-","-",C836),C836-D836)</f>
        <v>3</v>
      </c>
      <c r="F836" s="4">
        <f>IFERROR(IF(C836&gt;0, D836/C836, 0),"-")</f>
        <v>0.96511627906976749</v>
      </c>
      <c r="G836" s="34">
        <v>4</v>
      </c>
      <c r="H836" s="35">
        <v>1</v>
      </c>
      <c r="I836" s="34">
        <f>IF(OR(H836="-",H836="",H836=0),IF(G836="-","-",G836),G836-H836)</f>
        <v>3</v>
      </c>
      <c r="J836" s="4">
        <f>IFERROR(IF(G836&gt;0, H836/G836, 0),"-")</f>
        <v>0.25</v>
      </c>
      <c r="K836" s="34">
        <v>1</v>
      </c>
      <c r="L836" s="35" t="s">
        <v>959</v>
      </c>
      <c r="M836" s="34">
        <f>IF(OR(L836="-",L836="",L836=0),IF(K836="-","-",K836),K836-L836)</f>
        <v>1</v>
      </c>
      <c r="N836" s="4" t="str">
        <f>IFERROR(IF(K836&gt;0, L836/K836, 0),"-")</f>
        <v>-</v>
      </c>
      <c r="O836" s="34" t="s">
        <v>959</v>
      </c>
      <c r="P836" s="35" t="s">
        <v>959</v>
      </c>
      <c r="Q836" s="34" t="str">
        <f>IF(OR(P836="-",P836="",P836=0),IF(O836="-","-",O836),O836-P836)</f>
        <v>-</v>
      </c>
      <c r="R836" s="4" t="str">
        <f>IFERROR(IF(O836&gt;0, P836/O836, 0),"-")</f>
        <v>-</v>
      </c>
      <c r="S836" s="34" t="s">
        <v>959</v>
      </c>
      <c r="T836" s="34" t="s">
        <v>959</v>
      </c>
      <c r="U836" s="34" t="s">
        <v>959</v>
      </c>
      <c r="V836" s="35" t="s">
        <v>959</v>
      </c>
      <c r="W836" s="35" t="s">
        <v>959</v>
      </c>
    </row>
    <row r="837" spans="1:23" x14ac:dyDescent="0.2">
      <c r="A837" s="30" t="s">
        <v>822</v>
      </c>
      <c r="B837" s="30" t="s">
        <v>1491</v>
      </c>
      <c r="C837" s="34">
        <v>46</v>
      </c>
      <c r="D837" s="35">
        <v>45</v>
      </c>
      <c r="E837" s="34">
        <f>IF(OR(D837="-",D837="",D837=0),IF(C837="-","-",C837),C837-D837)</f>
        <v>1</v>
      </c>
      <c r="F837" s="4">
        <f>IFERROR(IF(C837&gt;0, D837/C837, 0),"-")</f>
        <v>0.97826086956521741</v>
      </c>
      <c r="G837" s="34" t="s">
        <v>959</v>
      </c>
      <c r="H837" s="35" t="s">
        <v>959</v>
      </c>
      <c r="I837" s="34" t="str">
        <f>IF(OR(H837="-",H837="",H837=0),IF(G837="-","-",G837),G837-H837)</f>
        <v>-</v>
      </c>
      <c r="J837" s="4" t="str">
        <f>IFERROR(IF(G837&gt;0, H837/G837, 0),"-")</f>
        <v>-</v>
      </c>
      <c r="K837" s="34">
        <v>1</v>
      </c>
      <c r="L837" s="35" t="s">
        <v>959</v>
      </c>
      <c r="M837" s="34">
        <f>IF(OR(L837="-",L837="",L837=0),IF(K837="-","-",K837),K837-L837)</f>
        <v>1</v>
      </c>
      <c r="N837" s="4" t="str">
        <f>IFERROR(IF(K837&gt;0, L837/K837, 0),"-")</f>
        <v>-</v>
      </c>
      <c r="O837" s="34" t="s">
        <v>959</v>
      </c>
      <c r="P837" s="35" t="s">
        <v>959</v>
      </c>
      <c r="Q837" s="34" t="str">
        <f>IF(OR(P837="-",P837="",P837=0),IF(O837="-","-",O837),O837-P837)</f>
        <v>-</v>
      </c>
      <c r="R837" s="4" t="str">
        <f>IFERROR(IF(O837&gt;0, P837/O837, 0),"-")</f>
        <v>-</v>
      </c>
      <c r="S837" s="34">
        <v>1</v>
      </c>
      <c r="T837" s="34" t="s">
        <v>959</v>
      </c>
      <c r="U837" s="34" t="s">
        <v>959</v>
      </c>
      <c r="V837" s="35" t="s">
        <v>959</v>
      </c>
      <c r="W837" s="35" t="s">
        <v>959</v>
      </c>
    </row>
    <row r="838" spans="1:23" x14ac:dyDescent="0.2">
      <c r="A838" s="29"/>
      <c r="B838" s="29" t="s">
        <v>10</v>
      </c>
      <c r="C838" s="32">
        <v>708</v>
      </c>
      <c r="D838" s="32">
        <v>676</v>
      </c>
      <c r="E838" s="32">
        <f>IF(OR(D838="-",D838="",D838=0),IF(C838="-","-",C838),C838-D838)</f>
        <v>32</v>
      </c>
      <c r="F838" s="36">
        <f>IFERROR(IF(C838&gt;0, D838/C838, 0),"-")</f>
        <v>0.95480225988700562</v>
      </c>
      <c r="G838" s="32">
        <v>8</v>
      </c>
      <c r="H838" s="32" t="s">
        <v>959</v>
      </c>
      <c r="I838" s="32">
        <f>IF(OR(H838="-",H838="",H838=0),IF(G838="-","-",G838),G838-H838)</f>
        <v>8</v>
      </c>
      <c r="J838" s="36" t="str">
        <f>IFERROR(IF(G838&gt;0, H838/G838, 0),"-")</f>
        <v>-</v>
      </c>
      <c r="K838" s="32">
        <v>5</v>
      </c>
      <c r="L838" s="32">
        <v>1</v>
      </c>
      <c r="M838" s="32">
        <f>IF(OR(L838="-",L838="",L838=0),IF(K838="-","-",K838),K838-L838)</f>
        <v>4</v>
      </c>
      <c r="N838" s="36">
        <f>IFERROR(IF(K838&gt;0, L838/K838, 0),"-")</f>
        <v>0.2</v>
      </c>
      <c r="O838" s="32">
        <v>2</v>
      </c>
      <c r="P838" s="32" t="s">
        <v>959</v>
      </c>
      <c r="Q838" s="32">
        <f>IF(OR(P838="-",P838="",P838=0),IF(O838="-","-",O838),O838-P838)</f>
        <v>2</v>
      </c>
      <c r="R838" s="36" t="str">
        <f>IFERROR(IF(O838&gt;0, P838/O838, 0),"-")</f>
        <v>-</v>
      </c>
      <c r="S838" s="32">
        <v>3</v>
      </c>
      <c r="T838" s="32" t="s">
        <v>959</v>
      </c>
      <c r="U838" s="32" t="s">
        <v>959</v>
      </c>
      <c r="V838" s="32" t="s">
        <v>959</v>
      </c>
      <c r="W838" s="32" t="s">
        <v>959</v>
      </c>
    </row>
    <row r="839" spans="1:23" x14ac:dyDescent="0.2">
      <c r="A839" s="30" t="s">
        <v>337</v>
      </c>
      <c r="B839" s="30" t="s">
        <v>1492</v>
      </c>
      <c r="C839" s="34">
        <v>82</v>
      </c>
      <c r="D839" s="35">
        <v>71</v>
      </c>
      <c r="E839" s="34">
        <f>IF(OR(D839="-",D839="",D839=0),IF(C839="-","-",C839),C839-D839)</f>
        <v>11</v>
      </c>
      <c r="F839" s="4">
        <f>IFERROR(IF(C839&gt;0, D839/C839, 0),"-")</f>
        <v>0.86585365853658536</v>
      </c>
      <c r="G839" s="34">
        <v>2</v>
      </c>
      <c r="H839" s="35" t="s">
        <v>959</v>
      </c>
      <c r="I839" s="34">
        <f>IF(OR(H839="-",H839="",H839=0),IF(G839="-","-",G839),G839-H839)</f>
        <v>2</v>
      </c>
      <c r="J839" s="4" t="str">
        <f>IFERROR(IF(G839&gt;0, H839/G839, 0),"-")</f>
        <v>-</v>
      </c>
      <c r="K839" s="34">
        <v>2</v>
      </c>
      <c r="L839" s="35" t="s">
        <v>959</v>
      </c>
      <c r="M839" s="34">
        <f>IF(OR(L839="-",L839="",L839=0),IF(K839="-","-",K839),K839-L839)</f>
        <v>2</v>
      </c>
      <c r="N839" s="4" t="str">
        <f>IFERROR(IF(K839&gt;0, L839/K839, 0),"-")</f>
        <v>-</v>
      </c>
      <c r="O839" s="34" t="s">
        <v>959</v>
      </c>
      <c r="P839" s="35" t="s">
        <v>959</v>
      </c>
      <c r="Q839" s="34" t="str">
        <f>IF(OR(P839="-",P839="",P839=0),IF(O839="-","-",O839),O839-P839)</f>
        <v>-</v>
      </c>
      <c r="R839" s="4" t="str">
        <f>IFERROR(IF(O839&gt;0, P839/O839, 0),"-")</f>
        <v>-</v>
      </c>
      <c r="S839" s="34" t="s">
        <v>959</v>
      </c>
      <c r="T839" s="34" t="s">
        <v>959</v>
      </c>
      <c r="U839" s="34" t="s">
        <v>959</v>
      </c>
      <c r="V839" s="35" t="s">
        <v>959</v>
      </c>
      <c r="W839" s="35" t="s">
        <v>959</v>
      </c>
    </row>
    <row r="840" spans="1:23" x14ac:dyDescent="0.2">
      <c r="A840" s="30" t="s">
        <v>329</v>
      </c>
      <c r="B840" s="30" t="s">
        <v>1493</v>
      </c>
      <c r="C840" s="34">
        <v>160</v>
      </c>
      <c r="D840" s="35">
        <v>152</v>
      </c>
      <c r="E840" s="34">
        <f>IF(OR(D840="-",D840="",D840=0),IF(C840="-","-",C840),C840-D840)</f>
        <v>8</v>
      </c>
      <c r="F840" s="4">
        <f>IFERROR(IF(C840&gt;0, D840/C840, 0),"-")</f>
        <v>0.95</v>
      </c>
      <c r="G840" s="34">
        <v>2</v>
      </c>
      <c r="H840" s="35" t="s">
        <v>959</v>
      </c>
      <c r="I840" s="34">
        <f>IF(OR(H840="-",H840="",H840=0),IF(G840="-","-",G840),G840-H840)</f>
        <v>2</v>
      </c>
      <c r="J840" s="4" t="str">
        <f>IFERROR(IF(G840&gt;0, H840/G840, 0),"-")</f>
        <v>-</v>
      </c>
      <c r="K840" s="34">
        <v>3</v>
      </c>
      <c r="L840" s="35">
        <v>1</v>
      </c>
      <c r="M840" s="34">
        <f>IF(OR(L840="-",L840="",L840=0),IF(K840="-","-",K840),K840-L840)</f>
        <v>2</v>
      </c>
      <c r="N840" s="4">
        <f>IFERROR(IF(K840&gt;0, L840/K840, 0),"-")</f>
        <v>0.33333333333333331</v>
      </c>
      <c r="O840" s="34">
        <v>2</v>
      </c>
      <c r="P840" s="35" t="s">
        <v>959</v>
      </c>
      <c r="Q840" s="34">
        <f>IF(OR(P840="-",P840="",P840=0),IF(O840="-","-",O840),O840-P840)</f>
        <v>2</v>
      </c>
      <c r="R840" s="4" t="str">
        <f>IFERROR(IF(O840&gt;0, P840/O840, 0),"-")</f>
        <v>-</v>
      </c>
      <c r="S840" s="34">
        <v>1</v>
      </c>
      <c r="T840" s="34" t="s">
        <v>959</v>
      </c>
      <c r="U840" s="34" t="s">
        <v>959</v>
      </c>
      <c r="V840" s="35" t="s">
        <v>959</v>
      </c>
      <c r="W840" s="35" t="s">
        <v>959</v>
      </c>
    </row>
    <row r="841" spans="1:23" x14ac:dyDescent="0.2">
      <c r="A841" s="30" t="s">
        <v>328</v>
      </c>
      <c r="B841" s="30" t="s">
        <v>1494</v>
      </c>
      <c r="C841" s="34">
        <v>160</v>
      </c>
      <c r="D841" s="35">
        <v>158</v>
      </c>
      <c r="E841" s="34">
        <f>IF(OR(D841="-",D841="",D841=0),IF(C841="-","-",C841),C841-D841)</f>
        <v>2</v>
      </c>
      <c r="F841" s="4">
        <f>IFERROR(IF(C841&gt;0, D841/C841, 0),"-")</f>
        <v>0.98750000000000004</v>
      </c>
      <c r="G841" s="34">
        <v>1</v>
      </c>
      <c r="H841" s="35" t="s">
        <v>959</v>
      </c>
      <c r="I841" s="34">
        <f>IF(OR(H841="-",H841="",H841=0),IF(G841="-","-",G841),G841-H841)</f>
        <v>1</v>
      </c>
      <c r="J841" s="4" t="str">
        <f>IFERROR(IF(G841&gt;0, H841/G841, 0),"-")</f>
        <v>-</v>
      </c>
      <c r="K841" s="34" t="s">
        <v>959</v>
      </c>
      <c r="L841" s="35" t="s">
        <v>959</v>
      </c>
      <c r="M841" s="34" t="str">
        <f>IF(OR(L841="-",L841="",L841=0),IF(K841="-","-",K841),K841-L841)</f>
        <v>-</v>
      </c>
      <c r="N841" s="4" t="str">
        <f>IFERROR(IF(K841&gt;0, L841/K841, 0),"-")</f>
        <v>-</v>
      </c>
      <c r="O841" s="34" t="s">
        <v>959</v>
      </c>
      <c r="P841" s="35" t="s">
        <v>959</v>
      </c>
      <c r="Q841" s="34" t="str">
        <f>IF(OR(P841="-",P841="",P841=0),IF(O841="-","-",O841),O841-P841)</f>
        <v>-</v>
      </c>
      <c r="R841" s="4" t="str">
        <f>IFERROR(IF(O841&gt;0, P841/O841, 0),"-")</f>
        <v>-</v>
      </c>
      <c r="S841" s="34" t="s">
        <v>959</v>
      </c>
      <c r="T841" s="34" t="s">
        <v>959</v>
      </c>
      <c r="U841" s="34" t="s">
        <v>959</v>
      </c>
      <c r="V841" s="35" t="s">
        <v>959</v>
      </c>
      <c r="W841" s="35" t="s">
        <v>959</v>
      </c>
    </row>
    <row r="842" spans="1:23" x14ac:dyDescent="0.2">
      <c r="A842" s="30" t="s">
        <v>330</v>
      </c>
      <c r="B842" s="30" t="s">
        <v>1495</v>
      </c>
      <c r="C842" s="34">
        <v>126</v>
      </c>
      <c r="D842" s="35">
        <v>122</v>
      </c>
      <c r="E842" s="34">
        <f>IF(OR(D842="-",D842="",D842=0),IF(C842="-","-",C842),C842-D842)</f>
        <v>4</v>
      </c>
      <c r="F842" s="4">
        <f>IFERROR(IF(C842&gt;0, D842/C842, 0),"-")</f>
        <v>0.96825396825396826</v>
      </c>
      <c r="G842" s="34">
        <v>2</v>
      </c>
      <c r="H842" s="35" t="s">
        <v>959</v>
      </c>
      <c r="I842" s="34">
        <f>IF(OR(H842="-",H842="",H842=0),IF(G842="-","-",G842),G842-H842)</f>
        <v>2</v>
      </c>
      <c r="J842" s="4" t="str">
        <f>IFERROR(IF(G842&gt;0, H842/G842, 0),"-")</f>
        <v>-</v>
      </c>
      <c r="K842" s="34" t="s">
        <v>959</v>
      </c>
      <c r="L842" s="35" t="s">
        <v>959</v>
      </c>
      <c r="M842" s="34" t="str">
        <f>IF(OR(L842="-",L842="",L842=0),IF(K842="-","-",K842),K842-L842)</f>
        <v>-</v>
      </c>
      <c r="N842" s="4" t="str">
        <f>IFERROR(IF(K842&gt;0, L842/K842, 0),"-")</f>
        <v>-</v>
      </c>
      <c r="O842" s="34" t="s">
        <v>959</v>
      </c>
      <c r="P842" s="35" t="s">
        <v>959</v>
      </c>
      <c r="Q842" s="34" t="str">
        <f>IF(OR(P842="-",P842="",P842=0),IF(O842="-","-",O842),O842-P842)</f>
        <v>-</v>
      </c>
      <c r="R842" s="4" t="str">
        <f>IFERROR(IF(O842&gt;0, P842/O842, 0),"-")</f>
        <v>-</v>
      </c>
      <c r="S842" s="34">
        <v>1</v>
      </c>
      <c r="T842" s="34" t="s">
        <v>959</v>
      </c>
      <c r="U842" s="34" t="s">
        <v>959</v>
      </c>
      <c r="V842" s="35" t="s">
        <v>959</v>
      </c>
      <c r="W842" s="35" t="s">
        <v>959</v>
      </c>
    </row>
    <row r="843" spans="1:23" x14ac:dyDescent="0.2">
      <c r="A843" s="30" t="s">
        <v>327</v>
      </c>
      <c r="B843" s="30" t="s">
        <v>1496</v>
      </c>
      <c r="C843" s="34">
        <v>180</v>
      </c>
      <c r="D843" s="35">
        <v>173</v>
      </c>
      <c r="E843" s="34">
        <f>IF(OR(D843="-",D843="",D843=0),IF(C843="-","-",C843),C843-D843)</f>
        <v>7</v>
      </c>
      <c r="F843" s="4">
        <f>IFERROR(IF(C843&gt;0, D843/C843, 0),"-")</f>
        <v>0.96111111111111114</v>
      </c>
      <c r="G843" s="34">
        <v>1</v>
      </c>
      <c r="H843" s="35" t="s">
        <v>959</v>
      </c>
      <c r="I843" s="34">
        <f>IF(OR(H843="-",H843="",H843=0),IF(G843="-","-",G843),G843-H843)</f>
        <v>1</v>
      </c>
      <c r="J843" s="4" t="str">
        <f>IFERROR(IF(G843&gt;0, H843/G843, 0),"-")</f>
        <v>-</v>
      </c>
      <c r="K843" s="34" t="s">
        <v>959</v>
      </c>
      <c r="L843" s="35" t="s">
        <v>959</v>
      </c>
      <c r="M843" s="34" t="str">
        <f>IF(OR(L843="-",L843="",L843=0),IF(K843="-","-",K843),K843-L843)</f>
        <v>-</v>
      </c>
      <c r="N843" s="4" t="str">
        <f>IFERROR(IF(K843&gt;0, L843/K843, 0),"-")</f>
        <v>-</v>
      </c>
      <c r="O843" s="34" t="s">
        <v>959</v>
      </c>
      <c r="P843" s="35" t="s">
        <v>959</v>
      </c>
      <c r="Q843" s="34" t="str">
        <f>IF(OR(P843="-",P843="",P843=0),IF(O843="-","-",O843),O843-P843)</f>
        <v>-</v>
      </c>
      <c r="R843" s="4" t="str">
        <f>IFERROR(IF(O843&gt;0, P843/O843, 0),"-")</f>
        <v>-</v>
      </c>
      <c r="S843" s="34">
        <v>1</v>
      </c>
      <c r="T843" s="34" t="s">
        <v>959</v>
      </c>
      <c r="U843" s="34" t="s">
        <v>959</v>
      </c>
      <c r="V843" s="35" t="s">
        <v>959</v>
      </c>
      <c r="W843" s="35" t="s">
        <v>959</v>
      </c>
    </row>
    <row r="844" spans="1:23" x14ac:dyDescent="0.2">
      <c r="A844" s="29"/>
      <c r="B844" s="29" t="s">
        <v>107</v>
      </c>
      <c r="C844" s="32">
        <v>315</v>
      </c>
      <c r="D844" s="32">
        <v>315</v>
      </c>
      <c r="E844" s="32">
        <f>IF(OR(D844="-",D844="",D844=0),IF(C844="-","-",C844),C844-D844)</f>
        <v>0</v>
      </c>
      <c r="F844" s="36">
        <f>IFERROR(IF(C844&gt;0, D844/C844, 0),"-")</f>
        <v>1</v>
      </c>
      <c r="G844" s="32">
        <v>1</v>
      </c>
      <c r="H844" s="32" t="s">
        <v>959</v>
      </c>
      <c r="I844" s="32">
        <f>IF(OR(H844="-",H844="",H844=0),IF(G844="-","-",G844),G844-H844)</f>
        <v>1</v>
      </c>
      <c r="J844" s="36" t="str">
        <f>IFERROR(IF(G844&gt;0, H844/G844, 0),"-")</f>
        <v>-</v>
      </c>
      <c r="K844" s="32" t="s">
        <v>959</v>
      </c>
      <c r="L844" s="32" t="s">
        <v>959</v>
      </c>
      <c r="M844" s="32" t="str">
        <f>IF(OR(L844="-",L844="",L844=0),IF(K844="-","-",K844),K844-L844)</f>
        <v>-</v>
      </c>
      <c r="N844" s="36" t="str">
        <f>IFERROR(IF(K844&gt;0, L844/K844, 0),"-")</f>
        <v>-</v>
      </c>
      <c r="O844" s="32" t="s">
        <v>959</v>
      </c>
      <c r="P844" s="32" t="s">
        <v>959</v>
      </c>
      <c r="Q844" s="32" t="str">
        <f>IF(OR(P844="-",P844="",P844=0),IF(O844="-","-",O844),O844-P844)</f>
        <v>-</v>
      </c>
      <c r="R844" s="36" t="str">
        <f>IFERROR(IF(O844&gt;0, P844/O844, 0),"-")</f>
        <v>-</v>
      </c>
      <c r="S844" s="32" t="s">
        <v>959</v>
      </c>
      <c r="T844" s="32" t="s">
        <v>959</v>
      </c>
      <c r="U844" s="32" t="s">
        <v>959</v>
      </c>
      <c r="V844" s="32" t="s">
        <v>959</v>
      </c>
      <c r="W844" s="32" t="s">
        <v>959</v>
      </c>
    </row>
    <row r="845" spans="1:23" x14ac:dyDescent="0.2">
      <c r="A845" s="30" t="s">
        <v>774</v>
      </c>
      <c r="B845" s="30" t="s">
        <v>1497</v>
      </c>
      <c r="C845" s="34">
        <v>41</v>
      </c>
      <c r="D845" s="35">
        <v>41</v>
      </c>
      <c r="E845" s="34">
        <f>IF(OR(D845="-",D845="",D845=0),IF(C845="-","-",C845),C845-D845)</f>
        <v>0</v>
      </c>
      <c r="F845" s="4">
        <f>IFERROR(IF(C845&gt;0, D845/C845, 0),"-")</f>
        <v>1</v>
      </c>
      <c r="G845" s="34" t="s">
        <v>959</v>
      </c>
      <c r="H845" s="35" t="s">
        <v>959</v>
      </c>
      <c r="I845" s="34" t="str">
        <f>IF(OR(H845="-",H845="",H845=0),IF(G845="-","-",G845),G845-H845)</f>
        <v>-</v>
      </c>
      <c r="J845" s="4" t="str">
        <f>IFERROR(IF(G845&gt;0, H845/G845, 0),"-")</f>
        <v>-</v>
      </c>
      <c r="K845" s="34" t="s">
        <v>959</v>
      </c>
      <c r="L845" s="35" t="s">
        <v>959</v>
      </c>
      <c r="M845" s="34" t="str">
        <f>IF(OR(L845="-",L845="",L845=0),IF(K845="-","-",K845),K845-L845)</f>
        <v>-</v>
      </c>
      <c r="N845" s="4" t="str">
        <f>IFERROR(IF(K845&gt;0, L845/K845, 0),"-")</f>
        <v>-</v>
      </c>
      <c r="O845" s="34" t="s">
        <v>959</v>
      </c>
      <c r="P845" s="35" t="s">
        <v>959</v>
      </c>
      <c r="Q845" s="34" t="str">
        <f>IF(OR(P845="-",P845="",P845=0),IF(O845="-","-",O845),O845-P845)</f>
        <v>-</v>
      </c>
      <c r="R845" s="4" t="str">
        <f>IFERROR(IF(O845&gt;0, P845/O845, 0),"-")</f>
        <v>-</v>
      </c>
      <c r="S845" s="34" t="s">
        <v>959</v>
      </c>
      <c r="T845" s="34" t="s">
        <v>959</v>
      </c>
      <c r="U845" s="34" t="s">
        <v>959</v>
      </c>
      <c r="V845" s="35" t="s">
        <v>959</v>
      </c>
      <c r="W845" s="35" t="s">
        <v>959</v>
      </c>
    </row>
    <row r="846" spans="1:23" x14ac:dyDescent="0.2">
      <c r="A846" s="30" t="s">
        <v>772</v>
      </c>
      <c r="B846" s="30" t="s">
        <v>1498</v>
      </c>
      <c r="C846" s="34">
        <v>93</v>
      </c>
      <c r="D846" s="35">
        <v>93</v>
      </c>
      <c r="E846" s="34">
        <f>IF(OR(D846="-",D846="",D846=0),IF(C846="-","-",C846),C846-D846)</f>
        <v>0</v>
      </c>
      <c r="F846" s="4">
        <f>IFERROR(IF(C846&gt;0, D846/C846, 0),"-")</f>
        <v>1</v>
      </c>
      <c r="G846" s="34" t="s">
        <v>959</v>
      </c>
      <c r="H846" s="35" t="s">
        <v>959</v>
      </c>
      <c r="I846" s="34" t="str">
        <f>IF(OR(H846="-",H846="",H846=0),IF(G846="-","-",G846),G846-H846)</f>
        <v>-</v>
      </c>
      <c r="J846" s="4" t="str">
        <f>IFERROR(IF(G846&gt;0, H846/G846, 0),"-")</f>
        <v>-</v>
      </c>
      <c r="K846" s="34" t="s">
        <v>959</v>
      </c>
      <c r="L846" s="35" t="s">
        <v>959</v>
      </c>
      <c r="M846" s="34" t="str">
        <f>IF(OR(L846="-",L846="",L846=0),IF(K846="-","-",K846),K846-L846)</f>
        <v>-</v>
      </c>
      <c r="N846" s="4" t="str">
        <f>IFERROR(IF(K846&gt;0, L846/K846, 0),"-")</f>
        <v>-</v>
      </c>
      <c r="O846" s="34" t="s">
        <v>959</v>
      </c>
      <c r="P846" s="35" t="s">
        <v>959</v>
      </c>
      <c r="Q846" s="34" t="str">
        <f>IF(OR(P846="-",P846="",P846=0),IF(O846="-","-",O846),O846-P846)</f>
        <v>-</v>
      </c>
      <c r="R846" s="4" t="str">
        <f>IFERROR(IF(O846&gt;0, P846/O846, 0),"-")</f>
        <v>-</v>
      </c>
      <c r="S846" s="34" t="s">
        <v>959</v>
      </c>
      <c r="T846" s="34" t="s">
        <v>959</v>
      </c>
      <c r="U846" s="34" t="s">
        <v>959</v>
      </c>
      <c r="V846" s="35" t="s">
        <v>959</v>
      </c>
      <c r="W846" s="35" t="s">
        <v>959</v>
      </c>
    </row>
    <row r="847" spans="1:23" x14ac:dyDescent="0.2">
      <c r="A847" s="30" t="s">
        <v>771</v>
      </c>
      <c r="B847" s="30" t="s">
        <v>1499</v>
      </c>
      <c r="C847" s="34">
        <v>71</v>
      </c>
      <c r="D847" s="35">
        <v>71</v>
      </c>
      <c r="E847" s="34">
        <f>IF(OR(D847="-",D847="",D847=0),IF(C847="-","-",C847),C847-D847)</f>
        <v>0</v>
      </c>
      <c r="F847" s="4">
        <f>IFERROR(IF(C847&gt;0, D847/C847, 0),"-")</f>
        <v>1</v>
      </c>
      <c r="G847" s="34">
        <v>1</v>
      </c>
      <c r="H847" s="35" t="s">
        <v>959</v>
      </c>
      <c r="I847" s="34">
        <f>IF(OR(H847="-",H847="",H847=0),IF(G847="-","-",G847),G847-H847)</f>
        <v>1</v>
      </c>
      <c r="J847" s="4" t="str">
        <f>IFERROR(IF(G847&gt;0, H847/G847, 0),"-")</f>
        <v>-</v>
      </c>
      <c r="K847" s="34" t="s">
        <v>959</v>
      </c>
      <c r="L847" s="35" t="s">
        <v>959</v>
      </c>
      <c r="M847" s="34" t="str">
        <f>IF(OR(L847="-",L847="",L847=0),IF(K847="-","-",K847),K847-L847)</f>
        <v>-</v>
      </c>
      <c r="N847" s="4" t="str">
        <f>IFERROR(IF(K847&gt;0, L847/K847, 0),"-")</f>
        <v>-</v>
      </c>
      <c r="O847" s="34" t="s">
        <v>959</v>
      </c>
      <c r="P847" s="35" t="s">
        <v>959</v>
      </c>
      <c r="Q847" s="34" t="str">
        <f>IF(OR(P847="-",P847="",P847=0),IF(O847="-","-",O847),O847-P847)</f>
        <v>-</v>
      </c>
      <c r="R847" s="4" t="str">
        <f>IFERROR(IF(O847&gt;0, P847/O847, 0),"-")</f>
        <v>-</v>
      </c>
      <c r="S847" s="34" t="s">
        <v>959</v>
      </c>
      <c r="T847" s="34" t="s">
        <v>959</v>
      </c>
      <c r="U847" s="34" t="s">
        <v>959</v>
      </c>
      <c r="V847" s="35" t="s">
        <v>959</v>
      </c>
      <c r="W847" s="35" t="s">
        <v>959</v>
      </c>
    </row>
    <row r="848" spans="1:23" x14ac:dyDescent="0.2">
      <c r="A848" s="30" t="s">
        <v>773</v>
      </c>
      <c r="B848" s="30" t="s">
        <v>1500</v>
      </c>
      <c r="C848" s="34">
        <v>110</v>
      </c>
      <c r="D848" s="35">
        <v>110</v>
      </c>
      <c r="E848" s="34">
        <f>IF(OR(D848="-",D848="",D848=0),IF(C848="-","-",C848),C848-D848)</f>
        <v>0</v>
      </c>
      <c r="F848" s="4">
        <f>IFERROR(IF(C848&gt;0, D848/C848, 0),"-")</f>
        <v>1</v>
      </c>
      <c r="G848" s="34" t="s">
        <v>959</v>
      </c>
      <c r="H848" s="35" t="s">
        <v>959</v>
      </c>
      <c r="I848" s="34" t="str">
        <f>IF(OR(H848="-",H848="",H848=0),IF(G848="-","-",G848),G848-H848)</f>
        <v>-</v>
      </c>
      <c r="J848" s="4" t="str">
        <f>IFERROR(IF(G848&gt;0, H848/G848, 0),"-")</f>
        <v>-</v>
      </c>
      <c r="K848" s="34" t="s">
        <v>959</v>
      </c>
      <c r="L848" s="35" t="s">
        <v>959</v>
      </c>
      <c r="M848" s="34" t="str">
        <f>IF(OR(L848="-",L848="",L848=0),IF(K848="-","-",K848),K848-L848)</f>
        <v>-</v>
      </c>
      <c r="N848" s="4" t="str">
        <f>IFERROR(IF(K848&gt;0, L848/K848, 0),"-")</f>
        <v>-</v>
      </c>
      <c r="O848" s="34" t="s">
        <v>959</v>
      </c>
      <c r="P848" s="35" t="s">
        <v>959</v>
      </c>
      <c r="Q848" s="34" t="str">
        <f>IF(OR(P848="-",P848="",P848=0),IF(O848="-","-",O848),O848-P848)</f>
        <v>-</v>
      </c>
      <c r="R848" s="4" t="str">
        <f>IFERROR(IF(O848&gt;0, P848/O848, 0),"-")</f>
        <v>-</v>
      </c>
      <c r="S848" s="34" t="s">
        <v>959</v>
      </c>
      <c r="T848" s="34" t="s">
        <v>959</v>
      </c>
      <c r="U848" s="34" t="s">
        <v>959</v>
      </c>
      <c r="V848" s="35" t="s">
        <v>959</v>
      </c>
      <c r="W848" s="35" t="s">
        <v>959</v>
      </c>
    </row>
    <row r="849" spans="1:23" x14ac:dyDescent="0.2">
      <c r="A849" s="29"/>
      <c r="B849" s="29" t="s">
        <v>36</v>
      </c>
      <c r="C849" s="32">
        <v>872</v>
      </c>
      <c r="D849" s="32">
        <v>844</v>
      </c>
      <c r="E849" s="32">
        <f>IF(OR(D849="-",D849="",D849=0),IF(C849="-","-",C849),C849-D849)</f>
        <v>28</v>
      </c>
      <c r="F849" s="36">
        <f>IFERROR(IF(C849&gt;0, D849/C849, 0),"-")</f>
        <v>0.9678899082568807</v>
      </c>
      <c r="G849" s="32">
        <v>8</v>
      </c>
      <c r="H849" s="32" t="s">
        <v>959</v>
      </c>
      <c r="I849" s="32">
        <f>IF(OR(H849="-",H849="",H849=0),IF(G849="-","-",G849),G849-H849)</f>
        <v>8</v>
      </c>
      <c r="J849" s="36" t="str">
        <f>IFERROR(IF(G849&gt;0, H849/G849, 0),"-")</f>
        <v>-</v>
      </c>
      <c r="K849" s="32">
        <v>1</v>
      </c>
      <c r="L849" s="32" t="s">
        <v>959</v>
      </c>
      <c r="M849" s="32">
        <f>IF(OR(L849="-",L849="",L849=0),IF(K849="-","-",K849),K849-L849)</f>
        <v>1</v>
      </c>
      <c r="N849" s="36" t="str">
        <f>IFERROR(IF(K849&gt;0, L849/K849, 0),"-")</f>
        <v>-</v>
      </c>
      <c r="O849" s="32">
        <v>5</v>
      </c>
      <c r="P849" s="32" t="s">
        <v>959</v>
      </c>
      <c r="Q849" s="32">
        <f>IF(OR(P849="-",P849="",P849=0),IF(O849="-","-",O849),O849-P849)</f>
        <v>5</v>
      </c>
      <c r="R849" s="36" t="str">
        <f>IFERROR(IF(O849&gt;0, P849/O849, 0),"-")</f>
        <v>-</v>
      </c>
      <c r="S849" s="32">
        <v>7</v>
      </c>
      <c r="T849" s="32" t="s">
        <v>959</v>
      </c>
      <c r="U849" s="32" t="s">
        <v>959</v>
      </c>
      <c r="V849" s="32" t="s">
        <v>959</v>
      </c>
      <c r="W849" s="32" t="s">
        <v>959</v>
      </c>
    </row>
    <row r="850" spans="1:23" x14ac:dyDescent="0.2">
      <c r="A850" s="30" t="s">
        <v>188</v>
      </c>
      <c r="B850" s="30" t="s">
        <v>1501</v>
      </c>
      <c r="C850" s="34">
        <v>167</v>
      </c>
      <c r="D850" s="35">
        <v>165</v>
      </c>
      <c r="E850" s="34">
        <f>IF(OR(D850="-",D850="",D850=0),IF(C850="-","-",C850),C850-D850)</f>
        <v>2</v>
      </c>
      <c r="F850" s="4">
        <f>IFERROR(IF(C850&gt;0, D850/C850, 0),"-")</f>
        <v>0.9880239520958084</v>
      </c>
      <c r="G850" s="34" t="s">
        <v>959</v>
      </c>
      <c r="H850" s="35" t="s">
        <v>959</v>
      </c>
      <c r="I850" s="34" t="str">
        <f>IF(OR(H850="-",H850="",H850=0),IF(G850="-","-",G850),G850-H850)</f>
        <v>-</v>
      </c>
      <c r="J850" s="4" t="str">
        <f>IFERROR(IF(G850&gt;0, H850/G850, 0),"-")</f>
        <v>-</v>
      </c>
      <c r="K850" s="34" t="s">
        <v>959</v>
      </c>
      <c r="L850" s="35" t="s">
        <v>959</v>
      </c>
      <c r="M850" s="34" t="str">
        <f>IF(OR(L850="-",L850="",L850=0),IF(K850="-","-",K850),K850-L850)</f>
        <v>-</v>
      </c>
      <c r="N850" s="4" t="str">
        <f>IFERROR(IF(K850&gt;0, L850/K850, 0),"-")</f>
        <v>-</v>
      </c>
      <c r="O850" s="34" t="s">
        <v>959</v>
      </c>
      <c r="P850" s="35" t="s">
        <v>959</v>
      </c>
      <c r="Q850" s="34" t="str">
        <f>IF(OR(P850="-",P850="",P850=0),IF(O850="-","-",O850),O850-P850)</f>
        <v>-</v>
      </c>
      <c r="R850" s="4" t="str">
        <f>IFERROR(IF(O850&gt;0, P850/O850, 0),"-")</f>
        <v>-</v>
      </c>
      <c r="S850" s="34" t="s">
        <v>959</v>
      </c>
      <c r="T850" s="34" t="s">
        <v>959</v>
      </c>
      <c r="U850" s="34" t="s">
        <v>959</v>
      </c>
      <c r="V850" s="35" t="s">
        <v>959</v>
      </c>
      <c r="W850" s="35" t="s">
        <v>959</v>
      </c>
    </row>
    <row r="851" spans="1:23" x14ac:dyDescent="0.2">
      <c r="A851" s="30" t="s">
        <v>205</v>
      </c>
      <c r="B851" s="30" t="s">
        <v>1502</v>
      </c>
      <c r="C851" s="34">
        <v>78</v>
      </c>
      <c r="D851" s="35">
        <v>68</v>
      </c>
      <c r="E851" s="34">
        <f>IF(OR(D851="-",D851="",D851=0),IF(C851="-","-",C851),C851-D851)</f>
        <v>10</v>
      </c>
      <c r="F851" s="4">
        <f>IFERROR(IF(C851&gt;0, D851/C851, 0),"-")</f>
        <v>0.87179487179487181</v>
      </c>
      <c r="G851" s="34">
        <v>5</v>
      </c>
      <c r="H851" s="35" t="s">
        <v>959</v>
      </c>
      <c r="I851" s="34">
        <f>IF(OR(H851="-",H851="",H851=0),IF(G851="-","-",G851),G851-H851)</f>
        <v>5</v>
      </c>
      <c r="J851" s="4" t="str">
        <f>IFERROR(IF(G851&gt;0, H851/G851, 0),"-")</f>
        <v>-</v>
      </c>
      <c r="K851" s="34" t="s">
        <v>959</v>
      </c>
      <c r="L851" s="35" t="s">
        <v>959</v>
      </c>
      <c r="M851" s="34" t="str">
        <f>IF(OR(L851="-",L851="",L851=0),IF(K851="-","-",K851),K851-L851)</f>
        <v>-</v>
      </c>
      <c r="N851" s="4" t="str">
        <f>IFERROR(IF(K851&gt;0, L851/K851, 0),"-")</f>
        <v>-</v>
      </c>
      <c r="O851" s="34">
        <v>1</v>
      </c>
      <c r="P851" s="35" t="s">
        <v>959</v>
      </c>
      <c r="Q851" s="34">
        <f>IF(OR(P851="-",P851="",P851=0),IF(O851="-","-",O851),O851-P851)</f>
        <v>1</v>
      </c>
      <c r="R851" s="4" t="str">
        <f>IFERROR(IF(O851&gt;0, P851/O851, 0),"-")</f>
        <v>-</v>
      </c>
      <c r="S851" s="34" t="s">
        <v>959</v>
      </c>
      <c r="T851" s="34" t="s">
        <v>959</v>
      </c>
      <c r="U851" s="34" t="s">
        <v>959</v>
      </c>
      <c r="V851" s="35" t="s">
        <v>959</v>
      </c>
      <c r="W851" s="35" t="s">
        <v>959</v>
      </c>
    </row>
    <row r="852" spans="1:23" x14ac:dyDescent="0.2">
      <c r="A852" s="30" t="s">
        <v>191</v>
      </c>
      <c r="B852" s="30" t="s">
        <v>1503</v>
      </c>
      <c r="C852" s="34">
        <v>96</v>
      </c>
      <c r="D852" s="35">
        <v>96</v>
      </c>
      <c r="E852" s="34">
        <f>IF(OR(D852="-",D852="",D852=0),IF(C852="-","-",C852),C852-D852)</f>
        <v>0</v>
      </c>
      <c r="F852" s="4">
        <f>IFERROR(IF(C852&gt;0, D852/C852, 0),"-")</f>
        <v>1</v>
      </c>
      <c r="G852" s="34" t="s">
        <v>959</v>
      </c>
      <c r="H852" s="35" t="s">
        <v>959</v>
      </c>
      <c r="I852" s="34" t="str">
        <f>IF(OR(H852="-",H852="",H852=0),IF(G852="-","-",G852),G852-H852)</f>
        <v>-</v>
      </c>
      <c r="J852" s="4" t="str">
        <f>IFERROR(IF(G852&gt;0, H852/G852, 0),"-")</f>
        <v>-</v>
      </c>
      <c r="K852" s="34" t="s">
        <v>959</v>
      </c>
      <c r="L852" s="35" t="s">
        <v>959</v>
      </c>
      <c r="M852" s="34" t="str">
        <f>IF(OR(L852="-",L852="",L852=0),IF(K852="-","-",K852),K852-L852)</f>
        <v>-</v>
      </c>
      <c r="N852" s="4" t="str">
        <f>IFERROR(IF(K852&gt;0, L852/K852, 0),"-")</f>
        <v>-</v>
      </c>
      <c r="O852" s="34" t="s">
        <v>959</v>
      </c>
      <c r="P852" s="35" t="s">
        <v>959</v>
      </c>
      <c r="Q852" s="34" t="str">
        <f>IF(OR(P852="-",P852="",P852=0),IF(O852="-","-",O852),O852-P852)</f>
        <v>-</v>
      </c>
      <c r="R852" s="4" t="str">
        <f>IFERROR(IF(O852&gt;0, P852/O852, 0),"-")</f>
        <v>-</v>
      </c>
      <c r="S852" s="34" t="s">
        <v>959</v>
      </c>
      <c r="T852" s="34" t="s">
        <v>959</v>
      </c>
      <c r="U852" s="34" t="s">
        <v>959</v>
      </c>
      <c r="V852" s="35" t="s">
        <v>959</v>
      </c>
      <c r="W852" s="35" t="s">
        <v>959</v>
      </c>
    </row>
    <row r="853" spans="1:23" x14ac:dyDescent="0.2">
      <c r="A853" s="30" t="s">
        <v>190</v>
      </c>
      <c r="B853" s="30" t="s">
        <v>1504</v>
      </c>
      <c r="C853" s="34">
        <v>175</v>
      </c>
      <c r="D853" s="35">
        <v>174</v>
      </c>
      <c r="E853" s="34">
        <f>IF(OR(D853="-",D853="",D853=0),IF(C853="-","-",C853),C853-D853)</f>
        <v>1</v>
      </c>
      <c r="F853" s="4">
        <f>IFERROR(IF(C853&gt;0, D853/C853, 0),"-")</f>
        <v>0.99428571428571433</v>
      </c>
      <c r="G853" s="34">
        <v>1</v>
      </c>
      <c r="H853" s="35" t="s">
        <v>959</v>
      </c>
      <c r="I853" s="34">
        <f>IF(OR(H853="-",H853="",H853=0),IF(G853="-","-",G853),G853-H853)</f>
        <v>1</v>
      </c>
      <c r="J853" s="4" t="str">
        <f>IFERROR(IF(G853&gt;0, H853/G853, 0),"-")</f>
        <v>-</v>
      </c>
      <c r="K853" s="34">
        <v>1</v>
      </c>
      <c r="L853" s="35" t="s">
        <v>959</v>
      </c>
      <c r="M853" s="34">
        <f>IF(OR(L853="-",L853="",L853=0),IF(K853="-","-",K853),K853-L853)</f>
        <v>1</v>
      </c>
      <c r="N853" s="4" t="str">
        <f>IFERROR(IF(K853&gt;0, L853/K853, 0),"-")</f>
        <v>-</v>
      </c>
      <c r="O853" s="34" t="s">
        <v>959</v>
      </c>
      <c r="P853" s="35" t="s">
        <v>959</v>
      </c>
      <c r="Q853" s="34" t="str">
        <f>IF(OR(P853="-",P853="",P853=0),IF(O853="-","-",O853),O853-P853)</f>
        <v>-</v>
      </c>
      <c r="R853" s="4" t="str">
        <f>IFERROR(IF(O853&gt;0, P853/O853, 0),"-")</f>
        <v>-</v>
      </c>
      <c r="S853" s="34" t="s">
        <v>959</v>
      </c>
      <c r="T853" s="34" t="s">
        <v>959</v>
      </c>
      <c r="U853" s="34" t="s">
        <v>959</v>
      </c>
      <c r="V853" s="35" t="s">
        <v>959</v>
      </c>
      <c r="W853" s="35" t="s">
        <v>959</v>
      </c>
    </row>
    <row r="854" spans="1:23" x14ac:dyDescent="0.2">
      <c r="A854" s="30" t="s">
        <v>181</v>
      </c>
      <c r="B854" s="30" t="s">
        <v>1505</v>
      </c>
      <c r="C854" s="34">
        <v>109</v>
      </c>
      <c r="D854" s="35">
        <v>104</v>
      </c>
      <c r="E854" s="34">
        <f>IF(OR(D854="-",D854="",D854=0),IF(C854="-","-",C854),C854-D854)</f>
        <v>5</v>
      </c>
      <c r="F854" s="4">
        <f>IFERROR(IF(C854&gt;0, D854/C854, 0),"-")</f>
        <v>0.95412844036697253</v>
      </c>
      <c r="G854" s="34" t="s">
        <v>959</v>
      </c>
      <c r="H854" s="35" t="s">
        <v>959</v>
      </c>
      <c r="I854" s="34" t="str">
        <f>IF(OR(H854="-",H854="",H854=0),IF(G854="-","-",G854),G854-H854)</f>
        <v>-</v>
      </c>
      <c r="J854" s="4" t="str">
        <f>IFERROR(IF(G854&gt;0, H854/G854, 0),"-")</f>
        <v>-</v>
      </c>
      <c r="K854" s="34" t="s">
        <v>959</v>
      </c>
      <c r="L854" s="35" t="s">
        <v>959</v>
      </c>
      <c r="M854" s="34" t="str">
        <f>IF(OR(L854="-",L854="",L854=0),IF(K854="-","-",K854),K854-L854)</f>
        <v>-</v>
      </c>
      <c r="N854" s="4" t="str">
        <f>IFERROR(IF(K854&gt;0, L854/K854, 0),"-")</f>
        <v>-</v>
      </c>
      <c r="O854" s="34" t="s">
        <v>959</v>
      </c>
      <c r="P854" s="35" t="s">
        <v>959</v>
      </c>
      <c r="Q854" s="34" t="str">
        <f>IF(OR(P854="-",P854="",P854=0),IF(O854="-","-",O854),O854-P854)</f>
        <v>-</v>
      </c>
      <c r="R854" s="4" t="str">
        <f>IFERROR(IF(O854&gt;0, P854/O854, 0),"-")</f>
        <v>-</v>
      </c>
      <c r="S854" s="34" t="s">
        <v>959</v>
      </c>
      <c r="T854" s="34" t="s">
        <v>959</v>
      </c>
      <c r="U854" s="34" t="s">
        <v>959</v>
      </c>
      <c r="V854" s="35" t="s">
        <v>959</v>
      </c>
      <c r="W854" s="35" t="s">
        <v>959</v>
      </c>
    </row>
    <row r="855" spans="1:23" x14ac:dyDescent="0.2">
      <c r="A855" s="30" t="s">
        <v>189</v>
      </c>
      <c r="B855" s="30" t="s">
        <v>1506</v>
      </c>
      <c r="C855" s="34">
        <v>103</v>
      </c>
      <c r="D855" s="35">
        <v>101</v>
      </c>
      <c r="E855" s="34">
        <f>IF(OR(D855="-",D855="",D855=0),IF(C855="-","-",C855),C855-D855)</f>
        <v>2</v>
      </c>
      <c r="F855" s="4">
        <f>IFERROR(IF(C855&gt;0, D855/C855, 0),"-")</f>
        <v>0.98058252427184467</v>
      </c>
      <c r="G855" s="34" t="s">
        <v>959</v>
      </c>
      <c r="H855" s="35" t="s">
        <v>959</v>
      </c>
      <c r="I855" s="34" t="str">
        <f>IF(OR(H855="-",H855="",H855=0),IF(G855="-","-",G855),G855-H855)</f>
        <v>-</v>
      </c>
      <c r="J855" s="4" t="str">
        <f>IFERROR(IF(G855&gt;0, H855/G855, 0),"-")</f>
        <v>-</v>
      </c>
      <c r="K855" s="34" t="s">
        <v>959</v>
      </c>
      <c r="L855" s="35" t="s">
        <v>959</v>
      </c>
      <c r="M855" s="34" t="str">
        <f>IF(OR(L855="-",L855="",L855=0),IF(K855="-","-",K855),K855-L855)</f>
        <v>-</v>
      </c>
      <c r="N855" s="4" t="str">
        <f>IFERROR(IF(K855&gt;0, L855/K855, 0),"-")</f>
        <v>-</v>
      </c>
      <c r="O855" s="34" t="s">
        <v>959</v>
      </c>
      <c r="P855" s="35" t="s">
        <v>959</v>
      </c>
      <c r="Q855" s="34" t="str">
        <f>IF(OR(P855="-",P855="",P855=0),IF(O855="-","-",O855),O855-P855)</f>
        <v>-</v>
      </c>
      <c r="R855" s="4" t="str">
        <f>IFERROR(IF(O855&gt;0, P855/O855, 0),"-")</f>
        <v>-</v>
      </c>
      <c r="S855" s="34" t="s">
        <v>959</v>
      </c>
      <c r="T855" s="34" t="s">
        <v>959</v>
      </c>
      <c r="U855" s="34" t="s">
        <v>959</v>
      </c>
      <c r="V855" s="35" t="s">
        <v>959</v>
      </c>
      <c r="W855" s="35" t="s">
        <v>959</v>
      </c>
    </row>
    <row r="856" spans="1:23" x14ac:dyDescent="0.2">
      <c r="A856" s="30" t="s">
        <v>192</v>
      </c>
      <c r="B856" s="30" t="s">
        <v>1507</v>
      </c>
      <c r="C856" s="34">
        <v>144</v>
      </c>
      <c r="D856" s="35">
        <v>136</v>
      </c>
      <c r="E856" s="34">
        <f>IF(OR(D856="-",D856="",D856=0),IF(C856="-","-",C856),C856-D856)</f>
        <v>8</v>
      </c>
      <c r="F856" s="4">
        <f>IFERROR(IF(C856&gt;0, D856/C856, 0),"-")</f>
        <v>0.94444444444444442</v>
      </c>
      <c r="G856" s="34">
        <v>2</v>
      </c>
      <c r="H856" s="35" t="s">
        <v>959</v>
      </c>
      <c r="I856" s="34">
        <f>IF(OR(H856="-",H856="",H856=0),IF(G856="-","-",G856),G856-H856)</f>
        <v>2</v>
      </c>
      <c r="J856" s="4" t="str">
        <f>IFERROR(IF(G856&gt;0, H856/G856, 0),"-")</f>
        <v>-</v>
      </c>
      <c r="K856" s="34" t="s">
        <v>959</v>
      </c>
      <c r="L856" s="35" t="s">
        <v>959</v>
      </c>
      <c r="M856" s="34" t="str">
        <f>IF(OR(L856="-",L856="",L856=0),IF(K856="-","-",K856),K856-L856)</f>
        <v>-</v>
      </c>
      <c r="N856" s="4" t="str">
        <f>IFERROR(IF(K856&gt;0, L856/K856, 0),"-")</f>
        <v>-</v>
      </c>
      <c r="O856" s="34">
        <v>4</v>
      </c>
      <c r="P856" s="35" t="s">
        <v>959</v>
      </c>
      <c r="Q856" s="34">
        <f>IF(OR(P856="-",P856="",P856=0),IF(O856="-","-",O856),O856-P856)</f>
        <v>4</v>
      </c>
      <c r="R856" s="4" t="str">
        <f>IFERROR(IF(O856&gt;0, P856/O856, 0),"-")</f>
        <v>-</v>
      </c>
      <c r="S856" s="34">
        <v>7</v>
      </c>
      <c r="T856" s="34" t="s">
        <v>959</v>
      </c>
      <c r="U856" s="34" t="s">
        <v>959</v>
      </c>
      <c r="V856" s="35" t="s">
        <v>959</v>
      </c>
      <c r="W856" s="35" t="s">
        <v>959</v>
      </c>
    </row>
    <row r="857" spans="1:23" x14ac:dyDescent="0.2">
      <c r="A857" s="29"/>
      <c r="B857" s="29" t="s">
        <v>51</v>
      </c>
      <c r="C857" s="32">
        <v>531</v>
      </c>
      <c r="D857" s="32">
        <v>529</v>
      </c>
      <c r="E857" s="32">
        <f>IF(OR(D857="-",D857="",D857=0),IF(C857="-","-",C857),C857-D857)</f>
        <v>2</v>
      </c>
      <c r="F857" s="36">
        <f>IFERROR(IF(C857&gt;0, D857/C857, 0),"-")</f>
        <v>0.99623352165725043</v>
      </c>
      <c r="G857" s="32">
        <v>5</v>
      </c>
      <c r="H857" s="32">
        <v>2</v>
      </c>
      <c r="I857" s="32">
        <f>IF(OR(H857="-",H857="",H857=0),IF(G857="-","-",G857),G857-H857)</f>
        <v>3</v>
      </c>
      <c r="J857" s="36">
        <f>IFERROR(IF(G857&gt;0, H857/G857, 0),"-")</f>
        <v>0.4</v>
      </c>
      <c r="K857" s="32">
        <v>4</v>
      </c>
      <c r="L857" s="32" t="s">
        <v>959</v>
      </c>
      <c r="M857" s="32">
        <f>IF(OR(L857="-",L857="",L857=0),IF(K857="-","-",K857),K857-L857)</f>
        <v>4</v>
      </c>
      <c r="N857" s="36" t="str">
        <f>IFERROR(IF(K857&gt;0, L857/K857, 0),"-")</f>
        <v>-</v>
      </c>
      <c r="O857" s="32">
        <v>2</v>
      </c>
      <c r="P857" s="32">
        <v>1</v>
      </c>
      <c r="Q857" s="32">
        <f>IF(OR(P857="-",P857="",P857=0),IF(O857="-","-",O857),O857-P857)</f>
        <v>1</v>
      </c>
      <c r="R857" s="36">
        <f>IFERROR(IF(O857&gt;0, P857/O857, 0),"-")</f>
        <v>0.5</v>
      </c>
      <c r="S857" s="32" t="s">
        <v>959</v>
      </c>
      <c r="T857" s="32" t="s">
        <v>959</v>
      </c>
      <c r="U857" s="32" t="s">
        <v>959</v>
      </c>
      <c r="V857" s="32" t="s">
        <v>959</v>
      </c>
      <c r="W857" s="32" t="s">
        <v>959</v>
      </c>
    </row>
    <row r="858" spans="1:23" x14ac:dyDescent="0.2">
      <c r="A858" s="30" t="s">
        <v>297</v>
      </c>
      <c r="B858" s="30" t="s">
        <v>1508</v>
      </c>
      <c r="C858" s="34">
        <v>80</v>
      </c>
      <c r="D858" s="35">
        <v>80</v>
      </c>
      <c r="E858" s="34">
        <f>IF(OR(D858="-",D858="",D858=0),IF(C858="-","-",C858),C858-D858)</f>
        <v>0</v>
      </c>
      <c r="F858" s="4">
        <f>IFERROR(IF(C858&gt;0, D858/C858, 0),"-")</f>
        <v>1</v>
      </c>
      <c r="G858" s="34">
        <v>1</v>
      </c>
      <c r="H858" s="35" t="s">
        <v>959</v>
      </c>
      <c r="I858" s="34">
        <f>IF(OR(H858="-",H858="",H858=0),IF(G858="-","-",G858),G858-H858)</f>
        <v>1</v>
      </c>
      <c r="J858" s="4" t="str">
        <f>IFERROR(IF(G858&gt;0, H858/G858, 0),"-")</f>
        <v>-</v>
      </c>
      <c r="K858" s="34" t="s">
        <v>959</v>
      </c>
      <c r="L858" s="35" t="s">
        <v>959</v>
      </c>
      <c r="M858" s="34" t="str">
        <f>IF(OR(L858="-",L858="",L858=0),IF(K858="-","-",K858),K858-L858)</f>
        <v>-</v>
      </c>
      <c r="N858" s="4" t="str">
        <f>IFERROR(IF(K858&gt;0, L858/K858, 0),"-")</f>
        <v>-</v>
      </c>
      <c r="O858" s="34" t="s">
        <v>959</v>
      </c>
      <c r="P858" s="35" t="s">
        <v>959</v>
      </c>
      <c r="Q858" s="34" t="str">
        <f>IF(OR(P858="-",P858="",P858=0),IF(O858="-","-",O858),O858-P858)</f>
        <v>-</v>
      </c>
      <c r="R858" s="4" t="str">
        <f>IFERROR(IF(O858&gt;0, P858/O858, 0),"-")</f>
        <v>-</v>
      </c>
      <c r="S858" s="34" t="s">
        <v>959</v>
      </c>
      <c r="T858" s="34" t="s">
        <v>959</v>
      </c>
      <c r="U858" s="34" t="s">
        <v>959</v>
      </c>
      <c r="V858" s="35" t="s">
        <v>959</v>
      </c>
      <c r="W858" s="35" t="s">
        <v>959</v>
      </c>
    </row>
    <row r="859" spans="1:23" x14ac:dyDescent="0.2">
      <c r="A859" s="30" t="s">
        <v>301</v>
      </c>
      <c r="B859" s="30" t="s">
        <v>1509</v>
      </c>
      <c r="C859" s="34" t="s">
        <v>959</v>
      </c>
      <c r="D859" s="35" t="s">
        <v>959</v>
      </c>
      <c r="E859" s="34" t="str">
        <f>IF(OR(D859="-",D859="",D859=0),IF(C859="-","-",C859),C859-D859)</f>
        <v>-</v>
      </c>
      <c r="F859" s="4" t="str">
        <f>IFERROR(IF(C859&gt;0, D859/C859, 0),"-")</f>
        <v>-</v>
      </c>
      <c r="G859" s="34" t="s">
        <v>959</v>
      </c>
      <c r="H859" s="35" t="s">
        <v>959</v>
      </c>
      <c r="I859" s="34" t="str">
        <f>IF(OR(H859="-",H859="",H859=0),IF(G859="-","-",G859),G859-H859)</f>
        <v>-</v>
      </c>
      <c r="J859" s="4" t="str">
        <f>IFERROR(IF(G859&gt;0, H859/G859, 0),"-")</f>
        <v>-</v>
      </c>
      <c r="K859" s="34" t="s">
        <v>959</v>
      </c>
      <c r="L859" s="35" t="s">
        <v>959</v>
      </c>
      <c r="M859" s="34" t="str">
        <f>IF(OR(L859="-",L859="",L859=0),IF(K859="-","-",K859),K859-L859)</f>
        <v>-</v>
      </c>
      <c r="N859" s="4" t="str">
        <f>IFERROR(IF(K859&gt;0, L859/K859, 0),"-")</f>
        <v>-</v>
      </c>
      <c r="O859" s="34" t="s">
        <v>959</v>
      </c>
      <c r="P859" s="35" t="s">
        <v>959</v>
      </c>
      <c r="Q859" s="34" t="str">
        <f>IF(OR(P859="-",P859="",P859=0),IF(O859="-","-",O859),O859-P859)</f>
        <v>-</v>
      </c>
      <c r="R859" s="4" t="str">
        <f>IFERROR(IF(O859&gt;0, P859/O859, 0),"-")</f>
        <v>-</v>
      </c>
      <c r="S859" s="34" t="s">
        <v>959</v>
      </c>
      <c r="T859" s="34" t="s">
        <v>959</v>
      </c>
      <c r="U859" s="34" t="s">
        <v>959</v>
      </c>
      <c r="V859" s="35" t="s">
        <v>959</v>
      </c>
      <c r="W859" s="35" t="s">
        <v>959</v>
      </c>
    </row>
    <row r="860" spans="1:23" x14ac:dyDescent="0.2">
      <c r="A860" s="30" t="s">
        <v>293</v>
      </c>
      <c r="B860" s="30" t="s">
        <v>1510</v>
      </c>
      <c r="C860" s="34">
        <v>119</v>
      </c>
      <c r="D860" s="35">
        <v>118</v>
      </c>
      <c r="E860" s="34">
        <f>IF(OR(D860="-",D860="",D860=0),IF(C860="-","-",C860),C860-D860)</f>
        <v>1</v>
      </c>
      <c r="F860" s="4">
        <f>IFERROR(IF(C860&gt;0, D860/C860, 0),"-")</f>
        <v>0.99159663865546221</v>
      </c>
      <c r="G860" s="34" t="s">
        <v>959</v>
      </c>
      <c r="H860" s="35" t="s">
        <v>959</v>
      </c>
      <c r="I860" s="34" t="str">
        <f>IF(OR(H860="-",H860="",H860=0),IF(G860="-","-",G860),G860-H860)</f>
        <v>-</v>
      </c>
      <c r="J860" s="4" t="str">
        <f>IFERROR(IF(G860&gt;0, H860/G860, 0),"-")</f>
        <v>-</v>
      </c>
      <c r="K860" s="34" t="s">
        <v>959</v>
      </c>
      <c r="L860" s="35" t="s">
        <v>959</v>
      </c>
      <c r="M860" s="34" t="str">
        <f>IF(OR(L860="-",L860="",L860=0),IF(K860="-","-",K860),K860-L860)</f>
        <v>-</v>
      </c>
      <c r="N860" s="4" t="str">
        <f>IFERROR(IF(K860&gt;0, L860/K860, 0),"-")</f>
        <v>-</v>
      </c>
      <c r="O860" s="34" t="s">
        <v>959</v>
      </c>
      <c r="P860" s="35" t="s">
        <v>959</v>
      </c>
      <c r="Q860" s="34" t="str">
        <f>IF(OR(P860="-",P860="",P860=0),IF(O860="-","-",O860),O860-P860)</f>
        <v>-</v>
      </c>
      <c r="R860" s="4" t="str">
        <f>IFERROR(IF(O860&gt;0, P860/O860, 0),"-")</f>
        <v>-</v>
      </c>
      <c r="S860" s="34" t="s">
        <v>959</v>
      </c>
      <c r="T860" s="34" t="s">
        <v>959</v>
      </c>
      <c r="U860" s="34" t="s">
        <v>959</v>
      </c>
      <c r="V860" s="35" t="s">
        <v>959</v>
      </c>
      <c r="W860" s="35" t="s">
        <v>959</v>
      </c>
    </row>
    <row r="861" spans="1:23" x14ac:dyDescent="0.2">
      <c r="A861" s="30" t="s">
        <v>295</v>
      </c>
      <c r="B861" s="30" t="s">
        <v>1511</v>
      </c>
      <c r="C861" s="34">
        <v>112</v>
      </c>
      <c r="D861" s="35">
        <v>111</v>
      </c>
      <c r="E861" s="34">
        <f>IF(OR(D861="-",D861="",D861=0),IF(C861="-","-",C861),C861-D861)</f>
        <v>1</v>
      </c>
      <c r="F861" s="4">
        <f>IFERROR(IF(C861&gt;0, D861/C861, 0),"-")</f>
        <v>0.9910714285714286</v>
      </c>
      <c r="G861" s="34">
        <v>2</v>
      </c>
      <c r="H861" s="35">
        <v>2</v>
      </c>
      <c r="I861" s="34">
        <f>IF(OR(H861="-",H861="",H861=0),IF(G861="-","-",G861),G861-H861)</f>
        <v>0</v>
      </c>
      <c r="J861" s="4">
        <f>IFERROR(IF(G861&gt;0, H861/G861, 0),"-")</f>
        <v>1</v>
      </c>
      <c r="K861" s="34" t="s">
        <v>959</v>
      </c>
      <c r="L861" s="35" t="s">
        <v>959</v>
      </c>
      <c r="M861" s="34" t="str">
        <f>IF(OR(L861="-",L861="",L861=0),IF(K861="-","-",K861),K861-L861)</f>
        <v>-</v>
      </c>
      <c r="N861" s="4" t="str">
        <f>IFERROR(IF(K861&gt;0, L861/K861, 0),"-")</f>
        <v>-</v>
      </c>
      <c r="O861" s="34" t="s">
        <v>959</v>
      </c>
      <c r="P861" s="35" t="s">
        <v>959</v>
      </c>
      <c r="Q861" s="34" t="str">
        <f>IF(OR(P861="-",P861="",P861=0),IF(O861="-","-",O861),O861-P861)</f>
        <v>-</v>
      </c>
      <c r="R861" s="4" t="str">
        <f>IFERROR(IF(O861&gt;0, P861/O861, 0),"-")</f>
        <v>-</v>
      </c>
      <c r="S861" s="34" t="s">
        <v>959</v>
      </c>
      <c r="T861" s="34" t="s">
        <v>959</v>
      </c>
      <c r="U861" s="34" t="s">
        <v>959</v>
      </c>
      <c r="V861" s="35" t="s">
        <v>959</v>
      </c>
      <c r="W861" s="35" t="s">
        <v>959</v>
      </c>
    </row>
    <row r="862" spans="1:23" x14ac:dyDescent="0.2">
      <c r="A862" s="30" t="s">
        <v>294</v>
      </c>
      <c r="B862" s="30" t="s">
        <v>1512</v>
      </c>
      <c r="C862" s="34">
        <v>101</v>
      </c>
      <c r="D862" s="35">
        <v>101</v>
      </c>
      <c r="E862" s="34">
        <f>IF(OR(D862="-",D862="",D862=0),IF(C862="-","-",C862),C862-D862)</f>
        <v>0</v>
      </c>
      <c r="F862" s="4">
        <f>IFERROR(IF(C862&gt;0, D862/C862, 0),"-")</f>
        <v>1</v>
      </c>
      <c r="G862" s="34">
        <v>2</v>
      </c>
      <c r="H862" s="35" t="s">
        <v>959</v>
      </c>
      <c r="I862" s="34">
        <f>IF(OR(H862="-",H862="",H862=0),IF(G862="-","-",G862),G862-H862)</f>
        <v>2</v>
      </c>
      <c r="J862" s="4" t="str">
        <f>IFERROR(IF(G862&gt;0, H862/G862, 0),"-")</f>
        <v>-</v>
      </c>
      <c r="K862" s="34">
        <v>1</v>
      </c>
      <c r="L862" s="35" t="s">
        <v>959</v>
      </c>
      <c r="M862" s="34">
        <f>IF(OR(L862="-",L862="",L862=0),IF(K862="-","-",K862),K862-L862)</f>
        <v>1</v>
      </c>
      <c r="N862" s="4" t="str">
        <f>IFERROR(IF(K862&gt;0, L862/K862, 0),"-")</f>
        <v>-</v>
      </c>
      <c r="O862" s="34" t="s">
        <v>959</v>
      </c>
      <c r="P862" s="35" t="s">
        <v>959</v>
      </c>
      <c r="Q862" s="34" t="str">
        <f>IF(OR(P862="-",P862="",P862=0),IF(O862="-","-",O862),O862-P862)</f>
        <v>-</v>
      </c>
      <c r="R862" s="4" t="str">
        <f>IFERROR(IF(O862&gt;0, P862/O862, 0),"-")</f>
        <v>-</v>
      </c>
      <c r="S862" s="34" t="s">
        <v>959</v>
      </c>
      <c r="T862" s="34" t="s">
        <v>959</v>
      </c>
      <c r="U862" s="34" t="s">
        <v>959</v>
      </c>
      <c r="V862" s="35" t="s">
        <v>959</v>
      </c>
      <c r="W862" s="35" t="s">
        <v>959</v>
      </c>
    </row>
    <row r="863" spans="1:23" x14ac:dyDescent="0.2">
      <c r="A863" s="30" t="s">
        <v>296</v>
      </c>
      <c r="B863" s="30" t="s">
        <v>1513</v>
      </c>
      <c r="C863" s="34">
        <v>119</v>
      </c>
      <c r="D863" s="35">
        <v>119</v>
      </c>
      <c r="E863" s="34">
        <f>IF(OR(D863="-",D863="",D863=0),IF(C863="-","-",C863),C863-D863)</f>
        <v>0</v>
      </c>
      <c r="F863" s="4">
        <f>IFERROR(IF(C863&gt;0, D863/C863, 0),"-")</f>
        <v>1</v>
      </c>
      <c r="G863" s="34" t="s">
        <v>959</v>
      </c>
      <c r="H863" s="35" t="s">
        <v>959</v>
      </c>
      <c r="I863" s="34" t="str">
        <f>IF(OR(H863="-",H863="",H863=0),IF(G863="-","-",G863),G863-H863)</f>
        <v>-</v>
      </c>
      <c r="J863" s="4" t="str">
        <f>IFERROR(IF(G863&gt;0, H863/G863, 0),"-")</f>
        <v>-</v>
      </c>
      <c r="K863" s="34">
        <v>3</v>
      </c>
      <c r="L863" s="35" t="s">
        <v>959</v>
      </c>
      <c r="M863" s="34">
        <f>IF(OR(L863="-",L863="",L863=0),IF(K863="-","-",K863),K863-L863)</f>
        <v>3</v>
      </c>
      <c r="N863" s="4" t="str">
        <f>IFERROR(IF(K863&gt;0, L863/K863, 0),"-")</f>
        <v>-</v>
      </c>
      <c r="O863" s="34">
        <v>2</v>
      </c>
      <c r="P863" s="35">
        <v>1</v>
      </c>
      <c r="Q863" s="34">
        <f>IF(OR(P863="-",P863="",P863=0),IF(O863="-","-",O863),O863-P863)</f>
        <v>1</v>
      </c>
      <c r="R863" s="4">
        <f>IFERROR(IF(O863&gt;0, P863/O863, 0),"-")</f>
        <v>0.5</v>
      </c>
      <c r="S863" s="34" t="s">
        <v>959</v>
      </c>
      <c r="T863" s="34" t="s">
        <v>959</v>
      </c>
      <c r="U863" s="34" t="s">
        <v>959</v>
      </c>
      <c r="V863" s="35" t="s">
        <v>959</v>
      </c>
      <c r="W863" s="35" t="s">
        <v>959</v>
      </c>
    </row>
    <row r="864" spans="1:23" x14ac:dyDescent="0.2">
      <c r="A864" s="29"/>
      <c r="B864" s="29" t="s">
        <v>75</v>
      </c>
      <c r="C864" s="32">
        <v>443</v>
      </c>
      <c r="D864" s="32">
        <v>438</v>
      </c>
      <c r="E864" s="32">
        <f>IF(OR(D864="-",D864="",D864=0),IF(C864="-","-",C864),C864-D864)</f>
        <v>5</v>
      </c>
      <c r="F864" s="36">
        <f>IFERROR(IF(C864&gt;0, D864/C864, 0),"-")</f>
        <v>0.98871331828442433</v>
      </c>
      <c r="G864" s="32">
        <v>4</v>
      </c>
      <c r="H864" s="32">
        <v>1</v>
      </c>
      <c r="I864" s="32">
        <f>IF(OR(H864="-",H864="",H864=0),IF(G864="-","-",G864),G864-H864)</f>
        <v>3</v>
      </c>
      <c r="J864" s="36">
        <f>IFERROR(IF(G864&gt;0, H864/G864, 0),"-")</f>
        <v>0.25</v>
      </c>
      <c r="K864" s="32" t="s">
        <v>959</v>
      </c>
      <c r="L864" s="32" t="s">
        <v>959</v>
      </c>
      <c r="M864" s="32" t="str">
        <f>IF(OR(L864="-",L864="",L864=0),IF(K864="-","-",K864),K864-L864)</f>
        <v>-</v>
      </c>
      <c r="N864" s="36" t="str">
        <f>IFERROR(IF(K864&gt;0, L864/K864, 0),"-")</f>
        <v>-</v>
      </c>
      <c r="O864" s="32" t="s">
        <v>959</v>
      </c>
      <c r="P864" s="32" t="s">
        <v>959</v>
      </c>
      <c r="Q864" s="32" t="str">
        <f>IF(OR(P864="-",P864="",P864=0),IF(O864="-","-",O864),O864-P864)</f>
        <v>-</v>
      </c>
      <c r="R864" s="36" t="str">
        <f>IFERROR(IF(O864&gt;0, P864/O864, 0),"-")</f>
        <v>-</v>
      </c>
      <c r="S864" s="32" t="s">
        <v>959</v>
      </c>
      <c r="T864" s="32" t="s">
        <v>959</v>
      </c>
      <c r="U864" s="32" t="s">
        <v>959</v>
      </c>
      <c r="V864" s="32" t="s">
        <v>959</v>
      </c>
      <c r="W864" s="32" t="s">
        <v>959</v>
      </c>
    </row>
    <row r="865" spans="1:23" x14ac:dyDescent="0.2">
      <c r="A865" s="30" t="s">
        <v>498</v>
      </c>
      <c r="B865" s="30" t="s">
        <v>1514</v>
      </c>
      <c r="C865" s="34">
        <v>99</v>
      </c>
      <c r="D865" s="35">
        <v>99</v>
      </c>
      <c r="E865" s="34">
        <f>IF(OR(D865="-",D865="",D865=0),IF(C865="-","-",C865),C865-D865)</f>
        <v>0</v>
      </c>
      <c r="F865" s="4">
        <f>IFERROR(IF(C865&gt;0, D865/C865, 0),"-")</f>
        <v>1</v>
      </c>
      <c r="G865" s="34" t="s">
        <v>959</v>
      </c>
      <c r="H865" s="35" t="s">
        <v>959</v>
      </c>
      <c r="I865" s="34" t="str">
        <f>IF(OR(H865="-",H865="",H865=0),IF(G865="-","-",G865),G865-H865)</f>
        <v>-</v>
      </c>
      <c r="J865" s="4" t="str">
        <f>IFERROR(IF(G865&gt;0, H865/G865, 0),"-")</f>
        <v>-</v>
      </c>
      <c r="K865" s="34" t="s">
        <v>959</v>
      </c>
      <c r="L865" s="35" t="s">
        <v>959</v>
      </c>
      <c r="M865" s="34" t="str">
        <f>IF(OR(L865="-",L865="",L865=0),IF(K865="-","-",K865),K865-L865)</f>
        <v>-</v>
      </c>
      <c r="N865" s="4" t="str">
        <f>IFERROR(IF(K865&gt;0, L865/K865, 0),"-")</f>
        <v>-</v>
      </c>
      <c r="O865" s="34" t="s">
        <v>959</v>
      </c>
      <c r="P865" s="35" t="s">
        <v>959</v>
      </c>
      <c r="Q865" s="34" t="str">
        <f>IF(OR(P865="-",P865="",P865=0),IF(O865="-","-",O865),O865-P865)</f>
        <v>-</v>
      </c>
      <c r="R865" s="4" t="str">
        <f>IFERROR(IF(O865&gt;0, P865/O865, 0),"-")</f>
        <v>-</v>
      </c>
      <c r="S865" s="34" t="s">
        <v>959</v>
      </c>
      <c r="T865" s="34" t="s">
        <v>959</v>
      </c>
      <c r="U865" s="34" t="s">
        <v>959</v>
      </c>
      <c r="V865" s="35" t="s">
        <v>959</v>
      </c>
      <c r="W865" s="35" t="s">
        <v>959</v>
      </c>
    </row>
    <row r="866" spans="1:23" x14ac:dyDescent="0.2">
      <c r="A866" s="30" t="s">
        <v>499</v>
      </c>
      <c r="B866" s="30" t="s">
        <v>1515</v>
      </c>
      <c r="C866" s="34">
        <v>159</v>
      </c>
      <c r="D866" s="35">
        <v>157</v>
      </c>
      <c r="E866" s="34">
        <f>IF(OR(D866="-",D866="",D866=0),IF(C866="-","-",C866),C866-D866)</f>
        <v>2</v>
      </c>
      <c r="F866" s="4">
        <f>IFERROR(IF(C866&gt;0, D866/C866, 0),"-")</f>
        <v>0.98742138364779874</v>
      </c>
      <c r="G866" s="34">
        <v>2</v>
      </c>
      <c r="H866" s="35">
        <v>1</v>
      </c>
      <c r="I866" s="34">
        <f>IF(OR(H866="-",H866="",H866=0),IF(G866="-","-",G866),G866-H866)</f>
        <v>1</v>
      </c>
      <c r="J866" s="4">
        <f>IFERROR(IF(G866&gt;0, H866/G866, 0),"-")</f>
        <v>0.5</v>
      </c>
      <c r="K866" s="34" t="s">
        <v>959</v>
      </c>
      <c r="L866" s="35" t="s">
        <v>959</v>
      </c>
      <c r="M866" s="34" t="str">
        <f>IF(OR(L866="-",L866="",L866=0),IF(K866="-","-",K866),K866-L866)</f>
        <v>-</v>
      </c>
      <c r="N866" s="4" t="str">
        <f>IFERROR(IF(K866&gt;0, L866/K866, 0),"-")</f>
        <v>-</v>
      </c>
      <c r="O866" s="34" t="s">
        <v>959</v>
      </c>
      <c r="P866" s="35" t="s">
        <v>959</v>
      </c>
      <c r="Q866" s="34" t="str">
        <f>IF(OR(P866="-",P866="",P866=0),IF(O866="-","-",O866),O866-P866)</f>
        <v>-</v>
      </c>
      <c r="R866" s="4" t="str">
        <f>IFERROR(IF(O866&gt;0, P866/O866, 0),"-")</f>
        <v>-</v>
      </c>
      <c r="S866" s="34" t="s">
        <v>959</v>
      </c>
      <c r="T866" s="34" t="s">
        <v>959</v>
      </c>
      <c r="U866" s="34" t="s">
        <v>959</v>
      </c>
      <c r="V866" s="35" t="s">
        <v>959</v>
      </c>
      <c r="W866" s="35" t="s">
        <v>959</v>
      </c>
    </row>
    <row r="867" spans="1:23" x14ac:dyDescent="0.2">
      <c r="A867" s="30" t="s">
        <v>497</v>
      </c>
      <c r="B867" s="30" t="s">
        <v>1516</v>
      </c>
      <c r="C867" s="34">
        <v>116</v>
      </c>
      <c r="D867" s="35">
        <v>115</v>
      </c>
      <c r="E867" s="34">
        <f>IF(OR(D867="-",D867="",D867=0),IF(C867="-","-",C867),C867-D867)</f>
        <v>1</v>
      </c>
      <c r="F867" s="4">
        <f>IFERROR(IF(C867&gt;0, D867/C867, 0),"-")</f>
        <v>0.99137931034482762</v>
      </c>
      <c r="G867" s="34">
        <v>1</v>
      </c>
      <c r="H867" s="35" t="s">
        <v>959</v>
      </c>
      <c r="I867" s="34">
        <f>IF(OR(H867="-",H867="",H867=0),IF(G867="-","-",G867),G867-H867)</f>
        <v>1</v>
      </c>
      <c r="J867" s="4" t="str">
        <f>IFERROR(IF(G867&gt;0, H867/G867, 0),"-")</f>
        <v>-</v>
      </c>
      <c r="K867" s="34" t="s">
        <v>959</v>
      </c>
      <c r="L867" s="35" t="s">
        <v>959</v>
      </c>
      <c r="M867" s="34" t="str">
        <f>IF(OR(L867="-",L867="",L867=0),IF(K867="-","-",K867),K867-L867)</f>
        <v>-</v>
      </c>
      <c r="N867" s="4" t="str">
        <f>IFERROR(IF(K867&gt;0, L867/K867, 0),"-")</f>
        <v>-</v>
      </c>
      <c r="O867" s="34" t="s">
        <v>959</v>
      </c>
      <c r="P867" s="35" t="s">
        <v>959</v>
      </c>
      <c r="Q867" s="34" t="str">
        <f>IF(OR(P867="-",P867="",P867=0),IF(O867="-","-",O867),O867-P867)</f>
        <v>-</v>
      </c>
      <c r="R867" s="4" t="str">
        <f>IFERROR(IF(O867&gt;0, P867/O867, 0),"-")</f>
        <v>-</v>
      </c>
      <c r="S867" s="34" t="s">
        <v>959</v>
      </c>
      <c r="T867" s="34" t="s">
        <v>959</v>
      </c>
      <c r="U867" s="34" t="s">
        <v>959</v>
      </c>
      <c r="V867" s="35" t="s">
        <v>959</v>
      </c>
      <c r="W867" s="35" t="s">
        <v>959</v>
      </c>
    </row>
    <row r="868" spans="1:23" x14ac:dyDescent="0.2">
      <c r="A868" s="30" t="s">
        <v>500</v>
      </c>
      <c r="B868" s="30" t="s">
        <v>1517</v>
      </c>
      <c r="C868" s="34">
        <v>69</v>
      </c>
      <c r="D868" s="35">
        <v>67</v>
      </c>
      <c r="E868" s="34">
        <f>IF(OR(D868="-",D868="",D868=0),IF(C868="-","-",C868),C868-D868)</f>
        <v>2</v>
      </c>
      <c r="F868" s="4">
        <f>IFERROR(IF(C868&gt;0, D868/C868, 0),"-")</f>
        <v>0.97101449275362317</v>
      </c>
      <c r="G868" s="34">
        <v>1</v>
      </c>
      <c r="H868" s="35" t="s">
        <v>959</v>
      </c>
      <c r="I868" s="34">
        <f>IF(OR(H868="-",H868="",H868=0),IF(G868="-","-",G868),G868-H868)</f>
        <v>1</v>
      </c>
      <c r="J868" s="4" t="str">
        <f>IFERROR(IF(G868&gt;0, H868/G868, 0),"-")</f>
        <v>-</v>
      </c>
      <c r="K868" s="34" t="s">
        <v>959</v>
      </c>
      <c r="L868" s="35" t="s">
        <v>959</v>
      </c>
      <c r="M868" s="34" t="str">
        <f>IF(OR(L868="-",L868="",L868=0),IF(K868="-","-",K868),K868-L868)</f>
        <v>-</v>
      </c>
      <c r="N868" s="4" t="str">
        <f>IFERROR(IF(K868&gt;0, L868/K868, 0),"-")</f>
        <v>-</v>
      </c>
      <c r="O868" s="34" t="s">
        <v>959</v>
      </c>
      <c r="P868" s="35" t="s">
        <v>959</v>
      </c>
      <c r="Q868" s="34" t="str">
        <f>IF(OR(P868="-",P868="",P868=0),IF(O868="-","-",O868),O868-P868)</f>
        <v>-</v>
      </c>
      <c r="R868" s="4" t="str">
        <f>IFERROR(IF(O868&gt;0, P868/O868, 0),"-")</f>
        <v>-</v>
      </c>
      <c r="S868" s="34" t="s">
        <v>959</v>
      </c>
      <c r="T868" s="34" t="s">
        <v>959</v>
      </c>
      <c r="U868" s="34" t="s">
        <v>959</v>
      </c>
      <c r="V868" s="35" t="s">
        <v>959</v>
      </c>
      <c r="W868" s="35" t="s">
        <v>959</v>
      </c>
    </row>
    <row r="869" spans="1:23" x14ac:dyDescent="0.2">
      <c r="A869" s="29"/>
      <c r="B869" s="29" t="s">
        <v>8</v>
      </c>
      <c r="C869" s="32">
        <v>418</v>
      </c>
      <c r="D869" s="32">
        <v>415</v>
      </c>
      <c r="E869" s="32">
        <f>IF(OR(D869="-",D869="",D869=0),IF(C869="-","-",C869),C869-D869)</f>
        <v>3</v>
      </c>
      <c r="F869" s="36">
        <f>IFERROR(IF(C869&gt;0, D869/C869, 0),"-")</f>
        <v>0.99282296650717705</v>
      </c>
      <c r="G869" s="32">
        <v>1</v>
      </c>
      <c r="H869" s="32" t="s">
        <v>959</v>
      </c>
      <c r="I869" s="32">
        <f>IF(OR(H869="-",H869="",H869=0),IF(G869="-","-",G869),G869-H869)</f>
        <v>1</v>
      </c>
      <c r="J869" s="36" t="str">
        <f>IFERROR(IF(G869&gt;0, H869/G869, 0),"-")</f>
        <v>-</v>
      </c>
      <c r="K869" s="32">
        <v>1</v>
      </c>
      <c r="L869" s="32">
        <v>1</v>
      </c>
      <c r="M869" s="32">
        <f>IF(OR(L869="-",L869="",L869=0),IF(K869="-","-",K869),K869-L869)</f>
        <v>0</v>
      </c>
      <c r="N869" s="36">
        <f>IFERROR(IF(K869&gt;0, L869/K869, 0),"-")</f>
        <v>1</v>
      </c>
      <c r="O869" s="32">
        <v>1</v>
      </c>
      <c r="P869" s="32">
        <v>1</v>
      </c>
      <c r="Q869" s="32">
        <f>IF(OR(P869="-",P869="",P869=0),IF(O869="-","-",O869),O869-P869)</f>
        <v>0</v>
      </c>
      <c r="R869" s="36">
        <f>IFERROR(IF(O869&gt;0, P869/O869, 0),"-")</f>
        <v>1</v>
      </c>
      <c r="S869" s="32">
        <v>4</v>
      </c>
      <c r="T869" s="32" t="s">
        <v>959</v>
      </c>
      <c r="U869" s="32" t="s">
        <v>959</v>
      </c>
      <c r="V869" s="32" t="s">
        <v>959</v>
      </c>
      <c r="W869" s="32" t="s">
        <v>959</v>
      </c>
    </row>
    <row r="870" spans="1:23" x14ac:dyDescent="0.2">
      <c r="A870" s="30" t="s">
        <v>290</v>
      </c>
      <c r="B870" s="30" t="s">
        <v>1518</v>
      </c>
      <c r="C870" s="34">
        <v>128</v>
      </c>
      <c r="D870" s="35">
        <v>128</v>
      </c>
      <c r="E870" s="34">
        <f>IF(OR(D870="-",D870="",D870=0),IF(C870="-","-",C870),C870-D870)</f>
        <v>0</v>
      </c>
      <c r="F870" s="4">
        <f>IFERROR(IF(C870&gt;0, D870/C870, 0),"-")</f>
        <v>1</v>
      </c>
      <c r="G870" s="34" t="s">
        <v>959</v>
      </c>
      <c r="H870" s="35" t="s">
        <v>959</v>
      </c>
      <c r="I870" s="34" t="str">
        <f>IF(OR(H870="-",H870="",H870=0),IF(G870="-","-",G870),G870-H870)</f>
        <v>-</v>
      </c>
      <c r="J870" s="4" t="str">
        <f>IFERROR(IF(G870&gt;0, H870/G870, 0),"-")</f>
        <v>-</v>
      </c>
      <c r="K870" s="34" t="s">
        <v>959</v>
      </c>
      <c r="L870" s="35" t="s">
        <v>959</v>
      </c>
      <c r="M870" s="34" t="str">
        <f>IF(OR(L870="-",L870="",L870=0),IF(K870="-","-",K870),K870-L870)</f>
        <v>-</v>
      </c>
      <c r="N870" s="4" t="str">
        <f>IFERROR(IF(K870&gt;0, L870/K870, 0),"-")</f>
        <v>-</v>
      </c>
      <c r="O870" s="34" t="s">
        <v>959</v>
      </c>
      <c r="P870" s="35" t="s">
        <v>959</v>
      </c>
      <c r="Q870" s="34" t="str">
        <f>IF(OR(P870="-",P870="",P870=0),IF(O870="-","-",O870),O870-P870)</f>
        <v>-</v>
      </c>
      <c r="R870" s="4" t="str">
        <f>IFERROR(IF(O870&gt;0, P870/O870, 0),"-")</f>
        <v>-</v>
      </c>
      <c r="S870" s="34" t="s">
        <v>959</v>
      </c>
      <c r="T870" s="34" t="s">
        <v>959</v>
      </c>
      <c r="U870" s="34" t="s">
        <v>959</v>
      </c>
      <c r="V870" s="35" t="s">
        <v>959</v>
      </c>
      <c r="W870" s="35" t="s">
        <v>959</v>
      </c>
    </row>
    <row r="871" spans="1:23" x14ac:dyDescent="0.2">
      <c r="A871" s="30" t="s">
        <v>292</v>
      </c>
      <c r="B871" s="30" t="s">
        <v>1519</v>
      </c>
      <c r="C871" s="34">
        <v>69</v>
      </c>
      <c r="D871" s="35">
        <v>68</v>
      </c>
      <c r="E871" s="34">
        <f>IF(OR(D871="-",D871="",D871=0),IF(C871="-","-",C871),C871-D871)</f>
        <v>1</v>
      </c>
      <c r="F871" s="4">
        <f>IFERROR(IF(C871&gt;0, D871/C871, 0),"-")</f>
        <v>0.98550724637681164</v>
      </c>
      <c r="G871" s="34" t="s">
        <v>959</v>
      </c>
      <c r="H871" s="35" t="s">
        <v>959</v>
      </c>
      <c r="I871" s="34" t="str">
        <f>IF(OR(H871="-",H871="",H871=0),IF(G871="-","-",G871),G871-H871)</f>
        <v>-</v>
      </c>
      <c r="J871" s="4" t="str">
        <f>IFERROR(IF(G871&gt;0, H871/G871, 0),"-")</f>
        <v>-</v>
      </c>
      <c r="K871" s="34" t="s">
        <v>959</v>
      </c>
      <c r="L871" s="35" t="s">
        <v>959</v>
      </c>
      <c r="M871" s="34" t="str">
        <f>IF(OR(L871="-",L871="",L871=0),IF(K871="-","-",K871),K871-L871)</f>
        <v>-</v>
      </c>
      <c r="N871" s="4" t="str">
        <f>IFERROR(IF(K871&gt;0, L871/K871, 0),"-")</f>
        <v>-</v>
      </c>
      <c r="O871" s="34">
        <v>1</v>
      </c>
      <c r="P871" s="35">
        <v>1</v>
      </c>
      <c r="Q871" s="34">
        <f>IF(OR(P871="-",P871="",P871=0),IF(O871="-","-",O871),O871-P871)</f>
        <v>0</v>
      </c>
      <c r="R871" s="4">
        <f>IFERROR(IF(O871&gt;0, P871/O871, 0),"-")</f>
        <v>1</v>
      </c>
      <c r="S871" s="34">
        <v>1</v>
      </c>
      <c r="T871" s="34" t="s">
        <v>959</v>
      </c>
      <c r="U871" s="34" t="s">
        <v>959</v>
      </c>
      <c r="V871" s="35" t="s">
        <v>959</v>
      </c>
      <c r="W871" s="35" t="s">
        <v>959</v>
      </c>
    </row>
    <row r="872" spans="1:23" x14ac:dyDescent="0.2">
      <c r="A872" s="30" t="s">
        <v>289</v>
      </c>
      <c r="B872" s="30" t="s">
        <v>1520</v>
      </c>
      <c r="C872" s="34">
        <v>85</v>
      </c>
      <c r="D872" s="35">
        <v>85</v>
      </c>
      <c r="E872" s="34">
        <f>IF(OR(D872="-",D872="",D872=0),IF(C872="-","-",C872),C872-D872)</f>
        <v>0</v>
      </c>
      <c r="F872" s="4">
        <f>IFERROR(IF(C872&gt;0, D872/C872, 0),"-")</f>
        <v>1</v>
      </c>
      <c r="G872" s="34" t="s">
        <v>959</v>
      </c>
      <c r="H872" s="35" t="s">
        <v>959</v>
      </c>
      <c r="I872" s="34" t="str">
        <f>IF(OR(H872="-",H872="",H872=0),IF(G872="-","-",G872),G872-H872)</f>
        <v>-</v>
      </c>
      <c r="J872" s="4" t="str">
        <f>IFERROR(IF(G872&gt;0, H872/G872, 0),"-")</f>
        <v>-</v>
      </c>
      <c r="K872" s="34">
        <v>1</v>
      </c>
      <c r="L872" s="35">
        <v>1</v>
      </c>
      <c r="M872" s="34">
        <f>IF(OR(L872="-",L872="",L872=0),IF(K872="-","-",K872),K872-L872)</f>
        <v>0</v>
      </c>
      <c r="N872" s="4">
        <f>IFERROR(IF(K872&gt;0, L872/K872, 0),"-")</f>
        <v>1</v>
      </c>
      <c r="O872" s="34" t="s">
        <v>959</v>
      </c>
      <c r="P872" s="35" t="s">
        <v>959</v>
      </c>
      <c r="Q872" s="34" t="str">
        <f>IF(OR(P872="-",P872="",P872=0),IF(O872="-","-",O872),O872-P872)</f>
        <v>-</v>
      </c>
      <c r="R872" s="4" t="str">
        <f>IFERROR(IF(O872&gt;0, P872/O872, 0),"-")</f>
        <v>-</v>
      </c>
      <c r="S872" s="34">
        <v>2</v>
      </c>
      <c r="T872" s="34" t="s">
        <v>959</v>
      </c>
      <c r="U872" s="34" t="s">
        <v>959</v>
      </c>
      <c r="V872" s="35" t="s">
        <v>959</v>
      </c>
      <c r="W872" s="35" t="s">
        <v>959</v>
      </c>
    </row>
    <row r="873" spans="1:23" x14ac:dyDescent="0.2">
      <c r="A873" s="30" t="s">
        <v>288</v>
      </c>
      <c r="B873" s="30" t="s">
        <v>1521</v>
      </c>
      <c r="C873" s="34">
        <v>67</v>
      </c>
      <c r="D873" s="35">
        <v>66</v>
      </c>
      <c r="E873" s="34">
        <f>IF(OR(D873="-",D873="",D873=0),IF(C873="-","-",C873),C873-D873)</f>
        <v>1</v>
      </c>
      <c r="F873" s="4">
        <f>IFERROR(IF(C873&gt;0, D873/C873, 0),"-")</f>
        <v>0.9850746268656716</v>
      </c>
      <c r="G873" s="34" t="s">
        <v>959</v>
      </c>
      <c r="H873" s="35" t="s">
        <v>959</v>
      </c>
      <c r="I873" s="34" t="str">
        <f>IF(OR(H873="-",H873="",H873=0),IF(G873="-","-",G873),G873-H873)</f>
        <v>-</v>
      </c>
      <c r="J873" s="4" t="str">
        <f>IFERROR(IF(G873&gt;0, H873/G873, 0),"-")</f>
        <v>-</v>
      </c>
      <c r="K873" s="34" t="s">
        <v>959</v>
      </c>
      <c r="L873" s="35" t="s">
        <v>959</v>
      </c>
      <c r="M873" s="34" t="str">
        <f>IF(OR(L873="-",L873="",L873=0),IF(K873="-","-",K873),K873-L873)</f>
        <v>-</v>
      </c>
      <c r="N873" s="4" t="str">
        <f>IFERROR(IF(K873&gt;0, L873/K873, 0),"-")</f>
        <v>-</v>
      </c>
      <c r="O873" s="34" t="s">
        <v>959</v>
      </c>
      <c r="P873" s="35" t="s">
        <v>959</v>
      </c>
      <c r="Q873" s="34" t="str">
        <f>IF(OR(P873="-",P873="",P873=0),IF(O873="-","-",O873),O873-P873)</f>
        <v>-</v>
      </c>
      <c r="R873" s="4" t="str">
        <f>IFERROR(IF(O873&gt;0, P873/O873, 0),"-")</f>
        <v>-</v>
      </c>
      <c r="S873" s="34">
        <v>1</v>
      </c>
      <c r="T873" s="34" t="s">
        <v>959</v>
      </c>
      <c r="U873" s="34" t="s">
        <v>959</v>
      </c>
      <c r="V873" s="35" t="s">
        <v>959</v>
      </c>
      <c r="W873" s="35" t="s">
        <v>959</v>
      </c>
    </row>
    <row r="874" spans="1:23" x14ac:dyDescent="0.2">
      <c r="A874" s="30" t="s">
        <v>291</v>
      </c>
      <c r="B874" s="30" t="s">
        <v>1522</v>
      </c>
      <c r="C874" s="34">
        <v>69</v>
      </c>
      <c r="D874" s="35">
        <v>68</v>
      </c>
      <c r="E874" s="34">
        <f>IF(OR(D874="-",D874="",D874=0),IF(C874="-","-",C874),C874-D874)</f>
        <v>1</v>
      </c>
      <c r="F874" s="4">
        <f>IFERROR(IF(C874&gt;0, D874/C874, 0),"-")</f>
        <v>0.98550724637681164</v>
      </c>
      <c r="G874" s="34">
        <v>1</v>
      </c>
      <c r="H874" s="35" t="s">
        <v>959</v>
      </c>
      <c r="I874" s="34">
        <f>IF(OR(H874="-",H874="",H874=0),IF(G874="-","-",G874),G874-H874)</f>
        <v>1</v>
      </c>
      <c r="J874" s="4" t="str">
        <f>IFERROR(IF(G874&gt;0, H874/G874, 0),"-")</f>
        <v>-</v>
      </c>
      <c r="K874" s="34" t="s">
        <v>959</v>
      </c>
      <c r="L874" s="35" t="s">
        <v>959</v>
      </c>
      <c r="M874" s="34" t="str">
        <f>IF(OR(L874="-",L874="",L874=0),IF(K874="-","-",K874),K874-L874)</f>
        <v>-</v>
      </c>
      <c r="N874" s="4" t="str">
        <f>IFERROR(IF(K874&gt;0, L874/K874, 0),"-")</f>
        <v>-</v>
      </c>
      <c r="O874" s="34" t="s">
        <v>959</v>
      </c>
      <c r="P874" s="35" t="s">
        <v>959</v>
      </c>
      <c r="Q874" s="34" t="str">
        <f>IF(OR(P874="-",P874="",P874=0),IF(O874="-","-",O874),O874-P874)</f>
        <v>-</v>
      </c>
      <c r="R874" s="4" t="str">
        <f>IFERROR(IF(O874&gt;0, P874/O874, 0),"-")</f>
        <v>-</v>
      </c>
      <c r="S874" s="34" t="s">
        <v>959</v>
      </c>
      <c r="T874" s="34" t="s">
        <v>959</v>
      </c>
      <c r="U874" s="34" t="s">
        <v>959</v>
      </c>
      <c r="V874" s="35" t="s">
        <v>959</v>
      </c>
      <c r="W874" s="35" t="s">
        <v>959</v>
      </c>
    </row>
    <row r="875" spans="1:23" x14ac:dyDescent="0.2">
      <c r="A875" s="29"/>
      <c r="B875" s="29" t="s">
        <v>41</v>
      </c>
      <c r="C875" s="32">
        <v>487</v>
      </c>
      <c r="D875" s="32">
        <v>481</v>
      </c>
      <c r="E875" s="32">
        <f>IF(OR(D875="-",D875="",D875=0),IF(C875="-","-",C875),C875-D875)</f>
        <v>6</v>
      </c>
      <c r="F875" s="36">
        <f>IFERROR(IF(C875&gt;0, D875/C875, 0),"-")</f>
        <v>0.98767967145790558</v>
      </c>
      <c r="G875" s="32">
        <v>4</v>
      </c>
      <c r="H875" s="32">
        <v>1</v>
      </c>
      <c r="I875" s="32">
        <f>IF(OR(H875="-",H875="",H875=0),IF(G875="-","-",G875),G875-H875)</f>
        <v>3</v>
      </c>
      <c r="J875" s="36">
        <f>IFERROR(IF(G875&gt;0, H875/G875, 0),"-")</f>
        <v>0.25</v>
      </c>
      <c r="K875" s="32">
        <v>1</v>
      </c>
      <c r="L875" s="32" t="s">
        <v>959</v>
      </c>
      <c r="M875" s="32">
        <f>IF(OR(L875="-",L875="",L875=0),IF(K875="-","-",K875),K875-L875)</f>
        <v>1</v>
      </c>
      <c r="N875" s="36" t="str">
        <f>IFERROR(IF(K875&gt;0, L875/K875, 0),"-")</f>
        <v>-</v>
      </c>
      <c r="O875" s="32">
        <v>1</v>
      </c>
      <c r="P875" s="32" t="s">
        <v>959</v>
      </c>
      <c r="Q875" s="32">
        <f>IF(OR(P875="-",P875="",P875=0),IF(O875="-","-",O875),O875-P875)</f>
        <v>1</v>
      </c>
      <c r="R875" s="36" t="str">
        <f>IFERROR(IF(O875&gt;0, P875/O875, 0),"-")</f>
        <v>-</v>
      </c>
      <c r="S875" s="32" t="s">
        <v>959</v>
      </c>
      <c r="T875" s="32" t="s">
        <v>959</v>
      </c>
      <c r="U875" s="32" t="s">
        <v>959</v>
      </c>
      <c r="V875" s="32" t="s">
        <v>959</v>
      </c>
      <c r="W875" s="32" t="s">
        <v>959</v>
      </c>
    </row>
    <row r="876" spans="1:23" x14ac:dyDescent="0.2">
      <c r="A876" s="30" t="s">
        <v>217</v>
      </c>
      <c r="B876" s="30" t="s">
        <v>1523</v>
      </c>
      <c r="C876" s="34">
        <v>220</v>
      </c>
      <c r="D876" s="35">
        <v>219</v>
      </c>
      <c r="E876" s="34">
        <f>IF(OR(D876="-",D876="",D876=0),IF(C876="-","-",C876),C876-D876)</f>
        <v>1</v>
      </c>
      <c r="F876" s="4">
        <f>IFERROR(IF(C876&gt;0, D876/C876, 0),"-")</f>
        <v>0.99545454545454548</v>
      </c>
      <c r="G876" s="34">
        <v>3</v>
      </c>
      <c r="H876" s="35">
        <v>1</v>
      </c>
      <c r="I876" s="34">
        <f>IF(OR(H876="-",H876="",H876=0),IF(G876="-","-",G876),G876-H876)</f>
        <v>2</v>
      </c>
      <c r="J876" s="4">
        <f>IFERROR(IF(G876&gt;0, H876/G876, 0),"-")</f>
        <v>0.33333333333333331</v>
      </c>
      <c r="K876" s="34" t="s">
        <v>959</v>
      </c>
      <c r="L876" s="35" t="s">
        <v>959</v>
      </c>
      <c r="M876" s="34" t="str">
        <f>IF(OR(L876="-",L876="",L876=0),IF(K876="-","-",K876),K876-L876)</f>
        <v>-</v>
      </c>
      <c r="N876" s="4" t="str">
        <f>IFERROR(IF(K876&gt;0, L876/K876, 0),"-")</f>
        <v>-</v>
      </c>
      <c r="O876" s="34" t="s">
        <v>959</v>
      </c>
      <c r="P876" s="35" t="s">
        <v>959</v>
      </c>
      <c r="Q876" s="34" t="str">
        <f>IF(OR(P876="-",P876="",P876=0),IF(O876="-","-",O876),O876-P876)</f>
        <v>-</v>
      </c>
      <c r="R876" s="4" t="str">
        <f>IFERROR(IF(O876&gt;0, P876/O876, 0),"-")</f>
        <v>-</v>
      </c>
      <c r="S876" s="34" t="s">
        <v>959</v>
      </c>
      <c r="T876" s="34" t="s">
        <v>959</v>
      </c>
      <c r="U876" s="34" t="s">
        <v>959</v>
      </c>
      <c r="V876" s="35" t="s">
        <v>959</v>
      </c>
      <c r="W876" s="35" t="s">
        <v>959</v>
      </c>
    </row>
    <row r="877" spans="1:23" x14ac:dyDescent="0.2">
      <c r="A877" s="30" t="s">
        <v>218</v>
      </c>
      <c r="B877" s="30" t="s">
        <v>1524</v>
      </c>
      <c r="C877" s="34">
        <v>150</v>
      </c>
      <c r="D877" s="35">
        <v>150</v>
      </c>
      <c r="E877" s="34">
        <f>IF(OR(D877="-",D877="",D877=0),IF(C877="-","-",C877),C877-D877)</f>
        <v>0</v>
      </c>
      <c r="F877" s="4">
        <f>IFERROR(IF(C877&gt;0, D877/C877, 0),"-")</f>
        <v>1</v>
      </c>
      <c r="G877" s="34" t="s">
        <v>959</v>
      </c>
      <c r="H877" s="35" t="s">
        <v>959</v>
      </c>
      <c r="I877" s="34" t="str">
        <f>IF(OR(H877="-",H877="",H877=0),IF(G877="-","-",G877),G877-H877)</f>
        <v>-</v>
      </c>
      <c r="J877" s="4" t="str">
        <f>IFERROR(IF(G877&gt;0, H877/G877, 0),"-")</f>
        <v>-</v>
      </c>
      <c r="K877" s="34" t="s">
        <v>959</v>
      </c>
      <c r="L877" s="35" t="s">
        <v>959</v>
      </c>
      <c r="M877" s="34" t="str">
        <f>IF(OR(L877="-",L877="",L877=0),IF(K877="-","-",K877),K877-L877)</f>
        <v>-</v>
      </c>
      <c r="N877" s="4" t="str">
        <f>IFERROR(IF(K877&gt;0, L877/K877, 0),"-")</f>
        <v>-</v>
      </c>
      <c r="O877" s="34" t="s">
        <v>959</v>
      </c>
      <c r="P877" s="35" t="s">
        <v>959</v>
      </c>
      <c r="Q877" s="34" t="str">
        <f>IF(OR(P877="-",P877="",P877=0),IF(O877="-","-",O877),O877-P877)</f>
        <v>-</v>
      </c>
      <c r="R877" s="4" t="str">
        <f>IFERROR(IF(O877&gt;0, P877/O877, 0),"-")</f>
        <v>-</v>
      </c>
      <c r="S877" s="34" t="s">
        <v>959</v>
      </c>
      <c r="T877" s="34" t="s">
        <v>959</v>
      </c>
      <c r="U877" s="34" t="s">
        <v>959</v>
      </c>
      <c r="V877" s="35" t="s">
        <v>959</v>
      </c>
      <c r="W877" s="35" t="s">
        <v>959</v>
      </c>
    </row>
    <row r="878" spans="1:23" x14ac:dyDescent="0.2">
      <c r="A878" s="30" t="s">
        <v>219</v>
      </c>
      <c r="B878" s="30" t="s">
        <v>1525</v>
      </c>
      <c r="C878" s="34">
        <v>117</v>
      </c>
      <c r="D878" s="35">
        <v>112</v>
      </c>
      <c r="E878" s="34">
        <f>IF(OR(D878="-",D878="",D878=0),IF(C878="-","-",C878),C878-D878)</f>
        <v>5</v>
      </c>
      <c r="F878" s="4">
        <f>IFERROR(IF(C878&gt;0, D878/C878, 0),"-")</f>
        <v>0.95726495726495731</v>
      </c>
      <c r="G878" s="34">
        <v>1</v>
      </c>
      <c r="H878" s="35" t="s">
        <v>959</v>
      </c>
      <c r="I878" s="34">
        <f>IF(OR(H878="-",H878="",H878=0),IF(G878="-","-",G878),G878-H878)</f>
        <v>1</v>
      </c>
      <c r="J878" s="4" t="str">
        <f>IFERROR(IF(G878&gt;0, H878/G878, 0),"-")</f>
        <v>-</v>
      </c>
      <c r="K878" s="34">
        <v>1</v>
      </c>
      <c r="L878" s="35" t="s">
        <v>959</v>
      </c>
      <c r="M878" s="34">
        <f>IF(OR(L878="-",L878="",L878=0),IF(K878="-","-",K878),K878-L878)</f>
        <v>1</v>
      </c>
      <c r="N878" s="4" t="str">
        <f>IFERROR(IF(K878&gt;0, L878/K878, 0),"-")</f>
        <v>-</v>
      </c>
      <c r="O878" s="34">
        <v>1</v>
      </c>
      <c r="P878" s="35" t="s">
        <v>959</v>
      </c>
      <c r="Q878" s="34">
        <f>IF(OR(P878="-",P878="",P878=0),IF(O878="-","-",O878),O878-P878)</f>
        <v>1</v>
      </c>
      <c r="R878" s="4" t="str">
        <f>IFERROR(IF(O878&gt;0, P878/O878, 0),"-")</f>
        <v>-</v>
      </c>
      <c r="S878" s="34" t="s">
        <v>959</v>
      </c>
      <c r="T878" s="34" t="s">
        <v>959</v>
      </c>
      <c r="U878" s="34" t="s">
        <v>959</v>
      </c>
      <c r="V878" s="35" t="s">
        <v>959</v>
      </c>
      <c r="W878" s="35" t="s">
        <v>959</v>
      </c>
    </row>
    <row r="879" spans="1:23" x14ac:dyDescent="0.2">
      <c r="A879" s="29"/>
      <c r="B879" s="29" t="s">
        <v>26</v>
      </c>
      <c r="C879" s="32">
        <v>494</v>
      </c>
      <c r="D879" s="32">
        <v>484</v>
      </c>
      <c r="E879" s="32">
        <f>IF(OR(D879="-",D879="",D879=0),IF(C879="-","-",C879),C879-D879)</f>
        <v>10</v>
      </c>
      <c r="F879" s="36">
        <f>IFERROR(IF(C879&gt;0, D879/C879, 0),"-")</f>
        <v>0.97975708502024295</v>
      </c>
      <c r="G879" s="32">
        <v>7</v>
      </c>
      <c r="H879" s="32" t="s">
        <v>959</v>
      </c>
      <c r="I879" s="32">
        <f>IF(OR(H879="-",H879="",H879=0),IF(G879="-","-",G879),G879-H879)</f>
        <v>7</v>
      </c>
      <c r="J879" s="36" t="str">
        <f>IFERROR(IF(G879&gt;0, H879/G879, 0),"-")</f>
        <v>-</v>
      </c>
      <c r="K879" s="32">
        <v>2</v>
      </c>
      <c r="L879" s="32">
        <v>2</v>
      </c>
      <c r="M879" s="32">
        <f>IF(OR(L879="-",L879="",L879=0),IF(K879="-","-",K879),K879-L879)</f>
        <v>0</v>
      </c>
      <c r="N879" s="36">
        <f>IFERROR(IF(K879&gt;0, L879/K879, 0),"-")</f>
        <v>1</v>
      </c>
      <c r="O879" s="32">
        <v>1</v>
      </c>
      <c r="P879" s="32">
        <v>1</v>
      </c>
      <c r="Q879" s="32">
        <f>IF(OR(P879="-",P879="",P879=0),IF(O879="-","-",O879),O879-P879)</f>
        <v>0</v>
      </c>
      <c r="R879" s="36">
        <f>IFERROR(IF(O879&gt;0, P879/O879, 0),"-")</f>
        <v>1</v>
      </c>
      <c r="S879" s="32">
        <v>6</v>
      </c>
      <c r="T879" s="32" t="s">
        <v>959</v>
      </c>
      <c r="U879" s="32" t="s">
        <v>959</v>
      </c>
      <c r="V879" s="32" t="s">
        <v>959</v>
      </c>
      <c r="W879" s="32" t="s">
        <v>959</v>
      </c>
    </row>
    <row r="880" spans="1:23" x14ac:dyDescent="0.2">
      <c r="A880" s="30" t="s">
        <v>787</v>
      </c>
      <c r="B880" s="30" t="s">
        <v>1526</v>
      </c>
      <c r="C880" s="34">
        <v>92</v>
      </c>
      <c r="D880" s="35">
        <v>92</v>
      </c>
      <c r="E880" s="34">
        <f>IF(OR(D880="-",D880="",D880=0),IF(C880="-","-",C880),C880-D880)</f>
        <v>0</v>
      </c>
      <c r="F880" s="4">
        <f>IFERROR(IF(C880&gt;0, D880/C880, 0),"-")</f>
        <v>1</v>
      </c>
      <c r="G880" s="34" t="s">
        <v>959</v>
      </c>
      <c r="H880" s="35" t="s">
        <v>959</v>
      </c>
      <c r="I880" s="34" t="str">
        <f>IF(OR(H880="-",H880="",H880=0),IF(G880="-","-",G880),G880-H880)</f>
        <v>-</v>
      </c>
      <c r="J880" s="4" t="str">
        <f>IFERROR(IF(G880&gt;0, H880/G880, 0),"-")</f>
        <v>-</v>
      </c>
      <c r="K880" s="34" t="s">
        <v>959</v>
      </c>
      <c r="L880" s="35" t="s">
        <v>959</v>
      </c>
      <c r="M880" s="34" t="str">
        <f>IF(OR(L880="-",L880="",L880=0),IF(K880="-","-",K880),K880-L880)</f>
        <v>-</v>
      </c>
      <c r="N880" s="4" t="str">
        <f>IFERROR(IF(K880&gt;0, L880/K880, 0),"-")</f>
        <v>-</v>
      </c>
      <c r="O880" s="34" t="s">
        <v>959</v>
      </c>
      <c r="P880" s="35" t="s">
        <v>959</v>
      </c>
      <c r="Q880" s="34" t="str">
        <f>IF(OR(P880="-",P880="",P880=0),IF(O880="-","-",O880),O880-P880)</f>
        <v>-</v>
      </c>
      <c r="R880" s="4" t="str">
        <f>IFERROR(IF(O880&gt;0, P880/O880, 0),"-")</f>
        <v>-</v>
      </c>
      <c r="S880" s="34" t="s">
        <v>959</v>
      </c>
      <c r="T880" s="34" t="s">
        <v>959</v>
      </c>
      <c r="U880" s="34" t="s">
        <v>959</v>
      </c>
      <c r="V880" s="35" t="s">
        <v>959</v>
      </c>
      <c r="W880" s="35" t="s">
        <v>959</v>
      </c>
    </row>
    <row r="881" spans="1:23" x14ac:dyDescent="0.2">
      <c r="A881" s="30" t="s">
        <v>802</v>
      </c>
      <c r="B881" s="30" t="s">
        <v>1527</v>
      </c>
      <c r="C881" s="34">
        <v>76</v>
      </c>
      <c r="D881" s="35">
        <v>74</v>
      </c>
      <c r="E881" s="34">
        <f>IF(OR(D881="-",D881="",D881=0),IF(C881="-","-",C881),C881-D881)</f>
        <v>2</v>
      </c>
      <c r="F881" s="4">
        <f>IFERROR(IF(C881&gt;0, D881/C881, 0),"-")</f>
        <v>0.97368421052631582</v>
      </c>
      <c r="G881" s="34">
        <v>1</v>
      </c>
      <c r="H881" s="35" t="s">
        <v>959</v>
      </c>
      <c r="I881" s="34">
        <f>IF(OR(H881="-",H881="",H881=0),IF(G881="-","-",G881),G881-H881)</f>
        <v>1</v>
      </c>
      <c r="J881" s="4" t="str">
        <f>IFERROR(IF(G881&gt;0, H881/G881, 0),"-")</f>
        <v>-</v>
      </c>
      <c r="K881" s="34" t="s">
        <v>959</v>
      </c>
      <c r="L881" s="35" t="s">
        <v>959</v>
      </c>
      <c r="M881" s="34" t="str">
        <f>IF(OR(L881="-",L881="",L881=0),IF(K881="-","-",K881),K881-L881)</f>
        <v>-</v>
      </c>
      <c r="N881" s="4" t="str">
        <f>IFERROR(IF(K881&gt;0, L881/K881, 0),"-")</f>
        <v>-</v>
      </c>
      <c r="O881" s="34" t="s">
        <v>959</v>
      </c>
      <c r="P881" s="35" t="s">
        <v>959</v>
      </c>
      <c r="Q881" s="34" t="str">
        <f>IF(OR(P881="-",P881="",P881=0),IF(O881="-","-",O881),O881-P881)</f>
        <v>-</v>
      </c>
      <c r="R881" s="4" t="str">
        <f>IFERROR(IF(O881&gt;0, P881/O881, 0),"-")</f>
        <v>-</v>
      </c>
      <c r="S881" s="34" t="s">
        <v>959</v>
      </c>
      <c r="T881" s="34" t="s">
        <v>959</v>
      </c>
      <c r="U881" s="34" t="s">
        <v>959</v>
      </c>
      <c r="V881" s="35" t="s">
        <v>959</v>
      </c>
      <c r="W881" s="35" t="s">
        <v>959</v>
      </c>
    </row>
    <row r="882" spans="1:23" x14ac:dyDescent="0.2">
      <c r="A882" s="30" t="s">
        <v>791</v>
      </c>
      <c r="B882" s="30" t="s">
        <v>1528</v>
      </c>
      <c r="C882" s="34">
        <v>57</v>
      </c>
      <c r="D882" s="35">
        <v>56</v>
      </c>
      <c r="E882" s="34">
        <f>IF(OR(D882="-",D882="",D882=0),IF(C882="-","-",C882),C882-D882)</f>
        <v>1</v>
      </c>
      <c r="F882" s="4">
        <f>IFERROR(IF(C882&gt;0, D882/C882, 0),"-")</f>
        <v>0.98245614035087714</v>
      </c>
      <c r="G882" s="34">
        <v>1</v>
      </c>
      <c r="H882" s="35" t="s">
        <v>959</v>
      </c>
      <c r="I882" s="34">
        <f>IF(OR(H882="-",H882="",H882=0),IF(G882="-","-",G882),G882-H882)</f>
        <v>1</v>
      </c>
      <c r="J882" s="4" t="str">
        <f>IFERROR(IF(G882&gt;0, H882/G882, 0),"-")</f>
        <v>-</v>
      </c>
      <c r="K882" s="34" t="s">
        <v>959</v>
      </c>
      <c r="L882" s="35" t="s">
        <v>959</v>
      </c>
      <c r="M882" s="34" t="str">
        <f>IF(OR(L882="-",L882="",L882=0),IF(K882="-","-",K882),K882-L882)</f>
        <v>-</v>
      </c>
      <c r="N882" s="4" t="str">
        <f>IFERROR(IF(K882&gt;0, L882/K882, 0),"-")</f>
        <v>-</v>
      </c>
      <c r="O882" s="34" t="s">
        <v>959</v>
      </c>
      <c r="P882" s="35" t="s">
        <v>959</v>
      </c>
      <c r="Q882" s="34" t="str">
        <f>IF(OR(P882="-",P882="",P882=0),IF(O882="-","-",O882),O882-P882)</f>
        <v>-</v>
      </c>
      <c r="R882" s="4" t="str">
        <f>IFERROR(IF(O882&gt;0, P882/O882, 0),"-")</f>
        <v>-</v>
      </c>
      <c r="S882" s="34">
        <v>1</v>
      </c>
      <c r="T882" s="34" t="s">
        <v>959</v>
      </c>
      <c r="U882" s="34" t="s">
        <v>959</v>
      </c>
      <c r="V882" s="35" t="s">
        <v>959</v>
      </c>
      <c r="W882" s="35" t="s">
        <v>959</v>
      </c>
    </row>
    <row r="883" spans="1:23" x14ac:dyDescent="0.2">
      <c r="A883" s="30" t="s">
        <v>790</v>
      </c>
      <c r="B883" s="30" t="s">
        <v>1529</v>
      </c>
      <c r="C883" s="34">
        <v>33</v>
      </c>
      <c r="D883" s="35">
        <v>33</v>
      </c>
      <c r="E883" s="34">
        <f>IF(OR(D883="-",D883="",D883=0),IF(C883="-","-",C883),C883-D883)</f>
        <v>0</v>
      </c>
      <c r="F883" s="4">
        <f>IFERROR(IF(C883&gt;0, D883/C883, 0),"-")</f>
        <v>1</v>
      </c>
      <c r="G883" s="34">
        <v>1</v>
      </c>
      <c r="H883" s="35" t="s">
        <v>959</v>
      </c>
      <c r="I883" s="34">
        <f>IF(OR(H883="-",H883="",H883=0),IF(G883="-","-",G883),G883-H883)</f>
        <v>1</v>
      </c>
      <c r="J883" s="4" t="str">
        <f>IFERROR(IF(G883&gt;0, H883/G883, 0),"-")</f>
        <v>-</v>
      </c>
      <c r="K883" s="34" t="s">
        <v>959</v>
      </c>
      <c r="L883" s="35" t="s">
        <v>959</v>
      </c>
      <c r="M883" s="34" t="str">
        <f>IF(OR(L883="-",L883="",L883=0),IF(K883="-","-",K883),K883-L883)</f>
        <v>-</v>
      </c>
      <c r="N883" s="4" t="str">
        <f>IFERROR(IF(K883&gt;0, L883/K883, 0),"-")</f>
        <v>-</v>
      </c>
      <c r="O883" s="34" t="s">
        <v>959</v>
      </c>
      <c r="P883" s="35" t="s">
        <v>959</v>
      </c>
      <c r="Q883" s="34" t="str">
        <f>IF(OR(P883="-",P883="",P883=0),IF(O883="-","-",O883),O883-P883)</f>
        <v>-</v>
      </c>
      <c r="R883" s="4" t="str">
        <f>IFERROR(IF(O883&gt;0, P883/O883, 0),"-")</f>
        <v>-</v>
      </c>
      <c r="S883" s="34" t="s">
        <v>959</v>
      </c>
      <c r="T883" s="34" t="s">
        <v>959</v>
      </c>
      <c r="U883" s="34" t="s">
        <v>959</v>
      </c>
      <c r="V883" s="35" t="s">
        <v>959</v>
      </c>
      <c r="W883" s="35" t="s">
        <v>959</v>
      </c>
    </row>
    <row r="884" spans="1:23" x14ac:dyDescent="0.2">
      <c r="A884" s="30" t="s">
        <v>789</v>
      </c>
      <c r="B884" s="30" t="s">
        <v>1259</v>
      </c>
      <c r="C884" s="34">
        <v>7</v>
      </c>
      <c r="D884" s="35">
        <v>7</v>
      </c>
      <c r="E884" s="34">
        <f>IF(OR(D884="-",D884="",D884=0),IF(C884="-","-",C884),C884-D884)</f>
        <v>0</v>
      </c>
      <c r="F884" s="4">
        <f>IFERROR(IF(C884&gt;0, D884/C884, 0),"-")</f>
        <v>1</v>
      </c>
      <c r="G884" s="34" t="s">
        <v>959</v>
      </c>
      <c r="H884" s="35" t="s">
        <v>959</v>
      </c>
      <c r="I884" s="34" t="str">
        <f>IF(OR(H884="-",H884="",H884=0),IF(G884="-","-",G884),G884-H884)</f>
        <v>-</v>
      </c>
      <c r="J884" s="4" t="str">
        <f>IFERROR(IF(G884&gt;0, H884/G884, 0),"-")</f>
        <v>-</v>
      </c>
      <c r="K884" s="34" t="s">
        <v>959</v>
      </c>
      <c r="L884" s="35" t="s">
        <v>959</v>
      </c>
      <c r="M884" s="34" t="str">
        <f>IF(OR(L884="-",L884="",L884=0),IF(K884="-","-",K884),K884-L884)</f>
        <v>-</v>
      </c>
      <c r="N884" s="4" t="str">
        <f>IFERROR(IF(K884&gt;0, L884/K884, 0),"-")</f>
        <v>-</v>
      </c>
      <c r="O884" s="34" t="s">
        <v>959</v>
      </c>
      <c r="P884" s="35" t="s">
        <v>959</v>
      </c>
      <c r="Q884" s="34" t="str">
        <f>IF(OR(P884="-",P884="",P884=0),IF(O884="-","-",O884),O884-P884)</f>
        <v>-</v>
      </c>
      <c r="R884" s="4" t="str">
        <f>IFERROR(IF(O884&gt;0, P884/O884, 0),"-")</f>
        <v>-</v>
      </c>
      <c r="S884" s="34" t="s">
        <v>959</v>
      </c>
      <c r="T884" s="34" t="s">
        <v>959</v>
      </c>
      <c r="U884" s="34" t="s">
        <v>959</v>
      </c>
      <c r="V884" s="35" t="s">
        <v>959</v>
      </c>
      <c r="W884" s="35" t="s">
        <v>959</v>
      </c>
    </row>
    <row r="885" spans="1:23" x14ac:dyDescent="0.2">
      <c r="A885" s="30" t="s">
        <v>793</v>
      </c>
      <c r="B885" s="30" t="s">
        <v>1530</v>
      </c>
      <c r="C885" s="34">
        <v>86</v>
      </c>
      <c r="D885" s="35">
        <v>81</v>
      </c>
      <c r="E885" s="34">
        <f>IF(OR(D885="-",D885="",D885=0),IF(C885="-","-",C885),C885-D885)</f>
        <v>5</v>
      </c>
      <c r="F885" s="4">
        <f>IFERROR(IF(C885&gt;0, D885/C885, 0),"-")</f>
        <v>0.94186046511627908</v>
      </c>
      <c r="G885" s="34">
        <v>2</v>
      </c>
      <c r="H885" s="35" t="s">
        <v>959</v>
      </c>
      <c r="I885" s="34">
        <f>IF(OR(H885="-",H885="",H885=0),IF(G885="-","-",G885),G885-H885)</f>
        <v>2</v>
      </c>
      <c r="J885" s="4" t="str">
        <f>IFERROR(IF(G885&gt;0, H885/G885, 0),"-")</f>
        <v>-</v>
      </c>
      <c r="K885" s="34">
        <v>2</v>
      </c>
      <c r="L885" s="35">
        <v>2</v>
      </c>
      <c r="M885" s="34">
        <f>IF(OR(L885="-",L885="",L885=0),IF(K885="-","-",K885),K885-L885)</f>
        <v>0</v>
      </c>
      <c r="N885" s="4">
        <f>IFERROR(IF(K885&gt;0, L885/K885, 0),"-")</f>
        <v>1</v>
      </c>
      <c r="O885" s="34">
        <v>1</v>
      </c>
      <c r="P885" s="35">
        <v>1</v>
      </c>
      <c r="Q885" s="34">
        <f>IF(OR(P885="-",P885="",P885=0),IF(O885="-","-",O885),O885-P885)</f>
        <v>0</v>
      </c>
      <c r="R885" s="4">
        <f>IFERROR(IF(O885&gt;0, P885/O885, 0),"-")</f>
        <v>1</v>
      </c>
      <c r="S885" s="34">
        <v>5</v>
      </c>
      <c r="T885" s="34" t="s">
        <v>959</v>
      </c>
      <c r="U885" s="34" t="s">
        <v>959</v>
      </c>
      <c r="V885" s="35" t="s">
        <v>959</v>
      </c>
      <c r="W885" s="35" t="s">
        <v>959</v>
      </c>
    </row>
    <row r="886" spans="1:23" x14ac:dyDescent="0.2">
      <c r="A886" s="30" t="s">
        <v>792</v>
      </c>
      <c r="B886" s="30" t="s">
        <v>1531</v>
      </c>
      <c r="C886" s="34">
        <v>61</v>
      </c>
      <c r="D886" s="35">
        <v>59</v>
      </c>
      <c r="E886" s="34">
        <f>IF(OR(D886="-",D886="",D886=0),IF(C886="-","-",C886),C886-D886)</f>
        <v>2</v>
      </c>
      <c r="F886" s="4">
        <f>IFERROR(IF(C886&gt;0, D886/C886, 0),"-")</f>
        <v>0.96721311475409832</v>
      </c>
      <c r="G886" s="34">
        <v>2</v>
      </c>
      <c r="H886" s="35" t="s">
        <v>959</v>
      </c>
      <c r="I886" s="34">
        <f>IF(OR(H886="-",H886="",H886=0),IF(G886="-","-",G886),G886-H886)</f>
        <v>2</v>
      </c>
      <c r="J886" s="4" t="str">
        <f>IFERROR(IF(G886&gt;0, H886/G886, 0),"-")</f>
        <v>-</v>
      </c>
      <c r="K886" s="34" t="s">
        <v>959</v>
      </c>
      <c r="L886" s="35" t="s">
        <v>959</v>
      </c>
      <c r="M886" s="34" t="str">
        <f>IF(OR(L886="-",L886="",L886=0),IF(K886="-","-",K886),K886-L886)</f>
        <v>-</v>
      </c>
      <c r="N886" s="4" t="str">
        <f>IFERROR(IF(K886&gt;0, L886/K886, 0),"-")</f>
        <v>-</v>
      </c>
      <c r="O886" s="34" t="s">
        <v>959</v>
      </c>
      <c r="P886" s="35" t="s">
        <v>959</v>
      </c>
      <c r="Q886" s="34" t="str">
        <f>IF(OR(P886="-",P886="",P886=0),IF(O886="-","-",O886),O886-P886)</f>
        <v>-</v>
      </c>
      <c r="R886" s="4" t="str">
        <f>IFERROR(IF(O886&gt;0, P886/O886, 0),"-")</f>
        <v>-</v>
      </c>
      <c r="S886" s="34" t="s">
        <v>959</v>
      </c>
      <c r="T886" s="34" t="s">
        <v>959</v>
      </c>
      <c r="U886" s="34" t="s">
        <v>959</v>
      </c>
      <c r="V886" s="35" t="s">
        <v>959</v>
      </c>
      <c r="W886" s="35" t="s">
        <v>959</v>
      </c>
    </row>
    <row r="887" spans="1:23" x14ac:dyDescent="0.2">
      <c r="A887" s="30" t="s">
        <v>803</v>
      </c>
      <c r="B887" s="30" t="s">
        <v>989</v>
      </c>
      <c r="C887" s="34">
        <v>14</v>
      </c>
      <c r="D887" s="35">
        <v>14</v>
      </c>
      <c r="E887" s="34">
        <f>IF(OR(D887="-",D887="",D887=0),IF(C887="-","-",C887),C887-D887)</f>
        <v>0</v>
      </c>
      <c r="F887" s="4">
        <f>IFERROR(IF(C887&gt;0, D887/C887, 0),"-")</f>
        <v>1</v>
      </c>
      <c r="G887" s="34" t="s">
        <v>959</v>
      </c>
      <c r="H887" s="35" t="s">
        <v>959</v>
      </c>
      <c r="I887" s="34" t="str">
        <f>IF(OR(H887="-",H887="",H887=0),IF(G887="-","-",G887),G887-H887)</f>
        <v>-</v>
      </c>
      <c r="J887" s="4" t="str">
        <f>IFERROR(IF(G887&gt;0, H887/G887, 0),"-")</f>
        <v>-</v>
      </c>
      <c r="K887" s="34" t="s">
        <v>959</v>
      </c>
      <c r="L887" s="35" t="s">
        <v>959</v>
      </c>
      <c r="M887" s="34" t="str">
        <f>IF(OR(L887="-",L887="",L887=0),IF(K887="-","-",K887),K887-L887)</f>
        <v>-</v>
      </c>
      <c r="N887" s="4" t="str">
        <f>IFERROR(IF(K887&gt;0, L887/K887, 0),"-")</f>
        <v>-</v>
      </c>
      <c r="O887" s="34" t="s">
        <v>959</v>
      </c>
      <c r="P887" s="35" t="s">
        <v>959</v>
      </c>
      <c r="Q887" s="34" t="str">
        <f>IF(OR(P887="-",P887="",P887=0),IF(O887="-","-",O887),O887-P887)</f>
        <v>-</v>
      </c>
      <c r="R887" s="4" t="str">
        <f>IFERROR(IF(O887&gt;0, P887/O887, 0),"-")</f>
        <v>-</v>
      </c>
      <c r="S887" s="34" t="s">
        <v>959</v>
      </c>
      <c r="T887" s="34" t="s">
        <v>959</v>
      </c>
      <c r="U887" s="34" t="s">
        <v>959</v>
      </c>
      <c r="V887" s="35" t="s">
        <v>959</v>
      </c>
      <c r="W887" s="35" t="s">
        <v>959</v>
      </c>
    </row>
    <row r="888" spans="1:23" x14ac:dyDescent="0.2">
      <c r="A888" s="30" t="s">
        <v>788</v>
      </c>
      <c r="B888" s="30" t="s">
        <v>1532</v>
      </c>
      <c r="C888" s="34">
        <v>68</v>
      </c>
      <c r="D888" s="35">
        <v>68</v>
      </c>
      <c r="E888" s="34">
        <f>IF(OR(D888="-",D888="",D888=0),IF(C888="-","-",C888),C888-D888)</f>
        <v>0</v>
      </c>
      <c r="F888" s="4">
        <f>IFERROR(IF(C888&gt;0, D888/C888, 0),"-")</f>
        <v>1</v>
      </c>
      <c r="G888" s="34" t="s">
        <v>959</v>
      </c>
      <c r="H888" s="35" t="s">
        <v>959</v>
      </c>
      <c r="I888" s="34" t="str">
        <f>IF(OR(H888="-",H888="",H888=0),IF(G888="-","-",G888),G888-H888)</f>
        <v>-</v>
      </c>
      <c r="J888" s="4" t="str">
        <f>IFERROR(IF(G888&gt;0, H888/G888, 0),"-")</f>
        <v>-</v>
      </c>
      <c r="K888" s="34" t="s">
        <v>959</v>
      </c>
      <c r="L888" s="35" t="s">
        <v>959</v>
      </c>
      <c r="M888" s="34" t="str">
        <f>IF(OR(L888="-",L888="",L888=0),IF(K888="-","-",K888),K888-L888)</f>
        <v>-</v>
      </c>
      <c r="N888" s="4" t="str">
        <f>IFERROR(IF(K888&gt;0, L888/K888, 0),"-")</f>
        <v>-</v>
      </c>
      <c r="O888" s="34" t="s">
        <v>959</v>
      </c>
      <c r="P888" s="35" t="s">
        <v>959</v>
      </c>
      <c r="Q888" s="34" t="str">
        <f>IF(OR(P888="-",P888="",P888=0),IF(O888="-","-",O888),O888-P888)</f>
        <v>-</v>
      </c>
      <c r="R888" s="4" t="str">
        <f>IFERROR(IF(O888&gt;0, P888/O888, 0),"-")</f>
        <v>-</v>
      </c>
      <c r="S888" s="34" t="s">
        <v>959</v>
      </c>
      <c r="T888" s="34" t="s">
        <v>959</v>
      </c>
      <c r="U888" s="34" t="s">
        <v>959</v>
      </c>
      <c r="V888" s="35" t="s">
        <v>959</v>
      </c>
      <c r="W888" s="35" t="s">
        <v>959</v>
      </c>
    </row>
    <row r="889" spans="1:23" x14ac:dyDescent="0.2">
      <c r="A889" s="29"/>
      <c r="B889" s="29" t="s">
        <v>103</v>
      </c>
      <c r="C889" s="32">
        <v>317</v>
      </c>
      <c r="D889" s="32">
        <v>312</v>
      </c>
      <c r="E889" s="32">
        <f>IF(OR(D889="-",D889="",D889=0),IF(C889="-","-",C889),C889-D889)</f>
        <v>5</v>
      </c>
      <c r="F889" s="36">
        <f>IFERROR(IF(C889&gt;0, D889/C889, 0),"-")</f>
        <v>0.98422712933753942</v>
      </c>
      <c r="G889" s="32">
        <v>3</v>
      </c>
      <c r="H889" s="32" t="s">
        <v>959</v>
      </c>
      <c r="I889" s="32">
        <f>IF(OR(H889="-",H889="",H889=0),IF(G889="-","-",G889),G889-H889)</f>
        <v>3</v>
      </c>
      <c r="J889" s="36" t="str">
        <f>IFERROR(IF(G889&gt;0, H889/G889, 0),"-")</f>
        <v>-</v>
      </c>
      <c r="K889" s="32" t="s">
        <v>959</v>
      </c>
      <c r="L889" s="32" t="s">
        <v>959</v>
      </c>
      <c r="M889" s="32" t="str">
        <f>IF(OR(L889="-",L889="",L889=0),IF(K889="-","-",K889),K889-L889)</f>
        <v>-</v>
      </c>
      <c r="N889" s="36" t="str">
        <f>IFERROR(IF(K889&gt;0, L889/K889, 0),"-")</f>
        <v>-</v>
      </c>
      <c r="O889" s="32">
        <v>4</v>
      </c>
      <c r="P889" s="32">
        <v>1</v>
      </c>
      <c r="Q889" s="32">
        <f>IF(OR(P889="-",P889="",P889=0),IF(O889="-","-",O889),O889-P889)</f>
        <v>3</v>
      </c>
      <c r="R889" s="36">
        <f>IFERROR(IF(O889&gt;0, P889/O889, 0),"-")</f>
        <v>0.25</v>
      </c>
      <c r="S889" s="32" t="s">
        <v>959</v>
      </c>
      <c r="T889" s="32" t="s">
        <v>959</v>
      </c>
      <c r="U889" s="32" t="s">
        <v>959</v>
      </c>
      <c r="V889" s="32" t="s">
        <v>959</v>
      </c>
      <c r="W889" s="32" t="s">
        <v>959</v>
      </c>
    </row>
    <row r="890" spans="1:23" x14ac:dyDescent="0.2">
      <c r="A890" s="30" t="s">
        <v>742</v>
      </c>
      <c r="B890" s="30" t="s">
        <v>1533</v>
      </c>
      <c r="C890" s="34">
        <v>93</v>
      </c>
      <c r="D890" s="35">
        <v>92</v>
      </c>
      <c r="E890" s="34">
        <f>IF(OR(D890="-",D890="",D890=0),IF(C890="-","-",C890),C890-D890)</f>
        <v>1</v>
      </c>
      <c r="F890" s="4">
        <f>IFERROR(IF(C890&gt;0, D890/C890, 0),"-")</f>
        <v>0.989247311827957</v>
      </c>
      <c r="G890" s="34" t="s">
        <v>959</v>
      </c>
      <c r="H890" s="35" t="s">
        <v>959</v>
      </c>
      <c r="I890" s="34" t="str">
        <f>IF(OR(H890="-",H890="",H890=0),IF(G890="-","-",G890),G890-H890)</f>
        <v>-</v>
      </c>
      <c r="J890" s="4" t="str">
        <f>IFERROR(IF(G890&gt;0, H890/G890, 0),"-")</f>
        <v>-</v>
      </c>
      <c r="K890" s="34" t="s">
        <v>959</v>
      </c>
      <c r="L890" s="35" t="s">
        <v>959</v>
      </c>
      <c r="M890" s="34" t="str">
        <f>IF(OR(L890="-",L890="",L890=0),IF(K890="-","-",K890),K890-L890)</f>
        <v>-</v>
      </c>
      <c r="N890" s="4" t="str">
        <f>IFERROR(IF(K890&gt;0, L890/K890, 0),"-")</f>
        <v>-</v>
      </c>
      <c r="O890" s="34">
        <v>2</v>
      </c>
      <c r="P890" s="35" t="s">
        <v>959</v>
      </c>
      <c r="Q890" s="34">
        <f>IF(OR(P890="-",P890="",P890=0),IF(O890="-","-",O890),O890-P890)</f>
        <v>2</v>
      </c>
      <c r="R890" s="4" t="str">
        <f>IFERROR(IF(O890&gt;0, P890/O890, 0),"-")</f>
        <v>-</v>
      </c>
      <c r="S890" s="34" t="s">
        <v>959</v>
      </c>
      <c r="T890" s="34" t="s">
        <v>959</v>
      </c>
      <c r="U890" s="34" t="s">
        <v>959</v>
      </c>
      <c r="V890" s="35" t="s">
        <v>959</v>
      </c>
      <c r="W890" s="35" t="s">
        <v>959</v>
      </c>
    </row>
    <row r="891" spans="1:23" x14ac:dyDescent="0.2">
      <c r="A891" s="30" t="s">
        <v>743</v>
      </c>
      <c r="B891" s="30" t="s">
        <v>1534</v>
      </c>
      <c r="C891" s="34">
        <v>62</v>
      </c>
      <c r="D891" s="35">
        <v>62</v>
      </c>
      <c r="E891" s="34">
        <f>IF(OR(D891="-",D891="",D891=0),IF(C891="-","-",C891),C891-D891)</f>
        <v>0</v>
      </c>
      <c r="F891" s="4">
        <f>IFERROR(IF(C891&gt;0, D891/C891, 0),"-")</f>
        <v>1</v>
      </c>
      <c r="G891" s="34">
        <v>1</v>
      </c>
      <c r="H891" s="35" t="s">
        <v>959</v>
      </c>
      <c r="I891" s="34">
        <f>IF(OR(H891="-",H891="",H891=0),IF(G891="-","-",G891),G891-H891)</f>
        <v>1</v>
      </c>
      <c r="J891" s="4" t="str">
        <f>IFERROR(IF(G891&gt;0, H891/G891, 0),"-")</f>
        <v>-</v>
      </c>
      <c r="K891" s="34" t="s">
        <v>959</v>
      </c>
      <c r="L891" s="35" t="s">
        <v>959</v>
      </c>
      <c r="M891" s="34" t="str">
        <f>IF(OR(L891="-",L891="",L891=0),IF(K891="-","-",K891),K891-L891)</f>
        <v>-</v>
      </c>
      <c r="N891" s="4" t="str">
        <f>IFERROR(IF(K891&gt;0, L891/K891, 0),"-")</f>
        <v>-</v>
      </c>
      <c r="O891" s="34" t="s">
        <v>959</v>
      </c>
      <c r="P891" s="35" t="s">
        <v>959</v>
      </c>
      <c r="Q891" s="34" t="str">
        <f>IF(OR(P891="-",P891="",P891=0),IF(O891="-","-",O891),O891-P891)</f>
        <v>-</v>
      </c>
      <c r="R891" s="4" t="str">
        <f>IFERROR(IF(O891&gt;0, P891/O891, 0),"-")</f>
        <v>-</v>
      </c>
      <c r="S891" s="34" t="s">
        <v>959</v>
      </c>
      <c r="T891" s="34" t="s">
        <v>959</v>
      </c>
      <c r="U891" s="34" t="s">
        <v>959</v>
      </c>
      <c r="V891" s="35" t="s">
        <v>959</v>
      </c>
      <c r="W891" s="35" t="s">
        <v>959</v>
      </c>
    </row>
    <row r="892" spans="1:23" x14ac:dyDescent="0.2">
      <c r="A892" s="30" t="s">
        <v>741</v>
      </c>
      <c r="B892" s="30" t="s">
        <v>1535</v>
      </c>
      <c r="C892" s="34">
        <v>89</v>
      </c>
      <c r="D892" s="35">
        <v>88</v>
      </c>
      <c r="E892" s="34">
        <f>IF(OR(D892="-",D892="",D892=0),IF(C892="-","-",C892),C892-D892)</f>
        <v>1</v>
      </c>
      <c r="F892" s="4">
        <f>IFERROR(IF(C892&gt;0, D892/C892, 0),"-")</f>
        <v>0.9887640449438202</v>
      </c>
      <c r="G892" s="34">
        <v>1</v>
      </c>
      <c r="H892" s="35" t="s">
        <v>959</v>
      </c>
      <c r="I892" s="34">
        <f>IF(OR(H892="-",H892="",H892=0),IF(G892="-","-",G892),G892-H892)</f>
        <v>1</v>
      </c>
      <c r="J892" s="4" t="str">
        <f>IFERROR(IF(G892&gt;0, H892/G892, 0),"-")</f>
        <v>-</v>
      </c>
      <c r="K892" s="34" t="s">
        <v>959</v>
      </c>
      <c r="L892" s="35" t="s">
        <v>959</v>
      </c>
      <c r="M892" s="34" t="str">
        <f>IF(OR(L892="-",L892="",L892=0),IF(K892="-","-",K892),K892-L892)</f>
        <v>-</v>
      </c>
      <c r="N892" s="4" t="str">
        <f>IFERROR(IF(K892&gt;0, L892/K892, 0),"-")</f>
        <v>-</v>
      </c>
      <c r="O892" s="34">
        <v>2</v>
      </c>
      <c r="P892" s="35">
        <v>1</v>
      </c>
      <c r="Q892" s="34">
        <f>IF(OR(P892="-",P892="",P892=0),IF(O892="-","-",O892),O892-P892)</f>
        <v>1</v>
      </c>
      <c r="R892" s="4">
        <f>IFERROR(IF(O892&gt;0, P892/O892, 0),"-")</f>
        <v>0.5</v>
      </c>
      <c r="S892" s="34" t="s">
        <v>959</v>
      </c>
      <c r="T892" s="34" t="s">
        <v>959</v>
      </c>
      <c r="U892" s="34" t="s">
        <v>959</v>
      </c>
      <c r="V892" s="35" t="s">
        <v>959</v>
      </c>
      <c r="W892" s="35" t="s">
        <v>959</v>
      </c>
    </row>
    <row r="893" spans="1:23" x14ac:dyDescent="0.2">
      <c r="A893" s="30" t="s">
        <v>744</v>
      </c>
      <c r="B893" s="30" t="s">
        <v>1536</v>
      </c>
      <c r="C893" s="34">
        <v>37</v>
      </c>
      <c r="D893" s="35">
        <v>36</v>
      </c>
      <c r="E893" s="34">
        <f>IF(OR(D893="-",D893="",D893=0),IF(C893="-","-",C893),C893-D893)</f>
        <v>1</v>
      </c>
      <c r="F893" s="4">
        <f>IFERROR(IF(C893&gt;0, D893/C893, 0),"-")</f>
        <v>0.97297297297297303</v>
      </c>
      <c r="G893" s="34">
        <v>1</v>
      </c>
      <c r="H893" s="35" t="s">
        <v>959</v>
      </c>
      <c r="I893" s="34">
        <f>IF(OR(H893="-",H893="",H893=0),IF(G893="-","-",G893),G893-H893)</f>
        <v>1</v>
      </c>
      <c r="J893" s="4" t="str">
        <f>IFERROR(IF(G893&gt;0, H893/G893, 0),"-")</f>
        <v>-</v>
      </c>
      <c r="K893" s="34" t="s">
        <v>959</v>
      </c>
      <c r="L893" s="35" t="s">
        <v>959</v>
      </c>
      <c r="M893" s="34" t="str">
        <f>IF(OR(L893="-",L893="",L893=0),IF(K893="-","-",K893),K893-L893)</f>
        <v>-</v>
      </c>
      <c r="N893" s="4" t="str">
        <f>IFERROR(IF(K893&gt;0, L893/K893, 0),"-")</f>
        <v>-</v>
      </c>
      <c r="O893" s="34" t="s">
        <v>959</v>
      </c>
      <c r="P893" s="35" t="s">
        <v>959</v>
      </c>
      <c r="Q893" s="34" t="str">
        <f>IF(OR(P893="-",P893="",P893=0),IF(O893="-","-",O893),O893-P893)</f>
        <v>-</v>
      </c>
      <c r="R893" s="4" t="str">
        <f>IFERROR(IF(O893&gt;0, P893/O893, 0),"-")</f>
        <v>-</v>
      </c>
      <c r="S893" s="34" t="s">
        <v>959</v>
      </c>
      <c r="T893" s="34" t="s">
        <v>959</v>
      </c>
      <c r="U893" s="34" t="s">
        <v>959</v>
      </c>
      <c r="V893" s="35" t="s">
        <v>959</v>
      </c>
      <c r="W893" s="35" t="s">
        <v>959</v>
      </c>
    </row>
    <row r="894" spans="1:23" x14ac:dyDescent="0.2">
      <c r="A894" s="30" t="s">
        <v>740</v>
      </c>
      <c r="B894" s="30" t="s">
        <v>1537</v>
      </c>
      <c r="C894" s="34">
        <v>36</v>
      </c>
      <c r="D894" s="35">
        <v>34</v>
      </c>
      <c r="E894" s="34">
        <f>IF(OR(D894="-",D894="",D894=0),IF(C894="-","-",C894),C894-D894)</f>
        <v>2</v>
      </c>
      <c r="F894" s="4">
        <f>IFERROR(IF(C894&gt;0, D894/C894, 0),"-")</f>
        <v>0.94444444444444442</v>
      </c>
      <c r="G894" s="34" t="s">
        <v>959</v>
      </c>
      <c r="H894" s="35" t="s">
        <v>959</v>
      </c>
      <c r="I894" s="34" t="str">
        <f>IF(OR(H894="-",H894="",H894=0),IF(G894="-","-",G894),G894-H894)</f>
        <v>-</v>
      </c>
      <c r="J894" s="4" t="str">
        <f>IFERROR(IF(G894&gt;0, H894/G894, 0),"-")</f>
        <v>-</v>
      </c>
      <c r="K894" s="34" t="s">
        <v>959</v>
      </c>
      <c r="L894" s="35" t="s">
        <v>959</v>
      </c>
      <c r="M894" s="34" t="str">
        <f>IF(OR(L894="-",L894="",L894=0),IF(K894="-","-",K894),K894-L894)</f>
        <v>-</v>
      </c>
      <c r="N894" s="4" t="str">
        <f>IFERROR(IF(K894&gt;0, L894/K894, 0),"-")</f>
        <v>-</v>
      </c>
      <c r="O894" s="34" t="s">
        <v>959</v>
      </c>
      <c r="P894" s="35" t="s">
        <v>959</v>
      </c>
      <c r="Q894" s="34" t="str">
        <f>IF(OR(P894="-",P894="",P894=0),IF(O894="-","-",O894),O894-P894)</f>
        <v>-</v>
      </c>
      <c r="R894" s="4" t="str">
        <f>IFERROR(IF(O894&gt;0, P894/O894, 0),"-")</f>
        <v>-</v>
      </c>
      <c r="S894" s="34" t="s">
        <v>959</v>
      </c>
      <c r="T894" s="34" t="s">
        <v>959</v>
      </c>
      <c r="U894" s="34" t="s">
        <v>959</v>
      </c>
      <c r="V894" s="35" t="s">
        <v>959</v>
      </c>
      <c r="W894" s="35" t="s">
        <v>959</v>
      </c>
    </row>
    <row r="895" spans="1:23" x14ac:dyDescent="0.2">
      <c r="A895" s="29"/>
      <c r="B895" s="29" t="s">
        <v>13</v>
      </c>
      <c r="C895" s="32">
        <v>403</v>
      </c>
      <c r="D895" s="32">
        <v>396</v>
      </c>
      <c r="E895" s="32">
        <f>IF(OR(D895="-",D895="",D895=0),IF(C895="-","-",C895),C895-D895)</f>
        <v>7</v>
      </c>
      <c r="F895" s="36">
        <f>IFERROR(IF(C895&gt;0, D895/C895, 0),"-")</f>
        <v>0.98263027295285355</v>
      </c>
      <c r="G895" s="32">
        <v>2</v>
      </c>
      <c r="H895" s="32">
        <v>1</v>
      </c>
      <c r="I895" s="32">
        <f>IF(OR(H895="-",H895="",H895=0),IF(G895="-","-",G895),G895-H895)</f>
        <v>1</v>
      </c>
      <c r="J895" s="36">
        <f>IFERROR(IF(G895&gt;0, H895/G895, 0),"-")</f>
        <v>0.5</v>
      </c>
      <c r="K895" s="32">
        <v>1</v>
      </c>
      <c r="L895" s="32">
        <v>1</v>
      </c>
      <c r="M895" s="32">
        <f>IF(OR(L895="-",L895="",L895=0),IF(K895="-","-",K895),K895-L895)</f>
        <v>0</v>
      </c>
      <c r="N895" s="36">
        <f>IFERROR(IF(K895&gt;0, L895/K895, 0),"-")</f>
        <v>1</v>
      </c>
      <c r="O895" s="32">
        <v>2</v>
      </c>
      <c r="P895" s="32" t="s">
        <v>959</v>
      </c>
      <c r="Q895" s="32">
        <f>IF(OR(P895="-",P895="",P895=0),IF(O895="-","-",O895),O895-P895)</f>
        <v>2</v>
      </c>
      <c r="R895" s="36" t="str">
        <f>IFERROR(IF(O895&gt;0, P895/O895, 0),"-")</f>
        <v>-</v>
      </c>
      <c r="S895" s="32">
        <v>3</v>
      </c>
      <c r="T895" s="32" t="s">
        <v>959</v>
      </c>
      <c r="U895" s="32" t="s">
        <v>959</v>
      </c>
      <c r="V895" s="32" t="s">
        <v>959</v>
      </c>
      <c r="W895" s="32" t="s">
        <v>959</v>
      </c>
    </row>
    <row r="896" spans="1:23" x14ac:dyDescent="0.2">
      <c r="A896" s="30" t="s">
        <v>376</v>
      </c>
      <c r="B896" s="30" t="s">
        <v>1538</v>
      </c>
      <c r="C896" s="34">
        <v>65</v>
      </c>
      <c r="D896" s="35">
        <v>63</v>
      </c>
      <c r="E896" s="34">
        <f>IF(OR(D896="-",D896="",D896=0),IF(C896="-","-",C896),C896-D896)</f>
        <v>2</v>
      </c>
      <c r="F896" s="4">
        <f>IFERROR(IF(C896&gt;0, D896/C896, 0),"-")</f>
        <v>0.96923076923076923</v>
      </c>
      <c r="G896" s="34" t="s">
        <v>959</v>
      </c>
      <c r="H896" s="35" t="s">
        <v>959</v>
      </c>
      <c r="I896" s="34" t="str">
        <f>IF(OR(H896="-",H896="",H896=0),IF(G896="-","-",G896),G896-H896)</f>
        <v>-</v>
      </c>
      <c r="J896" s="4" t="str">
        <f>IFERROR(IF(G896&gt;0, H896/G896, 0),"-")</f>
        <v>-</v>
      </c>
      <c r="K896" s="34" t="s">
        <v>959</v>
      </c>
      <c r="L896" s="35" t="s">
        <v>959</v>
      </c>
      <c r="M896" s="34" t="str">
        <f>IF(OR(L896="-",L896="",L896=0),IF(K896="-","-",K896),K896-L896)</f>
        <v>-</v>
      </c>
      <c r="N896" s="4" t="str">
        <f>IFERROR(IF(K896&gt;0, L896/K896, 0),"-")</f>
        <v>-</v>
      </c>
      <c r="O896" s="34" t="s">
        <v>959</v>
      </c>
      <c r="P896" s="35" t="s">
        <v>959</v>
      </c>
      <c r="Q896" s="34" t="str">
        <f>IF(OR(P896="-",P896="",P896=0),IF(O896="-","-",O896),O896-P896)</f>
        <v>-</v>
      </c>
      <c r="R896" s="4" t="str">
        <f>IFERROR(IF(O896&gt;0, P896/O896, 0),"-")</f>
        <v>-</v>
      </c>
      <c r="S896" s="34" t="s">
        <v>959</v>
      </c>
      <c r="T896" s="34" t="s">
        <v>959</v>
      </c>
      <c r="U896" s="34" t="s">
        <v>959</v>
      </c>
      <c r="V896" s="35" t="s">
        <v>959</v>
      </c>
      <c r="W896" s="35" t="s">
        <v>959</v>
      </c>
    </row>
    <row r="897" spans="1:23" x14ac:dyDescent="0.2">
      <c r="A897" s="30" t="s">
        <v>375</v>
      </c>
      <c r="B897" s="30" t="s">
        <v>1539</v>
      </c>
      <c r="C897" s="34">
        <v>69</v>
      </c>
      <c r="D897" s="35">
        <v>69</v>
      </c>
      <c r="E897" s="34">
        <f>IF(OR(D897="-",D897="",D897=0),IF(C897="-","-",C897),C897-D897)</f>
        <v>0</v>
      </c>
      <c r="F897" s="4">
        <f>IFERROR(IF(C897&gt;0, D897/C897, 0),"-")</f>
        <v>1</v>
      </c>
      <c r="G897" s="34" t="s">
        <v>959</v>
      </c>
      <c r="H897" s="35" t="s">
        <v>959</v>
      </c>
      <c r="I897" s="34" t="str">
        <f>IF(OR(H897="-",H897="",H897=0),IF(G897="-","-",G897),G897-H897)</f>
        <v>-</v>
      </c>
      <c r="J897" s="4" t="str">
        <f>IFERROR(IF(G897&gt;0, H897/G897, 0),"-")</f>
        <v>-</v>
      </c>
      <c r="K897" s="34">
        <v>1</v>
      </c>
      <c r="L897" s="35">
        <v>1</v>
      </c>
      <c r="M897" s="34">
        <f>IF(OR(L897="-",L897="",L897=0),IF(K897="-","-",K897),K897-L897)</f>
        <v>0</v>
      </c>
      <c r="N897" s="4">
        <f>IFERROR(IF(K897&gt;0, L897/K897, 0),"-")</f>
        <v>1</v>
      </c>
      <c r="O897" s="34" t="s">
        <v>959</v>
      </c>
      <c r="P897" s="35" t="s">
        <v>959</v>
      </c>
      <c r="Q897" s="34" t="str">
        <f>IF(OR(P897="-",P897="",P897=0),IF(O897="-","-",O897),O897-P897)</f>
        <v>-</v>
      </c>
      <c r="R897" s="4" t="str">
        <f>IFERROR(IF(O897&gt;0, P897/O897, 0),"-")</f>
        <v>-</v>
      </c>
      <c r="S897" s="34" t="s">
        <v>959</v>
      </c>
      <c r="T897" s="34" t="s">
        <v>959</v>
      </c>
      <c r="U897" s="34" t="s">
        <v>959</v>
      </c>
      <c r="V897" s="35" t="s">
        <v>959</v>
      </c>
      <c r="W897" s="35" t="s">
        <v>959</v>
      </c>
    </row>
    <row r="898" spans="1:23" x14ac:dyDescent="0.2">
      <c r="A898" s="30" t="s">
        <v>370</v>
      </c>
      <c r="B898" s="30" t="s">
        <v>1540</v>
      </c>
      <c r="C898" s="34">
        <v>68</v>
      </c>
      <c r="D898" s="35">
        <v>67</v>
      </c>
      <c r="E898" s="34">
        <f>IF(OR(D898="-",D898="",D898=0),IF(C898="-","-",C898),C898-D898)</f>
        <v>1</v>
      </c>
      <c r="F898" s="4">
        <f>IFERROR(IF(C898&gt;0, D898/C898, 0),"-")</f>
        <v>0.98529411764705888</v>
      </c>
      <c r="G898" s="34" t="s">
        <v>959</v>
      </c>
      <c r="H898" s="35" t="s">
        <v>959</v>
      </c>
      <c r="I898" s="34" t="str">
        <f>IF(OR(H898="-",H898="",H898=0),IF(G898="-","-",G898),G898-H898)</f>
        <v>-</v>
      </c>
      <c r="J898" s="4" t="str">
        <f>IFERROR(IF(G898&gt;0, H898/G898, 0),"-")</f>
        <v>-</v>
      </c>
      <c r="K898" s="34" t="s">
        <v>959</v>
      </c>
      <c r="L898" s="35" t="s">
        <v>959</v>
      </c>
      <c r="M898" s="34" t="str">
        <f>IF(OR(L898="-",L898="",L898=0),IF(K898="-","-",K898),K898-L898)</f>
        <v>-</v>
      </c>
      <c r="N898" s="4" t="str">
        <f>IFERROR(IF(K898&gt;0, L898/K898, 0),"-")</f>
        <v>-</v>
      </c>
      <c r="O898" s="34">
        <v>1</v>
      </c>
      <c r="P898" s="35" t="s">
        <v>959</v>
      </c>
      <c r="Q898" s="34">
        <f>IF(OR(P898="-",P898="",P898=0),IF(O898="-","-",O898),O898-P898)</f>
        <v>1</v>
      </c>
      <c r="R898" s="4" t="str">
        <f>IFERROR(IF(O898&gt;0, P898/O898, 0),"-")</f>
        <v>-</v>
      </c>
      <c r="S898" s="34">
        <v>1</v>
      </c>
      <c r="T898" s="34" t="s">
        <v>959</v>
      </c>
      <c r="U898" s="34" t="s">
        <v>959</v>
      </c>
      <c r="V898" s="35" t="s">
        <v>959</v>
      </c>
      <c r="W898" s="35" t="s">
        <v>959</v>
      </c>
    </row>
    <row r="899" spans="1:23" x14ac:dyDescent="0.2">
      <c r="A899" s="30" t="s">
        <v>374</v>
      </c>
      <c r="B899" s="30" t="s">
        <v>1541</v>
      </c>
      <c r="C899" s="34">
        <v>41</v>
      </c>
      <c r="D899" s="35">
        <v>39</v>
      </c>
      <c r="E899" s="34">
        <f>IF(OR(D899="-",D899="",D899=0),IF(C899="-","-",C899),C899-D899)</f>
        <v>2</v>
      </c>
      <c r="F899" s="4">
        <f>IFERROR(IF(C899&gt;0, D899/C899, 0),"-")</f>
        <v>0.95121951219512191</v>
      </c>
      <c r="G899" s="34" t="s">
        <v>959</v>
      </c>
      <c r="H899" s="35" t="s">
        <v>959</v>
      </c>
      <c r="I899" s="34" t="str">
        <f>IF(OR(H899="-",H899="",H899=0),IF(G899="-","-",G899),G899-H899)</f>
        <v>-</v>
      </c>
      <c r="J899" s="4" t="str">
        <f>IFERROR(IF(G899&gt;0, H899/G899, 0),"-")</f>
        <v>-</v>
      </c>
      <c r="K899" s="34" t="s">
        <v>959</v>
      </c>
      <c r="L899" s="35" t="s">
        <v>959</v>
      </c>
      <c r="M899" s="34" t="str">
        <f>IF(OR(L899="-",L899="",L899=0),IF(K899="-","-",K899),K899-L899)</f>
        <v>-</v>
      </c>
      <c r="N899" s="4" t="str">
        <f>IFERROR(IF(K899&gt;0, L899/K899, 0),"-")</f>
        <v>-</v>
      </c>
      <c r="O899" s="34" t="s">
        <v>959</v>
      </c>
      <c r="P899" s="35" t="s">
        <v>959</v>
      </c>
      <c r="Q899" s="34" t="str">
        <f>IF(OR(P899="-",P899="",P899=0),IF(O899="-","-",O899),O899-P899)</f>
        <v>-</v>
      </c>
      <c r="R899" s="4" t="str">
        <f>IFERROR(IF(O899&gt;0, P899/O899, 0),"-")</f>
        <v>-</v>
      </c>
      <c r="S899" s="34" t="s">
        <v>959</v>
      </c>
      <c r="T899" s="34" t="s">
        <v>959</v>
      </c>
      <c r="U899" s="34" t="s">
        <v>959</v>
      </c>
      <c r="V899" s="35" t="s">
        <v>959</v>
      </c>
      <c r="W899" s="35" t="s">
        <v>959</v>
      </c>
    </row>
    <row r="900" spans="1:23" x14ac:dyDescent="0.2">
      <c r="A900" s="30" t="s">
        <v>372</v>
      </c>
      <c r="B900" s="30" t="s">
        <v>1542</v>
      </c>
      <c r="C900" s="34">
        <v>4</v>
      </c>
      <c r="D900" s="35">
        <v>4</v>
      </c>
      <c r="E900" s="34">
        <f>IF(OR(D900="-",D900="",D900=0),IF(C900="-","-",C900),C900-D900)</f>
        <v>0</v>
      </c>
      <c r="F900" s="4">
        <f>IFERROR(IF(C900&gt;0, D900/C900, 0),"-")</f>
        <v>1</v>
      </c>
      <c r="G900" s="34" t="s">
        <v>959</v>
      </c>
      <c r="H900" s="35" t="s">
        <v>959</v>
      </c>
      <c r="I900" s="34" t="str">
        <f>IF(OR(H900="-",H900="",H900=0),IF(G900="-","-",G900),G900-H900)</f>
        <v>-</v>
      </c>
      <c r="J900" s="4" t="str">
        <f>IFERROR(IF(G900&gt;0, H900/G900, 0),"-")</f>
        <v>-</v>
      </c>
      <c r="K900" s="34" t="s">
        <v>959</v>
      </c>
      <c r="L900" s="35" t="s">
        <v>959</v>
      </c>
      <c r="M900" s="34" t="str">
        <f>IF(OR(L900="-",L900="",L900=0),IF(K900="-","-",K900),K900-L900)</f>
        <v>-</v>
      </c>
      <c r="N900" s="4" t="str">
        <f>IFERROR(IF(K900&gt;0, L900/K900, 0),"-")</f>
        <v>-</v>
      </c>
      <c r="O900" s="34" t="s">
        <v>959</v>
      </c>
      <c r="P900" s="35" t="s">
        <v>959</v>
      </c>
      <c r="Q900" s="34" t="str">
        <f>IF(OR(P900="-",P900="",P900=0),IF(O900="-","-",O900),O900-P900)</f>
        <v>-</v>
      </c>
      <c r="R900" s="4" t="str">
        <f>IFERROR(IF(O900&gt;0, P900/O900, 0),"-")</f>
        <v>-</v>
      </c>
      <c r="S900" s="34" t="s">
        <v>959</v>
      </c>
      <c r="T900" s="34" t="s">
        <v>959</v>
      </c>
      <c r="U900" s="34" t="s">
        <v>959</v>
      </c>
      <c r="V900" s="35" t="s">
        <v>959</v>
      </c>
      <c r="W900" s="35" t="s">
        <v>959</v>
      </c>
    </row>
    <row r="901" spans="1:23" x14ac:dyDescent="0.2">
      <c r="A901" s="30" t="s">
        <v>373</v>
      </c>
      <c r="B901" s="30" t="s">
        <v>1543</v>
      </c>
      <c r="C901" s="34">
        <v>81</v>
      </c>
      <c r="D901" s="35">
        <v>79</v>
      </c>
      <c r="E901" s="34">
        <f>IF(OR(D901="-",D901="",D901=0),IF(C901="-","-",C901),C901-D901)</f>
        <v>2</v>
      </c>
      <c r="F901" s="4">
        <f>IFERROR(IF(C901&gt;0, D901/C901, 0),"-")</f>
        <v>0.97530864197530864</v>
      </c>
      <c r="G901" s="34">
        <v>2</v>
      </c>
      <c r="H901" s="35">
        <v>1</v>
      </c>
      <c r="I901" s="34">
        <f>IF(OR(H901="-",H901="",H901=0),IF(G901="-","-",G901),G901-H901)</f>
        <v>1</v>
      </c>
      <c r="J901" s="4">
        <f>IFERROR(IF(G901&gt;0, H901/G901, 0),"-")</f>
        <v>0.5</v>
      </c>
      <c r="K901" s="34" t="s">
        <v>959</v>
      </c>
      <c r="L901" s="35" t="s">
        <v>959</v>
      </c>
      <c r="M901" s="34" t="str">
        <f>IF(OR(L901="-",L901="",L901=0),IF(K901="-","-",K901),K901-L901)</f>
        <v>-</v>
      </c>
      <c r="N901" s="4" t="str">
        <f>IFERROR(IF(K901&gt;0, L901/K901, 0),"-")</f>
        <v>-</v>
      </c>
      <c r="O901" s="34" t="s">
        <v>959</v>
      </c>
      <c r="P901" s="35" t="s">
        <v>959</v>
      </c>
      <c r="Q901" s="34" t="str">
        <f>IF(OR(P901="-",P901="",P901=0),IF(O901="-","-",O901),O901-P901)</f>
        <v>-</v>
      </c>
      <c r="R901" s="4" t="str">
        <f>IFERROR(IF(O901&gt;0, P901/O901, 0),"-")</f>
        <v>-</v>
      </c>
      <c r="S901" s="34" t="s">
        <v>959</v>
      </c>
      <c r="T901" s="34" t="s">
        <v>959</v>
      </c>
      <c r="U901" s="34" t="s">
        <v>959</v>
      </c>
      <c r="V901" s="35" t="s">
        <v>959</v>
      </c>
      <c r="W901" s="35" t="s">
        <v>959</v>
      </c>
    </row>
    <row r="902" spans="1:23" x14ac:dyDescent="0.2">
      <c r="A902" s="30" t="s">
        <v>371</v>
      </c>
      <c r="B902" s="30" t="s">
        <v>1544</v>
      </c>
      <c r="C902" s="34">
        <v>75</v>
      </c>
      <c r="D902" s="35">
        <v>75</v>
      </c>
      <c r="E902" s="34">
        <f>IF(OR(D902="-",D902="",D902=0),IF(C902="-","-",C902),C902-D902)</f>
        <v>0</v>
      </c>
      <c r="F902" s="4">
        <f>IFERROR(IF(C902&gt;0, D902/C902, 0),"-")</f>
        <v>1</v>
      </c>
      <c r="G902" s="34" t="s">
        <v>959</v>
      </c>
      <c r="H902" s="35" t="s">
        <v>959</v>
      </c>
      <c r="I902" s="34" t="str">
        <f>IF(OR(H902="-",H902="",H902=0),IF(G902="-","-",G902),G902-H902)</f>
        <v>-</v>
      </c>
      <c r="J902" s="4" t="str">
        <f>IFERROR(IF(G902&gt;0, H902/G902, 0),"-")</f>
        <v>-</v>
      </c>
      <c r="K902" s="34" t="s">
        <v>959</v>
      </c>
      <c r="L902" s="35" t="s">
        <v>959</v>
      </c>
      <c r="M902" s="34" t="str">
        <f>IF(OR(L902="-",L902="",L902=0),IF(K902="-","-",K902),K902-L902)</f>
        <v>-</v>
      </c>
      <c r="N902" s="4" t="str">
        <f>IFERROR(IF(K902&gt;0, L902/K902, 0),"-")</f>
        <v>-</v>
      </c>
      <c r="O902" s="34">
        <v>1</v>
      </c>
      <c r="P902" s="35" t="s">
        <v>959</v>
      </c>
      <c r="Q902" s="34">
        <f>IF(OR(P902="-",P902="",P902=0),IF(O902="-","-",O902),O902-P902)</f>
        <v>1</v>
      </c>
      <c r="R902" s="4" t="str">
        <f>IFERROR(IF(O902&gt;0, P902/O902, 0),"-")</f>
        <v>-</v>
      </c>
      <c r="S902" s="34">
        <v>2</v>
      </c>
      <c r="T902" s="34" t="s">
        <v>959</v>
      </c>
      <c r="U902" s="34" t="s">
        <v>959</v>
      </c>
      <c r="V902" s="35" t="s">
        <v>959</v>
      </c>
      <c r="W902" s="35" t="s">
        <v>959</v>
      </c>
    </row>
    <row r="903" spans="1:23" x14ac:dyDescent="0.2">
      <c r="A903" s="29"/>
      <c r="B903" s="29" t="s">
        <v>128</v>
      </c>
      <c r="C903" s="32">
        <v>203</v>
      </c>
      <c r="D903" s="32">
        <v>200</v>
      </c>
      <c r="E903" s="32">
        <f>IF(OR(D903="-",D903="",D903=0),IF(C903="-","-",C903),C903-D903)</f>
        <v>3</v>
      </c>
      <c r="F903" s="36">
        <f>IFERROR(IF(C903&gt;0, D903/C903, 0),"-")</f>
        <v>0.98522167487684731</v>
      </c>
      <c r="G903" s="32">
        <v>1</v>
      </c>
      <c r="H903" s="32">
        <v>1</v>
      </c>
      <c r="I903" s="32">
        <f>IF(OR(H903="-",H903="",H903=0),IF(G903="-","-",G903),G903-H903)</f>
        <v>0</v>
      </c>
      <c r="J903" s="36">
        <f>IFERROR(IF(G903&gt;0, H903/G903, 0),"-")</f>
        <v>1</v>
      </c>
      <c r="K903" s="32">
        <v>3</v>
      </c>
      <c r="L903" s="32">
        <v>1</v>
      </c>
      <c r="M903" s="32">
        <f>IF(OR(L903="-",L903="",L903=0),IF(K903="-","-",K903),K903-L903)</f>
        <v>2</v>
      </c>
      <c r="N903" s="36">
        <f>IFERROR(IF(K903&gt;0, L903/K903, 0),"-")</f>
        <v>0.33333333333333331</v>
      </c>
      <c r="O903" s="32" t="s">
        <v>959</v>
      </c>
      <c r="P903" s="32" t="s">
        <v>959</v>
      </c>
      <c r="Q903" s="32" t="str">
        <f>IF(OR(P903="-",P903="",P903=0),IF(O903="-","-",O903),O903-P903)</f>
        <v>-</v>
      </c>
      <c r="R903" s="36" t="str">
        <f>IFERROR(IF(O903&gt;0, P903/O903, 0),"-")</f>
        <v>-</v>
      </c>
      <c r="S903" s="32" t="s">
        <v>959</v>
      </c>
      <c r="T903" s="32" t="s">
        <v>959</v>
      </c>
      <c r="U903" s="32" t="s">
        <v>959</v>
      </c>
      <c r="V903" s="32" t="s">
        <v>959</v>
      </c>
      <c r="W903" s="32" t="s">
        <v>959</v>
      </c>
    </row>
    <row r="904" spans="1:23" x14ac:dyDescent="0.2">
      <c r="A904" s="30" t="s">
        <v>889</v>
      </c>
      <c r="B904" s="30" t="s">
        <v>1545</v>
      </c>
      <c r="C904" s="34">
        <v>57</v>
      </c>
      <c r="D904" s="35">
        <v>57</v>
      </c>
      <c r="E904" s="34">
        <f>IF(OR(D904="-",D904="",D904=0),IF(C904="-","-",C904),C904-D904)</f>
        <v>0</v>
      </c>
      <c r="F904" s="4">
        <f>IFERROR(IF(C904&gt;0, D904/C904, 0),"-")</f>
        <v>1</v>
      </c>
      <c r="G904" s="34" t="s">
        <v>959</v>
      </c>
      <c r="H904" s="35" t="s">
        <v>959</v>
      </c>
      <c r="I904" s="34" t="str">
        <f>IF(OR(H904="-",H904="",H904=0),IF(G904="-","-",G904),G904-H904)</f>
        <v>-</v>
      </c>
      <c r="J904" s="4" t="str">
        <f>IFERROR(IF(G904&gt;0, H904/G904, 0),"-")</f>
        <v>-</v>
      </c>
      <c r="K904" s="34">
        <v>1</v>
      </c>
      <c r="L904" s="35">
        <v>1</v>
      </c>
      <c r="M904" s="34">
        <f>IF(OR(L904="-",L904="",L904=0),IF(K904="-","-",K904),K904-L904)</f>
        <v>0</v>
      </c>
      <c r="N904" s="4">
        <f>IFERROR(IF(K904&gt;0, L904/K904, 0),"-")</f>
        <v>1</v>
      </c>
      <c r="O904" s="34" t="s">
        <v>959</v>
      </c>
      <c r="P904" s="35" t="s">
        <v>959</v>
      </c>
      <c r="Q904" s="34" t="str">
        <f>IF(OR(P904="-",P904="",P904=0),IF(O904="-","-",O904),O904-P904)</f>
        <v>-</v>
      </c>
      <c r="R904" s="4" t="str">
        <f>IFERROR(IF(O904&gt;0, P904/O904, 0),"-")</f>
        <v>-</v>
      </c>
      <c r="S904" s="34" t="s">
        <v>959</v>
      </c>
      <c r="T904" s="34" t="s">
        <v>959</v>
      </c>
      <c r="U904" s="34" t="s">
        <v>959</v>
      </c>
      <c r="V904" s="35" t="s">
        <v>959</v>
      </c>
      <c r="W904" s="35" t="s">
        <v>959</v>
      </c>
    </row>
    <row r="905" spans="1:23" x14ac:dyDescent="0.2">
      <c r="A905" s="30" t="s">
        <v>892</v>
      </c>
      <c r="B905" s="30" t="s">
        <v>1546</v>
      </c>
      <c r="C905" s="34">
        <v>45</v>
      </c>
      <c r="D905" s="35">
        <v>44</v>
      </c>
      <c r="E905" s="34">
        <f>IF(OR(D905="-",D905="",D905=0),IF(C905="-","-",C905),C905-D905)</f>
        <v>1</v>
      </c>
      <c r="F905" s="4">
        <f>IFERROR(IF(C905&gt;0, D905/C905, 0),"-")</f>
        <v>0.97777777777777775</v>
      </c>
      <c r="G905" s="34" t="s">
        <v>959</v>
      </c>
      <c r="H905" s="35" t="s">
        <v>959</v>
      </c>
      <c r="I905" s="34" t="str">
        <f>IF(OR(H905="-",H905="",H905=0),IF(G905="-","-",G905),G905-H905)</f>
        <v>-</v>
      </c>
      <c r="J905" s="4" t="str">
        <f>IFERROR(IF(G905&gt;0, H905/G905, 0),"-")</f>
        <v>-</v>
      </c>
      <c r="K905" s="34" t="s">
        <v>959</v>
      </c>
      <c r="L905" s="35" t="s">
        <v>959</v>
      </c>
      <c r="M905" s="34" t="str">
        <f>IF(OR(L905="-",L905="",L905=0),IF(K905="-","-",K905),K905-L905)</f>
        <v>-</v>
      </c>
      <c r="N905" s="4" t="str">
        <f>IFERROR(IF(K905&gt;0, L905/K905, 0),"-")</f>
        <v>-</v>
      </c>
      <c r="O905" s="34" t="s">
        <v>959</v>
      </c>
      <c r="P905" s="35" t="s">
        <v>959</v>
      </c>
      <c r="Q905" s="34" t="str">
        <f>IF(OR(P905="-",P905="",P905=0),IF(O905="-","-",O905),O905-P905)</f>
        <v>-</v>
      </c>
      <c r="R905" s="4" t="str">
        <f>IFERROR(IF(O905&gt;0, P905/O905, 0),"-")</f>
        <v>-</v>
      </c>
      <c r="S905" s="34" t="s">
        <v>959</v>
      </c>
      <c r="T905" s="34" t="s">
        <v>959</v>
      </c>
      <c r="U905" s="34" t="s">
        <v>959</v>
      </c>
      <c r="V905" s="35" t="s">
        <v>959</v>
      </c>
      <c r="W905" s="35" t="s">
        <v>959</v>
      </c>
    </row>
    <row r="906" spans="1:23" x14ac:dyDescent="0.2">
      <c r="A906" s="30" t="s">
        <v>891</v>
      </c>
      <c r="B906" s="30" t="s">
        <v>1547</v>
      </c>
      <c r="C906" s="34">
        <v>21</v>
      </c>
      <c r="D906" s="35">
        <v>21</v>
      </c>
      <c r="E906" s="34">
        <f>IF(OR(D906="-",D906="",D906=0),IF(C906="-","-",C906),C906-D906)</f>
        <v>0</v>
      </c>
      <c r="F906" s="4">
        <f>IFERROR(IF(C906&gt;0, D906/C906, 0),"-")</f>
        <v>1</v>
      </c>
      <c r="G906" s="34" t="s">
        <v>959</v>
      </c>
      <c r="H906" s="35" t="s">
        <v>959</v>
      </c>
      <c r="I906" s="34" t="str">
        <f>IF(OR(H906="-",H906="",H906=0),IF(G906="-","-",G906),G906-H906)</f>
        <v>-</v>
      </c>
      <c r="J906" s="4" t="str">
        <f>IFERROR(IF(G906&gt;0, H906/G906, 0),"-")</f>
        <v>-</v>
      </c>
      <c r="K906" s="34" t="s">
        <v>959</v>
      </c>
      <c r="L906" s="35" t="s">
        <v>959</v>
      </c>
      <c r="M906" s="34" t="str">
        <f>IF(OR(L906="-",L906="",L906=0),IF(K906="-","-",K906),K906-L906)</f>
        <v>-</v>
      </c>
      <c r="N906" s="4" t="str">
        <f>IFERROR(IF(K906&gt;0, L906/K906, 0),"-")</f>
        <v>-</v>
      </c>
      <c r="O906" s="34" t="s">
        <v>959</v>
      </c>
      <c r="P906" s="35" t="s">
        <v>959</v>
      </c>
      <c r="Q906" s="34" t="str">
        <f>IF(OR(P906="-",P906="",P906=0),IF(O906="-","-",O906),O906-P906)</f>
        <v>-</v>
      </c>
      <c r="R906" s="4" t="str">
        <f>IFERROR(IF(O906&gt;0, P906/O906, 0),"-")</f>
        <v>-</v>
      </c>
      <c r="S906" s="34" t="s">
        <v>959</v>
      </c>
      <c r="T906" s="34" t="s">
        <v>959</v>
      </c>
      <c r="U906" s="34" t="s">
        <v>959</v>
      </c>
      <c r="V906" s="35" t="s">
        <v>959</v>
      </c>
      <c r="W906" s="35" t="s">
        <v>959</v>
      </c>
    </row>
    <row r="907" spans="1:23" x14ac:dyDescent="0.2">
      <c r="A907" s="30" t="s">
        <v>890</v>
      </c>
      <c r="B907" s="30" t="s">
        <v>1548</v>
      </c>
      <c r="C907" s="34">
        <v>55</v>
      </c>
      <c r="D907" s="35">
        <v>54</v>
      </c>
      <c r="E907" s="34">
        <f>IF(OR(D907="-",D907="",D907=0),IF(C907="-","-",C907),C907-D907)</f>
        <v>1</v>
      </c>
      <c r="F907" s="4">
        <f>IFERROR(IF(C907&gt;0, D907/C907, 0),"-")</f>
        <v>0.98181818181818181</v>
      </c>
      <c r="G907" s="34">
        <v>1</v>
      </c>
      <c r="H907" s="35">
        <v>1</v>
      </c>
      <c r="I907" s="34">
        <f>IF(OR(H907="-",H907="",H907=0),IF(G907="-","-",G907),G907-H907)</f>
        <v>0</v>
      </c>
      <c r="J907" s="4">
        <f>IFERROR(IF(G907&gt;0, H907/G907, 0),"-")</f>
        <v>1</v>
      </c>
      <c r="K907" s="34">
        <v>1</v>
      </c>
      <c r="L907" s="35" t="s">
        <v>959</v>
      </c>
      <c r="M907" s="34">
        <f>IF(OR(L907="-",L907="",L907=0),IF(K907="-","-",K907),K907-L907)</f>
        <v>1</v>
      </c>
      <c r="N907" s="4" t="str">
        <f>IFERROR(IF(K907&gt;0, L907/K907, 0),"-")</f>
        <v>-</v>
      </c>
      <c r="O907" s="34" t="s">
        <v>959</v>
      </c>
      <c r="P907" s="35" t="s">
        <v>959</v>
      </c>
      <c r="Q907" s="34" t="str">
        <f>IF(OR(P907="-",P907="",P907=0),IF(O907="-","-",O907),O907-P907)</f>
        <v>-</v>
      </c>
      <c r="R907" s="4" t="str">
        <f>IFERROR(IF(O907&gt;0, P907/O907, 0),"-")</f>
        <v>-</v>
      </c>
      <c r="S907" s="34" t="s">
        <v>959</v>
      </c>
      <c r="T907" s="34" t="s">
        <v>959</v>
      </c>
      <c r="U907" s="34" t="s">
        <v>959</v>
      </c>
      <c r="V907" s="35" t="s">
        <v>959</v>
      </c>
      <c r="W907" s="35" t="s">
        <v>959</v>
      </c>
    </row>
    <row r="908" spans="1:23" x14ac:dyDescent="0.2">
      <c r="A908" s="30" t="s">
        <v>893</v>
      </c>
      <c r="B908" s="30" t="s">
        <v>1549</v>
      </c>
      <c r="C908" s="34">
        <v>25</v>
      </c>
      <c r="D908" s="35">
        <v>24</v>
      </c>
      <c r="E908" s="34">
        <f>IF(OR(D908="-",D908="",D908=0),IF(C908="-","-",C908),C908-D908)</f>
        <v>1</v>
      </c>
      <c r="F908" s="4">
        <f>IFERROR(IF(C908&gt;0, D908/C908, 0),"-")</f>
        <v>0.96</v>
      </c>
      <c r="G908" s="34" t="s">
        <v>959</v>
      </c>
      <c r="H908" s="35" t="s">
        <v>959</v>
      </c>
      <c r="I908" s="34" t="str">
        <f>IF(OR(H908="-",H908="",H908=0),IF(G908="-","-",G908),G908-H908)</f>
        <v>-</v>
      </c>
      <c r="J908" s="4" t="str">
        <f>IFERROR(IF(G908&gt;0, H908/G908, 0),"-")</f>
        <v>-</v>
      </c>
      <c r="K908" s="34">
        <v>1</v>
      </c>
      <c r="L908" s="35" t="s">
        <v>959</v>
      </c>
      <c r="M908" s="34">
        <f>IF(OR(L908="-",L908="",L908=0),IF(K908="-","-",K908),K908-L908)</f>
        <v>1</v>
      </c>
      <c r="N908" s="4" t="str">
        <f>IFERROR(IF(K908&gt;0, L908/K908, 0),"-")</f>
        <v>-</v>
      </c>
      <c r="O908" s="34" t="s">
        <v>959</v>
      </c>
      <c r="P908" s="35" t="s">
        <v>959</v>
      </c>
      <c r="Q908" s="34" t="str">
        <f>IF(OR(P908="-",P908="",P908=0),IF(O908="-","-",O908),O908-P908)</f>
        <v>-</v>
      </c>
      <c r="R908" s="4" t="str">
        <f>IFERROR(IF(O908&gt;0, P908/O908, 0),"-")</f>
        <v>-</v>
      </c>
      <c r="S908" s="34" t="s">
        <v>959</v>
      </c>
      <c r="T908" s="34" t="s">
        <v>959</v>
      </c>
      <c r="U908" s="34" t="s">
        <v>959</v>
      </c>
      <c r="V908" s="35" t="s">
        <v>959</v>
      </c>
      <c r="W908" s="35" t="s">
        <v>959</v>
      </c>
    </row>
    <row r="909" spans="1:23" x14ac:dyDescent="0.2">
      <c r="A909" s="29"/>
      <c r="B909" s="29" t="s">
        <v>46</v>
      </c>
      <c r="C909" s="32">
        <v>561</v>
      </c>
      <c r="D909" s="32">
        <v>547</v>
      </c>
      <c r="E909" s="32">
        <f>IF(OR(D909="-",D909="",D909=0),IF(C909="-","-",C909),C909-D909)</f>
        <v>14</v>
      </c>
      <c r="F909" s="36">
        <f>IFERROR(IF(C909&gt;0, D909/C909, 0),"-")</f>
        <v>0.97504456327985745</v>
      </c>
      <c r="G909" s="32">
        <v>12</v>
      </c>
      <c r="H909" s="32">
        <v>1</v>
      </c>
      <c r="I909" s="32">
        <f>IF(OR(H909="-",H909="",H909=0),IF(G909="-","-",G909),G909-H909)</f>
        <v>11</v>
      </c>
      <c r="J909" s="36">
        <f>IFERROR(IF(G909&gt;0, H909/G909, 0),"-")</f>
        <v>8.3333333333333329E-2</v>
      </c>
      <c r="K909" s="32">
        <v>14</v>
      </c>
      <c r="L909" s="32">
        <v>1</v>
      </c>
      <c r="M909" s="32">
        <f>IF(OR(L909="-",L909="",L909=0),IF(K909="-","-",K909),K909-L909)</f>
        <v>13</v>
      </c>
      <c r="N909" s="36">
        <f>IFERROR(IF(K909&gt;0, L909/K909, 0),"-")</f>
        <v>7.1428571428571425E-2</v>
      </c>
      <c r="O909" s="32">
        <v>6</v>
      </c>
      <c r="P909" s="32">
        <v>1</v>
      </c>
      <c r="Q909" s="32">
        <f>IF(OR(P909="-",P909="",P909=0),IF(O909="-","-",O909),O909-P909)</f>
        <v>5</v>
      </c>
      <c r="R909" s="36">
        <f>IFERROR(IF(O909&gt;0, P909/O909, 0),"-")</f>
        <v>0.16666666666666666</v>
      </c>
      <c r="S909" s="32">
        <v>6</v>
      </c>
      <c r="T909" s="32" t="s">
        <v>959</v>
      </c>
      <c r="U909" s="32" t="s">
        <v>959</v>
      </c>
      <c r="V909" s="32" t="s">
        <v>959</v>
      </c>
      <c r="W909" s="32" t="s">
        <v>959</v>
      </c>
    </row>
    <row r="910" spans="1:23" x14ac:dyDescent="0.2">
      <c r="A910" s="30" t="s">
        <v>255</v>
      </c>
      <c r="B910" s="30" t="s">
        <v>1550</v>
      </c>
      <c r="C910" s="34">
        <v>30</v>
      </c>
      <c r="D910" s="35">
        <v>27</v>
      </c>
      <c r="E910" s="34">
        <f>IF(OR(D910="-",D910="",D910=0),IF(C910="-","-",C910),C910-D910)</f>
        <v>3</v>
      </c>
      <c r="F910" s="4">
        <f>IFERROR(IF(C910&gt;0, D910/C910, 0),"-")</f>
        <v>0.9</v>
      </c>
      <c r="G910" s="34">
        <v>3</v>
      </c>
      <c r="H910" s="35" t="s">
        <v>959</v>
      </c>
      <c r="I910" s="34">
        <f>IF(OR(H910="-",H910="",H910=0),IF(G910="-","-",G910),G910-H910)</f>
        <v>3</v>
      </c>
      <c r="J910" s="4" t="str">
        <f>IFERROR(IF(G910&gt;0, H910/G910, 0),"-")</f>
        <v>-</v>
      </c>
      <c r="K910" s="34">
        <v>3</v>
      </c>
      <c r="L910" s="35" t="s">
        <v>959</v>
      </c>
      <c r="M910" s="34">
        <f>IF(OR(L910="-",L910="",L910=0),IF(K910="-","-",K910),K910-L910)</f>
        <v>3</v>
      </c>
      <c r="N910" s="4" t="str">
        <f>IFERROR(IF(K910&gt;0, L910/K910, 0),"-")</f>
        <v>-</v>
      </c>
      <c r="O910" s="34" t="s">
        <v>959</v>
      </c>
      <c r="P910" s="35" t="s">
        <v>959</v>
      </c>
      <c r="Q910" s="34" t="str">
        <f>IF(OR(P910="-",P910="",P910=0),IF(O910="-","-",O910),O910-P910)</f>
        <v>-</v>
      </c>
      <c r="R910" s="4" t="str">
        <f>IFERROR(IF(O910&gt;0, P910/O910, 0),"-")</f>
        <v>-</v>
      </c>
      <c r="S910" s="34">
        <v>2</v>
      </c>
      <c r="T910" s="34" t="s">
        <v>959</v>
      </c>
      <c r="U910" s="34" t="s">
        <v>959</v>
      </c>
      <c r="V910" s="35" t="s">
        <v>959</v>
      </c>
      <c r="W910" s="35" t="s">
        <v>959</v>
      </c>
    </row>
    <row r="911" spans="1:23" x14ac:dyDescent="0.2">
      <c r="A911" s="30" t="s">
        <v>251</v>
      </c>
      <c r="B911" s="30" t="s">
        <v>1551</v>
      </c>
      <c r="C911" s="34">
        <v>59</v>
      </c>
      <c r="D911" s="35">
        <v>58</v>
      </c>
      <c r="E911" s="34">
        <f>IF(OR(D911="-",D911="",D911=0),IF(C911="-","-",C911),C911-D911)</f>
        <v>1</v>
      </c>
      <c r="F911" s="4">
        <f>IFERROR(IF(C911&gt;0, D911/C911, 0),"-")</f>
        <v>0.98305084745762716</v>
      </c>
      <c r="G911" s="34">
        <v>2</v>
      </c>
      <c r="H911" s="35" t="s">
        <v>959</v>
      </c>
      <c r="I911" s="34">
        <f>IF(OR(H911="-",H911="",H911=0),IF(G911="-","-",G911),G911-H911)</f>
        <v>2</v>
      </c>
      <c r="J911" s="4" t="str">
        <f>IFERROR(IF(G911&gt;0, H911/G911, 0),"-")</f>
        <v>-</v>
      </c>
      <c r="K911" s="34" t="s">
        <v>959</v>
      </c>
      <c r="L911" s="35" t="s">
        <v>959</v>
      </c>
      <c r="M911" s="34" t="str">
        <f>IF(OR(L911="-",L911="",L911=0),IF(K911="-","-",K911),K911-L911)</f>
        <v>-</v>
      </c>
      <c r="N911" s="4" t="str">
        <f>IFERROR(IF(K911&gt;0, L911/K911, 0),"-")</f>
        <v>-</v>
      </c>
      <c r="O911" s="34" t="s">
        <v>959</v>
      </c>
      <c r="P911" s="35" t="s">
        <v>959</v>
      </c>
      <c r="Q911" s="34" t="str">
        <f>IF(OR(P911="-",P911="",P911=0),IF(O911="-","-",O911),O911-P911)</f>
        <v>-</v>
      </c>
      <c r="R911" s="4" t="str">
        <f>IFERROR(IF(O911&gt;0, P911/O911, 0),"-")</f>
        <v>-</v>
      </c>
      <c r="S911" s="34" t="s">
        <v>959</v>
      </c>
      <c r="T911" s="34" t="s">
        <v>959</v>
      </c>
      <c r="U911" s="34" t="s">
        <v>959</v>
      </c>
      <c r="V911" s="35" t="s">
        <v>959</v>
      </c>
      <c r="W911" s="35" t="s">
        <v>959</v>
      </c>
    </row>
    <row r="912" spans="1:23" x14ac:dyDescent="0.2">
      <c r="A912" s="30" t="s">
        <v>250</v>
      </c>
      <c r="B912" s="30" t="s">
        <v>1552</v>
      </c>
      <c r="C912" s="34">
        <v>70</v>
      </c>
      <c r="D912" s="35">
        <v>66</v>
      </c>
      <c r="E912" s="34">
        <f>IF(OR(D912="-",D912="",D912=0),IF(C912="-","-",C912),C912-D912)</f>
        <v>4</v>
      </c>
      <c r="F912" s="4">
        <f>IFERROR(IF(C912&gt;0, D912/C912, 0),"-")</f>
        <v>0.94285714285714284</v>
      </c>
      <c r="G912" s="34" t="s">
        <v>959</v>
      </c>
      <c r="H912" s="35" t="s">
        <v>959</v>
      </c>
      <c r="I912" s="34" t="str">
        <f>IF(OR(H912="-",H912="",H912=0),IF(G912="-","-",G912),G912-H912)</f>
        <v>-</v>
      </c>
      <c r="J912" s="4" t="str">
        <f>IFERROR(IF(G912&gt;0, H912/G912, 0),"-")</f>
        <v>-</v>
      </c>
      <c r="K912" s="34">
        <v>1</v>
      </c>
      <c r="L912" s="35" t="s">
        <v>959</v>
      </c>
      <c r="M912" s="34">
        <f>IF(OR(L912="-",L912="",L912=0),IF(K912="-","-",K912),K912-L912)</f>
        <v>1</v>
      </c>
      <c r="N912" s="4" t="str">
        <f>IFERROR(IF(K912&gt;0, L912/K912, 0),"-")</f>
        <v>-</v>
      </c>
      <c r="O912" s="34">
        <v>2</v>
      </c>
      <c r="P912" s="35">
        <v>1</v>
      </c>
      <c r="Q912" s="34">
        <f>IF(OR(P912="-",P912="",P912=0),IF(O912="-","-",O912),O912-P912)</f>
        <v>1</v>
      </c>
      <c r="R912" s="4">
        <f>IFERROR(IF(O912&gt;0, P912/O912, 0),"-")</f>
        <v>0.5</v>
      </c>
      <c r="S912" s="34">
        <v>1</v>
      </c>
      <c r="T912" s="34" t="s">
        <v>959</v>
      </c>
      <c r="U912" s="34" t="s">
        <v>959</v>
      </c>
      <c r="V912" s="35" t="s">
        <v>959</v>
      </c>
      <c r="W912" s="35" t="s">
        <v>959</v>
      </c>
    </row>
    <row r="913" spans="1:23" x14ac:dyDescent="0.2">
      <c r="A913" s="30" t="s">
        <v>249</v>
      </c>
      <c r="B913" s="30" t="s">
        <v>1553</v>
      </c>
      <c r="C913" s="34">
        <v>119</v>
      </c>
      <c r="D913" s="35">
        <v>116</v>
      </c>
      <c r="E913" s="34">
        <f>IF(OR(D913="-",D913="",D913=0),IF(C913="-","-",C913),C913-D913)</f>
        <v>3</v>
      </c>
      <c r="F913" s="4">
        <f>IFERROR(IF(C913&gt;0, D913/C913, 0),"-")</f>
        <v>0.97478991596638653</v>
      </c>
      <c r="G913" s="34">
        <v>3</v>
      </c>
      <c r="H913" s="35" t="s">
        <v>959</v>
      </c>
      <c r="I913" s="34">
        <f>IF(OR(H913="-",H913="",H913=0),IF(G913="-","-",G913),G913-H913)</f>
        <v>3</v>
      </c>
      <c r="J913" s="4" t="str">
        <f>IFERROR(IF(G913&gt;0, H913/G913, 0),"-")</f>
        <v>-</v>
      </c>
      <c r="K913" s="34">
        <v>2</v>
      </c>
      <c r="L913" s="35" t="s">
        <v>959</v>
      </c>
      <c r="M913" s="34">
        <f>IF(OR(L913="-",L913="",L913=0),IF(K913="-","-",K913),K913-L913)</f>
        <v>2</v>
      </c>
      <c r="N913" s="4" t="str">
        <f>IFERROR(IF(K913&gt;0, L913/K913, 0),"-")</f>
        <v>-</v>
      </c>
      <c r="O913" s="34">
        <v>4</v>
      </c>
      <c r="P913" s="35" t="s">
        <v>959</v>
      </c>
      <c r="Q913" s="34">
        <f>IF(OR(P913="-",P913="",P913=0),IF(O913="-","-",O913),O913-P913)</f>
        <v>4</v>
      </c>
      <c r="R913" s="4" t="str">
        <f>IFERROR(IF(O913&gt;0, P913/O913, 0),"-")</f>
        <v>-</v>
      </c>
      <c r="S913" s="34">
        <v>3</v>
      </c>
      <c r="T913" s="34" t="s">
        <v>959</v>
      </c>
      <c r="U913" s="34" t="s">
        <v>959</v>
      </c>
      <c r="V913" s="35" t="s">
        <v>959</v>
      </c>
      <c r="W913" s="35" t="s">
        <v>959</v>
      </c>
    </row>
    <row r="914" spans="1:23" x14ac:dyDescent="0.2">
      <c r="A914" s="30" t="s">
        <v>254</v>
      </c>
      <c r="B914" s="30" t="s">
        <v>1554</v>
      </c>
      <c r="C914" s="34">
        <v>118</v>
      </c>
      <c r="D914" s="35">
        <v>116</v>
      </c>
      <c r="E914" s="34">
        <f>IF(OR(D914="-",D914="",D914=0),IF(C914="-","-",C914),C914-D914)</f>
        <v>2</v>
      </c>
      <c r="F914" s="4">
        <f>IFERROR(IF(C914&gt;0, D914/C914, 0),"-")</f>
        <v>0.98305084745762716</v>
      </c>
      <c r="G914" s="34">
        <v>2</v>
      </c>
      <c r="H914" s="35">
        <v>1</v>
      </c>
      <c r="I914" s="34">
        <f>IF(OR(H914="-",H914="",H914=0),IF(G914="-","-",G914),G914-H914)</f>
        <v>1</v>
      </c>
      <c r="J914" s="4">
        <f>IFERROR(IF(G914&gt;0, H914/G914, 0),"-")</f>
        <v>0.5</v>
      </c>
      <c r="K914" s="34">
        <v>2</v>
      </c>
      <c r="L914" s="35" t="s">
        <v>959</v>
      </c>
      <c r="M914" s="34">
        <f>IF(OR(L914="-",L914="",L914=0),IF(K914="-","-",K914),K914-L914)</f>
        <v>2</v>
      </c>
      <c r="N914" s="4" t="str">
        <f>IFERROR(IF(K914&gt;0, L914/K914, 0),"-")</f>
        <v>-</v>
      </c>
      <c r="O914" s="34" t="s">
        <v>959</v>
      </c>
      <c r="P914" s="35" t="s">
        <v>959</v>
      </c>
      <c r="Q914" s="34" t="str">
        <f>IF(OR(P914="-",P914="",P914=0),IF(O914="-","-",O914),O914-P914)</f>
        <v>-</v>
      </c>
      <c r="R914" s="4" t="str">
        <f>IFERROR(IF(O914&gt;0, P914/O914, 0),"-")</f>
        <v>-</v>
      </c>
      <c r="S914" s="34" t="s">
        <v>959</v>
      </c>
      <c r="T914" s="34" t="s">
        <v>959</v>
      </c>
      <c r="U914" s="34" t="s">
        <v>959</v>
      </c>
      <c r="V914" s="35" t="s">
        <v>959</v>
      </c>
      <c r="W914" s="35" t="s">
        <v>959</v>
      </c>
    </row>
    <row r="915" spans="1:23" x14ac:dyDescent="0.2">
      <c r="A915" s="30" t="s">
        <v>252</v>
      </c>
      <c r="B915" s="30" t="s">
        <v>1555</v>
      </c>
      <c r="C915" s="34">
        <v>59</v>
      </c>
      <c r="D915" s="35">
        <v>58</v>
      </c>
      <c r="E915" s="34">
        <f>IF(OR(D915="-",D915="",D915=0),IF(C915="-","-",C915),C915-D915)</f>
        <v>1</v>
      </c>
      <c r="F915" s="4">
        <f>IFERROR(IF(C915&gt;0, D915/C915, 0),"-")</f>
        <v>0.98305084745762716</v>
      </c>
      <c r="G915" s="34">
        <v>1</v>
      </c>
      <c r="H915" s="35" t="s">
        <v>959</v>
      </c>
      <c r="I915" s="34">
        <f>IF(OR(H915="-",H915="",H915=0),IF(G915="-","-",G915),G915-H915)</f>
        <v>1</v>
      </c>
      <c r="J915" s="4" t="str">
        <f>IFERROR(IF(G915&gt;0, H915/G915, 0),"-")</f>
        <v>-</v>
      </c>
      <c r="K915" s="34">
        <v>3</v>
      </c>
      <c r="L915" s="35">
        <v>1</v>
      </c>
      <c r="M915" s="34">
        <f>IF(OR(L915="-",L915="",L915=0),IF(K915="-","-",K915),K915-L915)</f>
        <v>2</v>
      </c>
      <c r="N915" s="4">
        <f>IFERROR(IF(K915&gt;0, L915/K915, 0),"-")</f>
        <v>0.33333333333333331</v>
      </c>
      <c r="O915" s="34" t="s">
        <v>959</v>
      </c>
      <c r="P915" s="35" t="s">
        <v>959</v>
      </c>
      <c r="Q915" s="34" t="str">
        <f>IF(OR(P915="-",P915="",P915=0),IF(O915="-","-",O915),O915-P915)</f>
        <v>-</v>
      </c>
      <c r="R915" s="4" t="str">
        <f>IFERROR(IF(O915&gt;0, P915/O915, 0),"-")</f>
        <v>-</v>
      </c>
      <c r="S915" s="34" t="s">
        <v>959</v>
      </c>
      <c r="T915" s="34" t="s">
        <v>959</v>
      </c>
      <c r="U915" s="34" t="s">
        <v>959</v>
      </c>
      <c r="V915" s="35" t="s">
        <v>959</v>
      </c>
      <c r="W915" s="35" t="s">
        <v>959</v>
      </c>
    </row>
    <row r="916" spans="1:23" x14ac:dyDescent="0.2">
      <c r="A916" s="30" t="s">
        <v>253</v>
      </c>
      <c r="B916" s="30" t="s">
        <v>1556</v>
      </c>
      <c r="C916" s="34">
        <v>106</v>
      </c>
      <c r="D916" s="35">
        <v>106</v>
      </c>
      <c r="E916" s="34">
        <f>IF(OR(D916="-",D916="",D916=0),IF(C916="-","-",C916),C916-D916)</f>
        <v>0</v>
      </c>
      <c r="F916" s="4">
        <f>IFERROR(IF(C916&gt;0, D916/C916, 0),"-")</f>
        <v>1</v>
      </c>
      <c r="G916" s="34">
        <v>1</v>
      </c>
      <c r="H916" s="35" t="s">
        <v>959</v>
      </c>
      <c r="I916" s="34">
        <f>IF(OR(H916="-",H916="",H916=0),IF(G916="-","-",G916),G916-H916)</f>
        <v>1</v>
      </c>
      <c r="J916" s="4" t="str">
        <f>IFERROR(IF(G916&gt;0, H916/G916, 0),"-")</f>
        <v>-</v>
      </c>
      <c r="K916" s="34">
        <v>3</v>
      </c>
      <c r="L916" s="35" t="s">
        <v>959</v>
      </c>
      <c r="M916" s="34">
        <f>IF(OR(L916="-",L916="",L916=0),IF(K916="-","-",K916),K916-L916)</f>
        <v>3</v>
      </c>
      <c r="N916" s="4" t="str">
        <f>IFERROR(IF(K916&gt;0, L916/K916, 0),"-")</f>
        <v>-</v>
      </c>
      <c r="O916" s="34" t="s">
        <v>959</v>
      </c>
      <c r="P916" s="35" t="s">
        <v>959</v>
      </c>
      <c r="Q916" s="34" t="str">
        <f>IF(OR(P916="-",P916="",P916=0),IF(O916="-","-",O916),O916-P916)</f>
        <v>-</v>
      </c>
      <c r="R916" s="4" t="str">
        <f>IFERROR(IF(O916&gt;0, P916/O916, 0),"-")</f>
        <v>-</v>
      </c>
      <c r="S916" s="34" t="s">
        <v>959</v>
      </c>
      <c r="T916" s="34" t="s">
        <v>959</v>
      </c>
      <c r="U916" s="34" t="s">
        <v>959</v>
      </c>
      <c r="V916" s="35" t="s">
        <v>959</v>
      </c>
      <c r="W916" s="35" t="s">
        <v>959</v>
      </c>
    </row>
    <row r="917" spans="1:23" x14ac:dyDescent="0.2">
      <c r="A917" s="29"/>
      <c r="B917" s="29" t="s">
        <v>124</v>
      </c>
      <c r="C917" s="32">
        <v>463</v>
      </c>
      <c r="D917" s="32">
        <v>453</v>
      </c>
      <c r="E917" s="32">
        <f>IF(OR(D917="-",D917="",D917=0),IF(C917="-","-",C917),C917-D917)</f>
        <v>10</v>
      </c>
      <c r="F917" s="36">
        <f>IFERROR(IF(C917&gt;0, D917/C917, 0),"-")</f>
        <v>0.97840172786177104</v>
      </c>
      <c r="G917" s="32">
        <v>8</v>
      </c>
      <c r="H917" s="32">
        <v>3</v>
      </c>
      <c r="I917" s="32">
        <f>IF(OR(H917="-",H917="",H917=0),IF(G917="-","-",G917),G917-H917)</f>
        <v>5</v>
      </c>
      <c r="J917" s="36">
        <f>IFERROR(IF(G917&gt;0, H917/G917, 0),"-")</f>
        <v>0.375</v>
      </c>
      <c r="K917" s="32" t="s">
        <v>959</v>
      </c>
      <c r="L917" s="32" t="s">
        <v>959</v>
      </c>
      <c r="M917" s="32" t="str">
        <f>IF(OR(L917="-",L917="",L917=0),IF(K917="-","-",K917),K917-L917)</f>
        <v>-</v>
      </c>
      <c r="N917" s="36" t="str">
        <f>IFERROR(IF(K917&gt;0, L917/K917, 0),"-")</f>
        <v>-</v>
      </c>
      <c r="O917" s="32">
        <v>1</v>
      </c>
      <c r="P917" s="32" t="s">
        <v>959</v>
      </c>
      <c r="Q917" s="32">
        <f>IF(OR(P917="-",P917="",P917=0),IF(O917="-","-",O917),O917-P917)</f>
        <v>1</v>
      </c>
      <c r="R917" s="36" t="str">
        <f>IFERROR(IF(O917&gt;0, P917/O917, 0),"-")</f>
        <v>-</v>
      </c>
      <c r="S917" s="32">
        <v>2</v>
      </c>
      <c r="T917" s="32" t="s">
        <v>959</v>
      </c>
      <c r="U917" s="32" t="s">
        <v>959</v>
      </c>
      <c r="V917" s="32" t="s">
        <v>959</v>
      </c>
      <c r="W917" s="32" t="s">
        <v>959</v>
      </c>
    </row>
    <row r="918" spans="1:23" x14ac:dyDescent="0.2">
      <c r="A918" s="30" t="s">
        <v>872</v>
      </c>
      <c r="B918" s="30" t="s">
        <v>1557</v>
      </c>
      <c r="C918" s="34">
        <v>81</v>
      </c>
      <c r="D918" s="35">
        <v>80</v>
      </c>
      <c r="E918" s="34">
        <f>IF(OR(D918="-",D918="",D918=0),IF(C918="-","-",C918),C918-D918)</f>
        <v>1</v>
      </c>
      <c r="F918" s="4">
        <f>IFERROR(IF(C918&gt;0, D918/C918, 0),"-")</f>
        <v>0.98765432098765427</v>
      </c>
      <c r="G918" s="34">
        <v>2</v>
      </c>
      <c r="H918" s="35">
        <v>1</v>
      </c>
      <c r="I918" s="34">
        <f>IF(OR(H918="-",H918="",H918=0),IF(G918="-","-",G918),G918-H918)</f>
        <v>1</v>
      </c>
      <c r="J918" s="4">
        <f>IFERROR(IF(G918&gt;0, H918/G918, 0),"-")</f>
        <v>0.5</v>
      </c>
      <c r="K918" s="34" t="s">
        <v>959</v>
      </c>
      <c r="L918" s="35" t="s">
        <v>959</v>
      </c>
      <c r="M918" s="34" t="str">
        <f>IF(OR(L918="-",L918="",L918=0),IF(K918="-","-",K918),K918-L918)</f>
        <v>-</v>
      </c>
      <c r="N918" s="4" t="str">
        <f>IFERROR(IF(K918&gt;0, L918/K918, 0),"-")</f>
        <v>-</v>
      </c>
      <c r="O918" s="34" t="s">
        <v>959</v>
      </c>
      <c r="P918" s="35" t="s">
        <v>959</v>
      </c>
      <c r="Q918" s="34" t="str">
        <f>IF(OR(P918="-",P918="",P918=0),IF(O918="-","-",O918),O918-P918)</f>
        <v>-</v>
      </c>
      <c r="R918" s="4" t="str">
        <f>IFERROR(IF(O918&gt;0, P918/O918, 0),"-")</f>
        <v>-</v>
      </c>
      <c r="S918" s="34" t="s">
        <v>959</v>
      </c>
      <c r="T918" s="34" t="s">
        <v>959</v>
      </c>
      <c r="U918" s="34" t="s">
        <v>959</v>
      </c>
      <c r="V918" s="35" t="s">
        <v>959</v>
      </c>
      <c r="W918" s="35" t="s">
        <v>959</v>
      </c>
    </row>
    <row r="919" spans="1:23" x14ac:dyDescent="0.2">
      <c r="A919" s="30" t="s">
        <v>874</v>
      </c>
      <c r="B919" s="30" t="s">
        <v>1558</v>
      </c>
      <c r="C919" s="34">
        <v>99</v>
      </c>
      <c r="D919" s="35">
        <v>95</v>
      </c>
      <c r="E919" s="34">
        <f>IF(OR(D919="-",D919="",D919=0),IF(C919="-","-",C919),C919-D919)</f>
        <v>4</v>
      </c>
      <c r="F919" s="4">
        <f>IFERROR(IF(C919&gt;0, D919/C919, 0),"-")</f>
        <v>0.95959595959595956</v>
      </c>
      <c r="G919" s="34">
        <v>1</v>
      </c>
      <c r="H919" s="35" t="s">
        <v>959</v>
      </c>
      <c r="I919" s="34">
        <f>IF(OR(H919="-",H919="",H919=0),IF(G919="-","-",G919),G919-H919)</f>
        <v>1</v>
      </c>
      <c r="J919" s="4" t="str">
        <f>IFERROR(IF(G919&gt;0, H919/G919, 0),"-")</f>
        <v>-</v>
      </c>
      <c r="K919" s="34" t="s">
        <v>959</v>
      </c>
      <c r="L919" s="35" t="s">
        <v>959</v>
      </c>
      <c r="M919" s="34" t="str">
        <f>IF(OR(L919="-",L919="",L919=0),IF(K919="-","-",K919),K919-L919)</f>
        <v>-</v>
      </c>
      <c r="N919" s="4" t="str">
        <f>IFERROR(IF(K919&gt;0, L919/K919, 0),"-")</f>
        <v>-</v>
      </c>
      <c r="O919" s="34" t="s">
        <v>959</v>
      </c>
      <c r="P919" s="35" t="s">
        <v>959</v>
      </c>
      <c r="Q919" s="34" t="str">
        <f>IF(OR(P919="-",P919="",P919=0),IF(O919="-","-",O919),O919-P919)</f>
        <v>-</v>
      </c>
      <c r="R919" s="4" t="str">
        <f>IFERROR(IF(O919&gt;0, P919/O919, 0),"-")</f>
        <v>-</v>
      </c>
      <c r="S919" s="34" t="s">
        <v>959</v>
      </c>
      <c r="T919" s="34" t="s">
        <v>959</v>
      </c>
      <c r="U919" s="34" t="s">
        <v>959</v>
      </c>
      <c r="V919" s="35" t="s">
        <v>959</v>
      </c>
      <c r="W919" s="35" t="s">
        <v>959</v>
      </c>
    </row>
    <row r="920" spans="1:23" x14ac:dyDescent="0.2">
      <c r="A920" s="30" t="s">
        <v>875</v>
      </c>
      <c r="B920" s="30" t="s">
        <v>1559</v>
      </c>
      <c r="C920" s="34">
        <v>108</v>
      </c>
      <c r="D920" s="35">
        <v>106</v>
      </c>
      <c r="E920" s="34">
        <f>IF(OR(D920="-",D920="",D920=0),IF(C920="-","-",C920),C920-D920)</f>
        <v>2</v>
      </c>
      <c r="F920" s="4">
        <f>IFERROR(IF(C920&gt;0, D920/C920, 0),"-")</f>
        <v>0.98148148148148151</v>
      </c>
      <c r="G920" s="34">
        <v>3</v>
      </c>
      <c r="H920" s="35">
        <v>2</v>
      </c>
      <c r="I920" s="34">
        <f>IF(OR(H920="-",H920="",H920=0),IF(G920="-","-",G920),G920-H920)</f>
        <v>1</v>
      </c>
      <c r="J920" s="4">
        <f>IFERROR(IF(G920&gt;0, H920/G920, 0),"-")</f>
        <v>0.66666666666666663</v>
      </c>
      <c r="K920" s="34" t="s">
        <v>959</v>
      </c>
      <c r="L920" s="35" t="s">
        <v>959</v>
      </c>
      <c r="M920" s="34" t="str">
        <f>IF(OR(L920="-",L920="",L920=0),IF(K920="-","-",K920),K920-L920)</f>
        <v>-</v>
      </c>
      <c r="N920" s="4" t="str">
        <f>IFERROR(IF(K920&gt;0, L920/K920, 0),"-")</f>
        <v>-</v>
      </c>
      <c r="O920" s="34">
        <v>1</v>
      </c>
      <c r="P920" s="35" t="s">
        <v>959</v>
      </c>
      <c r="Q920" s="34">
        <f>IF(OR(P920="-",P920="",P920=0),IF(O920="-","-",O920),O920-P920)</f>
        <v>1</v>
      </c>
      <c r="R920" s="4" t="str">
        <f>IFERROR(IF(O920&gt;0, P920/O920, 0),"-")</f>
        <v>-</v>
      </c>
      <c r="S920" s="34" t="s">
        <v>959</v>
      </c>
      <c r="T920" s="34" t="s">
        <v>959</v>
      </c>
      <c r="U920" s="34" t="s">
        <v>959</v>
      </c>
      <c r="V920" s="35" t="s">
        <v>959</v>
      </c>
      <c r="W920" s="35" t="s">
        <v>959</v>
      </c>
    </row>
    <row r="921" spans="1:23" x14ac:dyDescent="0.2">
      <c r="A921" s="30" t="s">
        <v>876</v>
      </c>
      <c r="B921" s="30" t="s">
        <v>1560</v>
      </c>
      <c r="C921" s="34">
        <v>101</v>
      </c>
      <c r="D921" s="35">
        <v>98</v>
      </c>
      <c r="E921" s="34">
        <f>IF(OR(D921="-",D921="",D921=0),IF(C921="-","-",C921),C921-D921)</f>
        <v>3</v>
      </c>
      <c r="F921" s="4">
        <f>IFERROR(IF(C921&gt;0, D921/C921, 0),"-")</f>
        <v>0.97029702970297027</v>
      </c>
      <c r="G921" s="34">
        <v>1</v>
      </c>
      <c r="H921" s="35" t="s">
        <v>959</v>
      </c>
      <c r="I921" s="34">
        <f>IF(OR(H921="-",H921="",H921=0),IF(G921="-","-",G921),G921-H921)</f>
        <v>1</v>
      </c>
      <c r="J921" s="4" t="str">
        <f>IFERROR(IF(G921&gt;0, H921/G921, 0),"-")</f>
        <v>-</v>
      </c>
      <c r="K921" s="34" t="s">
        <v>959</v>
      </c>
      <c r="L921" s="35" t="s">
        <v>959</v>
      </c>
      <c r="M921" s="34" t="str">
        <f>IF(OR(L921="-",L921="",L921=0),IF(K921="-","-",K921),K921-L921)</f>
        <v>-</v>
      </c>
      <c r="N921" s="4" t="str">
        <f>IFERROR(IF(K921&gt;0, L921/K921, 0),"-")</f>
        <v>-</v>
      </c>
      <c r="O921" s="34" t="s">
        <v>959</v>
      </c>
      <c r="P921" s="35" t="s">
        <v>959</v>
      </c>
      <c r="Q921" s="34" t="str">
        <f>IF(OR(P921="-",P921="",P921=0),IF(O921="-","-",O921),O921-P921)</f>
        <v>-</v>
      </c>
      <c r="R921" s="4" t="str">
        <f>IFERROR(IF(O921&gt;0, P921/O921, 0),"-")</f>
        <v>-</v>
      </c>
      <c r="S921" s="34">
        <v>1</v>
      </c>
      <c r="T921" s="34" t="s">
        <v>959</v>
      </c>
      <c r="U921" s="34" t="s">
        <v>959</v>
      </c>
      <c r="V921" s="35" t="s">
        <v>959</v>
      </c>
      <c r="W921" s="35" t="s">
        <v>959</v>
      </c>
    </row>
    <row r="922" spans="1:23" x14ac:dyDescent="0.2">
      <c r="A922" s="30" t="s">
        <v>873</v>
      </c>
      <c r="B922" s="30" t="s">
        <v>1561</v>
      </c>
      <c r="C922" s="34">
        <v>74</v>
      </c>
      <c r="D922" s="35">
        <v>74</v>
      </c>
      <c r="E922" s="34">
        <f>IF(OR(D922="-",D922="",D922=0),IF(C922="-","-",C922),C922-D922)</f>
        <v>0</v>
      </c>
      <c r="F922" s="4">
        <f>IFERROR(IF(C922&gt;0, D922/C922, 0),"-")</f>
        <v>1</v>
      </c>
      <c r="G922" s="34">
        <v>1</v>
      </c>
      <c r="H922" s="35" t="s">
        <v>959</v>
      </c>
      <c r="I922" s="34">
        <f>IF(OR(H922="-",H922="",H922=0),IF(G922="-","-",G922),G922-H922)</f>
        <v>1</v>
      </c>
      <c r="J922" s="4" t="str">
        <f>IFERROR(IF(G922&gt;0, H922/G922, 0),"-")</f>
        <v>-</v>
      </c>
      <c r="K922" s="34" t="s">
        <v>959</v>
      </c>
      <c r="L922" s="35" t="s">
        <v>959</v>
      </c>
      <c r="M922" s="34" t="str">
        <f>IF(OR(L922="-",L922="",L922=0),IF(K922="-","-",K922),K922-L922)</f>
        <v>-</v>
      </c>
      <c r="N922" s="4" t="str">
        <f>IFERROR(IF(K922&gt;0, L922/K922, 0),"-")</f>
        <v>-</v>
      </c>
      <c r="O922" s="34" t="s">
        <v>959</v>
      </c>
      <c r="P922" s="35" t="s">
        <v>959</v>
      </c>
      <c r="Q922" s="34" t="str">
        <f>IF(OR(P922="-",P922="",P922=0),IF(O922="-","-",O922),O922-P922)</f>
        <v>-</v>
      </c>
      <c r="R922" s="4" t="str">
        <f>IFERROR(IF(O922&gt;0, P922/O922, 0),"-")</f>
        <v>-</v>
      </c>
      <c r="S922" s="34">
        <v>1</v>
      </c>
      <c r="T922" s="34" t="s">
        <v>959</v>
      </c>
      <c r="U922" s="34" t="s">
        <v>959</v>
      </c>
      <c r="V922" s="35" t="s">
        <v>959</v>
      </c>
      <c r="W922" s="35" t="s">
        <v>959</v>
      </c>
    </row>
    <row r="923" spans="1:23" x14ac:dyDescent="0.2">
      <c r="A923" s="29"/>
      <c r="B923" s="29" t="s">
        <v>52</v>
      </c>
      <c r="C923" s="32">
        <v>767</v>
      </c>
      <c r="D923" s="32">
        <v>739</v>
      </c>
      <c r="E923" s="32">
        <f>IF(OR(D923="-",D923="",D923=0),IF(C923="-","-",C923),C923-D923)</f>
        <v>28</v>
      </c>
      <c r="F923" s="36">
        <f>IFERROR(IF(C923&gt;0, D923/C923, 0),"-")</f>
        <v>0.96349413298565845</v>
      </c>
      <c r="G923" s="32">
        <v>9</v>
      </c>
      <c r="H923" s="32" t="s">
        <v>959</v>
      </c>
      <c r="I923" s="32">
        <f>IF(OR(H923="-",H923="",H923=0),IF(G923="-","-",G923),G923-H923)</f>
        <v>9</v>
      </c>
      <c r="J923" s="36" t="str">
        <f>IFERROR(IF(G923&gt;0, H923/G923, 0),"-")</f>
        <v>-</v>
      </c>
      <c r="K923" s="32">
        <v>5</v>
      </c>
      <c r="L923" s="32" t="s">
        <v>959</v>
      </c>
      <c r="M923" s="32">
        <f>IF(OR(L923="-",L923="",L923=0),IF(K923="-","-",K923),K923-L923)</f>
        <v>5</v>
      </c>
      <c r="N923" s="36" t="str">
        <f>IFERROR(IF(K923&gt;0, L923/K923, 0),"-")</f>
        <v>-</v>
      </c>
      <c r="O923" s="32">
        <v>1</v>
      </c>
      <c r="P923" s="32" t="s">
        <v>959</v>
      </c>
      <c r="Q923" s="32">
        <f>IF(OR(P923="-",P923="",P923=0),IF(O923="-","-",O923),O923-P923)</f>
        <v>1</v>
      </c>
      <c r="R923" s="36" t="str">
        <f>IFERROR(IF(O923&gt;0, P923/O923, 0),"-")</f>
        <v>-</v>
      </c>
      <c r="S923" s="32">
        <v>1</v>
      </c>
      <c r="T923" s="32" t="s">
        <v>959</v>
      </c>
      <c r="U923" s="32" t="s">
        <v>959</v>
      </c>
      <c r="V923" s="32" t="s">
        <v>959</v>
      </c>
      <c r="W923" s="32" t="s">
        <v>959</v>
      </c>
    </row>
    <row r="924" spans="1:23" x14ac:dyDescent="0.2">
      <c r="A924" s="30" t="s">
        <v>305</v>
      </c>
      <c r="B924" s="30" t="s">
        <v>1562</v>
      </c>
      <c r="C924" s="34">
        <v>102</v>
      </c>
      <c r="D924" s="35">
        <v>98</v>
      </c>
      <c r="E924" s="34">
        <f>IF(OR(D924="-",D924="",D924=0),IF(C924="-","-",C924),C924-D924)</f>
        <v>4</v>
      </c>
      <c r="F924" s="4">
        <f>IFERROR(IF(C924&gt;0, D924/C924, 0),"-")</f>
        <v>0.96078431372549022</v>
      </c>
      <c r="G924" s="34">
        <v>1</v>
      </c>
      <c r="H924" s="35" t="s">
        <v>959</v>
      </c>
      <c r="I924" s="34">
        <f>IF(OR(H924="-",H924="",H924=0),IF(G924="-","-",G924),G924-H924)</f>
        <v>1</v>
      </c>
      <c r="J924" s="4" t="str">
        <f>IFERROR(IF(G924&gt;0, H924/G924, 0),"-")</f>
        <v>-</v>
      </c>
      <c r="K924" s="34" t="s">
        <v>959</v>
      </c>
      <c r="L924" s="35" t="s">
        <v>959</v>
      </c>
      <c r="M924" s="34" t="str">
        <f>IF(OR(L924="-",L924="",L924=0),IF(K924="-","-",K924),K924-L924)</f>
        <v>-</v>
      </c>
      <c r="N924" s="4" t="str">
        <f>IFERROR(IF(K924&gt;0, L924/K924, 0),"-")</f>
        <v>-</v>
      </c>
      <c r="O924" s="34" t="s">
        <v>959</v>
      </c>
      <c r="P924" s="35" t="s">
        <v>959</v>
      </c>
      <c r="Q924" s="34" t="str">
        <f>IF(OR(P924="-",P924="",P924=0),IF(O924="-","-",O924),O924-P924)</f>
        <v>-</v>
      </c>
      <c r="R924" s="4" t="str">
        <f>IFERROR(IF(O924&gt;0, P924/O924, 0),"-")</f>
        <v>-</v>
      </c>
      <c r="S924" s="34" t="s">
        <v>959</v>
      </c>
      <c r="T924" s="34" t="s">
        <v>959</v>
      </c>
      <c r="U924" s="34" t="s">
        <v>959</v>
      </c>
      <c r="V924" s="35" t="s">
        <v>959</v>
      </c>
      <c r="W924" s="35" t="s">
        <v>959</v>
      </c>
    </row>
    <row r="925" spans="1:23" x14ac:dyDescent="0.2">
      <c r="A925" s="30" t="s">
        <v>303</v>
      </c>
      <c r="B925" s="30" t="s">
        <v>1563</v>
      </c>
      <c r="C925" s="34">
        <v>117</v>
      </c>
      <c r="D925" s="35">
        <v>114</v>
      </c>
      <c r="E925" s="34">
        <f>IF(OR(D925="-",D925="",D925=0),IF(C925="-","-",C925),C925-D925)</f>
        <v>3</v>
      </c>
      <c r="F925" s="4">
        <f>IFERROR(IF(C925&gt;0, D925/C925, 0),"-")</f>
        <v>0.97435897435897434</v>
      </c>
      <c r="G925" s="34">
        <v>3</v>
      </c>
      <c r="H925" s="35" t="s">
        <v>959</v>
      </c>
      <c r="I925" s="34">
        <f>IF(OR(H925="-",H925="",H925=0),IF(G925="-","-",G925),G925-H925)</f>
        <v>3</v>
      </c>
      <c r="J925" s="4" t="str">
        <f>IFERROR(IF(G925&gt;0, H925/G925, 0),"-")</f>
        <v>-</v>
      </c>
      <c r="K925" s="34">
        <v>2</v>
      </c>
      <c r="L925" s="35" t="s">
        <v>959</v>
      </c>
      <c r="M925" s="34">
        <f>IF(OR(L925="-",L925="",L925=0),IF(K925="-","-",K925),K925-L925)</f>
        <v>2</v>
      </c>
      <c r="N925" s="4" t="str">
        <f>IFERROR(IF(K925&gt;0, L925/K925, 0),"-")</f>
        <v>-</v>
      </c>
      <c r="O925" s="34" t="s">
        <v>959</v>
      </c>
      <c r="P925" s="35" t="s">
        <v>959</v>
      </c>
      <c r="Q925" s="34" t="str">
        <f>IF(OR(P925="-",P925="",P925=0),IF(O925="-","-",O925),O925-P925)</f>
        <v>-</v>
      </c>
      <c r="R925" s="4" t="str">
        <f>IFERROR(IF(O925&gt;0, P925/O925, 0),"-")</f>
        <v>-</v>
      </c>
      <c r="S925" s="34" t="s">
        <v>959</v>
      </c>
      <c r="T925" s="34" t="s">
        <v>959</v>
      </c>
      <c r="U925" s="34" t="s">
        <v>959</v>
      </c>
      <c r="V925" s="35" t="s">
        <v>959</v>
      </c>
      <c r="W925" s="35" t="s">
        <v>959</v>
      </c>
    </row>
    <row r="926" spans="1:23" x14ac:dyDescent="0.2">
      <c r="A926" s="30" t="s">
        <v>308</v>
      </c>
      <c r="B926" s="30" t="s">
        <v>1564</v>
      </c>
      <c r="C926" s="34">
        <v>176</v>
      </c>
      <c r="D926" s="35">
        <v>173</v>
      </c>
      <c r="E926" s="34">
        <f>IF(OR(D926="-",D926="",D926=0),IF(C926="-","-",C926),C926-D926)</f>
        <v>3</v>
      </c>
      <c r="F926" s="4">
        <f>IFERROR(IF(C926&gt;0, D926/C926, 0),"-")</f>
        <v>0.98295454545454541</v>
      </c>
      <c r="G926" s="34" t="s">
        <v>959</v>
      </c>
      <c r="H926" s="35" t="s">
        <v>959</v>
      </c>
      <c r="I926" s="34" t="str">
        <f>IF(OR(H926="-",H926="",H926=0),IF(G926="-","-",G926),G926-H926)</f>
        <v>-</v>
      </c>
      <c r="J926" s="4" t="str">
        <f>IFERROR(IF(G926&gt;0, H926/G926, 0),"-")</f>
        <v>-</v>
      </c>
      <c r="K926" s="34" t="s">
        <v>959</v>
      </c>
      <c r="L926" s="35" t="s">
        <v>959</v>
      </c>
      <c r="M926" s="34" t="str">
        <f>IF(OR(L926="-",L926="",L926=0),IF(K926="-","-",K926),K926-L926)</f>
        <v>-</v>
      </c>
      <c r="N926" s="4" t="str">
        <f>IFERROR(IF(K926&gt;0, L926/K926, 0),"-")</f>
        <v>-</v>
      </c>
      <c r="O926" s="34" t="s">
        <v>959</v>
      </c>
      <c r="P926" s="35" t="s">
        <v>959</v>
      </c>
      <c r="Q926" s="34" t="str">
        <f>IF(OR(P926="-",P926="",P926=0),IF(O926="-","-",O926),O926-P926)</f>
        <v>-</v>
      </c>
      <c r="R926" s="4" t="str">
        <f>IFERROR(IF(O926&gt;0, P926/O926, 0),"-")</f>
        <v>-</v>
      </c>
      <c r="S926" s="34" t="s">
        <v>959</v>
      </c>
      <c r="T926" s="34" t="s">
        <v>959</v>
      </c>
      <c r="U926" s="34" t="s">
        <v>959</v>
      </c>
      <c r="V926" s="35" t="s">
        <v>959</v>
      </c>
      <c r="W926" s="35" t="s">
        <v>959</v>
      </c>
    </row>
    <row r="927" spans="1:23" x14ac:dyDescent="0.2">
      <c r="A927" s="30" t="s">
        <v>306</v>
      </c>
      <c r="B927" s="30" t="s">
        <v>1565</v>
      </c>
      <c r="C927" s="34">
        <v>78</v>
      </c>
      <c r="D927" s="35">
        <v>75</v>
      </c>
      <c r="E927" s="34">
        <f>IF(OR(D927="-",D927="",D927=0),IF(C927="-","-",C927),C927-D927)</f>
        <v>3</v>
      </c>
      <c r="F927" s="4">
        <f>IFERROR(IF(C927&gt;0, D927/C927, 0),"-")</f>
        <v>0.96153846153846156</v>
      </c>
      <c r="G927" s="34">
        <v>2</v>
      </c>
      <c r="H927" s="35" t="s">
        <v>959</v>
      </c>
      <c r="I927" s="34">
        <f>IF(OR(H927="-",H927="",H927=0),IF(G927="-","-",G927),G927-H927)</f>
        <v>2</v>
      </c>
      <c r="J927" s="4" t="str">
        <f>IFERROR(IF(G927&gt;0, H927/G927, 0),"-")</f>
        <v>-</v>
      </c>
      <c r="K927" s="34">
        <v>2</v>
      </c>
      <c r="L927" s="35" t="s">
        <v>959</v>
      </c>
      <c r="M927" s="34">
        <f>IF(OR(L927="-",L927="",L927=0),IF(K927="-","-",K927),K927-L927)</f>
        <v>2</v>
      </c>
      <c r="N927" s="4" t="str">
        <f>IFERROR(IF(K927&gt;0, L927/K927, 0),"-")</f>
        <v>-</v>
      </c>
      <c r="O927" s="34" t="s">
        <v>959</v>
      </c>
      <c r="P927" s="35" t="s">
        <v>959</v>
      </c>
      <c r="Q927" s="34" t="str">
        <f>IF(OR(P927="-",P927="",P927=0),IF(O927="-","-",O927),O927-P927)</f>
        <v>-</v>
      </c>
      <c r="R927" s="4" t="str">
        <f>IFERROR(IF(O927&gt;0, P927/O927, 0),"-")</f>
        <v>-</v>
      </c>
      <c r="S927" s="34" t="s">
        <v>959</v>
      </c>
      <c r="T927" s="34" t="s">
        <v>959</v>
      </c>
      <c r="U927" s="34" t="s">
        <v>959</v>
      </c>
      <c r="V927" s="35" t="s">
        <v>959</v>
      </c>
      <c r="W927" s="35" t="s">
        <v>959</v>
      </c>
    </row>
    <row r="928" spans="1:23" x14ac:dyDescent="0.2">
      <c r="A928" s="30" t="s">
        <v>309</v>
      </c>
      <c r="B928" s="30" t="s">
        <v>1566</v>
      </c>
      <c r="C928" s="34">
        <v>70</v>
      </c>
      <c r="D928" s="35">
        <v>68</v>
      </c>
      <c r="E928" s="34">
        <f>IF(OR(D928="-",D928="",D928=0),IF(C928="-","-",C928),C928-D928)</f>
        <v>2</v>
      </c>
      <c r="F928" s="4">
        <f>IFERROR(IF(C928&gt;0, D928/C928, 0),"-")</f>
        <v>0.97142857142857142</v>
      </c>
      <c r="G928" s="34">
        <v>2</v>
      </c>
      <c r="H928" s="35" t="s">
        <v>959</v>
      </c>
      <c r="I928" s="34">
        <f>IF(OR(H928="-",H928="",H928=0),IF(G928="-","-",G928),G928-H928)</f>
        <v>2</v>
      </c>
      <c r="J928" s="4" t="str">
        <f>IFERROR(IF(G928&gt;0, H928/G928, 0),"-")</f>
        <v>-</v>
      </c>
      <c r="K928" s="34" t="s">
        <v>959</v>
      </c>
      <c r="L928" s="35" t="s">
        <v>959</v>
      </c>
      <c r="M928" s="34" t="str">
        <f>IF(OR(L928="-",L928="",L928=0),IF(K928="-","-",K928),K928-L928)</f>
        <v>-</v>
      </c>
      <c r="N928" s="4" t="str">
        <f>IFERROR(IF(K928&gt;0, L928/K928, 0),"-")</f>
        <v>-</v>
      </c>
      <c r="O928" s="34" t="s">
        <v>959</v>
      </c>
      <c r="P928" s="35" t="s">
        <v>959</v>
      </c>
      <c r="Q928" s="34" t="str">
        <f>IF(OR(P928="-",P928="",P928=0),IF(O928="-","-",O928),O928-P928)</f>
        <v>-</v>
      </c>
      <c r="R928" s="4" t="str">
        <f>IFERROR(IF(O928&gt;0, P928/O928, 0),"-")</f>
        <v>-</v>
      </c>
      <c r="S928" s="34" t="s">
        <v>959</v>
      </c>
      <c r="T928" s="34" t="s">
        <v>959</v>
      </c>
      <c r="U928" s="34" t="s">
        <v>959</v>
      </c>
      <c r="V928" s="35" t="s">
        <v>959</v>
      </c>
      <c r="W928" s="35" t="s">
        <v>959</v>
      </c>
    </row>
    <row r="929" spans="1:23" x14ac:dyDescent="0.2">
      <c r="A929" s="30" t="s">
        <v>307</v>
      </c>
      <c r="B929" s="30" t="s">
        <v>1567</v>
      </c>
      <c r="C929" s="34">
        <v>136</v>
      </c>
      <c r="D929" s="35">
        <v>127</v>
      </c>
      <c r="E929" s="34">
        <f>IF(OR(D929="-",D929="",D929=0),IF(C929="-","-",C929),C929-D929)</f>
        <v>9</v>
      </c>
      <c r="F929" s="4">
        <f>IFERROR(IF(C929&gt;0, D929/C929, 0),"-")</f>
        <v>0.93382352941176472</v>
      </c>
      <c r="G929" s="34">
        <v>1</v>
      </c>
      <c r="H929" s="35" t="s">
        <v>959</v>
      </c>
      <c r="I929" s="34">
        <f>IF(OR(H929="-",H929="",H929=0),IF(G929="-","-",G929),G929-H929)</f>
        <v>1</v>
      </c>
      <c r="J929" s="4" t="str">
        <f>IFERROR(IF(G929&gt;0, H929/G929, 0),"-")</f>
        <v>-</v>
      </c>
      <c r="K929" s="34">
        <v>1</v>
      </c>
      <c r="L929" s="35" t="s">
        <v>959</v>
      </c>
      <c r="M929" s="34">
        <f>IF(OR(L929="-",L929="",L929=0),IF(K929="-","-",K929),K929-L929)</f>
        <v>1</v>
      </c>
      <c r="N929" s="4" t="str">
        <f>IFERROR(IF(K929&gt;0, L929/K929, 0),"-")</f>
        <v>-</v>
      </c>
      <c r="O929" s="34">
        <v>1</v>
      </c>
      <c r="P929" s="35" t="s">
        <v>959</v>
      </c>
      <c r="Q929" s="34">
        <f>IF(OR(P929="-",P929="",P929=0),IF(O929="-","-",O929),O929-P929)</f>
        <v>1</v>
      </c>
      <c r="R929" s="4" t="str">
        <f>IFERROR(IF(O929&gt;0, P929/O929, 0),"-")</f>
        <v>-</v>
      </c>
      <c r="S929" s="34" t="s">
        <v>959</v>
      </c>
      <c r="T929" s="34" t="s">
        <v>959</v>
      </c>
      <c r="U929" s="34" t="s">
        <v>959</v>
      </c>
      <c r="V929" s="35" t="s">
        <v>959</v>
      </c>
      <c r="W929" s="35" t="s">
        <v>959</v>
      </c>
    </row>
    <row r="930" spans="1:23" x14ac:dyDescent="0.2">
      <c r="A930" s="30" t="s">
        <v>304</v>
      </c>
      <c r="B930" s="30" t="s">
        <v>1568</v>
      </c>
      <c r="C930" s="34">
        <v>88</v>
      </c>
      <c r="D930" s="35">
        <v>84</v>
      </c>
      <c r="E930" s="34">
        <f>IF(OR(D930="-",D930="",D930=0),IF(C930="-","-",C930),C930-D930)</f>
        <v>4</v>
      </c>
      <c r="F930" s="4">
        <f>IFERROR(IF(C930&gt;0, D930/C930, 0),"-")</f>
        <v>0.95454545454545459</v>
      </c>
      <c r="G930" s="34" t="s">
        <v>959</v>
      </c>
      <c r="H930" s="35" t="s">
        <v>959</v>
      </c>
      <c r="I930" s="34" t="str">
        <f>IF(OR(H930="-",H930="",H930=0),IF(G930="-","-",G930),G930-H930)</f>
        <v>-</v>
      </c>
      <c r="J930" s="4" t="str">
        <f>IFERROR(IF(G930&gt;0, H930/G930, 0),"-")</f>
        <v>-</v>
      </c>
      <c r="K930" s="34" t="s">
        <v>959</v>
      </c>
      <c r="L930" s="35" t="s">
        <v>959</v>
      </c>
      <c r="M930" s="34" t="str">
        <f>IF(OR(L930="-",L930="",L930=0),IF(K930="-","-",K930),K930-L930)</f>
        <v>-</v>
      </c>
      <c r="N930" s="4" t="str">
        <f>IFERROR(IF(K930&gt;0, L930/K930, 0),"-")</f>
        <v>-</v>
      </c>
      <c r="O930" s="34" t="s">
        <v>959</v>
      </c>
      <c r="P930" s="35" t="s">
        <v>959</v>
      </c>
      <c r="Q930" s="34" t="str">
        <f>IF(OR(P930="-",P930="",P930=0),IF(O930="-","-",O930),O930-P930)</f>
        <v>-</v>
      </c>
      <c r="R930" s="4" t="str">
        <f>IFERROR(IF(O930&gt;0, P930/O930, 0),"-")</f>
        <v>-</v>
      </c>
      <c r="S930" s="34">
        <v>1</v>
      </c>
      <c r="T930" s="34" t="s">
        <v>959</v>
      </c>
      <c r="U930" s="34" t="s">
        <v>959</v>
      </c>
      <c r="V930" s="35" t="s">
        <v>959</v>
      </c>
      <c r="W930" s="35" t="s">
        <v>959</v>
      </c>
    </row>
    <row r="931" spans="1:23" x14ac:dyDescent="0.2">
      <c r="A931" s="29"/>
      <c r="B931" s="29" t="s">
        <v>60</v>
      </c>
      <c r="C931" s="32">
        <v>298</v>
      </c>
      <c r="D931" s="32">
        <v>289</v>
      </c>
      <c r="E931" s="32">
        <f>IF(OR(D931="-",D931="",D931=0),IF(C931="-","-",C931),C931-D931)</f>
        <v>9</v>
      </c>
      <c r="F931" s="36">
        <f>IFERROR(IF(C931&gt;0, D931/C931, 0),"-")</f>
        <v>0.96979865771812079</v>
      </c>
      <c r="G931" s="32" t="s">
        <v>959</v>
      </c>
      <c r="H931" s="32" t="s">
        <v>959</v>
      </c>
      <c r="I931" s="32" t="str">
        <f>IF(OR(H931="-",H931="",H931=0),IF(G931="-","-",G931),G931-H931)</f>
        <v>-</v>
      </c>
      <c r="J931" s="36" t="str">
        <f>IFERROR(IF(G931&gt;0, H931/G931, 0),"-")</f>
        <v>-</v>
      </c>
      <c r="K931" s="32" t="s">
        <v>959</v>
      </c>
      <c r="L931" s="32" t="s">
        <v>959</v>
      </c>
      <c r="M931" s="32" t="str">
        <f>IF(OR(L931="-",L931="",L931=0),IF(K931="-","-",K931),K931-L931)</f>
        <v>-</v>
      </c>
      <c r="N931" s="36" t="str">
        <f>IFERROR(IF(K931&gt;0, L931/K931, 0),"-")</f>
        <v>-</v>
      </c>
      <c r="O931" s="32">
        <v>1</v>
      </c>
      <c r="P931" s="32">
        <v>1</v>
      </c>
      <c r="Q931" s="32">
        <f>IF(OR(P931="-",P931="",P931=0),IF(O931="-","-",O931),O931-P931)</f>
        <v>0</v>
      </c>
      <c r="R931" s="36">
        <f>IFERROR(IF(O931&gt;0, P931/O931, 0),"-")</f>
        <v>1</v>
      </c>
      <c r="S931" s="32">
        <v>10</v>
      </c>
      <c r="T931" s="32" t="s">
        <v>959</v>
      </c>
      <c r="U931" s="32" t="s">
        <v>959</v>
      </c>
      <c r="V931" s="32" t="s">
        <v>959</v>
      </c>
      <c r="W931" s="32" t="s">
        <v>959</v>
      </c>
    </row>
    <row r="932" spans="1:23" x14ac:dyDescent="0.2">
      <c r="A932" s="30" t="s">
        <v>383</v>
      </c>
      <c r="B932" s="30" t="s">
        <v>1569</v>
      </c>
      <c r="C932" s="34">
        <v>49</v>
      </c>
      <c r="D932" s="35">
        <v>49</v>
      </c>
      <c r="E932" s="34">
        <f>IF(OR(D932="-",D932="",D932=0),IF(C932="-","-",C932),C932-D932)</f>
        <v>0</v>
      </c>
      <c r="F932" s="4">
        <f>IFERROR(IF(C932&gt;0, D932/C932, 0),"-")</f>
        <v>1</v>
      </c>
      <c r="G932" s="34" t="s">
        <v>959</v>
      </c>
      <c r="H932" s="35" t="s">
        <v>959</v>
      </c>
      <c r="I932" s="34" t="str">
        <f>IF(OR(H932="-",H932="",H932=0),IF(G932="-","-",G932),G932-H932)</f>
        <v>-</v>
      </c>
      <c r="J932" s="4" t="str">
        <f>IFERROR(IF(G932&gt;0, H932/G932, 0),"-")</f>
        <v>-</v>
      </c>
      <c r="K932" s="34" t="s">
        <v>959</v>
      </c>
      <c r="L932" s="35" t="s">
        <v>959</v>
      </c>
      <c r="M932" s="34" t="str">
        <f>IF(OR(L932="-",L932="",L932=0),IF(K932="-","-",K932),K932-L932)</f>
        <v>-</v>
      </c>
      <c r="N932" s="4" t="str">
        <f>IFERROR(IF(K932&gt;0, L932/K932, 0),"-")</f>
        <v>-</v>
      </c>
      <c r="O932" s="34" t="s">
        <v>959</v>
      </c>
      <c r="P932" s="35" t="s">
        <v>959</v>
      </c>
      <c r="Q932" s="34" t="str">
        <f>IF(OR(P932="-",P932="",P932=0),IF(O932="-","-",O932),O932-P932)</f>
        <v>-</v>
      </c>
      <c r="R932" s="4" t="str">
        <f>IFERROR(IF(O932&gt;0, P932/O932, 0),"-")</f>
        <v>-</v>
      </c>
      <c r="S932" s="34">
        <v>9</v>
      </c>
      <c r="T932" s="34" t="s">
        <v>959</v>
      </c>
      <c r="U932" s="34" t="s">
        <v>959</v>
      </c>
      <c r="V932" s="35" t="s">
        <v>959</v>
      </c>
      <c r="W932" s="35" t="s">
        <v>959</v>
      </c>
    </row>
    <row r="933" spans="1:23" x14ac:dyDescent="0.2">
      <c r="A933" s="30" t="s">
        <v>382</v>
      </c>
      <c r="B933" s="30" t="s">
        <v>1570</v>
      </c>
      <c r="C933" s="34">
        <v>57</v>
      </c>
      <c r="D933" s="35">
        <v>55</v>
      </c>
      <c r="E933" s="34">
        <f>IF(OR(D933="-",D933="",D933=0),IF(C933="-","-",C933),C933-D933)</f>
        <v>2</v>
      </c>
      <c r="F933" s="4">
        <f>IFERROR(IF(C933&gt;0, D933/C933, 0),"-")</f>
        <v>0.96491228070175439</v>
      </c>
      <c r="G933" s="34" t="s">
        <v>959</v>
      </c>
      <c r="H933" s="35" t="s">
        <v>959</v>
      </c>
      <c r="I933" s="34" t="str">
        <f>IF(OR(H933="-",H933="",H933=0),IF(G933="-","-",G933),G933-H933)</f>
        <v>-</v>
      </c>
      <c r="J933" s="4" t="str">
        <f>IFERROR(IF(G933&gt;0, H933/G933, 0),"-")</f>
        <v>-</v>
      </c>
      <c r="K933" s="34" t="s">
        <v>959</v>
      </c>
      <c r="L933" s="35" t="s">
        <v>959</v>
      </c>
      <c r="M933" s="34" t="str">
        <f>IF(OR(L933="-",L933="",L933=0),IF(K933="-","-",K933),K933-L933)</f>
        <v>-</v>
      </c>
      <c r="N933" s="4" t="str">
        <f>IFERROR(IF(K933&gt;0, L933/K933, 0),"-")</f>
        <v>-</v>
      </c>
      <c r="O933" s="34" t="s">
        <v>959</v>
      </c>
      <c r="P933" s="35" t="s">
        <v>959</v>
      </c>
      <c r="Q933" s="34" t="str">
        <f>IF(OR(P933="-",P933="",P933=0),IF(O933="-","-",O933),O933-P933)</f>
        <v>-</v>
      </c>
      <c r="R933" s="4" t="str">
        <f>IFERROR(IF(O933&gt;0, P933/O933, 0),"-")</f>
        <v>-</v>
      </c>
      <c r="S933" s="34" t="s">
        <v>959</v>
      </c>
      <c r="T933" s="34" t="s">
        <v>959</v>
      </c>
      <c r="U933" s="34" t="s">
        <v>959</v>
      </c>
      <c r="V933" s="35" t="s">
        <v>959</v>
      </c>
      <c r="W933" s="35" t="s">
        <v>959</v>
      </c>
    </row>
    <row r="934" spans="1:23" x14ac:dyDescent="0.2">
      <c r="A934" s="30" t="s">
        <v>386</v>
      </c>
      <c r="B934" s="30" t="s">
        <v>1571</v>
      </c>
      <c r="C934" s="34">
        <v>52</v>
      </c>
      <c r="D934" s="35">
        <v>50</v>
      </c>
      <c r="E934" s="34">
        <f>IF(OR(D934="-",D934="",D934=0),IF(C934="-","-",C934),C934-D934)</f>
        <v>2</v>
      </c>
      <c r="F934" s="4">
        <f>IFERROR(IF(C934&gt;0, D934/C934, 0),"-")</f>
        <v>0.96153846153846156</v>
      </c>
      <c r="G934" s="34" t="s">
        <v>959</v>
      </c>
      <c r="H934" s="35" t="s">
        <v>959</v>
      </c>
      <c r="I934" s="34" t="str">
        <f>IF(OR(H934="-",H934="",H934=0),IF(G934="-","-",G934),G934-H934)</f>
        <v>-</v>
      </c>
      <c r="J934" s="4" t="str">
        <f>IFERROR(IF(G934&gt;0, H934/G934, 0),"-")</f>
        <v>-</v>
      </c>
      <c r="K934" s="34" t="s">
        <v>959</v>
      </c>
      <c r="L934" s="35" t="s">
        <v>959</v>
      </c>
      <c r="M934" s="34" t="str">
        <f>IF(OR(L934="-",L934="",L934=0),IF(K934="-","-",K934),K934-L934)</f>
        <v>-</v>
      </c>
      <c r="N934" s="4" t="str">
        <f>IFERROR(IF(K934&gt;0, L934/K934, 0),"-")</f>
        <v>-</v>
      </c>
      <c r="O934" s="34" t="s">
        <v>959</v>
      </c>
      <c r="P934" s="35" t="s">
        <v>959</v>
      </c>
      <c r="Q934" s="34" t="str">
        <f>IF(OR(P934="-",P934="",P934=0),IF(O934="-","-",O934),O934-P934)</f>
        <v>-</v>
      </c>
      <c r="R934" s="4" t="str">
        <f>IFERROR(IF(O934&gt;0, P934/O934, 0),"-")</f>
        <v>-</v>
      </c>
      <c r="S934" s="34" t="s">
        <v>959</v>
      </c>
      <c r="T934" s="34" t="s">
        <v>959</v>
      </c>
      <c r="U934" s="34" t="s">
        <v>959</v>
      </c>
      <c r="V934" s="35" t="s">
        <v>959</v>
      </c>
      <c r="W934" s="35" t="s">
        <v>959</v>
      </c>
    </row>
    <row r="935" spans="1:23" x14ac:dyDescent="0.2">
      <c r="A935" s="30" t="s">
        <v>384</v>
      </c>
      <c r="B935" s="30" t="s">
        <v>1572</v>
      </c>
      <c r="C935" s="34">
        <v>82</v>
      </c>
      <c r="D935" s="35">
        <v>80</v>
      </c>
      <c r="E935" s="34">
        <f>IF(OR(D935="-",D935="",D935=0),IF(C935="-","-",C935),C935-D935)</f>
        <v>2</v>
      </c>
      <c r="F935" s="4">
        <f>IFERROR(IF(C935&gt;0, D935/C935, 0),"-")</f>
        <v>0.97560975609756095</v>
      </c>
      <c r="G935" s="34" t="s">
        <v>959</v>
      </c>
      <c r="H935" s="35" t="s">
        <v>959</v>
      </c>
      <c r="I935" s="34" t="str">
        <f>IF(OR(H935="-",H935="",H935=0),IF(G935="-","-",G935),G935-H935)</f>
        <v>-</v>
      </c>
      <c r="J935" s="4" t="str">
        <f>IFERROR(IF(G935&gt;0, H935/G935, 0),"-")</f>
        <v>-</v>
      </c>
      <c r="K935" s="34" t="s">
        <v>959</v>
      </c>
      <c r="L935" s="35" t="s">
        <v>959</v>
      </c>
      <c r="M935" s="34" t="str">
        <f>IF(OR(L935="-",L935="",L935=0),IF(K935="-","-",K935),K935-L935)</f>
        <v>-</v>
      </c>
      <c r="N935" s="4" t="str">
        <f>IFERROR(IF(K935&gt;0, L935/K935, 0),"-")</f>
        <v>-</v>
      </c>
      <c r="O935" s="34">
        <v>1</v>
      </c>
      <c r="P935" s="35">
        <v>1</v>
      </c>
      <c r="Q935" s="34">
        <f>IF(OR(P935="-",P935="",P935=0),IF(O935="-","-",O935),O935-P935)</f>
        <v>0</v>
      </c>
      <c r="R935" s="4">
        <f>IFERROR(IF(O935&gt;0, P935/O935, 0),"-")</f>
        <v>1</v>
      </c>
      <c r="S935" s="34" t="s">
        <v>959</v>
      </c>
      <c r="T935" s="34" t="s">
        <v>959</v>
      </c>
      <c r="U935" s="34" t="s">
        <v>959</v>
      </c>
      <c r="V935" s="35" t="s">
        <v>959</v>
      </c>
      <c r="W935" s="35" t="s">
        <v>959</v>
      </c>
    </row>
    <row r="936" spans="1:23" x14ac:dyDescent="0.2">
      <c r="A936" s="30" t="s">
        <v>385</v>
      </c>
      <c r="B936" s="30" t="s">
        <v>1444</v>
      </c>
      <c r="C936" s="34">
        <v>58</v>
      </c>
      <c r="D936" s="35">
        <v>55</v>
      </c>
      <c r="E936" s="34">
        <f>IF(OR(D936="-",D936="",D936=0),IF(C936="-","-",C936),C936-D936)</f>
        <v>3</v>
      </c>
      <c r="F936" s="4">
        <f>IFERROR(IF(C936&gt;0, D936/C936, 0),"-")</f>
        <v>0.94827586206896552</v>
      </c>
      <c r="G936" s="34" t="s">
        <v>959</v>
      </c>
      <c r="H936" s="35" t="s">
        <v>959</v>
      </c>
      <c r="I936" s="34" t="str">
        <f>IF(OR(H936="-",H936="",H936=0),IF(G936="-","-",G936),G936-H936)</f>
        <v>-</v>
      </c>
      <c r="J936" s="4" t="str">
        <f>IFERROR(IF(G936&gt;0, H936/G936, 0),"-")</f>
        <v>-</v>
      </c>
      <c r="K936" s="34" t="s">
        <v>959</v>
      </c>
      <c r="L936" s="35" t="s">
        <v>959</v>
      </c>
      <c r="M936" s="34" t="str">
        <f>IF(OR(L936="-",L936="",L936=0),IF(K936="-","-",K936),K936-L936)</f>
        <v>-</v>
      </c>
      <c r="N936" s="4" t="str">
        <f>IFERROR(IF(K936&gt;0, L936/K936, 0),"-")</f>
        <v>-</v>
      </c>
      <c r="O936" s="34" t="s">
        <v>959</v>
      </c>
      <c r="P936" s="35" t="s">
        <v>959</v>
      </c>
      <c r="Q936" s="34" t="str">
        <f>IF(OR(P936="-",P936="",P936=0),IF(O936="-","-",O936),O936-P936)</f>
        <v>-</v>
      </c>
      <c r="R936" s="4" t="str">
        <f>IFERROR(IF(O936&gt;0, P936/O936, 0),"-")</f>
        <v>-</v>
      </c>
      <c r="S936" s="34">
        <v>1</v>
      </c>
      <c r="T936" s="34" t="s">
        <v>959</v>
      </c>
      <c r="U936" s="34" t="s">
        <v>959</v>
      </c>
      <c r="V936" s="35" t="s">
        <v>959</v>
      </c>
      <c r="W936" s="35" t="s">
        <v>959</v>
      </c>
    </row>
    <row r="937" spans="1:23" x14ac:dyDescent="0.2">
      <c r="A937" s="29"/>
      <c r="B937" s="29" t="s">
        <v>126</v>
      </c>
      <c r="C937" s="32">
        <v>267</v>
      </c>
      <c r="D937" s="32">
        <v>266</v>
      </c>
      <c r="E937" s="32">
        <f>IF(OR(D937="-",D937="",D937=0),IF(C937="-","-",C937),C937-D937)</f>
        <v>1</v>
      </c>
      <c r="F937" s="36">
        <f>IFERROR(IF(C937&gt;0, D937/C937, 0),"-")</f>
        <v>0.99625468164794007</v>
      </c>
      <c r="G937" s="32" t="s">
        <v>959</v>
      </c>
      <c r="H937" s="32" t="s">
        <v>959</v>
      </c>
      <c r="I937" s="32" t="str">
        <f>IF(OR(H937="-",H937="",H937=0),IF(G937="-","-",G937),G937-H937)</f>
        <v>-</v>
      </c>
      <c r="J937" s="36" t="str">
        <f>IFERROR(IF(G937&gt;0, H937/G937, 0),"-")</f>
        <v>-</v>
      </c>
      <c r="K937" s="32" t="s">
        <v>959</v>
      </c>
      <c r="L937" s="32" t="s">
        <v>959</v>
      </c>
      <c r="M937" s="32" t="str">
        <f>IF(OR(L937="-",L937="",L937=0),IF(K937="-","-",K937),K937-L937)</f>
        <v>-</v>
      </c>
      <c r="N937" s="36" t="str">
        <f>IFERROR(IF(K937&gt;0, L937/K937, 0),"-")</f>
        <v>-</v>
      </c>
      <c r="O937" s="32">
        <v>1</v>
      </c>
      <c r="P937" s="32" t="s">
        <v>959</v>
      </c>
      <c r="Q937" s="32">
        <f>IF(OR(P937="-",P937="",P937=0),IF(O937="-","-",O937),O937-P937)</f>
        <v>1</v>
      </c>
      <c r="R937" s="36" t="str">
        <f>IFERROR(IF(O937&gt;0, P937/O937, 0),"-")</f>
        <v>-</v>
      </c>
      <c r="S937" s="32" t="s">
        <v>959</v>
      </c>
      <c r="T937" s="32" t="s">
        <v>959</v>
      </c>
      <c r="U937" s="32" t="s">
        <v>959</v>
      </c>
      <c r="V937" s="32" t="s">
        <v>959</v>
      </c>
      <c r="W937" s="32" t="s">
        <v>959</v>
      </c>
    </row>
    <row r="938" spans="1:23" x14ac:dyDescent="0.2">
      <c r="A938" s="30" t="s">
        <v>883</v>
      </c>
      <c r="B938" s="30" t="s">
        <v>1573</v>
      </c>
      <c r="C938" s="34">
        <v>182</v>
      </c>
      <c r="D938" s="35">
        <v>181</v>
      </c>
      <c r="E938" s="34">
        <f>IF(OR(D938="-",D938="",D938=0),IF(C938="-","-",C938),C938-D938)</f>
        <v>1</v>
      </c>
      <c r="F938" s="4">
        <f>IFERROR(IF(C938&gt;0, D938/C938, 0),"-")</f>
        <v>0.99450549450549453</v>
      </c>
      <c r="G938" s="34" t="s">
        <v>959</v>
      </c>
      <c r="H938" s="35" t="s">
        <v>959</v>
      </c>
      <c r="I938" s="34" t="str">
        <f>IF(OR(H938="-",H938="",H938=0),IF(G938="-","-",G938),G938-H938)</f>
        <v>-</v>
      </c>
      <c r="J938" s="4" t="str">
        <f>IFERROR(IF(G938&gt;0, H938/G938, 0),"-")</f>
        <v>-</v>
      </c>
      <c r="K938" s="34" t="s">
        <v>959</v>
      </c>
      <c r="L938" s="35" t="s">
        <v>959</v>
      </c>
      <c r="M938" s="34" t="str">
        <f>IF(OR(L938="-",L938="",L938=0),IF(K938="-","-",K938),K938-L938)</f>
        <v>-</v>
      </c>
      <c r="N938" s="4" t="str">
        <f>IFERROR(IF(K938&gt;0, L938/K938, 0),"-")</f>
        <v>-</v>
      </c>
      <c r="O938" s="34" t="s">
        <v>959</v>
      </c>
      <c r="P938" s="35" t="s">
        <v>959</v>
      </c>
      <c r="Q938" s="34" t="str">
        <f>IF(OR(P938="-",P938="",P938=0),IF(O938="-","-",O938),O938-P938)</f>
        <v>-</v>
      </c>
      <c r="R938" s="4" t="str">
        <f>IFERROR(IF(O938&gt;0, P938/O938, 0),"-")</f>
        <v>-</v>
      </c>
      <c r="S938" s="34" t="s">
        <v>959</v>
      </c>
      <c r="T938" s="34" t="s">
        <v>959</v>
      </c>
      <c r="U938" s="34" t="s">
        <v>959</v>
      </c>
      <c r="V938" s="35" t="s">
        <v>959</v>
      </c>
      <c r="W938" s="35" t="s">
        <v>959</v>
      </c>
    </row>
    <row r="939" spans="1:23" x14ac:dyDescent="0.2">
      <c r="A939" s="30" t="s">
        <v>884</v>
      </c>
      <c r="B939" s="30" t="s">
        <v>1574</v>
      </c>
      <c r="C939" s="34">
        <v>85</v>
      </c>
      <c r="D939" s="35">
        <v>85</v>
      </c>
      <c r="E939" s="34">
        <f>IF(OR(D939="-",D939="",D939=0),IF(C939="-","-",C939),C939-D939)</f>
        <v>0</v>
      </c>
      <c r="F939" s="4">
        <f>IFERROR(IF(C939&gt;0, D939/C939, 0),"-")</f>
        <v>1</v>
      </c>
      <c r="G939" s="34" t="s">
        <v>959</v>
      </c>
      <c r="H939" s="35" t="s">
        <v>959</v>
      </c>
      <c r="I939" s="34" t="str">
        <f>IF(OR(H939="-",H939="",H939=0),IF(G939="-","-",G939),G939-H939)</f>
        <v>-</v>
      </c>
      <c r="J939" s="4" t="str">
        <f>IFERROR(IF(G939&gt;0, H939/G939, 0),"-")</f>
        <v>-</v>
      </c>
      <c r="K939" s="34" t="s">
        <v>959</v>
      </c>
      <c r="L939" s="35" t="s">
        <v>959</v>
      </c>
      <c r="M939" s="34" t="str">
        <f>IF(OR(L939="-",L939="",L939=0),IF(K939="-","-",K939),K939-L939)</f>
        <v>-</v>
      </c>
      <c r="N939" s="4" t="str">
        <f>IFERROR(IF(K939&gt;0, L939/K939, 0),"-")</f>
        <v>-</v>
      </c>
      <c r="O939" s="34">
        <v>1</v>
      </c>
      <c r="P939" s="35" t="s">
        <v>959</v>
      </c>
      <c r="Q939" s="34">
        <f>IF(OR(P939="-",P939="",P939=0),IF(O939="-","-",O939),O939-P939)</f>
        <v>1</v>
      </c>
      <c r="R939" s="4" t="str">
        <f>IFERROR(IF(O939&gt;0, P939/O939, 0),"-")</f>
        <v>-</v>
      </c>
      <c r="S939" s="34" t="s">
        <v>959</v>
      </c>
      <c r="T939" s="34" t="s">
        <v>959</v>
      </c>
      <c r="U939" s="34" t="s">
        <v>959</v>
      </c>
      <c r="V939" s="35" t="s">
        <v>959</v>
      </c>
      <c r="W939" s="35" t="s">
        <v>959</v>
      </c>
    </row>
    <row r="940" spans="1:23" x14ac:dyDescent="0.2">
      <c r="A940" s="29"/>
      <c r="B940" s="29" t="s">
        <v>93</v>
      </c>
      <c r="C940" s="32">
        <v>421</v>
      </c>
      <c r="D940" s="32">
        <v>413</v>
      </c>
      <c r="E940" s="32">
        <f>IF(OR(D940="-",D940="",D940=0),IF(C940="-","-",C940),C940-D940)</f>
        <v>8</v>
      </c>
      <c r="F940" s="36">
        <f>IFERROR(IF(C940&gt;0, D940/C940, 0),"-")</f>
        <v>0.98099762470308793</v>
      </c>
      <c r="G940" s="32">
        <v>3</v>
      </c>
      <c r="H940" s="32">
        <v>1</v>
      </c>
      <c r="I940" s="32">
        <f>IF(OR(H940="-",H940="",H940=0),IF(G940="-","-",G940),G940-H940)</f>
        <v>2</v>
      </c>
      <c r="J940" s="36">
        <f>IFERROR(IF(G940&gt;0, H940/G940, 0),"-")</f>
        <v>0.33333333333333331</v>
      </c>
      <c r="K940" s="32">
        <v>2</v>
      </c>
      <c r="L940" s="32" t="s">
        <v>959</v>
      </c>
      <c r="M940" s="32">
        <f>IF(OR(L940="-",L940="",L940=0),IF(K940="-","-",K940),K940-L940)</f>
        <v>2</v>
      </c>
      <c r="N940" s="36" t="str">
        <f>IFERROR(IF(K940&gt;0, L940/K940, 0),"-")</f>
        <v>-</v>
      </c>
      <c r="O940" s="32">
        <v>1</v>
      </c>
      <c r="P940" s="32" t="s">
        <v>959</v>
      </c>
      <c r="Q940" s="32">
        <f>IF(OR(P940="-",P940="",P940=0),IF(O940="-","-",O940),O940-P940)</f>
        <v>1</v>
      </c>
      <c r="R940" s="36" t="str">
        <f>IFERROR(IF(O940&gt;0, P940/O940, 0),"-")</f>
        <v>-</v>
      </c>
      <c r="S940" s="32">
        <v>1</v>
      </c>
      <c r="T940" s="32" t="s">
        <v>959</v>
      </c>
      <c r="U940" s="32" t="s">
        <v>959</v>
      </c>
      <c r="V940" s="32" t="s">
        <v>959</v>
      </c>
      <c r="W940" s="32" t="s">
        <v>959</v>
      </c>
    </row>
    <row r="941" spans="1:23" x14ac:dyDescent="0.2">
      <c r="A941" s="30" t="s">
        <v>646</v>
      </c>
      <c r="B941" s="30" t="s">
        <v>1575</v>
      </c>
      <c r="C941" s="34">
        <v>40</v>
      </c>
      <c r="D941" s="35">
        <v>37</v>
      </c>
      <c r="E941" s="34">
        <f>IF(OR(D941="-",D941="",D941=0),IF(C941="-","-",C941),C941-D941)</f>
        <v>3</v>
      </c>
      <c r="F941" s="4">
        <f>IFERROR(IF(C941&gt;0, D941/C941, 0),"-")</f>
        <v>0.92500000000000004</v>
      </c>
      <c r="G941" s="34" t="s">
        <v>959</v>
      </c>
      <c r="H941" s="35" t="s">
        <v>959</v>
      </c>
      <c r="I941" s="34" t="str">
        <f>IF(OR(H941="-",H941="",H941=0),IF(G941="-","-",G941),G941-H941)</f>
        <v>-</v>
      </c>
      <c r="J941" s="4" t="str">
        <f>IFERROR(IF(G941&gt;0, H941/G941, 0),"-")</f>
        <v>-</v>
      </c>
      <c r="K941" s="34" t="s">
        <v>959</v>
      </c>
      <c r="L941" s="35" t="s">
        <v>959</v>
      </c>
      <c r="M941" s="34" t="str">
        <f>IF(OR(L941="-",L941="",L941=0),IF(K941="-","-",K941),K941-L941)</f>
        <v>-</v>
      </c>
      <c r="N941" s="4" t="str">
        <f>IFERROR(IF(K941&gt;0, L941/K941, 0),"-")</f>
        <v>-</v>
      </c>
      <c r="O941" s="34">
        <v>1</v>
      </c>
      <c r="P941" s="35" t="s">
        <v>959</v>
      </c>
      <c r="Q941" s="34">
        <f>IF(OR(P941="-",P941="",P941=0),IF(O941="-","-",O941),O941-P941)</f>
        <v>1</v>
      </c>
      <c r="R941" s="4" t="str">
        <f>IFERROR(IF(O941&gt;0, P941/O941, 0),"-")</f>
        <v>-</v>
      </c>
      <c r="S941" s="34">
        <v>1</v>
      </c>
      <c r="T941" s="34" t="s">
        <v>959</v>
      </c>
      <c r="U941" s="34" t="s">
        <v>959</v>
      </c>
      <c r="V941" s="35" t="s">
        <v>959</v>
      </c>
      <c r="W941" s="35" t="s">
        <v>959</v>
      </c>
    </row>
    <row r="942" spans="1:23" x14ac:dyDescent="0.2">
      <c r="A942" s="30" t="s">
        <v>634</v>
      </c>
      <c r="B942" s="30" t="s">
        <v>1576</v>
      </c>
      <c r="C942" s="34">
        <v>47</v>
      </c>
      <c r="D942" s="35">
        <v>46</v>
      </c>
      <c r="E942" s="34">
        <f>IF(OR(D942="-",D942="",D942=0),IF(C942="-","-",C942),C942-D942)</f>
        <v>1</v>
      </c>
      <c r="F942" s="4">
        <f>IFERROR(IF(C942&gt;0, D942/C942, 0),"-")</f>
        <v>0.97872340425531912</v>
      </c>
      <c r="G942" s="34" t="s">
        <v>959</v>
      </c>
      <c r="H942" s="35" t="s">
        <v>959</v>
      </c>
      <c r="I942" s="34" t="str">
        <f>IF(OR(H942="-",H942="",H942=0),IF(G942="-","-",G942),G942-H942)</f>
        <v>-</v>
      </c>
      <c r="J942" s="4" t="str">
        <f>IFERROR(IF(G942&gt;0, H942/G942, 0),"-")</f>
        <v>-</v>
      </c>
      <c r="K942" s="34" t="s">
        <v>959</v>
      </c>
      <c r="L942" s="35" t="s">
        <v>959</v>
      </c>
      <c r="M942" s="34" t="str">
        <f>IF(OR(L942="-",L942="",L942=0),IF(K942="-","-",K942),K942-L942)</f>
        <v>-</v>
      </c>
      <c r="N942" s="4" t="str">
        <f>IFERROR(IF(K942&gt;0, L942/K942, 0),"-")</f>
        <v>-</v>
      </c>
      <c r="O942" s="34" t="s">
        <v>959</v>
      </c>
      <c r="P942" s="35" t="s">
        <v>959</v>
      </c>
      <c r="Q942" s="34" t="str">
        <f>IF(OR(P942="-",P942="",P942=0),IF(O942="-","-",O942),O942-P942)</f>
        <v>-</v>
      </c>
      <c r="R942" s="4" t="str">
        <f>IFERROR(IF(O942&gt;0, P942/O942, 0),"-")</f>
        <v>-</v>
      </c>
      <c r="S942" s="34" t="s">
        <v>959</v>
      </c>
      <c r="T942" s="34" t="s">
        <v>959</v>
      </c>
      <c r="U942" s="34" t="s">
        <v>959</v>
      </c>
      <c r="V942" s="35" t="s">
        <v>959</v>
      </c>
      <c r="W942" s="35" t="s">
        <v>959</v>
      </c>
    </row>
    <row r="943" spans="1:23" x14ac:dyDescent="0.2">
      <c r="A943" s="30" t="s">
        <v>633</v>
      </c>
      <c r="B943" s="30" t="s">
        <v>1577</v>
      </c>
      <c r="C943" s="34">
        <v>53</v>
      </c>
      <c r="D943" s="35">
        <v>53</v>
      </c>
      <c r="E943" s="34">
        <f>IF(OR(D943="-",D943="",D943=0),IF(C943="-","-",C943),C943-D943)</f>
        <v>0</v>
      </c>
      <c r="F943" s="4">
        <f>IFERROR(IF(C943&gt;0, D943/C943, 0),"-")</f>
        <v>1</v>
      </c>
      <c r="G943" s="34" t="s">
        <v>959</v>
      </c>
      <c r="H943" s="35" t="s">
        <v>959</v>
      </c>
      <c r="I943" s="34" t="str">
        <f>IF(OR(H943="-",H943="",H943=0),IF(G943="-","-",G943),G943-H943)</f>
        <v>-</v>
      </c>
      <c r="J943" s="4" t="str">
        <f>IFERROR(IF(G943&gt;0, H943/G943, 0),"-")</f>
        <v>-</v>
      </c>
      <c r="K943" s="34" t="s">
        <v>959</v>
      </c>
      <c r="L943" s="35" t="s">
        <v>959</v>
      </c>
      <c r="M943" s="34" t="str">
        <f>IF(OR(L943="-",L943="",L943=0),IF(K943="-","-",K943),K943-L943)</f>
        <v>-</v>
      </c>
      <c r="N943" s="4" t="str">
        <f>IFERROR(IF(K943&gt;0, L943/K943, 0),"-")</f>
        <v>-</v>
      </c>
      <c r="O943" s="34" t="s">
        <v>959</v>
      </c>
      <c r="P943" s="35" t="s">
        <v>959</v>
      </c>
      <c r="Q943" s="34" t="str">
        <f>IF(OR(P943="-",P943="",P943=0),IF(O943="-","-",O943),O943-P943)</f>
        <v>-</v>
      </c>
      <c r="R943" s="4" t="str">
        <f>IFERROR(IF(O943&gt;0, P943/O943, 0),"-")</f>
        <v>-</v>
      </c>
      <c r="S943" s="34" t="s">
        <v>959</v>
      </c>
      <c r="T943" s="34" t="s">
        <v>959</v>
      </c>
      <c r="U943" s="34" t="s">
        <v>959</v>
      </c>
      <c r="V943" s="35" t="s">
        <v>959</v>
      </c>
      <c r="W943" s="35" t="s">
        <v>959</v>
      </c>
    </row>
    <row r="944" spans="1:23" x14ac:dyDescent="0.2">
      <c r="A944" s="30" t="s">
        <v>632</v>
      </c>
      <c r="B944" s="30" t="s">
        <v>1578</v>
      </c>
      <c r="C944" s="34">
        <v>91</v>
      </c>
      <c r="D944" s="35">
        <v>91</v>
      </c>
      <c r="E944" s="34">
        <f>IF(OR(D944="-",D944="",D944=0),IF(C944="-","-",C944),C944-D944)</f>
        <v>0</v>
      </c>
      <c r="F944" s="4">
        <f>IFERROR(IF(C944&gt;0, D944/C944, 0),"-")</f>
        <v>1</v>
      </c>
      <c r="G944" s="34" t="s">
        <v>959</v>
      </c>
      <c r="H944" s="35" t="s">
        <v>959</v>
      </c>
      <c r="I944" s="34" t="str">
        <f>IF(OR(H944="-",H944="",H944=0),IF(G944="-","-",G944),G944-H944)</f>
        <v>-</v>
      </c>
      <c r="J944" s="4" t="str">
        <f>IFERROR(IF(G944&gt;0, H944/G944, 0),"-")</f>
        <v>-</v>
      </c>
      <c r="K944" s="34">
        <v>1</v>
      </c>
      <c r="L944" s="35" t="s">
        <v>959</v>
      </c>
      <c r="M944" s="34">
        <f>IF(OR(L944="-",L944="",L944=0),IF(K944="-","-",K944),K944-L944)</f>
        <v>1</v>
      </c>
      <c r="N944" s="4" t="str">
        <f>IFERROR(IF(K944&gt;0, L944/K944, 0),"-")</f>
        <v>-</v>
      </c>
      <c r="O944" s="34" t="s">
        <v>959</v>
      </c>
      <c r="P944" s="35" t="s">
        <v>959</v>
      </c>
      <c r="Q944" s="34" t="str">
        <f>IF(OR(P944="-",P944="",P944=0),IF(O944="-","-",O944),O944-P944)</f>
        <v>-</v>
      </c>
      <c r="R944" s="4" t="str">
        <f>IFERROR(IF(O944&gt;0, P944/O944, 0),"-")</f>
        <v>-</v>
      </c>
      <c r="S944" s="34" t="s">
        <v>959</v>
      </c>
      <c r="T944" s="34" t="s">
        <v>959</v>
      </c>
      <c r="U944" s="34" t="s">
        <v>959</v>
      </c>
      <c r="V944" s="35" t="s">
        <v>959</v>
      </c>
      <c r="W944" s="35" t="s">
        <v>959</v>
      </c>
    </row>
    <row r="945" spans="1:23" x14ac:dyDescent="0.2">
      <c r="A945" s="30" t="s">
        <v>635</v>
      </c>
      <c r="B945" s="30" t="s">
        <v>1579</v>
      </c>
      <c r="C945" s="34">
        <v>36</v>
      </c>
      <c r="D945" s="35">
        <v>34</v>
      </c>
      <c r="E945" s="34">
        <f>IF(OR(D945="-",D945="",D945=0),IF(C945="-","-",C945),C945-D945)</f>
        <v>2</v>
      </c>
      <c r="F945" s="4">
        <f>IFERROR(IF(C945&gt;0, D945/C945, 0),"-")</f>
        <v>0.94444444444444442</v>
      </c>
      <c r="G945" s="34" t="s">
        <v>959</v>
      </c>
      <c r="H945" s="35" t="s">
        <v>959</v>
      </c>
      <c r="I945" s="34" t="str">
        <f>IF(OR(H945="-",H945="",H945=0),IF(G945="-","-",G945),G945-H945)</f>
        <v>-</v>
      </c>
      <c r="J945" s="4" t="str">
        <f>IFERROR(IF(G945&gt;0, H945/G945, 0),"-")</f>
        <v>-</v>
      </c>
      <c r="K945" s="34">
        <v>1</v>
      </c>
      <c r="L945" s="35" t="s">
        <v>959</v>
      </c>
      <c r="M945" s="34">
        <f>IF(OR(L945="-",L945="",L945=0),IF(K945="-","-",K945),K945-L945)</f>
        <v>1</v>
      </c>
      <c r="N945" s="4" t="str">
        <f>IFERROR(IF(K945&gt;0, L945/K945, 0),"-")</f>
        <v>-</v>
      </c>
      <c r="O945" s="34" t="s">
        <v>959</v>
      </c>
      <c r="P945" s="35" t="s">
        <v>959</v>
      </c>
      <c r="Q945" s="34" t="str">
        <f>IF(OR(P945="-",P945="",P945=0),IF(O945="-","-",O945),O945-P945)</f>
        <v>-</v>
      </c>
      <c r="R945" s="4" t="str">
        <f>IFERROR(IF(O945&gt;0, P945/O945, 0),"-")</f>
        <v>-</v>
      </c>
      <c r="S945" s="34" t="s">
        <v>959</v>
      </c>
      <c r="T945" s="34" t="s">
        <v>959</v>
      </c>
      <c r="U945" s="34" t="s">
        <v>959</v>
      </c>
      <c r="V945" s="35" t="s">
        <v>959</v>
      </c>
      <c r="W945" s="35" t="s">
        <v>959</v>
      </c>
    </row>
    <row r="946" spans="1:23" x14ac:dyDescent="0.2">
      <c r="A946" s="30" t="s">
        <v>631</v>
      </c>
      <c r="B946" s="30" t="s">
        <v>1580</v>
      </c>
      <c r="C946" s="34">
        <v>51</v>
      </c>
      <c r="D946" s="35">
        <v>51</v>
      </c>
      <c r="E946" s="34">
        <f>IF(OR(D946="-",D946="",D946=0),IF(C946="-","-",C946),C946-D946)</f>
        <v>0</v>
      </c>
      <c r="F946" s="4">
        <f>IFERROR(IF(C946&gt;0, D946/C946, 0),"-")</f>
        <v>1</v>
      </c>
      <c r="G946" s="34">
        <v>1</v>
      </c>
      <c r="H946" s="35" t="s">
        <v>959</v>
      </c>
      <c r="I946" s="34">
        <f>IF(OR(H946="-",H946="",H946=0),IF(G946="-","-",G946),G946-H946)</f>
        <v>1</v>
      </c>
      <c r="J946" s="4" t="str">
        <f>IFERROR(IF(G946&gt;0, H946/G946, 0),"-")</f>
        <v>-</v>
      </c>
      <c r="K946" s="34" t="s">
        <v>959</v>
      </c>
      <c r="L946" s="35" t="s">
        <v>959</v>
      </c>
      <c r="M946" s="34" t="str">
        <f>IF(OR(L946="-",L946="",L946=0),IF(K946="-","-",K946),K946-L946)</f>
        <v>-</v>
      </c>
      <c r="N946" s="4" t="str">
        <f>IFERROR(IF(K946&gt;0, L946/K946, 0),"-")</f>
        <v>-</v>
      </c>
      <c r="O946" s="34" t="s">
        <v>959</v>
      </c>
      <c r="P946" s="35" t="s">
        <v>959</v>
      </c>
      <c r="Q946" s="34" t="str">
        <f>IF(OR(P946="-",P946="",P946=0),IF(O946="-","-",O946),O946-P946)</f>
        <v>-</v>
      </c>
      <c r="R946" s="4" t="str">
        <f>IFERROR(IF(O946&gt;0, P946/O946, 0),"-")</f>
        <v>-</v>
      </c>
      <c r="S946" s="34" t="s">
        <v>959</v>
      </c>
      <c r="T946" s="34" t="s">
        <v>959</v>
      </c>
      <c r="U946" s="34" t="s">
        <v>959</v>
      </c>
      <c r="V946" s="35" t="s">
        <v>959</v>
      </c>
      <c r="W946" s="35" t="s">
        <v>959</v>
      </c>
    </row>
    <row r="947" spans="1:23" x14ac:dyDescent="0.2">
      <c r="A947" s="30" t="s">
        <v>637</v>
      </c>
      <c r="B947" s="30" t="s">
        <v>1581</v>
      </c>
      <c r="C947" s="34">
        <v>40</v>
      </c>
      <c r="D947" s="35">
        <v>40</v>
      </c>
      <c r="E947" s="34">
        <f>IF(OR(D947="-",D947="",D947=0),IF(C947="-","-",C947),C947-D947)</f>
        <v>0</v>
      </c>
      <c r="F947" s="4">
        <f>IFERROR(IF(C947&gt;0, D947/C947, 0),"-")</f>
        <v>1</v>
      </c>
      <c r="G947" s="34">
        <v>1</v>
      </c>
      <c r="H947" s="35">
        <v>1</v>
      </c>
      <c r="I947" s="34">
        <f>IF(OR(H947="-",H947="",H947=0),IF(G947="-","-",G947),G947-H947)</f>
        <v>0</v>
      </c>
      <c r="J947" s="4">
        <f>IFERROR(IF(G947&gt;0, H947/G947, 0),"-")</f>
        <v>1</v>
      </c>
      <c r="K947" s="34" t="s">
        <v>959</v>
      </c>
      <c r="L947" s="35" t="s">
        <v>959</v>
      </c>
      <c r="M947" s="34" t="str">
        <f>IF(OR(L947="-",L947="",L947=0),IF(K947="-","-",K947),K947-L947)</f>
        <v>-</v>
      </c>
      <c r="N947" s="4" t="str">
        <f>IFERROR(IF(K947&gt;0, L947/K947, 0),"-")</f>
        <v>-</v>
      </c>
      <c r="O947" s="34" t="s">
        <v>959</v>
      </c>
      <c r="P947" s="35" t="s">
        <v>959</v>
      </c>
      <c r="Q947" s="34" t="str">
        <f>IF(OR(P947="-",P947="",P947=0),IF(O947="-","-",O947),O947-P947)</f>
        <v>-</v>
      </c>
      <c r="R947" s="4" t="str">
        <f>IFERROR(IF(O947&gt;0, P947/O947, 0),"-")</f>
        <v>-</v>
      </c>
      <c r="S947" s="34" t="s">
        <v>959</v>
      </c>
      <c r="T947" s="34" t="s">
        <v>959</v>
      </c>
      <c r="U947" s="34" t="s">
        <v>959</v>
      </c>
      <c r="V947" s="35" t="s">
        <v>959</v>
      </c>
      <c r="W947" s="35" t="s">
        <v>959</v>
      </c>
    </row>
    <row r="948" spans="1:23" x14ac:dyDescent="0.2">
      <c r="A948" s="30" t="s">
        <v>636</v>
      </c>
      <c r="B948" s="30" t="s">
        <v>1582</v>
      </c>
      <c r="C948" s="34">
        <v>63</v>
      </c>
      <c r="D948" s="35">
        <v>61</v>
      </c>
      <c r="E948" s="34">
        <f>IF(OR(D948="-",D948="",D948=0),IF(C948="-","-",C948),C948-D948)</f>
        <v>2</v>
      </c>
      <c r="F948" s="4">
        <f>IFERROR(IF(C948&gt;0, D948/C948, 0),"-")</f>
        <v>0.96825396825396826</v>
      </c>
      <c r="G948" s="34">
        <v>1</v>
      </c>
      <c r="H948" s="35" t="s">
        <v>959</v>
      </c>
      <c r="I948" s="34">
        <f>IF(OR(H948="-",H948="",H948=0),IF(G948="-","-",G948),G948-H948)</f>
        <v>1</v>
      </c>
      <c r="J948" s="4" t="str">
        <f>IFERROR(IF(G948&gt;0, H948/G948, 0),"-")</f>
        <v>-</v>
      </c>
      <c r="K948" s="34" t="s">
        <v>959</v>
      </c>
      <c r="L948" s="35" t="s">
        <v>959</v>
      </c>
      <c r="M948" s="34" t="str">
        <f>IF(OR(L948="-",L948="",L948=0),IF(K948="-","-",K948),K948-L948)</f>
        <v>-</v>
      </c>
      <c r="N948" s="4" t="str">
        <f>IFERROR(IF(K948&gt;0, L948/K948, 0),"-")</f>
        <v>-</v>
      </c>
      <c r="O948" s="34" t="s">
        <v>959</v>
      </c>
      <c r="P948" s="35" t="s">
        <v>959</v>
      </c>
      <c r="Q948" s="34" t="str">
        <f>IF(OR(P948="-",P948="",P948=0),IF(O948="-","-",O948),O948-P948)</f>
        <v>-</v>
      </c>
      <c r="R948" s="4" t="str">
        <f>IFERROR(IF(O948&gt;0, P948/O948, 0),"-")</f>
        <v>-</v>
      </c>
      <c r="S948" s="34" t="s">
        <v>959</v>
      </c>
      <c r="T948" s="34" t="s">
        <v>959</v>
      </c>
      <c r="U948" s="34" t="s">
        <v>959</v>
      </c>
      <c r="V948" s="35" t="s">
        <v>959</v>
      </c>
      <c r="W948" s="35" t="s">
        <v>959</v>
      </c>
    </row>
    <row r="949" spans="1:23" x14ac:dyDescent="0.2">
      <c r="A949" s="29"/>
      <c r="B949" s="29" t="s">
        <v>54</v>
      </c>
      <c r="C949" s="32">
        <v>332</v>
      </c>
      <c r="D949" s="32">
        <v>329</v>
      </c>
      <c r="E949" s="32">
        <f>IF(OR(D949="-",D949="",D949=0),IF(C949="-","-",C949),C949-D949)</f>
        <v>3</v>
      </c>
      <c r="F949" s="36">
        <f>IFERROR(IF(C949&gt;0, D949/C949, 0),"-")</f>
        <v>0.99096385542168675</v>
      </c>
      <c r="G949" s="32">
        <v>2</v>
      </c>
      <c r="H949" s="32">
        <v>1</v>
      </c>
      <c r="I949" s="32">
        <f>IF(OR(H949="-",H949="",H949=0),IF(G949="-","-",G949),G949-H949)</f>
        <v>1</v>
      </c>
      <c r="J949" s="36">
        <f>IFERROR(IF(G949&gt;0, H949/G949, 0),"-")</f>
        <v>0.5</v>
      </c>
      <c r="K949" s="32">
        <v>2</v>
      </c>
      <c r="L949" s="32" t="s">
        <v>959</v>
      </c>
      <c r="M949" s="32">
        <f>IF(OR(L949="-",L949="",L949=0),IF(K949="-","-",K949),K949-L949)</f>
        <v>2</v>
      </c>
      <c r="N949" s="36" t="str">
        <f>IFERROR(IF(K949&gt;0, L949/K949, 0),"-")</f>
        <v>-</v>
      </c>
      <c r="O949" s="32">
        <v>2</v>
      </c>
      <c r="P949" s="32" t="s">
        <v>959</v>
      </c>
      <c r="Q949" s="32">
        <f>IF(OR(P949="-",P949="",P949=0),IF(O949="-","-",O949),O949-P949)</f>
        <v>2</v>
      </c>
      <c r="R949" s="36" t="str">
        <f>IFERROR(IF(O949&gt;0, P949/O949, 0),"-")</f>
        <v>-</v>
      </c>
      <c r="S949" s="32">
        <v>1</v>
      </c>
      <c r="T949" s="32" t="s">
        <v>959</v>
      </c>
      <c r="U949" s="32" t="s">
        <v>959</v>
      </c>
      <c r="V949" s="32" t="s">
        <v>959</v>
      </c>
      <c r="W949" s="32" t="s">
        <v>959</v>
      </c>
    </row>
    <row r="950" spans="1:23" x14ac:dyDescent="0.2">
      <c r="A950" s="30" t="s">
        <v>331</v>
      </c>
      <c r="B950" s="30" t="s">
        <v>1583</v>
      </c>
      <c r="C950" s="34">
        <v>36</v>
      </c>
      <c r="D950" s="35">
        <v>36</v>
      </c>
      <c r="E950" s="34">
        <f>IF(OR(D950="-",D950="",D950=0),IF(C950="-","-",C950),C950-D950)</f>
        <v>0</v>
      </c>
      <c r="F950" s="4">
        <f>IFERROR(IF(C950&gt;0, D950/C950, 0),"-")</f>
        <v>1</v>
      </c>
      <c r="G950" s="34" t="s">
        <v>959</v>
      </c>
      <c r="H950" s="35" t="s">
        <v>959</v>
      </c>
      <c r="I950" s="34" t="str">
        <f>IF(OR(H950="-",H950="",H950=0),IF(G950="-","-",G950),G950-H950)</f>
        <v>-</v>
      </c>
      <c r="J950" s="4" t="str">
        <f>IFERROR(IF(G950&gt;0, H950/G950, 0),"-")</f>
        <v>-</v>
      </c>
      <c r="K950" s="34" t="s">
        <v>959</v>
      </c>
      <c r="L950" s="35" t="s">
        <v>959</v>
      </c>
      <c r="M950" s="34" t="str">
        <f>IF(OR(L950="-",L950="",L950=0),IF(K950="-","-",K950),K950-L950)</f>
        <v>-</v>
      </c>
      <c r="N950" s="4" t="str">
        <f>IFERROR(IF(K950&gt;0, L950/K950, 0),"-")</f>
        <v>-</v>
      </c>
      <c r="O950" s="34">
        <v>1</v>
      </c>
      <c r="P950" s="35" t="s">
        <v>959</v>
      </c>
      <c r="Q950" s="34">
        <f>IF(OR(P950="-",P950="",P950=0),IF(O950="-","-",O950),O950-P950)</f>
        <v>1</v>
      </c>
      <c r="R950" s="4" t="str">
        <f>IFERROR(IF(O950&gt;0, P950/O950, 0),"-")</f>
        <v>-</v>
      </c>
      <c r="S950" s="34" t="s">
        <v>959</v>
      </c>
      <c r="T950" s="34" t="s">
        <v>959</v>
      </c>
      <c r="U950" s="34" t="s">
        <v>959</v>
      </c>
      <c r="V950" s="35" t="s">
        <v>959</v>
      </c>
      <c r="W950" s="35" t="s">
        <v>959</v>
      </c>
    </row>
    <row r="951" spans="1:23" x14ac:dyDescent="0.2">
      <c r="A951" s="30" t="s">
        <v>335</v>
      </c>
      <c r="B951" s="30" t="s">
        <v>1584</v>
      </c>
      <c r="C951" s="34">
        <v>35</v>
      </c>
      <c r="D951" s="35">
        <v>35</v>
      </c>
      <c r="E951" s="34">
        <f>IF(OR(D951="-",D951="",D951=0),IF(C951="-","-",C951),C951-D951)</f>
        <v>0</v>
      </c>
      <c r="F951" s="4">
        <f>IFERROR(IF(C951&gt;0, D951/C951, 0),"-")</f>
        <v>1</v>
      </c>
      <c r="G951" s="34" t="s">
        <v>959</v>
      </c>
      <c r="H951" s="35" t="s">
        <v>959</v>
      </c>
      <c r="I951" s="34" t="str">
        <f>IF(OR(H951="-",H951="",H951=0),IF(G951="-","-",G951),G951-H951)</f>
        <v>-</v>
      </c>
      <c r="J951" s="4" t="str">
        <f>IFERROR(IF(G951&gt;0, H951/G951, 0),"-")</f>
        <v>-</v>
      </c>
      <c r="K951" s="34" t="s">
        <v>959</v>
      </c>
      <c r="L951" s="35" t="s">
        <v>959</v>
      </c>
      <c r="M951" s="34" t="str">
        <f>IF(OR(L951="-",L951="",L951=0),IF(K951="-","-",K951),K951-L951)</f>
        <v>-</v>
      </c>
      <c r="N951" s="4" t="str">
        <f>IFERROR(IF(K951&gt;0, L951/K951, 0),"-")</f>
        <v>-</v>
      </c>
      <c r="O951" s="34" t="s">
        <v>959</v>
      </c>
      <c r="P951" s="35" t="s">
        <v>959</v>
      </c>
      <c r="Q951" s="34" t="str">
        <f>IF(OR(P951="-",P951="",P951=0),IF(O951="-","-",O951),O951-P951)</f>
        <v>-</v>
      </c>
      <c r="R951" s="4" t="str">
        <f>IFERROR(IF(O951&gt;0, P951/O951, 0),"-")</f>
        <v>-</v>
      </c>
      <c r="S951" s="34" t="s">
        <v>959</v>
      </c>
      <c r="T951" s="34" t="s">
        <v>959</v>
      </c>
      <c r="U951" s="34" t="s">
        <v>959</v>
      </c>
      <c r="V951" s="35" t="s">
        <v>959</v>
      </c>
      <c r="W951" s="35" t="s">
        <v>959</v>
      </c>
    </row>
    <row r="952" spans="1:23" x14ac:dyDescent="0.2">
      <c r="A952" s="30" t="s">
        <v>333</v>
      </c>
      <c r="B952" s="30" t="s">
        <v>1585</v>
      </c>
      <c r="C952" s="34">
        <v>69</v>
      </c>
      <c r="D952" s="35">
        <v>69</v>
      </c>
      <c r="E952" s="34">
        <f>IF(OR(D952="-",D952="",D952=0),IF(C952="-","-",C952),C952-D952)</f>
        <v>0</v>
      </c>
      <c r="F952" s="4">
        <f>IFERROR(IF(C952&gt;0, D952/C952, 0),"-")</f>
        <v>1</v>
      </c>
      <c r="G952" s="34" t="s">
        <v>959</v>
      </c>
      <c r="H952" s="35" t="s">
        <v>959</v>
      </c>
      <c r="I952" s="34" t="str">
        <f>IF(OR(H952="-",H952="",H952=0),IF(G952="-","-",G952),G952-H952)</f>
        <v>-</v>
      </c>
      <c r="J952" s="4" t="str">
        <f>IFERROR(IF(G952&gt;0, H952/G952, 0),"-")</f>
        <v>-</v>
      </c>
      <c r="K952" s="34" t="s">
        <v>959</v>
      </c>
      <c r="L952" s="35" t="s">
        <v>959</v>
      </c>
      <c r="M952" s="34" t="str">
        <f>IF(OR(L952="-",L952="",L952=0),IF(K952="-","-",K952),K952-L952)</f>
        <v>-</v>
      </c>
      <c r="N952" s="4" t="str">
        <f>IFERROR(IF(K952&gt;0, L952/K952, 0),"-")</f>
        <v>-</v>
      </c>
      <c r="O952" s="34">
        <v>1</v>
      </c>
      <c r="P952" s="35" t="s">
        <v>959</v>
      </c>
      <c r="Q952" s="34">
        <f>IF(OR(P952="-",P952="",P952=0),IF(O952="-","-",O952),O952-P952)</f>
        <v>1</v>
      </c>
      <c r="R952" s="4" t="str">
        <f>IFERROR(IF(O952&gt;0, P952/O952, 0),"-")</f>
        <v>-</v>
      </c>
      <c r="S952" s="34" t="s">
        <v>959</v>
      </c>
      <c r="T952" s="34" t="s">
        <v>959</v>
      </c>
      <c r="U952" s="34" t="s">
        <v>959</v>
      </c>
      <c r="V952" s="35" t="s">
        <v>959</v>
      </c>
      <c r="W952" s="35" t="s">
        <v>959</v>
      </c>
    </row>
    <row r="953" spans="1:23" x14ac:dyDescent="0.2">
      <c r="A953" s="30" t="s">
        <v>334</v>
      </c>
      <c r="B953" s="30" t="s">
        <v>1586</v>
      </c>
      <c r="C953" s="34">
        <v>65</v>
      </c>
      <c r="D953" s="35">
        <v>64</v>
      </c>
      <c r="E953" s="34">
        <f>IF(OR(D953="-",D953="",D953=0),IF(C953="-","-",C953),C953-D953)</f>
        <v>1</v>
      </c>
      <c r="F953" s="4">
        <f>IFERROR(IF(C953&gt;0, D953/C953, 0),"-")</f>
        <v>0.98461538461538467</v>
      </c>
      <c r="G953" s="34">
        <v>1</v>
      </c>
      <c r="H953" s="35">
        <v>1</v>
      </c>
      <c r="I953" s="34">
        <f>IF(OR(H953="-",H953="",H953=0),IF(G953="-","-",G953),G953-H953)</f>
        <v>0</v>
      </c>
      <c r="J953" s="4">
        <f>IFERROR(IF(G953&gt;0, H953/G953, 0),"-")</f>
        <v>1</v>
      </c>
      <c r="K953" s="34" t="s">
        <v>959</v>
      </c>
      <c r="L953" s="35" t="s">
        <v>959</v>
      </c>
      <c r="M953" s="34" t="str">
        <f>IF(OR(L953="-",L953="",L953=0),IF(K953="-","-",K953),K953-L953)</f>
        <v>-</v>
      </c>
      <c r="N953" s="4" t="str">
        <f>IFERROR(IF(K953&gt;0, L953/K953, 0),"-")</f>
        <v>-</v>
      </c>
      <c r="O953" s="34" t="s">
        <v>959</v>
      </c>
      <c r="P953" s="35" t="s">
        <v>959</v>
      </c>
      <c r="Q953" s="34" t="str">
        <f>IF(OR(P953="-",P953="",P953=0),IF(O953="-","-",O953),O953-P953)</f>
        <v>-</v>
      </c>
      <c r="R953" s="4" t="str">
        <f>IFERROR(IF(O953&gt;0, P953/O953, 0),"-")</f>
        <v>-</v>
      </c>
      <c r="S953" s="34" t="s">
        <v>959</v>
      </c>
      <c r="T953" s="34" t="s">
        <v>959</v>
      </c>
      <c r="U953" s="34" t="s">
        <v>959</v>
      </c>
      <c r="V953" s="35" t="s">
        <v>959</v>
      </c>
      <c r="W953" s="35" t="s">
        <v>959</v>
      </c>
    </row>
    <row r="954" spans="1:23" x14ac:dyDescent="0.2">
      <c r="A954" s="30" t="s">
        <v>336</v>
      </c>
      <c r="B954" s="30" t="s">
        <v>1587</v>
      </c>
      <c r="C954" s="34">
        <v>53</v>
      </c>
      <c r="D954" s="35">
        <v>51</v>
      </c>
      <c r="E954" s="34">
        <f>IF(OR(D954="-",D954="",D954=0),IF(C954="-","-",C954),C954-D954)</f>
        <v>2</v>
      </c>
      <c r="F954" s="4">
        <f>IFERROR(IF(C954&gt;0, D954/C954, 0),"-")</f>
        <v>0.96226415094339623</v>
      </c>
      <c r="G954" s="34">
        <v>1</v>
      </c>
      <c r="H954" s="35" t="s">
        <v>959</v>
      </c>
      <c r="I954" s="34">
        <f>IF(OR(H954="-",H954="",H954=0),IF(G954="-","-",G954),G954-H954)</f>
        <v>1</v>
      </c>
      <c r="J954" s="4" t="str">
        <f>IFERROR(IF(G954&gt;0, H954/G954, 0),"-")</f>
        <v>-</v>
      </c>
      <c r="K954" s="34" t="s">
        <v>959</v>
      </c>
      <c r="L954" s="35" t="s">
        <v>959</v>
      </c>
      <c r="M954" s="34" t="str">
        <f>IF(OR(L954="-",L954="",L954=0),IF(K954="-","-",K954),K954-L954)</f>
        <v>-</v>
      </c>
      <c r="N954" s="4" t="str">
        <f>IFERROR(IF(K954&gt;0, L954/K954, 0),"-")</f>
        <v>-</v>
      </c>
      <c r="O954" s="34" t="s">
        <v>959</v>
      </c>
      <c r="P954" s="35" t="s">
        <v>959</v>
      </c>
      <c r="Q954" s="34" t="str">
        <f>IF(OR(P954="-",P954="",P954=0),IF(O954="-","-",O954),O954-P954)</f>
        <v>-</v>
      </c>
      <c r="R954" s="4" t="str">
        <f>IFERROR(IF(O954&gt;0, P954/O954, 0),"-")</f>
        <v>-</v>
      </c>
      <c r="S954" s="34" t="s">
        <v>959</v>
      </c>
      <c r="T954" s="34" t="s">
        <v>959</v>
      </c>
      <c r="U954" s="34" t="s">
        <v>959</v>
      </c>
      <c r="V954" s="35" t="s">
        <v>959</v>
      </c>
      <c r="W954" s="35" t="s">
        <v>959</v>
      </c>
    </row>
    <row r="955" spans="1:23" x14ac:dyDescent="0.2">
      <c r="A955" s="30" t="s">
        <v>332</v>
      </c>
      <c r="B955" s="30" t="s">
        <v>1588</v>
      </c>
      <c r="C955" s="34">
        <v>74</v>
      </c>
      <c r="D955" s="35">
        <v>74</v>
      </c>
      <c r="E955" s="34">
        <f>IF(OR(D955="-",D955="",D955=0),IF(C955="-","-",C955),C955-D955)</f>
        <v>0</v>
      </c>
      <c r="F955" s="4">
        <f>IFERROR(IF(C955&gt;0, D955/C955, 0),"-")</f>
        <v>1</v>
      </c>
      <c r="G955" s="34" t="s">
        <v>959</v>
      </c>
      <c r="H955" s="35" t="s">
        <v>959</v>
      </c>
      <c r="I955" s="34" t="str">
        <f>IF(OR(H955="-",H955="",H955=0),IF(G955="-","-",G955),G955-H955)</f>
        <v>-</v>
      </c>
      <c r="J955" s="4" t="str">
        <f>IFERROR(IF(G955&gt;0, H955/G955, 0),"-")</f>
        <v>-</v>
      </c>
      <c r="K955" s="34">
        <v>2</v>
      </c>
      <c r="L955" s="35" t="s">
        <v>959</v>
      </c>
      <c r="M955" s="34">
        <f>IF(OR(L955="-",L955="",L955=0),IF(K955="-","-",K955),K955-L955)</f>
        <v>2</v>
      </c>
      <c r="N955" s="4" t="str">
        <f>IFERROR(IF(K955&gt;0, L955/K955, 0),"-")</f>
        <v>-</v>
      </c>
      <c r="O955" s="34" t="s">
        <v>959</v>
      </c>
      <c r="P955" s="35" t="s">
        <v>959</v>
      </c>
      <c r="Q955" s="34" t="str">
        <f>IF(OR(P955="-",P955="",P955=0),IF(O955="-","-",O955),O955-P955)</f>
        <v>-</v>
      </c>
      <c r="R955" s="4" t="str">
        <f>IFERROR(IF(O955&gt;0, P955/O955, 0),"-")</f>
        <v>-</v>
      </c>
      <c r="S955" s="34">
        <v>1</v>
      </c>
      <c r="T955" s="34" t="s">
        <v>959</v>
      </c>
      <c r="U955" s="34" t="s">
        <v>959</v>
      </c>
      <c r="V955" s="35" t="s">
        <v>959</v>
      </c>
      <c r="W955" s="35" t="s">
        <v>959</v>
      </c>
    </row>
    <row r="956" spans="1:23" x14ac:dyDescent="0.2">
      <c r="A956" s="29"/>
      <c r="B956" s="29" t="s">
        <v>62</v>
      </c>
      <c r="C956" s="32">
        <v>804</v>
      </c>
      <c r="D956" s="32">
        <v>798</v>
      </c>
      <c r="E956" s="32">
        <f>IF(OR(D956="-",D956="",D956=0),IF(C956="-","-",C956),C956-D956)</f>
        <v>6</v>
      </c>
      <c r="F956" s="36">
        <f>IFERROR(IF(C956&gt;0, D956/C956, 0),"-")</f>
        <v>0.9925373134328358</v>
      </c>
      <c r="G956" s="32">
        <v>17</v>
      </c>
      <c r="H956" s="32">
        <v>4</v>
      </c>
      <c r="I956" s="32">
        <f>IF(OR(H956="-",H956="",H956=0),IF(G956="-","-",G956),G956-H956)</f>
        <v>13</v>
      </c>
      <c r="J956" s="36">
        <f>IFERROR(IF(G956&gt;0, H956/G956, 0),"-")</f>
        <v>0.23529411764705882</v>
      </c>
      <c r="K956" s="32">
        <v>4</v>
      </c>
      <c r="L956" s="32">
        <v>1</v>
      </c>
      <c r="M956" s="32">
        <f>IF(OR(L956="-",L956="",L956=0),IF(K956="-","-",K956),K956-L956)</f>
        <v>3</v>
      </c>
      <c r="N956" s="36">
        <f>IFERROR(IF(K956&gt;0, L956/K956, 0),"-")</f>
        <v>0.25</v>
      </c>
      <c r="O956" s="32">
        <v>1</v>
      </c>
      <c r="P956" s="32" t="s">
        <v>959</v>
      </c>
      <c r="Q956" s="32">
        <f>IF(OR(P956="-",P956="",P956=0),IF(O956="-","-",O956),O956-P956)</f>
        <v>1</v>
      </c>
      <c r="R956" s="36" t="str">
        <f>IFERROR(IF(O956&gt;0, P956/O956, 0),"-")</f>
        <v>-</v>
      </c>
      <c r="S956" s="32" t="s">
        <v>959</v>
      </c>
      <c r="T956" s="32" t="s">
        <v>959</v>
      </c>
      <c r="U956" s="32" t="s">
        <v>959</v>
      </c>
      <c r="V956" s="32" t="s">
        <v>959</v>
      </c>
      <c r="W956" s="32" t="s">
        <v>959</v>
      </c>
    </row>
    <row r="957" spans="1:23" x14ac:dyDescent="0.2">
      <c r="A957" s="30" t="s">
        <v>396</v>
      </c>
      <c r="B957" s="30" t="s">
        <v>1589</v>
      </c>
      <c r="C957" s="34">
        <v>221</v>
      </c>
      <c r="D957" s="35">
        <v>220</v>
      </c>
      <c r="E957" s="34">
        <f>IF(OR(D957="-",D957="",D957=0),IF(C957="-","-",C957),C957-D957)</f>
        <v>1</v>
      </c>
      <c r="F957" s="4">
        <f>IFERROR(IF(C957&gt;0, D957/C957, 0),"-")</f>
        <v>0.99547511312217196</v>
      </c>
      <c r="G957" s="34">
        <v>5</v>
      </c>
      <c r="H957" s="35">
        <v>3</v>
      </c>
      <c r="I957" s="34">
        <f>IF(OR(H957="-",H957="",H957=0),IF(G957="-","-",G957),G957-H957)</f>
        <v>2</v>
      </c>
      <c r="J957" s="4">
        <f>IFERROR(IF(G957&gt;0, H957/G957, 0),"-")</f>
        <v>0.6</v>
      </c>
      <c r="K957" s="34" t="s">
        <v>959</v>
      </c>
      <c r="L957" s="35" t="s">
        <v>959</v>
      </c>
      <c r="M957" s="34" t="str">
        <f>IF(OR(L957="-",L957="",L957=0),IF(K957="-","-",K957),K957-L957)</f>
        <v>-</v>
      </c>
      <c r="N957" s="4" t="str">
        <f>IFERROR(IF(K957&gt;0, L957/K957, 0),"-")</f>
        <v>-</v>
      </c>
      <c r="O957" s="34" t="s">
        <v>959</v>
      </c>
      <c r="P957" s="35" t="s">
        <v>959</v>
      </c>
      <c r="Q957" s="34" t="str">
        <f>IF(OR(P957="-",P957="",P957=0),IF(O957="-","-",O957),O957-P957)</f>
        <v>-</v>
      </c>
      <c r="R957" s="4" t="str">
        <f>IFERROR(IF(O957&gt;0, P957/O957, 0),"-")</f>
        <v>-</v>
      </c>
      <c r="S957" s="34" t="s">
        <v>959</v>
      </c>
      <c r="T957" s="34" t="s">
        <v>959</v>
      </c>
      <c r="U957" s="34" t="s">
        <v>959</v>
      </c>
      <c r="V957" s="35" t="s">
        <v>959</v>
      </c>
      <c r="W957" s="35" t="s">
        <v>959</v>
      </c>
    </row>
    <row r="958" spans="1:23" x14ac:dyDescent="0.2">
      <c r="A958" s="30" t="s">
        <v>398</v>
      </c>
      <c r="B958" s="30" t="s">
        <v>1590</v>
      </c>
      <c r="C958" s="34">
        <v>68</v>
      </c>
      <c r="D958" s="35">
        <v>67</v>
      </c>
      <c r="E958" s="34">
        <f>IF(OR(D958="-",D958="",D958=0),IF(C958="-","-",C958),C958-D958)</f>
        <v>1</v>
      </c>
      <c r="F958" s="4">
        <f>IFERROR(IF(C958&gt;0, D958/C958, 0),"-")</f>
        <v>0.98529411764705888</v>
      </c>
      <c r="G958" s="34">
        <v>1</v>
      </c>
      <c r="H958" s="35" t="s">
        <v>959</v>
      </c>
      <c r="I958" s="34">
        <f>IF(OR(H958="-",H958="",H958=0),IF(G958="-","-",G958),G958-H958)</f>
        <v>1</v>
      </c>
      <c r="J958" s="4" t="str">
        <f>IFERROR(IF(G958&gt;0, H958/G958, 0),"-")</f>
        <v>-</v>
      </c>
      <c r="K958" s="34" t="s">
        <v>959</v>
      </c>
      <c r="L958" s="35" t="s">
        <v>959</v>
      </c>
      <c r="M958" s="34" t="str">
        <f>IF(OR(L958="-",L958="",L958=0),IF(K958="-","-",K958),K958-L958)</f>
        <v>-</v>
      </c>
      <c r="N958" s="4" t="str">
        <f>IFERROR(IF(K958&gt;0, L958/K958, 0),"-")</f>
        <v>-</v>
      </c>
      <c r="O958" s="34" t="s">
        <v>959</v>
      </c>
      <c r="P958" s="35" t="s">
        <v>959</v>
      </c>
      <c r="Q958" s="34" t="str">
        <f>IF(OR(P958="-",P958="",P958=0),IF(O958="-","-",O958),O958-P958)</f>
        <v>-</v>
      </c>
      <c r="R958" s="4" t="str">
        <f>IFERROR(IF(O958&gt;0, P958/O958, 0),"-")</f>
        <v>-</v>
      </c>
      <c r="S958" s="34" t="s">
        <v>959</v>
      </c>
      <c r="T958" s="34" t="s">
        <v>959</v>
      </c>
      <c r="U958" s="34" t="s">
        <v>959</v>
      </c>
      <c r="V958" s="35" t="s">
        <v>959</v>
      </c>
      <c r="W958" s="35" t="s">
        <v>959</v>
      </c>
    </row>
    <row r="959" spans="1:23" x14ac:dyDescent="0.2">
      <c r="A959" s="30" t="s">
        <v>397</v>
      </c>
      <c r="B959" s="30" t="s">
        <v>1591</v>
      </c>
      <c r="C959" s="34">
        <v>208</v>
      </c>
      <c r="D959" s="35">
        <v>208</v>
      </c>
      <c r="E959" s="34">
        <f>IF(OR(D959="-",D959="",D959=0),IF(C959="-","-",C959),C959-D959)</f>
        <v>0</v>
      </c>
      <c r="F959" s="4">
        <f>IFERROR(IF(C959&gt;0, D959/C959, 0),"-")</f>
        <v>1</v>
      </c>
      <c r="G959" s="34">
        <v>6</v>
      </c>
      <c r="H959" s="35" t="s">
        <v>959</v>
      </c>
      <c r="I959" s="34">
        <f>IF(OR(H959="-",H959="",H959=0),IF(G959="-","-",G959),G959-H959)</f>
        <v>6</v>
      </c>
      <c r="J959" s="4" t="str">
        <f>IFERROR(IF(G959&gt;0, H959/G959, 0),"-")</f>
        <v>-</v>
      </c>
      <c r="K959" s="34">
        <v>2</v>
      </c>
      <c r="L959" s="35">
        <v>1</v>
      </c>
      <c r="M959" s="34">
        <f>IF(OR(L959="-",L959="",L959=0),IF(K959="-","-",K959),K959-L959)</f>
        <v>1</v>
      </c>
      <c r="N959" s="4">
        <f>IFERROR(IF(K959&gt;0, L959/K959, 0),"-")</f>
        <v>0.5</v>
      </c>
      <c r="O959" s="34" t="s">
        <v>959</v>
      </c>
      <c r="P959" s="35" t="s">
        <v>959</v>
      </c>
      <c r="Q959" s="34" t="str">
        <f>IF(OR(P959="-",P959="",P959=0),IF(O959="-","-",O959),O959-P959)</f>
        <v>-</v>
      </c>
      <c r="R959" s="4" t="str">
        <f>IFERROR(IF(O959&gt;0, P959/O959, 0),"-")</f>
        <v>-</v>
      </c>
      <c r="S959" s="34" t="s">
        <v>959</v>
      </c>
      <c r="T959" s="34" t="s">
        <v>959</v>
      </c>
      <c r="U959" s="34" t="s">
        <v>959</v>
      </c>
      <c r="V959" s="35" t="s">
        <v>959</v>
      </c>
      <c r="W959" s="35" t="s">
        <v>959</v>
      </c>
    </row>
    <row r="960" spans="1:23" x14ac:dyDescent="0.2">
      <c r="A960" s="30" t="s">
        <v>394</v>
      </c>
      <c r="B960" s="30" t="s">
        <v>1592</v>
      </c>
      <c r="C960" s="34">
        <v>156</v>
      </c>
      <c r="D960" s="35">
        <v>152</v>
      </c>
      <c r="E960" s="34">
        <f>IF(OR(D960="-",D960="",D960=0),IF(C960="-","-",C960),C960-D960)</f>
        <v>4</v>
      </c>
      <c r="F960" s="4">
        <f>IFERROR(IF(C960&gt;0, D960/C960, 0),"-")</f>
        <v>0.97435897435897434</v>
      </c>
      <c r="G960" s="34">
        <v>5</v>
      </c>
      <c r="H960" s="35">
        <v>1</v>
      </c>
      <c r="I960" s="34">
        <f>IF(OR(H960="-",H960="",H960=0),IF(G960="-","-",G960),G960-H960)</f>
        <v>4</v>
      </c>
      <c r="J960" s="4">
        <f>IFERROR(IF(G960&gt;0, H960/G960, 0),"-")</f>
        <v>0.2</v>
      </c>
      <c r="K960" s="34" t="s">
        <v>959</v>
      </c>
      <c r="L960" s="35" t="s">
        <v>959</v>
      </c>
      <c r="M960" s="34" t="str">
        <f>IF(OR(L960="-",L960="",L960=0),IF(K960="-","-",K960),K960-L960)</f>
        <v>-</v>
      </c>
      <c r="N960" s="4" t="str">
        <f>IFERROR(IF(K960&gt;0, L960/K960, 0),"-")</f>
        <v>-</v>
      </c>
      <c r="O960" s="34" t="s">
        <v>959</v>
      </c>
      <c r="P960" s="35" t="s">
        <v>959</v>
      </c>
      <c r="Q960" s="34" t="str">
        <f>IF(OR(P960="-",P960="",P960=0),IF(O960="-","-",O960),O960-P960)</f>
        <v>-</v>
      </c>
      <c r="R960" s="4" t="str">
        <f>IFERROR(IF(O960&gt;0, P960/O960, 0),"-")</f>
        <v>-</v>
      </c>
      <c r="S960" s="34" t="s">
        <v>959</v>
      </c>
      <c r="T960" s="34" t="s">
        <v>959</v>
      </c>
      <c r="U960" s="34" t="s">
        <v>959</v>
      </c>
      <c r="V960" s="35" t="s">
        <v>959</v>
      </c>
      <c r="W960" s="35" t="s">
        <v>959</v>
      </c>
    </row>
    <row r="961" spans="1:23" x14ac:dyDescent="0.2">
      <c r="A961" s="30" t="s">
        <v>395</v>
      </c>
      <c r="B961" s="30" t="s">
        <v>1593</v>
      </c>
      <c r="C961" s="34">
        <v>151</v>
      </c>
      <c r="D961" s="35">
        <v>151</v>
      </c>
      <c r="E961" s="34">
        <f>IF(OR(D961="-",D961="",D961=0),IF(C961="-","-",C961),C961-D961)</f>
        <v>0</v>
      </c>
      <c r="F961" s="4">
        <f>IFERROR(IF(C961&gt;0, D961/C961, 0),"-")</f>
        <v>1</v>
      </c>
      <c r="G961" s="34" t="s">
        <v>959</v>
      </c>
      <c r="H961" s="35" t="s">
        <v>959</v>
      </c>
      <c r="I961" s="34" t="str">
        <f>IF(OR(H961="-",H961="",H961=0),IF(G961="-","-",G961),G961-H961)</f>
        <v>-</v>
      </c>
      <c r="J961" s="4" t="str">
        <f>IFERROR(IF(G961&gt;0, H961/G961, 0),"-")</f>
        <v>-</v>
      </c>
      <c r="K961" s="34">
        <v>2</v>
      </c>
      <c r="L961" s="35" t="s">
        <v>959</v>
      </c>
      <c r="M961" s="34">
        <f>IF(OR(L961="-",L961="",L961=0),IF(K961="-","-",K961),K961-L961)</f>
        <v>2</v>
      </c>
      <c r="N961" s="4" t="str">
        <f>IFERROR(IF(K961&gt;0, L961/K961, 0),"-")</f>
        <v>-</v>
      </c>
      <c r="O961" s="34">
        <v>1</v>
      </c>
      <c r="P961" s="35" t="s">
        <v>959</v>
      </c>
      <c r="Q961" s="34">
        <f>IF(OR(P961="-",P961="",P961=0),IF(O961="-","-",O961),O961-P961)</f>
        <v>1</v>
      </c>
      <c r="R961" s="4" t="str">
        <f>IFERROR(IF(O961&gt;0, P961/O961, 0),"-")</f>
        <v>-</v>
      </c>
      <c r="S961" s="34" t="s">
        <v>959</v>
      </c>
      <c r="T961" s="34" t="s">
        <v>959</v>
      </c>
      <c r="U961" s="34" t="s">
        <v>959</v>
      </c>
      <c r="V961" s="35" t="s">
        <v>959</v>
      </c>
      <c r="W961" s="35" t="s">
        <v>959</v>
      </c>
    </row>
    <row r="962" spans="1:23" x14ac:dyDescent="0.2">
      <c r="A962" s="29"/>
      <c r="B962" s="29" t="s">
        <v>106</v>
      </c>
      <c r="C962" s="32">
        <v>461</v>
      </c>
      <c r="D962" s="32">
        <v>457</v>
      </c>
      <c r="E962" s="32">
        <f>IF(OR(D962="-",D962="",D962=0),IF(C962="-","-",C962),C962-D962)</f>
        <v>4</v>
      </c>
      <c r="F962" s="36">
        <f>IFERROR(IF(C962&gt;0, D962/C962, 0),"-")</f>
        <v>0.99132321041214755</v>
      </c>
      <c r="G962" s="32">
        <v>2</v>
      </c>
      <c r="H962" s="32">
        <v>1</v>
      </c>
      <c r="I962" s="32">
        <f>IF(OR(H962="-",H962="",H962=0),IF(G962="-","-",G962),G962-H962)</f>
        <v>1</v>
      </c>
      <c r="J962" s="36">
        <f>IFERROR(IF(G962&gt;0, H962/G962, 0),"-")</f>
        <v>0.5</v>
      </c>
      <c r="K962" s="32" t="s">
        <v>959</v>
      </c>
      <c r="L962" s="32" t="s">
        <v>959</v>
      </c>
      <c r="M962" s="32" t="str">
        <f>IF(OR(L962="-",L962="",L962=0),IF(K962="-","-",K962),K962-L962)</f>
        <v>-</v>
      </c>
      <c r="N962" s="36" t="str">
        <f>IFERROR(IF(K962&gt;0, L962/K962, 0),"-")</f>
        <v>-</v>
      </c>
      <c r="O962" s="32" t="s">
        <v>959</v>
      </c>
      <c r="P962" s="32" t="s">
        <v>959</v>
      </c>
      <c r="Q962" s="32" t="str">
        <f>IF(OR(P962="-",P962="",P962=0),IF(O962="-","-",O962),O962-P962)</f>
        <v>-</v>
      </c>
      <c r="R962" s="36" t="str">
        <f>IFERROR(IF(O962&gt;0, P962/O962, 0),"-")</f>
        <v>-</v>
      </c>
      <c r="S962" s="32">
        <v>1</v>
      </c>
      <c r="T962" s="32" t="s">
        <v>959</v>
      </c>
      <c r="U962" s="32" t="s">
        <v>959</v>
      </c>
      <c r="V962" s="32" t="s">
        <v>959</v>
      </c>
      <c r="W962" s="32" t="s">
        <v>959</v>
      </c>
    </row>
    <row r="963" spans="1:23" x14ac:dyDescent="0.2">
      <c r="A963" s="30" t="s">
        <v>766</v>
      </c>
      <c r="B963" s="30" t="s">
        <v>1594</v>
      </c>
      <c r="C963" s="34">
        <v>63</v>
      </c>
      <c r="D963" s="35">
        <v>62</v>
      </c>
      <c r="E963" s="34">
        <f>IF(OR(D963="-",D963="",D963=0),IF(C963="-","-",C963),C963-D963)</f>
        <v>1</v>
      </c>
      <c r="F963" s="4">
        <f>IFERROR(IF(C963&gt;0, D963/C963, 0),"-")</f>
        <v>0.98412698412698407</v>
      </c>
      <c r="G963" s="34" t="s">
        <v>959</v>
      </c>
      <c r="H963" s="35" t="s">
        <v>959</v>
      </c>
      <c r="I963" s="34" t="str">
        <f>IF(OR(H963="-",H963="",H963=0),IF(G963="-","-",G963),G963-H963)</f>
        <v>-</v>
      </c>
      <c r="J963" s="4" t="str">
        <f>IFERROR(IF(G963&gt;0, H963/G963, 0),"-")</f>
        <v>-</v>
      </c>
      <c r="K963" s="34" t="s">
        <v>959</v>
      </c>
      <c r="L963" s="35" t="s">
        <v>959</v>
      </c>
      <c r="M963" s="34" t="str">
        <f>IF(OR(L963="-",L963="",L963=0),IF(K963="-","-",K963),K963-L963)</f>
        <v>-</v>
      </c>
      <c r="N963" s="4" t="str">
        <f>IFERROR(IF(K963&gt;0, L963/K963, 0),"-")</f>
        <v>-</v>
      </c>
      <c r="O963" s="34" t="s">
        <v>959</v>
      </c>
      <c r="P963" s="35" t="s">
        <v>959</v>
      </c>
      <c r="Q963" s="34" t="str">
        <f>IF(OR(P963="-",P963="",P963=0),IF(O963="-","-",O963),O963-P963)</f>
        <v>-</v>
      </c>
      <c r="R963" s="4" t="str">
        <f>IFERROR(IF(O963&gt;0, P963/O963, 0),"-")</f>
        <v>-</v>
      </c>
      <c r="S963" s="34" t="s">
        <v>959</v>
      </c>
      <c r="T963" s="34" t="s">
        <v>959</v>
      </c>
      <c r="U963" s="34" t="s">
        <v>959</v>
      </c>
      <c r="V963" s="35" t="s">
        <v>959</v>
      </c>
      <c r="W963" s="35" t="s">
        <v>959</v>
      </c>
    </row>
    <row r="964" spans="1:23" x14ac:dyDescent="0.2">
      <c r="A964" s="30" t="s">
        <v>762</v>
      </c>
      <c r="B964" s="30" t="s">
        <v>1595</v>
      </c>
      <c r="C964" s="34">
        <v>105</v>
      </c>
      <c r="D964" s="35">
        <v>105</v>
      </c>
      <c r="E964" s="34">
        <f>IF(OR(D964="-",D964="",D964=0),IF(C964="-","-",C964),C964-D964)</f>
        <v>0</v>
      </c>
      <c r="F964" s="4">
        <f>IFERROR(IF(C964&gt;0, D964/C964, 0),"-")</f>
        <v>1</v>
      </c>
      <c r="G964" s="34">
        <v>2</v>
      </c>
      <c r="H964" s="35">
        <v>1</v>
      </c>
      <c r="I964" s="34">
        <f>IF(OR(H964="-",H964="",H964=0),IF(G964="-","-",G964),G964-H964)</f>
        <v>1</v>
      </c>
      <c r="J964" s="4">
        <f>IFERROR(IF(G964&gt;0, H964/G964, 0),"-")</f>
        <v>0.5</v>
      </c>
      <c r="K964" s="34" t="s">
        <v>959</v>
      </c>
      <c r="L964" s="35" t="s">
        <v>959</v>
      </c>
      <c r="M964" s="34" t="str">
        <f>IF(OR(L964="-",L964="",L964=0),IF(K964="-","-",K964),K964-L964)</f>
        <v>-</v>
      </c>
      <c r="N964" s="4" t="str">
        <f>IFERROR(IF(K964&gt;0, L964/K964, 0),"-")</f>
        <v>-</v>
      </c>
      <c r="O964" s="34" t="s">
        <v>959</v>
      </c>
      <c r="P964" s="35" t="s">
        <v>959</v>
      </c>
      <c r="Q964" s="34" t="str">
        <f>IF(OR(P964="-",P964="",P964=0),IF(O964="-","-",O964),O964-P964)</f>
        <v>-</v>
      </c>
      <c r="R964" s="4" t="str">
        <f>IFERROR(IF(O964&gt;0, P964/O964, 0),"-")</f>
        <v>-</v>
      </c>
      <c r="S964" s="34" t="s">
        <v>959</v>
      </c>
      <c r="T964" s="34" t="s">
        <v>959</v>
      </c>
      <c r="U964" s="34" t="s">
        <v>959</v>
      </c>
      <c r="V964" s="35" t="s">
        <v>959</v>
      </c>
      <c r="W964" s="35" t="s">
        <v>959</v>
      </c>
    </row>
    <row r="965" spans="1:23" x14ac:dyDescent="0.2">
      <c r="A965" s="30" t="s">
        <v>765</v>
      </c>
      <c r="B965" s="30" t="s">
        <v>1596</v>
      </c>
      <c r="C965" s="34">
        <v>20</v>
      </c>
      <c r="D965" s="35">
        <v>19</v>
      </c>
      <c r="E965" s="34">
        <f>IF(OR(D965="-",D965="",D965=0),IF(C965="-","-",C965),C965-D965)</f>
        <v>1</v>
      </c>
      <c r="F965" s="4">
        <f>IFERROR(IF(C965&gt;0, D965/C965, 0),"-")</f>
        <v>0.95</v>
      </c>
      <c r="G965" s="34" t="s">
        <v>959</v>
      </c>
      <c r="H965" s="35" t="s">
        <v>959</v>
      </c>
      <c r="I965" s="34" t="str">
        <f>IF(OR(H965="-",H965="",H965=0),IF(G965="-","-",G965),G965-H965)</f>
        <v>-</v>
      </c>
      <c r="J965" s="4" t="str">
        <f>IFERROR(IF(G965&gt;0, H965/G965, 0),"-")</f>
        <v>-</v>
      </c>
      <c r="K965" s="34" t="s">
        <v>959</v>
      </c>
      <c r="L965" s="35" t="s">
        <v>959</v>
      </c>
      <c r="M965" s="34" t="str">
        <f>IF(OR(L965="-",L965="",L965=0),IF(K965="-","-",K965),K965-L965)</f>
        <v>-</v>
      </c>
      <c r="N965" s="4" t="str">
        <f>IFERROR(IF(K965&gt;0, L965/K965, 0),"-")</f>
        <v>-</v>
      </c>
      <c r="O965" s="34" t="s">
        <v>959</v>
      </c>
      <c r="P965" s="35" t="s">
        <v>959</v>
      </c>
      <c r="Q965" s="34" t="str">
        <f>IF(OR(P965="-",P965="",P965=0),IF(O965="-","-",O965),O965-P965)</f>
        <v>-</v>
      </c>
      <c r="R965" s="4" t="str">
        <f>IFERROR(IF(O965&gt;0, P965/O965, 0),"-")</f>
        <v>-</v>
      </c>
      <c r="S965" s="34" t="s">
        <v>959</v>
      </c>
      <c r="T965" s="34" t="s">
        <v>959</v>
      </c>
      <c r="U965" s="34" t="s">
        <v>959</v>
      </c>
      <c r="V965" s="35" t="s">
        <v>959</v>
      </c>
      <c r="W965" s="35" t="s">
        <v>959</v>
      </c>
    </row>
    <row r="966" spans="1:23" x14ac:dyDescent="0.2">
      <c r="A966" s="30" t="s">
        <v>764</v>
      </c>
      <c r="B966" s="30" t="s">
        <v>1597</v>
      </c>
      <c r="C966" s="34">
        <v>70</v>
      </c>
      <c r="D966" s="35">
        <v>69</v>
      </c>
      <c r="E966" s="34">
        <f>IF(OR(D966="-",D966="",D966=0),IF(C966="-","-",C966),C966-D966)</f>
        <v>1</v>
      </c>
      <c r="F966" s="4">
        <f>IFERROR(IF(C966&gt;0, D966/C966, 0),"-")</f>
        <v>0.98571428571428577</v>
      </c>
      <c r="G966" s="34" t="s">
        <v>959</v>
      </c>
      <c r="H966" s="35" t="s">
        <v>959</v>
      </c>
      <c r="I966" s="34" t="str">
        <f>IF(OR(H966="-",H966="",H966=0),IF(G966="-","-",G966),G966-H966)</f>
        <v>-</v>
      </c>
      <c r="J966" s="4" t="str">
        <f>IFERROR(IF(G966&gt;0, H966/G966, 0),"-")</f>
        <v>-</v>
      </c>
      <c r="K966" s="34" t="s">
        <v>959</v>
      </c>
      <c r="L966" s="35" t="s">
        <v>959</v>
      </c>
      <c r="M966" s="34" t="str">
        <f>IF(OR(L966="-",L966="",L966=0),IF(K966="-","-",K966),K966-L966)</f>
        <v>-</v>
      </c>
      <c r="N966" s="4" t="str">
        <f>IFERROR(IF(K966&gt;0, L966/K966, 0),"-")</f>
        <v>-</v>
      </c>
      <c r="O966" s="34" t="s">
        <v>959</v>
      </c>
      <c r="P966" s="35" t="s">
        <v>959</v>
      </c>
      <c r="Q966" s="34" t="str">
        <f>IF(OR(P966="-",P966="",P966=0),IF(O966="-","-",O966),O966-P966)</f>
        <v>-</v>
      </c>
      <c r="R966" s="4" t="str">
        <f>IFERROR(IF(O966&gt;0, P966/O966, 0),"-")</f>
        <v>-</v>
      </c>
      <c r="S966" s="34" t="s">
        <v>959</v>
      </c>
      <c r="T966" s="34" t="s">
        <v>959</v>
      </c>
      <c r="U966" s="34" t="s">
        <v>959</v>
      </c>
      <c r="V966" s="35" t="s">
        <v>959</v>
      </c>
      <c r="W966" s="35" t="s">
        <v>959</v>
      </c>
    </row>
    <row r="967" spans="1:23" x14ac:dyDescent="0.2">
      <c r="A967" s="30" t="s">
        <v>760</v>
      </c>
      <c r="B967" s="30" t="s">
        <v>1598</v>
      </c>
      <c r="C967" s="34">
        <v>96</v>
      </c>
      <c r="D967" s="35">
        <v>96</v>
      </c>
      <c r="E967" s="34">
        <f>IF(OR(D967="-",D967="",D967=0),IF(C967="-","-",C967),C967-D967)</f>
        <v>0</v>
      </c>
      <c r="F967" s="4">
        <f>IFERROR(IF(C967&gt;0, D967/C967, 0),"-")</f>
        <v>1</v>
      </c>
      <c r="G967" s="34" t="s">
        <v>959</v>
      </c>
      <c r="H967" s="35" t="s">
        <v>959</v>
      </c>
      <c r="I967" s="34" t="str">
        <f>IF(OR(H967="-",H967="",H967=0),IF(G967="-","-",G967),G967-H967)</f>
        <v>-</v>
      </c>
      <c r="J967" s="4" t="str">
        <f>IFERROR(IF(G967&gt;0, H967/G967, 0),"-")</f>
        <v>-</v>
      </c>
      <c r="K967" s="34" t="s">
        <v>959</v>
      </c>
      <c r="L967" s="35" t="s">
        <v>959</v>
      </c>
      <c r="M967" s="34" t="str">
        <f>IF(OR(L967="-",L967="",L967=0),IF(K967="-","-",K967),K967-L967)</f>
        <v>-</v>
      </c>
      <c r="N967" s="4" t="str">
        <f>IFERROR(IF(K967&gt;0, L967/K967, 0),"-")</f>
        <v>-</v>
      </c>
      <c r="O967" s="34" t="s">
        <v>959</v>
      </c>
      <c r="P967" s="35" t="s">
        <v>959</v>
      </c>
      <c r="Q967" s="34" t="str">
        <f>IF(OR(P967="-",P967="",P967=0),IF(O967="-","-",O967),O967-P967)</f>
        <v>-</v>
      </c>
      <c r="R967" s="4" t="str">
        <f>IFERROR(IF(O967&gt;0, P967/O967, 0),"-")</f>
        <v>-</v>
      </c>
      <c r="S967" s="34" t="s">
        <v>959</v>
      </c>
      <c r="T967" s="34" t="s">
        <v>959</v>
      </c>
      <c r="U967" s="34" t="s">
        <v>959</v>
      </c>
      <c r="V967" s="35" t="s">
        <v>959</v>
      </c>
      <c r="W967" s="35" t="s">
        <v>959</v>
      </c>
    </row>
    <row r="968" spans="1:23" x14ac:dyDescent="0.2">
      <c r="A968" s="30" t="s">
        <v>763</v>
      </c>
      <c r="B968" s="30" t="s">
        <v>1599</v>
      </c>
      <c r="C968" s="34">
        <v>58</v>
      </c>
      <c r="D968" s="35">
        <v>58</v>
      </c>
      <c r="E968" s="34">
        <f>IF(OR(D968="-",D968="",D968=0),IF(C968="-","-",C968),C968-D968)</f>
        <v>0</v>
      </c>
      <c r="F968" s="4">
        <f>IFERROR(IF(C968&gt;0, D968/C968, 0),"-")</f>
        <v>1</v>
      </c>
      <c r="G968" s="34" t="s">
        <v>959</v>
      </c>
      <c r="H968" s="35" t="s">
        <v>959</v>
      </c>
      <c r="I968" s="34" t="str">
        <f>IF(OR(H968="-",H968="",H968=0),IF(G968="-","-",G968),G968-H968)</f>
        <v>-</v>
      </c>
      <c r="J968" s="4" t="str">
        <f>IFERROR(IF(G968&gt;0, H968/G968, 0),"-")</f>
        <v>-</v>
      </c>
      <c r="K968" s="34" t="s">
        <v>959</v>
      </c>
      <c r="L968" s="35" t="s">
        <v>959</v>
      </c>
      <c r="M968" s="34" t="str">
        <f>IF(OR(L968="-",L968="",L968=0),IF(K968="-","-",K968),K968-L968)</f>
        <v>-</v>
      </c>
      <c r="N968" s="4" t="str">
        <f>IFERROR(IF(K968&gt;0, L968/K968, 0),"-")</f>
        <v>-</v>
      </c>
      <c r="O968" s="34" t="s">
        <v>959</v>
      </c>
      <c r="P968" s="35" t="s">
        <v>959</v>
      </c>
      <c r="Q968" s="34" t="str">
        <f>IF(OR(P968="-",P968="",P968=0),IF(O968="-","-",O968),O968-P968)</f>
        <v>-</v>
      </c>
      <c r="R968" s="4" t="str">
        <f>IFERROR(IF(O968&gt;0, P968/O968, 0),"-")</f>
        <v>-</v>
      </c>
      <c r="S968" s="34" t="s">
        <v>959</v>
      </c>
      <c r="T968" s="34" t="s">
        <v>959</v>
      </c>
      <c r="U968" s="34" t="s">
        <v>959</v>
      </c>
      <c r="V968" s="35" t="s">
        <v>959</v>
      </c>
      <c r="W968" s="35" t="s">
        <v>959</v>
      </c>
    </row>
    <row r="969" spans="1:23" x14ac:dyDescent="0.2">
      <c r="A969" s="30" t="s">
        <v>761</v>
      </c>
      <c r="B969" s="30" t="s">
        <v>1600</v>
      </c>
      <c r="C969" s="34">
        <v>48</v>
      </c>
      <c r="D969" s="35">
        <v>47</v>
      </c>
      <c r="E969" s="34">
        <f>IF(OR(D969="-",D969="",D969=0),IF(C969="-","-",C969),C969-D969)</f>
        <v>1</v>
      </c>
      <c r="F969" s="4">
        <f>IFERROR(IF(C969&gt;0, D969/C969, 0),"-")</f>
        <v>0.97916666666666663</v>
      </c>
      <c r="G969" s="34" t="s">
        <v>959</v>
      </c>
      <c r="H969" s="35" t="s">
        <v>959</v>
      </c>
      <c r="I969" s="34" t="str">
        <f>IF(OR(H969="-",H969="",H969=0),IF(G969="-","-",G969),G969-H969)</f>
        <v>-</v>
      </c>
      <c r="J969" s="4" t="str">
        <f>IFERROR(IF(G969&gt;0, H969/G969, 0),"-")</f>
        <v>-</v>
      </c>
      <c r="K969" s="34" t="s">
        <v>959</v>
      </c>
      <c r="L969" s="35" t="s">
        <v>959</v>
      </c>
      <c r="M969" s="34" t="str">
        <f>IF(OR(L969="-",L969="",L969=0),IF(K969="-","-",K969),K969-L969)</f>
        <v>-</v>
      </c>
      <c r="N969" s="4" t="str">
        <f>IFERROR(IF(K969&gt;0, L969/K969, 0),"-")</f>
        <v>-</v>
      </c>
      <c r="O969" s="34" t="s">
        <v>959</v>
      </c>
      <c r="P969" s="35" t="s">
        <v>959</v>
      </c>
      <c r="Q969" s="34" t="str">
        <f>IF(OR(P969="-",P969="",P969=0),IF(O969="-","-",O969),O969-P969)</f>
        <v>-</v>
      </c>
      <c r="R969" s="4" t="str">
        <f>IFERROR(IF(O969&gt;0, P969/O969, 0),"-")</f>
        <v>-</v>
      </c>
      <c r="S969" s="34">
        <v>1</v>
      </c>
      <c r="T969" s="34" t="s">
        <v>959</v>
      </c>
      <c r="U969" s="34" t="s">
        <v>959</v>
      </c>
      <c r="V969" s="35" t="s">
        <v>959</v>
      </c>
      <c r="W969" s="35" t="s">
        <v>959</v>
      </c>
    </row>
    <row r="970" spans="1:23" x14ac:dyDescent="0.2">
      <c r="A970" s="30" t="s">
        <v>767</v>
      </c>
      <c r="B970" s="30" t="s">
        <v>1601</v>
      </c>
      <c r="C970" s="34">
        <v>1</v>
      </c>
      <c r="D970" s="35">
        <v>1</v>
      </c>
      <c r="E970" s="34">
        <f>IF(OR(D970="-",D970="",D970=0),IF(C970="-","-",C970),C970-D970)</f>
        <v>0</v>
      </c>
      <c r="F970" s="4">
        <f>IFERROR(IF(C970&gt;0, D970/C970, 0),"-")</f>
        <v>1</v>
      </c>
      <c r="G970" s="34" t="s">
        <v>959</v>
      </c>
      <c r="H970" s="35" t="s">
        <v>959</v>
      </c>
      <c r="I970" s="34" t="str">
        <f>IF(OR(H970="-",H970="",H970=0),IF(G970="-","-",G970),G970-H970)</f>
        <v>-</v>
      </c>
      <c r="J970" s="4" t="str">
        <f>IFERROR(IF(G970&gt;0, H970/G970, 0),"-")</f>
        <v>-</v>
      </c>
      <c r="K970" s="34" t="s">
        <v>959</v>
      </c>
      <c r="L970" s="35" t="s">
        <v>959</v>
      </c>
      <c r="M970" s="34" t="str">
        <f>IF(OR(L970="-",L970="",L970=0),IF(K970="-","-",K970),K970-L970)</f>
        <v>-</v>
      </c>
      <c r="N970" s="4" t="str">
        <f>IFERROR(IF(K970&gt;0, L970/K970, 0),"-")</f>
        <v>-</v>
      </c>
      <c r="O970" s="34" t="s">
        <v>959</v>
      </c>
      <c r="P970" s="35" t="s">
        <v>959</v>
      </c>
      <c r="Q970" s="34" t="str">
        <f>IF(OR(P970="-",P970="",P970=0),IF(O970="-","-",O970),O970-P970)</f>
        <v>-</v>
      </c>
      <c r="R970" s="4" t="str">
        <f>IFERROR(IF(O970&gt;0, P970/O970, 0),"-")</f>
        <v>-</v>
      </c>
      <c r="S970" s="34" t="s">
        <v>959</v>
      </c>
      <c r="T970" s="34" t="s">
        <v>959</v>
      </c>
      <c r="U970" s="34" t="s">
        <v>959</v>
      </c>
      <c r="V970" s="35" t="s">
        <v>959</v>
      </c>
      <c r="W970" s="35" t="s">
        <v>959</v>
      </c>
    </row>
    <row r="971" spans="1:23" x14ac:dyDescent="0.2">
      <c r="A971" s="29"/>
      <c r="B971" s="29" t="s">
        <v>134</v>
      </c>
      <c r="C971" s="32">
        <v>394</v>
      </c>
      <c r="D971" s="32">
        <v>391</v>
      </c>
      <c r="E971" s="32">
        <f>IF(OR(D971="-",D971="",D971=0),IF(C971="-","-",C971),C971-D971)</f>
        <v>3</v>
      </c>
      <c r="F971" s="36">
        <f>IFERROR(IF(C971&gt;0, D971/C971, 0),"-")</f>
        <v>0.99238578680203049</v>
      </c>
      <c r="G971" s="32" t="s">
        <v>959</v>
      </c>
      <c r="H971" s="32" t="s">
        <v>959</v>
      </c>
      <c r="I971" s="32" t="str">
        <f>IF(OR(H971="-",H971="",H971=0),IF(G971="-","-",G971),G971-H971)</f>
        <v>-</v>
      </c>
      <c r="J971" s="36" t="str">
        <f>IFERROR(IF(G971&gt;0, H971/G971, 0),"-")</f>
        <v>-</v>
      </c>
      <c r="K971" s="32">
        <v>1</v>
      </c>
      <c r="L971" s="32" t="s">
        <v>959</v>
      </c>
      <c r="M971" s="32">
        <f>IF(OR(L971="-",L971="",L971=0),IF(K971="-","-",K971),K971-L971)</f>
        <v>1</v>
      </c>
      <c r="N971" s="36" t="str">
        <f>IFERROR(IF(K971&gt;0, L971/K971, 0),"-")</f>
        <v>-</v>
      </c>
      <c r="O971" s="32" t="s">
        <v>959</v>
      </c>
      <c r="P971" s="32" t="s">
        <v>959</v>
      </c>
      <c r="Q971" s="32" t="str">
        <f>IF(OR(P971="-",P971="",P971=0),IF(O971="-","-",O971),O971-P971)</f>
        <v>-</v>
      </c>
      <c r="R971" s="36" t="str">
        <f>IFERROR(IF(O971&gt;0, P971/O971, 0),"-")</f>
        <v>-</v>
      </c>
      <c r="S971" s="32" t="s">
        <v>959</v>
      </c>
      <c r="T971" s="32" t="s">
        <v>959</v>
      </c>
      <c r="U971" s="32" t="s">
        <v>959</v>
      </c>
      <c r="V971" s="32" t="s">
        <v>959</v>
      </c>
      <c r="W971" s="32" t="s">
        <v>959</v>
      </c>
    </row>
    <row r="972" spans="1:23" x14ac:dyDescent="0.2">
      <c r="A972" s="30" t="s">
        <v>938</v>
      </c>
      <c r="B972" s="30" t="s">
        <v>1602</v>
      </c>
      <c r="C972" s="34">
        <v>87</v>
      </c>
      <c r="D972" s="35">
        <v>86</v>
      </c>
      <c r="E972" s="34">
        <f>IF(OR(D972="-",D972="",D972=0),IF(C972="-","-",C972),C972-D972)</f>
        <v>1</v>
      </c>
      <c r="F972" s="4">
        <f>IFERROR(IF(C972&gt;0, D972/C972, 0),"-")</f>
        <v>0.9885057471264368</v>
      </c>
      <c r="G972" s="34" t="s">
        <v>959</v>
      </c>
      <c r="H972" s="35" t="s">
        <v>959</v>
      </c>
      <c r="I972" s="34" t="str">
        <f>IF(OR(H972="-",H972="",H972=0),IF(G972="-","-",G972),G972-H972)</f>
        <v>-</v>
      </c>
      <c r="J972" s="4" t="str">
        <f>IFERROR(IF(G972&gt;0, H972/G972, 0),"-")</f>
        <v>-</v>
      </c>
      <c r="K972" s="34">
        <v>1</v>
      </c>
      <c r="L972" s="35" t="s">
        <v>959</v>
      </c>
      <c r="M972" s="34">
        <f>IF(OR(L972="-",L972="",L972=0),IF(K972="-","-",K972),K972-L972)</f>
        <v>1</v>
      </c>
      <c r="N972" s="4" t="str">
        <f>IFERROR(IF(K972&gt;0, L972/K972, 0),"-")</f>
        <v>-</v>
      </c>
      <c r="O972" s="34" t="s">
        <v>959</v>
      </c>
      <c r="P972" s="35" t="s">
        <v>959</v>
      </c>
      <c r="Q972" s="34" t="str">
        <f>IF(OR(P972="-",P972="",P972=0),IF(O972="-","-",O972),O972-P972)</f>
        <v>-</v>
      </c>
      <c r="R972" s="4" t="str">
        <f>IFERROR(IF(O972&gt;0, P972/O972, 0),"-")</f>
        <v>-</v>
      </c>
      <c r="S972" s="34" t="s">
        <v>959</v>
      </c>
      <c r="T972" s="34" t="s">
        <v>959</v>
      </c>
      <c r="U972" s="34" t="s">
        <v>959</v>
      </c>
      <c r="V972" s="35" t="s">
        <v>959</v>
      </c>
      <c r="W972" s="35" t="s">
        <v>959</v>
      </c>
    </row>
    <row r="973" spans="1:23" x14ac:dyDescent="0.2">
      <c r="A973" s="30" t="s">
        <v>940</v>
      </c>
      <c r="B973" s="30" t="s">
        <v>1603</v>
      </c>
      <c r="C973" s="34">
        <v>40</v>
      </c>
      <c r="D973" s="35">
        <v>39</v>
      </c>
      <c r="E973" s="34">
        <f>IF(OR(D973="-",D973="",D973=0),IF(C973="-","-",C973),C973-D973)</f>
        <v>1</v>
      </c>
      <c r="F973" s="4">
        <f>IFERROR(IF(C973&gt;0, D973/C973, 0),"-")</f>
        <v>0.97499999999999998</v>
      </c>
      <c r="G973" s="34" t="s">
        <v>959</v>
      </c>
      <c r="H973" s="35" t="s">
        <v>959</v>
      </c>
      <c r="I973" s="34" t="str">
        <f>IF(OR(H973="-",H973="",H973=0),IF(G973="-","-",G973),G973-H973)</f>
        <v>-</v>
      </c>
      <c r="J973" s="4" t="str">
        <f>IFERROR(IF(G973&gt;0, H973/G973, 0),"-")</f>
        <v>-</v>
      </c>
      <c r="K973" s="34" t="s">
        <v>959</v>
      </c>
      <c r="L973" s="35" t="s">
        <v>959</v>
      </c>
      <c r="M973" s="34" t="str">
        <f>IF(OR(L973="-",L973="",L973=0),IF(K973="-","-",K973),K973-L973)</f>
        <v>-</v>
      </c>
      <c r="N973" s="4" t="str">
        <f>IFERROR(IF(K973&gt;0, L973/K973, 0),"-")</f>
        <v>-</v>
      </c>
      <c r="O973" s="34" t="s">
        <v>959</v>
      </c>
      <c r="P973" s="35" t="s">
        <v>959</v>
      </c>
      <c r="Q973" s="34" t="str">
        <f>IF(OR(P973="-",P973="",P973=0),IF(O973="-","-",O973),O973-P973)</f>
        <v>-</v>
      </c>
      <c r="R973" s="4" t="str">
        <f>IFERROR(IF(O973&gt;0, P973/O973, 0),"-")</f>
        <v>-</v>
      </c>
      <c r="S973" s="34" t="s">
        <v>959</v>
      </c>
      <c r="T973" s="34" t="s">
        <v>959</v>
      </c>
      <c r="U973" s="34" t="s">
        <v>959</v>
      </c>
      <c r="V973" s="35" t="s">
        <v>959</v>
      </c>
      <c r="W973" s="35" t="s">
        <v>959</v>
      </c>
    </row>
    <row r="974" spans="1:23" x14ac:dyDescent="0.2">
      <c r="A974" s="30" t="s">
        <v>941</v>
      </c>
      <c r="B974" s="30" t="s">
        <v>1604</v>
      </c>
      <c r="C974" s="34">
        <v>69</v>
      </c>
      <c r="D974" s="35">
        <v>68</v>
      </c>
      <c r="E974" s="34">
        <f>IF(OR(D974="-",D974="",D974=0),IF(C974="-","-",C974),C974-D974)</f>
        <v>1</v>
      </c>
      <c r="F974" s="4">
        <f>IFERROR(IF(C974&gt;0, D974/C974, 0),"-")</f>
        <v>0.98550724637681164</v>
      </c>
      <c r="G974" s="34" t="s">
        <v>959</v>
      </c>
      <c r="H974" s="35" t="s">
        <v>959</v>
      </c>
      <c r="I974" s="34" t="str">
        <f>IF(OR(H974="-",H974="",H974=0),IF(G974="-","-",G974),G974-H974)</f>
        <v>-</v>
      </c>
      <c r="J974" s="4" t="str">
        <f>IFERROR(IF(G974&gt;0, H974/G974, 0),"-")</f>
        <v>-</v>
      </c>
      <c r="K974" s="34" t="s">
        <v>959</v>
      </c>
      <c r="L974" s="35" t="s">
        <v>959</v>
      </c>
      <c r="M974" s="34" t="str">
        <f>IF(OR(L974="-",L974="",L974=0),IF(K974="-","-",K974),K974-L974)</f>
        <v>-</v>
      </c>
      <c r="N974" s="4" t="str">
        <f>IFERROR(IF(K974&gt;0, L974/K974, 0),"-")</f>
        <v>-</v>
      </c>
      <c r="O974" s="34" t="s">
        <v>959</v>
      </c>
      <c r="P974" s="35" t="s">
        <v>959</v>
      </c>
      <c r="Q974" s="34" t="str">
        <f>IF(OR(P974="-",P974="",P974=0),IF(O974="-","-",O974),O974-P974)</f>
        <v>-</v>
      </c>
      <c r="R974" s="4" t="str">
        <f>IFERROR(IF(O974&gt;0, P974/O974, 0),"-")</f>
        <v>-</v>
      </c>
      <c r="S974" s="34" t="s">
        <v>959</v>
      </c>
      <c r="T974" s="34" t="s">
        <v>959</v>
      </c>
      <c r="U974" s="34" t="s">
        <v>959</v>
      </c>
      <c r="V974" s="35" t="s">
        <v>959</v>
      </c>
      <c r="W974" s="35" t="s">
        <v>959</v>
      </c>
    </row>
    <row r="975" spans="1:23" x14ac:dyDescent="0.2">
      <c r="A975" s="30" t="s">
        <v>950</v>
      </c>
      <c r="B975" s="30" t="s">
        <v>1605</v>
      </c>
      <c r="C975" s="34" t="s">
        <v>959</v>
      </c>
      <c r="D975" s="35" t="s">
        <v>959</v>
      </c>
      <c r="E975" s="34" t="str">
        <f>IF(OR(D975="-",D975="",D975=0),IF(C975="-","-",C975),C975-D975)</f>
        <v>-</v>
      </c>
      <c r="F975" s="4" t="str">
        <f>IFERROR(IF(C975&gt;0, D975/C975, 0),"-")</f>
        <v>-</v>
      </c>
      <c r="G975" s="34" t="s">
        <v>959</v>
      </c>
      <c r="H975" s="35" t="s">
        <v>959</v>
      </c>
      <c r="I975" s="34" t="str">
        <f>IF(OR(H975="-",H975="",H975=0),IF(G975="-","-",G975),G975-H975)</f>
        <v>-</v>
      </c>
      <c r="J975" s="4" t="str">
        <f>IFERROR(IF(G975&gt;0, H975/G975, 0),"-")</f>
        <v>-</v>
      </c>
      <c r="K975" s="34" t="s">
        <v>959</v>
      </c>
      <c r="L975" s="35" t="s">
        <v>959</v>
      </c>
      <c r="M975" s="34" t="str">
        <f>IF(OR(L975="-",L975="",L975=0),IF(K975="-","-",K975),K975-L975)</f>
        <v>-</v>
      </c>
      <c r="N975" s="4" t="str">
        <f>IFERROR(IF(K975&gt;0, L975/K975, 0),"-")</f>
        <v>-</v>
      </c>
      <c r="O975" s="34" t="s">
        <v>959</v>
      </c>
      <c r="P975" s="35" t="s">
        <v>959</v>
      </c>
      <c r="Q975" s="34" t="str">
        <f>IF(OR(P975="-",P975="",P975=0),IF(O975="-","-",O975),O975-P975)</f>
        <v>-</v>
      </c>
      <c r="R975" s="4" t="str">
        <f>IFERROR(IF(O975&gt;0, P975/O975, 0),"-")</f>
        <v>-</v>
      </c>
      <c r="S975" s="34" t="s">
        <v>959</v>
      </c>
      <c r="T975" s="34" t="s">
        <v>959</v>
      </c>
      <c r="U975" s="34" t="s">
        <v>959</v>
      </c>
      <c r="V975" s="35" t="s">
        <v>959</v>
      </c>
      <c r="W975" s="35" t="s">
        <v>959</v>
      </c>
    </row>
    <row r="976" spans="1:23" x14ac:dyDescent="0.2">
      <c r="A976" s="30" t="s">
        <v>939</v>
      </c>
      <c r="B976" s="30" t="s">
        <v>1606</v>
      </c>
      <c r="C976" s="34">
        <v>84</v>
      </c>
      <c r="D976" s="35">
        <v>84</v>
      </c>
      <c r="E976" s="34">
        <f>IF(OR(D976="-",D976="",D976=0),IF(C976="-","-",C976),C976-D976)</f>
        <v>0</v>
      </c>
      <c r="F976" s="4">
        <f>IFERROR(IF(C976&gt;0, D976/C976, 0),"-")</f>
        <v>1</v>
      </c>
      <c r="G976" s="34" t="s">
        <v>959</v>
      </c>
      <c r="H976" s="35" t="s">
        <v>959</v>
      </c>
      <c r="I976" s="34" t="str">
        <f>IF(OR(H976="-",H976="",H976=0),IF(G976="-","-",G976),G976-H976)</f>
        <v>-</v>
      </c>
      <c r="J976" s="4" t="str">
        <f>IFERROR(IF(G976&gt;0, H976/G976, 0),"-")</f>
        <v>-</v>
      </c>
      <c r="K976" s="34" t="s">
        <v>959</v>
      </c>
      <c r="L976" s="35" t="s">
        <v>959</v>
      </c>
      <c r="M976" s="34" t="str">
        <f>IF(OR(L976="-",L976="",L976=0),IF(K976="-","-",K976),K976-L976)</f>
        <v>-</v>
      </c>
      <c r="N976" s="4" t="str">
        <f>IFERROR(IF(K976&gt;0, L976/K976, 0),"-")</f>
        <v>-</v>
      </c>
      <c r="O976" s="34" t="s">
        <v>959</v>
      </c>
      <c r="P976" s="35" t="s">
        <v>959</v>
      </c>
      <c r="Q976" s="34" t="str">
        <f>IF(OR(P976="-",P976="",P976=0),IF(O976="-","-",O976),O976-P976)</f>
        <v>-</v>
      </c>
      <c r="R976" s="4" t="str">
        <f>IFERROR(IF(O976&gt;0, P976/O976, 0),"-")</f>
        <v>-</v>
      </c>
      <c r="S976" s="34" t="s">
        <v>959</v>
      </c>
      <c r="T976" s="34" t="s">
        <v>959</v>
      </c>
      <c r="U976" s="34" t="s">
        <v>959</v>
      </c>
      <c r="V976" s="35" t="s">
        <v>959</v>
      </c>
      <c r="W976" s="35" t="s">
        <v>959</v>
      </c>
    </row>
    <row r="977" spans="1:23" x14ac:dyDescent="0.2">
      <c r="A977" s="30" t="s">
        <v>937</v>
      </c>
      <c r="B977" s="30" t="s">
        <v>1607</v>
      </c>
      <c r="C977" s="34">
        <v>114</v>
      </c>
      <c r="D977" s="35">
        <v>114</v>
      </c>
      <c r="E977" s="34">
        <f>IF(OR(D977="-",D977="",D977=0),IF(C977="-","-",C977),C977-D977)</f>
        <v>0</v>
      </c>
      <c r="F977" s="4">
        <f>IFERROR(IF(C977&gt;0, D977/C977, 0),"-")</f>
        <v>1</v>
      </c>
      <c r="G977" s="34" t="s">
        <v>959</v>
      </c>
      <c r="H977" s="35" t="s">
        <v>959</v>
      </c>
      <c r="I977" s="34" t="str">
        <f>IF(OR(H977="-",H977="",H977=0),IF(G977="-","-",G977),G977-H977)</f>
        <v>-</v>
      </c>
      <c r="J977" s="4" t="str">
        <f>IFERROR(IF(G977&gt;0, H977/G977, 0),"-")</f>
        <v>-</v>
      </c>
      <c r="K977" s="34" t="s">
        <v>959</v>
      </c>
      <c r="L977" s="35" t="s">
        <v>959</v>
      </c>
      <c r="M977" s="34" t="str">
        <f>IF(OR(L977="-",L977="",L977=0),IF(K977="-","-",K977),K977-L977)</f>
        <v>-</v>
      </c>
      <c r="N977" s="4" t="str">
        <f>IFERROR(IF(K977&gt;0, L977/K977, 0),"-")</f>
        <v>-</v>
      </c>
      <c r="O977" s="34" t="s">
        <v>959</v>
      </c>
      <c r="P977" s="35" t="s">
        <v>959</v>
      </c>
      <c r="Q977" s="34" t="str">
        <f>IF(OR(P977="-",P977="",P977=0),IF(O977="-","-",O977),O977-P977)</f>
        <v>-</v>
      </c>
      <c r="R977" s="4" t="str">
        <f>IFERROR(IF(O977&gt;0, P977/O977, 0),"-")</f>
        <v>-</v>
      </c>
      <c r="S977" s="34" t="s">
        <v>959</v>
      </c>
      <c r="T977" s="34" t="s">
        <v>959</v>
      </c>
      <c r="U977" s="34" t="s">
        <v>959</v>
      </c>
      <c r="V977" s="35" t="s">
        <v>959</v>
      </c>
      <c r="W977" s="35" t="s">
        <v>959</v>
      </c>
    </row>
    <row r="978" spans="1:23" x14ac:dyDescent="0.2">
      <c r="A978" s="29"/>
      <c r="B978" s="29" t="s">
        <v>113</v>
      </c>
      <c r="C978" s="32">
        <v>508</v>
      </c>
      <c r="D978" s="32">
        <v>508</v>
      </c>
      <c r="E978" s="32">
        <f>IF(OR(D978="-",D978="",D978=0),IF(C978="-","-",C978),C978-D978)</f>
        <v>0</v>
      </c>
      <c r="F978" s="36">
        <f>IFERROR(IF(C978&gt;0, D978/C978, 0),"-")</f>
        <v>1</v>
      </c>
      <c r="G978" s="32">
        <v>1</v>
      </c>
      <c r="H978" s="32" t="s">
        <v>959</v>
      </c>
      <c r="I978" s="32">
        <f>IF(OR(H978="-",H978="",H978=0),IF(G978="-","-",G978),G978-H978)</f>
        <v>1</v>
      </c>
      <c r="J978" s="36" t="str">
        <f>IFERROR(IF(G978&gt;0, H978/G978, 0),"-")</f>
        <v>-</v>
      </c>
      <c r="K978" s="32" t="s">
        <v>959</v>
      </c>
      <c r="L978" s="32" t="s">
        <v>959</v>
      </c>
      <c r="M978" s="32" t="str">
        <f>IF(OR(L978="-",L978="",L978=0),IF(K978="-","-",K978),K978-L978)</f>
        <v>-</v>
      </c>
      <c r="N978" s="36" t="str">
        <f>IFERROR(IF(K978&gt;0, L978/K978, 0),"-")</f>
        <v>-</v>
      </c>
      <c r="O978" s="32" t="s">
        <v>959</v>
      </c>
      <c r="P978" s="32" t="s">
        <v>959</v>
      </c>
      <c r="Q978" s="32" t="str">
        <f>IF(OR(P978="-",P978="",P978=0),IF(O978="-","-",O978),O978-P978)</f>
        <v>-</v>
      </c>
      <c r="R978" s="36" t="str">
        <f>IFERROR(IF(O978&gt;0, P978/O978, 0),"-")</f>
        <v>-</v>
      </c>
      <c r="S978" s="32" t="s">
        <v>959</v>
      </c>
      <c r="T978" s="32" t="s">
        <v>959</v>
      </c>
      <c r="U978" s="32" t="s">
        <v>959</v>
      </c>
      <c r="V978" s="32" t="s">
        <v>959</v>
      </c>
      <c r="W978" s="32" t="s">
        <v>959</v>
      </c>
    </row>
    <row r="979" spans="1:23" x14ac:dyDescent="0.2">
      <c r="A979" s="30" t="s">
        <v>816</v>
      </c>
      <c r="B979" s="30" t="s">
        <v>1608</v>
      </c>
      <c r="C979" s="34">
        <v>94</v>
      </c>
      <c r="D979" s="35">
        <v>94</v>
      </c>
      <c r="E979" s="34">
        <f>IF(OR(D979="-",D979="",D979=0),IF(C979="-","-",C979),C979-D979)</f>
        <v>0</v>
      </c>
      <c r="F979" s="4">
        <f>IFERROR(IF(C979&gt;0, D979/C979, 0),"-")</f>
        <v>1</v>
      </c>
      <c r="G979" s="34" t="s">
        <v>959</v>
      </c>
      <c r="H979" s="35" t="s">
        <v>959</v>
      </c>
      <c r="I979" s="34" t="str">
        <f>IF(OR(H979="-",H979="",H979=0),IF(G979="-","-",G979),G979-H979)</f>
        <v>-</v>
      </c>
      <c r="J979" s="4" t="str">
        <f>IFERROR(IF(G979&gt;0, H979/G979, 0),"-")</f>
        <v>-</v>
      </c>
      <c r="K979" s="34" t="s">
        <v>959</v>
      </c>
      <c r="L979" s="35" t="s">
        <v>959</v>
      </c>
      <c r="M979" s="34" t="str">
        <f>IF(OR(L979="-",L979="",L979=0),IF(K979="-","-",K979),K979-L979)</f>
        <v>-</v>
      </c>
      <c r="N979" s="4" t="str">
        <f>IFERROR(IF(K979&gt;0, L979/K979, 0),"-")</f>
        <v>-</v>
      </c>
      <c r="O979" s="34" t="s">
        <v>959</v>
      </c>
      <c r="P979" s="35" t="s">
        <v>959</v>
      </c>
      <c r="Q979" s="34" t="str">
        <f>IF(OR(P979="-",P979="",P979=0),IF(O979="-","-",O979),O979-P979)</f>
        <v>-</v>
      </c>
      <c r="R979" s="4" t="str">
        <f>IFERROR(IF(O979&gt;0, P979/O979, 0),"-")</f>
        <v>-</v>
      </c>
      <c r="S979" s="34" t="s">
        <v>959</v>
      </c>
      <c r="T979" s="34" t="s">
        <v>959</v>
      </c>
      <c r="U979" s="34" t="s">
        <v>959</v>
      </c>
      <c r="V979" s="35" t="s">
        <v>959</v>
      </c>
      <c r="W979" s="35" t="s">
        <v>959</v>
      </c>
    </row>
    <row r="980" spans="1:23" x14ac:dyDescent="0.2">
      <c r="A980" s="30" t="s">
        <v>819</v>
      </c>
      <c r="B980" s="30" t="s">
        <v>1609</v>
      </c>
      <c r="C980" s="34">
        <v>126</v>
      </c>
      <c r="D980" s="35">
        <v>126</v>
      </c>
      <c r="E980" s="34">
        <f>IF(OR(D980="-",D980="",D980=0),IF(C980="-","-",C980),C980-D980)</f>
        <v>0</v>
      </c>
      <c r="F980" s="4">
        <f>IFERROR(IF(C980&gt;0, D980/C980, 0),"-")</f>
        <v>1</v>
      </c>
      <c r="G980" s="34" t="s">
        <v>959</v>
      </c>
      <c r="H980" s="35" t="s">
        <v>959</v>
      </c>
      <c r="I980" s="34" t="str">
        <f>IF(OR(H980="-",H980="",H980=0),IF(G980="-","-",G980),G980-H980)</f>
        <v>-</v>
      </c>
      <c r="J980" s="4" t="str">
        <f>IFERROR(IF(G980&gt;0, H980/G980, 0),"-")</f>
        <v>-</v>
      </c>
      <c r="K980" s="34" t="s">
        <v>959</v>
      </c>
      <c r="L980" s="35" t="s">
        <v>959</v>
      </c>
      <c r="M980" s="34" t="str">
        <f>IF(OR(L980="-",L980="",L980=0),IF(K980="-","-",K980),K980-L980)</f>
        <v>-</v>
      </c>
      <c r="N980" s="4" t="str">
        <f>IFERROR(IF(K980&gt;0, L980/K980, 0),"-")</f>
        <v>-</v>
      </c>
      <c r="O980" s="34" t="s">
        <v>959</v>
      </c>
      <c r="P980" s="35" t="s">
        <v>959</v>
      </c>
      <c r="Q980" s="34" t="str">
        <f>IF(OR(P980="-",P980="",P980=0),IF(O980="-","-",O980),O980-P980)</f>
        <v>-</v>
      </c>
      <c r="R980" s="4" t="str">
        <f>IFERROR(IF(O980&gt;0, P980/O980, 0),"-")</f>
        <v>-</v>
      </c>
      <c r="S980" s="34" t="s">
        <v>959</v>
      </c>
      <c r="T980" s="34" t="s">
        <v>959</v>
      </c>
      <c r="U980" s="34" t="s">
        <v>959</v>
      </c>
      <c r="V980" s="35" t="s">
        <v>959</v>
      </c>
      <c r="W980" s="35" t="s">
        <v>959</v>
      </c>
    </row>
    <row r="981" spans="1:23" x14ac:dyDescent="0.2">
      <c r="A981" s="30" t="s">
        <v>820</v>
      </c>
      <c r="B981" s="30" t="s">
        <v>1610</v>
      </c>
      <c r="C981" s="34">
        <v>73</v>
      </c>
      <c r="D981" s="35">
        <v>73</v>
      </c>
      <c r="E981" s="34">
        <f>IF(OR(D981="-",D981="",D981=0),IF(C981="-","-",C981),C981-D981)</f>
        <v>0</v>
      </c>
      <c r="F981" s="4">
        <f>IFERROR(IF(C981&gt;0, D981/C981, 0),"-")</f>
        <v>1</v>
      </c>
      <c r="G981" s="34">
        <v>1</v>
      </c>
      <c r="H981" s="35" t="s">
        <v>959</v>
      </c>
      <c r="I981" s="34">
        <f>IF(OR(H981="-",H981="",H981=0),IF(G981="-","-",G981),G981-H981)</f>
        <v>1</v>
      </c>
      <c r="J981" s="4" t="str">
        <f>IFERROR(IF(G981&gt;0, H981/G981, 0),"-")</f>
        <v>-</v>
      </c>
      <c r="K981" s="34" t="s">
        <v>959</v>
      </c>
      <c r="L981" s="35" t="s">
        <v>959</v>
      </c>
      <c r="M981" s="34" t="str">
        <f>IF(OR(L981="-",L981="",L981=0),IF(K981="-","-",K981),K981-L981)</f>
        <v>-</v>
      </c>
      <c r="N981" s="4" t="str">
        <f>IFERROR(IF(K981&gt;0, L981/K981, 0),"-")</f>
        <v>-</v>
      </c>
      <c r="O981" s="34" t="s">
        <v>959</v>
      </c>
      <c r="P981" s="35" t="s">
        <v>959</v>
      </c>
      <c r="Q981" s="34" t="str">
        <f>IF(OR(P981="-",P981="",P981=0),IF(O981="-","-",O981),O981-P981)</f>
        <v>-</v>
      </c>
      <c r="R981" s="4" t="str">
        <f>IFERROR(IF(O981&gt;0, P981/O981, 0),"-")</f>
        <v>-</v>
      </c>
      <c r="S981" s="34" t="s">
        <v>959</v>
      </c>
      <c r="T981" s="34" t="s">
        <v>959</v>
      </c>
      <c r="U981" s="34" t="s">
        <v>959</v>
      </c>
      <c r="V981" s="35" t="s">
        <v>959</v>
      </c>
      <c r="W981" s="35" t="s">
        <v>959</v>
      </c>
    </row>
    <row r="982" spans="1:23" x14ac:dyDescent="0.2">
      <c r="A982" s="30" t="s">
        <v>818</v>
      </c>
      <c r="B982" s="30" t="s">
        <v>1611</v>
      </c>
      <c r="C982" s="34">
        <v>81</v>
      </c>
      <c r="D982" s="35">
        <v>81</v>
      </c>
      <c r="E982" s="34">
        <f>IF(OR(D982="-",D982="",D982=0),IF(C982="-","-",C982),C982-D982)</f>
        <v>0</v>
      </c>
      <c r="F982" s="4">
        <f>IFERROR(IF(C982&gt;0, D982/C982, 0),"-")</f>
        <v>1</v>
      </c>
      <c r="G982" s="34" t="s">
        <v>959</v>
      </c>
      <c r="H982" s="35" t="s">
        <v>959</v>
      </c>
      <c r="I982" s="34" t="str">
        <f>IF(OR(H982="-",H982="",H982=0),IF(G982="-","-",G982),G982-H982)</f>
        <v>-</v>
      </c>
      <c r="J982" s="4" t="str">
        <f>IFERROR(IF(G982&gt;0, H982/G982, 0),"-")</f>
        <v>-</v>
      </c>
      <c r="K982" s="34" t="s">
        <v>959</v>
      </c>
      <c r="L982" s="35" t="s">
        <v>959</v>
      </c>
      <c r="M982" s="34" t="str">
        <f>IF(OR(L982="-",L982="",L982=0),IF(K982="-","-",K982),K982-L982)</f>
        <v>-</v>
      </c>
      <c r="N982" s="4" t="str">
        <f>IFERROR(IF(K982&gt;0, L982/K982, 0),"-")</f>
        <v>-</v>
      </c>
      <c r="O982" s="34" t="s">
        <v>959</v>
      </c>
      <c r="P982" s="35" t="s">
        <v>959</v>
      </c>
      <c r="Q982" s="34" t="str">
        <f>IF(OR(P982="-",P982="",P982=0),IF(O982="-","-",O982),O982-P982)</f>
        <v>-</v>
      </c>
      <c r="R982" s="4" t="str">
        <f>IFERROR(IF(O982&gt;0, P982/O982, 0),"-")</f>
        <v>-</v>
      </c>
      <c r="S982" s="34" t="s">
        <v>959</v>
      </c>
      <c r="T982" s="34" t="s">
        <v>959</v>
      </c>
      <c r="U982" s="34" t="s">
        <v>959</v>
      </c>
      <c r="V982" s="35" t="s">
        <v>959</v>
      </c>
      <c r="W982" s="35" t="s">
        <v>959</v>
      </c>
    </row>
    <row r="983" spans="1:23" x14ac:dyDescent="0.2">
      <c r="A983" s="30" t="s">
        <v>817</v>
      </c>
      <c r="B983" s="30" t="s">
        <v>1612</v>
      </c>
      <c r="C983" s="34">
        <v>134</v>
      </c>
      <c r="D983" s="35">
        <v>134</v>
      </c>
      <c r="E983" s="34">
        <f>IF(OR(D983="-",D983="",D983=0),IF(C983="-","-",C983),C983-D983)</f>
        <v>0</v>
      </c>
      <c r="F983" s="4">
        <f>IFERROR(IF(C983&gt;0, D983/C983, 0),"-")</f>
        <v>1</v>
      </c>
      <c r="G983" s="34" t="s">
        <v>959</v>
      </c>
      <c r="H983" s="35" t="s">
        <v>959</v>
      </c>
      <c r="I983" s="34" t="str">
        <f>IF(OR(H983="-",H983="",H983=0),IF(G983="-","-",G983),G983-H983)</f>
        <v>-</v>
      </c>
      <c r="J983" s="4" t="str">
        <f>IFERROR(IF(G983&gt;0, H983/G983, 0),"-")</f>
        <v>-</v>
      </c>
      <c r="K983" s="34" t="s">
        <v>959</v>
      </c>
      <c r="L983" s="35" t="s">
        <v>959</v>
      </c>
      <c r="M983" s="34" t="str">
        <f>IF(OR(L983="-",L983="",L983=0),IF(K983="-","-",K983),K983-L983)</f>
        <v>-</v>
      </c>
      <c r="N983" s="4" t="str">
        <f>IFERROR(IF(K983&gt;0, L983/K983, 0),"-")</f>
        <v>-</v>
      </c>
      <c r="O983" s="34" t="s">
        <v>959</v>
      </c>
      <c r="P983" s="35" t="s">
        <v>959</v>
      </c>
      <c r="Q983" s="34" t="str">
        <f>IF(OR(P983="-",P983="",P983=0),IF(O983="-","-",O983),O983-P983)</f>
        <v>-</v>
      </c>
      <c r="R983" s="4" t="str">
        <f>IFERROR(IF(O983&gt;0, P983/O983, 0),"-")</f>
        <v>-</v>
      </c>
      <c r="S983" s="34" t="s">
        <v>959</v>
      </c>
      <c r="T983" s="34" t="s">
        <v>959</v>
      </c>
      <c r="U983" s="34" t="s">
        <v>959</v>
      </c>
      <c r="V983" s="35" t="s">
        <v>959</v>
      </c>
      <c r="W983" s="35" t="s">
        <v>959</v>
      </c>
    </row>
    <row r="984" spans="1:23" x14ac:dyDescent="0.2">
      <c r="A984" s="29"/>
      <c r="B984" s="29" t="s">
        <v>95</v>
      </c>
      <c r="C984" s="32">
        <v>564</v>
      </c>
      <c r="D984" s="32">
        <v>558</v>
      </c>
      <c r="E984" s="32">
        <f>IF(OR(D984="-",D984="",D984=0),IF(C984="-","-",C984),C984-D984)</f>
        <v>6</v>
      </c>
      <c r="F984" s="36">
        <f>IFERROR(IF(C984&gt;0, D984/C984, 0),"-")</f>
        <v>0.98936170212765961</v>
      </c>
      <c r="G984" s="32">
        <v>1</v>
      </c>
      <c r="H984" s="32" t="s">
        <v>959</v>
      </c>
      <c r="I984" s="32">
        <f>IF(OR(H984="-",H984="",H984=0),IF(G984="-","-",G984),G984-H984)</f>
        <v>1</v>
      </c>
      <c r="J984" s="36" t="str">
        <f>IFERROR(IF(G984&gt;0, H984/G984, 0),"-")</f>
        <v>-</v>
      </c>
      <c r="K984" s="32" t="s">
        <v>959</v>
      </c>
      <c r="L984" s="32" t="s">
        <v>959</v>
      </c>
      <c r="M984" s="32" t="str">
        <f>IF(OR(L984="-",L984="",L984=0),IF(K984="-","-",K984),K984-L984)</f>
        <v>-</v>
      </c>
      <c r="N984" s="36" t="str">
        <f>IFERROR(IF(K984&gt;0, L984/K984, 0),"-")</f>
        <v>-</v>
      </c>
      <c r="O984" s="32">
        <v>2</v>
      </c>
      <c r="P984" s="32" t="s">
        <v>959</v>
      </c>
      <c r="Q984" s="32">
        <f>IF(OR(P984="-",P984="",P984=0),IF(O984="-","-",O984),O984-P984)</f>
        <v>2</v>
      </c>
      <c r="R984" s="36" t="str">
        <f>IFERROR(IF(O984&gt;0, P984/O984, 0),"-")</f>
        <v>-</v>
      </c>
      <c r="S984" s="32">
        <v>8</v>
      </c>
      <c r="T984" s="32" t="s">
        <v>959</v>
      </c>
      <c r="U984" s="32" t="s">
        <v>959</v>
      </c>
      <c r="V984" s="32" t="s">
        <v>959</v>
      </c>
      <c r="W984" s="32" t="s">
        <v>959</v>
      </c>
    </row>
    <row r="985" spans="1:23" x14ac:dyDescent="0.2">
      <c r="A985" s="30" t="s">
        <v>656</v>
      </c>
      <c r="B985" s="30" t="s">
        <v>1613</v>
      </c>
      <c r="C985" s="34">
        <v>107</v>
      </c>
      <c r="D985" s="35">
        <v>106</v>
      </c>
      <c r="E985" s="34">
        <f>IF(OR(D985="-",D985="",D985=0),IF(C985="-","-",C985),C985-D985)</f>
        <v>1</v>
      </c>
      <c r="F985" s="4">
        <f>IFERROR(IF(C985&gt;0, D985/C985, 0),"-")</f>
        <v>0.99065420560747663</v>
      </c>
      <c r="G985" s="34" t="s">
        <v>959</v>
      </c>
      <c r="H985" s="35" t="s">
        <v>959</v>
      </c>
      <c r="I985" s="34" t="str">
        <f>IF(OR(H985="-",H985="",H985=0),IF(G985="-","-",G985),G985-H985)</f>
        <v>-</v>
      </c>
      <c r="J985" s="4" t="str">
        <f>IFERROR(IF(G985&gt;0, H985/G985, 0),"-")</f>
        <v>-</v>
      </c>
      <c r="K985" s="34" t="s">
        <v>959</v>
      </c>
      <c r="L985" s="35" t="s">
        <v>959</v>
      </c>
      <c r="M985" s="34" t="str">
        <f>IF(OR(L985="-",L985="",L985=0),IF(K985="-","-",K985),K985-L985)</f>
        <v>-</v>
      </c>
      <c r="N985" s="4" t="str">
        <f>IFERROR(IF(K985&gt;0, L985/K985, 0),"-")</f>
        <v>-</v>
      </c>
      <c r="O985" s="34" t="s">
        <v>959</v>
      </c>
      <c r="P985" s="35" t="s">
        <v>959</v>
      </c>
      <c r="Q985" s="34" t="str">
        <f>IF(OR(P985="-",P985="",P985=0),IF(O985="-","-",O985),O985-P985)</f>
        <v>-</v>
      </c>
      <c r="R985" s="4" t="str">
        <f>IFERROR(IF(O985&gt;0, P985/O985, 0),"-")</f>
        <v>-</v>
      </c>
      <c r="S985" s="34" t="s">
        <v>959</v>
      </c>
      <c r="T985" s="34" t="s">
        <v>959</v>
      </c>
      <c r="U985" s="34" t="s">
        <v>959</v>
      </c>
      <c r="V985" s="35" t="s">
        <v>959</v>
      </c>
      <c r="W985" s="35" t="s">
        <v>959</v>
      </c>
    </row>
    <row r="986" spans="1:23" x14ac:dyDescent="0.2">
      <c r="A986" s="30" t="s">
        <v>658</v>
      </c>
      <c r="B986" s="30" t="s">
        <v>1614</v>
      </c>
      <c r="C986" s="34">
        <v>70</v>
      </c>
      <c r="D986" s="35">
        <v>70</v>
      </c>
      <c r="E986" s="34">
        <f>IF(OR(D986="-",D986="",D986=0),IF(C986="-","-",C986),C986-D986)</f>
        <v>0</v>
      </c>
      <c r="F986" s="4">
        <f>IFERROR(IF(C986&gt;0, D986/C986, 0),"-")</f>
        <v>1</v>
      </c>
      <c r="G986" s="34">
        <v>1</v>
      </c>
      <c r="H986" s="35" t="s">
        <v>959</v>
      </c>
      <c r="I986" s="34">
        <f>IF(OR(H986="-",H986="",H986=0),IF(G986="-","-",G986),G986-H986)</f>
        <v>1</v>
      </c>
      <c r="J986" s="4" t="str">
        <f>IFERROR(IF(G986&gt;0, H986/G986, 0),"-")</f>
        <v>-</v>
      </c>
      <c r="K986" s="34" t="s">
        <v>959</v>
      </c>
      <c r="L986" s="35" t="s">
        <v>959</v>
      </c>
      <c r="M986" s="34" t="str">
        <f>IF(OR(L986="-",L986="",L986=0),IF(K986="-","-",K986),K986-L986)</f>
        <v>-</v>
      </c>
      <c r="N986" s="4" t="str">
        <f>IFERROR(IF(K986&gt;0, L986/K986, 0),"-")</f>
        <v>-</v>
      </c>
      <c r="O986" s="34" t="s">
        <v>959</v>
      </c>
      <c r="P986" s="35" t="s">
        <v>959</v>
      </c>
      <c r="Q986" s="34" t="str">
        <f>IF(OR(P986="-",P986="",P986=0),IF(O986="-","-",O986),O986-P986)</f>
        <v>-</v>
      </c>
      <c r="R986" s="4" t="str">
        <f>IFERROR(IF(O986&gt;0, P986/O986, 0),"-")</f>
        <v>-</v>
      </c>
      <c r="S986" s="34" t="s">
        <v>959</v>
      </c>
      <c r="T986" s="34" t="s">
        <v>959</v>
      </c>
      <c r="U986" s="34" t="s">
        <v>959</v>
      </c>
      <c r="V986" s="35" t="s">
        <v>959</v>
      </c>
      <c r="W986" s="35" t="s">
        <v>959</v>
      </c>
    </row>
    <row r="987" spans="1:23" x14ac:dyDescent="0.2">
      <c r="A987" s="30" t="s">
        <v>662</v>
      </c>
      <c r="B987" s="30" t="s">
        <v>1615</v>
      </c>
      <c r="C987" s="34">
        <v>86</v>
      </c>
      <c r="D987" s="35">
        <v>84</v>
      </c>
      <c r="E987" s="34">
        <f>IF(OR(D987="-",D987="",D987=0),IF(C987="-","-",C987),C987-D987)</f>
        <v>2</v>
      </c>
      <c r="F987" s="4">
        <f>IFERROR(IF(C987&gt;0, D987/C987, 0),"-")</f>
        <v>0.97674418604651159</v>
      </c>
      <c r="G987" s="34" t="s">
        <v>959</v>
      </c>
      <c r="H987" s="35" t="s">
        <v>959</v>
      </c>
      <c r="I987" s="34" t="str">
        <f>IF(OR(H987="-",H987="",H987=0),IF(G987="-","-",G987),G987-H987)</f>
        <v>-</v>
      </c>
      <c r="J987" s="4" t="str">
        <f>IFERROR(IF(G987&gt;0, H987/G987, 0),"-")</f>
        <v>-</v>
      </c>
      <c r="K987" s="34" t="s">
        <v>959</v>
      </c>
      <c r="L987" s="35" t="s">
        <v>959</v>
      </c>
      <c r="M987" s="34" t="str">
        <f>IF(OR(L987="-",L987="",L987=0),IF(K987="-","-",K987),K987-L987)</f>
        <v>-</v>
      </c>
      <c r="N987" s="4" t="str">
        <f>IFERROR(IF(K987&gt;0, L987/K987, 0),"-")</f>
        <v>-</v>
      </c>
      <c r="O987" s="34">
        <v>1</v>
      </c>
      <c r="P987" s="35" t="s">
        <v>959</v>
      </c>
      <c r="Q987" s="34">
        <f>IF(OR(P987="-",P987="",P987=0),IF(O987="-","-",O987),O987-P987)</f>
        <v>1</v>
      </c>
      <c r="R987" s="4" t="str">
        <f>IFERROR(IF(O987&gt;0, P987/O987, 0),"-")</f>
        <v>-</v>
      </c>
      <c r="S987" s="34">
        <v>2</v>
      </c>
      <c r="T987" s="34" t="s">
        <v>959</v>
      </c>
      <c r="U987" s="34" t="s">
        <v>959</v>
      </c>
      <c r="V987" s="35" t="s">
        <v>959</v>
      </c>
      <c r="W987" s="35" t="s">
        <v>959</v>
      </c>
    </row>
    <row r="988" spans="1:23" x14ac:dyDescent="0.2">
      <c r="A988" s="30" t="s">
        <v>660</v>
      </c>
      <c r="B988" s="30" t="s">
        <v>1616</v>
      </c>
      <c r="C988" s="34">
        <v>50</v>
      </c>
      <c r="D988" s="35">
        <v>50</v>
      </c>
      <c r="E988" s="34">
        <f>IF(OR(D988="-",D988="",D988=0),IF(C988="-","-",C988),C988-D988)</f>
        <v>0</v>
      </c>
      <c r="F988" s="4">
        <f>IFERROR(IF(C988&gt;0, D988/C988, 0),"-")</f>
        <v>1</v>
      </c>
      <c r="G988" s="34" t="s">
        <v>959</v>
      </c>
      <c r="H988" s="35" t="s">
        <v>959</v>
      </c>
      <c r="I988" s="34" t="str">
        <f>IF(OR(H988="-",H988="",H988=0),IF(G988="-","-",G988),G988-H988)</f>
        <v>-</v>
      </c>
      <c r="J988" s="4" t="str">
        <f>IFERROR(IF(G988&gt;0, H988/G988, 0),"-")</f>
        <v>-</v>
      </c>
      <c r="K988" s="34" t="s">
        <v>959</v>
      </c>
      <c r="L988" s="35" t="s">
        <v>959</v>
      </c>
      <c r="M988" s="34" t="str">
        <f>IF(OR(L988="-",L988="",L988=0),IF(K988="-","-",K988),K988-L988)</f>
        <v>-</v>
      </c>
      <c r="N988" s="4" t="str">
        <f>IFERROR(IF(K988&gt;0, L988/K988, 0),"-")</f>
        <v>-</v>
      </c>
      <c r="O988" s="34">
        <v>1</v>
      </c>
      <c r="P988" s="35" t="s">
        <v>959</v>
      </c>
      <c r="Q988" s="34">
        <f>IF(OR(P988="-",P988="",P988=0),IF(O988="-","-",O988),O988-P988)</f>
        <v>1</v>
      </c>
      <c r="R988" s="4" t="str">
        <f>IFERROR(IF(O988&gt;0, P988/O988, 0),"-")</f>
        <v>-</v>
      </c>
      <c r="S988" s="34">
        <v>2</v>
      </c>
      <c r="T988" s="34" t="s">
        <v>959</v>
      </c>
      <c r="U988" s="34" t="s">
        <v>959</v>
      </c>
      <c r="V988" s="35" t="s">
        <v>959</v>
      </c>
      <c r="W988" s="35" t="s">
        <v>959</v>
      </c>
    </row>
    <row r="989" spans="1:23" x14ac:dyDescent="0.2">
      <c r="A989" s="30" t="s">
        <v>657</v>
      </c>
      <c r="B989" s="30" t="s">
        <v>1617</v>
      </c>
      <c r="C989" s="34">
        <v>82</v>
      </c>
      <c r="D989" s="35">
        <v>80</v>
      </c>
      <c r="E989" s="34">
        <f>IF(OR(D989="-",D989="",D989=0),IF(C989="-","-",C989),C989-D989)</f>
        <v>2</v>
      </c>
      <c r="F989" s="4">
        <f>IFERROR(IF(C989&gt;0, D989/C989, 0),"-")</f>
        <v>0.97560975609756095</v>
      </c>
      <c r="G989" s="34" t="s">
        <v>959</v>
      </c>
      <c r="H989" s="35" t="s">
        <v>959</v>
      </c>
      <c r="I989" s="34" t="str">
        <f>IF(OR(H989="-",H989="",H989=0),IF(G989="-","-",G989),G989-H989)</f>
        <v>-</v>
      </c>
      <c r="J989" s="4" t="str">
        <f>IFERROR(IF(G989&gt;0, H989/G989, 0),"-")</f>
        <v>-</v>
      </c>
      <c r="K989" s="34" t="s">
        <v>959</v>
      </c>
      <c r="L989" s="35" t="s">
        <v>959</v>
      </c>
      <c r="M989" s="34" t="str">
        <f>IF(OR(L989="-",L989="",L989=0),IF(K989="-","-",K989),K989-L989)</f>
        <v>-</v>
      </c>
      <c r="N989" s="4" t="str">
        <f>IFERROR(IF(K989&gt;0, L989/K989, 0),"-")</f>
        <v>-</v>
      </c>
      <c r="O989" s="34" t="s">
        <v>959</v>
      </c>
      <c r="P989" s="35" t="s">
        <v>959</v>
      </c>
      <c r="Q989" s="34" t="str">
        <f>IF(OR(P989="-",P989="",P989=0),IF(O989="-","-",O989),O989-P989)</f>
        <v>-</v>
      </c>
      <c r="R989" s="4" t="str">
        <f>IFERROR(IF(O989&gt;0, P989/O989, 0),"-")</f>
        <v>-</v>
      </c>
      <c r="S989" s="34" t="s">
        <v>959</v>
      </c>
      <c r="T989" s="34" t="s">
        <v>959</v>
      </c>
      <c r="U989" s="34" t="s">
        <v>959</v>
      </c>
      <c r="V989" s="35" t="s">
        <v>959</v>
      </c>
      <c r="W989" s="35" t="s">
        <v>959</v>
      </c>
    </row>
    <row r="990" spans="1:23" x14ac:dyDescent="0.2">
      <c r="A990" s="30" t="s">
        <v>659</v>
      </c>
      <c r="B990" s="30" t="s">
        <v>1618</v>
      </c>
      <c r="C990" s="34">
        <v>95</v>
      </c>
      <c r="D990" s="35">
        <v>94</v>
      </c>
      <c r="E990" s="34">
        <f>IF(OR(D990="-",D990="",D990=0),IF(C990="-","-",C990),C990-D990)</f>
        <v>1</v>
      </c>
      <c r="F990" s="4">
        <f>IFERROR(IF(C990&gt;0, D990/C990, 0),"-")</f>
        <v>0.98947368421052628</v>
      </c>
      <c r="G990" s="34" t="s">
        <v>959</v>
      </c>
      <c r="H990" s="35" t="s">
        <v>959</v>
      </c>
      <c r="I990" s="34" t="str">
        <f>IF(OR(H990="-",H990="",H990=0),IF(G990="-","-",G990),G990-H990)</f>
        <v>-</v>
      </c>
      <c r="J990" s="4" t="str">
        <f>IFERROR(IF(G990&gt;0, H990/G990, 0),"-")</f>
        <v>-</v>
      </c>
      <c r="K990" s="34" t="s">
        <v>959</v>
      </c>
      <c r="L990" s="35" t="s">
        <v>959</v>
      </c>
      <c r="M990" s="34" t="str">
        <f>IF(OR(L990="-",L990="",L990=0),IF(K990="-","-",K990),K990-L990)</f>
        <v>-</v>
      </c>
      <c r="N990" s="4" t="str">
        <f>IFERROR(IF(K990&gt;0, L990/K990, 0),"-")</f>
        <v>-</v>
      </c>
      <c r="O990" s="34" t="s">
        <v>959</v>
      </c>
      <c r="P990" s="35" t="s">
        <v>959</v>
      </c>
      <c r="Q990" s="34" t="str">
        <f>IF(OR(P990="-",P990="",P990=0),IF(O990="-","-",O990),O990-P990)</f>
        <v>-</v>
      </c>
      <c r="R990" s="4" t="str">
        <f>IFERROR(IF(O990&gt;0, P990/O990, 0),"-")</f>
        <v>-</v>
      </c>
      <c r="S990" s="34" t="s">
        <v>959</v>
      </c>
      <c r="T990" s="34" t="s">
        <v>959</v>
      </c>
      <c r="U990" s="34" t="s">
        <v>959</v>
      </c>
      <c r="V990" s="35" t="s">
        <v>959</v>
      </c>
      <c r="W990" s="35" t="s">
        <v>959</v>
      </c>
    </row>
    <row r="991" spans="1:23" x14ac:dyDescent="0.2">
      <c r="A991" s="30" t="s">
        <v>661</v>
      </c>
      <c r="B991" s="30" t="s">
        <v>1619</v>
      </c>
      <c r="C991" s="34">
        <v>74</v>
      </c>
      <c r="D991" s="35">
        <v>74</v>
      </c>
      <c r="E991" s="34">
        <f>IF(OR(D991="-",D991="",D991=0),IF(C991="-","-",C991),C991-D991)</f>
        <v>0</v>
      </c>
      <c r="F991" s="4">
        <f>IFERROR(IF(C991&gt;0, D991/C991, 0),"-")</f>
        <v>1</v>
      </c>
      <c r="G991" s="34" t="s">
        <v>959</v>
      </c>
      <c r="H991" s="35" t="s">
        <v>959</v>
      </c>
      <c r="I991" s="34" t="str">
        <f>IF(OR(H991="-",H991="",H991=0),IF(G991="-","-",G991),G991-H991)</f>
        <v>-</v>
      </c>
      <c r="J991" s="4" t="str">
        <f>IFERROR(IF(G991&gt;0, H991/G991, 0),"-")</f>
        <v>-</v>
      </c>
      <c r="K991" s="34" t="s">
        <v>959</v>
      </c>
      <c r="L991" s="35" t="s">
        <v>959</v>
      </c>
      <c r="M991" s="34" t="str">
        <f>IF(OR(L991="-",L991="",L991=0),IF(K991="-","-",K991),K991-L991)</f>
        <v>-</v>
      </c>
      <c r="N991" s="4" t="str">
        <f>IFERROR(IF(K991&gt;0, L991/K991, 0),"-")</f>
        <v>-</v>
      </c>
      <c r="O991" s="34" t="s">
        <v>959</v>
      </c>
      <c r="P991" s="35" t="s">
        <v>959</v>
      </c>
      <c r="Q991" s="34" t="str">
        <f>IF(OR(P991="-",P991="",P991=0),IF(O991="-","-",O991),O991-P991)</f>
        <v>-</v>
      </c>
      <c r="R991" s="4" t="str">
        <f>IFERROR(IF(O991&gt;0, P991/O991, 0),"-")</f>
        <v>-</v>
      </c>
      <c r="S991" s="34">
        <v>4</v>
      </c>
      <c r="T991" s="34" t="s">
        <v>959</v>
      </c>
      <c r="U991" s="34" t="s">
        <v>959</v>
      </c>
      <c r="V991" s="35" t="s">
        <v>959</v>
      </c>
      <c r="W991" s="35" t="s">
        <v>959</v>
      </c>
    </row>
    <row r="992" spans="1:23" x14ac:dyDescent="0.2">
      <c r="A992" s="29"/>
      <c r="B992" s="29" t="s">
        <v>66</v>
      </c>
      <c r="C992" s="32">
        <v>286</v>
      </c>
      <c r="D992" s="32">
        <v>281</v>
      </c>
      <c r="E992" s="32">
        <f>IF(OR(D992="-",D992="",D992=0),IF(C992="-","-",C992),C992-D992)</f>
        <v>5</v>
      </c>
      <c r="F992" s="36">
        <f>IFERROR(IF(C992&gt;0, D992/C992, 0),"-")</f>
        <v>0.9825174825174825</v>
      </c>
      <c r="G992" s="32" t="s">
        <v>959</v>
      </c>
      <c r="H992" s="32" t="s">
        <v>959</v>
      </c>
      <c r="I992" s="32" t="str">
        <f>IF(OR(H992="-",H992="",H992=0),IF(G992="-","-",G992),G992-H992)</f>
        <v>-</v>
      </c>
      <c r="J992" s="36" t="str">
        <f>IFERROR(IF(G992&gt;0, H992/G992, 0),"-")</f>
        <v>-</v>
      </c>
      <c r="K992" s="32">
        <v>2</v>
      </c>
      <c r="L992" s="32" t="s">
        <v>959</v>
      </c>
      <c r="M992" s="32">
        <f>IF(OR(L992="-",L992="",L992=0),IF(K992="-","-",K992),K992-L992)</f>
        <v>2</v>
      </c>
      <c r="N992" s="36" t="str">
        <f>IFERROR(IF(K992&gt;0, L992/K992, 0),"-")</f>
        <v>-</v>
      </c>
      <c r="O992" s="32" t="s">
        <v>959</v>
      </c>
      <c r="P992" s="32" t="s">
        <v>959</v>
      </c>
      <c r="Q992" s="32" t="str">
        <f>IF(OR(P992="-",P992="",P992=0),IF(O992="-","-",O992),O992-P992)</f>
        <v>-</v>
      </c>
      <c r="R992" s="36" t="str">
        <f>IFERROR(IF(O992&gt;0, P992/O992, 0),"-")</f>
        <v>-</v>
      </c>
      <c r="S992" s="32">
        <v>1</v>
      </c>
      <c r="T992" s="32" t="s">
        <v>959</v>
      </c>
      <c r="U992" s="32" t="s">
        <v>959</v>
      </c>
      <c r="V992" s="32" t="s">
        <v>959</v>
      </c>
      <c r="W992" s="32" t="s">
        <v>959</v>
      </c>
    </row>
    <row r="993" spans="1:23" x14ac:dyDescent="0.2">
      <c r="A993" s="30" t="s">
        <v>422</v>
      </c>
      <c r="B993" s="30" t="s">
        <v>1620</v>
      </c>
      <c r="C993" s="34">
        <v>74</v>
      </c>
      <c r="D993" s="35">
        <v>74</v>
      </c>
      <c r="E993" s="34">
        <f>IF(OR(D993="-",D993="",D993=0),IF(C993="-","-",C993),C993-D993)</f>
        <v>0</v>
      </c>
      <c r="F993" s="4">
        <f>IFERROR(IF(C993&gt;0, D993/C993, 0),"-")</f>
        <v>1</v>
      </c>
      <c r="G993" s="34" t="s">
        <v>959</v>
      </c>
      <c r="H993" s="35" t="s">
        <v>959</v>
      </c>
      <c r="I993" s="34" t="str">
        <f>IF(OR(H993="-",H993="",H993=0),IF(G993="-","-",G993),G993-H993)</f>
        <v>-</v>
      </c>
      <c r="J993" s="4" t="str">
        <f>IFERROR(IF(G993&gt;0, H993/G993, 0),"-")</f>
        <v>-</v>
      </c>
      <c r="K993" s="34" t="s">
        <v>959</v>
      </c>
      <c r="L993" s="35" t="s">
        <v>959</v>
      </c>
      <c r="M993" s="34" t="str">
        <f>IF(OR(L993="-",L993="",L993=0),IF(K993="-","-",K993),K993-L993)</f>
        <v>-</v>
      </c>
      <c r="N993" s="4" t="str">
        <f>IFERROR(IF(K993&gt;0, L993/K993, 0),"-")</f>
        <v>-</v>
      </c>
      <c r="O993" s="34" t="s">
        <v>959</v>
      </c>
      <c r="P993" s="35" t="s">
        <v>959</v>
      </c>
      <c r="Q993" s="34" t="str">
        <f>IF(OR(P993="-",P993="",P993=0),IF(O993="-","-",O993),O993-P993)</f>
        <v>-</v>
      </c>
      <c r="R993" s="4" t="str">
        <f>IFERROR(IF(O993&gt;0, P993/O993, 0),"-")</f>
        <v>-</v>
      </c>
      <c r="S993" s="34">
        <v>1</v>
      </c>
      <c r="T993" s="34" t="s">
        <v>959</v>
      </c>
      <c r="U993" s="34" t="s">
        <v>959</v>
      </c>
      <c r="V993" s="35" t="s">
        <v>959</v>
      </c>
      <c r="W993" s="35" t="s">
        <v>959</v>
      </c>
    </row>
    <row r="994" spans="1:23" x14ac:dyDescent="0.2">
      <c r="A994" s="30" t="s">
        <v>421</v>
      </c>
      <c r="B994" s="30" t="s">
        <v>1621</v>
      </c>
      <c r="C994" s="34">
        <v>83</v>
      </c>
      <c r="D994" s="35">
        <v>78</v>
      </c>
      <c r="E994" s="34">
        <f>IF(OR(D994="-",D994="",D994=0),IF(C994="-","-",C994),C994-D994)</f>
        <v>5</v>
      </c>
      <c r="F994" s="4">
        <f>IFERROR(IF(C994&gt;0, D994/C994, 0),"-")</f>
        <v>0.93975903614457834</v>
      </c>
      <c r="G994" s="34" t="s">
        <v>959</v>
      </c>
      <c r="H994" s="35" t="s">
        <v>959</v>
      </c>
      <c r="I994" s="34" t="str">
        <f>IF(OR(H994="-",H994="",H994=0),IF(G994="-","-",G994),G994-H994)</f>
        <v>-</v>
      </c>
      <c r="J994" s="4" t="str">
        <f>IFERROR(IF(G994&gt;0, H994/G994, 0),"-")</f>
        <v>-</v>
      </c>
      <c r="K994" s="34">
        <v>1</v>
      </c>
      <c r="L994" s="35" t="s">
        <v>959</v>
      </c>
      <c r="M994" s="34">
        <f>IF(OR(L994="-",L994="",L994=0),IF(K994="-","-",K994),K994-L994)</f>
        <v>1</v>
      </c>
      <c r="N994" s="4" t="str">
        <f>IFERROR(IF(K994&gt;0, L994/K994, 0),"-")</f>
        <v>-</v>
      </c>
      <c r="O994" s="34" t="s">
        <v>959</v>
      </c>
      <c r="P994" s="35" t="s">
        <v>959</v>
      </c>
      <c r="Q994" s="34" t="str">
        <f>IF(OR(P994="-",P994="",P994=0),IF(O994="-","-",O994),O994-P994)</f>
        <v>-</v>
      </c>
      <c r="R994" s="4" t="str">
        <f>IFERROR(IF(O994&gt;0, P994/O994, 0),"-")</f>
        <v>-</v>
      </c>
      <c r="S994" s="34" t="s">
        <v>959</v>
      </c>
      <c r="T994" s="34" t="s">
        <v>959</v>
      </c>
      <c r="U994" s="34" t="s">
        <v>959</v>
      </c>
      <c r="V994" s="35" t="s">
        <v>959</v>
      </c>
      <c r="W994" s="35" t="s">
        <v>959</v>
      </c>
    </row>
    <row r="995" spans="1:23" x14ac:dyDescent="0.2">
      <c r="A995" s="30" t="s">
        <v>420</v>
      </c>
      <c r="B995" s="30" t="s">
        <v>1622</v>
      </c>
      <c r="C995" s="34">
        <v>113</v>
      </c>
      <c r="D995" s="35">
        <v>113</v>
      </c>
      <c r="E995" s="34">
        <f>IF(OR(D995="-",D995="",D995=0),IF(C995="-","-",C995),C995-D995)</f>
        <v>0</v>
      </c>
      <c r="F995" s="4">
        <f>IFERROR(IF(C995&gt;0, D995/C995, 0),"-")</f>
        <v>1</v>
      </c>
      <c r="G995" s="34" t="s">
        <v>959</v>
      </c>
      <c r="H995" s="35" t="s">
        <v>959</v>
      </c>
      <c r="I995" s="34" t="str">
        <f>IF(OR(H995="-",H995="",H995=0),IF(G995="-","-",G995),G995-H995)</f>
        <v>-</v>
      </c>
      <c r="J995" s="4" t="str">
        <f>IFERROR(IF(G995&gt;0, H995/G995, 0),"-")</f>
        <v>-</v>
      </c>
      <c r="K995" s="34">
        <v>1</v>
      </c>
      <c r="L995" s="35" t="s">
        <v>959</v>
      </c>
      <c r="M995" s="34">
        <f>IF(OR(L995="-",L995="",L995=0),IF(K995="-","-",K995),K995-L995)</f>
        <v>1</v>
      </c>
      <c r="N995" s="4" t="str">
        <f>IFERROR(IF(K995&gt;0, L995/K995, 0),"-")</f>
        <v>-</v>
      </c>
      <c r="O995" s="34" t="s">
        <v>959</v>
      </c>
      <c r="P995" s="35" t="s">
        <v>959</v>
      </c>
      <c r="Q995" s="34" t="str">
        <f>IF(OR(P995="-",P995="",P995=0),IF(O995="-","-",O995),O995-P995)</f>
        <v>-</v>
      </c>
      <c r="R995" s="4" t="str">
        <f>IFERROR(IF(O995&gt;0, P995/O995, 0),"-")</f>
        <v>-</v>
      </c>
      <c r="S995" s="34" t="s">
        <v>959</v>
      </c>
      <c r="T995" s="34" t="s">
        <v>959</v>
      </c>
      <c r="U995" s="34" t="s">
        <v>959</v>
      </c>
      <c r="V995" s="35" t="s">
        <v>959</v>
      </c>
      <c r="W995" s="35" t="s">
        <v>959</v>
      </c>
    </row>
    <row r="996" spans="1:23" x14ac:dyDescent="0.2">
      <c r="A996" s="30" t="s">
        <v>423</v>
      </c>
      <c r="B996" s="30" t="s">
        <v>1623</v>
      </c>
      <c r="C996" s="34">
        <v>16</v>
      </c>
      <c r="D996" s="35">
        <v>16</v>
      </c>
      <c r="E996" s="34">
        <f>IF(OR(D996="-",D996="",D996=0),IF(C996="-","-",C996),C996-D996)</f>
        <v>0</v>
      </c>
      <c r="F996" s="4">
        <f>IFERROR(IF(C996&gt;0, D996/C996, 0),"-")</f>
        <v>1</v>
      </c>
      <c r="G996" s="34" t="s">
        <v>959</v>
      </c>
      <c r="H996" s="35" t="s">
        <v>959</v>
      </c>
      <c r="I996" s="34" t="str">
        <f>IF(OR(H996="-",H996="",H996=0),IF(G996="-","-",G996),G996-H996)</f>
        <v>-</v>
      </c>
      <c r="J996" s="4" t="str">
        <f>IFERROR(IF(G996&gt;0, H996/G996, 0),"-")</f>
        <v>-</v>
      </c>
      <c r="K996" s="34" t="s">
        <v>959</v>
      </c>
      <c r="L996" s="35" t="s">
        <v>959</v>
      </c>
      <c r="M996" s="34" t="str">
        <f>IF(OR(L996="-",L996="",L996=0),IF(K996="-","-",K996),K996-L996)</f>
        <v>-</v>
      </c>
      <c r="N996" s="4" t="str">
        <f>IFERROR(IF(K996&gt;0, L996/K996, 0),"-")</f>
        <v>-</v>
      </c>
      <c r="O996" s="34" t="s">
        <v>959</v>
      </c>
      <c r="P996" s="35" t="s">
        <v>959</v>
      </c>
      <c r="Q996" s="34" t="str">
        <f>IF(OR(P996="-",P996="",P996=0),IF(O996="-","-",O996),O996-P996)</f>
        <v>-</v>
      </c>
      <c r="R996" s="4" t="str">
        <f>IFERROR(IF(O996&gt;0, P996/O996, 0),"-")</f>
        <v>-</v>
      </c>
      <c r="S996" s="34" t="s">
        <v>959</v>
      </c>
      <c r="T996" s="34" t="s">
        <v>959</v>
      </c>
      <c r="U996" s="34" t="s">
        <v>959</v>
      </c>
      <c r="V996" s="35" t="s">
        <v>959</v>
      </c>
      <c r="W996" s="35" t="s">
        <v>959</v>
      </c>
    </row>
    <row r="997" spans="1:23" x14ac:dyDescent="0.2">
      <c r="A997" s="29"/>
      <c r="B997" s="29" t="s">
        <v>44</v>
      </c>
      <c r="C997" s="32">
        <v>373</v>
      </c>
      <c r="D997" s="32">
        <v>365</v>
      </c>
      <c r="E997" s="32">
        <f>IF(OR(D997="-",D997="",D997=0),IF(C997="-","-",C997),C997-D997)</f>
        <v>8</v>
      </c>
      <c r="F997" s="36">
        <f>IFERROR(IF(C997&gt;0, D997/C997, 0),"-")</f>
        <v>0.97855227882037532</v>
      </c>
      <c r="G997" s="32">
        <v>9</v>
      </c>
      <c r="H997" s="32" t="s">
        <v>959</v>
      </c>
      <c r="I997" s="32">
        <f>IF(OR(H997="-",H997="",H997=0),IF(G997="-","-",G997),G997-H997)</f>
        <v>9</v>
      </c>
      <c r="J997" s="36" t="str">
        <f>IFERROR(IF(G997&gt;0, H997/G997, 0),"-")</f>
        <v>-</v>
      </c>
      <c r="K997" s="32">
        <v>4</v>
      </c>
      <c r="L997" s="32">
        <v>1</v>
      </c>
      <c r="M997" s="32">
        <f>IF(OR(L997="-",L997="",L997=0),IF(K997="-","-",K997),K997-L997)</f>
        <v>3</v>
      </c>
      <c r="N997" s="36">
        <f>IFERROR(IF(K997&gt;0, L997/K997, 0),"-")</f>
        <v>0.25</v>
      </c>
      <c r="O997" s="32">
        <v>1</v>
      </c>
      <c r="P997" s="32" t="s">
        <v>959</v>
      </c>
      <c r="Q997" s="32">
        <f>IF(OR(P997="-",P997="",P997=0),IF(O997="-","-",O997),O997-P997)</f>
        <v>1</v>
      </c>
      <c r="R997" s="36" t="str">
        <f>IFERROR(IF(O997&gt;0, P997/O997, 0),"-")</f>
        <v>-</v>
      </c>
      <c r="S997" s="32">
        <v>1</v>
      </c>
      <c r="T997" s="32" t="s">
        <v>959</v>
      </c>
      <c r="U997" s="32" t="s">
        <v>959</v>
      </c>
      <c r="V997" s="32" t="s">
        <v>959</v>
      </c>
      <c r="W997" s="32" t="s">
        <v>959</v>
      </c>
    </row>
    <row r="998" spans="1:23" x14ac:dyDescent="0.2">
      <c r="A998" s="30" t="s">
        <v>239</v>
      </c>
      <c r="B998" s="30" t="s">
        <v>1624</v>
      </c>
      <c r="C998" s="34">
        <v>129</v>
      </c>
      <c r="D998" s="35">
        <v>127</v>
      </c>
      <c r="E998" s="34">
        <f>IF(OR(D998="-",D998="",D998=0),IF(C998="-","-",C998),C998-D998)</f>
        <v>2</v>
      </c>
      <c r="F998" s="4">
        <f>IFERROR(IF(C998&gt;0, D998/C998, 0),"-")</f>
        <v>0.98449612403100772</v>
      </c>
      <c r="G998" s="34">
        <v>5</v>
      </c>
      <c r="H998" s="35" t="s">
        <v>959</v>
      </c>
      <c r="I998" s="34">
        <f>IF(OR(H998="-",H998="",H998=0),IF(G998="-","-",G998),G998-H998)</f>
        <v>5</v>
      </c>
      <c r="J998" s="4" t="str">
        <f>IFERROR(IF(G998&gt;0, H998/G998, 0),"-")</f>
        <v>-</v>
      </c>
      <c r="K998" s="34">
        <v>2</v>
      </c>
      <c r="L998" s="35">
        <v>1</v>
      </c>
      <c r="M998" s="34">
        <f>IF(OR(L998="-",L998="",L998=0),IF(K998="-","-",K998),K998-L998)</f>
        <v>1</v>
      </c>
      <c r="N998" s="4">
        <f>IFERROR(IF(K998&gt;0, L998/K998, 0),"-")</f>
        <v>0.5</v>
      </c>
      <c r="O998" s="34" t="s">
        <v>959</v>
      </c>
      <c r="P998" s="35" t="s">
        <v>959</v>
      </c>
      <c r="Q998" s="34" t="str">
        <f>IF(OR(P998="-",P998="",P998=0),IF(O998="-","-",O998),O998-P998)</f>
        <v>-</v>
      </c>
      <c r="R998" s="4" t="str">
        <f>IFERROR(IF(O998&gt;0, P998/O998, 0),"-")</f>
        <v>-</v>
      </c>
      <c r="S998" s="34" t="s">
        <v>959</v>
      </c>
      <c r="T998" s="34" t="s">
        <v>959</v>
      </c>
      <c r="U998" s="34" t="s">
        <v>959</v>
      </c>
      <c r="V998" s="35" t="s">
        <v>959</v>
      </c>
      <c r="W998" s="35" t="s">
        <v>959</v>
      </c>
    </row>
    <row r="999" spans="1:23" x14ac:dyDescent="0.2">
      <c r="A999" s="30" t="s">
        <v>240</v>
      </c>
      <c r="B999" s="30" t="s">
        <v>1625</v>
      </c>
      <c r="C999" s="34">
        <v>110</v>
      </c>
      <c r="D999" s="35">
        <v>109</v>
      </c>
      <c r="E999" s="34">
        <f>IF(OR(D999="-",D999="",D999=0),IF(C999="-","-",C999),C999-D999)</f>
        <v>1</v>
      </c>
      <c r="F999" s="4">
        <f>IFERROR(IF(C999&gt;0, D999/C999, 0),"-")</f>
        <v>0.99090909090909096</v>
      </c>
      <c r="G999" s="34" t="s">
        <v>959</v>
      </c>
      <c r="H999" s="35" t="s">
        <v>959</v>
      </c>
      <c r="I999" s="34" t="str">
        <f>IF(OR(H999="-",H999="",H999=0),IF(G999="-","-",G999),G999-H999)</f>
        <v>-</v>
      </c>
      <c r="J999" s="4" t="str">
        <f>IFERROR(IF(G999&gt;0, H999/G999, 0),"-")</f>
        <v>-</v>
      </c>
      <c r="K999" s="34">
        <v>1</v>
      </c>
      <c r="L999" s="35" t="s">
        <v>959</v>
      </c>
      <c r="M999" s="34">
        <f>IF(OR(L999="-",L999="",L999=0),IF(K999="-","-",K999),K999-L999)</f>
        <v>1</v>
      </c>
      <c r="N999" s="4" t="str">
        <f>IFERROR(IF(K999&gt;0, L999/K999, 0),"-")</f>
        <v>-</v>
      </c>
      <c r="O999" s="34" t="s">
        <v>959</v>
      </c>
      <c r="P999" s="35" t="s">
        <v>959</v>
      </c>
      <c r="Q999" s="34" t="str">
        <f>IF(OR(P999="-",P999="",P999=0),IF(O999="-","-",O999),O999-P999)</f>
        <v>-</v>
      </c>
      <c r="R999" s="4" t="str">
        <f>IFERROR(IF(O999&gt;0, P999/O999, 0),"-")</f>
        <v>-</v>
      </c>
      <c r="S999" s="34">
        <v>1</v>
      </c>
      <c r="T999" s="34" t="s">
        <v>959</v>
      </c>
      <c r="U999" s="34" t="s">
        <v>959</v>
      </c>
      <c r="V999" s="35" t="s">
        <v>959</v>
      </c>
      <c r="W999" s="35" t="s">
        <v>959</v>
      </c>
    </row>
    <row r="1000" spans="1:23" x14ac:dyDescent="0.2">
      <c r="A1000" s="30" t="s">
        <v>238</v>
      </c>
      <c r="B1000" s="30" t="s">
        <v>1626</v>
      </c>
      <c r="C1000" s="34">
        <v>109</v>
      </c>
      <c r="D1000" s="35">
        <v>107</v>
      </c>
      <c r="E1000" s="34">
        <f>IF(OR(D1000="-",D1000="",D1000=0),IF(C1000="-","-",C1000),C1000-D1000)</f>
        <v>2</v>
      </c>
      <c r="F1000" s="4">
        <f>IFERROR(IF(C1000&gt;0, D1000/C1000, 0),"-")</f>
        <v>0.98165137614678899</v>
      </c>
      <c r="G1000" s="34">
        <v>2</v>
      </c>
      <c r="H1000" s="35" t="s">
        <v>959</v>
      </c>
      <c r="I1000" s="34">
        <f>IF(OR(H1000="-",H1000="",H1000=0),IF(G1000="-","-",G1000),G1000-H1000)</f>
        <v>2</v>
      </c>
      <c r="J1000" s="4" t="str">
        <f>IFERROR(IF(G1000&gt;0, H1000/G1000, 0),"-")</f>
        <v>-</v>
      </c>
      <c r="K1000" s="34">
        <v>1</v>
      </c>
      <c r="L1000" s="35" t="s">
        <v>959</v>
      </c>
      <c r="M1000" s="34">
        <f>IF(OR(L1000="-",L1000="",L1000=0),IF(K1000="-","-",K1000),K1000-L1000)</f>
        <v>1</v>
      </c>
      <c r="N1000" s="4" t="str">
        <f>IFERROR(IF(K1000&gt;0, L1000/K1000, 0),"-")</f>
        <v>-</v>
      </c>
      <c r="O1000" s="34">
        <v>1</v>
      </c>
      <c r="P1000" s="35" t="s">
        <v>959</v>
      </c>
      <c r="Q1000" s="34">
        <f>IF(OR(P1000="-",P1000="",P1000=0),IF(O1000="-","-",O1000),O1000-P1000)</f>
        <v>1</v>
      </c>
      <c r="R1000" s="4" t="str">
        <f>IFERROR(IF(O1000&gt;0, P1000/O1000, 0),"-")</f>
        <v>-</v>
      </c>
      <c r="S1000" s="34" t="s">
        <v>959</v>
      </c>
      <c r="T1000" s="34" t="s">
        <v>959</v>
      </c>
      <c r="U1000" s="34" t="s">
        <v>959</v>
      </c>
      <c r="V1000" s="35" t="s">
        <v>959</v>
      </c>
      <c r="W1000" s="35" t="s">
        <v>959</v>
      </c>
    </row>
    <row r="1001" spans="1:23" x14ac:dyDescent="0.2">
      <c r="A1001" s="30" t="s">
        <v>241</v>
      </c>
      <c r="B1001" s="30" t="s">
        <v>1627</v>
      </c>
      <c r="C1001" s="34">
        <v>25</v>
      </c>
      <c r="D1001" s="35">
        <v>22</v>
      </c>
      <c r="E1001" s="34">
        <f>IF(OR(D1001="-",D1001="",D1001=0),IF(C1001="-","-",C1001),C1001-D1001)</f>
        <v>3</v>
      </c>
      <c r="F1001" s="4">
        <f>IFERROR(IF(C1001&gt;0, D1001/C1001, 0),"-")</f>
        <v>0.88</v>
      </c>
      <c r="G1001" s="34">
        <v>2</v>
      </c>
      <c r="H1001" s="35" t="s">
        <v>959</v>
      </c>
      <c r="I1001" s="34">
        <f>IF(OR(H1001="-",H1001="",H1001=0),IF(G1001="-","-",G1001),G1001-H1001)</f>
        <v>2</v>
      </c>
      <c r="J1001" s="4" t="str">
        <f>IFERROR(IF(G1001&gt;0, H1001/G1001, 0),"-")</f>
        <v>-</v>
      </c>
      <c r="K1001" s="34" t="s">
        <v>959</v>
      </c>
      <c r="L1001" s="35" t="s">
        <v>959</v>
      </c>
      <c r="M1001" s="34" t="str">
        <f>IF(OR(L1001="-",L1001="",L1001=0),IF(K1001="-","-",K1001),K1001-L1001)</f>
        <v>-</v>
      </c>
      <c r="N1001" s="4" t="str">
        <f>IFERROR(IF(K1001&gt;0, L1001/K1001, 0),"-")</f>
        <v>-</v>
      </c>
      <c r="O1001" s="34" t="s">
        <v>959</v>
      </c>
      <c r="P1001" s="35" t="s">
        <v>959</v>
      </c>
      <c r="Q1001" s="34" t="str">
        <f>IF(OR(P1001="-",P1001="",P1001=0),IF(O1001="-","-",O1001),O1001-P1001)</f>
        <v>-</v>
      </c>
      <c r="R1001" s="4" t="str">
        <f>IFERROR(IF(O1001&gt;0, P1001/O1001, 0),"-")</f>
        <v>-</v>
      </c>
      <c r="S1001" s="34" t="s">
        <v>959</v>
      </c>
      <c r="T1001" s="34" t="s">
        <v>959</v>
      </c>
      <c r="U1001" s="34" t="s">
        <v>959</v>
      </c>
      <c r="V1001" s="35" t="s">
        <v>959</v>
      </c>
      <c r="W1001" s="35" t="s">
        <v>959</v>
      </c>
    </row>
    <row r="1002" spans="1:23" x14ac:dyDescent="0.2">
      <c r="A1002" s="29"/>
      <c r="B1002" s="29" t="s">
        <v>61</v>
      </c>
      <c r="C1002" s="32">
        <v>425</v>
      </c>
      <c r="D1002" s="32">
        <v>422</v>
      </c>
      <c r="E1002" s="32">
        <f>IF(OR(D1002="-",D1002="",D1002=0),IF(C1002="-","-",C1002),C1002-D1002)</f>
        <v>3</v>
      </c>
      <c r="F1002" s="36">
        <f>IFERROR(IF(C1002&gt;0, D1002/C1002, 0),"-")</f>
        <v>0.99294117647058822</v>
      </c>
      <c r="G1002" s="32" t="s">
        <v>959</v>
      </c>
      <c r="H1002" s="32" t="s">
        <v>959</v>
      </c>
      <c r="I1002" s="32" t="str">
        <f>IF(OR(H1002="-",H1002="",H1002=0),IF(G1002="-","-",G1002),G1002-H1002)</f>
        <v>-</v>
      </c>
      <c r="J1002" s="36" t="str">
        <f>IFERROR(IF(G1002&gt;0, H1002/G1002, 0),"-")</f>
        <v>-</v>
      </c>
      <c r="K1002" s="32" t="s">
        <v>959</v>
      </c>
      <c r="L1002" s="32" t="s">
        <v>959</v>
      </c>
      <c r="M1002" s="32" t="str">
        <f>IF(OR(L1002="-",L1002="",L1002=0),IF(K1002="-","-",K1002),K1002-L1002)</f>
        <v>-</v>
      </c>
      <c r="N1002" s="36" t="str">
        <f>IFERROR(IF(K1002&gt;0, L1002/K1002, 0),"-")</f>
        <v>-</v>
      </c>
      <c r="O1002" s="32" t="s">
        <v>959</v>
      </c>
      <c r="P1002" s="32" t="s">
        <v>959</v>
      </c>
      <c r="Q1002" s="32" t="str">
        <f>IF(OR(P1002="-",P1002="",P1002=0),IF(O1002="-","-",O1002),O1002-P1002)</f>
        <v>-</v>
      </c>
      <c r="R1002" s="36" t="str">
        <f>IFERROR(IF(O1002&gt;0, P1002/O1002, 0),"-")</f>
        <v>-</v>
      </c>
      <c r="S1002" s="32" t="s">
        <v>959</v>
      </c>
      <c r="T1002" s="32" t="s">
        <v>959</v>
      </c>
      <c r="U1002" s="32" t="s">
        <v>959</v>
      </c>
      <c r="V1002" s="32" t="s">
        <v>959</v>
      </c>
      <c r="W1002" s="32" t="s">
        <v>959</v>
      </c>
    </row>
    <row r="1003" spans="1:23" x14ac:dyDescent="0.2">
      <c r="A1003" s="30" t="s">
        <v>387</v>
      </c>
      <c r="B1003" s="30" t="s">
        <v>1628</v>
      </c>
      <c r="C1003" s="34">
        <v>96</v>
      </c>
      <c r="D1003" s="35">
        <v>96</v>
      </c>
      <c r="E1003" s="34">
        <f>IF(OR(D1003="-",D1003="",D1003=0),IF(C1003="-","-",C1003),C1003-D1003)</f>
        <v>0</v>
      </c>
      <c r="F1003" s="4">
        <f>IFERROR(IF(C1003&gt;0, D1003/C1003, 0),"-")</f>
        <v>1</v>
      </c>
      <c r="G1003" s="34" t="s">
        <v>959</v>
      </c>
      <c r="H1003" s="35" t="s">
        <v>959</v>
      </c>
      <c r="I1003" s="34" t="str">
        <f>IF(OR(H1003="-",H1003="",H1003=0),IF(G1003="-","-",G1003),G1003-H1003)</f>
        <v>-</v>
      </c>
      <c r="J1003" s="4" t="str">
        <f>IFERROR(IF(G1003&gt;0, H1003/G1003, 0),"-")</f>
        <v>-</v>
      </c>
      <c r="K1003" s="34" t="s">
        <v>959</v>
      </c>
      <c r="L1003" s="35" t="s">
        <v>959</v>
      </c>
      <c r="M1003" s="34" t="str">
        <f>IF(OR(L1003="-",L1003="",L1003=0),IF(K1003="-","-",K1003),K1003-L1003)</f>
        <v>-</v>
      </c>
      <c r="N1003" s="4" t="str">
        <f>IFERROR(IF(K1003&gt;0, L1003/K1003, 0),"-")</f>
        <v>-</v>
      </c>
      <c r="O1003" s="34" t="s">
        <v>959</v>
      </c>
      <c r="P1003" s="35" t="s">
        <v>959</v>
      </c>
      <c r="Q1003" s="34" t="str">
        <f>IF(OR(P1003="-",P1003="",P1003=0),IF(O1003="-","-",O1003),O1003-P1003)</f>
        <v>-</v>
      </c>
      <c r="R1003" s="4" t="str">
        <f>IFERROR(IF(O1003&gt;0, P1003/O1003, 0),"-")</f>
        <v>-</v>
      </c>
      <c r="S1003" s="34" t="s">
        <v>959</v>
      </c>
      <c r="T1003" s="34" t="s">
        <v>959</v>
      </c>
      <c r="U1003" s="34" t="s">
        <v>959</v>
      </c>
      <c r="V1003" s="35" t="s">
        <v>959</v>
      </c>
      <c r="W1003" s="35" t="s">
        <v>959</v>
      </c>
    </row>
    <row r="1004" spans="1:23" x14ac:dyDescent="0.2">
      <c r="A1004" s="30" t="s">
        <v>391</v>
      </c>
      <c r="B1004" s="30" t="s">
        <v>1629</v>
      </c>
      <c r="C1004" s="34">
        <v>46</v>
      </c>
      <c r="D1004" s="35">
        <v>46</v>
      </c>
      <c r="E1004" s="34">
        <f>IF(OR(D1004="-",D1004="",D1004=0),IF(C1004="-","-",C1004),C1004-D1004)</f>
        <v>0</v>
      </c>
      <c r="F1004" s="4">
        <f>IFERROR(IF(C1004&gt;0, D1004/C1004, 0),"-")</f>
        <v>1</v>
      </c>
      <c r="G1004" s="34" t="s">
        <v>959</v>
      </c>
      <c r="H1004" s="35" t="s">
        <v>959</v>
      </c>
      <c r="I1004" s="34" t="str">
        <f>IF(OR(H1004="-",H1004="",H1004=0),IF(G1004="-","-",G1004),G1004-H1004)</f>
        <v>-</v>
      </c>
      <c r="J1004" s="4" t="str">
        <f>IFERROR(IF(G1004&gt;0, H1004/G1004, 0),"-")</f>
        <v>-</v>
      </c>
      <c r="K1004" s="34" t="s">
        <v>959</v>
      </c>
      <c r="L1004" s="35" t="s">
        <v>959</v>
      </c>
      <c r="M1004" s="34" t="str">
        <f>IF(OR(L1004="-",L1004="",L1004=0),IF(K1004="-","-",K1004),K1004-L1004)</f>
        <v>-</v>
      </c>
      <c r="N1004" s="4" t="str">
        <f>IFERROR(IF(K1004&gt;0, L1004/K1004, 0),"-")</f>
        <v>-</v>
      </c>
      <c r="O1004" s="34" t="s">
        <v>959</v>
      </c>
      <c r="P1004" s="35" t="s">
        <v>959</v>
      </c>
      <c r="Q1004" s="34" t="str">
        <f>IF(OR(P1004="-",P1004="",P1004=0),IF(O1004="-","-",O1004),O1004-P1004)</f>
        <v>-</v>
      </c>
      <c r="R1004" s="4" t="str">
        <f>IFERROR(IF(O1004&gt;0, P1004/O1004, 0),"-")</f>
        <v>-</v>
      </c>
      <c r="S1004" s="34" t="s">
        <v>959</v>
      </c>
      <c r="T1004" s="34" t="s">
        <v>959</v>
      </c>
      <c r="U1004" s="34" t="s">
        <v>959</v>
      </c>
      <c r="V1004" s="35" t="s">
        <v>959</v>
      </c>
      <c r="W1004" s="35" t="s">
        <v>959</v>
      </c>
    </row>
    <row r="1005" spans="1:23" x14ac:dyDescent="0.2">
      <c r="A1005" s="30" t="s">
        <v>390</v>
      </c>
      <c r="B1005" s="30" t="s">
        <v>1630</v>
      </c>
      <c r="C1005" s="34">
        <v>57</v>
      </c>
      <c r="D1005" s="35">
        <v>57</v>
      </c>
      <c r="E1005" s="34">
        <f>IF(OR(D1005="-",D1005="",D1005=0),IF(C1005="-","-",C1005),C1005-D1005)</f>
        <v>0</v>
      </c>
      <c r="F1005" s="4">
        <f>IFERROR(IF(C1005&gt;0, D1005/C1005, 0),"-")</f>
        <v>1</v>
      </c>
      <c r="G1005" s="34" t="s">
        <v>959</v>
      </c>
      <c r="H1005" s="35" t="s">
        <v>959</v>
      </c>
      <c r="I1005" s="34" t="str">
        <f>IF(OR(H1005="-",H1005="",H1005=0),IF(G1005="-","-",G1005),G1005-H1005)</f>
        <v>-</v>
      </c>
      <c r="J1005" s="4" t="str">
        <f>IFERROR(IF(G1005&gt;0, H1005/G1005, 0),"-")</f>
        <v>-</v>
      </c>
      <c r="K1005" s="34" t="s">
        <v>959</v>
      </c>
      <c r="L1005" s="35" t="s">
        <v>959</v>
      </c>
      <c r="M1005" s="34" t="str">
        <f>IF(OR(L1005="-",L1005="",L1005=0),IF(K1005="-","-",K1005),K1005-L1005)</f>
        <v>-</v>
      </c>
      <c r="N1005" s="4" t="str">
        <f>IFERROR(IF(K1005&gt;0, L1005/K1005, 0),"-")</f>
        <v>-</v>
      </c>
      <c r="O1005" s="34" t="s">
        <v>959</v>
      </c>
      <c r="P1005" s="35" t="s">
        <v>959</v>
      </c>
      <c r="Q1005" s="34" t="str">
        <f>IF(OR(P1005="-",P1005="",P1005=0),IF(O1005="-","-",O1005),O1005-P1005)</f>
        <v>-</v>
      </c>
      <c r="R1005" s="4" t="str">
        <f>IFERROR(IF(O1005&gt;0, P1005/O1005, 0),"-")</f>
        <v>-</v>
      </c>
      <c r="S1005" s="34" t="s">
        <v>959</v>
      </c>
      <c r="T1005" s="34" t="s">
        <v>959</v>
      </c>
      <c r="U1005" s="34" t="s">
        <v>959</v>
      </c>
      <c r="V1005" s="35" t="s">
        <v>959</v>
      </c>
      <c r="W1005" s="35" t="s">
        <v>959</v>
      </c>
    </row>
    <row r="1006" spans="1:23" x14ac:dyDescent="0.2">
      <c r="A1006" s="30" t="s">
        <v>392</v>
      </c>
      <c r="B1006" s="30" t="s">
        <v>1631</v>
      </c>
      <c r="C1006" s="34">
        <v>35</v>
      </c>
      <c r="D1006" s="35">
        <v>35</v>
      </c>
      <c r="E1006" s="34">
        <f>IF(OR(D1006="-",D1006="",D1006=0),IF(C1006="-","-",C1006),C1006-D1006)</f>
        <v>0</v>
      </c>
      <c r="F1006" s="4">
        <f>IFERROR(IF(C1006&gt;0, D1006/C1006, 0),"-")</f>
        <v>1</v>
      </c>
      <c r="G1006" s="34" t="s">
        <v>959</v>
      </c>
      <c r="H1006" s="35" t="s">
        <v>959</v>
      </c>
      <c r="I1006" s="34" t="str">
        <f>IF(OR(H1006="-",H1006="",H1006=0),IF(G1006="-","-",G1006),G1006-H1006)</f>
        <v>-</v>
      </c>
      <c r="J1006" s="4" t="str">
        <f>IFERROR(IF(G1006&gt;0, H1006/G1006, 0),"-")</f>
        <v>-</v>
      </c>
      <c r="K1006" s="34" t="s">
        <v>959</v>
      </c>
      <c r="L1006" s="35" t="s">
        <v>959</v>
      </c>
      <c r="M1006" s="34" t="str">
        <f>IF(OR(L1006="-",L1006="",L1006=0),IF(K1006="-","-",K1006),K1006-L1006)</f>
        <v>-</v>
      </c>
      <c r="N1006" s="4" t="str">
        <f>IFERROR(IF(K1006&gt;0, L1006/K1006, 0),"-")</f>
        <v>-</v>
      </c>
      <c r="O1006" s="34" t="s">
        <v>959</v>
      </c>
      <c r="P1006" s="35" t="s">
        <v>959</v>
      </c>
      <c r="Q1006" s="34" t="str">
        <f>IF(OR(P1006="-",P1006="",P1006=0),IF(O1006="-","-",O1006),O1006-P1006)</f>
        <v>-</v>
      </c>
      <c r="R1006" s="4" t="str">
        <f>IFERROR(IF(O1006&gt;0, P1006/O1006, 0),"-")</f>
        <v>-</v>
      </c>
      <c r="S1006" s="34" t="s">
        <v>959</v>
      </c>
      <c r="T1006" s="34" t="s">
        <v>959</v>
      </c>
      <c r="U1006" s="34" t="s">
        <v>959</v>
      </c>
      <c r="V1006" s="35" t="s">
        <v>959</v>
      </c>
      <c r="W1006" s="35" t="s">
        <v>959</v>
      </c>
    </row>
    <row r="1007" spans="1:23" x14ac:dyDescent="0.2">
      <c r="A1007" s="30" t="s">
        <v>393</v>
      </c>
      <c r="B1007" s="30" t="s">
        <v>1632</v>
      </c>
      <c r="C1007" s="34">
        <v>56</v>
      </c>
      <c r="D1007" s="35">
        <v>54</v>
      </c>
      <c r="E1007" s="34">
        <f>IF(OR(D1007="-",D1007="",D1007=0),IF(C1007="-","-",C1007),C1007-D1007)</f>
        <v>2</v>
      </c>
      <c r="F1007" s="4">
        <f>IFERROR(IF(C1007&gt;0, D1007/C1007, 0),"-")</f>
        <v>0.9642857142857143</v>
      </c>
      <c r="G1007" s="34" t="s">
        <v>959</v>
      </c>
      <c r="H1007" s="35" t="s">
        <v>959</v>
      </c>
      <c r="I1007" s="34" t="str">
        <f>IF(OR(H1007="-",H1007="",H1007=0),IF(G1007="-","-",G1007),G1007-H1007)</f>
        <v>-</v>
      </c>
      <c r="J1007" s="4" t="str">
        <f>IFERROR(IF(G1007&gt;0, H1007/G1007, 0),"-")</f>
        <v>-</v>
      </c>
      <c r="K1007" s="34" t="s">
        <v>959</v>
      </c>
      <c r="L1007" s="35" t="s">
        <v>959</v>
      </c>
      <c r="M1007" s="34" t="str">
        <f>IF(OR(L1007="-",L1007="",L1007=0),IF(K1007="-","-",K1007),K1007-L1007)</f>
        <v>-</v>
      </c>
      <c r="N1007" s="4" t="str">
        <f>IFERROR(IF(K1007&gt;0, L1007/K1007, 0),"-")</f>
        <v>-</v>
      </c>
      <c r="O1007" s="34" t="s">
        <v>959</v>
      </c>
      <c r="P1007" s="35" t="s">
        <v>959</v>
      </c>
      <c r="Q1007" s="34" t="str">
        <f>IF(OR(P1007="-",P1007="",P1007=0),IF(O1007="-","-",O1007),O1007-P1007)</f>
        <v>-</v>
      </c>
      <c r="R1007" s="4" t="str">
        <f>IFERROR(IF(O1007&gt;0, P1007/O1007, 0),"-")</f>
        <v>-</v>
      </c>
      <c r="S1007" s="34" t="s">
        <v>959</v>
      </c>
      <c r="T1007" s="34" t="s">
        <v>959</v>
      </c>
      <c r="U1007" s="34" t="s">
        <v>959</v>
      </c>
      <c r="V1007" s="35" t="s">
        <v>959</v>
      </c>
      <c r="W1007" s="35" t="s">
        <v>959</v>
      </c>
    </row>
    <row r="1008" spans="1:23" x14ac:dyDescent="0.2">
      <c r="A1008" s="30" t="s">
        <v>388</v>
      </c>
      <c r="B1008" s="30" t="s">
        <v>1633</v>
      </c>
      <c r="C1008" s="34">
        <v>80</v>
      </c>
      <c r="D1008" s="35">
        <v>80</v>
      </c>
      <c r="E1008" s="34">
        <f>IF(OR(D1008="-",D1008="",D1008=0),IF(C1008="-","-",C1008),C1008-D1008)</f>
        <v>0</v>
      </c>
      <c r="F1008" s="4">
        <f>IFERROR(IF(C1008&gt;0, D1008/C1008, 0),"-")</f>
        <v>1</v>
      </c>
      <c r="G1008" s="34" t="s">
        <v>959</v>
      </c>
      <c r="H1008" s="35" t="s">
        <v>959</v>
      </c>
      <c r="I1008" s="34" t="str">
        <f>IF(OR(H1008="-",H1008="",H1008=0),IF(G1008="-","-",G1008),G1008-H1008)</f>
        <v>-</v>
      </c>
      <c r="J1008" s="4" t="str">
        <f>IFERROR(IF(G1008&gt;0, H1008/G1008, 0),"-")</f>
        <v>-</v>
      </c>
      <c r="K1008" s="34" t="s">
        <v>959</v>
      </c>
      <c r="L1008" s="35" t="s">
        <v>959</v>
      </c>
      <c r="M1008" s="34" t="str">
        <f>IF(OR(L1008="-",L1008="",L1008=0),IF(K1008="-","-",K1008),K1008-L1008)</f>
        <v>-</v>
      </c>
      <c r="N1008" s="4" t="str">
        <f>IFERROR(IF(K1008&gt;0, L1008/K1008, 0),"-")</f>
        <v>-</v>
      </c>
      <c r="O1008" s="34" t="s">
        <v>959</v>
      </c>
      <c r="P1008" s="35" t="s">
        <v>959</v>
      </c>
      <c r="Q1008" s="34" t="str">
        <f>IF(OR(P1008="-",P1008="",P1008=0),IF(O1008="-","-",O1008),O1008-P1008)</f>
        <v>-</v>
      </c>
      <c r="R1008" s="4" t="str">
        <f>IFERROR(IF(O1008&gt;0, P1008/O1008, 0),"-")</f>
        <v>-</v>
      </c>
      <c r="S1008" s="34" t="s">
        <v>959</v>
      </c>
      <c r="T1008" s="34" t="s">
        <v>959</v>
      </c>
      <c r="U1008" s="34" t="s">
        <v>959</v>
      </c>
      <c r="V1008" s="35" t="s">
        <v>959</v>
      </c>
      <c r="W1008" s="35" t="s">
        <v>959</v>
      </c>
    </row>
    <row r="1009" spans="1:23" x14ac:dyDescent="0.2">
      <c r="A1009" s="30" t="s">
        <v>389</v>
      </c>
      <c r="B1009" s="30" t="s">
        <v>1634</v>
      </c>
      <c r="C1009" s="34">
        <v>55</v>
      </c>
      <c r="D1009" s="35">
        <v>54</v>
      </c>
      <c r="E1009" s="34">
        <f>IF(OR(D1009="-",D1009="",D1009=0),IF(C1009="-","-",C1009),C1009-D1009)</f>
        <v>1</v>
      </c>
      <c r="F1009" s="4">
        <f>IFERROR(IF(C1009&gt;0, D1009/C1009, 0),"-")</f>
        <v>0.98181818181818181</v>
      </c>
      <c r="G1009" s="34" t="s">
        <v>959</v>
      </c>
      <c r="H1009" s="35" t="s">
        <v>959</v>
      </c>
      <c r="I1009" s="34" t="str">
        <f>IF(OR(H1009="-",H1009="",H1009=0),IF(G1009="-","-",G1009),G1009-H1009)</f>
        <v>-</v>
      </c>
      <c r="J1009" s="4" t="str">
        <f>IFERROR(IF(G1009&gt;0, H1009/G1009, 0),"-")</f>
        <v>-</v>
      </c>
      <c r="K1009" s="34" t="s">
        <v>959</v>
      </c>
      <c r="L1009" s="35" t="s">
        <v>959</v>
      </c>
      <c r="M1009" s="34" t="str">
        <f>IF(OR(L1009="-",L1009="",L1009=0),IF(K1009="-","-",K1009),K1009-L1009)</f>
        <v>-</v>
      </c>
      <c r="N1009" s="4" t="str">
        <f>IFERROR(IF(K1009&gt;0, L1009/K1009, 0),"-")</f>
        <v>-</v>
      </c>
      <c r="O1009" s="34" t="s">
        <v>959</v>
      </c>
      <c r="P1009" s="35" t="s">
        <v>959</v>
      </c>
      <c r="Q1009" s="34" t="str">
        <f>IF(OR(P1009="-",P1009="",P1009=0),IF(O1009="-","-",O1009),O1009-P1009)</f>
        <v>-</v>
      </c>
      <c r="R1009" s="4" t="str">
        <f>IFERROR(IF(O1009&gt;0, P1009/O1009, 0),"-")</f>
        <v>-</v>
      </c>
      <c r="S1009" s="34" t="s">
        <v>959</v>
      </c>
      <c r="T1009" s="34" t="s">
        <v>959</v>
      </c>
      <c r="U1009" s="34" t="s">
        <v>959</v>
      </c>
      <c r="V1009" s="35" t="s">
        <v>959</v>
      </c>
      <c r="W1009" s="35" t="s">
        <v>959</v>
      </c>
    </row>
    <row r="1010" spans="1:23" x14ac:dyDescent="0.2">
      <c r="A1010" s="29"/>
      <c r="B1010" s="29" t="s">
        <v>130</v>
      </c>
      <c r="C1010" s="32">
        <v>644</v>
      </c>
      <c r="D1010" s="32">
        <v>643</v>
      </c>
      <c r="E1010" s="32">
        <f>IF(OR(D1010="-",D1010="",D1010=0),IF(C1010="-","-",C1010),C1010-D1010)</f>
        <v>1</v>
      </c>
      <c r="F1010" s="36">
        <f>IFERROR(IF(C1010&gt;0, D1010/C1010, 0),"-")</f>
        <v>0.99844720496894412</v>
      </c>
      <c r="G1010" s="32">
        <v>6</v>
      </c>
      <c r="H1010" s="32">
        <v>3</v>
      </c>
      <c r="I1010" s="32">
        <f>IF(OR(H1010="-",H1010="",H1010=0),IF(G1010="-","-",G1010),G1010-H1010)</f>
        <v>3</v>
      </c>
      <c r="J1010" s="36">
        <f>IFERROR(IF(G1010&gt;0, H1010/G1010, 0),"-")</f>
        <v>0.5</v>
      </c>
      <c r="K1010" s="32" t="s">
        <v>959</v>
      </c>
      <c r="L1010" s="32" t="s">
        <v>959</v>
      </c>
      <c r="M1010" s="32" t="str">
        <f>IF(OR(L1010="-",L1010="",L1010=0),IF(K1010="-","-",K1010),K1010-L1010)</f>
        <v>-</v>
      </c>
      <c r="N1010" s="36" t="str">
        <f>IFERROR(IF(K1010&gt;0, L1010/K1010, 0),"-")</f>
        <v>-</v>
      </c>
      <c r="O1010" s="32" t="s">
        <v>959</v>
      </c>
      <c r="P1010" s="32" t="s">
        <v>959</v>
      </c>
      <c r="Q1010" s="32" t="str">
        <f>IF(OR(P1010="-",P1010="",P1010=0),IF(O1010="-","-",O1010),O1010-P1010)</f>
        <v>-</v>
      </c>
      <c r="R1010" s="36" t="str">
        <f>IFERROR(IF(O1010&gt;0, P1010/O1010, 0),"-")</f>
        <v>-</v>
      </c>
      <c r="S1010" s="32">
        <v>1</v>
      </c>
      <c r="T1010" s="32" t="s">
        <v>959</v>
      </c>
      <c r="U1010" s="32" t="s">
        <v>959</v>
      </c>
      <c r="V1010" s="32" t="s">
        <v>959</v>
      </c>
      <c r="W1010" s="32" t="s">
        <v>959</v>
      </c>
    </row>
    <row r="1011" spans="1:23" x14ac:dyDescent="0.2">
      <c r="A1011" s="30" t="s">
        <v>903</v>
      </c>
      <c r="B1011" s="30" t="s">
        <v>1635</v>
      </c>
      <c r="C1011" s="34">
        <v>67</v>
      </c>
      <c r="D1011" s="35">
        <v>67</v>
      </c>
      <c r="E1011" s="34">
        <f>IF(OR(D1011="-",D1011="",D1011=0),IF(C1011="-","-",C1011),C1011-D1011)</f>
        <v>0</v>
      </c>
      <c r="F1011" s="4">
        <f>IFERROR(IF(C1011&gt;0, D1011/C1011, 0),"-")</f>
        <v>1</v>
      </c>
      <c r="G1011" s="34" t="s">
        <v>959</v>
      </c>
      <c r="H1011" s="35" t="s">
        <v>959</v>
      </c>
      <c r="I1011" s="34" t="str">
        <f>IF(OR(H1011="-",H1011="",H1011=0),IF(G1011="-","-",G1011),G1011-H1011)</f>
        <v>-</v>
      </c>
      <c r="J1011" s="4" t="str">
        <f>IFERROR(IF(G1011&gt;0, H1011/G1011, 0),"-")</f>
        <v>-</v>
      </c>
      <c r="K1011" s="34" t="s">
        <v>959</v>
      </c>
      <c r="L1011" s="35" t="s">
        <v>959</v>
      </c>
      <c r="M1011" s="34" t="str">
        <f>IF(OR(L1011="-",L1011="",L1011=0),IF(K1011="-","-",K1011),K1011-L1011)</f>
        <v>-</v>
      </c>
      <c r="N1011" s="4" t="str">
        <f>IFERROR(IF(K1011&gt;0, L1011/K1011, 0),"-")</f>
        <v>-</v>
      </c>
      <c r="O1011" s="34" t="s">
        <v>959</v>
      </c>
      <c r="P1011" s="35" t="s">
        <v>959</v>
      </c>
      <c r="Q1011" s="34" t="str">
        <f>IF(OR(P1011="-",P1011="",P1011=0),IF(O1011="-","-",O1011),O1011-P1011)</f>
        <v>-</v>
      </c>
      <c r="R1011" s="4" t="str">
        <f>IFERROR(IF(O1011&gt;0, P1011/O1011, 0),"-")</f>
        <v>-</v>
      </c>
      <c r="S1011" s="34">
        <v>1</v>
      </c>
      <c r="T1011" s="34" t="s">
        <v>959</v>
      </c>
      <c r="U1011" s="34" t="s">
        <v>959</v>
      </c>
      <c r="V1011" s="35" t="s">
        <v>959</v>
      </c>
      <c r="W1011" s="35" t="s">
        <v>959</v>
      </c>
    </row>
    <row r="1012" spans="1:23" x14ac:dyDescent="0.2">
      <c r="A1012" s="30" t="s">
        <v>904</v>
      </c>
      <c r="B1012" s="30" t="s">
        <v>1636</v>
      </c>
      <c r="C1012" s="34">
        <v>86</v>
      </c>
      <c r="D1012" s="35">
        <v>85</v>
      </c>
      <c r="E1012" s="34">
        <f>IF(OR(D1012="-",D1012="",D1012=0),IF(C1012="-","-",C1012),C1012-D1012)</f>
        <v>1</v>
      </c>
      <c r="F1012" s="4">
        <f>IFERROR(IF(C1012&gt;0, D1012/C1012, 0),"-")</f>
        <v>0.98837209302325579</v>
      </c>
      <c r="G1012" s="34">
        <v>2</v>
      </c>
      <c r="H1012" s="35" t="s">
        <v>959</v>
      </c>
      <c r="I1012" s="34">
        <f>IF(OR(H1012="-",H1012="",H1012=0),IF(G1012="-","-",G1012),G1012-H1012)</f>
        <v>2</v>
      </c>
      <c r="J1012" s="4" t="str">
        <f>IFERROR(IF(G1012&gt;0, H1012/G1012, 0),"-")</f>
        <v>-</v>
      </c>
      <c r="K1012" s="34" t="s">
        <v>959</v>
      </c>
      <c r="L1012" s="35" t="s">
        <v>959</v>
      </c>
      <c r="M1012" s="34" t="str">
        <f>IF(OR(L1012="-",L1012="",L1012=0),IF(K1012="-","-",K1012),K1012-L1012)</f>
        <v>-</v>
      </c>
      <c r="N1012" s="4" t="str">
        <f>IFERROR(IF(K1012&gt;0, L1012/K1012, 0),"-")</f>
        <v>-</v>
      </c>
      <c r="O1012" s="34" t="s">
        <v>959</v>
      </c>
      <c r="P1012" s="35" t="s">
        <v>959</v>
      </c>
      <c r="Q1012" s="34" t="str">
        <f>IF(OR(P1012="-",P1012="",P1012=0),IF(O1012="-","-",O1012),O1012-P1012)</f>
        <v>-</v>
      </c>
      <c r="R1012" s="4" t="str">
        <f>IFERROR(IF(O1012&gt;0, P1012/O1012, 0),"-")</f>
        <v>-</v>
      </c>
      <c r="S1012" s="34" t="s">
        <v>959</v>
      </c>
      <c r="T1012" s="34" t="s">
        <v>959</v>
      </c>
      <c r="U1012" s="34" t="s">
        <v>959</v>
      </c>
      <c r="V1012" s="35" t="s">
        <v>959</v>
      </c>
      <c r="W1012" s="35" t="s">
        <v>959</v>
      </c>
    </row>
    <row r="1013" spans="1:23" x14ac:dyDescent="0.2">
      <c r="A1013" s="30" t="s">
        <v>906</v>
      </c>
      <c r="B1013" s="30" t="s">
        <v>1637</v>
      </c>
      <c r="C1013" s="34">
        <v>47</v>
      </c>
      <c r="D1013" s="35">
        <v>47</v>
      </c>
      <c r="E1013" s="34">
        <f>IF(OR(D1013="-",D1013="",D1013=0),IF(C1013="-","-",C1013),C1013-D1013)</f>
        <v>0</v>
      </c>
      <c r="F1013" s="4">
        <f>IFERROR(IF(C1013&gt;0, D1013/C1013, 0),"-")</f>
        <v>1</v>
      </c>
      <c r="G1013" s="34">
        <v>1</v>
      </c>
      <c r="H1013" s="35">
        <v>1</v>
      </c>
      <c r="I1013" s="34">
        <f>IF(OR(H1013="-",H1013="",H1013=0),IF(G1013="-","-",G1013),G1013-H1013)</f>
        <v>0</v>
      </c>
      <c r="J1013" s="4">
        <f>IFERROR(IF(G1013&gt;0, H1013/G1013, 0),"-")</f>
        <v>1</v>
      </c>
      <c r="K1013" s="34" t="s">
        <v>959</v>
      </c>
      <c r="L1013" s="35" t="s">
        <v>959</v>
      </c>
      <c r="M1013" s="34" t="str">
        <f>IF(OR(L1013="-",L1013="",L1013=0),IF(K1013="-","-",K1013),K1013-L1013)</f>
        <v>-</v>
      </c>
      <c r="N1013" s="4" t="str">
        <f>IFERROR(IF(K1013&gt;0, L1013/K1013, 0),"-")</f>
        <v>-</v>
      </c>
      <c r="O1013" s="34" t="s">
        <v>959</v>
      </c>
      <c r="P1013" s="35" t="s">
        <v>959</v>
      </c>
      <c r="Q1013" s="34" t="str">
        <f>IF(OR(P1013="-",P1013="",P1013=0),IF(O1013="-","-",O1013),O1013-P1013)</f>
        <v>-</v>
      </c>
      <c r="R1013" s="4" t="str">
        <f>IFERROR(IF(O1013&gt;0, P1013/O1013, 0),"-")</f>
        <v>-</v>
      </c>
      <c r="S1013" s="34" t="s">
        <v>959</v>
      </c>
      <c r="T1013" s="34" t="s">
        <v>959</v>
      </c>
      <c r="U1013" s="34" t="s">
        <v>959</v>
      </c>
      <c r="V1013" s="35" t="s">
        <v>959</v>
      </c>
      <c r="W1013" s="35" t="s">
        <v>959</v>
      </c>
    </row>
    <row r="1014" spans="1:23" x14ac:dyDescent="0.2">
      <c r="A1014" s="30" t="s">
        <v>899</v>
      </c>
      <c r="B1014" s="30" t="s">
        <v>1638</v>
      </c>
      <c r="C1014" s="34">
        <v>82</v>
      </c>
      <c r="D1014" s="35">
        <v>82</v>
      </c>
      <c r="E1014" s="34">
        <f>IF(OR(D1014="-",D1014="",D1014=0),IF(C1014="-","-",C1014),C1014-D1014)</f>
        <v>0</v>
      </c>
      <c r="F1014" s="4">
        <f>IFERROR(IF(C1014&gt;0, D1014/C1014, 0),"-")</f>
        <v>1</v>
      </c>
      <c r="G1014" s="34" t="s">
        <v>959</v>
      </c>
      <c r="H1014" s="35" t="s">
        <v>959</v>
      </c>
      <c r="I1014" s="34" t="str">
        <f>IF(OR(H1014="-",H1014="",H1014=0),IF(G1014="-","-",G1014),G1014-H1014)</f>
        <v>-</v>
      </c>
      <c r="J1014" s="4" t="str">
        <f>IFERROR(IF(G1014&gt;0, H1014/G1014, 0),"-")</f>
        <v>-</v>
      </c>
      <c r="K1014" s="34" t="s">
        <v>959</v>
      </c>
      <c r="L1014" s="35" t="s">
        <v>959</v>
      </c>
      <c r="M1014" s="34" t="str">
        <f>IF(OR(L1014="-",L1014="",L1014=0),IF(K1014="-","-",K1014),K1014-L1014)</f>
        <v>-</v>
      </c>
      <c r="N1014" s="4" t="str">
        <f>IFERROR(IF(K1014&gt;0, L1014/K1014, 0),"-")</f>
        <v>-</v>
      </c>
      <c r="O1014" s="34" t="s">
        <v>959</v>
      </c>
      <c r="P1014" s="35" t="s">
        <v>959</v>
      </c>
      <c r="Q1014" s="34" t="str">
        <f>IF(OR(P1014="-",P1014="",P1014=0),IF(O1014="-","-",O1014),O1014-P1014)</f>
        <v>-</v>
      </c>
      <c r="R1014" s="4" t="str">
        <f>IFERROR(IF(O1014&gt;0, P1014/O1014, 0),"-")</f>
        <v>-</v>
      </c>
      <c r="S1014" s="34" t="s">
        <v>959</v>
      </c>
      <c r="T1014" s="34" t="s">
        <v>959</v>
      </c>
      <c r="U1014" s="34" t="s">
        <v>959</v>
      </c>
      <c r="V1014" s="35" t="s">
        <v>959</v>
      </c>
      <c r="W1014" s="35" t="s">
        <v>959</v>
      </c>
    </row>
    <row r="1015" spans="1:23" x14ac:dyDescent="0.2">
      <c r="A1015" s="30" t="s">
        <v>900</v>
      </c>
      <c r="B1015" s="30" t="s">
        <v>1639</v>
      </c>
      <c r="C1015" s="34">
        <v>86</v>
      </c>
      <c r="D1015" s="35">
        <v>86</v>
      </c>
      <c r="E1015" s="34">
        <f>IF(OR(D1015="-",D1015="",D1015=0),IF(C1015="-","-",C1015),C1015-D1015)</f>
        <v>0</v>
      </c>
      <c r="F1015" s="4">
        <f>IFERROR(IF(C1015&gt;0, D1015/C1015, 0),"-")</f>
        <v>1</v>
      </c>
      <c r="G1015" s="34">
        <v>1</v>
      </c>
      <c r="H1015" s="35">
        <v>1</v>
      </c>
      <c r="I1015" s="34">
        <f>IF(OR(H1015="-",H1015="",H1015=0),IF(G1015="-","-",G1015),G1015-H1015)</f>
        <v>0</v>
      </c>
      <c r="J1015" s="4">
        <f>IFERROR(IF(G1015&gt;0, H1015/G1015, 0),"-")</f>
        <v>1</v>
      </c>
      <c r="K1015" s="34" t="s">
        <v>959</v>
      </c>
      <c r="L1015" s="35" t="s">
        <v>959</v>
      </c>
      <c r="M1015" s="34" t="str">
        <f>IF(OR(L1015="-",L1015="",L1015=0),IF(K1015="-","-",K1015),K1015-L1015)</f>
        <v>-</v>
      </c>
      <c r="N1015" s="4" t="str">
        <f>IFERROR(IF(K1015&gt;0, L1015/K1015, 0),"-")</f>
        <v>-</v>
      </c>
      <c r="O1015" s="34" t="s">
        <v>959</v>
      </c>
      <c r="P1015" s="35" t="s">
        <v>959</v>
      </c>
      <c r="Q1015" s="34" t="str">
        <f>IF(OR(P1015="-",P1015="",P1015=0),IF(O1015="-","-",O1015),O1015-P1015)</f>
        <v>-</v>
      </c>
      <c r="R1015" s="4" t="str">
        <f>IFERROR(IF(O1015&gt;0, P1015/O1015, 0),"-")</f>
        <v>-</v>
      </c>
      <c r="S1015" s="34" t="s">
        <v>959</v>
      </c>
      <c r="T1015" s="34" t="s">
        <v>959</v>
      </c>
      <c r="U1015" s="34" t="s">
        <v>959</v>
      </c>
      <c r="V1015" s="35" t="s">
        <v>959</v>
      </c>
      <c r="W1015" s="35" t="s">
        <v>959</v>
      </c>
    </row>
    <row r="1016" spans="1:23" x14ac:dyDescent="0.2">
      <c r="A1016" s="30" t="s">
        <v>902</v>
      </c>
      <c r="B1016" s="30" t="s">
        <v>1640</v>
      </c>
      <c r="C1016" s="34">
        <v>69</v>
      </c>
      <c r="D1016" s="35">
        <v>69</v>
      </c>
      <c r="E1016" s="34">
        <f>IF(OR(D1016="-",D1016="",D1016=0),IF(C1016="-","-",C1016),C1016-D1016)</f>
        <v>0</v>
      </c>
      <c r="F1016" s="4">
        <f>IFERROR(IF(C1016&gt;0, D1016/C1016, 0),"-")</f>
        <v>1</v>
      </c>
      <c r="G1016" s="34" t="s">
        <v>959</v>
      </c>
      <c r="H1016" s="35" t="s">
        <v>959</v>
      </c>
      <c r="I1016" s="34" t="str">
        <f>IF(OR(H1016="-",H1016="",H1016=0),IF(G1016="-","-",G1016),G1016-H1016)</f>
        <v>-</v>
      </c>
      <c r="J1016" s="4" t="str">
        <f>IFERROR(IF(G1016&gt;0, H1016/G1016, 0),"-")</f>
        <v>-</v>
      </c>
      <c r="K1016" s="34" t="s">
        <v>959</v>
      </c>
      <c r="L1016" s="35" t="s">
        <v>959</v>
      </c>
      <c r="M1016" s="34" t="str">
        <f>IF(OR(L1016="-",L1016="",L1016=0),IF(K1016="-","-",K1016),K1016-L1016)</f>
        <v>-</v>
      </c>
      <c r="N1016" s="4" t="str">
        <f>IFERROR(IF(K1016&gt;0, L1016/K1016, 0),"-")</f>
        <v>-</v>
      </c>
      <c r="O1016" s="34" t="s">
        <v>959</v>
      </c>
      <c r="P1016" s="35" t="s">
        <v>959</v>
      </c>
      <c r="Q1016" s="34" t="str">
        <f>IF(OR(P1016="-",P1016="",P1016=0),IF(O1016="-","-",O1016),O1016-P1016)</f>
        <v>-</v>
      </c>
      <c r="R1016" s="4" t="str">
        <f>IFERROR(IF(O1016&gt;0, P1016/O1016, 0),"-")</f>
        <v>-</v>
      </c>
      <c r="S1016" s="34" t="s">
        <v>959</v>
      </c>
      <c r="T1016" s="34" t="s">
        <v>959</v>
      </c>
      <c r="U1016" s="34" t="s">
        <v>959</v>
      </c>
      <c r="V1016" s="35" t="s">
        <v>959</v>
      </c>
      <c r="W1016" s="35" t="s">
        <v>959</v>
      </c>
    </row>
    <row r="1017" spans="1:23" x14ac:dyDescent="0.2">
      <c r="A1017" s="30" t="s">
        <v>898</v>
      </c>
      <c r="B1017" s="30" t="s">
        <v>1641</v>
      </c>
      <c r="C1017" s="34">
        <v>81</v>
      </c>
      <c r="D1017" s="35">
        <v>81</v>
      </c>
      <c r="E1017" s="34">
        <f>IF(OR(D1017="-",D1017="",D1017=0),IF(C1017="-","-",C1017),C1017-D1017)</f>
        <v>0</v>
      </c>
      <c r="F1017" s="4">
        <f>IFERROR(IF(C1017&gt;0, D1017/C1017, 0),"-")</f>
        <v>1</v>
      </c>
      <c r="G1017" s="34">
        <v>1</v>
      </c>
      <c r="H1017" s="35" t="s">
        <v>959</v>
      </c>
      <c r="I1017" s="34">
        <f>IF(OR(H1017="-",H1017="",H1017=0),IF(G1017="-","-",G1017),G1017-H1017)</f>
        <v>1</v>
      </c>
      <c r="J1017" s="4" t="str">
        <f>IFERROR(IF(G1017&gt;0, H1017/G1017, 0),"-")</f>
        <v>-</v>
      </c>
      <c r="K1017" s="34" t="s">
        <v>959</v>
      </c>
      <c r="L1017" s="35" t="s">
        <v>959</v>
      </c>
      <c r="M1017" s="34" t="str">
        <f>IF(OR(L1017="-",L1017="",L1017=0),IF(K1017="-","-",K1017),K1017-L1017)</f>
        <v>-</v>
      </c>
      <c r="N1017" s="4" t="str">
        <f>IFERROR(IF(K1017&gt;0, L1017/K1017, 0),"-")</f>
        <v>-</v>
      </c>
      <c r="O1017" s="34" t="s">
        <v>959</v>
      </c>
      <c r="P1017" s="35" t="s">
        <v>959</v>
      </c>
      <c r="Q1017" s="34" t="str">
        <f>IF(OR(P1017="-",P1017="",P1017=0),IF(O1017="-","-",O1017),O1017-P1017)</f>
        <v>-</v>
      </c>
      <c r="R1017" s="4" t="str">
        <f>IFERROR(IF(O1017&gt;0, P1017/O1017, 0),"-")</f>
        <v>-</v>
      </c>
      <c r="S1017" s="34" t="s">
        <v>959</v>
      </c>
      <c r="T1017" s="34" t="s">
        <v>959</v>
      </c>
      <c r="U1017" s="34" t="s">
        <v>959</v>
      </c>
      <c r="V1017" s="35" t="s">
        <v>959</v>
      </c>
      <c r="W1017" s="35" t="s">
        <v>959</v>
      </c>
    </row>
    <row r="1018" spans="1:23" x14ac:dyDescent="0.2">
      <c r="A1018" s="30" t="s">
        <v>905</v>
      </c>
      <c r="B1018" s="30" t="s">
        <v>1642</v>
      </c>
      <c r="C1018" s="34" t="s">
        <v>959</v>
      </c>
      <c r="D1018" s="35" t="s">
        <v>959</v>
      </c>
      <c r="E1018" s="34" t="str">
        <f>IF(OR(D1018="-",D1018="",D1018=0),IF(C1018="-","-",C1018),C1018-D1018)</f>
        <v>-</v>
      </c>
      <c r="F1018" s="4" t="str">
        <f>IFERROR(IF(C1018&gt;0, D1018/C1018, 0),"-")</f>
        <v>-</v>
      </c>
      <c r="G1018" s="34" t="s">
        <v>959</v>
      </c>
      <c r="H1018" s="35" t="s">
        <v>959</v>
      </c>
      <c r="I1018" s="34" t="str">
        <f>IF(OR(H1018="-",H1018="",H1018=0),IF(G1018="-","-",G1018),G1018-H1018)</f>
        <v>-</v>
      </c>
      <c r="J1018" s="4" t="str">
        <f>IFERROR(IF(G1018&gt;0, H1018/G1018, 0),"-")</f>
        <v>-</v>
      </c>
      <c r="K1018" s="34" t="s">
        <v>959</v>
      </c>
      <c r="L1018" s="35" t="s">
        <v>959</v>
      </c>
      <c r="M1018" s="34" t="str">
        <f>IF(OR(L1018="-",L1018="",L1018=0),IF(K1018="-","-",K1018),K1018-L1018)</f>
        <v>-</v>
      </c>
      <c r="N1018" s="4" t="str">
        <f>IFERROR(IF(K1018&gt;0, L1018/K1018, 0),"-")</f>
        <v>-</v>
      </c>
      <c r="O1018" s="34" t="s">
        <v>959</v>
      </c>
      <c r="P1018" s="35" t="s">
        <v>959</v>
      </c>
      <c r="Q1018" s="34" t="str">
        <f>IF(OR(P1018="-",P1018="",P1018=0),IF(O1018="-","-",O1018),O1018-P1018)</f>
        <v>-</v>
      </c>
      <c r="R1018" s="4" t="str">
        <f>IFERROR(IF(O1018&gt;0, P1018/O1018, 0),"-")</f>
        <v>-</v>
      </c>
      <c r="S1018" s="34" t="s">
        <v>959</v>
      </c>
      <c r="T1018" s="34" t="s">
        <v>959</v>
      </c>
      <c r="U1018" s="34" t="s">
        <v>959</v>
      </c>
      <c r="V1018" s="35" t="s">
        <v>959</v>
      </c>
      <c r="W1018" s="35" t="s">
        <v>959</v>
      </c>
    </row>
    <row r="1019" spans="1:23" x14ac:dyDescent="0.2">
      <c r="A1019" s="30" t="s">
        <v>901</v>
      </c>
      <c r="B1019" s="30" t="s">
        <v>1643</v>
      </c>
      <c r="C1019" s="34">
        <v>126</v>
      </c>
      <c r="D1019" s="35">
        <v>126</v>
      </c>
      <c r="E1019" s="34">
        <f>IF(OR(D1019="-",D1019="",D1019=0),IF(C1019="-","-",C1019),C1019-D1019)</f>
        <v>0</v>
      </c>
      <c r="F1019" s="4">
        <f>IFERROR(IF(C1019&gt;0, D1019/C1019, 0),"-")</f>
        <v>1</v>
      </c>
      <c r="G1019" s="34">
        <v>1</v>
      </c>
      <c r="H1019" s="35">
        <v>1</v>
      </c>
      <c r="I1019" s="34">
        <f>IF(OR(H1019="-",H1019="",H1019=0),IF(G1019="-","-",G1019),G1019-H1019)</f>
        <v>0</v>
      </c>
      <c r="J1019" s="4">
        <f>IFERROR(IF(G1019&gt;0, H1019/G1019, 0),"-")</f>
        <v>1</v>
      </c>
      <c r="K1019" s="34" t="s">
        <v>959</v>
      </c>
      <c r="L1019" s="35" t="s">
        <v>959</v>
      </c>
      <c r="M1019" s="34" t="str">
        <f>IF(OR(L1019="-",L1019="",L1019=0),IF(K1019="-","-",K1019),K1019-L1019)</f>
        <v>-</v>
      </c>
      <c r="N1019" s="4" t="str">
        <f>IFERROR(IF(K1019&gt;0, L1019/K1019, 0),"-")</f>
        <v>-</v>
      </c>
      <c r="O1019" s="34" t="s">
        <v>959</v>
      </c>
      <c r="P1019" s="35" t="s">
        <v>959</v>
      </c>
      <c r="Q1019" s="34" t="str">
        <f>IF(OR(P1019="-",P1019="",P1019=0),IF(O1019="-","-",O1019),O1019-P1019)</f>
        <v>-</v>
      </c>
      <c r="R1019" s="4" t="str">
        <f>IFERROR(IF(O1019&gt;0, P1019/O1019, 0),"-")</f>
        <v>-</v>
      </c>
      <c r="S1019" s="34" t="s">
        <v>959</v>
      </c>
      <c r="T1019" s="34" t="s">
        <v>959</v>
      </c>
      <c r="U1019" s="34" t="s">
        <v>959</v>
      </c>
      <c r="V1019" s="35" t="s">
        <v>959</v>
      </c>
      <c r="W1019" s="35" t="s">
        <v>959</v>
      </c>
    </row>
    <row r="1020" spans="1:23" x14ac:dyDescent="0.2">
      <c r="A1020" s="29"/>
      <c r="B1020" s="29" t="s">
        <v>73</v>
      </c>
      <c r="C1020" s="32">
        <v>462</v>
      </c>
      <c r="D1020" s="32">
        <v>460</v>
      </c>
      <c r="E1020" s="32">
        <f>IF(OR(D1020="-",D1020="",D1020=0),IF(C1020="-","-",C1020),C1020-D1020)</f>
        <v>2</v>
      </c>
      <c r="F1020" s="36">
        <f>IFERROR(IF(C1020&gt;0, D1020/C1020, 0),"-")</f>
        <v>0.99567099567099571</v>
      </c>
      <c r="G1020" s="32" t="s">
        <v>959</v>
      </c>
      <c r="H1020" s="32" t="s">
        <v>959</v>
      </c>
      <c r="I1020" s="32" t="str">
        <f>IF(OR(H1020="-",H1020="",H1020=0),IF(G1020="-","-",G1020),G1020-H1020)</f>
        <v>-</v>
      </c>
      <c r="J1020" s="36" t="str">
        <f>IFERROR(IF(G1020&gt;0, H1020/G1020, 0),"-")</f>
        <v>-</v>
      </c>
      <c r="K1020" s="32" t="s">
        <v>959</v>
      </c>
      <c r="L1020" s="32" t="s">
        <v>959</v>
      </c>
      <c r="M1020" s="32" t="str">
        <f>IF(OR(L1020="-",L1020="",L1020=0),IF(K1020="-","-",K1020),K1020-L1020)</f>
        <v>-</v>
      </c>
      <c r="N1020" s="36" t="str">
        <f>IFERROR(IF(K1020&gt;0, L1020/K1020, 0),"-")</f>
        <v>-</v>
      </c>
      <c r="O1020" s="32">
        <v>2</v>
      </c>
      <c r="P1020" s="32">
        <v>1</v>
      </c>
      <c r="Q1020" s="32">
        <f>IF(OR(P1020="-",P1020="",P1020=0),IF(O1020="-","-",O1020),O1020-P1020)</f>
        <v>1</v>
      </c>
      <c r="R1020" s="36">
        <f>IFERROR(IF(O1020&gt;0, P1020/O1020, 0),"-")</f>
        <v>0.5</v>
      </c>
      <c r="S1020" s="32">
        <v>6</v>
      </c>
      <c r="T1020" s="32">
        <v>1</v>
      </c>
      <c r="U1020" s="32">
        <v>2000</v>
      </c>
      <c r="V1020" s="32" t="s">
        <v>959</v>
      </c>
      <c r="W1020" s="32" t="s">
        <v>959</v>
      </c>
    </row>
    <row r="1021" spans="1:23" x14ac:dyDescent="0.2">
      <c r="A1021" s="30" t="s">
        <v>496</v>
      </c>
      <c r="B1021" s="30" t="s">
        <v>1644</v>
      </c>
      <c r="C1021" s="34">
        <v>2</v>
      </c>
      <c r="D1021" s="35">
        <v>2</v>
      </c>
      <c r="E1021" s="34">
        <f>IF(OR(D1021="-",D1021="",D1021=0),IF(C1021="-","-",C1021),C1021-D1021)</f>
        <v>0</v>
      </c>
      <c r="F1021" s="4">
        <f>IFERROR(IF(C1021&gt;0, D1021/C1021, 0),"-")</f>
        <v>1</v>
      </c>
      <c r="G1021" s="34" t="s">
        <v>959</v>
      </c>
      <c r="H1021" s="35" t="s">
        <v>959</v>
      </c>
      <c r="I1021" s="34" t="str">
        <f>IF(OR(H1021="-",H1021="",H1021=0),IF(G1021="-","-",G1021),G1021-H1021)</f>
        <v>-</v>
      </c>
      <c r="J1021" s="4" t="str">
        <f>IFERROR(IF(G1021&gt;0, H1021/G1021, 0),"-")</f>
        <v>-</v>
      </c>
      <c r="K1021" s="34" t="s">
        <v>959</v>
      </c>
      <c r="L1021" s="35" t="s">
        <v>959</v>
      </c>
      <c r="M1021" s="34" t="str">
        <f>IF(OR(L1021="-",L1021="",L1021=0),IF(K1021="-","-",K1021),K1021-L1021)</f>
        <v>-</v>
      </c>
      <c r="N1021" s="4" t="str">
        <f>IFERROR(IF(K1021&gt;0, L1021/K1021, 0),"-")</f>
        <v>-</v>
      </c>
      <c r="O1021" s="34" t="s">
        <v>959</v>
      </c>
      <c r="P1021" s="35" t="s">
        <v>959</v>
      </c>
      <c r="Q1021" s="34" t="str">
        <f>IF(OR(P1021="-",P1021="",P1021=0),IF(O1021="-","-",O1021),O1021-P1021)</f>
        <v>-</v>
      </c>
      <c r="R1021" s="4" t="str">
        <f>IFERROR(IF(O1021&gt;0, P1021/O1021, 0),"-")</f>
        <v>-</v>
      </c>
      <c r="S1021" s="34" t="s">
        <v>959</v>
      </c>
      <c r="T1021" s="34" t="s">
        <v>959</v>
      </c>
      <c r="U1021" s="34" t="s">
        <v>959</v>
      </c>
      <c r="V1021" s="35" t="s">
        <v>959</v>
      </c>
      <c r="W1021" s="35" t="s">
        <v>959</v>
      </c>
    </row>
    <row r="1022" spans="1:23" x14ac:dyDescent="0.2">
      <c r="A1022" s="30" t="s">
        <v>486</v>
      </c>
      <c r="B1022" s="30" t="s">
        <v>1645</v>
      </c>
      <c r="C1022" s="34">
        <v>80</v>
      </c>
      <c r="D1022" s="35">
        <v>80</v>
      </c>
      <c r="E1022" s="34">
        <f>IF(OR(D1022="-",D1022="",D1022=0),IF(C1022="-","-",C1022),C1022-D1022)</f>
        <v>0</v>
      </c>
      <c r="F1022" s="4">
        <f>IFERROR(IF(C1022&gt;0, D1022/C1022, 0),"-")</f>
        <v>1</v>
      </c>
      <c r="G1022" s="34" t="s">
        <v>959</v>
      </c>
      <c r="H1022" s="35" t="s">
        <v>959</v>
      </c>
      <c r="I1022" s="34" t="str">
        <f>IF(OR(H1022="-",H1022="",H1022=0),IF(G1022="-","-",G1022),G1022-H1022)</f>
        <v>-</v>
      </c>
      <c r="J1022" s="4" t="str">
        <f>IFERROR(IF(G1022&gt;0, H1022/G1022, 0),"-")</f>
        <v>-</v>
      </c>
      <c r="K1022" s="34" t="s">
        <v>959</v>
      </c>
      <c r="L1022" s="35" t="s">
        <v>959</v>
      </c>
      <c r="M1022" s="34" t="str">
        <f>IF(OR(L1022="-",L1022="",L1022=0),IF(K1022="-","-",K1022),K1022-L1022)</f>
        <v>-</v>
      </c>
      <c r="N1022" s="4" t="str">
        <f>IFERROR(IF(K1022&gt;0, L1022/K1022, 0),"-")</f>
        <v>-</v>
      </c>
      <c r="O1022" s="34">
        <v>1</v>
      </c>
      <c r="P1022" s="35">
        <v>1</v>
      </c>
      <c r="Q1022" s="34">
        <f>IF(OR(P1022="-",P1022="",P1022=0),IF(O1022="-","-",O1022),O1022-P1022)</f>
        <v>0</v>
      </c>
      <c r="R1022" s="4">
        <f>IFERROR(IF(O1022&gt;0, P1022/O1022, 0),"-")</f>
        <v>1</v>
      </c>
      <c r="S1022" s="34">
        <v>3</v>
      </c>
      <c r="T1022" s="34">
        <v>1</v>
      </c>
      <c r="U1022" s="34">
        <v>2000</v>
      </c>
      <c r="V1022" s="35" t="s">
        <v>959</v>
      </c>
      <c r="W1022" s="35" t="s">
        <v>959</v>
      </c>
    </row>
    <row r="1023" spans="1:23" x14ac:dyDescent="0.2">
      <c r="A1023" s="30" t="s">
        <v>489</v>
      </c>
      <c r="B1023" s="30" t="s">
        <v>1646</v>
      </c>
      <c r="C1023" s="34">
        <v>70</v>
      </c>
      <c r="D1023" s="35">
        <v>69</v>
      </c>
      <c r="E1023" s="34">
        <f>IF(OR(D1023="-",D1023="",D1023=0),IF(C1023="-","-",C1023),C1023-D1023)</f>
        <v>1</v>
      </c>
      <c r="F1023" s="4">
        <f>IFERROR(IF(C1023&gt;0, D1023/C1023, 0),"-")</f>
        <v>0.98571428571428577</v>
      </c>
      <c r="G1023" s="34" t="s">
        <v>959</v>
      </c>
      <c r="H1023" s="35" t="s">
        <v>959</v>
      </c>
      <c r="I1023" s="34" t="str">
        <f>IF(OR(H1023="-",H1023="",H1023=0),IF(G1023="-","-",G1023),G1023-H1023)</f>
        <v>-</v>
      </c>
      <c r="J1023" s="4" t="str">
        <f>IFERROR(IF(G1023&gt;0, H1023/G1023, 0),"-")</f>
        <v>-</v>
      </c>
      <c r="K1023" s="34" t="s">
        <v>959</v>
      </c>
      <c r="L1023" s="35" t="s">
        <v>959</v>
      </c>
      <c r="M1023" s="34" t="str">
        <f>IF(OR(L1023="-",L1023="",L1023=0),IF(K1023="-","-",K1023),K1023-L1023)</f>
        <v>-</v>
      </c>
      <c r="N1023" s="4" t="str">
        <f>IFERROR(IF(K1023&gt;0, L1023/K1023, 0),"-")</f>
        <v>-</v>
      </c>
      <c r="O1023" s="34" t="s">
        <v>959</v>
      </c>
      <c r="P1023" s="35" t="s">
        <v>959</v>
      </c>
      <c r="Q1023" s="34" t="str">
        <f>IF(OR(P1023="-",P1023="",P1023=0),IF(O1023="-","-",O1023),O1023-P1023)</f>
        <v>-</v>
      </c>
      <c r="R1023" s="4" t="str">
        <f>IFERROR(IF(O1023&gt;0, P1023/O1023, 0),"-")</f>
        <v>-</v>
      </c>
      <c r="S1023" s="34" t="s">
        <v>959</v>
      </c>
      <c r="T1023" s="34" t="s">
        <v>959</v>
      </c>
      <c r="U1023" s="34" t="s">
        <v>959</v>
      </c>
      <c r="V1023" s="35" t="s">
        <v>959</v>
      </c>
      <c r="W1023" s="35" t="s">
        <v>959</v>
      </c>
    </row>
    <row r="1024" spans="1:23" x14ac:dyDescent="0.2">
      <c r="A1024" s="30" t="s">
        <v>487</v>
      </c>
      <c r="B1024" s="30" t="s">
        <v>1647</v>
      </c>
      <c r="C1024" s="34">
        <v>106</v>
      </c>
      <c r="D1024" s="35">
        <v>106</v>
      </c>
      <c r="E1024" s="34">
        <f>IF(OR(D1024="-",D1024="",D1024=0),IF(C1024="-","-",C1024),C1024-D1024)</f>
        <v>0</v>
      </c>
      <c r="F1024" s="4">
        <f>IFERROR(IF(C1024&gt;0, D1024/C1024, 0),"-")</f>
        <v>1</v>
      </c>
      <c r="G1024" s="34" t="s">
        <v>959</v>
      </c>
      <c r="H1024" s="35" t="s">
        <v>959</v>
      </c>
      <c r="I1024" s="34" t="str">
        <f>IF(OR(H1024="-",H1024="",H1024=0),IF(G1024="-","-",G1024),G1024-H1024)</f>
        <v>-</v>
      </c>
      <c r="J1024" s="4" t="str">
        <f>IFERROR(IF(G1024&gt;0, H1024/G1024, 0),"-")</f>
        <v>-</v>
      </c>
      <c r="K1024" s="34" t="s">
        <v>959</v>
      </c>
      <c r="L1024" s="35" t="s">
        <v>959</v>
      </c>
      <c r="M1024" s="34" t="str">
        <f>IF(OR(L1024="-",L1024="",L1024=0),IF(K1024="-","-",K1024),K1024-L1024)</f>
        <v>-</v>
      </c>
      <c r="N1024" s="4" t="str">
        <f>IFERROR(IF(K1024&gt;0, L1024/K1024, 0),"-")</f>
        <v>-</v>
      </c>
      <c r="O1024" s="34" t="s">
        <v>959</v>
      </c>
      <c r="P1024" s="35" t="s">
        <v>959</v>
      </c>
      <c r="Q1024" s="34" t="str">
        <f>IF(OR(P1024="-",P1024="",P1024=0),IF(O1024="-","-",O1024),O1024-P1024)</f>
        <v>-</v>
      </c>
      <c r="R1024" s="4" t="str">
        <f>IFERROR(IF(O1024&gt;0, P1024/O1024, 0),"-")</f>
        <v>-</v>
      </c>
      <c r="S1024" s="34" t="s">
        <v>959</v>
      </c>
      <c r="T1024" s="34" t="s">
        <v>959</v>
      </c>
      <c r="U1024" s="34" t="s">
        <v>959</v>
      </c>
      <c r="V1024" s="35" t="s">
        <v>959</v>
      </c>
      <c r="W1024" s="35" t="s">
        <v>959</v>
      </c>
    </row>
    <row r="1025" spans="1:23" x14ac:dyDescent="0.2">
      <c r="A1025" s="30" t="s">
        <v>488</v>
      </c>
      <c r="B1025" s="30" t="s">
        <v>1648</v>
      </c>
      <c r="C1025" s="34">
        <v>52</v>
      </c>
      <c r="D1025" s="35">
        <v>52</v>
      </c>
      <c r="E1025" s="34">
        <f>IF(OR(D1025="-",D1025="",D1025=0),IF(C1025="-","-",C1025),C1025-D1025)</f>
        <v>0</v>
      </c>
      <c r="F1025" s="4">
        <f>IFERROR(IF(C1025&gt;0, D1025/C1025, 0),"-")</f>
        <v>1</v>
      </c>
      <c r="G1025" s="34" t="s">
        <v>959</v>
      </c>
      <c r="H1025" s="35" t="s">
        <v>959</v>
      </c>
      <c r="I1025" s="34" t="str">
        <f>IF(OR(H1025="-",H1025="",H1025=0),IF(G1025="-","-",G1025),G1025-H1025)</f>
        <v>-</v>
      </c>
      <c r="J1025" s="4" t="str">
        <f>IFERROR(IF(G1025&gt;0, H1025/G1025, 0),"-")</f>
        <v>-</v>
      </c>
      <c r="K1025" s="34" t="s">
        <v>959</v>
      </c>
      <c r="L1025" s="35" t="s">
        <v>959</v>
      </c>
      <c r="M1025" s="34" t="str">
        <f>IF(OR(L1025="-",L1025="",L1025=0),IF(K1025="-","-",K1025),K1025-L1025)</f>
        <v>-</v>
      </c>
      <c r="N1025" s="4" t="str">
        <f>IFERROR(IF(K1025&gt;0, L1025/K1025, 0),"-")</f>
        <v>-</v>
      </c>
      <c r="O1025" s="34">
        <v>1</v>
      </c>
      <c r="P1025" s="35" t="s">
        <v>959</v>
      </c>
      <c r="Q1025" s="34">
        <f>IF(OR(P1025="-",P1025="",P1025=0),IF(O1025="-","-",O1025),O1025-P1025)</f>
        <v>1</v>
      </c>
      <c r="R1025" s="4" t="str">
        <f>IFERROR(IF(O1025&gt;0, P1025/O1025, 0),"-")</f>
        <v>-</v>
      </c>
      <c r="S1025" s="34">
        <v>3</v>
      </c>
      <c r="T1025" s="34" t="s">
        <v>959</v>
      </c>
      <c r="U1025" s="34" t="s">
        <v>959</v>
      </c>
      <c r="V1025" s="35" t="s">
        <v>959</v>
      </c>
      <c r="W1025" s="35" t="s">
        <v>959</v>
      </c>
    </row>
    <row r="1026" spans="1:23" x14ac:dyDescent="0.2">
      <c r="A1026" s="30" t="s">
        <v>490</v>
      </c>
      <c r="B1026" s="30" t="s">
        <v>1649</v>
      </c>
      <c r="C1026" s="34">
        <v>39</v>
      </c>
      <c r="D1026" s="35">
        <v>39</v>
      </c>
      <c r="E1026" s="34">
        <f>IF(OR(D1026="-",D1026="",D1026=0),IF(C1026="-","-",C1026),C1026-D1026)</f>
        <v>0</v>
      </c>
      <c r="F1026" s="4">
        <f>IFERROR(IF(C1026&gt;0, D1026/C1026, 0),"-")</f>
        <v>1</v>
      </c>
      <c r="G1026" s="34" t="s">
        <v>959</v>
      </c>
      <c r="H1026" s="35" t="s">
        <v>959</v>
      </c>
      <c r="I1026" s="34" t="str">
        <f>IF(OR(H1026="-",H1026="",H1026=0),IF(G1026="-","-",G1026),G1026-H1026)</f>
        <v>-</v>
      </c>
      <c r="J1026" s="4" t="str">
        <f>IFERROR(IF(G1026&gt;0, H1026/G1026, 0),"-")</f>
        <v>-</v>
      </c>
      <c r="K1026" s="34" t="s">
        <v>959</v>
      </c>
      <c r="L1026" s="35" t="s">
        <v>959</v>
      </c>
      <c r="M1026" s="34" t="str">
        <f>IF(OR(L1026="-",L1026="",L1026=0),IF(K1026="-","-",K1026),K1026-L1026)</f>
        <v>-</v>
      </c>
      <c r="N1026" s="4" t="str">
        <f>IFERROR(IF(K1026&gt;0, L1026/K1026, 0),"-")</f>
        <v>-</v>
      </c>
      <c r="O1026" s="34" t="s">
        <v>959</v>
      </c>
      <c r="P1026" s="35" t="s">
        <v>959</v>
      </c>
      <c r="Q1026" s="34" t="str">
        <f>IF(OR(P1026="-",P1026="",P1026=0),IF(O1026="-","-",O1026),O1026-P1026)</f>
        <v>-</v>
      </c>
      <c r="R1026" s="4" t="str">
        <f>IFERROR(IF(O1026&gt;0, P1026/O1026, 0),"-")</f>
        <v>-</v>
      </c>
      <c r="S1026" s="34" t="s">
        <v>959</v>
      </c>
      <c r="T1026" s="34" t="s">
        <v>959</v>
      </c>
      <c r="U1026" s="34" t="s">
        <v>959</v>
      </c>
      <c r="V1026" s="35" t="s">
        <v>959</v>
      </c>
      <c r="W1026" s="35" t="s">
        <v>959</v>
      </c>
    </row>
    <row r="1027" spans="1:23" x14ac:dyDescent="0.2">
      <c r="A1027" s="30" t="s">
        <v>485</v>
      </c>
      <c r="B1027" s="30" t="s">
        <v>1650</v>
      </c>
      <c r="C1027" s="34">
        <v>113</v>
      </c>
      <c r="D1027" s="35">
        <v>112</v>
      </c>
      <c r="E1027" s="34">
        <f>IF(OR(D1027="-",D1027="",D1027=0),IF(C1027="-","-",C1027),C1027-D1027)</f>
        <v>1</v>
      </c>
      <c r="F1027" s="4">
        <f>IFERROR(IF(C1027&gt;0, D1027/C1027, 0),"-")</f>
        <v>0.99115044247787609</v>
      </c>
      <c r="G1027" s="34" t="s">
        <v>959</v>
      </c>
      <c r="H1027" s="35" t="s">
        <v>959</v>
      </c>
      <c r="I1027" s="34" t="str">
        <f>IF(OR(H1027="-",H1027="",H1027=0),IF(G1027="-","-",G1027),G1027-H1027)</f>
        <v>-</v>
      </c>
      <c r="J1027" s="4" t="str">
        <f>IFERROR(IF(G1027&gt;0, H1027/G1027, 0),"-")</f>
        <v>-</v>
      </c>
      <c r="K1027" s="34" t="s">
        <v>959</v>
      </c>
      <c r="L1027" s="35" t="s">
        <v>959</v>
      </c>
      <c r="M1027" s="34" t="str">
        <f>IF(OR(L1027="-",L1027="",L1027=0),IF(K1027="-","-",K1027),K1027-L1027)</f>
        <v>-</v>
      </c>
      <c r="N1027" s="4" t="str">
        <f>IFERROR(IF(K1027&gt;0, L1027/K1027, 0),"-")</f>
        <v>-</v>
      </c>
      <c r="O1027" s="34" t="s">
        <v>959</v>
      </c>
      <c r="P1027" s="35" t="s">
        <v>959</v>
      </c>
      <c r="Q1027" s="34" t="str">
        <f>IF(OR(P1027="-",P1027="",P1027=0),IF(O1027="-","-",O1027),O1027-P1027)</f>
        <v>-</v>
      </c>
      <c r="R1027" s="4" t="str">
        <f>IFERROR(IF(O1027&gt;0, P1027/O1027, 0),"-")</f>
        <v>-</v>
      </c>
      <c r="S1027" s="34" t="s">
        <v>959</v>
      </c>
      <c r="T1027" s="34" t="s">
        <v>959</v>
      </c>
      <c r="U1027" s="34" t="s">
        <v>959</v>
      </c>
      <c r="V1027" s="35" t="s">
        <v>959</v>
      </c>
      <c r="W1027" s="35" t="s">
        <v>959</v>
      </c>
    </row>
    <row r="1028" spans="1:23" x14ac:dyDescent="0.2">
      <c r="A1028" s="29"/>
      <c r="B1028" s="29" t="s">
        <v>27</v>
      </c>
      <c r="C1028" s="32">
        <v>233</v>
      </c>
      <c r="D1028" s="32">
        <v>228</v>
      </c>
      <c r="E1028" s="32">
        <f>IF(OR(D1028="-",D1028="",D1028=0),IF(C1028="-","-",C1028),C1028-D1028)</f>
        <v>5</v>
      </c>
      <c r="F1028" s="36">
        <f>IFERROR(IF(C1028&gt;0, D1028/C1028, 0),"-")</f>
        <v>0.97854077253218885</v>
      </c>
      <c r="G1028" s="32">
        <v>4</v>
      </c>
      <c r="H1028" s="32">
        <v>3</v>
      </c>
      <c r="I1028" s="32">
        <f>IF(OR(H1028="-",H1028="",H1028=0),IF(G1028="-","-",G1028),G1028-H1028)</f>
        <v>1</v>
      </c>
      <c r="J1028" s="36">
        <f>IFERROR(IF(G1028&gt;0, H1028/G1028, 0),"-")</f>
        <v>0.75</v>
      </c>
      <c r="K1028" s="32">
        <v>2</v>
      </c>
      <c r="L1028" s="32">
        <v>1</v>
      </c>
      <c r="M1028" s="32">
        <f>IF(OR(L1028="-",L1028="",L1028=0),IF(K1028="-","-",K1028),K1028-L1028)</f>
        <v>1</v>
      </c>
      <c r="N1028" s="36">
        <f>IFERROR(IF(K1028&gt;0, L1028/K1028, 0),"-")</f>
        <v>0.5</v>
      </c>
      <c r="O1028" s="32">
        <v>1</v>
      </c>
      <c r="P1028" s="32" t="s">
        <v>959</v>
      </c>
      <c r="Q1028" s="32">
        <f>IF(OR(P1028="-",P1028="",P1028=0),IF(O1028="-","-",O1028),O1028-P1028)</f>
        <v>1</v>
      </c>
      <c r="R1028" s="36" t="str">
        <f>IFERROR(IF(O1028&gt;0, P1028/O1028, 0),"-")</f>
        <v>-</v>
      </c>
      <c r="S1028" s="32" t="s">
        <v>959</v>
      </c>
      <c r="T1028" s="32" t="s">
        <v>959</v>
      </c>
      <c r="U1028" s="32" t="s">
        <v>959</v>
      </c>
      <c r="V1028" s="32" t="s">
        <v>959</v>
      </c>
      <c r="W1028" s="32" t="s">
        <v>959</v>
      </c>
    </row>
    <row r="1029" spans="1:23" x14ac:dyDescent="0.2">
      <c r="A1029" s="30" t="s">
        <v>814</v>
      </c>
      <c r="B1029" s="30" t="s">
        <v>1651</v>
      </c>
      <c r="C1029" s="34">
        <v>132</v>
      </c>
      <c r="D1029" s="35">
        <v>129</v>
      </c>
      <c r="E1029" s="34">
        <f>IF(OR(D1029="-",D1029="",D1029=0),IF(C1029="-","-",C1029),C1029-D1029)</f>
        <v>3</v>
      </c>
      <c r="F1029" s="4">
        <f>IFERROR(IF(C1029&gt;0, D1029/C1029, 0),"-")</f>
        <v>0.97727272727272729</v>
      </c>
      <c r="G1029" s="34">
        <v>1</v>
      </c>
      <c r="H1029" s="35">
        <v>1</v>
      </c>
      <c r="I1029" s="34">
        <f>IF(OR(H1029="-",H1029="",H1029=0),IF(G1029="-","-",G1029),G1029-H1029)</f>
        <v>0</v>
      </c>
      <c r="J1029" s="4">
        <f>IFERROR(IF(G1029&gt;0, H1029/G1029, 0),"-")</f>
        <v>1</v>
      </c>
      <c r="K1029" s="34">
        <v>1</v>
      </c>
      <c r="L1029" s="35">
        <v>1</v>
      </c>
      <c r="M1029" s="34">
        <f>IF(OR(L1029="-",L1029="",L1029=0),IF(K1029="-","-",K1029),K1029-L1029)</f>
        <v>0</v>
      </c>
      <c r="N1029" s="4">
        <f>IFERROR(IF(K1029&gt;0, L1029/K1029, 0),"-")</f>
        <v>1</v>
      </c>
      <c r="O1029" s="34">
        <v>1</v>
      </c>
      <c r="P1029" s="35" t="s">
        <v>959</v>
      </c>
      <c r="Q1029" s="34">
        <f>IF(OR(P1029="-",P1029="",P1029=0),IF(O1029="-","-",O1029),O1029-P1029)</f>
        <v>1</v>
      </c>
      <c r="R1029" s="4" t="str">
        <f>IFERROR(IF(O1029&gt;0, P1029/O1029, 0),"-")</f>
        <v>-</v>
      </c>
      <c r="S1029" s="34" t="s">
        <v>959</v>
      </c>
      <c r="T1029" s="34" t="s">
        <v>959</v>
      </c>
      <c r="U1029" s="34" t="s">
        <v>959</v>
      </c>
      <c r="V1029" s="35" t="s">
        <v>959</v>
      </c>
      <c r="W1029" s="35" t="s">
        <v>959</v>
      </c>
    </row>
    <row r="1030" spans="1:23" x14ac:dyDescent="0.2">
      <c r="A1030" s="30" t="s">
        <v>815</v>
      </c>
      <c r="B1030" s="30" t="s">
        <v>1652</v>
      </c>
      <c r="C1030" s="34">
        <v>101</v>
      </c>
      <c r="D1030" s="35">
        <v>99</v>
      </c>
      <c r="E1030" s="34">
        <f>IF(OR(D1030="-",D1030="",D1030=0),IF(C1030="-","-",C1030),C1030-D1030)</f>
        <v>2</v>
      </c>
      <c r="F1030" s="4">
        <f>IFERROR(IF(C1030&gt;0, D1030/C1030, 0),"-")</f>
        <v>0.98019801980198018</v>
      </c>
      <c r="G1030" s="34">
        <v>3</v>
      </c>
      <c r="H1030" s="35">
        <v>2</v>
      </c>
      <c r="I1030" s="34">
        <f>IF(OR(H1030="-",H1030="",H1030=0),IF(G1030="-","-",G1030),G1030-H1030)</f>
        <v>1</v>
      </c>
      <c r="J1030" s="4">
        <f>IFERROR(IF(G1030&gt;0, H1030/G1030, 0),"-")</f>
        <v>0.66666666666666663</v>
      </c>
      <c r="K1030" s="34">
        <v>1</v>
      </c>
      <c r="L1030" s="35" t="s">
        <v>959</v>
      </c>
      <c r="M1030" s="34">
        <f>IF(OR(L1030="-",L1030="",L1030=0),IF(K1030="-","-",K1030),K1030-L1030)</f>
        <v>1</v>
      </c>
      <c r="N1030" s="4" t="str">
        <f>IFERROR(IF(K1030&gt;0, L1030/K1030, 0),"-")</f>
        <v>-</v>
      </c>
      <c r="O1030" s="34" t="s">
        <v>959</v>
      </c>
      <c r="P1030" s="35" t="s">
        <v>959</v>
      </c>
      <c r="Q1030" s="34" t="str">
        <f>IF(OR(P1030="-",P1030="",P1030=0),IF(O1030="-","-",O1030),O1030-P1030)</f>
        <v>-</v>
      </c>
      <c r="R1030" s="4" t="str">
        <f>IFERROR(IF(O1030&gt;0, P1030/O1030, 0),"-")</f>
        <v>-</v>
      </c>
      <c r="S1030" s="34" t="s">
        <v>959</v>
      </c>
      <c r="T1030" s="34" t="s">
        <v>959</v>
      </c>
      <c r="U1030" s="34" t="s">
        <v>959</v>
      </c>
      <c r="V1030" s="35" t="s">
        <v>959</v>
      </c>
      <c r="W1030" s="35" t="s">
        <v>959</v>
      </c>
    </row>
    <row r="1031" spans="1:23" x14ac:dyDescent="0.2">
      <c r="A1031" s="29"/>
      <c r="B1031" s="29" t="s">
        <v>82</v>
      </c>
      <c r="C1031" s="32">
        <v>502</v>
      </c>
      <c r="D1031" s="32">
        <v>498</v>
      </c>
      <c r="E1031" s="32">
        <f>IF(OR(D1031="-",D1031="",D1031=0),IF(C1031="-","-",C1031),C1031-D1031)</f>
        <v>4</v>
      </c>
      <c r="F1031" s="36">
        <f>IFERROR(IF(C1031&gt;0, D1031/C1031, 0),"-")</f>
        <v>0.99203187250996017</v>
      </c>
      <c r="G1031" s="32">
        <v>7</v>
      </c>
      <c r="H1031" s="32">
        <v>1</v>
      </c>
      <c r="I1031" s="32">
        <f>IF(OR(H1031="-",H1031="",H1031=0),IF(G1031="-","-",G1031),G1031-H1031)</f>
        <v>6</v>
      </c>
      <c r="J1031" s="36">
        <f>IFERROR(IF(G1031&gt;0, H1031/G1031, 0),"-")</f>
        <v>0.14285714285714285</v>
      </c>
      <c r="K1031" s="32">
        <v>1</v>
      </c>
      <c r="L1031" s="32" t="s">
        <v>959</v>
      </c>
      <c r="M1031" s="32">
        <f>IF(OR(L1031="-",L1031="",L1031=0),IF(K1031="-","-",K1031),K1031-L1031)</f>
        <v>1</v>
      </c>
      <c r="N1031" s="36" t="str">
        <f>IFERROR(IF(K1031&gt;0, L1031/K1031, 0),"-")</f>
        <v>-</v>
      </c>
      <c r="O1031" s="32">
        <v>2</v>
      </c>
      <c r="P1031" s="32" t="s">
        <v>959</v>
      </c>
      <c r="Q1031" s="32">
        <f>IF(OR(P1031="-",P1031="",P1031=0),IF(O1031="-","-",O1031),O1031-P1031)</f>
        <v>2</v>
      </c>
      <c r="R1031" s="36" t="str">
        <f>IFERROR(IF(O1031&gt;0, P1031/O1031, 0),"-")</f>
        <v>-</v>
      </c>
      <c r="S1031" s="32">
        <v>4</v>
      </c>
      <c r="T1031" s="32" t="s">
        <v>959</v>
      </c>
      <c r="U1031" s="32" t="s">
        <v>959</v>
      </c>
      <c r="V1031" s="32" t="s">
        <v>959</v>
      </c>
      <c r="W1031" s="32" t="s">
        <v>959</v>
      </c>
    </row>
    <row r="1032" spans="1:23" x14ac:dyDescent="0.2">
      <c r="A1032" s="30" t="s">
        <v>545</v>
      </c>
      <c r="B1032" s="30" t="s">
        <v>1653</v>
      </c>
      <c r="C1032" s="34">
        <v>149</v>
      </c>
      <c r="D1032" s="35">
        <v>148</v>
      </c>
      <c r="E1032" s="34">
        <f>IF(OR(D1032="-",D1032="",D1032=0),IF(C1032="-","-",C1032),C1032-D1032)</f>
        <v>1</v>
      </c>
      <c r="F1032" s="4">
        <f>IFERROR(IF(C1032&gt;0, D1032/C1032, 0),"-")</f>
        <v>0.99328859060402686</v>
      </c>
      <c r="G1032" s="34">
        <v>1</v>
      </c>
      <c r="H1032" s="35">
        <v>1</v>
      </c>
      <c r="I1032" s="34">
        <f>IF(OR(H1032="-",H1032="",H1032=0),IF(G1032="-","-",G1032),G1032-H1032)</f>
        <v>0</v>
      </c>
      <c r="J1032" s="4">
        <f>IFERROR(IF(G1032&gt;0, H1032/G1032, 0),"-")</f>
        <v>1</v>
      </c>
      <c r="K1032" s="34" t="s">
        <v>959</v>
      </c>
      <c r="L1032" s="35" t="s">
        <v>959</v>
      </c>
      <c r="M1032" s="34" t="str">
        <f>IF(OR(L1032="-",L1032="",L1032=0),IF(K1032="-","-",K1032),K1032-L1032)</f>
        <v>-</v>
      </c>
      <c r="N1032" s="4" t="str">
        <f>IFERROR(IF(K1032&gt;0, L1032/K1032, 0),"-")</f>
        <v>-</v>
      </c>
      <c r="O1032" s="34" t="s">
        <v>959</v>
      </c>
      <c r="P1032" s="35" t="s">
        <v>959</v>
      </c>
      <c r="Q1032" s="34" t="str">
        <f>IF(OR(P1032="-",P1032="",P1032=0),IF(O1032="-","-",O1032),O1032-P1032)</f>
        <v>-</v>
      </c>
      <c r="R1032" s="4" t="str">
        <f>IFERROR(IF(O1032&gt;0, P1032/O1032, 0),"-")</f>
        <v>-</v>
      </c>
      <c r="S1032" s="34" t="s">
        <v>959</v>
      </c>
      <c r="T1032" s="34" t="s">
        <v>959</v>
      </c>
      <c r="U1032" s="34" t="s">
        <v>959</v>
      </c>
      <c r="V1032" s="35" t="s">
        <v>959</v>
      </c>
      <c r="W1032" s="35" t="s">
        <v>959</v>
      </c>
    </row>
    <row r="1033" spans="1:23" x14ac:dyDescent="0.2">
      <c r="A1033" s="30" t="s">
        <v>547</v>
      </c>
      <c r="B1033" s="30" t="s">
        <v>1654</v>
      </c>
      <c r="C1033" s="34">
        <v>119</v>
      </c>
      <c r="D1033" s="35">
        <v>119</v>
      </c>
      <c r="E1033" s="34">
        <f>IF(OR(D1033="-",D1033="",D1033=0),IF(C1033="-","-",C1033),C1033-D1033)</f>
        <v>0</v>
      </c>
      <c r="F1033" s="4">
        <f>IFERROR(IF(C1033&gt;0, D1033/C1033, 0),"-")</f>
        <v>1</v>
      </c>
      <c r="G1033" s="34">
        <v>1</v>
      </c>
      <c r="H1033" s="35" t="s">
        <v>959</v>
      </c>
      <c r="I1033" s="34">
        <f>IF(OR(H1033="-",H1033="",H1033=0),IF(G1033="-","-",G1033),G1033-H1033)</f>
        <v>1</v>
      </c>
      <c r="J1033" s="4" t="str">
        <f>IFERROR(IF(G1033&gt;0, H1033/G1033, 0),"-")</f>
        <v>-</v>
      </c>
      <c r="K1033" s="34">
        <v>1</v>
      </c>
      <c r="L1033" s="35" t="s">
        <v>959</v>
      </c>
      <c r="M1033" s="34">
        <f>IF(OR(L1033="-",L1033="",L1033=0),IF(K1033="-","-",K1033),K1033-L1033)</f>
        <v>1</v>
      </c>
      <c r="N1033" s="4" t="str">
        <f>IFERROR(IF(K1033&gt;0, L1033/K1033, 0),"-")</f>
        <v>-</v>
      </c>
      <c r="O1033" s="34">
        <v>2</v>
      </c>
      <c r="P1033" s="35" t="s">
        <v>959</v>
      </c>
      <c r="Q1033" s="34">
        <f>IF(OR(P1033="-",P1033="",P1033=0),IF(O1033="-","-",O1033),O1033-P1033)</f>
        <v>2</v>
      </c>
      <c r="R1033" s="4" t="str">
        <f>IFERROR(IF(O1033&gt;0, P1033/O1033, 0),"-")</f>
        <v>-</v>
      </c>
      <c r="S1033" s="34">
        <v>1</v>
      </c>
      <c r="T1033" s="34" t="s">
        <v>959</v>
      </c>
      <c r="U1033" s="34" t="s">
        <v>959</v>
      </c>
      <c r="V1033" s="35" t="s">
        <v>959</v>
      </c>
      <c r="W1033" s="35" t="s">
        <v>959</v>
      </c>
    </row>
    <row r="1034" spans="1:23" x14ac:dyDescent="0.2">
      <c r="A1034" s="30" t="s">
        <v>544</v>
      </c>
      <c r="B1034" s="30" t="s">
        <v>1655</v>
      </c>
      <c r="C1034" s="34">
        <v>126</v>
      </c>
      <c r="D1034" s="35">
        <v>125</v>
      </c>
      <c r="E1034" s="34">
        <f>IF(OR(D1034="-",D1034="",D1034=0),IF(C1034="-","-",C1034),C1034-D1034)</f>
        <v>1</v>
      </c>
      <c r="F1034" s="4">
        <f>IFERROR(IF(C1034&gt;0, D1034/C1034, 0),"-")</f>
        <v>0.99206349206349209</v>
      </c>
      <c r="G1034" s="34">
        <v>2</v>
      </c>
      <c r="H1034" s="35" t="s">
        <v>959</v>
      </c>
      <c r="I1034" s="34">
        <f>IF(OR(H1034="-",H1034="",H1034=0),IF(G1034="-","-",G1034),G1034-H1034)</f>
        <v>2</v>
      </c>
      <c r="J1034" s="4" t="str">
        <f>IFERROR(IF(G1034&gt;0, H1034/G1034, 0),"-")</f>
        <v>-</v>
      </c>
      <c r="K1034" s="34" t="s">
        <v>959</v>
      </c>
      <c r="L1034" s="35" t="s">
        <v>959</v>
      </c>
      <c r="M1034" s="34" t="str">
        <f>IF(OR(L1034="-",L1034="",L1034=0),IF(K1034="-","-",K1034),K1034-L1034)</f>
        <v>-</v>
      </c>
      <c r="N1034" s="4" t="str">
        <f>IFERROR(IF(K1034&gt;0, L1034/K1034, 0),"-")</f>
        <v>-</v>
      </c>
      <c r="O1034" s="34" t="s">
        <v>959</v>
      </c>
      <c r="P1034" s="35" t="s">
        <v>959</v>
      </c>
      <c r="Q1034" s="34" t="str">
        <f>IF(OR(P1034="-",P1034="",P1034=0),IF(O1034="-","-",O1034),O1034-P1034)</f>
        <v>-</v>
      </c>
      <c r="R1034" s="4" t="str">
        <f>IFERROR(IF(O1034&gt;0, P1034/O1034, 0),"-")</f>
        <v>-</v>
      </c>
      <c r="S1034" s="34">
        <v>2</v>
      </c>
      <c r="T1034" s="34" t="s">
        <v>959</v>
      </c>
      <c r="U1034" s="34" t="s">
        <v>959</v>
      </c>
      <c r="V1034" s="35" t="s">
        <v>959</v>
      </c>
      <c r="W1034" s="35" t="s">
        <v>959</v>
      </c>
    </row>
    <row r="1035" spans="1:23" x14ac:dyDescent="0.2">
      <c r="A1035" s="30" t="s">
        <v>548</v>
      </c>
      <c r="B1035" s="30" t="s">
        <v>1656</v>
      </c>
      <c r="C1035" s="34">
        <v>1</v>
      </c>
      <c r="D1035" s="35">
        <v>1</v>
      </c>
      <c r="E1035" s="34">
        <f>IF(OR(D1035="-",D1035="",D1035=0),IF(C1035="-","-",C1035),C1035-D1035)</f>
        <v>0</v>
      </c>
      <c r="F1035" s="4">
        <f>IFERROR(IF(C1035&gt;0, D1035/C1035, 0),"-")</f>
        <v>1</v>
      </c>
      <c r="G1035" s="34" t="s">
        <v>959</v>
      </c>
      <c r="H1035" s="35" t="s">
        <v>959</v>
      </c>
      <c r="I1035" s="34" t="str">
        <f>IF(OR(H1035="-",H1035="",H1035=0),IF(G1035="-","-",G1035),G1035-H1035)</f>
        <v>-</v>
      </c>
      <c r="J1035" s="4" t="str">
        <f>IFERROR(IF(G1035&gt;0, H1035/G1035, 0),"-")</f>
        <v>-</v>
      </c>
      <c r="K1035" s="34" t="s">
        <v>959</v>
      </c>
      <c r="L1035" s="35" t="s">
        <v>959</v>
      </c>
      <c r="M1035" s="34" t="str">
        <f>IF(OR(L1035="-",L1035="",L1035=0),IF(K1035="-","-",K1035),K1035-L1035)</f>
        <v>-</v>
      </c>
      <c r="N1035" s="4" t="str">
        <f>IFERROR(IF(K1035&gt;0, L1035/K1035, 0),"-")</f>
        <v>-</v>
      </c>
      <c r="O1035" s="34" t="s">
        <v>959</v>
      </c>
      <c r="P1035" s="35" t="s">
        <v>959</v>
      </c>
      <c r="Q1035" s="34" t="str">
        <f>IF(OR(P1035="-",P1035="",P1035=0),IF(O1035="-","-",O1035),O1035-P1035)</f>
        <v>-</v>
      </c>
      <c r="R1035" s="4" t="str">
        <f>IFERROR(IF(O1035&gt;0, P1035/O1035, 0),"-")</f>
        <v>-</v>
      </c>
      <c r="S1035" s="34" t="s">
        <v>959</v>
      </c>
      <c r="T1035" s="34" t="s">
        <v>959</v>
      </c>
      <c r="U1035" s="34" t="s">
        <v>959</v>
      </c>
      <c r="V1035" s="35" t="s">
        <v>959</v>
      </c>
      <c r="W1035" s="35" t="s">
        <v>959</v>
      </c>
    </row>
    <row r="1036" spans="1:23" x14ac:dyDescent="0.2">
      <c r="A1036" s="30" t="s">
        <v>546</v>
      </c>
      <c r="B1036" s="30" t="s">
        <v>1657</v>
      </c>
      <c r="C1036" s="34">
        <v>107</v>
      </c>
      <c r="D1036" s="35">
        <v>105</v>
      </c>
      <c r="E1036" s="34">
        <f>IF(OR(D1036="-",D1036="",D1036=0),IF(C1036="-","-",C1036),C1036-D1036)</f>
        <v>2</v>
      </c>
      <c r="F1036" s="4">
        <f>IFERROR(IF(C1036&gt;0, D1036/C1036, 0),"-")</f>
        <v>0.98130841121495327</v>
      </c>
      <c r="G1036" s="34">
        <v>3</v>
      </c>
      <c r="H1036" s="35" t="s">
        <v>959</v>
      </c>
      <c r="I1036" s="34">
        <f>IF(OR(H1036="-",H1036="",H1036=0),IF(G1036="-","-",G1036),G1036-H1036)</f>
        <v>3</v>
      </c>
      <c r="J1036" s="4" t="str">
        <f>IFERROR(IF(G1036&gt;0, H1036/G1036, 0),"-")</f>
        <v>-</v>
      </c>
      <c r="K1036" s="34" t="s">
        <v>959</v>
      </c>
      <c r="L1036" s="35" t="s">
        <v>959</v>
      </c>
      <c r="M1036" s="34" t="str">
        <f>IF(OR(L1036="-",L1036="",L1036=0),IF(K1036="-","-",K1036),K1036-L1036)</f>
        <v>-</v>
      </c>
      <c r="N1036" s="4" t="str">
        <f>IFERROR(IF(K1036&gt;0, L1036/K1036, 0),"-")</f>
        <v>-</v>
      </c>
      <c r="O1036" s="34" t="s">
        <v>959</v>
      </c>
      <c r="P1036" s="35" t="s">
        <v>959</v>
      </c>
      <c r="Q1036" s="34" t="str">
        <f>IF(OR(P1036="-",P1036="",P1036=0),IF(O1036="-","-",O1036),O1036-P1036)</f>
        <v>-</v>
      </c>
      <c r="R1036" s="4" t="str">
        <f>IFERROR(IF(O1036&gt;0, P1036/O1036, 0),"-")</f>
        <v>-</v>
      </c>
      <c r="S1036" s="34">
        <v>1</v>
      </c>
      <c r="T1036" s="34" t="s">
        <v>959</v>
      </c>
      <c r="U1036" s="34" t="s">
        <v>959</v>
      </c>
      <c r="V1036" s="35" t="s">
        <v>959</v>
      </c>
      <c r="W1036" s="35" t="s">
        <v>959</v>
      </c>
    </row>
    <row r="1037" spans="1:23" x14ac:dyDescent="0.2">
      <c r="A1037" s="29"/>
      <c r="B1037" s="29" t="s">
        <v>4</v>
      </c>
      <c r="C1037" s="32">
        <v>436</v>
      </c>
      <c r="D1037" s="32">
        <v>430</v>
      </c>
      <c r="E1037" s="32">
        <f>IF(OR(D1037="-",D1037="",D1037=0),IF(C1037="-","-",C1037),C1037-D1037)</f>
        <v>6</v>
      </c>
      <c r="F1037" s="36">
        <f>IFERROR(IF(C1037&gt;0, D1037/C1037, 0),"-")</f>
        <v>0.98623853211009171</v>
      </c>
      <c r="G1037" s="32">
        <v>3</v>
      </c>
      <c r="H1037" s="32" t="s">
        <v>959</v>
      </c>
      <c r="I1037" s="32">
        <f>IF(OR(H1037="-",H1037="",H1037=0),IF(G1037="-","-",G1037),G1037-H1037)</f>
        <v>3</v>
      </c>
      <c r="J1037" s="36" t="str">
        <f>IFERROR(IF(G1037&gt;0, H1037/G1037, 0),"-")</f>
        <v>-</v>
      </c>
      <c r="K1037" s="32">
        <v>1</v>
      </c>
      <c r="L1037" s="32" t="s">
        <v>959</v>
      </c>
      <c r="M1037" s="32">
        <f>IF(OR(L1037="-",L1037="",L1037=0),IF(K1037="-","-",K1037),K1037-L1037)</f>
        <v>1</v>
      </c>
      <c r="N1037" s="36" t="str">
        <f>IFERROR(IF(K1037&gt;0, L1037/K1037, 0),"-")</f>
        <v>-</v>
      </c>
      <c r="O1037" s="32">
        <v>1</v>
      </c>
      <c r="P1037" s="32" t="s">
        <v>959</v>
      </c>
      <c r="Q1037" s="32">
        <f>IF(OR(P1037="-",P1037="",P1037=0),IF(O1037="-","-",O1037),O1037-P1037)</f>
        <v>1</v>
      </c>
      <c r="R1037" s="36" t="str">
        <f>IFERROR(IF(O1037&gt;0, P1037/O1037, 0),"-")</f>
        <v>-</v>
      </c>
      <c r="S1037" s="32">
        <v>2</v>
      </c>
      <c r="T1037" s="32" t="s">
        <v>959</v>
      </c>
      <c r="U1037" s="32" t="s">
        <v>959</v>
      </c>
      <c r="V1037" s="32" t="s">
        <v>959</v>
      </c>
      <c r="W1037" s="32" t="s">
        <v>959</v>
      </c>
    </row>
    <row r="1038" spans="1:23" x14ac:dyDescent="0.2">
      <c r="A1038" s="30" t="s">
        <v>434</v>
      </c>
      <c r="B1038" s="30" t="s">
        <v>1658</v>
      </c>
      <c r="C1038" s="34">
        <v>92</v>
      </c>
      <c r="D1038" s="35">
        <v>90</v>
      </c>
      <c r="E1038" s="34">
        <f>IF(OR(D1038="-",D1038="",D1038=0),IF(C1038="-","-",C1038),C1038-D1038)</f>
        <v>2</v>
      </c>
      <c r="F1038" s="4">
        <f>IFERROR(IF(C1038&gt;0, D1038/C1038, 0),"-")</f>
        <v>0.97826086956521741</v>
      </c>
      <c r="G1038" s="34" t="s">
        <v>959</v>
      </c>
      <c r="H1038" s="35" t="s">
        <v>959</v>
      </c>
      <c r="I1038" s="34" t="str">
        <f>IF(OR(H1038="-",H1038="",H1038=0),IF(G1038="-","-",G1038),G1038-H1038)</f>
        <v>-</v>
      </c>
      <c r="J1038" s="4" t="str">
        <f>IFERROR(IF(G1038&gt;0, H1038/G1038, 0),"-")</f>
        <v>-</v>
      </c>
      <c r="K1038" s="34" t="s">
        <v>959</v>
      </c>
      <c r="L1038" s="35" t="s">
        <v>959</v>
      </c>
      <c r="M1038" s="34" t="str">
        <f>IF(OR(L1038="-",L1038="",L1038=0),IF(K1038="-","-",K1038),K1038-L1038)</f>
        <v>-</v>
      </c>
      <c r="N1038" s="4" t="str">
        <f>IFERROR(IF(K1038&gt;0, L1038/K1038, 0),"-")</f>
        <v>-</v>
      </c>
      <c r="O1038" s="34">
        <v>1</v>
      </c>
      <c r="P1038" s="35" t="s">
        <v>959</v>
      </c>
      <c r="Q1038" s="34">
        <f>IF(OR(P1038="-",P1038="",P1038=0),IF(O1038="-","-",O1038),O1038-P1038)</f>
        <v>1</v>
      </c>
      <c r="R1038" s="4" t="str">
        <f>IFERROR(IF(O1038&gt;0, P1038/O1038, 0),"-")</f>
        <v>-</v>
      </c>
      <c r="S1038" s="34" t="s">
        <v>959</v>
      </c>
      <c r="T1038" s="34" t="s">
        <v>959</v>
      </c>
      <c r="U1038" s="34" t="s">
        <v>959</v>
      </c>
      <c r="V1038" s="35" t="s">
        <v>959</v>
      </c>
      <c r="W1038" s="35" t="s">
        <v>959</v>
      </c>
    </row>
    <row r="1039" spans="1:23" x14ac:dyDescent="0.2">
      <c r="A1039" s="30" t="s">
        <v>439</v>
      </c>
      <c r="B1039" s="30" t="s">
        <v>1410</v>
      </c>
      <c r="C1039" s="34">
        <v>4</v>
      </c>
      <c r="D1039" s="35">
        <v>4</v>
      </c>
      <c r="E1039" s="34">
        <f>IF(OR(D1039="-",D1039="",D1039=0),IF(C1039="-","-",C1039),C1039-D1039)</f>
        <v>0</v>
      </c>
      <c r="F1039" s="4">
        <f>IFERROR(IF(C1039&gt;0, D1039/C1039, 0),"-")</f>
        <v>1</v>
      </c>
      <c r="G1039" s="34" t="s">
        <v>959</v>
      </c>
      <c r="H1039" s="35" t="s">
        <v>959</v>
      </c>
      <c r="I1039" s="34" t="str">
        <f>IF(OR(H1039="-",H1039="",H1039=0),IF(G1039="-","-",G1039),G1039-H1039)</f>
        <v>-</v>
      </c>
      <c r="J1039" s="4" t="str">
        <f>IFERROR(IF(G1039&gt;0, H1039/G1039, 0),"-")</f>
        <v>-</v>
      </c>
      <c r="K1039" s="34">
        <v>1</v>
      </c>
      <c r="L1039" s="35" t="s">
        <v>959</v>
      </c>
      <c r="M1039" s="34">
        <f>IF(OR(L1039="-",L1039="",L1039=0),IF(K1039="-","-",K1039),K1039-L1039)</f>
        <v>1</v>
      </c>
      <c r="N1039" s="4" t="str">
        <f>IFERROR(IF(K1039&gt;0, L1039/K1039, 0),"-")</f>
        <v>-</v>
      </c>
      <c r="O1039" s="34" t="s">
        <v>959</v>
      </c>
      <c r="P1039" s="35" t="s">
        <v>959</v>
      </c>
      <c r="Q1039" s="34" t="str">
        <f>IF(OR(P1039="-",P1039="",P1039=0),IF(O1039="-","-",O1039),O1039-P1039)</f>
        <v>-</v>
      </c>
      <c r="R1039" s="4" t="str">
        <f>IFERROR(IF(O1039&gt;0, P1039/O1039, 0),"-")</f>
        <v>-</v>
      </c>
      <c r="S1039" s="34" t="s">
        <v>959</v>
      </c>
      <c r="T1039" s="34" t="s">
        <v>959</v>
      </c>
      <c r="U1039" s="34" t="s">
        <v>959</v>
      </c>
      <c r="V1039" s="35" t="s">
        <v>959</v>
      </c>
      <c r="W1039" s="35" t="s">
        <v>959</v>
      </c>
    </row>
    <row r="1040" spans="1:23" x14ac:dyDescent="0.2">
      <c r="A1040" s="30" t="s">
        <v>437</v>
      </c>
      <c r="B1040" s="30" t="s">
        <v>1659</v>
      </c>
      <c r="C1040" s="34">
        <v>57</v>
      </c>
      <c r="D1040" s="35">
        <v>57</v>
      </c>
      <c r="E1040" s="34">
        <f>IF(OR(D1040="-",D1040="",D1040=0),IF(C1040="-","-",C1040),C1040-D1040)</f>
        <v>0</v>
      </c>
      <c r="F1040" s="4">
        <f>IFERROR(IF(C1040&gt;0, D1040/C1040, 0),"-")</f>
        <v>1</v>
      </c>
      <c r="G1040" s="34" t="s">
        <v>959</v>
      </c>
      <c r="H1040" s="35" t="s">
        <v>959</v>
      </c>
      <c r="I1040" s="34" t="str">
        <f>IF(OR(H1040="-",H1040="",H1040=0),IF(G1040="-","-",G1040),G1040-H1040)</f>
        <v>-</v>
      </c>
      <c r="J1040" s="4" t="str">
        <f>IFERROR(IF(G1040&gt;0, H1040/G1040, 0),"-")</f>
        <v>-</v>
      </c>
      <c r="K1040" s="34" t="s">
        <v>959</v>
      </c>
      <c r="L1040" s="35" t="s">
        <v>959</v>
      </c>
      <c r="M1040" s="34" t="str">
        <f>IF(OR(L1040="-",L1040="",L1040=0),IF(K1040="-","-",K1040),K1040-L1040)</f>
        <v>-</v>
      </c>
      <c r="N1040" s="4" t="str">
        <f>IFERROR(IF(K1040&gt;0, L1040/K1040, 0),"-")</f>
        <v>-</v>
      </c>
      <c r="O1040" s="34" t="s">
        <v>959</v>
      </c>
      <c r="P1040" s="35" t="s">
        <v>959</v>
      </c>
      <c r="Q1040" s="34" t="str">
        <f>IF(OR(P1040="-",P1040="",P1040=0),IF(O1040="-","-",O1040),O1040-P1040)</f>
        <v>-</v>
      </c>
      <c r="R1040" s="4" t="str">
        <f>IFERROR(IF(O1040&gt;0, P1040/O1040, 0),"-")</f>
        <v>-</v>
      </c>
      <c r="S1040" s="34" t="s">
        <v>959</v>
      </c>
      <c r="T1040" s="34" t="s">
        <v>959</v>
      </c>
      <c r="U1040" s="34" t="s">
        <v>959</v>
      </c>
      <c r="V1040" s="35" t="s">
        <v>959</v>
      </c>
      <c r="W1040" s="35" t="s">
        <v>959</v>
      </c>
    </row>
    <row r="1041" spans="1:23" x14ac:dyDescent="0.2">
      <c r="A1041" s="30" t="s">
        <v>436</v>
      </c>
      <c r="B1041" s="30" t="s">
        <v>991</v>
      </c>
      <c r="C1041" s="34">
        <v>64</v>
      </c>
      <c r="D1041" s="35">
        <v>63</v>
      </c>
      <c r="E1041" s="34">
        <f>IF(OR(D1041="-",D1041="",D1041=0),IF(C1041="-","-",C1041),C1041-D1041)</f>
        <v>1</v>
      </c>
      <c r="F1041" s="4">
        <f>IFERROR(IF(C1041&gt;0, D1041/C1041, 0),"-")</f>
        <v>0.984375</v>
      </c>
      <c r="G1041" s="34">
        <v>1</v>
      </c>
      <c r="H1041" s="35" t="s">
        <v>959</v>
      </c>
      <c r="I1041" s="34">
        <f>IF(OR(H1041="-",H1041="",H1041=0),IF(G1041="-","-",G1041),G1041-H1041)</f>
        <v>1</v>
      </c>
      <c r="J1041" s="4" t="str">
        <f>IFERROR(IF(G1041&gt;0, H1041/G1041, 0),"-")</f>
        <v>-</v>
      </c>
      <c r="K1041" s="34" t="s">
        <v>959</v>
      </c>
      <c r="L1041" s="35" t="s">
        <v>959</v>
      </c>
      <c r="M1041" s="34" t="str">
        <f>IF(OR(L1041="-",L1041="",L1041=0),IF(K1041="-","-",K1041),K1041-L1041)</f>
        <v>-</v>
      </c>
      <c r="N1041" s="4" t="str">
        <f>IFERROR(IF(K1041&gt;0, L1041/K1041, 0),"-")</f>
        <v>-</v>
      </c>
      <c r="O1041" s="34" t="s">
        <v>959</v>
      </c>
      <c r="P1041" s="35" t="s">
        <v>959</v>
      </c>
      <c r="Q1041" s="34" t="str">
        <f>IF(OR(P1041="-",P1041="",P1041=0),IF(O1041="-","-",O1041),O1041-P1041)</f>
        <v>-</v>
      </c>
      <c r="R1041" s="4" t="str">
        <f>IFERROR(IF(O1041&gt;0, P1041/O1041, 0),"-")</f>
        <v>-</v>
      </c>
      <c r="S1041" s="34">
        <v>1</v>
      </c>
      <c r="T1041" s="34" t="s">
        <v>959</v>
      </c>
      <c r="U1041" s="34" t="s">
        <v>959</v>
      </c>
      <c r="V1041" s="35" t="s">
        <v>959</v>
      </c>
      <c r="W1041" s="35" t="s">
        <v>959</v>
      </c>
    </row>
    <row r="1042" spans="1:23" x14ac:dyDescent="0.2">
      <c r="A1042" s="30" t="s">
        <v>435</v>
      </c>
      <c r="B1042" s="30" t="s">
        <v>1660</v>
      </c>
      <c r="C1042" s="34">
        <v>79</v>
      </c>
      <c r="D1042" s="35">
        <v>79</v>
      </c>
      <c r="E1042" s="34">
        <f>IF(OR(D1042="-",D1042="",D1042=0),IF(C1042="-","-",C1042),C1042-D1042)</f>
        <v>0</v>
      </c>
      <c r="F1042" s="4">
        <f>IFERROR(IF(C1042&gt;0, D1042/C1042, 0),"-")</f>
        <v>1</v>
      </c>
      <c r="G1042" s="34">
        <v>1</v>
      </c>
      <c r="H1042" s="35" t="s">
        <v>959</v>
      </c>
      <c r="I1042" s="34">
        <f>IF(OR(H1042="-",H1042="",H1042=0),IF(G1042="-","-",G1042),G1042-H1042)</f>
        <v>1</v>
      </c>
      <c r="J1042" s="4" t="str">
        <f>IFERROR(IF(G1042&gt;0, H1042/G1042, 0),"-")</f>
        <v>-</v>
      </c>
      <c r="K1042" s="34" t="s">
        <v>959</v>
      </c>
      <c r="L1042" s="35" t="s">
        <v>959</v>
      </c>
      <c r="M1042" s="34" t="str">
        <f>IF(OR(L1042="-",L1042="",L1042=0),IF(K1042="-","-",K1042),K1042-L1042)</f>
        <v>-</v>
      </c>
      <c r="N1042" s="4" t="str">
        <f>IFERROR(IF(K1042&gt;0, L1042/K1042, 0),"-")</f>
        <v>-</v>
      </c>
      <c r="O1042" s="34" t="s">
        <v>959</v>
      </c>
      <c r="P1042" s="35" t="s">
        <v>959</v>
      </c>
      <c r="Q1042" s="34" t="str">
        <f>IF(OR(P1042="-",P1042="",P1042=0),IF(O1042="-","-",O1042),O1042-P1042)</f>
        <v>-</v>
      </c>
      <c r="R1042" s="4" t="str">
        <f>IFERROR(IF(O1042&gt;0, P1042/O1042, 0),"-")</f>
        <v>-</v>
      </c>
      <c r="S1042" s="34" t="s">
        <v>959</v>
      </c>
      <c r="T1042" s="34" t="s">
        <v>959</v>
      </c>
      <c r="U1042" s="34" t="s">
        <v>959</v>
      </c>
      <c r="V1042" s="35" t="s">
        <v>959</v>
      </c>
      <c r="W1042" s="35" t="s">
        <v>959</v>
      </c>
    </row>
    <row r="1043" spans="1:23" x14ac:dyDescent="0.2">
      <c r="A1043" s="30" t="s">
        <v>438</v>
      </c>
      <c r="B1043" s="30" t="s">
        <v>1661</v>
      </c>
      <c r="C1043" s="34">
        <v>73</v>
      </c>
      <c r="D1043" s="35">
        <v>71</v>
      </c>
      <c r="E1043" s="34">
        <f>IF(OR(D1043="-",D1043="",D1043=0),IF(C1043="-","-",C1043),C1043-D1043)</f>
        <v>2</v>
      </c>
      <c r="F1043" s="4">
        <f>IFERROR(IF(C1043&gt;0, D1043/C1043, 0),"-")</f>
        <v>0.9726027397260274</v>
      </c>
      <c r="G1043" s="34">
        <v>1</v>
      </c>
      <c r="H1043" s="35" t="s">
        <v>959</v>
      </c>
      <c r="I1043" s="34">
        <f>IF(OR(H1043="-",H1043="",H1043=0),IF(G1043="-","-",G1043),G1043-H1043)</f>
        <v>1</v>
      </c>
      <c r="J1043" s="4" t="str">
        <f>IFERROR(IF(G1043&gt;0, H1043/G1043, 0),"-")</f>
        <v>-</v>
      </c>
      <c r="K1043" s="34" t="s">
        <v>959</v>
      </c>
      <c r="L1043" s="35" t="s">
        <v>959</v>
      </c>
      <c r="M1043" s="34" t="str">
        <f>IF(OR(L1043="-",L1043="",L1043=0),IF(K1043="-","-",K1043),K1043-L1043)</f>
        <v>-</v>
      </c>
      <c r="N1043" s="4" t="str">
        <f>IFERROR(IF(K1043&gt;0, L1043/K1043, 0),"-")</f>
        <v>-</v>
      </c>
      <c r="O1043" s="34" t="s">
        <v>959</v>
      </c>
      <c r="P1043" s="35" t="s">
        <v>959</v>
      </c>
      <c r="Q1043" s="34" t="str">
        <f>IF(OR(P1043="-",P1043="",P1043=0),IF(O1043="-","-",O1043),O1043-P1043)</f>
        <v>-</v>
      </c>
      <c r="R1043" s="4" t="str">
        <f>IFERROR(IF(O1043&gt;0, P1043/O1043, 0),"-")</f>
        <v>-</v>
      </c>
      <c r="S1043" s="34">
        <v>1</v>
      </c>
      <c r="T1043" s="34" t="s">
        <v>959</v>
      </c>
      <c r="U1043" s="34" t="s">
        <v>959</v>
      </c>
      <c r="V1043" s="35" t="s">
        <v>959</v>
      </c>
      <c r="W1043" s="35" t="s">
        <v>959</v>
      </c>
    </row>
    <row r="1044" spans="1:23" x14ac:dyDescent="0.2">
      <c r="A1044" s="30" t="s">
        <v>433</v>
      </c>
      <c r="B1044" s="30" t="s">
        <v>1662</v>
      </c>
      <c r="C1044" s="34">
        <v>67</v>
      </c>
      <c r="D1044" s="35">
        <v>66</v>
      </c>
      <c r="E1044" s="34">
        <f>IF(OR(D1044="-",D1044="",D1044=0),IF(C1044="-","-",C1044),C1044-D1044)</f>
        <v>1</v>
      </c>
      <c r="F1044" s="4">
        <f>IFERROR(IF(C1044&gt;0, D1044/C1044, 0),"-")</f>
        <v>0.9850746268656716</v>
      </c>
      <c r="G1044" s="34" t="s">
        <v>959</v>
      </c>
      <c r="H1044" s="35" t="s">
        <v>959</v>
      </c>
      <c r="I1044" s="34" t="str">
        <f>IF(OR(H1044="-",H1044="",H1044=0),IF(G1044="-","-",G1044),G1044-H1044)</f>
        <v>-</v>
      </c>
      <c r="J1044" s="4" t="str">
        <f>IFERROR(IF(G1044&gt;0, H1044/G1044, 0),"-")</f>
        <v>-</v>
      </c>
      <c r="K1044" s="34" t="s">
        <v>959</v>
      </c>
      <c r="L1044" s="35" t="s">
        <v>959</v>
      </c>
      <c r="M1044" s="34" t="str">
        <f>IF(OR(L1044="-",L1044="",L1044=0),IF(K1044="-","-",K1044),K1044-L1044)</f>
        <v>-</v>
      </c>
      <c r="N1044" s="4" t="str">
        <f>IFERROR(IF(K1044&gt;0, L1044/K1044, 0),"-")</f>
        <v>-</v>
      </c>
      <c r="O1044" s="34" t="s">
        <v>959</v>
      </c>
      <c r="P1044" s="35" t="s">
        <v>959</v>
      </c>
      <c r="Q1044" s="34" t="str">
        <f>IF(OR(P1044="-",P1044="",P1044=0),IF(O1044="-","-",O1044),O1044-P1044)</f>
        <v>-</v>
      </c>
      <c r="R1044" s="4" t="str">
        <f>IFERROR(IF(O1044&gt;0, P1044/O1044, 0),"-")</f>
        <v>-</v>
      </c>
      <c r="S1044" s="34" t="s">
        <v>959</v>
      </c>
      <c r="T1044" s="34" t="s">
        <v>959</v>
      </c>
      <c r="U1044" s="34" t="s">
        <v>959</v>
      </c>
      <c r="V1044" s="35" t="s">
        <v>959</v>
      </c>
      <c r="W1044" s="35" t="s">
        <v>959</v>
      </c>
    </row>
    <row r="1045" spans="1:23" x14ac:dyDescent="0.2">
      <c r="A1045" s="29"/>
      <c r="B1045" s="29" t="s">
        <v>32</v>
      </c>
      <c r="C1045" s="32">
        <v>605</v>
      </c>
      <c r="D1045" s="32">
        <v>590</v>
      </c>
      <c r="E1045" s="32">
        <f>IF(OR(D1045="-",D1045="",D1045=0),IF(C1045="-","-",C1045),C1045-D1045)</f>
        <v>15</v>
      </c>
      <c r="F1045" s="36">
        <f>IFERROR(IF(C1045&gt;0, D1045/C1045, 0),"-")</f>
        <v>0.97520661157024791</v>
      </c>
      <c r="G1045" s="32">
        <v>2</v>
      </c>
      <c r="H1045" s="32" t="s">
        <v>959</v>
      </c>
      <c r="I1045" s="32">
        <f>IF(OR(H1045="-",H1045="",H1045=0),IF(G1045="-","-",G1045),G1045-H1045)</f>
        <v>2</v>
      </c>
      <c r="J1045" s="36" t="str">
        <f>IFERROR(IF(G1045&gt;0, H1045/G1045, 0),"-")</f>
        <v>-</v>
      </c>
      <c r="K1045" s="32">
        <v>1</v>
      </c>
      <c r="L1045" s="32" t="s">
        <v>959</v>
      </c>
      <c r="M1045" s="32">
        <f>IF(OR(L1045="-",L1045="",L1045=0),IF(K1045="-","-",K1045),K1045-L1045)</f>
        <v>1</v>
      </c>
      <c r="N1045" s="36" t="str">
        <f>IFERROR(IF(K1045&gt;0, L1045/K1045, 0),"-")</f>
        <v>-</v>
      </c>
      <c r="O1045" s="32">
        <v>1</v>
      </c>
      <c r="P1045" s="32" t="s">
        <v>959</v>
      </c>
      <c r="Q1045" s="32">
        <f>IF(OR(P1045="-",P1045="",P1045=0),IF(O1045="-","-",O1045),O1045-P1045)</f>
        <v>1</v>
      </c>
      <c r="R1045" s="36" t="str">
        <f>IFERROR(IF(O1045&gt;0, P1045/O1045, 0),"-")</f>
        <v>-</v>
      </c>
      <c r="S1045" s="32">
        <v>2</v>
      </c>
      <c r="T1045" s="32">
        <v>1</v>
      </c>
      <c r="U1045" s="32">
        <v>50000</v>
      </c>
      <c r="V1045" s="32" t="s">
        <v>959</v>
      </c>
      <c r="W1045" s="32" t="s">
        <v>959</v>
      </c>
    </row>
    <row r="1046" spans="1:23" x14ac:dyDescent="0.2">
      <c r="A1046" s="30" t="s">
        <v>148</v>
      </c>
      <c r="B1046" s="30" t="s">
        <v>1663</v>
      </c>
      <c r="C1046" s="34">
        <v>94</v>
      </c>
      <c r="D1046" s="35">
        <v>92</v>
      </c>
      <c r="E1046" s="34">
        <f>IF(OR(D1046="-",D1046="",D1046=0),IF(C1046="-","-",C1046),C1046-D1046)</f>
        <v>2</v>
      </c>
      <c r="F1046" s="4">
        <f>IFERROR(IF(C1046&gt;0, D1046/C1046, 0),"-")</f>
        <v>0.97872340425531912</v>
      </c>
      <c r="G1046" s="34">
        <v>2</v>
      </c>
      <c r="H1046" s="35" t="s">
        <v>959</v>
      </c>
      <c r="I1046" s="34">
        <f>IF(OR(H1046="-",H1046="",H1046=0),IF(G1046="-","-",G1046),G1046-H1046)</f>
        <v>2</v>
      </c>
      <c r="J1046" s="4" t="str">
        <f>IFERROR(IF(G1046&gt;0, H1046/G1046, 0),"-")</f>
        <v>-</v>
      </c>
      <c r="K1046" s="34">
        <v>1</v>
      </c>
      <c r="L1046" s="35" t="s">
        <v>959</v>
      </c>
      <c r="M1046" s="34">
        <f>IF(OR(L1046="-",L1046="",L1046=0),IF(K1046="-","-",K1046),K1046-L1046)</f>
        <v>1</v>
      </c>
      <c r="N1046" s="4" t="str">
        <f>IFERROR(IF(K1046&gt;0, L1046/K1046, 0),"-")</f>
        <v>-</v>
      </c>
      <c r="O1046" s="34" t="s">
        <v>959</v>
      </c>
      <c r="P1046" s="35" t="s">
        <v>959</v>
      </c>
      <c r="Q1046" s="34" t="str">
        <f>IF(OR(P1046="-",P1046="",P1046=0),IF(O1046="-","-",O1046),O1046-P1046)</f>
        <v>-</v>
      </c>
      <c r="R1046" s="4" t="str">
        <f>IFERROR(IF(O1046&gt;0, P1046/O1046, 0),"-")</f>
        <v>-</v>
      </c>
      <c r="S1046" s="34" t="s">
        <v>959</v>
      </c>
      <c r="T1046" s="34" t="s">
        <v>959</v>
      </c>
      <c r="U1046" s="34" t="s">
        <v>959</v>
      </c>
      <c r="V1046" s="35" t="s">
        <v>959</v>
      </c>
      <c r="W1046" s="35" t="s">
        <v>959</v>
      </c>
    </row>
    <row r="1047" spans="1:23" x14ac:dyDescent="0.2">
      <c r="A1047" s="30" t="s">
        <v>145</v>
      </c>
      <c r="B1047" s="30" t="s">
        <v>1664</v>
      </c>
      <c r="C1047" s="34">
        <v>62</v>
      </c>
      <c r="D1047" s="35">
        <v>58</v>
      </c>
      <c r="E1047" s="34">
        <f>IF(OR(D1047="-",D1047="",D1047=0),IF(C1047="-","-",C1047),C1047-D1047)</f>
        <v>4</v>
      </c>
      <c r="F1047" s="4">
        <f>IFERROR(IF(C1047&gt;0, D1047/C1047, 0),"-")</f>
        <v>0.93548387096774188</v>
      </c>
      <c r="G1047" s="34" t="s">
        <v>959</v>
      </c>
      <c r="H1047" s="35" t="s">
        <v>959</v>
      </c>
      <c r="I1047" s="34" t="str">
        <f>IF(OR(H1047="-",H1047="",H1047=0),IF(G1047="-","-",G1047),G1047-H1047)</f>
        <v>-</v>
      </c>
      <c r="J1047" s="4" t="str">
        <f>IFERROR(IF(G1047&gt;0, H1047/G1047, 0),"-")</f>
        <v>-</v>
      </c>
      <c r="K1047" s="34" t="s">
        <v>959</v>
      </c>
      <c r="L1047" s="35" t="s">
        <v>959</v>
      </c>
      <c r="M1047" s="34" t="str">
        <f>IF(OR(L1047="-",L1047="",L1047=0),IF(K1047="-","-",K1047),K1047-L1047)</f>
        <v>-</v>
      </c>
      <c r="N1047" s="4" t="str">
        <f>IFERROR(IF(K1047&gt;0, L1047/K1047, 0),"-")</f>
        <v>-</v>
      </c>
      <c r="O1047" s="34" t="s">
        <v>959</v>
      </c>
      <c r="P1047" s="35" t="s">
        <v>959</v>
      </c>
      <c r="Q1047" s="34" t="str">
        <f>IF(OR(P1047="-",P1047="",P1047=0),IF(O1047="-","-",O1047),O1047-P1047)</f>
        <v>-</v>
      </c>
      <c r="R1047" s="4" t="str">
        <f>IFERROR(IF(O1047&gt;0, P1047/O1047, 0),"-")</f>
        <v>-</v>
      </c>
      <c r="S1047" s="34">
        <v>1</v>
      </c>
      <c r="T1047" s="34" t="s">
        <v>959</v>
      </c>
      <c r="U1047" s="34" t="s">
        <v>959</v>
      </c>
      <c r="V1047" s="35" t="s">
        <v>959</v>
      </c>
      <c r="W1047" s="35" t="s">
        <v>959</v>
      </c>
    </row>
    <row r="1048" spans="1:23" x14ac:dyDescent="0.2">
      <c r="A1048" s="30" t="s">
        <v>146</v>
      </c>
      <c r="B1048" s="30" t="s">
        <v>1665</v>
      </c>
      <c r="C1048" s="34">
        <v>78</v>
      </c>
      <c r="D1048" s="35">
        <v>78</v>
      </c>
      <c r="E1048" s="34">
        <f>IF(OR(D1048="-",D1048="",D1048=0),IF(C1048="-","-",C1048),C1048-D1048)</f>
        <v>0</v>
      </c>
      <c r="F1048" s="4">
        <f>IFERROR(IF(C1048&gt;0, D1048/C1048, 0),"-")</f>
        <v>1</v>
      </c>
      <c r="G1048" s="34" t="s">
        <v>959</v>
      </c>
      <c r="H1048" s="35" t="s">
        <v>959</v>
      </c>
      <c r="I1048" s="34" t="str">
        <f>IF(OR(H1048="-",H1048="",H1048=0),IF(G1048="-","-",G1048),G1048-H1048)</f>
        <v>-</v>
      </c>
      <c r="J1048" s="4" t="str">
        <f>IFERROR(IF(G1048&gt;0, H1048/G1048, 0),"-")</f>
        <v>-</v>
      </c>
      <c r="K1048" s="34" t="s">
        <v>959</v>
      </c>
      <c r="L1048" s="35" t="s">
        <v>959</v>
      </c>
      <c r="M1048" s="34" t="str">
        <f>IF(OR(L1048="-",L1048="",L1048=0),IF(K1048="-","-",K1048),K1048-L1048)</f>
        <v>-</v>
      </c>
      <c r="N1048" s="4" t="str">
        <f>IFERROR(IF(K1048&gt;0, L1048/K1048, 0),"-")</f>
        <v>-</v>
      </c>
      <c r="O1048" s="34" t="s">
        <v>959</v>
      </c>
      <c r="P1048" s="35" t="s">
        <v>959</v>
      </c>
      <c r="Q1048" s="34" t="str">
        <f>IF(OR(P1048="-",P1048="",P1048=0),IF(O1048="-","-",O1048),O1048-P1048)</f>
        <v>-</v>
      </c>
      <c r="R1048" s="4" t="str">
        <f>IFERROR(IF(O1048&gt;0, P1048/O1048, 0),"-")</f>
        <v>-</v>
      </c>
      <c r="S1048" s="34" t="s">
        <v>959</v>
      </c>
      <c r="T1048" s="34" t="s">
        <v>959</v>
      </c>
      <c r="U1048" s="34" t="s">
        <v>959</v>
      </c>
      <c r="V1048" s="35" t="s">
        <v>959</v>
      </c>
      <c r="W1048" s="35" t="s">
        <v>959</v>
      </c>
    </row>
    <row r="1049" spans="1:23" x14ac:dyDescent="0.2">
      <c r="A1049" s="30" t="s">
        <v>144</v>
      </c>
      <c r="B1049" s="30" t="s">
        <v>1666</v>
      </c>
      <c r="C1049" s="34">
        <v>77</v>
      </c>
      <c r="D1049" s="35">
        <v>74</v>
      </c>
      <c r="E1049" s="34">
        <f>IF(OR(D1049="-",D1049="",D1049=0),IF(C1049="-","-",C1049),C1049-D1049)</f>
        <v>3</v>
      </c>
      <c r="F1049" s="4">
        <f>IFERROR(IF(C1049&gt;0, D1049/C1049, 0),"-")</f>
        <v>0.96103896103896103</v>
      </c>
      <c r="G1049" s="34" t="s">
        <v>959</v>
      </c>
      <c r="H1049" s="35" t="s">
        <v>959</v>
      </c>
      <c r="I1049" s="34" t="str">
        <f>IF(OR(H1049="-",H1049="",H1049=0),IF(G1049="-","-",G1049),G1049-H1049)</f>
        <v>-</v>
      </c>
      <c r="J1049" s="4" t="str">
        <f>IFERROR(IF(G1049&gt;0, H1049/G1049, 0),"-")</f>
        <v>-</v>
      </c>
      <c r="K1049" s="34" t="s">
        <v>959</v>
      </c>
      <c r="L1049" s="35" t="s">
        <v>959</v>
      </c>
      <c r="M1049" s="34" t="str">
        <f>IF(OR(L1049="-",L1049="",L1049=0),IF(K1049="-","-",K1049),K1049-L1049)</f>
        <v>-</v>
      </c>
      <c r="N1049" s="4" t="str">
        <f>IFERROR(IF(K1049&gt;0, L1049/K1049, 0),"-")</f>
        <v>-</v>
      </c>
      <c r="O1049" s="34" t="s">
        <v>959</v>
      </c>
      <c r="P1049" s="35" t="s">
        <v>959</v>
      </c>
      <c r="Q1049" s="34" t="str">
        <f>IF(OR(P1049="-",P1049="",P1049=0),IF(O1049="-","-",O1049),O1049-P1049)</f>
        <v>-</v>
      </c>
      <c r="R1049" s="4" t="str">
        <f>IFERROR(IF(O1049&gt;0, P1049/O1049, 0),"-")</f>
        <v>-</v>
      </c>
      <c r="S1049" s="34" t="s">
        <v>959</v>
      </c>
      <c r="T1049" s="34" t="s">
        <v>959</v>
      </c>
      <c r="U1049" s="34" t="s">
        <v>959</v>
      </c>
      <c r="V1049" s="35" t="s">
        <v>959</v>
      </c>
      <c r="W1049" s="35" t="s">
        <v>959</v>
      </c>
    </row>
    <row r="1050" spans="1:23" x14ac:dyDescent="0.2">
      <c r="A1050" s="30" t="s">
        <v>150</v>
      </c>
      <c r="B1050" s="30" t="s">
        <v>986</v>
      </c>
      <c r="C1050" s="34">
        <v>68</v>
      </c>
      <c r="D1050" s="35">
        <v>68</v>
      </c>
      <c r="E1050" s="34">
        <f>IF(OR(D1050="-",D1050="",D1050=0),IF(C1050="-","-",C1050),C1050-D1050)</f>
        <v>0</v>
      </c>
      <c r="F1050" s="4">
        <f>IFERROR(IF(C1050&gt;0, D1050/C1050, 0),"-")</f>
        <v>1</v>
      </c>
      <c r="G1050" s="34" t="s">
        <v>959</v>
      </c>
      <c r="H1050" s="35" t="s">
        <v>959</v>
      </c>
      <c r="I1050" s="34" t="str">
        <f>IF(OR(H1050="-",H1050="",H1050=0),IF(G1050="-","-",G1050),G1050-H1050)</f>
        <v>-</v>
      </c>
      <c r="J1050" s="4" t="str">
        <f>IFERROR(IF(G1050&gt;0, H1050/G1050, 0),"-")</f>
        <v>-</v>
      </c>
      <c r="K1050" s="34" t="s">
        <v>959</v>
      </c>
      <c r="L1050" s="35" t="s">
        <v>959</v>
      </c>
      <c r="M1050" s="34" t="str">
        <f>IF(OR(L1050="-",L1050="",L1050=0),IF(K1050="-","-",K1050),K1050-L1050)</f>
        <v>-</v>
      </c>
      <c r="N1050" s="4" t="str">
        <f>IFERROR(IF(K1050&gt;0, L1050/K1050, 0),"-")</f>
        <v>-</v>
      </c>
      <c r="O1050" s="34" t="s">
        <v>959</v>
      </c>
      <c r="P1050" s="35" t="s">
        <v>959</v>
      </c>
      <c r="Q1050" s="34" t="str">
        <f>IF(OR(P1050="-",P1050="",P1050=0),IF(O1050="-","-",O1050),O1050-P1050)</f>
        <v>-</v>
      </c>
      <c r="R1050" s="4" t="str">
        <f>IFERROR(IF(O1050&gt;0, P1050/O1050, 0),"-")</f>
        <v>-</v>
      </c>
      <c r="S1050" s="34">
        <v>1</v>
      </c>
      <c r="T1050" s="34">
        <v>1</v>
      </c>
      <c r="U1050" s="34">
        <v>50000</v>
      </c>
      <c r="V1050" s="35" t="s">
        <v>959</v>
      </c>
      <c r="W1050" s="35" t="s">
        <v>959</v>
      </c>
    </row>
    <row r="1051" spans="1:23" x14ac:dyDescent="0.2">
      <c r="A1051" s="30" t="s">
        <v>143</v>
      </c>
      <c r="B1051" s="30" t="s">
        <v>1412</v>
      </c>
      <c r="C1051" s="34">
        <v>92</v>
      </c>
      <c r="D1051" s="35">
        <v>89</v>
      </c>
      <c r="E1051" s="34">
        <f>IF(OR(D1051="-",D1051="",D1051=0),IF(C1051="-","-",C1051),C1051-D1051)</f>
        <v>3</v>
      </c>
      <c r="F1051" s="4">
        <f>IFERROR(IF(C1051&gt;0, D1051/C1051, 0),"-")</f>
        <v>0.96739130434782605</v>
      </c>
      <c r="G1051" s="34" t="s">
        <v>959</v>
      </c>
      <c r="H1051" s="35" t="s">
        <v>959</v>
      </c>
      <c r="I1051" s="34" t="str">
        <f>IF(OR(H1051="-",H1051="",H1051=0),IF(G1051="-","-",G1051),G1051-H1051)</f>
        <v>-</v>
      </c>
      <c r="J1051" s="4" t="str">
        <f>IFERROR(IF(G1051&gt;0, H1051/G1051, 0),"-")</f>
        <v>-</v>
      </c>
      <c r="K1051" s="34" t="s">
        <v>959</v>
      </c>
      <c r="L1051" s="35" t="s">
        <v>959</v>
      </c>
      <c r="M1051" s="34" t="str">
        <f>IF(OR(L1051="-",L1051="",L1051=0),IF(K1051="-","-",K1051),K1051-L1051)</f>
        <v>-</v>
      </c>
      <c r="N1051" s="4" t="str">
        <f>IFERROR(IF(K1051&gt;0, L1051/K1051, 0),"-")</f>
        <v>-</v>
      </c>
      <c r="O1051" s="34" t="s">
        <v>959</v>
      </c>
      <c r="P1051" s="35" t="s">
        <v>959</v>
      </c>
      <c r="Q1051" s="34" t="str">
        <f>IF(OR(P1051="-",P1051="",P1051=0),IF(O1051="-","-",O1051),O1051-P1051)</f>
        <v>-</v>
      </c>
      <c r="R1051" s="4" t="str">
        <f>IFERROR(IF(O1051&gt;0, P1051/O1051, 0),"-")</f>
        <v>-</v>
      </c>
      <c r="S1051" s="34" t="s">
        <v>959</v>
      </c>
      <c r="T1051" s="34" t="s">
        <v>959</v>
      </c>
      <c r="U1051" s="34" t="s">
        <v>959</v>
      </c>
      <c r="V1051" s="35" t="s">
        <v>959</v>
      </c>
      <c r="W1051" s="35" t="s">
        <v>959</v>
      </c>
    </row>
    <row r="1052" spans="1:23" x14ac:dyDescent="0.2">
      <c r="A1052" s="30" t="s">
        <v>149</v>
      </c>
      <c r="B1052" s="30" t="s">
        <v>1667</v>
      </c>
      <c r="C1052" s="34">
        <v>33</v>
      </c>
      <c r="D1052" s="35">
        <v>33</v>
      </c>
      <c r="E1052" s="34">
        <f>IF(OR(D1052="-",D1052="",D1052=0),IF(C1052="-","-",C1052),C1052-D1052)</f>
        <v>0</v>
      </c>
      <c r="F1052" s="4">
        <f>IFERROR(IF(C1052&gt;0, D1052/C1052, 0),"-")</f>
        <v>1</v>
      </c>
      <c r="G1052" s="34" t="s">
        <v>959</v>
      </c>
      <c r="H1052" s="35" t="s">
        <v>959</v>
      </c>
      <c r="I1052" s="34" t="str">
        <f>IF(OR(H1052="-",H1052="",H1052=0),IF(G1052="-","-",G1052),G1052-H1052)</f>
        <v>-</v>
      </c>
      <c r="J1052" s="4" t="str">
        <f>IFERROR(IF(G1052&gt;0, H1052/G1052, 0),"-")</f>
        <v>-</v>
      </c>
      <c r="K1052" s="34" t="s">
        <v>959</v>
      </c>
      <c r="L1052" s="35" t="s">
        <v>959</v>
      </c>
      <c r="M1052" s="34" t="str">
        <f>IF(OR(L1052="-",L1052="",L1052=0),IF(K1052="-","-",K1052),K1052-L1052)</f>
        <v>-</v>
      </c>
      <c r="N1052" s="4" t="str">
        <f>IFERROR(IF(K1052&gt;0, L1052/K1052, 0),"-")</f>
        <v>-</v>
      </c>
      <c r="O1052" s="34">
        <v>1</v>
      </c>
      <c r="P1052" s="35" t="s">
        <v>959</v>
      </c>
      <c r="Q1052" s="34">
        <f>IF(OR(P1052="-",P1052="",P1052=0),IF(O1052="-","-",O1052),O1052-P1052)</f>
        <v>1</v>
      </c>
      <c r="R1052" s="4" t="str">
        <f>IFERROR(IF(O1052&gt;0, P1052/O1052, 0),"-")</f>
        <v>-</v>
      </c>
      <c r="S1052" s="34" t="s">
        <v>959</v>
      </c>
      <c r="T1052" s="34" t="s">
        <v>959</v>
      </c>
      <c r="U1052" s="34" t="s">
        <v>959</v>
      </c>
      <c r="V1052" s="35" t="s">
        <v>959</v>
      </c>
      <c r="W1052" s="35" t="s">
        <v>959</v>
      </c>
    </row>
    <row r="1053" spans="1:23" x14ac:dyDescent="0.2">
      <c r="A1053" s="30" t="s">
        <v>147</v>
      </c>
      <c r="B1053" s="30" t="s">
        <v>1668</v>
      </c>
      <c r="C1053" s="34">
        <v>101</v>
      </c>
      <c r="D1053" s="35">
        <v>98</v>
      </c>
      <c r="E1053" s="34">
        <f>IF(OR(D1053="-",D1053="",D1053=0),IF(C1053="-","-",C1053),C1053-D1053)</f>
        <v>3</v>
      </c>
      <c r="F1053" s="4">
        <f>IFERROR(IF(C1053&gt;0, D1053/C1053, 0),"-")</f>
        <v>0.97029702970297027</v>
      </c>
      <c r="G1053" s="34" t="s">
        <v>959</v>
      </c>
      <c r="H1053" s="35" t="s">
        <v>959</v>
      </c>
      <c r="I1053" s="34" t="str">
        <f>IF(OR(H1053="-",H1053="",H1053=0),IF(G1053="-","-",G1053),G1053-H1053)</f>
        <v>-</v>
      </c>
      <c r="J1053" s="4" t="str">
        <f>IFERROR(IF(G1053&gt;0, H1053/G1053, 0),"-")</f>
        <v>-</v>
      </c>
      <c r="K1053" s="34" t="s">
        <v>959</v>
      </c>
      <c r="L1053" s="35" t="s">
        <v>959</v>
      </c>
      <c r="M1053" s="34" t="str">
        <f>IF(OR(L1053="-",L1053="",L1053=0),IF(K1053="-","-",K1053),K1053-L1053)</f>
        <v>-</v>
      </c>
      <c r="N1053" s="4" t="str">
        <f>IFERROR(IF(K1053&gt;0, L1053/K1053, 0),"-")</f>
        <v>-</v>
      </c>
      <c r="O1053" s="34" t="s">
        <v>959</v>
      </c>
      <c r="P1053" s="35" t="s">
        <v>959</v>
      </c>
      <c r="Q1053" s="34" t="str">
        <f>IF(OR(P1053="-",P1053="",P1053=0),IF(O1053="-","-",O1053),O1053-P1053)</f>
        <v>-</v>
      </c>
      <c r="R1053" s="4" t="str">
        <f>IFERROR(IF(O1053&gt;0, P1053/O1053, 0),"-")</f>
        <v>-</v>
      </c>
      <c r="S1053" s="34" t="s">
        <v>959</v>
      </c>
      <c r="T1053" s="34" t="s">
        <v>959</v>
      </c>
      <c r="U1053" s="34" t="s">
        <v>959</v>
      </c>
      <c r="V1053" s="35" t="s">
        <v>959</v>
      </c>
      <c r="W1053" s="35" t="s">
        <v>959</v>
      </c>
    </row>
    <row r="1054" spans="1:23" x14ac:dyDescent="0.2">
      <c r="A1054" s="29"/>
      <c r="B1054" s="29" t="s">
        <v>69</v>
      </c>
      <c r="C1054" s="32">
        <v>446</v>
      </c>
      <c r="D1054" s="32">
        <v>433</v>
      </c>
      <c r="E1054" s="32">
        <f>IF(OR(D1054="-",D1054="",D1054=0),IF(C1054="-","-",C1054),C1054-D1054)</f>
        <v>13</v>
      </c>
      <c r="F1054" s="36">
        <f>IFERROR(IF(C1054&gt;0, D1054/C1054, 0),"-")</f>
        <v>0.97085201793721976</v>
      </c>
      <c r="G1054" s="32">
        <v>3</v>
      </c>
      <c r="H1054" s="32" t="s">
        <v>959</v>
      </c>
      <c r="I1054" s="32">
        <f>IF(OR(H1054="-",H1054="",H1054=0),IF(G1054="-","-",G1054),G1054-H1054)</f>
        <v>3</v>
      </c>
      <c r="J1054" s="36" t="str">
        <f>IFERROR(IF(G1054&gt;0, H1054/G1054, 0),"-")</f>
        <v>-</v>
      </c>
      <c r="K1054" s="32" t="s">
        <v>959</v>
      </c>
      <c r="L1054" s="32" t="s">
        <v>959</v>
      </c>
      <c r="M1054" s="32" t="str">
        <f>IF(OR(L1054="-",L1054="",L1054=0),IF(K1054="-","-",K1054),K1054-L1054)</f>
        <v>-</v>
      </c>
      <c r="N1054" s="36" t="str">
        <f>IFERROR(IF(K1054&gt;0, L1054/K1054, 0),"-")</f>
        <v>-</v>
      </c>
      <c r="O1054" s="32" t="s">
        <v>959</v>
      </c>
      <c r="P1054" s="32" t="s">
        <v>959</v>
      </c>
      <c r="Q1054" s="32" t="str">
        <f>IF(OR(P1054="-",P1054="",P1054=0),IF(O1054="-","-",O1054),O1054-P1054)</f>
        <v>-</v>
      </c>
      <c r="R1054" s="36" t="str">
        <f>IFERROR(IF(O1054&gt;0, P1054/O1054, 0),"-")</f>
        <v>-</v>
      </c>
      <c r="S1054" s="32">
        <v>3</v>
      </c>
      <c r="T1054" s="32" t="s">
        <v>959</v>
      </c>
      <c r="U1054" s="32" t="s">
        <v>959</v>
      </c>
      <c r="V1054" s="32" t="s">
        <v>959</v>
      </c>
      <c r="W1054" s="32" t="s">
        <v>959</v>
      </c>
    </row>
    <row r="1055" spans="1:23" x14ac:dyDescent="0.2">
      <c r="A1055" s="30" t="s">
        <v>456</v>
      </c>
      <c r="B1055" s="30" t="s">
        <v>1669</v>
      </c>
      <c r="C1055" s="34">
        <v>71</v>
      </c>
      <c r="D1055" s="35">
        <v>69</v>
      </c>
      <c r="E1055" s="34">
        <f>IF(OR(D1055="-",D1055="",D1055=0),IF(C1055="-","-",C1055),C1055-D1055)</f>
        <v>2</v>
      </c>
      <c r="F1055" s="4">
        <f>IFERROR(IF(C1055&gt;0, D1055/C1055, 0),"-")</f>
        <v>0.971830985915493</v>
      </c>
      <c r="G1055" s="34" t="s">
        <v>959</v>
      </c>
      <c r="H1055" s="35" t="s">
        <v>959</v>
      </c>
      <c r="I1055" s="34" t="str">
        <f>IF(OR(H1055="-",H1055="",H1055=0),IF(G1055="-","-",G1055),G1055-H1055)</f>
        <v>-</v>
      </c>
      <c r="J1055" s="4" t="str">
        <f>IFERROR(IF(G1055&gt;0, H1055/G1055, 0),"-")</f>
        <v>-</v>
      </c>
      <c r="K1055" s="34" t="s">
        <v>959</v>
      </c>
      <c r="L1055" s="35" t="s">
        <v>959</v>
      </c>
      <c r="M1055" s="34" t="str">
        <f>IF(OR(L1055="-",L1055="",L1055=0),IF(K1055="-","-",K1055),K1055-L1055)</f>
        <v>-</v>
      </c>
      <c r="N1055" s="4" t="str">
        <f>IFERROR(IF(K1055&gt;0, L1055/K1055, 0),"-")</f>
        <v>-</v>
      </c>
      <c r="O1055" s="34" t="s">
        <v>959</v>
      </c>
      <c r="P1055" s="35" t="s">
        <v>959</v>
      </c>
      <c r="Q1055" s="34" t="str">
        <f>IF(OR(P1055="-",P1055="",P1055=0),IF(O1055="-","-",O1055),O1055-P1055)</f>
        <v>-</v>
      </c>
      <c r="R1055" s="4" t="str">
        <f>IFERROR(IF(O1055&gt;0, P1055/O1055, 0),"-")</f>
        <v>-</v>
      </c>
      <c r="S1055" s="34" t="s">
        <v>959</v>
      </c>
      <c r="T1055" s="34" t="s">
        <v>959</v>
      </c>
      <c r="U1055" s="34" t="s">
        <v>959</v>
      </c>
      <c r="V1055" s="35" t="s">
        <v>959</v>
      </c>
      <c r="W1055" s="35" t="s">
        <v>959</v>
      </c>
    </row>
    <row r="1056" spans="1:23" x14ac:dyDescent="0.2">
      <c r="A1056" s="30" t="s">
        <v>458</v>
      </c>
      <c r="B1056" s="30" t="s">
        <v>1670</v>
      </c>
      <c r="C1056" s="34">
        <v>106</v>
      </c>
      <c r="D1056" s="35">
        <v>106</v>
      </c>
      <c r="E1056" s="34">
        <f>IF(OR(D1056="-",D1056="",D1056=0),IF(C1056="-","-",C1056),C1056-D1056)</f>
        <v>0</v>
      </c>
      <c r="F1056" s="4">
        <f>IFERROR(IF(C1056&gt;0, D1056/C1056, 0),"-")</f>
        <v>1</v>
      </c>
      <c r="G1056" s="34">
        <v>1</v>
      </c>
      <c r="H1056" s="35" t="s">
        <v>959</v>
      </c>
      <c r="I1056" s="34">
        <f>IF(OR(H1056="-",H1056="",H1056=0),IF(G1056="-","-",G1056),G1056-H1056)</f>
        <v>1</v>
      </c>
      <c r="J1056" s="4" t="str">
        <f>IFERROR(IF(G1056&gt;0, H1056/G1056, 0),"-")</f>
        <v>-</v>
      </c>
      <c r="K1056" s="34" t="s">
        <v>959</v>
      </c>
      <c r="L1056" s="35" t="s">
        <v>959</v>
      </c>
      <c r="M1056" s="34" t="str">
        <f>IF(OR(L1056="-",L1056="",L1056=0),IF(K1056="-","-",K1056),K1056-L1056)</f>
        <v>-</v>
      </c>
      <c r="N1056" s="4" t="str">
        <f>IFERROR(IF(K1056&gt;0, L1056/K1056, 0),"-")</f>
        <v>-</v>
      </c>
      <c r="O1056" s="34" t="s">
        <v>959</v>
      </c>
      <c r="P1056" s="35" t="s">
        <v>959</v>
      </c>
      <c r="Q1056" s="34" t="str">
        <f>IF(OR(P1056="-",P1056="",P1056=0),IF(O1056="-","-",O1056),O1056-P1056)</f>
        <v>-</v>
      </c>
      <c r="R1056" s="4" t="str">
        <f>IFERROR(IF(O1056&gt;0, P1056/O1056, 0),"-")</f>
        <v>-</v>
      </c>
      <c r="S1056" s="34" t="s">
        <v>959</v>
      </c>
      <c r="T1056" s="34" t="s">
        <v>959</v>
      </c>
      <c r="U1056" s="34" t="s">
        <v>959</v>
      </c>
      <c r="V1056" s="35" t="s">
        <v>959</v>
      </c>
      <c r="W1056" s="35" t="s">
        <v>959</v>
      </c>
    </row>
    <row r="1057" spans="1:23" x14ac:dyDescent="0.2">
      <c r="A1057" s="30" t="s">
        <v>461</v>
      </c>
      <c r="B1057" s="30" t="s">
        <v>1671</v>
      </c>
      <c r="C1057" s="34">
        <v>52</v>
      </c>
      <c r="D1057" s="35">
        <v>51</v>
      </c>
      <c r="E1057" s="34">
        <f>IF(OR(D1057="-",D1057="",D1057=0),IF(C1057="-","-",C1057),C1057-D1057)</f>
        <v>1</v>
      </c>
      <c r="F1057" s="4">
        <f>IFERROR(IF(C1057&gt;0, D1057/C1057, 0),"-")</f>
        <v>0.98076923076923073</v>
      </c>
      <c r="G1057" s="34">
        <v>2</v>
      </c>
      <c r="H1057" s="35" t="s">
        <v>959</v>
      </c>
      <c r="I1057" s="34">
        <f>IF(OR(H1057="-",H1057="",H1057=0),IF(G1057="-","-",G1057),G1057-H1057)</f>
        <v>2</v>
      </c>
      <c r="J1057" s="4" t="str">
        <f>IFERROR(IF(G1057&gt;0, H1057/G1057, 0),"-")</f>
        <v>-</v>
      </c>
      <c r="K1057" s="34" t="s">
        <v>959</v>
      </c>
      <c r="L1057" s="35" t="s">
        <v>959</v>
      </c>
      <c r="M1057" s="34" t="str">
        <f>IF(OR(L1057="-",L1057="",L1057=0),IF(K1057="-","-",K1057),K1057-L1057)</f>
        <v>-</v>
      </c>
      <c r="N1057" s="4" t="str">
        <f>IFERROR(IF(K1057&gt;0, L1057/K1057, 0),"-")</f>
        <v>-</v>
      </c>
      <c r="O1057" s="34" t="s">
        <v>959</v>
      </c>
      <c r="P1057" s="35" t="s">
        <v>959</v>
      </c>
      <c r="Q1057" s="34" t="str">
        <f>IF(OR(P1057="-",P1057="",P1057=0),IF(O1057="-","-",O1057),O1057-P1057)</f>
        <v>-</v>
      </c>
      <c r="R1057" s="4" t="str">
        <f>IFERROR(IF(O1057&gt;0, P1057/O1057, 0),"-")</f>
        <v>-</v>
      </c>
      <c r="S1057" s="34" t="s">
        <v>959</v>
      </c>
      <c r="T1057" s="34" t="s">
        <v>959</v>
      </c>
      <c r="U1057" s="34" t="s">
        <v>959</v>
      </c>
      <c r="V1057" s="35" t="s">
        <v>959</v>
      </c>
      <c r="W1057" s="35" t="s">
        <v>959</v>
      </c>
    </row>
    <row r="1058" spans="1:23" x14ac:dyDescent="0.2">
      <c r="A1058" s="30" t="s">
        <v>457</v>
      </c>
      <c r="B1058" s="30" t="s">
        <v>1672</v>
      </c>
      <c r="C1058" s="34">
        <v>58</v>
      </c>
      <c r="D1058" s="35">
        <v>56</v>
      </c>
      <c r="E1058" s="34">
        <f>IF(OR(D1058="-",D1058="",D1058=0),IF(C1058="-","-",C1058),C1058-D1058)</f>
        <v>2</v>
      </c>
      <c r="F1058" s="4">
        <f>IFERROR(IF(C1058&gt;0, D1058/C1058, 0),"-")</f>
        <v>0.96551724137931039</v>
      </c>
      <c r="G1058" s="34" t="s">
        <v>959</v>
      </c>
      <c r="H1058" s="35" t="s">
        <v>959</v>
      </c>
      <c r="I1058" s="34" t="str">
        <f>IF(OR(H1058="-",H1058="",H1058=0),IF(G1058="-","-",G1058),G1058-H1058)</f>
        <v>-</v>
      </c>
      <c r="J1058" s="4" t="str">
        <f>IFERROR(IF(G1058&gt;0, H1058/G1058, 0),"-")</f>
        <v>-</v>
      </c>
      <c r="K1058" s="34" t="s">
        <v>959</v>
      </c>
      <c r="L1058" s="35" t="s">
        <v>959</v>
      </c>
      <c r="M1058" s="34" t="str">
        <f>IF(OR(L1058="-",L1058="",L1058=0),IF(K1058="-","-",K1058),K1058-L1058)</f>
        <v>-</v>
      </c>
      <c r="N1058" s="4" t="str">
        <f>IFERROR(IF(K1058&gt;0, L1058/K1058, 0),"-")</f>
        <v>-</v>
      </c>
      <c r="O1058" s="34" t="s">
        <v>959</v>
      </c>
      <c r="P1058" s="35" t="s">
        <v>959</v>
      </c>
      <c r="Q1058" s="34" t="str">
        <f>IF(OR(P1058="-",P1058="",P1058=0),IF(O1058="-","-",O1058),O1058-P1058)</f>
        <v>-</v>
      </c>
      <c r="R1058" s="4" t="str">
        <f>IFERROR(IF(O1058&gt;0, P1058/O1058, 0),"-")</f>
        <v>-</v>
      </c>
      <c r="S1058" s="34">
        <v>2</v>
      </c>
      <c r="T1058" s="34" t="s">
        <v>959</v>
      </c>
      <c r="U1058" s="34" t="s">
        <v>959</v>
      </c>
      <c r="V1058" s="35" t="s">
        <v>959</v>
      </c>
      <c r="W1058" s="35" t="s">
        <v>959</v>
      </c>
    </row>
    <row r="1059" spans="1:23" x14ac:dyDescent="0.2">
      <c r="A1059" s="30" t="s">
        <v>459</v>
      </c>
      <c r="B1059" s="30" t="s">
        <v>1673</v>
      </c>
      <c r="C1059" s="34">
        <v>103</v>
      </c>
      <c r="D1059" s="35">
        <v>97</v>
      </c>
      <c r="E1059" s="34">
        <f>IF(OR(D1059="-",D1059="",D1059=0),IF(C1059="-","-",C1059),C1059-D1059)</f>
        <v>6</v>
      </c>
      <c r="F1059" s="4">
        <f>IFERROR(IF(C1059&gt;0, D1059/C1059, 0),"-")</f>
        <v>0.94174757281553401</v>
      </c>
      <c r="G1059" s="34" t="s">
        <v>959</v>
      </c>
      <c r="H1059" s="35" t="s">
        <v>959</v>
      </c>
      <c r="I1059" s="34" t="str">
        <f>IF(OR(H1059="-",H1059="",H1059=0),IF(G1059="-","-",G1059),G1059-H1059)</f>
        <v>-</v>
      </c>
      <c r="J1059" s="4" t="str">
        <f>IFERROR(IF(G1059&gt;0, H1059/G1059, 0),"-")</f>
        <v>-</v>
      </c>
      <c r="K1059" s="34" t="s">
        <v>959</v>
      </c>
      <c r="L1059" s="35" t="s">
        <v>959</v>
      </c>
      <c r="M1059" s="34" t="str">
        <f>IF(OR(L1059="-",L1059="",L1059=0),IF(K1059="-","-",K1059),K1059-L1059)</f>
        <v>-</v>
      </c>
      <c r="N1059" s="4" t="str">
        <f>IFERROR(IF(K1059&gt;0, L1059/K1059, 0),"-")</f>
        <v>-</v>
      </c>
      <c r="O1059" s="34" t="s">
        <v>959</v>
      </c>
      <c r="P1059" s="35" t="s">
        <v>959</v>
      </c>
      <c r="Q1059" s="34" t="str">
        <f>IF(OR(P1059="-",P1059="",P1059=0),IF(O1059="-","-",O1059),O1059-P1059)</f>
        <v>-</v>
      </c>
      <c r="R1059" s="4" t="str">
        <f>IFERROR(IF(O1059&gt;0, P1059/O1059, 0),"-")</f>
        <v>-</v>
      </c>
      <c r="S1059" s="34" t="s">
        <v>959</v>
      </c>
      <c r="T1059" s="34" t="s">
        <v>959</v>
      </c>
      <c r="U1059" s="34" t="s">
        <v>959</v>
      </c>
      <c r="V1059" s="35" t="s">
        <v>959</v>
      </c>
      <c r="W1059" s="35" t="s">
        <v>959</v>
      </c>
    </row>
    <row r="1060" spans="1:23" x14ac:dyDescent="0.2">
      <c r="A1060" s="30" t="s">
        <v>460</v>
      </c>
      <c r="B1060" s="30" t="s">
        <v>1674</v>
      </c>
      <c r="C1060" s="34">
        <v>56</v>
      </c>
      <c r="D1060" s="35">
        <v>54</v>
      </c>
      <c r="E1060" s="34">
        <f>IF(OR(D1060="-",D1060="",D1060=0),IF(C1060="-","-",C1060),C1060-D1060)</f>
        <v>2</v>
      </c>
      <c r="F1060" s="4">
        <f>IFERROR(IF(C1060&gt;0, D1060/C1060, 0),"-")</f>
        <v>0.9642857142857143</v>
      </c>
      <c r="G1060" s="34" t="s">
        <v>959</v>
      </c>
      <c r="H1060" s="35" t="s">
        <v>959</v>
      </c>
      <c r="I1060" s="34" t="str">
        <f>IF(OR(H1060="-",H1060="",H1060=0),IF(G1060="-","-",G1060),G1060-H1060)</f>
        <v>-</v>
      </c>
      <c r="J1060" s="4" t="str">
        <f>IFERROR(IF(G1060&gt;0, H1060/G1060, 0),"-")</f>
        <v>-</v>
      </c>
      <c r="K1060" s="34" t="s">
        <v>959</v>
      </c>
      <c r="L1060" s="35" t="s">
        <v>959</v>
      </c>
      <c r="M1060" s="34" t="str">
        <f>IF(OR(L1060="-",L1060="",L1060=0),IF(K1060="-","-",K1060),K1060-L1060)</f>
        <v>-</v>
      </c>
      <c r="N1060" s="4" t="str">
        <f>IFERROR(IF(K1060&gt;0, L1060/K1060, 0),"-")</f>
        <v>-</v>
      </c>
      <c r="O1060" s="34" t="s">
        <v>959</v>
      </c>
      <c r="P1060" s="35" t="s">
        <v>959</v>
      </c>
      <c r="Q1060" s="34" t="str">
        <f>IF(OR(P1060="-",P1060="",P1060=0),IF(O1060="-","-",O1060),O1060-P1060)</f>
        <v>-</v>
      </c>
      <c r="R1060" s="4" t="str">
        <f>IFERROR(IF(O1060&gt;0, P1060/O1060, 0),"-")</f>
        <v>-</v>
      </c>
      <c r="S1060" s="34">
        <v>1</v>
      </c>
      <c r="T1060" s="34" t="s">
        <v>959</v>
      </c>
      <c r="U1060" s="34" t="s">
        <v>959</v>
      </c>
      <c r="V1060" s="35" t="s">
        <v>959</v>
      </c>
      <c r="W1060" s="35" t="s">
        <v>959</v>
      </c>
    </row>
    <row r="1061" spans="1:23" x14ac:dyDescent="0.2">
      <c r="A1061" s="29"/>
      <c r="B1061" s="29" t="s">
        <v>63</v>
      </c>
      <c r="C1061" s="32">
        <v>482</v>
      </c>
      <c r="D1061" s="32">
        <v>472</v>
      </c>
      <c r="E1061" s="32">
        <f>IF(OR(D1061="-",D1061="",D1061=0),IF(C1061="-","-",C1061),C1061-D1061)</f>
        <v>10</v>
      </c>
      <c r="F1061" s="36">
        <f>IFERROR(IF(C1061&gt;0, D1061/C1061, 0),"-")</f>
        <v>0.97925311203319498</v>
      </c>
      <c r="G1061" s="32">
        <v>5</v>
      </c>
      <c r="H1061" s="32" t="s">
        <v>959</v>
      </c>
      <c r="I1061" s="32">
        <f>IF(OR(H1061="-",H1061="",H1061=0),IF(G1061="-","-",G1061),G1061-H1061)</f>
        <v>5</v>
      </c>
      <c r="J1061" s="36" t="str">
        <f>IFERROR(IF(G1061&gt;0, H1061/G1061, 0),"-")</f>
        <v>-</v>
      </c>
      <c r="K1061" s="32">
        <v>2</v>
      </c>
      <c r="L1061" s="32" t="s">
        <v>959</v>
      </c>
      <c r="M1061" s="32">
        <f>IF(OR(L1061="-",L1061="",L1061=0),IF(K1061="-","-",K1061),K1061-L1061)</f>
        <v>2</v>
      </c>
      <c r="N1061" s="36" t="str">
        <f>IFERROR(IF(K1061&gt;0, L1061/K1061, 0),"-")</f>
        <v>-</v>
      </c>
      <c r="O1061" s="32" t="s">
        <v>959</v>
      </c>
      <c r="P1061" s="32" t="s">
        <v>959</v>
      </c>
      <c r="Q1061" s="32" t="str">
        <f>IF(OR(P1061="-",P1061="",P1061=0),IF(O1061="-","-",O1061),O1061-P1061)</f>
        <v>-</v>
      </c>
      <c r="R1061" s="36" t="str">
        <f>IFERROR(IF(O1061&gt;0, P1061/O1061, 0),"-")</f>
        <v>-</v>
      </c>
      <c r="S1061" s="32">
        <v>5</v>
      </c>
      <c r="T1061" s="32">
        <v>1</v>
      </c>
      <c r="U1061" s="32">
        <v>8080</v>
      </c>
      <c r="V1061" s="32" t="s">
        <v>959</v>
      </c>
      <c r="W1061" s="32" t="s">
        <v>959</v>
      </c>
    </row>
    <row r="1062" spans="1:23" x14ac:dyDescent="0.2">
      <c r="A1062" s="30" t="s">
        <v>399</v>
      </c>
      <c r="B1062" s="30" t="s">
        <v>1675</v>
      </c>
      <c r="C1062" s="34">
        <v>54</v>
      </c>
      <c r="D1062" s="35">
        <v>53</v>
      </c>
      <c r="E1062" s="34">
        <f>IF(OR(D1062="-",D1062="",D1062=0),IF(C1062="-","-",C1062),C1062-D1062)</f>
        <v>1</v>
      </c>
      <c r="F1062" s="4">
        <f>IFERROR(IF(C1062&gt;0, D1062/C1062, 0),"-")</f>
        <v>0.98148148148148151</v>
      </c>
      <c r="G1062" s="34" t="s">
        <v>959</v>
      </c>
      <c r="H1062" s="35" t="s">
        <v>959</v>
      </c>
      <c r="I1062" s="34" t="str">
        <f>IF(OR(H1062="-",H1062="",H1062=0),IF(G1062="-","-",G1062),G1062-H1062)</f>
        <v>-</v>
      </c>
      <c r="J1062" s="4" t="str">
        <f>IFERROR(IF(G1062&gt;0, H1062/G1062, 0),"-")</f>
        <v>-</v>
      </c>
      <c r="K1062" s="34" t="s">
        <v>959</v>
      </c>
      <c r="L1062" s="35" t="s">
        <v>959</v>
      </c>
      <c r="M1062" s="34" t="str">
        <f>IF(OR(L1062="-",L1062="",L1062=0),IF(K1062="-","-",K1062),K1062-L1062)</f>
        <v>-</v>
      </c>
      <c r="N1062" s="4" t="str">
        <f>IFERROR(IF(K1062&gt;0, L1062/K1062, 0),"-")</f>
        <v>-</v>
      </c>
      <c r="O1062" s="34" t="s">
        <v>959</v>
      </c>
      <c r="P1062" s="35" t="s">
        <v>959</v>
      </c>
      <c r="Q1062" s="34" t="str">
        <f>IF(OR(P1062="-",P1062="",P1062=0),IF(O1062="-","-",O1062),O1062-P1062)</f>
        <v>-</v>
      </c>
      <c r="R1062" s="4" t="str">
        <f>IFERROR(IF(O1062&gt;0, P1062/O1062, 0),"-")</f>
        <v>-</v>
      </c>
      <c r="S1062" s="34">
        <v>1</v>
      </c>
      <c r="T1062" s="34" t="s">
        <v>959</v>
      </c>
      <c r="U1062" s="34" t="s">
        <v>959</v>
      </c>
      <c r="V1062" s="35" t="s">
        <v>959</v>
      </c>
      <c r="W1062" s="35" t="s">
        <v>959</v>
      </c>
    </row>
    <row r="1063" spans="1:23" x14ac:dyDescent="0.2">
      <c r="A1063" s="30" t="s">
        <v>407</v>
      </c>
      <c r="B1063" s="30" t="s">
        <v>989</v>
      </c>
      <c r="C1063" s="34">
        <v>8</v>
      </c>
      <c r="D1063" s="35">
        <v>8</v>
      </c>
      <c r="E1063" s="34">
        <f>IF(OR(D1063="-",D1063="",D1063=0),IF(C1063="-","-",C1063),C1063-D1063)</f>
        <v>0</v>
      </c>
      <c r="F1063" s="4">
        <f>IFERROR(IF(C1063&gt;0, D1063/C1063, 0),"-")</f>
        <v>1</v>
      </c>
      <c r="G1063" s="34" t="s">
        <v>959</v>
      </c>
      <c r="H1063" s="35" t="s">
        <v>959</v>
      </c>
      <c r="I1063" s="34" t="str">
        <f>IF(OR(H1063="-",H1063="",H1063=0),IF(G1063="-","-",G1063),G1063-H1063)</f>
        <v>-</v>
      </c>
      <c r="J1063" s="4" t="str">
        <f>IFERROR(IF(G1063&gt;0, H1063/G1063, 0),"-")</f>
        <v>-</v>
      </c>
      <c r="K1063" s="34" t="s">
        <v>959</v>
      </c>
      <c r="L1063" s="35" t="s">
        <v>959</v>
      </c>
      <c r="M1063" s="34" t="str">
        <f>IF(OR(L1063="-",L1063="",L1063=0),IF(K1063="-","-",K1063),K1063-L1063)</f>
        <v>-</v>
      </c>
      <c r="N1063" s="4" t="str">
        <f>IFERROR(IF(K1063&gt;0, L1063/K1063, 0),"-")</f>
        <v>-</v>
      </c>
      <c r="O1063" s="34" t="s">
        <v>959</v>
      </c>
      <c r="P1063" s="35" t="s">
        <v>959</v>
      </c>
      <c r="Q1063" s="34" t="str">
        <f>IF(OR(P1063="-",P1063="",P1063=0),IF(O1063="-","-",O1063),O1063-P1063)</f>
        <v>-</v>
      </c>
      <c r="R1063" s="4" t="str">
        <f>IFERROR(IF(O1063&gt;0, P1063/O1063, 0),"-")</f>
        <v>-</v>
      </c>
      <c r="S1063" s="34" t="s">
        <v>959</v>
      </c>
      <c r="T1063" s="34" t="s">
        <v>959</v>
      </c>
      <c r="U1063" s="34" t="s">
        <v>959</v>
      </c>
      <c r="V1063" s="35" t="s">
        <v>959</v>
      </c>
      <c r="W1063" s="35" t="s">
        <v>959</v>
      </c>
    </row>
    <row r="1064" spans="1:23" x14ac:dyDescent="0.2">
      <c r="A1064" s="30" t="s">
        <v>402</v>
      </c>
      <c r="B1064" s="30" t="s">
        <v>1676</v>
      </c>
      <c r="C1064" s="34">
        <v>38</v>
      </c>
      <c r="D1064" s="35">
        <v>35</v>
      </c>
      <c r="E1064" s="34">
        <f>IF(OR(D1064="-",D1064="",D1064=0),IF(C1064="-","-",C1064),C1064-D1064)</f>
        <v>3</v>
      </c>
      <c r="F1064" s="4">
        <f>IFERROR(IF(C1064&gt;0, D1064/C1064, 0),"-")</f>
        <v>0.92105263157894735</v>
      </c>
      <c r="G1064" s="34">
        <v>1</v>
      </c>
      <c r="H1064" s="35" t="s">
        <v>959</v>
      </c>
      <c r="I1064" s="34">
        <f>IF(OR(H1064="-",H1064="",H1064=0),IF(G1064="-","-",G1064),G1064-H1064)</f>
        <v>1</v>
      </c>
      <c r="J1064" s="4" t="str">
        <f>IFERROR(IF(G1064&gt;0, H1064/G1064, 0),"-")</f>
        <v>-</v>
      </c>
      <c r="K1064" s="34" t="s">
        <v>959</v>
      </c>
      <c r="L1064" s="35" t="s">
        <v>959</v>
      </c>
      <c r="M1064" s="34" t="str">
        <f>IF(OR(L1064="-",L1064="",L1064=0),IF(K1064="-","-",K1064),K1064-L1064)</f>
        <v>-</v>
      </c>
      <c r="N1064" s="4" t="str">
        <f>IFERROR(IF(K1064&gt;0, L1064/K1064, 0),"-")</f>
        <v>-</v>
      </c>
      <c r="O1064" s="34" t="s">
        <v>959</v>
      </c>
      <c r="P1064" s="35" t="s">
        <v>959</v>
      </c>
      <c r="Q1064" s="34" t="str">
        <f>IF(OR(P1064="-",P1064="",P1064=0),IF(O1064="-","-",O1064),O1064-P1064)</f>
        <v>-</v>
      </c>
      <c r="R1064" s="4" t="str">
        <f>IFERROR(IF(O1064&gt;0, P1064/O1064, 0),"-")</f>
        <v>-</v>
      </c>
      <c r="S1064" s="34" t="s">
        <v>959</v>
      </c>
      <c r="T1064" s="34" t="s">
        <v>959</v>
      </c>
      <c r="U1064" s="34" t="s">
        <v>959</v>
      </c>
      <c r="V1064" s="35" t="s">
        <v>959</v>
      </c>
      <c r="W1064" s="35" t="s">
        <v>959</v>
      </c>
    </row>
    <row r="1065" spans="1:23" x14ac:dyDescent="0.2">
      <c r="A1065" s="30" t="s">
        <v>406</v>
      </c>
      <c r="B1065" s="30" t="s">
        <v>1677</v>
      </c>
      <c r="C1065" s="34">
        <v>50</v>
      </c>
      <c r="D1065" s="35">
        <v>49</v>
      </c>
      <c r="E1065" s="34">
        <f>IF(OR(D1065="-",D1065="",D1065=0),IF(C1065="-","-",C1065),C1065-D1065)</f>
        <v>1</v>
      </c>
      <c r="F1065" s="4">
        <f>IFERROR(IF(C1065&gt;0, D1065/C1065, 0),"-")</f>
        <v>0.98</v>
      </c>
      <c r="G1065" s="34">
        <v>1</v>
      </c>
      <c r="H1065" s="35" t="s">
        <v>959</v>
      </c>
      <c r="I1065" s="34">
        <f>IF(OR(H1065="-",H1065="",H1065=0),IF(G1065="-","-",G1065),G1065-H1065)</f>
        <v>1</v>
      </c>
      <c r="J1065" s="4" t="str">
        <f>IFERROR(IF(G1065&gt;0, H1065/G1065, 0),"-")</f>
        <v>-</v>
      </c>
      <c r="K1065" s="34">
        <v>2</v>
      </c>
      <c r="L1065" s="35" t="s">
        <v>959</v>
      </c>
      <c r="M1065" s="34">
        <f>IF(OR(L1065="-",L1065="",L1065=0),IF(K1065="-","-",K1065),K1065-L1065)</f>
        <v>2</v>
      </c>
      <c r="N1065" s="4" t="str">
        <f>IFERROR(IF(K1065&gt;0, L1065/K1065, 0),"-")</f>
        <v>-</v>
      </c>
      <c r="O1065" s="34" t="s">
        <v>959</v>
      </c>
      <c r="P1065" s="35" t="s">
        <v>959</v>
      </c>
      <c r="Q1065" s="34" t="str">
        <f>IF(OR(P1065="-",P1065="",P1065=0),IF(O1065="-","-",O1065),O1065-P1065)</f>
        <v>-</v>
      </c>
      <c r="R1065" s="4" t="str">
        <f>IFERROR(IF(O1065&gt;0, P1065/O1065, 0),"-")</f>
        <v>-</v>
      </c>
      <c r="S1065" s="34" t="s">
        <v>959</v>
      </c>
      <c r="T1065" s="34" t="s">
        <v>959</v>
      </c>
      <c r="U1065" s="34" t="s">
        <v>959</v>
      </c>
      <c r="V1065" s="35" t="s">
        <v>959</v>
      </c>
      <c r="W1065" s="35" t="s">
        <v>959</v>
      </c>
    </row>
    <row r="1066" spans="1:23" x14ac:dyDescent="0.2">
      <c r="A1066" s="30" t="s">
        <v>403</v>
      </c>
      <c r="B1066" s="30" t="s">
        <v>1678</v>
      </c>
      <c r="C1066" s="34">
        <v>42</v>
      </c>
      <c r="D1066" s="35">
        <v>42</v>
      </c>
      <c r="E1066" s="34">
        <f>IF(OR(D1066="-",D1066="",D1066=0),IF(C1066="-","-",C1066),C1066-D1066)</f>
        <v>0</v>
      </c>
      <c r="F1066" s="4">
        <f>IFERROR(IF(C1066&gt;0, D1066/C1066, 0),"-")</f>
        <v>1</v>
      </c>
      <c r="G1066" s="34" t="s">
        <v>959</v>
      </c>
      <c r="H1066" s="35" t="s">
        <v>959</v>
      </c>
      <c r="I1066" s="34" t="str">
        <f>IF(OR(H1066="-",H1066="",H1066=0),IF(G1066="-","-",G1066),G1066-H1066)</f>
        <v>-</v>
      </c>
      <c r="J1066" s="4" t="str">
        <f>IFERROR(IF(G1066&gt;0, H1066/G1066, 0),"-")</f>
        <v>-</v>
      </c>
      <c r="K1066" s="34" t="s">
        <v>959</v>
      </c>
      <c r="L1066" s="35" t="s">
        <v>959</v>
      </c>
      <c r="M1066" s="34" t="str">
        <f>IF(OR(L1066="-",L1066="",L1066=0),IF(K1066="-","-",K1066),K1066-L1066)</f>
        <v>-</v>
      </c>
      <c r="N1066" s="4" t="str">
        <f>IFERROR(IF(K1066&gt;0, L1066/K1066, 0),"-")</f>
        <v>-</v>
      </c>
      <c r="O1066" s="34" t="s">
        <v>959</v>
      </c>
      <c r="P1066" s="35" t="s">
        <v>959</v>
      </c>
      <c r="Q1066" s="34" t="str">
        <f>IF(OR(P1066="-",P1066="",P1066=0),IF(O1066="-","-",O1066),O1066-P1066)</f>
        <v>-</v>
      </c>
      <c r="R1066" s="4" t="str">
        <f>IFERROR(IF(O1066&gt;0, P1066/O1066, 0),"-")</f>
        <v>-</v>
      </c>
      <c r="S1066" s="34">
        <v>1</v>
      </c>
      <c r="T1066" s="34">
        <v>1</v>
      </c>
      <c r="U1066" s="34">
        <v>8080</v>
      </c>
      <c r="V1066" s="35" t="s">
        <v>959</v>
      </c>
      <c r="W1066" s="35" t="s">
        <v>959</v>
      </c>
    </row>
    <row r="1067" spans="1:23" x14ac:dyDescent="0.2">
      <c r="A1067" s="30" t="s">
        <v>408</v>
      </c>
      <c r="B1067" s="30" t="s">
        <v>1679</v>
      </c>
      <c r="C1067" s="34">
        <v>29</v>
      </c>
      <c r="D1067" s="35">
        <v>26</v>
      </c>
      <c r="E1067" s="34">
        <f>IF(OR(D1067="-",D1067="",D1067=0),IF(C1067="-","-",C1067),C1067-D1067)</f>
        <v>3</v>
      </c>
      <c r="F1067" s="4">
        <f>IFERROR(IF(C1067&gt;0, D1067/C1067, 0),"-")</f>
        <v>0.89655172413793105</v>
      </c>
      <c r="G1067" s="34">
        <v>1</v>
      </c>
      <c r="H1067" s="35" t="s">
        <v>959</v>
      </c>
      <c r="I1067" s="34">
        <f>IF(OR(H1067="-",H1067="",H1067=0),IF(G1067="-","-",G1067),G1067-H1067)</f>
        <v>1</v>
      </c>
      <c r="J1067" s="4" t="str">
        <f>IFERROR(IF(G1067&gt;0, H1067/G1067, 0),"-")</f>
        <v>-</v>
      </c>
      <c r="K1067" s="34" t="s">
        <v>959</v>
      </c>
      <c r="L1067" s="35" t="s">
        <v>959</v>
      </c>
      <c r="M1067" s="34" t="str">
        <f>IF(OR(L1067="-",L1067="",L1067=0),IF(K1067="-","-",K1067),K1067-L1067)</f>
        <v>-</v>
      </c>
      <c r="N1067" s="4" t="str">
        <f>IFERROR(IF(K1067&gt;0, L1067/K1067, 0),"-")</f>
        <v>-</v>
      </c>
      <c r="O1067" s="34" t="s">
        <v>959</v>
      </c>
      <c r="P1067" s="35" t="s">
        <v>959</v>
      </c>
      <c r="Q1067" s="34" t="str">
        <f>IF(OR(P1067="-",P1067="",P1067=0),IF(O1067="-","-",O1067),O1067-P1067)</f>
        <v>-</v>
      </c>
      <c r="R1067" s="4" t="str">
        <f>IFERROR(IF(O1067&gt;0, P1067/O1067, 0),"-")</f>
        <v>-</v>
      </c>
      <c r="S1067" s="34" t="s">
        <v>959</v>
      </c>
      <c r="T1067" s="34" t="s">
        <v>959</v>
      </c>
      <c r="U1067" s="34" t="s">
        <v>959</v>
      </c>
      <c r="V1067" s="35" t="s">
        <v>959</v>
      </c>
      <c r="W1067" s="35" t="s">
        <v>959</v>
      </c>
    </row>
    <row r="1068" spans="1:23" x14ac:dyDescent="0.2">
      <c r="A1068" s="30" t="s">
        <v>404</v>
      </c>
      <c r="B1068" s="30" t="s">
        <v>1680</v>
      </c>
      <c r="C1068" s="34">
        <v>49</v>
      </c>
      <c r="D1068" s="35">
        <v>49</v>
      </c>
      <c r="E1068" s="34">
        <f>IF(OR(D1068="-",D1068="",D1068=0),IF(C1068="-","-",C1068),C1068-D1068)</f>
        <v>0</v>
      </c>
      <c r="F1068" s="4">
        <f>IFERROR(IF(C1068&gt;0, D1068/C1068, 0),"-")</f>
        <v>1</v>
      </c>
      <c r="G1068" s="34">
        <v>1</v>
      </c>
      <c r="H1068" s="35" t="s">
        <v>959</v>
      </c>
      <c r="I1068" s="34">
        <f>IF(OR(H1068="-",H1068="",H1068=0),IF(G1068="-","-",G1068),G1068-H1068)</f>
        <v>1</v>
      </c>
      <c r="J1068" s="4" t="str">
        <f>IFERROR(IF(G1068&gt;0, H1068/G1068, 0),"-")</f>
        <v>-</v>
      </c>
      <c r="K1068" s="34" t="s">
        <v>959</v>
      </c>
      <c r="L1068" s="35" t="s">
        <v>959</v>
      </c>
      <c r="M1068" s="34" t="str">
        <f>IF(OR(L1068="-",L1068="",L1068=0),IF(K1068="-","-",K1068),K1068-L1068)</f>
        <v>-</v>
      </c>
      <c r="N1068" s="4" t="str">
        <f>IFERROR(IF(K1068&gt;0, L1068/K1068, 0),"-")</f>
        <v>-</v>
      </c>
      <c r="O1068" s="34" t="s">
        <v>959</v>
      </c>
      <c r="P1068" s="35" t="s">
        <v>959</v>
      </c>
      <c r="Q1068" s="34" t="str">
        <f>IF(OR(P1068="-",P1068="",P1068=0),IF(O1068="-","-",O1068),O1068-P1068)</f>
        <v>-</v>
      </c>
      <c r="R1068" s="4" t="str">
        <f>IFERROR(IF(O1068&gt;0, P1068/O1068, 0),"-")</f>
        <v>-</v>
      </c>
      <c r="S1068" s="34" t="s">
        <v>959</v>
      </c>
      <c r="T1068" s="34" t="s">
        <v>959</v>
      </c>
      <c r="U1068" s="34" t="s">
        <v>959</v>
      </c>
      <c r="V1068" s="35" t="s">
        <v>959</v>
      </c>
      <c r="W1068" s="35" t="s">
        <v>959</v>
      </c>
    </row>
    <row r="1069" spans="1:23" x14ac:dyDescent="0.2">
      <c r="A1069" s="30" t="s">
        <v>400</v>
      </c>
      <c r="B1069" s="30" t="s">
        <v>1681</v>
      </c>
      <c r="C1069" s="34">
        <v>78</v>
      </c>
      <c r="D1069" s="35">
        <v>77</v>
      </c>
      <c r="E1069" s="34">
        <f>IF(OR(D1069="-",D1069="",D1069=0),IF(C1069="-","-",C1069),C1069-D1069)</f>
        <v>1</v>
      </c>
      <c r="F1069" s="4">
        <f>IFERROR(IF(C1069&gt;0, D1069/C1069, 0),"-")</f>
        <v>0.98717948717948723</v>
      </c>
      <c r="G1069" s="34" t="s">
        <v>959</v>
      </c>
      <c r="H1069" s="35" t="s">
        <v>959</v>
      </c>
      <c r="I1069" s="34" t="str">
        <f>IF(OR(H1069="-",H1069="",H1069=0),IF(G1069="-","-",G1069),G1069-H1069)</f>
        <v>-</v>
      </c>
      <c r="J1069" s="4" t="str">
        <f>IFERROR(IF(G1069&gt;0, H1069/G1069, 0),"-")</f>
        <v>-</v>
      </c>
      <c r="K1069" s="34" t="s">
        <v>959</v>
      </c>
      <c r="L1069" s="35" t="s">
        <v>959</v>
      </c>
      <c r="M1069" s="34" t="str">
        <f>IF(OR(L1069="-",L1069="",L1069=0),IF(K1069="-","-",K1069),K1069-L1069)</f>
        <v>-</v>
      </c>
      <c r="N1069" s="4" t="str">
        <f>IFERROR(IF(K1069&gt;0, L1069/K1069, 0),"-")</f>
        <v>-</v>
      </c>
      <c r="O1069" s="34" t="s">
        <v>959</v>
      </c>
      <c r="P1069" s="35" t="s">
        <v>959</v>
      </c>
      <c r="Q1069" s="34" t="str">
        <f>IF(OR(P1069="-",P1069="",P1069=0),IF(O1069="-","-",O1069),O1069-P1069)</f>
        <v>-</v>
      </c>
      <c r="R1069" s="4" t="str">
        <f>IFERROR(IF(O1069&gt;0, P1069/O1069, 0),"-")</f>
        <v>-</v>
      </c>
      <c r="S1069" s="34">
        <v>1</v>
      </c>
      <c r="T1069" s="34" t="s">
        <v>959</v>
      </c>
      <c r="U1069" s="34" t="s">
        <v>959</v>
      </c>
      <c r="V1069" s="35" t="s">
        <v>959</v>
      </c>
      <c r="W1069" s="35" t="s">
        <v>959</v>
      </c>
    </row>
    <row r="1070" spans="1:23" x14ac:dyDescent="0.2">
      <c r="A1070" s="30" t="s">
        <v>405</v>
      </c>
      <c r="B1070" s="30" t="s">
        <v>1682</v>
      </c>
      <c r="C1070" s="34">
        <v>59</v>
      </c>
      <c r="D1070" s="35">
        <v>59</v>
      </c>
      <c r="E1070" s="34">
        <f>IF(OR(D1070="-",D1070="",D1070=0),IF(C1070="-","-",C1070),C1070-D1070)</f>
        <v>0</v>
      </c>
      <c r="F1070" s="4">
        <f>IFERROR(IF(C1070&gt;0, D1070/C1070, 0),"-")</f>
        <v>1</v>
      </c>
      <c r="G1070" s="34" t="s">
        <v>959</v>
      </c>
      <c r="H1070" s="35" t="s">
        <v>959</v>
      </c>
      <c r="I1070" s="34" t="str">
        <f>IF(OR(H1070="-",H1070="",H1070=0),IF(G1070="-","-",G1070),G1070-H1070)</f>
        <v>-</v>
      </c>
      <c r="J1070" s="4" t="str">
        <f>IFERROR(IF(G1070&gt;0, H1070/G1070, 0),"-")</f>
        <v>-</v>
      </c>
      <c r="K1070" s="34" t="s">
        <v>959</v>
      </c>
      <c r="L1070" s="35" t="s">
        <v>959</v>
      </c>
      <c r="M1070" s="34" t="str">
        <f>IF(OR(L1070="-",L1070="",L1070=0),IF(K1070="-","-",K1070),K1070-L1070)</f>
        <v>-</v>
      </c>
      <c r="N1070" s="4" t="str">
        <f>IFERROR(IF(K1070&gt;0, L1070/K1070, 0),"-")</f>
        <v>-</v>
      </c>
      <c r="O1070" s="34" t="s">
        <v>959</v>
      </c>
      <c r="P1070" s="35" t="s">
        <v>959</v>
      </c>
      <c r="Q1070" s="34" t="str">
        <f>IF(OR(P1070="-",P1070="",P1070=0),IF(O1070="-","-",O1070),O1070-P1070)</f>
        <v>-</v>
      </c>
      <c r="R1070" s="4" t="str">
        <f>IFERROR(IF(O1070&gt;0, P1070/O1070, 0),"-")</f>
        <v>-</v>
      </c>
      <c r="S1070" s="34">
        <v>2</v>
      </c>
      <c r="T1070" s="34" t="s">
        <v>959</v>
      </c>
      <c r="U1070" s="34" t="s">
        <v>959</v>
      </c>
      <c r="V1070" s="35" t="s">
        <v>959</v>
      </c>
      <c r="W1070" s="35" t="s">
        <v>959</v>
      </c>
    </row>
    <row r="1071" spans="1:23" x14ac:dyDescent="0.2">
      <c r="A1071" s="30" t="s">
        <v>401</v>
      </c>
      <c r="B1071" s="30" t="s">
        <v>1683</v>
      </c>
      <c r="C1071" s="34">
        <v>75</v>
      </c>
      <c r="D1071" s="35">
        <v>74</v>
      </c>
      <c r="E1071" s="34">
        <f>IF(OR(D1071="-",D1071="",D1071=0),IF(C1071="-","-",C1071),C1071-D1071)</f>
        <v>1</v>
      </c>
      <c r="F1071" s="4">
        <f>IFERROR(IF(C1071&gt;0, D1071/C1071, 0),"-")</f>
        <v>0.98666666666666669</v>
      </c>
      <c r="G1071" s="34">
        <v>1</v>
      </c>
      <c r="H1071" s="35" t="s">
        <v>959</v>
      </c>
      <c r="I1071" s="34">
        <f>IF(OR(H1071="-",H1071="",H1071=0),IF(G1071="-","-",G1071),G1071-H1071)</f>
        <v>1</v>
      </c>
      <c r="J1071" s="4" t="str">
        <f>IFERROR(IF(G1071&gt;0, H1071/G1071, 0),"-")</f>
        <v>-</v>
      </c>
      <c r="K1071" s="34" t="s">
        <v>959</v>
      </c>
      <c r="L1071" s="35" t="s">
        <v>959</v>
      </c>
      <c r="M1071" s="34" t="str">
        <f>IF(OR(L1071="-",L1071="",L1071=0),IF(K1071="-","-",K1071),K1071-L1071)</f>
        <v>-</v>
      </c>
      <c r="N1071" s="4" t="str">
        <f>IFERROR(IF(K1071&gt;0, L1071/K1071, 0),"-")</f>
        <v>-</v>
      </c>
      <c r="O1071" s="34" t="s">
        <v>959</v>
      </c>
      <c r="P1071" s="35" t="s">
        <v>959</v>
      </c>
      <c r="Q1071" s="34" t="str">
        <f>IF(OR(P1071="-",P1071="",P1071=0),IF(O1071="-","-",O1071),O1071-P1071)</f>
        <v>-</v>
      </c>
      <c r="R1071" s="4" t="str">
        <f>IFERROR(IF(O1071&gt;0, P1071/O1071, 0),"-")</f>
        <v>-</v>
      </c>
      <c r="S1071" s="34" t="s">
        <v>959</v>
      </c>
      <c r="T1071" s="34" t="s">
        <v>959</v>
      </c>
      <c r="U1071" s="34" t="s">
        <v>959</v>
      </c>
      <c r="V1071" s="35" t="s">
        <v>959</v>
      </c>
      <c r="W1071" s="35" t="s">
        <v>959</v>
      </c>
    </row>
    <row r="1072" spans="1:23" x14ac:dyDescent="0.2">
      <c r="A1072" s="29"/>
      <c r="B1072" s="29" t="s">
        <v>47</v>
      </c>
      <c r="C1072" s="32">
        <v>563</v>
      </c>
      <c r="D1072" s="32">
        <v>552</v>
      </c>
      <c r="E1072" s="32">
        <f>IF(OR(D1072="-",D1072="",D1072=0),IF(C1072="-","-",C1072),C1072-D1072)</f>
        <v>11</v>
      </c>
      <c r="F1072" s="36">
        <f>IFERROR(IF(C1072&gt;0, D1072/C1072, 0),"-")</f>
        <v>0.98046181172291291</v>
      </c>
      <c r="G1072" s="32">
        <v>4</v>
      </c>
      <c r="H1072" s="32">
        <v>1</v>
      </c>
      <c r="I1072" s="32">
        <f>IF(OR(H1072="-",H1072="",H1072=0),IF(G1072="-","-",G1072),G1072-H1072)</f>
        <v>3</v>
      </c>
      <c r="J1072" s="36">
        <f>IFERROR(IF(G1072&gt;0, H1072/G1072, 0),"-")</f>
        <v>0.25</v>
      </c>
      <c r="K1072" s="32" t="s">
        <v>959</v>
      </c>
      <c r="L1072" s="32" t="s">
        <v>959</v>
      </c>
      <c r="M1072" s="32" t="str">
        <f>IF(OR(L1072="-",L1072="",L1072=0),IF(K1072="-","-",K1072),K1072-L1072)</f>
        <v>-</v>
      </c>
      <c r="N1072" s="36" t="str">
        <f>IFERROR(IF(K1072&gt;0, L1072/K1072, 0),"-")</f>
        <v>-</v>
      </c>
      <c r="O1072" s="32">
        <v>1</v>
      </c>
      <c r="P1072" s="32" t="s">
        <v>959</v>
      </c>
      <c r="Q1072" s="32">
        <f>IF(OR(P1072="-",P1072="",P1072=0),IF(O1072="-","-",O1072),O1072-P1072)</f>
        <v>1</v>
      </c>
      <c r="R1072" s="36" t="str">
        <f>IFERROR(IF(O1072&gt;0, P1072/O1072, 0),"-")</f>
        <v>-</v>
      </c>
      <c r="S1072" s="32">
        <v>2</v>
      </c>
      <c r="T1072" s="32" t="s">
        <v>959</v>
      </c>
      <c r="U1072" s="32" t="s">
        <v>959</v>
      </c>
      <c r="V1072" s="32" t="s">
        <v>959</v>
      </c>
      <c r="W1072" s="32" t="s">
        <v>959</v>
      </c>
    </row>
    <row r="1073" spans="1:23" x14ac:dyDescent="0.2">
      <c r="A1073" s="30" t="s">
        <v>274</v>
      </c>
      <c r="B1073" s="30" t="s">
        <v>1684</v>
      </c>
      <c r="C1073" s="34">
        <v>27</v>
      </c>
      <c r="D1073" s="35">
        <v>26</v>
      </c>
      <c r="E1073" s="34">
        <f>IF(OR(D1073="-",D1073="",D1073=0),IF(C1073="-","-",C1073),C1073-D1073)</f>
        <v>1</v>
      </c>
      <c r="F1073" s="4">
        <f>IFERROR(IF(C1073&gt;0, D1073/C1073, 0),"-")</f>
        <v>0.96296296296296291</v>
      </c>
      <c r="G1073" s="34">
        <v>2</v>
      </c>
      <c r="H1073" s="35" t="s">
        <v>959</v>
      </c>
      <c r="I1073" s="34">
        <f>IF(OR(H1073="-",H1073="",H1073=0),IF(G1073="-","-",G1073),G1073-H1073)</f>
        <v>2</v>
      </c>
      <c r="J1073" s="4" t="str">
        <f>IFERROR(IF(G1073&gt;0, H1073/G1073, 0),"-")</f>
        <v>-</v>
      </c>
      <c r="K1073" s="34" t="s">
        <v>959</v>
      </c>
      <c r="L1073" s="35" t="s">
        <v>959</v>
      </c>
      <c r="M1073" s="34" t="str">
        <f>IF(OR(L1073="-",L1073="",L1073=0),IF(K1073="-","-",K1073),K1073-L1073)</f>
        <v>-</v>
      </c>
      <c r="N1073" s="4" t="str">
        <f>IFERROR(IF(K1073&gt;0, L1073/K1073, 0),"-")</f>
        <v>-</v>
      </c>
      <c r="O1073" s="34">
        <v>1</v>
      </c>
      <c r="P1073" s="35" t="s">
        <v>959</v>
      </c>
      <c r="Q1073" s="34">
        <f>IF(OR(P1073="-",P1073="",P1073=0),IF(O1073="-","-",O1073),O1073-P1073)</f>
        <v>1</v>
      </c>
      <c r="R1073" s="4" t="str">
        <f>IFERROR(IF(O1073&gt;0, P1073/O1073, 0),"-")</f>
        <v>-</v>
      </c>
      <c r="S1073" s="34">
        <v>1</v>
      </c>
      <c r="T1073" s="34" t="s">
        <v>959</v>
      </c>
      <c r="U1073" s="34" t="s">
        <v>959</v>
      </c>
      <c r="V1073" s="35" t="s">
        <v>959</v>
      </c>
      <c r="W1073" s="35" t="s">
        <v>959</v>
      </c>
    </row>
    <row r="1074" spans="1:23" x14ac:dyDescent="0.2">
      <c r="A1074" s="30" t="s">
        <v>260</v>
      </c>
      <c r="B1074" s="30" t="s">
        <v>1685</v>
      </c>
      <c r="C1074" s="34">
        <v>154</v>
      </c>
      <c r="D1074" s="35">
        <v>154</v>
      </c>
      <c r="E1074" s="34">
        <f>IF(OR(D1074="-",D1074="",D1074=0),IF(C1074="-","-",C1074),C1074-D1074)</f>
        <v>0</v>
      </c>
      <c r="F1074" s="4">
        <f>IFERROR(IF(C1074&gt;0, D1074/C1074, 0),"-")</f>
        <v>1</v>
      </c>
      <c r="G1074" s="34">
        <v>1</v>
      </c>
      <c r="H1074" s="35">
        <v>1</v>
      </c>
      <c r="I1074" s="34">
        <f>IF(OR(H1074="-",H1074="",H1074=0),IF(G1074="-","-",G1074),G1074-H1074)</f>
        <v>0</v>
      </c>
      <c r="J1074" s="4">
        <f>IFERROR(IF(G1074&gt;0, H1074/G1074, 0),"-")</f>
        <v>1</v>
      </c>
      <c r="K1074" s="34" t="s">
        <v>959</v>
      </c>
      <c r="L1074" s="35" t="s">
        <v>959</v>
      </c>
      <c r="M1074" s="34" t="str">
        <f>IF(OR(L1074="-",L1074="",L1074=0),IF(K1074="-","-",K1074),K1074-L1074)</f>
        <v>-</v>
      </c>
      <c r="N1074" s="4" t="str">
        <f>IFERROR(IF(K1074&gt;0, L1074/K1074, 0),"-")</f>
        <v>-</v>
      </c>
      <c r="O1074" s="34" t="s">
        <v>959</v>
      </c>
      <c r="P1074" s="35" t="s">
        <v>959</v>
      </c>
      <c r="Q1074" s="34" t="str">
        <f>IF(OR(P1074="-",P1074="",P1074=0),IF(O1074="-","-",O1074),O1074-P1074)</f>
        <v>-</v>
      </c>
      <c r="R1074" s="4" t="str">
        <f>IFERROR(IF(O1074&gt;0, P1074/O1074, 0),"-")</f>
        <v>-</v>
      </c>
      <c r="S1074" s="34">
        <v>1</v>
      </c>
      <c r="T1074" s="34" t="s">
        <v>959</v>
      </c>
      <c r="U1074" s="34" t="s">
        <v>959</v>
      </c>
      <c r="V1074" s="35" t="s">
        <v>959</v>
      </c>
      <c r="W1074" s="35" t="s">
        <v>959</v>
      </c>
    </row>
    <row r="1075" spans="1:23" x14ac:dyDescent="0.2">
      <c r="A1075" s="30" t="s">
        <v>259</v>
      </c>
      <c r="B1075" s="30" t="s">
        <v>1686</v>
      </c>
      <c r="C1075" s="34">
        <v>121</v>
      </c>
      <c r="D1075" s="35">
        <v>119</v>
      </c>
      <c r="E1075" s="34">
        <f>IF(OR(D1075="-",D1075="",D1075=0),IF(C1075="-","-",C1075),C1075-D1075)</f>
        <v>2</v>
      </c>
      <c r="F1075" s="4">
        <f>IFERROR(IF(C1075&gt;0, D1075/C1075, 0),"-")</f>
        <v>0.98347107438016534</v>
      </c>
      <c r="G1075" s="34" t="s">
        <v>959</v>
      </c>
      <c r="H1075" s="35" t="s">
        <v>959</v>
      </c>
      <c r="I1075" s="34" t="str">
        <f>IF(OR(H1075="-",H1075="",H1075=0),IF(G1075="-","-",G1075),G1075-H1075)</f>
        <v>-</v>
      </c>
      <c r="J1075" s="4" t="str">
        <f>IFERROR(IF(G1075&gt;0, H1075/G1075, 0),"-")</f>
        <v>-</v>
      </c>
      <c r="K1075" s="34" t="s">
        <v>959</v>
      </c>
      <c r="L1075" s="35" t="s">
        <v>959</v>
      </c>
      <c r="M1075" s="34" t="str">
        <f>IF(OR(L1075="-",L1075="",L1075=0),IF(K1075="-","-",K1075),K1075-L1075)</f>
        <v>-</v>
      </c>
      <c r="N1075" s="4" t="str">
        <f>IFERROR(IF(K1075&gt;0, L1075/K1075, 0),"-")</f>
        <v>-</v>
      </c>
      <c r="O1075" s="34" t="s">
        <v>959</v>
      </c>
      <c r="P1075" s="35" t="s">
        <v>959</v>
      </c>
      <c r="Q1075" s="34" t="str">
        <f>IF(OR(P1075="-",P1075="",P1075=0),IF(O1075="-","-",O1075),O1075-P1075)</f>
        <v>-</v>
      </c>
      <c r="R1075" s="4" t="str">
        <f>IFERROR(IF(O1075&gt;0, P1075/O1075, 0),"-")</f>
        <v>-</v>
      </c>
      <c r="S1075" s="34" t="s">
        <v>959</v>
      </c>
      <c r="T1075" s="34" t="s">
        <v>959</v>
      </c>
      <c r="U1075" s="34" t="s">
        <v>959</v>
      </c>
      <c r="V1075" s="35" t="s">
        <v>959</v>
      </c>
      <c r="W1075" s="35" t="s">
        <v>959</v>
      </c>
    </row>
    <row r="1076" spans="1:23" x14ac:dyDescent="0.2">
      <c r="A1076" s="30" t="s">
        <v>257</v>
      </c>
      <c r="B1076" s="30" t="s">
        <v>1687</v>
      </c>
      <c r="C1076" s="34">
        <v>60</v>
      </c>
      <c r="D1076" s="35">
        <v>59</v>
      </c>
      <c r="E1076" s="34">
        <f>IF(OR(D1076="-",D1076="",D1076=0),IF(C1076="-","-",C1076),C1076-D1076)</f>
        <v>1</v>
      </c>
      <c r="F1076" s="4">
        <f>IFERROR(IF(C1076&gt;0, D1076/C1076, 0),"-")</f>
        <v>0.98333333333333328</v>
      </c>
      <c r="G1076" s="34" t="s">
        <v>959</v>
      </c>
      <c r="H1076" s="35" t="s">
        <v>959</v>
      </c>
      <c r="I1076" s="34" t="str">
        <f>IF(OR(H1076="-",H1076="",H1076=0),IF(G1076="-","-",G1076),G1076-H1076)</f>
        <v>-</v>
      </c>
      <c r="J1076" s="4" t="str">
        <f>IFERROR(IF(G1076&gt;0, H1076/G1076, 0),"-")</f>
        <v>-</v>
      </c>
      <c r="K1076" s="34" t="s">
        <v>959</v>
      </c>
      <c r="L1076" s="35" t="s">
        <v>959</v>
      </c>
      <c r="M1076" s="34" t="str">
        <f>IF(OR(L1076="-",L1076="",L1076=0),IF(K1076="-","-",K1076),K1076-L1076)</f>
        <v>-</v>
      </c>
      <c r="N1076" s="4" t="str">
        <f>IFERROR(IF(K1076&gt;0, L1076/K1076, 0),"-")</f>
        <v>-</v>
      </c>
      <c r="O1076" s="34" t="s">
        <v>959</v>
      </c>
      <c r="P1076" s="35" t="s">
        <v>959</v>
      </c>
      <c r="Q1076" s="34" t="str">
        <f>IF(OR(P1076="-",P1076="",P1076=0),IF(O1076="-","-",O1076),O1076-P1076)</f>
        <v>-</v>
      </c>
      <c r="R1076" s="4" t="str">
        <f>IFERROR(IF(O1076&gt;0, P1076/O1076, 0),"-")</f>
        <v>-</v>
      </c>
      <c r="S1076" s="34" t="s">
        <v>959</v>
      </c>
      <c r="T1076" s="34" t="s">
        <v>959</v>
      </c>
      <c r="U1076" s="34" t="s">
        <v>959</v>
      </c>
      <c r="V1076" s="35" t="s">
        <v>959</v>
      </c>
      <c r="W1076" s="35" t="s">
        <v>959</v>
      </c>
    </row>
    <row r="1077" spans="1:23" x14ac:dyDescent="0.2">
      <c r="A1077" s="30" t="s">
        <v>256</v>
      </c>
      <c r="B1077" s="30" t="s">
        <v>1688</v>
      </c>
      <c r="C1077" s="34">
        <v>66</v>
      </c>
      <c r="D1077" s="35">
        <v>64</v>
      </c>
      <c r="E1077" s="34">
        <f>IF(OR(D1077="-",D1077="",D1077=0),IF(C1077="-","-",C1077),C1077-D1077)</f>
        <v>2</v>
      </c>
      <c r="F1077" s="4">
        <f>IFERROR(IF(C1077&gt;0, D1077/C1077, 0),"-")</f>
        <v>0.96969696969696972</v>
      </c>
      <c r="G1077" s="34" t="s">
        <v>959</v>
      </c>
      <c r="H1077" s="35" t="s">
        <v>959</v>
      </c>
      <c r="I1077" s="34" t="str">
        <f>IF(OR(H1077="-",H1077="",H1077=0),IF(G1077="-","-",G1077),G1077-H1077)</f>
        <v>-</v>
      </c>
      <c r="J1077" s="4" t="str">
        <f>IFERROR(IF(G1077&gt;0, H1077/G1077, 0),"-")</f>
        <v>-</v>
      </c>
      <c r="K1077" s="34" t="s">
        <v>959</v>
      </c>
      <c r="L1077" s="35" t="s">
        <v>959</v>
      </c>
      <c r="M1077" s="34" t="str">
        <f>IF(OR(L1077="-",L1077="",L1077=0),IF(K1077="-","-",K1077),K1077-L1077)</f>
        <v>-</v>
      </c>
      <c r="N1077" s="4" t="str">
        <f>IFERROR(IF(K1077&gt;0, L1077/K1077, 0),"-")</f>
        <v>-</v>
      </c>
      <c r="O1077" s="34" t="s">
        <v>959</v>
      </c>
      <c r="P1077" s="35" t="s">
        <v>959</v>
      </c>
      <c r="Q1077" s="34" t="str">
        <f>IF(OR(P1077="-",P1077="",P1077=0),IF(O1077="-","-",O1077),O1077-P1077)</f>
        <v>-</v>
      </c>
      <c r="R1077" s="4" t="str">
        <f>IFERROR(IF(O1077&gt;0, P1077/O1077, 0),"-")</f>
        <v>-</v>
      </c>
      <c r="S1077" s="34" t="s">
        <v>959</v>
      </c>
      <c r="T1077" s="34" t="s">
        <v>959</v>
      </c>
      <c r="U1077" s="34" t="s">
        <v>959</v>
      </c>
      <c r="V1077" s="35" t="s">
        <v>959</v>
      </c>
      <c r="W1077" s="35" t="s">
        <v>959</v>
      </c>
    </row>
    <row r="1078" spans="1:23" x14ac:dyDescent="0.2">
      <c r="A1078" s="30" t="s">
        <v>258</v>
      </c>
      <c r="B1078" s="30" t="s">
        <v>1689</v>
      </c>
      <c r="C1078" s="34">
        <v>135</v>
      </c>
      <c r="D1078" s="35">
        <v>130</v>
      </c>
      <c r="E1078" s="34">
        <f>IF(OR(D1078="-",D1078="",D1078=0),IF(C1078="-","-",C1078),C1078-D1078)</f>
        <v>5</v>
      </c>
      <c r="F1078" s="4">
        <f>IFERROR(IF(C1078&gt;0, D1078/C1078, 0),"-")</f>
        <v>0.96296296296296291</v>
      </c>
      <c r="G1078" s="34">
        <v>1</v>
      </c>
      <c r="H1078" s="35" t="s">
        <v>959</v>
      </c>
      <c r="I1078" s="34">
        <f>IF(OR(H1078="-",H1078="",H1078=0),IF(G1078="-","-",G1078),G1078-H1078)</f>
        <v>1</v>
      </c>
      <c r="J1078" s="4" t="str">
        <f>IFERROR(IF(G1078&gt;0, H1078/G1078, 0),"-")</f>
        <v>-</v>
      </c>
      <c r="K1078" s="34" t="s">
        <v>959</v>
      </c>
      <c r="L1078" s="35" t="s">
        <v>959</v>
      </c>
      <c r="M1078" s="34" t="str">
        <f>IF(OR(L1078="-",L1078="",L1078=0),IF(K1078="-","-",K1078),K1078-L1078)</f>
        <v>-</v>
      </c>
      <c r="N1078" s="4" t="str">
        <f>IFERROR(IF(K1078&gt;0, L1078/K1078, 0),"-")</f>
        <v>-</v>
      </c>
      <c r="O1078" s="34" t="s">
        <v>959</v>
      </c>
      <c r="P1078" s="35" t="s">
        <v>959</v>
      </c>
      <c r="Q1078" s="34" t="str">
        <f>IF(OR(P1078="-",P1078="",P1078=0),IF(O1078="-","-",O1078),O1078-P1078)</f>
        <v>-</v>
      </c>
      <c r="R1078" s="4" t="str">
        <f>IFERROR(IF(O1078&gt;0, P1078/O1078, 0),"-")</f>
        <v>-</v>
      </c>
      <c r="S1078" s="34" t="s">
        <v>959</v>
      </c>
      <c r="T1078" s="34" t="s">
        <v>959</v>
      </c>
      <c r="U1078" s="34" t="s">
        <v>959</v>
      </c>
      <c r="V1078" s="35" t="s">
        <v>959</v>
      </c>
      <c r="W1078" s="35" t="s">
        <v>959</v>
      </c>
    </row>
    <row r="1079" spans="1:23" x14ac:dyDescent="0.2">
      <c r="A1079" s="29"/>
      <c r="B1079" s="29" t="s">
        <v>71</v>
      </c>
      <c r="C1079" s="32">
        <v>429</v>
      </c>
      <c r="D1079" s="32">
        <v>425</v>
      </c>
      <c r="E1079" s="32">
        <f>IF(OR(D1079="-",D1079="",D1079=0),IF(C1079="-","-",C1079),C1079-D1079)</f>
        <v>4</v>
      </c>
      <c r="F1079" s="36">
        <f>IFERROR(IF(C1079&gt;0, D1079/C1079, 0),"-")</f>
        <v>0.99067599067599066</v>
      </c>
      <c r="G1079" s="32">
        <v>1</v>
      </c>
      <c r="H1079" s="32" t="s">
        <v>959</v>
      </c>
      <c r="I1079" s="32">
        <f>IF(OR(H1079="-",H1079="",H1079=0),IF(G1079="-","-",G1079),G1079-H1079)</f>
        <v>1</v>
      </c>
      <c r="J1079" s="36" t="str">
        <f>IFERROR(IF(G1079&gt;0, H1079/G1079, 0),"-")</f>
        <v>-</v>
      </c>
      <c r="K1079" s="32" t="s">
        <v>959</v>
      </c>
      <c r="L1079" s="32" t="s">
        <v>959</v>
      </c>
      <c r="M1079" s="32" t="str">
        <f>IF(OR(L1079="-",L1079="",L1079=0),IF(K1079="-","-",K1079),K1079-L1079)</f>
        <v>-</v>
      </c>
      <c r="N1079" s="36" t="str">
        <f>IFERROR(IF(K1079&gt;0, L1079/K1079, 0),"-")</f>
        <v>-</v>
      </c>
      <c r="O1079" s="32">
        <v>1</v>
      </c>
      <c r="P1079" s="32" t="s">
        <v>959</v>
      </c>
      <c r="Q1079" s="32">
        <f>IF(OR(P1079="-",P1079="",P1079=0),IF(O1079="-","-",O1079),O1079-P1079)</f>
        <v>1</v>
      </c>
      <c r="R1079" s="36" t="str">
        <f>IFERROR(IF(O1079&gt;0, P1079/O1079, 0),"-")</f>
        <v>-</v>
      </c>
      <c r="S1079" s="32">
        <v>1</v>
      </c>
      <c r="T1079" s="32" t="s">
        <v>959</v>
      </c>
      <c r="U1079" s="32" t="s">
        <v>959</v>
      </c>
      <c r="V1079" s="32" t="s">
        <v>959</v>
      </c>
      <c r="W1079" s="32" t="s">
        <v>959</v>
      </c>
    </row>
    <row r="1080" spans="1:23" x14ac:dyDescent="0.2">
      <c r="A1080" s="30" t="s">
        <v>479</v>
      </c>
      <c r="B1080" s="30" t="s">
        <v>1690</v>
      </c>
      <c r="C1080" s="34">
        <v>109</v>
      </c>
      <c r="D1080" s="35">
        <v>108</v>
      </c>
      <c r="E1080" s="34">
        <f>IF(OR(D1080="-",D1080="",D1080=0),IF(C1080="-","-",C1080),C1080-D1080)</f>
        <v>1</v>
      </c>
      <c r="F1080" s="4">
        <f>IFERROR(IF(C1080&gt;0, D1080/C1080, 0),"-")</f>
        <v>0.99082568807339455</v>
      </c>
      <c r="G1080" s="34" t="s">
        <v>959</v>
      </c>
      <c r="H1080" s="35" t="s">
        <v>959</v>
      </c>
      <c r="I1080" s="34" t="str">
        <f>IF(OR(H1080="-",H1080="",H1080=0),IF(G1080="-","-",G1080),G1080-H1080)</f>
        <v>-</v>
      </c>
      <c r="J1080" s="4" t="str">
        <f>IFERROR(IF(G1080&gt;0, H1080/G1080, 0),"-")</f>
        <v>-</v>
      </c>
      <c r="K1080" s="34" t="s">
        <v>959</v>
      </c>
      <c r="L1080" s="35" t="s">
        <v>959</v>
      </c>
      <c r="M1080" s="34" t="str">
        <f>IF(OR(L1080="-",L1080="",L1080=0),IF(K1080="-","-",K1080),K1080-L1080)</f>
        <v>-</v>
      </c>
      <c r="N1080" s="4" t="str">
        <f>IFERROR(IF(K1080&gt;0, L1080/K1080, 0),"-")</f>
        <v>-</v>
      </c>
      <c r="O1080" s="34" t="s">
        <v>959</v>
      </c>
      <c r="P1080" s="35" t="s">
        <v>959</v>
      </c>
      <c r="Q1080" s="34" t="str">
        <f>IF(OR(P1080="-",P1080="",P1080=0),IF(O1080="-","-",O1080),O1080-P1080)</f>
        <v>-</v>
      </c>
      <c r="R1080" s="4" t="str">
        <f>IFERROR(IF(O1080&gt;0, P1080/O1080, 0),"-")</f>
        <v>-</v>
      </c>
      <c r="S1080" s="34" t="s">
        <v>959</v>
      </c>
      <c r="T1080" s="34" t="s">
        <v>959</v>
      </c>
      <c r="U1080" s="34" t="s">
        <v>959</v>
      </c>
      <c r="V1080" s="35" t="s">
        <v>959</v>
      </c>
      <c r="W1080" s="35" t="s">
        <v>959</v>
      </c>
    </row>
    <row r="1081" spans="1:23" x14ac:dyDescent="0.2">
      <c r="A1081" s="30" t="s">
        <v>476</v>
      </c>
      <c r="B1081" s="30" t="s">
        <v>1691</v>
      </c>
      <c r="C1081" s="34">
        <v>82</v>
      </c>
      <c r="D1081" s="35">
        <v>82</v>
      </c>
      <c r="E1081" s="34">
        <f>IF(OR(D1081="-",D1081="",D1081=0),IF(C1081="-","-",C1081),C1081-D1081)</f>
        <v>0</v>
      </c>
      <c r="F1081" s="4">
        <f>IFERROR(IF(C1081&gt;0, D1081/C1081, 0),"-")</f>
        <v>1</v>
      </c>
      <c r="G1081" s="34" t="s">
        <v>959</v>
      </c>
      <c r="H1081" s="35" t="s">
        <v>959</v>
      </c>
      <c r="I1081" s="34" t="str">
        <f>IF(OR(H1081="-",H1081="",H1081=0),IF(G1081="-","-",G1081),G1081-H1081)</f>
        <v>-</v>
      </c>
      <c r="J1081" s="4" t="str">
        <f>IFERROR(IF(G1081&gt;0, H1081/G1081, 0),"-")</f>
        <v>-</v>
      </c>
      <c r="K1081" s="34" t="s">
        <v>959</v>
      </c>
      <c r="L1081" s="35" t="s">
        <v>959</v>
      </c>
      <c r="M1081" s="34" t="str">
        <f>IF(OR(L1081="-",L1081="",L1081=0),IF(K1081="-","-",K1081),K1081-L1081)</f>
        <v>-</v>
      </c>
      <c r="N1081" s="4" t="str">
        <f>IFERROR(IF(K1081&gt;0, L1081/K1081, 0),"-")</f>
        <v>-</v>
      </c>
      <c r="O1081" s="34">
        <v>1</v>
      </c>
      <c r="P1081" s="35" t="s">
        <v>959</v>
      </c>
      <c r="Q1081" s="34">
        <f>IF(OR(P1081="-",P1081="",P1081=0),IF(O1081="-","-",O1081),O1081-P1081)</f>
        <v>1</v>
      </c>
      <c r="R1081" s="4" t="str">
        <f>IFERROR(IF(O1081&gt;0, P1081/O1081, 0),"-")</f>
        <v>-</v>
      </c>
      <c r="S1081" s="34" t="s">
        <v>959</v>
      </c>
      <c r="T1081" s="34" t="s">
        <v>959</v>
      </c>
      <c r="U1081" s="34" t="s">
        <v>959</v>
      </c>
      <c r="V1081" s="35" t="s">
        <v>959</v>
      </c>
      <c r="W1081" s="35" t="s">
        <v>959</v>
      </c>
    </row>
    <row r="1082" spans="1:23" x14ac:dyDescent="0.2">
      <c r="A1082" s="30" t="s">
        <v>477</v>
      </c>
      <c r="B1082" s="30" t="s">
        <v>1692</v>
      </c>
      <c r="C1082" s="34">
        <v>63</v>
      </c>
      <c r="D1082" s="35">
        <v>61</v>
      </c>
      <c r="E1082" s="34">
        <f>IF(OR(D1082="-",D1082="",D1082=0),IF(C1082="-","-",C1082),C1082-D1082)</f>
        <v>2</v>
      </c>
      <c r="F1082" s="4">
        <f>IFERROR(IF(C1082&gt;0, D1082/C1082, 0),"-")</f>
        <v>0.96825396825396826</v>
      </c>
      <c r="G1082" s="34" t="s">
        <v>959</v>
      </c>
      <c r="H1082" s="35" t="s">
        <v>959</v>
      </c>
      <c r="I1082" s="34" t="str">
        <f>IF(OR(H1082="-",H1082="",H1082=0),IF(G1082="-","-",G1082),G1082-H1082)</f>
        <v>-</v>
      </c>
      <c r="J1082" s="4" t="str">
        <f>IFERROR(IF(G1082&gt;0, H1082/G1082, 0),"-")</f>
        <v>-</v>
      </c>
      <c r="K1082" s="34" t="s">
        <v>959</v>
      </c>
      <c r="L1082" s="35" t="s">
        <v>959</v>
      </c>
      <c r="M1082" s="34" t="str">
        <f>IF(OR(L1082="-",L1082="",L1082=0),IF(K1082="-","-",K1082),K1082-L1082)</f>
        <v>-</v>
      </c>
      <c r="N1082" s="4" t="str">
        <f>IFERROR(IF(K1082&gt;0, L1082/K1082, 0),"-")</f>
        <v>-</v>
      </c>
      <c r="O1082" s="34" t="s">
        <v>959</v>
      </c>
      <c r="P1082" s="35" t="s">
        <v>959</v>
      </c>
      <c r="Q1082" s="34" t="str">
        <f>IF(OR(P1082="-",P1082="",P1082=0),IF(O1082="-","-",O1082),O1082-P1082)</f>
        <v>-</v>
      </c>
      <c r="R1082" s="4" t="str">
        <f>IFERROR(IF(O1082&gt;0, P1082/O1082, 0),"-")</f>
        <v>-</v>
      </c>
      <c r="S1082" s="34" t="s">
        <v>959</v>
      </c>
      <c r="T1082" s="34" t="s">
        <v>959</v>
      </c>
      <c r="U1082" s="34" t="s">
        <v>959</v>
      </c>
      <c r="V1082" s="35" t="s">
        <v>959</v>
      </c>
      <c r="W1082" s="35" t="s">
        <v>959</v>
      </c>
    </row>
    <row r="1083" spans="1:23" x14ac:dyDescent="0.2">
      <c r="A1083" s="30" t="s">
        <v>474</v>
      </c>
      <c r="B1083" s="30" t="s">
        <v>1693</v>
      </c>
      <c r="C1083" s="34">
        <v>76</v>
      </c>
      <c r="D1083" s="35">
        <v>76</v>
      </c>
      <c r="E1083" s="34">
        <f>IF(OR(D1083="-",D1083="",D1083=0),IF(C1083="-","-",C1083),C1083-D1083)</f>
        <v>0</v>
      </c>
      <c r="F1083" s="4">
        <f>IFERROR(IF(C1083&gt;0, D1083/C1083, 0),"-")</f>
        <v>1</v>
      </c>
      <c r="G1083" s="34" t="s">
        <v>959</v>
      </c>
      <c r="H1083" s="35" t="s">
        <v>959</v>
      </c>
      <c r="I1083" s="34" t="str">
        <f>IF(OR(H1083="-",H1083="",H1083=0),IF(G1083="-","-",G1083),G1083-H1083)</f>
        <v>-</v>
      </c>
      <c r="J1083" s="4" t="str">
        <f>IFERROR(IF(G1083&gt;0, H1083/G1083, 0),"-")</f>
        <v>-</v>
      </c>
      <c r="K1083" s="34" t="s">
        <v>959</v>
      </c>
      <c r="L1083" s="35" t="s">
        <v>959</v>
      </c>
      <c r="M1083" s="34" t="str">
        <f>IF(OR(L1083="-",L1083="",L1083=0),IF(K1083="-","-",K1083),K1083-L1083)</f>
        <v>-</v>
      </c>
      <c r="N1083" s="4" t="str">
        <f>IFERROR(IF(K1083&gt;0, L1083/K1083, 0),"-")</f>
        <v>-</v>
      </c>
      <c r="O1083" s="34" t="s">
        <v>959</v>
      </c>
      <c r="P1083" s="35" t="s">
        <v>959</v>
      </c>
      <c r="Q1083" s="34" t="str">
        <f>IF(OR(P1083="-",P1083="",P1083=0),IF(O1083="-","-",O1083),O1083-P1083)</f>
        <v>-</v>
      </c>
      <c r="R1083" s="4" t="str">
        <f>IFERROR(IF(O1083&gt;0, P1083/O1083, 0),"-")</f>
        <v>-</v>
      </c>
      <c r="S1083" s="34">
        <v>1</v>
      </c>
      <c r="T1083" s="34" t="s">
        <v>959</v>
      </c>
      <c r="U1083" s="34" t="s">
        <v>959</v>
      </c>
      <c r="V1083" s="35" t="s">
        <v>959</v>
      </c>
      <c r="W1083" s="35" t="s">
        <v>959</v>
      </c>
    </row>
    <row r="1084" spans="1:23" x14ac:dyDescent="0.2">
      <c r="A1084" s="30" t="s">
        <v>475</v>
      </c>
      <c r="B1084" s="30" t="s">
        <v>1694</v>
      </c>
      <c r="C1084" s="34">
        <v>79</v>
      </c>
      <c r="D1084" s="35">
        <v>78</v>
      </c>
      <c r="E1084" s="34">
        <f>IF(OR(D1084="-",D1084="",D1084=0),IF(C1084="-","-",C1084),C1084-D1084)</f>
        <v>1</v>
      </c>
      <c r="F1084" s="4">
        <f>IFERROR(IF(C1084&gt;0, D1084/C1084, 0),"-")</f>
        <v>0.98734177215189878</v>
      </c>
      <c r="G1084" s="34">
        <v>1</v>
      </c>
      <c r="H1084" s="35" t="s">
        <v>959</v>
      </c>
      <c r="I1084" s="34">
        <f>IF(OR(H1084="-",H1084="",H1084=0),IF(G1084="-","-",G1084),G1084-H1084)</f>
        <v>1</v>
      </c>
      <c r="J1084" s="4" t="str">
        <f>IFERROR(IF(G1084&gt;0, H1084/G1084, 0),"-")</f>
        <v>-</v>
      </c>
      <c r="K1084" s="34" t="s">
        <v>959</v>
      </c>
      <c r="L1084" s="35" t="s">
        <v>959</v>
      </c>
      <c r="M1084" s="34" t="str">
        <f>IF(OR(L1084="-",L1084="",L1084=0),IF(K1084="-","-",K1084),K1084-L1084)</f>
        <v>-</v>
      </c>
      <c r="N1084" s="4" t="str">
        <f>IFERROR(IF(K1084&gt;0, L1084/K1084, 0),"-")</f>
        <v>-</v>
      </c>
      <c r="O1084" s="34" t="s">
        <v>959</v>
      </c>
      <c r="P1084" s="35" t="s">
        <v>959</v>
      </c>
      <c r="Q1084" s="34" t="str">
        <f>IF(OR(P1084="-",P1084="",P1084=0),IF(O1084="-","-",O1084),O1084-P1084)</f>
        <v>-</v>
      </c>
      <c r="R1084" s="4" t="str">
        <f>IFERROR(IF(O1084&gt;0, P1084/O1084, 0),"-")</f>
        <v>-</v>
      </c>
      <c r="S1084" s="34" t="s">
        <v>959</v>
      </c>
      <c r="T1084" s="34" t="s">
        <v>959</v>
      </c>
      <c r="U1084" s="34" t="s">
        <v>959</v>
      </c>
      <c r="V1084" s="35" t="s">
        <v>959</v>
      </c>
      <c r="W1084" s="35" t="s">
        <v>959</v>
      </c>
    </row>
    <row r="1085" spans="1:23" x14ac:dyDescent="0.2">
      <c r="A1085" s="30" t="s">
        <v>495</v>
      </c>
      <c r="B1085" s="30" t="s">
        <v>1695</v>
      </c>
      <c r="C1085" s="34" t="s">
        <v>959</v>
      </c>
      <c r="D1085" s="35" t="s">
        <v>959</v>
      </c>
      <c r="E1085" s="34" t="str">
        <f>IF(OR(D1085="-",D1085="",D1085=0),IF(C1085="-","-",C1085),C1085-D1085)</f>
        <v>-</v>
      </c>
      <c r="F1085" s="4" t="str">
        <f>IFERROR(IF(C1085&gt;0, D1085/C1085, 0),"-")</f>
        <v>-</v>
      </c>
      <c r="G1085" s="34" t="s">
        <v>959</v>
      </c>
      <c r="H1085" s="35" t="s">
        <v>959</v>
      </c>
      <c r="I1085" s="34" t="str">
        <f>IF(OR(H1085="-",H1085="",H1085=0),IF(G1085="-","-",G1085),G1085-H1085)</f>
        <v>-</v>
      </c>
      <c r="J1085" s="4" t="str">
        <f>IFERROR(IF(G1085&gt;0, H1085/G1085, 0),"-")</f>
        <v>-</v>
      </c>
      <c r="K1085" s="34" t="s">
        <v>959</v>
      </c>
      <c r="L1085" s="35" t="s">
        <v>959</v>
      </c>
      <c r="M1085" s="34" t="str">
        <f>IF(OR(L1085="-",L1085="",L1085=0),IF(K1085="-","-",K1085),K1085-L1085)</f>
        <v>-</v>
      </c>
      <c r="N1085" s="4" t="str">
        <f>IFERROR(IF(K1085&gt;0, L1085/K1085, 0),"-")</f>
        <v>-</v>
      </c>
      <c r="O1085" s="34" t="s">
        <v>959</v>
      </c>
      <c r="P1085" s="35" t="s">
        <v>959</v>
      </c>
      <c r="Q1085" s="34" t="str">
        <f>IF(OR(P1085="-",P1085="",P1085=0),IF(O1085="-","-",O1085),O1085-P1085)</f>
        <v>-</v>
      </c>
      <c r="R1085" s="4" t="str">
        <f>IFERROR(IF(O1085&gt;0, P1085/O1085, 0),"-")</f>
        <v>-</v>
      </c>
      <c r="S1085" s="34" t="s">
        <v>959</v>
      </c>
      <c r="T1085" s="34" t="s">
        <v>959</v>
      </c>
      <c r="U1085" s="34" t="s">
        <v>959</v>
      </c>
      <c r="V1085" s="35" t="s">
        <v>959</v>
      </c>
      <c r="W1085" s="35" t="s">
        <v>959</v>
      </c>
    </row>
    <row r="1086" spans="1:23" x14ac:dyDescent="0.2">
      <c r="A1086" s="30" t="s">
        <v>478</v>
      </c>
      <c r="B1086" s="30" t="s">
        <v>1696</v>
      </c>
      <c r="C1086" s="34">
        <v>20</v>
      </c>
      <c r="D1086" s="35">
        <v>20</v>
      </c>
      <c r="E1086" s="34">
        <f>IF(OR(D1086="-",D1086="",D1086=0),IF(C1086="-","-",C1086),C1086-D1086)</f>
        <v>0</v>
      </c>
      <c r="F1086" s="4">
        <f>IFERROR(IF(C1086&gt;0, D1086/C1086, 0),"-")</f>
        <v>1</v>
      </c>
      <c r="G1086" s="34" t="s">
        <v>959</v>
      </c>
      <c r="H1086" s="35" t="s">
        <v>959</v>
      </c>
      <c r="I1086" s="34" t="str">
        <f>IF(OR(H1086="-",H1086="",H1086=0),IF(G1086="-","-",G1086),G1086-H1086)</f>
        <v>-</v>
      </c>
      <c r="J1086" s="4" t="str">
        <f>IFERROR(IF(G1086&gt;0, H1086/G1086, 0),"-")</f>
        <v>-</v>
      </c>
      <c r="K1086" s="34" t="s">
        <v>959</v>
      </c>
      <c r="L1086" s="35" t="s">
        <v>959</v>
      </c>
      <c r="M1086" s="34" t="str">
        <f>IF(OR(L1086="-",L1086="",L1086=0),IF(K1086="-","-",K1086),K1086-L1086)</f>
        <v>-</v>
      </c>
      <c r="N1086" s="4" t="str">
        <f>IFERROR(IF(K1086&gt;0, L1086/K1086, 0),"-")</f>
        <v>-</v>
      </c>
      <c r="O1086" s="34" t="s">
        <v>959</v>
      </c>
      <c r="P1086" s="35" t="s">
        <v>959</v>
      </c>
      <c r="Q1086" s="34" t="str">
        <f>IF(OR(P1086="-",P1086="",P1086=0),IF(O1086="-","-",O1086),O1086-P1086)</f>
        <v>-</v>
      </c>
      <c r="R1086" s="4" t="str">
        <f>IFERROR(IF(O1086&gt;0, P1086/O1086, 0),"-")</f>
        <v>-</v>
      </c>
      <c r="S1086" s="34" t="s">
        <v>959</v>
      </c>
      <c r="T1086" s="34" t="s">
        <v>959</v>
      </c>
      <c r="U1086" s="34" t="s">
        <v>959</v>
      </c>
      <c r="V1086" s="35" t="s">
        <v>959</v>
      </c>
      <c r="W1086" s="35" t="s">
        <v>959</v>
      </c>
    </row>
    <row r="1087" spans="1:23" x14ac:dyDescent="0.2">
      <c r="A1087" s="29"/>
      <c r="B1087" s="29" t="s">
        <v>64</v>
      </c>
      <c r="C1087" s="32">
        <v>463</v>
      </c>
      <c r="D1087" s="32">
        <v>457</v>
      </c>
      <c r="E1087" s="32">
        <f>IF(OR(D1087="-",D1087="",D1087=0),IF(C1087="-","-",C1087),C1087-D1087)</f>
        <v>6</v>
      </c>
      <c r="F1087" s="36">
        <f>IFERROR(IF(C1087&gt;0, D1087/C1087, 0),"-")</f>
        <v>0.98704103671706267</v>
      </c>
      <c r="G1087" s="32" t="s">
        <v>959</v>
      </c>
      <c r="H1087" s="32" t="s">
        <v>959</v>
      </c>
      <c r="I1087" s="32" t="str">
        <f>IF(OR(H1087="-",H1087="",H1087=0),IF(G1087="-","-",G1087),G1087-H1087)</f>
        <v>-</v>
      </c>
      <c r="J1087" s="36" t="str">
        <f>IFERROR(IF(G1087&gt;0, H1087/G1087, 0),"-")</f>
        <v>-</v>
      </c>
      <c r="K1087" s="32" t="s">
        <v>959</v>
      </c>
      <c r="L1087" s="32" t="s">
        <v>959</v>
      </c>
      <c r="M1087" s="32" t="str">
        <f>IF(OR(L1087="-",L1087="",L1087=0),IF(K1087="-","-",K1087),K1087-L1087)</f>
        <v>-</v>
      </c>
      <c r="N1087" s="36" t="str">
        <f>IFERROR(IF(K1087&gt;0, L1087/K1087, 0),"-")</f>
        <v>-</v>
      </c>
      <c r="O1087" s="32">
        <v>2</v>
      </c>
      <c r="P1087" s="32" t="s">
        <v>959</v>
      </c>
      <c r="Q1087" s="32">
        <f>IF(OR(P1087="-",P1087="",P1087=0),IF(O1087="-","-",O1087),O1087-P1087)</f>
        <v>2</v>
      </c>
      <c r="R1087" s="36" t="str">
        <f>IFERROR(IF(O1087&gt;0, P1087/O1087, 0),"-")</f>
        <v>-</v>
      </c>
      <c r="S1087" s="32">
        <v>4</v>
      </c>
      <c r="T1087" s="32" t="s">
        <v>959</v>
      </c>
      <c r="U1087" s="32" t="s">
        <v>959</v>
      </c>
      <c r="V1087" s="32" t="s">
        <v>959</v>
      </c>
      <c r="W1087" s="32" t="s">
        <v>959</v>
      </c>
    </row>
    <row r="1088" spans="1:23" x14ac:dyDescent="0.2">
      <c r="A1088" s="30" t="s">
        <v>412</v>
      </c>
      <c r="B1088" s="30" t="s">
        <v>1697</v>
      </c>
      <c r="C1088" s="34">
        <v>122</v>
      </c>
      <c r="D1088" s="35">
        <v>122</v>
      </c>
      <c r="E1088" s="34">
        <f>IF(OR(D1088="-",D1088="",D1088=0),IF(C1088="-","-",C1088),C1088-D1088)</f>
        <v>0</v>
      </c>
      <c r="F1088" s="4">
        <f>IFERROR(IF(C1088&gt;0, D1088/C1088, 0),"-")</f>
        <v>1</v>
      </c>
      <c r="G1088" s="34" t="s">
        <v>959</v>
      </c>
      <c r="H1088" s="35" t="s">
        <v>959</v>
      </c>
      <c r="I1088" s="34" t="str">
        <f>IF(OR(H1088="-",H1088="",H1088=0),IF(G1088="-","-",G1088),G1088-H1088)</f>
        <v>-</v>
      </c>
      <c r="J1088" s="4" t="str">
        <f>IFERROR(IF(G1088&gt;0, H1088/G1088, 0),"-")</f>
        <v>-</v>
      </c>
      <c r="K1088" s="34" t="s">
        <v>959</v>
      </c>
      <c r="L1088" s="35" t="s">
        <v>959</v>
      </c>
      <c r="M1088" s="34" t="str">
        <f>IF(OR(L1088="-",L1088="",L1088=0),IF(K1088="-","-",K1088),K1088-L1088)</f>
        <v>-</v>
      </c>
      <c r="N1088" s="4" t="str">
        <f>IFERROR(IF(K1088&gt;0, L1088/K1088, 0),"-")</f>
        <v>-</v>
      </c>
      <c r="O1088" s="34" t="s">
        <v>959</v>
      </c>
      <c r="P1088" s="35" t="s">
        <v>959</v>
      </c>
      <c r="Q1088" s="34" t="str">
        <f>IF(OR(P1088="-",P1088="",P1088=0),IF(O1088="-","-",O1088),O1088-P1088)</f>
        <v>-</v>
      </c>
      <c r="R1088" s="4" t="str">
        <f>IFERROR(IF(O1088&gt;0, P1088/O1088, 0),"-")</f>
        <v>-</v>
      </c>
      <c r="S1088" s="34" t="s">
        <v>959</v>
      </c>
      <c r="T1088" s="34" t="s">
        <v>959</v>
      </c>
      <c r="U1088" s="34" t="s">
        <v>959</v>
      </c>
      <c r="V1088" s="35" t="s">
        <v>959</v>
      </c>
      <c r="W1088" s="35" t="s">
        <v>959</v>
      </c>
    </row>
    <row r="1089" spans="1:23" x14ac:dyDescent="0.2">
      <c r="A1089" s="30" t="s">
        <v>409</v>
      </c>
      <c r="B1089" s="30" t="s">
        <v>1698</v>
      </c>
      <c r="C1089" s="34">
        <v>50</v>
      </c>
      <c r="D1089" s="35">
        <v>49</v>
      </c>
      <c r="E1089" s="34">
        <f>IF(OR(D1089="-",D1089="",D1089=0),IF(C1089="-","-",C1089),C1089-D1089)</f>
        <v>1</v>
      </c>
      <c r="F1089" s="4">
        <f>IFERROR(IF(C1089&gt;0, D1089/C1089, 0),"-")</f>
        <v>0.98</v>
      </c>
      <c r="G1089" s="34" t="s">
        <v>959</v>
      </c>
      <c r="H1089" s="35" t="s">
        <v>959</v>
      </c>
      <c r="I1089" s="34" t="str">
        <f>IF(OR(H1089="-",H1089="",H1089=0),IF(G1089="-","-",G1089),G1089-H1089)</f>
        <v>-</v>
      </c>
      <c r="J1089" s="4" t="str">
        <f>IFERROR(IF(G1089&gt;0, H1089/G1089, 0),"-")</f>
        <v>-</v>
      </c>
      <c r="K1089" s="34" t="s">
        <v>959</v>
      </c>
      <c r="L1089" s="35" t="s">
        <v>959</v>
      </c>
      <c r="M1089" s="34" t="str">
        <f>IF(OR(L1089="-",L1089="",L1089=0),IF(K1089="-","-",K1089),K1089-L1089)</f>
        <v>-</v>
      </c>
      <c r="N1089" s="4" t="str">
        <f>IFERROR(IF(K1089&gt;0, L1089/K1089, 0),"-")</f>
        <v>-</v>
      </c>
      <c r="O1089" s="34">
        <v>1</v>
      </c>
      <c r="P1089" s="35" t="s">
        <v>959</v>
      </c>
      <c r="Q1089" s="34">
        <f>IF(OR(P1089="-",P1089="",P1089=0),IF(O1089="-","-",O1089),O1089-P1089)</f>
        <v>1</v>
      </c>
      <c r="R1089" s="4" t="str">
        <f>IFERROR(IF(O1089&gt;0, P1089/O1089, 0),"-")</f>
        <v>-</v>
      </c>
      <c r="S1089" s="34">
        <v>1</v>
      </c>
      <c r="T1089" s="34" t="s">
        <v>959</v>
      </c>
      <c r="U1089" s="34" t="s">
        <v>959</v>
      </c>
      <c r="V1089" s="35" t="s">
        <v>959</v>
      </c>
      <c r="W1089" s="35" t="s">
        <v>959</v>
      </c>
    </row>
    <row r="1090" spans="1:23" x14ac:dyDescent="0.2">
      <c r="A1090" s="30" t="s">
        <v>413</v>
      </c>
      <c r="B1090" s="30" t="s">
        <v>1699</v>
      </c>
      <c r="C1090" s="34">
        <v>69</v>
      </c>
      <c r="D1090" s="35">
        <v>68</v>
      </c>
      <c r="E1090" s="34">
        <f>IF(OR(D1090="-",D1090="",D1090=0),IF(C1090="-","-",C1090),C1090-D1090)</f>
        <v>1</v>
      </c>
      <c r="F1090" s="4">
        <f>IFERROR(IF(C1090&gt;0, D1090/C1090, 0),"-")</f>
        <v>0.98550724637681164</v>
      </c>
      <c r="G1090" s="34" t="s">
        <v>959</v>
      </c>
      <c r="H1090" s="35" t="s">
        <v>959</v>
      </c>
      <c r="I1090" s="34" t="str">
        <f>IF(OR(H1090="-",H1090="",H1090=0),IF(G1090="-","-",G1090),G1090-H1090)</f>
        <v>-</v>
      </c>
      <c r="J1090" s="4" t="str">
        <f>IFERROR(IF(G1090&gt;0, H1090/G1090, 0),"-")</f>
        <v>-</v>
      </c>
      <c r="K1090" s="34" t="s">
        <v>959</v>
      </c>
      <c r="L1090" s="35" t="s">
        <v>959</v>
      </c>
      <c r="M1090" s="34" t="str">
        <f>IF(OR(L1090="-",L1090="",L1090=0),IF(K1090="-","-",K1090),K1090-L1090)</f>
        <v>-</v>
      </c>
      <c r="N1090" s="4" t="str">
        <f>IFERROR(IF(K1090&gt;0, L1090/K1090, 0),"-")</f>
        <v>-</v>
      </c>
      <c r="O1090" s="34">
        <v>1</v>
      </c>
      <c r="P1090" s="35" t="s">
        <v>959</v>
      </c>
      <c r="Q1090" s="34">
        <f>IF(OR(P1090="-",P1090="",P1090=0),IF(O1090="-","-",O1090),O1090-P1090)</f>
        <v>1</v>
      </c>
      <c r="R1090" s="4" t="str">
        <f>IFERROR(IF(O1090&gt;0, P1090/O1090, 0),"-")</f>
        <v>-</v>
      </c>
      <c r="S1090" s="34" t="s">
        <v>959</v>
      </c>
      <c r="T1090" s="34" t="s">
        <v>959</v>
      </c>
      <c r="U1090" s="34" t="s">
        <v>959</v>
      </c>
      <c r="V1090" s="35" t="s">
        <v>959</v>
      </c>
      <c r="W1090" s="35" t="s">
        <v>959</v>
      </c>
    </row>
    <row r="1091" spans="1:23" x14ac:dyDescent="0.2">
      <c r="A1091" s="30" t="s">
        <v>411</v>
      </c>
      <c r="B1091" s="30" t="s">
        <v>1700</v>
      </c>
      <c r="C1091" s="34">
        <v>54</v>
      </c>
      <c r="D1091" s="35">
        <v>54</v>
      </c>
      <c r="E1091" s="34">
        <f>IF(OR(D1091="-",D1091="",D1091=0),IF(C1091="-","-",C1091),C1091-D1091)</f>
        <v>0</v>
      </c>
      <c r="F1091" s="4">
        <f>IFERROR(IF(C1091&gt;0, D1091/C1091, 0),"-")</f>
        <v>1</v>
      </c>
      <c r="G1091" s="34" t="s">
        <v>959</v>
      </c>
      <c r="H1091" s="35" t="s">
        <v>959</v>
      </c>
      <c r="I1091" s="34" t="str">
        <f>IF(OR(H1091="-",H1091="",H1091=0),IF(G1091="-","-",G1091),G1091-H1091)</f>
        <v>-</v>
      </c>
      <c r="J1091" s="4" t="str">
        <f>IFERROR(IF(G1091&gt;0, H1091/G1091, 0),"-")</f>
        <v>-</v>
      </c>
      <c r="K1091" s="34" t="s">
        <v>959</v>
      </c>
      <c r="L1091" s="35" t="s">
        <v>959</v>
      </c>
      <c r="M1091" s="34" t="str">
        <f>IF(OR(L1091="-",L1091="",L1091=0),IF(K1091="-","-",K1091),K1091-L1091)</f>
        <v>-</v>
      </c>
      <c r="N1091" s="4" t="str">
        <f>IFERROR(IF(K1091&gt;0, L1091/K1091, 0),"-")</f>
        <v>-</v>
      </c>
      <c r="O1091" s="34" t="s">
        <v>959</v>
      </c>
      <c r="P1091" s="35" t="s">
        <v>959</v>
      </c>
      <c r="Q1091" s="34" t="str">
        <f>IF(OR(P1091="-",P1091="",P1091=0),IF(O1091="-","-",O1091),O1091-P1091)</f>
        <v>-</v>
      </c>
      <c r="R1091" s="4" t="str">
        <f>IFERROR(IF(O1091&gt;0, P1091/O1091, 0),"-")</f>
        <v>-</v>
      </c>
      <c r="S1091" s="34" t="s">
        <v>959</v>
      </c>
      <c r="T1091" s="34" t="s">
        <v>959</v>
      </c>
      <c r="U1091" s="34" t="s">
        <v>959</v>
      </c>
      <c r="V1091" s="35" t="s">
        <v>959</v>
      </c>
      <c r="W1091" s="35" t="s">
        <v>959</v>
      </c>
    </row>
    <row r="1092" spans="1:23" x14ac:dyDescent="0.2">
      <c r="A1092" s="30" t="s">
        <v>410</v>
      </c>
      <c r="B1092" s="30" t="s">
        <v>1701</v>
      </c>
      <c r="C1092" s="34">
        <v>140</v>
      </c>
      <c r="D1092" s="35">
        <v>136</v>
      </c>
      <c r="E1092" s="34">
        <f>IF(OR(D1092="-",D1092="",D1092=0),IF(C1092="-","-",C1092),C1092-D1092)</f>
        <v>4</v>
      </c>
      <c r="F1092" s="4">
        <f>IFERROR(IF(C1092&gt;0, D1092/C1092, 0),"-")</f>
        <v>0.97142857142857142</v>
      </c>
      <c r="G1092" s="34" t="s">
        <v>959</v>
      </c>
      <c r="H1092" s="35" t="s">
        <v>959</v>
      </c>
      <c r="I1092" s="34" t="str">
        <f>IF(OR(H1092="-",H1092="",H1092=0),IF(G1092="-","-",G1092),G1092-H1092)</f>
        <v>-</v>
      </c>
      <c r="J1092" s="4" t="str">
        <f>IFERROR(IF(G1092&gt;0, H1092/G1092, 0),"-")</f>
        <v>-</v>
      </c>
      <c r="K1092" s="34" t="s">
        <v>959</v>
      </c>
      <c r="L1092" s="35" t="s">
        <v>959</v>
      </c>
      <c r="M1092" s="34" t="str">
        <f>IF(OR(L1092="-",L1092="",L1092=0),IF(K1092="-","-",K1092),K1092-L1092)</f>
        <v>-</v>
      </c>
      <c r="N1092" s="4" t="str">
        <f>IFERROR(IF(K1092&gt;0, L1092/K1092, 0),"-")</f>
        <v>-</v>
      </c>
      <c r="O1092" s="34" t="s">
        <v>959</v>
      </c>
      <c r="P1092" s="35" t="s">
        <v>959</v>
      </c>
      <c r="Q1092" s="34" t="str">
        <f>IF(OR(P1092="-",P1092="",P1092=0),IF(O1092="-","-",O1092),O1092-P1092)</f>
        <v>-</v>
      </c>
      <c r="R1092" s="4" t="str">
        <f>IFERROR(IF(O1092&gt;0, P1092/O1092, 0),"-")</f>
        <v>-</v>
      </c>
      <c r="S1092" s="34">
        <v>3</v>
      </c>
      <c r="T1092" s="34" t="s">
        <v>959</v>
      </c>
      <c r="U1092" s="34" t="s">
        <v>959</v>
      </c>
      <c r="V1092" s="35" t="s">
        <v>959</v>
      </c>
      <c r="W1092" s="35" t="s">
        <v>959</v>
      </c>
    </row>
    <row r="1093" spans="1:23" x14ac:dyDescent="0.2">
      <c r="A1093" s="30" t="s">
        <v>414</v>
      </c>
      <c r="B1093" s="30" t="s">
        <v>1702</v>
      </c>
      <c r="C1093" s="34">
        <v>28</v>
      </c>
      <c r="D1093" s="35">
        <v>28</v>
      </c>
      <c r="E1093" s="34">
        <f>IF(OR(D1093="-",D1093="",D1093=0),IF(C1093="-","-",C1093),C1093-D1093)</f>
        <v>0</v>
      </c>
      <c r="F1093" s="4">
        <f>IFERROR(IF(C1093&gt;0, D1093/C1093, 0),"-")</f>
        <v>1</v>
      </c>
      <c r="G1093" s="34" t="s">
        <v>959</v>
      </c>
      <c r="H1093" s="35" t="s">
        <v>959</v>
      </c>
      <c r="I1093" s="34" t="str">
        <f>IF(OR(H1093="-",H1093="",H1093=0),IF(G1093="-","-",G1093),G1093-H1093)</f>
        <v>-</v>
      </c>
      <c r="J1093" s="4" t="str">
        <f>IFERROR(IF(G1093&gt;0, H1093/G1093, 0),"-")</f>
        <v>-</v>
      </c>
      <c r="K1093" s="34" t="s">
        <v>959</v>
      </c>
      <c r="L1093" s="35" t="s">
        <v>959</v>
      </c>
      <c r="M1093" s="34" t="str">
        <f>IF(OR(L1093="-",L1093="",L1093=0),IF(K1093="-","-",K1093),K1093-L1093)</f>
        <v>-</v>
      </c>
      <c r="N1093" s="4" t="str">
        <f>IFERROR(IF(K1093&gt;0, L1093/K1093, 0),"-")</f>
        <v>-</v>
      </c>
      <c r="O1093" s="34" t="s">
        <v>959</v>
      </c>
      <c r="P1093" s="35" t="s">
        <v>959</v>
      </c>
      <c r="Q1093" s="34" t="str">
        <f>IF(OR(P1093="-",P1093="",P1093=0),IF(O1093="-","-",O1093),O1093-P1093)</f>
        <v>-</v>
      </c>
      <c r="R1093" s="4" t="str">
        <f>IFERROR(IF(O1093&gt;0, P1093/O1093, 0),"-")</f>
        <v>-</v>
      </c>
      <c r="S1093" s="34" t="s">
        <v>959</v>
      </c>
      <c r="T1093" s="34" t="s">
        <v>959</v>
      </c>
      <c r="U1093" s="34" t="s">
        <v>959</v>
      </c>
      <c r="V1093" s="35" t="s">
        <v>959</v>
      </c>
      <c r="W1093" s="35" t="s">
        <v>959</v>
      </c>
    </row>
    <row r="1094" spans="1:23" x14ac:dyDescent="0.2">
      <c r="A1094" s="29"/>
      <c r="B1094" s="29" t="s">
        <v>81</v>
      </c>
      <c r="C1094" s="32">
        <v>486</v>
      </c>
      <c r="D1094" s="32">
        <v>471</v>
      </c>
      <c r="E1094" s="32">
        <f>IF(OR(D1094="-",D1094="",D1094=0),IF(C1094="-","-",C1094),C1094-D1094)</f>
        <v>15</v>
      </c>
      <c r="F1094" s="36">
        <f>IFERROR(IF(C1094&gt;0, D1094/C1094, 0),"-")</f>
        <v>0.96913580246913578</v>
      </c>
      <c r="G1094" s="32">
        <v>5</v>
      </c>
      <c r="H1094" s="32">
        <v>2</v>
      </c>
      <c r="I1094" s="32">
        <f>IF(OR(H1094="-",H1094="",H1094=0),IF(G1094="-","-",G1094),G1094-H1094)</f>
        <v>3</v>
      </c>
      <c r="J1094" s="36">
        <f>IFERROR(IF(G1094&gt;0, H1094/G1094, 0),"-")</f>
        <v>0.4</v>
      </c>
      <c r="K1094" s="32">
        <v>2</v>
      </c>
      <c r="L1094" s="32">
        <v>1</v>
      </c>
      <c r="M1094" s="32">
        <f>IF(OR(L1094="-",L1094="",L1094=0),IF(K1094="-","-",K1094),K1094-L1094)</f>
        <v>1</v>
      </c>
      <c r="N1094" s="36">
        <f>IFERROR(IF(K1094&gt;0, L1094/K1094, 0),"-")</f>
        <v>0.5</v>
      </c>
      <c r="O1094" s="32">
        <v>1</v>
      </c>
      <c r="P1094" s="32" t="s">
        <v>959</v>
      </c>
      <c r="Q1094" s="32">
        <f>IF(OR(P1094="-",P1094="",P1094=0),IF(O1094="-","-",O1094),O1094-P1094)</f>
        <v>1</v>
      </c>
      <c r="R1094" s="36" t="str">
        <f>IFERROR(IF(O1094&gt;0, P1094/O1094, 0),"-")</f>
        <v>-</v>
      </c>
      <c r="S1094" s="32" t="s">
        <v>959</v>
      </c>
      <c r="T1094" s="32" t="s">
        <v>959</v>
      </c>
      <c r="U1094" s="32" t="s">
        <v>959</v>
      </c>
      <c r="V1094" s="32" t="s">
        <v>959</v>
      </c>
      <c r="W1094" s="32" t="s">
        <v>959</v>
      </c>
    </row>
    <row r="1095" spans="1:23" x14ac:dyDescent="0.2">
      <c r="A1095" s="30" t="s">
        <v>539</v>
      </c>
      <c r="B1095" s="30" t="s">
        <v>1703</v>
      </c>
      <c r="C1095" s="34">
        <v>71</v>
      </c>
      <c r="D1095" s="35">
        <v>68</v>
      </c>
      <c r="E1095" s="34">
        <f>IF(OR(D1095="-",D1095="",D1095=0),IF(C1095="-","-",C1095),C1095-D1095)</f>
        <v>3</v>
      </c>
      <c r="F1095" s="4">
        <f>IFERROR(IF(C1095&gt;0, D1095/C1095, 0),"-")</f>
        <v>0.95774647887323938</v>
      </c>
      <c r="G1095" s="34" t="s">
        <v>959</v>
      </c>
      <c r="H1095" s="35" t="s">
        <v>959</v>
      </c>
      <c r="I1095" s="34" t="str">
        <f>IF(OR(H1095="-",H1095="",H1095=0),IF(G1095="-","-",G1095),G1095-H1095)</f>
        <v>-</v>
      </c>
      <c r="J1095" s="4" t="str">
        <f>IFERROR(IF(G1095&gt;0, H1095/G1095, 0),"-")</f>
        <v>-</v>
      </c>
      <c r="K1095" s="34" t="s">
        <v>959</v>
      </c>
      <c r="L1095" s="35" t="s">
        <v>959</v>
      </c>
      <c r="M1095" s="34" t="str">
        <f>IF(OR(L1095="-",L1095="",L1095=0),IF(K1095="-","-",K1095),K1095-L1095)</f>
        <v>-</v>
      </c>
      <c r="N1095" s="4" t="str">
        <f>IFERROR(IF(K1095&gt;0, L1095/K1095, 0),"-")</f>
        <v>-</v>
      </c>
      <c r="O1095" s="34" t="s">
        <v>959</v>
      </c>
      <c r="P1095" s="35" t="s">
        <v>959</v>
      </c>
      <c r="Q1095" s="34" t="str">
        <f>IF(OR(P1095="-",P1095="",P1095=0),IF(O1095="-","-",O1095),O1095-P1095)</f>
        <v>-</v>
      </c>
      <c r="R1095" s="4" t="str">
        <f>IFERROR(IF(O1095&gt;0, P1095/O1095, 0),"-")</f>
        <v>-</v>
      </c>
      <c r="S1095" s="34" t="s">
        <v>959</v>
      </c>
      <c r="T1095" s="34" t="s">
        <v>959</v>
      </c>
      <c r="U1095" s="34" t="s">
        <v>959</v>
      </c>
      <c r="V1095" s="35" t="s">
        <v>959</v>
      </c>
      <c r="W1095" s="35" t="s">
        <v>959</v>
      </c>
    </row>
    <row r="1096" spans="1:23" x14ac:dyDescent="0.2">
      <c r="A1096" s="30" t="s">
        <v>541</v>
      </c>
      <c r="B1096" s="30" t="s">
        <v>1704</v>
      </c>
      <c r="C1096" s="34">
        <v>73</v>
      </c>
      <c r="D1096" s="35">
        <v>71</v>
      </c>
      <c r="E1096" s="34">
        <f>IF(OR(D1096="-",D1096="",D1096=0),IF(C1096="-","-",C1096),C1096-D1096)</f>
        <v>2</v>
      </c>
      <c r="F1096" s="4">
        <f>IFERROR(IF(C1096&gt;0, D1096/C1096, 0),"-")</f>
        <v>0.9726027397260274</v>
      </c>
      <c r="G1096" s="34">
        <v>2</v>
      </c>
      <c r="H1096" s="35" t="s">
        <v>959</v>
      </c>
      <c r="I1096" s="34">
        <f>IF(OR(H1096="-",H1096="",H1096=0),IF(G1096="-","-",G1096),G1096-H1096)</f>
        <v>2</v>
      </c>
      <c r="J1096" s="4" t="str">
        <f>IFERROR(IF(G1096&gt;0, H1096/G1096, 0),"-")</f>
        <v>-</v>
      </c>
      <c r="K1096" s="34" t="s">
        <v>959</v>
      </c>
      <c r="L1096" s="35" t="s">
        <v>959</v>
      </c>
      <c r="M1096" s="34" t="str">
        <f>IF(OR(L1096="-",L1096="",L1096=0),IF(K1096="-","-",K1096),K1096-L1096)</f>
        <v>-</v>
      </c>
      <c r="N1096" s="4" t="str">
        <f>IFERROR(IF(K1096&gt;0, L1096/K1096, 0),"-")</f>
        <v>-</v>
      </c>
      <c r="O1096" s="34" t="s">
        <v>959</v>
      </c>
      <c r="P1096" s="35" t="s">
        <v>959</v>
      </c>
      <c r="Q1096" s="34" t="str">
        <f>IF(OR(P1096="-",P1096="",P1096=0),IF(O1096="-","-",O1096),O1096-P1096)</f>
        <v>-</v>
      </c>
      <c r="R1096" s="4" t="str">
        <f>IFERROR(IF(O1096&gt;0, P1096/O1096, 0),"-")</f>
        <v>-</v>
      </c>
      <c r="S1096" s="34" t="s">
        <v>959</v>
      </c>
      <c r="T1096" s="34" t="s">
        <v>959</v>
      </c>
      <c r="U1096" s="34" t="s">
        <v>959</v>
      </c>
      <c r="V1096" s="35" t="s">
        <v>959</v>
      </c>
      <c r="W1096" s="35" t="s">
        <v>959</v>
      </c>
    </row>
    <row r="1097" spans="1:23" x14ac:dyDescent="0.2">
      <c r="A1097" s="30" t="s">
        <v>542</v>
      </c>
      <c r="B1097" s="30" t="s">
        <v>1705</v>
      </c>
      <c r="C1097" s="34">
        <v>103</v>
      </c>
      <c r="D1097" s="35">
        <v>96</v>
      </c>
      <c r="E1097" s="34">
        <f>IF(OR(D1097="-",D1097="",D1097=0),IF(C1097="-","-",C1097),C1097-D1097)</f>
        <v>7</v>
      </c>
      <c r="F1097" s="4">
        <f>IFERROR(IF(C1097&gt;0, D1097/C1097, 0),"-")</f>
        <v>0.93203883495145634</v>
      </c>
      <c r="G1097" s="34">
        <v>1</v>
      </c>
      <c r="H1097" s="35" t="s">
        <v>959</v>
      </c>
      <c r="I1097" s="34">
        <f>IF(OR(H1097="-",H1097="",H1097=0),IF(G1097="-","-",G1097),G1097-H1097)</f>
        <v>1</v>
      </c>
      <c r="J1097" s="4" t="str">
        <f>IFERROR(IF(G1097&gt;0, H1097/G1097, 0),"-")</f>
        <v>-</v>
      </c>
      <c r="K1097" s="34" t="s">
        <v>959</v>
      </c>
      <c r="L1097" s="35" t="s">
        <v>959</v>
      </c>
      <c r="M1097" s="34" t="str">
        <f>IF(OR(L1097="-",L1097="",L1097=0),IF(K1097="-","-",K1097),K1097-L1097)</f>
        <v>-</v>
      </c>
      <c r="N1097" s="4" t="str">
        <f>IFERROR(IF(K1097&gt;0, L1097/K1097, 0),"-")</f>
        <v>-</v>
      </c>
      <c r="O1097" s="34">
        <v>1</v>
      </c>
      <c r="P1097" s="35" t="s">
        <v>959</v>
      </c>
      <c r="Q1097" s="34">
        <f>IF(OR(P1097="-",P1097="",P1097=0),IF(O1097="-","-",O1097),O1097-P1097)</f>
        <v>1</v>
      </c>
      <c r="R1097" s="4" t="str">
        <f>IFERROR(IF(O1097&gt;0, P1097/O1097, 0),"-")</f>
        <v>-</v>
      </c>
      <c r="S1097" s="34" t="s">
        <v>959</v>
      </c>
      <c r="T1097" s="34" t="s">
        <v>959</v>
      </c>
      <c r="U1097" s="34" t="s">
        <v>959</v>
      </c>
      <c r="V1097" s="35" t="s">
        <v>959</v>
      </c>
      <c r="W1097" s="35" t="s">
        <v>959</v>
      </c>
    </row>
    <row r="1098" spans="1:23" x14ac:dyDescent="0.2">
      <c r="A1098" s="30" t="s">
        <v>540</v>
      </c>
      <c r="B1098" s="30" t="s">
        <v>1706</v>
      </c>
      <c r="C1098" s="34">
        <v>151</v>
      </c>
      <c r="D1098" s="35">
        <v>148</v>
      </c>
      <c r="E1098" s="34">
        <f>IF(OR(D1098="-",D1098="",D1098=0),IF(C1098="-","-",C1098),C1098-D1098)</f>
        <v>3</v>
      </c>
      <c r="F1098" s="4">
        <f>IFERROR(IF(C1098&gt;0, D1098/C1098, 0),"-")</f>
        <v>0.98013245033112584</v>
      </c>
      <c r="G1098" s="34" t="s">
        <v>959</v>
      </c>
      <c r="H1098" s="35" t="s">
        <v>959</v>
      </c>
      <c r="I1098" s="34" t="str">
        <f>IF(OR(H1098="-",H1098="",H1098=0),IF(G1098="-","-",G1098),G1098-H1098)</f>
        <v>-</v>
      </c>
      <c r="J1098" s="4" t="str">
        <f>IFERROR(IF(G1098&gt;0, H1098/G1098, 0),"-")</f>
        <v>-</v>
      </c>
      <c r="K1098" s="34" t="s">
        <v>959</v>
      </c>
      <c r="L1098" s="35" t="s">
        <v>959</v>
      </c>
      <c r="M1098" s="34" t="str">
        <f>IF(OR(L1098="-",L1098="",L1098=0),IF(K1098="-","-",K1098),K1098-L1098)</f>
        <v>-</v>
      </c>
      <c r="N1098" s="4" t="str">
        <f>IFERROR(IF(K1098&gt;0, L1098/K1098, 0),"-")</f>
        <v>-</v>
      </c>
      <c r="O1098" s="34" t="s">
        <v>959</v>
      </c>
      <c r="P1098" s="35" t="s">
        <v>959</v>
      </c>
      <c r="Q1098" s="34" t="str">
        <f>IF(OR(P1098="-",P1098="",P1098=0),IF(O1098="-","-",O1098),O1098-P1098)</f>
        <v>-</v>
      </c>
      <c r="R1098" s="4" t="str">
        <f>IFERROR(IF(O1098&gt;0, P1098/O1098, 0),"-")</f>
        <v>-</v>
      </c>
      <c r="S1098" s="34" t="s">
        <v>959</v>
      </c>
      <c r="T1098" s="34" t="s">
        <v>959</v>
      </c>
      <c r="U1098" s="34" t="s">
        <v>959</v>
      </c>
      <c r="V1098" s="35" t="s">
        <v>959</v>
      </c>
      <c r="W1098" s="35" t="s">
        <v>959</v>
      </c>
    </row>
    <row r="1099" spans="1:23" x14ac:dyDescent="0.2">
      <c r="A1099" s="30" t="s">
        <v>543</v>
      </c>
      <c r="B1099" s="30" t="s">
        <v>1707</v>
      </c>
      <c r="C1099" s="34">
        <v>88</v>
      </c>
      <c r="D1099" s="35">
        <v>88</v>
      </c>
      <c r="E1099" s="34">
        <f>IF(OR(D1099="-",D1099="",D1099=0),IF(C1099="-","-",C1099),C1099-D1099)</f>
        <v>0</v>
      </c>
      <c r="F1099" s="4">
        <f>IFERROR(IF(C1099&gt;0, D1099/C1099, 0),"-")</f>
        <v>1</v>
      </c>
      <c r="G1099" s="34">
        <v>2</v>
      </c>
      <c r="H1099" s="35">
        <v>2</v>
      </c>
      <c r="I1099" s="34">
        <f>IF(OR(H1099="-",H1099="",H1099=0),IF(G1099="-","-",G1099),G1099-H1099)</f>
        <v>0</v>
      </c>
      <c r="J1099" s="4">
        <f>IFERROR(IF(G1099&gt;0, H1099/G1099, 0),"-")</f>
        <v>1</v>
      </c>
      <c r="K1099" s="34">
        <v>2</v>
      </c>
      <c r="L1099" s="35">
        <v>1</v>
      </c>
      <c r="M1099" s="34">
        <f>IF(OR(L1099="-",L1099="",L1099=0),IF(K1099="-","-",K1099),K1099-L1099)</f>
        <v>1</v>
      </c>
      <c r="N1099" s="4">
        <f>IFERROR(IF(K1099&gt;0, L1099/K1099, 0),"-")</f>
        <v>0.5</v>
      </c>
      <c r="O1099" s="34" t="s">
        <v>959</v>
      </c>
      <c r="P1099" s="35" t="s">
        <v>959</v>
      </c>
      <c r="Q1099" s="34" t="str">
        <f>IF(OR(P1099="-",P1099="",P1099=0),IF(O1099="-","-",O1099),O1099-P1099)</f>
        <v>-</v>
      </c>
      <c r="R1099" s="4" t="str">
        <f>IFERROR(IF(O1099&gt;0, P1099/O1099, 0),"-")</f>
        <v>-</v>
      </c>
      <c r="S1099" s="34" t="s">
        <v>959</v>
      </c>
      <c r="T1099" s="34" t="s">
        <v>959</v>
      </c>
      <c r="U1099" s="34" t="s">
        <v>959</v>
      </c>
      <c r="V1099" s="35" t="s">
        <v>959</v>
      </c>
      <c r="W1099" s="35" t="s">
        <v>959</v>
      </c>
    </row>
    <row r="1100" spans="1:23" x14ac:dyDescent="0.2">
      <c r="A1100" s="29"/>
      <c r="B1100" s="29" t="s">
        <v>72</v>
      </c>
      <c r="C1100" s="32">
        <v>427</v>
      </c>
      <c r="D1100" s="32">
        <v>422</v>
      </c>
      <c r="E1100" s="32">
        <f>IF(OR(D1100="-",D1100="",D1100=0),IF(C1100="-","-",C1100),C1100-D1100)</f>
        <v>5</v>
      </c>
      <c r="F1100" s="36">
        <f>IFERROR(IF(C1100&gt;0, D1100/C1100, 0),"-")</f>
        <v>0.98829039812646369</v>
      </c>
      <c r="G1100" s="32">
        <v>3</v>
      </c>
      <c r="H1100" s="32">
        <v>1</v>
      </c>
      <c r="I1100" s="32">
        <f>IF(OR(H1100="-",H1100="",H1100=0),IF(G1100="-","-",G1100),G1100-H1100)</f>
        <v>2</v>
      </c>
      <c r="J1100" s="36">
        <f>IFERROR(IF(G1100&gt;0, H1100/G1100, 0),"-")</f>
        <v>0.33333333333333331</v>
      </c>
      <c r="K1100" s="32">
        <v>3</v>
      </c>
      <c r="L1100" s="32" t="s">
        <v>959</v>
      </c>
      <c r="M1100" s="32">
        <f>IF(OR(L1100="-",L1100="",L1100=0),IF(K1100="-","-",K1100),K1100-L1100)</f>
        <v>3</v>
      </c>
      <c r="N1100" s="36" t="str">
        <f>IFERROR(IF(K1100&gt;0, L1100/K1100, 0),"-")</f>
        <v>-</v>
      </c>
      <c r="O1100" s="32">
        <v>2</v>
      </c>
      <c r="P1100" s="32" t="s">
        <v>959</v>
      </c>
      <c r="Q1100" s="32">
        <f>IF(OR(P1100="-",P1100="",P1100=0),IF(O1100="-","-",O1100),O1100-P1100)</f>
        <v>2</v>
      </c>
      <c r="R1100" s="36" t="str">
        <f>IFERROR(IF(O1100&gt;0, P1100/O1100, 0),"-")</f>
        <v>-</v>
      </c>
      <c r="S1100" s="32">
        <v>4</v>
      </c>
      <c r="T1100" s="32" t="s">
        <v>959</v>
      </c>
      <c r="U1100" s="32" t="s">
        <v>959</v>
      </c>
      <c r="V1100" s="32" t="s">
        <v>959</v>
      </c>
      <c r="W1100" s="32" t="s">
        <v>959</v>
      </c>
    </row>
    <row r="1101" spans="1:23" x14ac:dyDescent="0.2">
      <c r="A1101" s="30" t="s">
        <v>484</v>
      </c>
      <c r="B1101" s="30" t="s">
        <v>1708</v>
      </c>
      <c r="C1101" s="34">
        <v>131</v>
      </c>
      <c r="D1101" s="35">
        <v>129</v>
      </c>
      <c r="E1101" s="34">
        <f>IF(OR(D1101="-",D1101="",D1101=0),IF(C1101="-","-",C1101),C1101-D1101)</f>
        <v>2</v>
      </c>
      <c r="F1101" s="4">
        <f>IFERROR(IF(C1101&gt;0, D1101/C1101, 0),"-")</f>
        <v>0.98473282442748089</v>
      </c>
      <c r="G1101" s="34">
        <v>1</v>
      </c>
      <c r="H1101" s="35" t="s">
        <v>959</v>
      </c>
      <c r="I1101" s="34">
        <f>IF(OR(H1101="-",H1101="",H1101=0),IF(G1101="-","-",G1101),G1101-H1101)</f>
        <v>1</v>
      </c>
      <c r="J1101" s="4" t="str">
        <f>IFERROR(IF(G1101&gt;0, H1101/G1101, 0),"-")</f>
        <v>-</v>
      </c>
      <c r="K1101" s="34" t="s">
        <v>959</v>
      </c>
      <c r="L1101" s="35" t="s">
        <v>959</v>
      </c>
      <c r="M1101" s="34" t="str">
        <f>IF(OR(L1101="-",L1101="",L1101=0),IF(K1101="-","-",K1101),K1101-L1101)</f>
        <v>-</v>
      </c>
      <c r="N1101" s="4" t="str">
        <f>IFERROR(IF(K1101&gt;0, L1101/K1101, 0),"-")</f>
        <v>-</v>
      </c>
      <c r="O1101" s="34" t="s">
        <v>959</v>
      </c>
      <c r="P1101" s="35" t="s">
        <v>959</v>
      </c>
      <c r="Q1101" s="34" t="str">
        <f>IF(OR(P1101="-",P1101="",P1101=0),IF(O1101="-","-",O1101),O1101-P1101)</f>
        <v>-</v>
      </c>
      <c r="R1101" s="4" t="str">
        <f>IFERROR(IF(O1101&gt;0, P1101/O1101, 0),"-")</f>
        <v>-</v>
      </c>
      <c r="S1101" s="34">
        <v>1</v>
      </c>
      <c r="T1101" s="34" t="s">
        <v>959</v>
      </c>
      <c r="U1101" s="34" t="s">
        <v>959</v>
      </c>
      <c r="V1101" s="35" t="s">
        <v>959</v>
      </c>
      <c r="W1101" s="35" t="s">
        <v>959</v>
      </c>
    </row>
    <row r="1102" spans="1:23" x14ac:dyDescent="0.2">
      <c r="A1102" s="30" t="s">
        <v>483</v>
      </c>
      <c r="B1102" s="30" t="s">
        <v>1709</v>
      </c>
      <c r="C1102" s="34">
        <v>93</v>
      </c>
      <c r="D1102" s="35">
        <v>90</v>
      </c>
      <c r="E1102" s="34">
        <f>IF(OR(D1102="-",D1102="",D1102=0),IF(C1102="-","-",C1102),C1102-D1102)</f>
        <v>3</v>
      </c>
      <c r="F1102" s="4">
        <f>IFERROR(IF(C1102&gt;0, D1102/C1102, 0),"-")</f>
        <v>0.967741935483871</v>
      </c>
      <c r="G1102" s="34" t="s">
        <v>959</v>
      </c>
      <c r="H1102" s="35" t="s">
        <v>959</v>
      </c>
      <c r="I1102" s="34" t="str">
        <f>IF(OR(H1102="-",H1102="",H1102=0),IF(G1102="-","-",G1102),G1102-H1102)</f>
        <v>-</v>
      </c>
      <c r="J1102" s="4" t="str">
        <f>IFERROR(IF(G1102&gt;0, H1102/G1102, 0),"-")</f>
        <v>-</v>
      </c>
      <c r="K1102" s="34">
        <v>3</v>
      </c>
      <c r="L1102" s="35" t="s">
        <v>959</v>
      </c>
      <c r="M1102" s="34">
        <f>IF(OR(L1102="-",L1102="",L1102=0),IF(K1102="-","-",K1102),K1102-L1102)</f>
        <v>3</v>
      </c>
      <c r="N1102" s="4" t="str">
        <f>IFERROR(IF(K1102&gt;0, L1102/K1102, 0),"-")</f>
        <v>-</v>
      </c>
      <c r="O1102" s="34">
        <v>1</v>
      </c>
      <c r="P1102" s="35" t="s">
        <v>959</v>
      </c>
      <c r="Q1102" s="34">
        <f>IF(OR(P1102="-",P1102="",P1102=0),IF(O1102="-","-",O1102),O1102-P1102)</f>
        <v>1</v>
      </c>
      <c r="R1102" s="4" t="str">
        <f>IFERROR(IF(O1102&gt;0, P1102/O1102, 0),"-")</f>
        <v>-</v>
      </c>
      <c r="S1102" s="34" t="s">
        <v>959</v>
      </c>
      <c r="T1102" s="34" t="s">
        <v>959</v>
      </c>
      <c r="U1102" s="34" t="s">
        <v>959</v>
      </c>
      <c r="V1102" s="35" t="s">
        <v>959</v>
      </c>
      <c r="W1102" s="35" t="s">
        <v>959</v>
      </c>
    </row>
    <row r="1103" spans="1:23" x14ac:dyDescent="0.2">
      <c r="A1103" s="30" t="s">
        <v>480</v>
      </c>
      <c r="B1103" s="30" t="s">
        <v>1710</v>
      </c>
      <c r="C1103" s="34">
        <v>90</v>
      </c>
      <c r="D1103" s="35">
        <v>90</v>
      </c>
      <c r="E1103" s="34">
        <f>IF(OR(D1103="-",D1103="",D1103=0),IF(C1103="-","-",C1103),C1103-D1103)</f>
        <v>0</v>
      </c>
      <c r="F1103" s="4">
        <f>IFERROR(IF(C1103&gt;0, D1103/C1103, 0),"-")</f>
        <v>1</v>
      </c>
      <c r="G1103" s="34">
        <v>1</v>
      </c>
      <c r="H1103" s="35" t="s">
        <v>959</v>
      </c>
      <c r="I1103" s="34">
        <f>IF(OR(H1103="-",H1103="",H1103=0),IF(G1103="-","-",G1103),G1103-H1103)</f>
        <v>1</v>
      </c>
      <c r="J1103" s="4" t="str">
        <f>IFERROR(IF(G1103&gt;0, H1103/G1103, 0),"-")</f>
        <v>-</v>
      </c>
      <c r="K1103" s="34" t="s">
        <v>959</v>
      </c>
      <c r="L1103" s="35" t="s">
        <v>959</v>
      </c>
      <c r="M1103" s="34" t="str">
        <f>IF(OR(L1103="-",L1103="",L1103=0),IF(K1103="-","-",K1103),K1103-L1103)</f>
        <v>-</v>
      </c>
      <c r="N1103" s="4" t="str">
        <f>IFERROR(IF(K1103&gt;0, L1103/K1103, 0),"-")</f>
        <v>-</v>
      </c>
      <c r="O1103" s="34">
        <v>1</v>
      </c>
      <c r="P1103" s="35" t="s">
        <v>959</v>
      </c>
      <c r="Q1103" s="34">
        <f>IF(OR(P1103="-",P1103="",P1103=0),IF(O1103="-","-",O1103),O1103-P1103)</f>
        <v>1</v>
      </c>
      <c r="R1103" s="4" t="str">
        <f>IFERROR(IF(O1103&gt;0, P1103/O1103, 0),"-")</f>
        <v>-</v>
      </c>
      <c r="S1103" s="34" t="s">
        <v>959</v>
      </c>
      <c r="T1103" s="34" t="s">
        <v>959</v>
      </c>
      <c r="U1103" s="34" t="s">
        <v>959</v>
      </c>
      <c r="V1103" s="35" t="s">
        <v>959</v>
      </c>
      <c r="W1103" s="35" t="s">
        <v>959</v>
      </c>
    </row>
    <row r="1104" spans="1:23" x14ac:dyDescent="0.2">
      <c r="A1104" s="30" t="s">
        <v>481</v>
      </c>
      <c r="B1104" s="30" t="s">
        <v>1711</v>
      </c>
      <c r="C1104" s="34">
        <v>44</v>
      </c>
      <c r="D1104" s="35">
        <v>44</v>
      </c>
      <c r="E1104" s="34">
        <f>IF(OR(D1104="-",D1104="",D1104=0),IF(C1104="-","-",C1104),C1104-D1104)</f>
        <v>0</v>
      </c>
      <c r="F1104" s="4">
        <f>IFERROR(IF(C1104&gt;0, D1104/C1104, 0),"-")</f>
        <v>1</v>
      </c>
      <c r="G1104" s="34" t="s">
        <v>959</v>
      </c>
      <c r="H1104" s="35" t="s">
        <v>959</v>
      </c>
      <c r="I1104" s="34" t="str">
        <f>IF(OR(H1104="-",H1104="",H1104=0),IF(G1104="-","-",G1104),G1104-H1104)</f>
        <v>-</v>
      </c>
      <c r="J1104" s="4" t="str">
        <f>IFERROR(IF(G1104&gt;0, H1104/G1104, 0),"-")</f>
        <v>-</v>
      </c>
      <c r="K1104" s="34" t="s">
        <v>959</v>
      </c>
      <c r="L1104" s="35" t="s">
        <v>959</v>
      </c>
      <c r="M1104" s="34" t="str">
        <f>IF(OR(L1104="-",L1104="",L1104=0),IF(K1104="-","-",K1104),K1104-L1104)</f>
        <v>-</v>
      </c>
      <c r="N1104" s="4" t="str">
        <f>IFERROR(IF(K1104&gt;0, L1104/K1104, 0),"-")</f>
        <v>-</v>
      </c>
      <c r="O1104" s="34" t="s">
        <v>959</v>
      </c>
      <c r="P1104" s="35" t="s">
        <v>959</v>
      </c>
      <c r="Q1104" s="34" t="str">
        <f>IF(OR(P1104="-",P1104="",P1104=0),IF(O1104="-","-",O1104),O1104-P1104)</f>
        <v>-</v>
      </c>
      <c r="R1104" s="4" t="str">
        <f>IFERROR(IF(O1104&gt;0, P1104/O1104, 0),"-")</f>
        <v>-</v>
      </c>
      <c r="S1104" s="34">
        <v>1</v>
      </c>
      <c r="T1104" s="34" t="s">
        <v>959</v>
      </c>
      <c r="U1104" s="34" t="s">
        <v>959</v>
      </c>
      <c r="V1104" s="35" t="s">
        <v>959</v>
      </c>
      <c r="W1104" s="35" t="s">
        <v>959</v>
      </c>
    </row>
    <row r="1105" spans="1:23" x14ac:dyDescent="0.2">
      <c r="A1105" s="30" t="s">
        <v>482</v>
      </c>
      <c r="B1105" s="30" t="s">
        <v>1712</v>
      </c>
      <c r="C1105" s="34">
        <v>69</v>
      </c>
      <c r="D1105" s="35">
        <v>69</v>
      </c>
      <c r="E1105" s="34">
        <f>IF(OR(D1105="-",D1105="",D1105=0),IF(C1105="-","-",C1105),C1105-D1105)</f>
        <v>0</v>
      </c>
      <c r="F1105" s="4">
        <f>IFERROR(IF(C1105&gt;0, D1105/C1105, 0),"-")</f>
        <v>1</v>
      </c>
      <c r="G1105" s="34">
        <v>1</v>
      </c>
      <c r="H1105" s="35">
        <v>1</v>
      </c>
      <c r="I1105" s="34">
        <f>IF(OR(H1105="-",H1105="",H1105=0),IF(G1105="-","-",G1105),G1105-H1105)</f>
        <v>0</v>
      </c>
      <c r="J1105" s="4">
        <f>IFERROR(IF(G1105&gt;0, H1105/G1105, 0),"-")</f>
        <v>1</v>
      </c>
      <c r="K1105" s="34" t="s">
        <v>959</v>
      </c>
      <c r="L1105" s="35" t="s">
        <v>959</v>
      </c>
      <c r="M1105" s="34" t="str">
        <f>IF(OR(L1105="-",L1105="",L1105=0),IF(K1105="-","-",K1105),K1105-L1105)</f>
        <v>-</v>
      </c>
      <c r="N1105" s="4" t="str">
        <f>IFERROR(IF(K1105&gt;0, L1105/K1105, 0),"-")</f>
        <v>-</v>
      </c>
      <c r="O1105" s="34" t="s">
        <v>959</v>
      </c>
      <c r="P1105" s="35" t="s">
        <v>959</v>
      </c>
      <c r="Q1105" s="34" t="str">
        <f>IF(OR(P1105="-",P1105="",P1105=0),IF(O1105="-","-",O1105),O1105-P1105)</f>
        <v>-</v>
      </c>
      <c r="R1105" s="4" t="str">
        <f>IFERROR(IF(O1105&gt;0, P1105/O1105, 0),"-")</f>
        <v>-</v>
      </c>
      <c r="S1105" s="34">
        <v>2</v>
      </c>
      <c r="T1105" s="34" t="s">
        <v>959</v>
      </c>
      <c r="U1105" s="34" t="s">
        <v>959</v>
      </c>
      <c r="V1105" s="35" t="s">
        <v>959</v>
      </c>
      <c r="W1105" s="35" t="s">
        <v>959</v>
      </c>
    </row>
    <row r="1106" spans="1:23" x14ac:dyDescent="0.2">
      <c r="A1106" s="29"/>
      <c r="B1106" s="29" t="s">
        <v>118</v>
      </c>
      <c r="C1106" s="32">
        <v>691</v>
      </c>
      <c r="D1106" s="32">
        <v>646</v>
      </c>
      <c r="E1106" s="32">
        <f>IF(OR(D1106="-",D1106="",D1106=0),IF(C1106="-","-",C1106),C1106-D1106)</f>
        <v>45</v>
      </c>
      <c r="F1106" s="36">
        <f>IFERROR(IF(C1106&gt;0, D1106/C1106, 0),"-")</f>
        <v>0.93487698986975398</v>
      </c>
      <c r="G1106" s="32">
        <v>18</v>
      </c>
      <c r="H1106" s="32">
        <v>9</v>
      </c>
      <c r="I1106" s="32">
        <f>IF(OR(H1106="-",H1106="",H1106=0),IF(G1106="-","-",G1106),G1106-H1106)</f>
        <v>9</v>
      </c>
      <c r="J1106" s="36">
        <f>IFERROR(IF(G1106&gt;0, H1106/G1106, 0),"-")</f>
        <v>0.5</v>
      </c>
      <c r="K1106" s="32">
        <v>11</v>
      </c>
      <c r="L1106" s="32">
        <v>4</v>
      </c>
      <c r="M1106" s="32">
        <f>IF(OR(L1106="-",L1106="",L1106=0),IF(K1106="-","-",K1106),K1106-L1106)</f>
        <v>7</v>
      </c>
      <c r="N1106" s="36">
        <f>IFERROR(IF(K1106&gt;0, L1106/K1106, 0),"-")</f>
        <v>0.36363636363636365</v>
      </c>
      <c r="O1106" s="32" t="s">
        <v>959</v>
      </c>
      <c r="P1106" s="32" t="s">
        <v>959</v>
      </c>
      <c r="Q1106" s="32" t="str">
        <f>IF(OR(P1106="-",P1106="",P1106=0),IF(O1106="-","-",O1106),O1106-P1106)</f>
        <v>-</v>
      </c>
      <c r="R1106" s="36" t="str">
        <f>IFERROR(IF(O1106&gt;0, P1106/O1106, 0),"-")</f>
        <v>-</v>
      </c>
      <c r="S1106" s="32">
        <v>2</v>
      </c>
      <c r="T1106" s="32">
        <v>1</v>
      </c>
      <c r="U1106" s="32">
        <v>2400</v>
      </c>
      <c r="V1106" s="32" t="s">
        <v>959</v>
      </c>
      <c r="W1106" s="32" t="s">
        <v>959</v>
      </c>
    </row>
    <row r="1107" spans="1:23" x14ac:dyDescent="0.2">
      <c r="A1107" s="30" t="s">
        <v>842</v>
      </c>
      <c r="B1107" s="30" t="s">
        <v>1713</v>
      </c>
      <c r="C1107" s="34">
        <v>189</v>
      </c>
      <c r="D1107" s="35">
        <v>169</v>
      </c>
      <c r="E1107" s="34">
        <f>IF(OR(D1107="-",D1107="",D1107=0),IF(C1107="-","-",C1107),C1107-D1107)</f>
        <v>20</v>
      </c>
      <c r="F1107" s="4">
        <f>IFERROR(IF(C1107&gt;0, D1107/C1107, 0),"-")</f>
        <v>0.89417989417989419</v>
      </c>
      <c r="G1107" s="34">
        <v>6</v>
      </c>
      <c r="H1107" s="35">
        <v>1</v>
      </c>
      <c r="I1107" s="34">
        <f>IF(OR(H1107="-",H1107="",H1107=0),IF(G1107="-","-",G1107),G1107-H1107)</f>
        <v>5</v>
      </c>
      <c r="J1107" s="4">
        <f>IFERROR(IF(G1107&gt;0, H1107/G1107, 0),"-")</f>
        <v>0.16666666666666666</v>
      </c>
      <c r="K1107" s="34">
        <v>4</v>
      </c>
      <c r="L1107" s="35">
        <v>2</v>
      </c>
      <c r="M1107" s="34">
        <f>IF(OR(L1107="-",L1107="",L1107=0),IF(K1107="-","-",K1107),K1107-L1107)</f>
        <v>2</v>
      </c>
      <c r="N1107" s="4">
        <f>IFERROR(IF(K1107&gt;0, L1107/K1107, 0),"-")</f>
        <v>0.5</v>
      </c>
      <c r="O1107" s="34" t="s">
        <v>959</v>
      </c>
      <c r="P1107" s="35" t="s">
        <v>959</v>
      </c>
      <c r="Q1107" s="34" t="str">
        <f>IF(OR(P1107="-",P1107="",P1107=0),IF(O1107="-","-",O1107),O1107-P1107)</f>
        <v>-</v>
      </c>
      <c r="R1107" s="4" t="str">
        <f>IFERROR(IF(O1107&gt;0, P1107/O1107, 0),"-")</f>
        <v>-</v>
      </c>
      <c r="S1107" s="34" t="s">
        <v>959</v>
      </c>
      <c r="T1107" s="34" t="s">
        <v>959</v>
      </c>
      <c r="U1107" s="34" t="s">
        <v>959</v>
      </c>
      <c r="V1107" s="35" t="s">
        <v>959</v>
      </c>
      <c r="W1107" s="35" t="s">
        <v>959</v>
      </c>
    </row>
    <row r="1108" spans="1:23" x14ac:dyDescent="0.2">
      <c r="A1108" s="30" t="s">
        <v>841</v>
      </c>
      <c r="B1108" s="30" t="s">
        <v>1714</v>
      </c>
      <c r="C1108" s="34">
        <v>120</v>
      </c>
      <c r="D1108" s="35">
        <v>114</v>
      </c>
      <c r="E1108" s="34">
        <f>IF(OR(D1108="-",D1108="",D1108=0),IF(C1108="-","-",C1108),C1108-D1108)</f>
        <v>6</v>
      </c>
      <c r="F1108" s="4">
        <f>IFERROR(IF(C1108&gt;0, D1108/C1108, 0),"-")</f>
        <v>0.95</v>
      </c>
      <c r="G1108" s="34">
        <v>3</v>
      </c>
      <c r="H1108" s="35">
        <v>2</v>
      </c>
      <c r="I1108" s="34">
        <f>IF(OR(H1108="-",H1108="",H1108=0),IF(G1108="-","-",G1108),G1108-H1108)</f>
        <v>1</v>
      </c>
      <c r="J1108" s="4">
        <f>IFERROR(IF(G1108&gt;0, H1108/G1108, 0),"-")</f>
        <v>0.66666666666666663</v>
      </c>
      <c r="K1108" s="34">
        <v>1</v>
      </c>
      <c r="L1108" s="35" t="s">
        <v>959</v>
      </c>
      <c r="M1108" s="34">
        <f>IF(OR(L1108="-",L1108="",L1108=0),IF(K1108="-","-",K1108),K1108-L1108)</f>
        <v>1</v>
      </c>
      <c r="N1108" s="4" t="str">
        <f>IFERROR(IF(K1108&gt;0, L1108/K1108, 0),"-")</f>
        <v>-</v>
      </c>
      <c r="O1108" s="34" t="s">
        <v>959</v>
      </c>
      <c r="P1108" s="35" t="s">
        <v>959</v>
      </c>
      <c r="Q1108" s="34" t="str">
        <f>IF(OR(P1108="-",P1108="",P1108=0),IF(O1108="-","-",O1108),O1108-P1108)</f>
        <v>-</v>
      </c>
      <c r="R1108" s="4" t="str">
        <f>IFERROR(IF(O1108&gt;0, P1108/O1108, 0),"-")</f>
        <v>-</v>
      </c>
      <c r="S1108" s="34">
        <v>1</v>
      </c>
      <c r="T1108" s="34" t="s">
        <v>959</v>
      </c>
      <c r="U1108" s="34" t="s">
        <v>959</v>
      </c>
      <c r="V1108" s="35" t="s">
        <v>959</v>
      </c>
      <c r="W1108" s="35" t="s">
        <v>959</v>
      </c>
    </row>
    <row r="1109" spans="1:23" x14ac:dyDescent="0.2">
      <c r="A1109" s="30" t="s">
        <v>843</v>
      </c>
      <c r="B1109" s="30" t="s">
        <v>1715</v>
      </c>
      <c r="C1109" s="34">
        <v>203</v>
      </c>
      <c r="D1109" s="35">
        <v>196</v>
      </c>
      <c r="E1109" s="34">
        <f>IF(OR(D1109="-",D1109="",D1109=0),IF(C1109="-","-",C1109),C1109-D1109)</f>
        <v>7</v>
      </c>
      <c r="F1109" s="4">
        <f>IFERROR(IF(C1109&gt;0, D1109/C1109, 0),"-")</f>
        <v>0.96551724137931039</v>
      </c>
      <c r="G1109" s="34">
        <v>8</v>
      </c>
      <c r="H1109" s="35">
        <v>5</v>
      </c>
      <c r="I1109" s="34">
        <f>IF(OR(H1109="-",H1109="",H1109=0),IF(G1109="-","-",G1109),G1109-H1109)</f>
        <v>3</v>
      </c>
      <c r="J1109" s="4">
        <f>IFERROR(IF(G1109&gt;0, H1109/G1109, 0),"-")</f>
        <v>0.625</v>
      </c>
      <c r="K1109" s="34">
        <v>1</v>
      </c>
      <c r="L1109" s="35">
        <v>1</v>
      </c>
      <c r="M1109" s="34">
        <f>IF(OR(L1109="-",L1109="",L1109=0),IF(K1109="-","-",K1109),K1109-L1109)</f>
        <v>0</v>
      </c>
      <c r="N1109" s="4">
        <f>IFERROR(IF(K1109&gt;0, L1109/K1109, 0),"-")</f>
        <v>1</v>
      </c>
      <c r="O1109" s="34" t="s">
        <v>959</v>
      </c>
      <c r="P1109" s="35" t="s">
        <v>959</v>
      </c>
      <c r="Q1109" s="34" t="str">
        <f>IF(OR(P1109="-",P1109="",P1109=0),IF(O1109="-","-",O1109),O1109-P1109)</f>
        <v>-</v>
      </c>
      <c r="R1109" s="4" t="str">
        <f>IFERROR(IF(O1109&gt;0, P1109/O1109, 0),"-")</f>
        <v>-</v>
      </c>
      <c r="S1109" s="34" t="s">
        <v>959</v>
      </c>
      <c r="T1109" s="34" t="s">
        <v>959</v>
      </c>
      <c r="U1109" s="34" t="s">
        <v>959</v>
      </c>
      <c r="V1109" s="35" t="s">
        <v>959</v>
      </c>
      <c r="W1109" s="35" t="s">
        <v>959</v>
      </c>
    </row>
    <row r="1110" spans="1:23" x14ac:dyDescent="0.2">
      <c r="A1110" s="30" t="s">
        <v>844</v>
      </c>
      <c r="B1110" s="30" t="s">
        <v>1716</v>
      </c>
      <c r="C1110" s="34">
        <v>139</v>
      </c>
      <c r="D1110" s="35">
        <v>127</v>
      </c>
      <c r="E1110" s="34">
        <f>IF(OR(D1110="-",D1110="",D1110=0),IF(C1110="-","-",C1110),C1110-D1110)</f>
        <v>12</v>
      </c>
      <c r="F1110" s="4">
        <f>IFERROR(IF(C1110&gt;0, D1110/C1110, 0),"-")</f>
        <v>0.91366906474820142</v>
      </c>
      <c r="G1110" s="34">
        <v>1</v>
      </c>
      <c r="H1110" s="35">
        <v>1</v>
      </c>
      <c r="I1110" s="34">
        <f>IF(OR(H1110="-",H1110="",H1110=0),IF(G1110="-","-",G1110),G1110-H1110)</f>
        <v>0</v>
      </c>
      <c r="J1110" s="4">
        <f>IFERROR(IF(G1110&gt;0, H1110/G1110, 0),"-")</f>
        <v>1</v>
      </c>
      <c r="K1110" s="34">
        <v>5</v>
      </c>
      <c r="L1110" s="35">
        <v>1</v>
      </c>
      <c r="M1110" s="34">
        <f>IF(OR(L1110="-",L1110="",L1110=0),IF(K1110="-","-",K1110),K1110-L1110)</f>
        <v>4</v>
      </c>
      <c r="N1110" s="4">
        <f>IFERROR(IF(K1110&gt;0, L1110/K1110, 0),"-")</f>
        <v>0.2</v>
      </c>
      <c r="O1110" s="34" t="s">
        <v>959</v>
      </c>
      <c r="P1110" s="35" t="s">
        <v>959</v>
      </c>
      <c r="Q1110" s="34" t="str">
        <f>IF(OR(P1110="-",P1110="",P1110=0),IF(O1110="-","-",O1110),O1110-P1110)</f>
        <v>-</v>
      </c>
      <c r="R1110" s="4" t="str">
        <f>IFERROR(IF(O1110&gt;0, P1110/O1110, 0),"-")</f>
        <v>-</v>
      </c>
      <c r="S1110" s="34">
        <v>1</v>
      </c>
      <c r="T1110" s="34">
        <v>1</v>
      </c>
      <c r="U1110" s="34">
        <v>2400</v>
      </c>
      <c r="V1110" s="35" t="s">
        <v>959</v>
      </c>
      <c r="W1110" s="35" t="s">
        <v>959</v>
      </c>
    </row>
    <row r="1111" spans="1:23" x14ac:dyDescent="0.2">
      <c r="A1111" s="30" t="s">
        <v>845</v>
      </c>
      <c r="B1111" s="30" t="s">
        <v>1717</v>
      </c>
      <c r="C1111" s="34">
        <v>40</v>
      </c>
      <c r="D1111" s="35">
        <v>40</v>
      </c>
      <c r="E1111" s="34">
        <f>IF(OR(D1111="-",D1111="",D1111=0),IF(C1111="-","-",C1111),C1111-D1111)</f>
        <v>0</v>
      </c>
      <c r="F1111" s="4">
        <f>IFERROR(IF(C1111&gt;0, D1111/C1111, 0),"-")</f>
        <v>1</v>
      </c>
      <c r="G1111" s="34" t="s">
        <v>959</v>
      </c>
      <c r="H1111" s="35" t="s">
        <v>959</v>
      </c>
      <c r="I1111" s="34" t="str">
        <f>IF(OR(H1111="-",H1111="",H1111=0),IF(G1111="-","-",G1111),G1111-H1111)</f>
        <v>-</v>
      </c>
      <c r="J1111" s="4" t="str">
        <f>IFERROR(IF(G1111&gt;0, H1111/G1111, 0),"-")</f>
        <v>-</v>
      </c>
      <c r="K1111" s="34" t="s">
        <v>959</v>
      </c>
      <c r="L1111" s="35" t="s">
        <v>959</v>
      </c>
      <c r="M1111" s="34" t="str">
        <f>IF(OR(L1111="-",L1111="",L1111=0),IF(K1111="-","-",K1111),K1111-L1111)</f>
        <v>-</v>
      </c>
      <c r="N1111" s="4" t="str">
        <f>IFERROR(IF(K1111&gt;0, L1111/K1111, 0),"-")</f>
        <v>-</v>
      </c>
      <c r="O1111" s="34" t="s">
        <v>959</v>
      </c>
      <c r="P1111" s="35" t="s">
        <v>959</v>
      </c>
      <c r="Q1111" s="34" t="str">
        <f>IF(OR(P1111="-",P1111="",P1111=0),IF(O1111="-","-",O1111),O1111-P1111)</f>
        <v>-</v>
      </c>
      <c r="R1111" s="4" t="str">
        <f>IFERROR(IF(O1111&gt;0, P1111/O1111, 0),"-")</f>
        <v>-</v>
      </c>
      <c r="S1111" s="34" t="s">
        <v>959</v>
      </c>
      <c r="T1111" s="34" t="s">
        <v>959</v>
      </c>
      <c r="U1111" s="34" t="s">
        <v>959</v>
      </c>
      <c r="V1111" s="35" t="s">
        <v>959</v>
      </c>
      <c r="W1111" s="35" t="s">
        <v>959</v>
      </c>
    </row>
    <row r="1112" spans="1:23" x14ac:dyDescent="0.2">
      <c r="A1112" s="29"/>
      <c r="B1112" s="29" t="s">
        <v>37</v>
      </c>
      <c r="C1112" s="32">
        <v>535</v>
      </c>
      <c r="D1112" s="32">
        <v>527</v>
      </c>
      <c r="E1112" s="32">
        <f>IF(OR(D1112="-",D1112="",D1112=0),IF(C1112="-","-",C1112),C1112-D1112)</f>
        <v>8</v>
      </c>
      <c r="F1112" s="36">
        <f>IFERROR(IF(C1112&gt;0, D1112/C1112, 0),"-")</f>
        <v>0.98504672897196266</v>
      </c>
      <c r="G1112" s="32">
        <v>5</v>
      </c>
      <c r="H1112" s="32">
        <v>2</v>
      </c>
      <c r="I1112" s="32">
        <f>IF(OR(H1112="-",H1112="",H1112=0),IF(G1112="-","-",G1112),G1112-H1112)</f>
        <v>3</v>
      </c>
      <c r="J1112" s="36">
        <f>IFERROR(IF(G1112&gt;0, H1112/G1112, 0),"-")</f>
        <v>0.4</v>
      </c>
      <c r="K1112" s="32" t="s">
        <v>959</v>
      </c>
      <c r="L1112" s="32" t="s">
        <v>959</v>
      </c>
      <c r="M1112" s="32" t="str">
        <f>IF(OR(L1112="-",L1112="",L1112=0),IF(K1112="-","-",K1112),K1112-L1112)</f>
        <v>-</v>
      </c>
      <c r="N1112" s="36" t="str">
        <f>IFERROR(IF(K1112&gt;0, L1112/K1112, 0),"-")</f>
        <v>-</v>
      </c>
      <c r="O1112" s="32">
        <v>2</v>
      </c>
      <c r="P1112" s="32">
        <v>1</v>
      </c>
      <c r="Q1112" s="32">
        <f>IF(OR(P1112="-",P1112="",P1112=0),IF(O1112="-","-",O1112),O1112-P1112)</f>
        <v>1</v>
      </c>
      <c r="R1112" s="36">
        <f>IFERROR(IF(O1112&gt;0, P1112/O1112, 0),"-")</f>
        <v>0.5</v>
      </c>
      <c r="S1112" s="32">
        <v>2</v>
      </c>
      <c r="T1112" s="32" t="s">
        <v>959</v>
      </c>
      <c r="U1112" s="32" t="s">
        <v>959</v>
      </c>
      <c r="V1112" s="32" t="s">
        <v>959</v>
      </c>
      <c r="W1112" s="32" t="s">
        <v>959</v>
      </c>
    </row>
    <row r="1113" spans="1:23" x14ac:dyDescent="0.2">
      <c r="A1113" s="30" t="s">
        <v>187</v>
      </c>
      <c r="B1113" s="30" t="s">
        <v>1718</v>
      </c>
      <c r="C1113" s="34">
        <v>96</v>
      </c>
      <c r="D1113" s="35">
        <v>96</v>
      </c>
      <c r="E1113" s="34">
        <f>IF(OR(D1113="-",D1113="",D1113=0),IF(C1113="-","-",C1113),C1113-D1113)</f>
        <v>0</v>
      </c>
      <c r="F1113" s="4">
        <f>IFERROR(IF(C1113&gt;0, D1113/C1113, 0),"-")</f>
        <v>1</v>
      </c>
      <c r="G1113" s="34">
        <v>1</v>
      </c>
      <c r="H1113" s="35">
        <v>1</v>
      </c>
      <c r="I1113" s="34">
        <f>IF(OR(H1113="-",H1113="",H1113=0),IF(G1113="-","-",G1113),G1113-H1113)</f>
        <v>0</v>
      </c>
      <c r="J1113" s="4">
        <f>IFERROR(IF(G1113&gt;0, H1113/G1113, 0),"-")</f>
        <v>1</v>
      </c>
      <c r="K1113" s="34" t="s">
        <v>959</v>
      </c>
      <c r="L1113" s="35" t="s">
        <v>959</v>
      </c>
      <c r="M1113" s="34" t="str">
        <f>IF(OR(L1113="-",L1113="",L1113=0),IF(K1113="-","-",K1113),K1113-L1113)</f>
        <v>-</v>
      </c>
      <c r="N1113" s="4" t="str">
        <f>IFERROR(IF(K1113&gt;0, L1113/K1113, 0),"-")</f>
        <v>-</v>
      </c>
      <c r="O1113" s="34">
        <v>1</v>
      </c>
      <c r="P1113" s="35" t="s">
        <v>959</v>
      </c>
      <c r="Q1113" s="34">
        <f>IF(OR(P1113="-",P1113="",P1113=0),IF(O1113="-","-",O1113),O1113-P1113)</f>
        <v>1</v>
      </c>
      <c r="R1113" s="4" t="str">
        <f>IFERROR(IF(O1113&gt;0, P1113/O1113, 0),"-")</f>
        <v>-</v>
      </c>
      <c r="S1113" s="34">
        <v>1</v>
      </c>
      <c r="T1113" s="34" t="s">
        <v>959</v>
      </c>
      <c r="U1113" s="34" t="s">
        <v>959</v>
      </c>
      <c r="V1113" s="35" t="s">
        <v>959</v>
      </c>
      <c r="W1113" s="35" t="s">
        <v>959</v>
      </c>
    </row>
    <row r="1114" spans="1:23" x14ac:dyDescent="0.2">
      <c r="A1114" s="30" t="s">
        <v>184</v>
      </c>
      <c r="B1114" s="30" t="s">
        <v>1719</v>
      </c>
      <c r="C1114" s="34">
        <v>118</v>
      </c>
      <c r="D1114" s="35">
        <v>114</v>
      </c>
      <c r="E1114" s="34">
        <f>IF(OR(D1114="-",D1114="",D1114=0),IF(C1114="-","-",C1114),C1114-D1114)</f>
        <v>4</v>
      </c>
      <c r="F1114" s="4">
        <f>IFERROR(IF(C1114&gt;0, D1114/C1114, 0),"-")</f>
        <v>0.96610169491525422</v>
      </c>
      <c r="G1114" s="34">
        <v>3</v>
      </c>
      <c r="H1114" s="35">
        <v>1</v>
      </c>
      <c r="I1114" s="34">
        <f>IF(OR(H1114="-",H1114="",H1114=0),IF(G1114="-","-",G1114),G1114-H1114)</f>
        <v>2</v>
      </c>
      <c r="J1114" s="4">
        <f>IFERROR(IF(G1114&gt;0, H1114/G1114, 0),"-")</f>
        <v>0.33333333333333331</v>
      </c>
      <c r="K1114" s="34" t="s">
        <v>959</v>
      </c>
      <c r="L1114" s="35" t="s">
        <v>959</v>
      </c>
      <c r="M1114" s="34" t="str">
        <f>IF(OR(L1114="-",L1114="",L1114=0),IF(K1114="-","-",K1114),K1114-L1114)</f>
        <v>-</v>
      </c>
      <c r="N1114" s="4" t="str">
        <f>IFERROR(IF(K1114&gt;0, L1114/K1114, 0),"-")</f>
        <v>-</v>
      </c>
      <c r="O1114" s="34" t="s">
        <v>959</v>
      </c>
      <c r="P1114" s="35" t="s">
        <v>959</v>
      </c>
      <c r="Q1114" s="34" t="str">
        <f>IF(OR(P1114="-",P1114="",P1114=0),IF(O1114="-","-",O1114),O1114-P1114)</f>
        <v>-</v>
      </c>
      <c r="R1114" s="4" t="str">
        <f>IFERROR(IF(O1114&gt;0, P1114/O1114, 0),"-")</f>
        <v>-</v>
      </c>
      <c r="S1114" s="34">
        <v>1</v>
      </c>
      <c r="T1114" s="34" t="s">
        <v>959</v>
      </c>
      <c r="U1114" s="34" t="s">
        <v>959</v>
      </c>
      <c r="V1114" s="35" t="s">
        <v>959</v>
      </c>
      <c r="W1114" s="35" t="s">
        <v>959</v>
      </c>
    </row>
    <row r="1115" spans="1:23" x14ac:dyDescent="0.2">
      <c r="A1115" s="30" t="s">
        <v>183</v>
      </c>
      <c r="B1115" s="30" t="s">
        <v>1720</v>
      </c>
      <c r="C1115" s="34">
        <v>81</v>
      </c>
      <c r="D1115" s="35">
        <v>81</v>
      </c>
      <c r="E1115" s="34">
        <f>IF(OR(D1115="-",D1115="",D1115=0),IF(C1115="-","-",C1115),C1115-D1115)</f>
        <v>0</v>
      </c>
      <c r="F1115" s="4">
        <f>IFERROR(IF(C1115&gt;0, D1115/C1115, 0),"-")</f>
        <v>1</v>
      </c>
      <c r="G1115" s="34" t="s">
        <v>959</v>
      </c>
      <c r="H1115" s="35" t="s">
        <v>959</v>
      </c>
      <c r="I1115" s="34" t="str">
        <f>IF(OR(H1115="-",H1115="",H1115=0),IF(G1115="-","-",G1115),G1115-H1115)</f>
        <v>-</v>
      </c>
      <c r="J1115" s="4" t="str">
        <f>IFERROR(IF(G1115&gt;0, H1115/G1115, 0),"-")</f>
        <v>-</v>
      </c>
      <c r="K1115" s="34" t="s">
        <v>959</v>
      </c>
      <c r="L1115" s="35" t="s">
        <v>959</v>
      </c>
      <c r="M1115" s="34" t="str">
        <f>IF(OR(L1115="-",L1115="",L1115=0),IF(K1115="-","-",K1115),K1115-L1115)</f>
        <v>-</v>
      </c>
      <c r="N1115" s="4" t="str">
        <f>IFERROR(IF(K1115&gt;0, L1115/K1115, 0),"-")</f>
        <v>-</v>
      </c>
      <c r="O1115" s="34" t="s">
        <v>959</v>
      </c>
      <c r="P1115" s="35" t="s">
        <v>959</v>
      </c>
      <c r="Q1115" s="34" t="str">
        <f>IF(OR(P1115="-",P1115="",P1115=0),IF(O1115="-","-",O1115),O1115-P1115)</f>
        <v>-</v>
      </c>
      <c r="R1115" s="4" t="str">
        <f>IFERROR(IF(O1115&gt;0, P1115/O1115, 0),"-")</f>
        <v>-</v>
      </c>
      <c r="S1115" s="34" t="s">
        <v>959</v>
      </c>
      <c r="T1115" s="34" t="s">
        <v>959</v>
      </c>
      <c r="U1115" s="34" t="s">
        <v>959</v>
      </c>
      <c r="V1115" s="35" t="s">
        <v>959</v>
      </c>
      <c r="W1115" s="35" t="s">
        <v>959</v>
      </c>
    </row>
    <row r="1116" spans="1:23" x14ac:dyDescent="0.2">
      <c r="A1116" s="30" t="s">
        <v>185</v>
      </c>
      <c r="B1116" s="30" t="s">
        <v>1721</v>
      </c>
      <c r="C1116" s="34">
        <v>121</v>
      </c>
      <c r="D1116" s="35">
        <v>121</v>
      </c>
      <c r="E1116" s="34">
        <f>IF(OR(D1116="-",D1116="",D1116=0),IF(C1116="-","-",C1116),C1116-D1116)</f>
        <v>0</v>
      </c>
      <c r="F1116" s="4">
        <f>IFERROR(IF(C1116&gt;0, D1116/C1116, 0),"-")</f>
        <v>1</v>
      </c>
      <c r="G1116" s="34" t="s">
        <v>959</v>
      </c>
      <c r="H1116" s="35" t="s">
        <v>959</v>
      </c>
      <c r="I1116" s="34" t="str">
        <f>IF(OR(H1116="-",H1116="",H1116=0),IF(G1116="-","-",G1116),G1116-H1116)</f>
        <v>-</v>
      </c>
      <c r="J1116" s="4" t="str">
        <f>IFERROR(IF(G1116&gt;0, H1116/G1116, 0),"-")</f>
        <v>-</v>
      </c>
      <c r="K1116" s="34" t="s">
        <v>959</v>
      </c>
      <c r="L1116" s="35" t="s">
        <v>959</v>
      </c>
      <c r="M1116" s="34" t="str">
        <f>IF(OR(L1116="-",L1116="",L1116=0),IF(K1116="-","-",K1116),K1116-L1116)</f>
        <v>-</v>
      </c>
      <c r="N1116" s="4" t="str">
        <f>IFERROR(IF(K1116&gt;0, L1116/K1116, 0),"-")</f>
        <v>-</v>
      </c>
      <c r="O1116" s="34" t="s">
        <v>959</v>
      </c>
      <c r="P1116" s="35" t="s">
        <v>959</v>
      </c>
      <c r="Q1116" s="34" t="str">
        <f>IF(OR(P1116="-",P1116="",P1116=0),IF(O1116="-","-",O1116),O1116-P1116)</f>
        <v>-</v>
      </c>
      <c r="R1116" s="4" t="str">
        <f>IFERROR(IF(O1116&gt;0, P1116/O1116, 0),"-")</f>
        <v>-</v>
      </c>
      <c r="S1116" s="34" t="s">
        <v>959</v>
      </c>
      <c r="T1116" s="34" t="s">
        <v>959</v>
      </c>
      <c r="U1116" s="34" t="s">
        <v>959</v>
      </c>
      <c r="V1116" s="35" t="s">
        <v>959</v>
      </c>
      <c r="W1116" s="35" t="s">
        <v>959</v>
      </c>
    </row>
    <row r="1117" spans="1:23" x14ac:dyDescent="0.2">
      <c r="A1117" s="30" t="s">
        <v>186</v>
      </c>
      <c r="B1117" s="30" t="s">
        <v>1722</v>
      </c>
      <c r="C1117" s="34">
        <v>116</v>
      </c>
      <c r="D1117" s="35">
        <v>112</v>
      </c>
      <c r="E1117" s="34">
        <f>IF(OR(D1117="-",D1117="",D1117=0),IF(C1117="-","-",C1117),C1117-D1117)</f>
        <v>4</v>
      </c>
      <c r="F1117" s="4">
        <f>IFERROR(IF(C1117&gt;0, D1117/C1117, 0),"-")</f>
        <v>0.96551724137931039</v>
      </c>
      <c r="G1117" s="34">
        <v>1</v>
      </c>
      <c r="H1117" s="35" t="s">
        <v>959</v>
      </c>
      <c r="I1117" s="34">
        <f>IF(OR(H1117="-",H1117="",H1117=0),IF(G1117="-","-",G1117),G1117-H1117)</f>
        <v>1</v>
      </c>
      <c r="J1117" s="4" t="str">
        <f>IFERROR(IF(G1117&gt;0, H1117/G1117, 0),"-")</f>
        <v>-</v>
      </c>
      <c r="K1117" s="34" t="s">
        <v>959</v>
      </c>
      <c r="L1117" s="35" t="s">
        <v>959</v>
      </c>
      <c r="M1117" s="34" t="str">
        <f>IF(OR(L1117="-",L1117="",L1117=0),IF(K1117="-","-",K1117),K1117-L1117)</f>
        <v>-</v>
      </c>
      <c r="N1117" s="4" t="str">
        <f>IFERROR(IF(K1117&gt;0, L1117/K1117, 0),"-")</f>
        <v>-</v>
      </c>
      <c r="O1117" s="34">
        <v>1</v>
      </c>
      <c r="P1117" s="35">
        <v>1</v>
      </c>
      <c r="Q1117" s="34">
        <f>IF(OR(P1117="-",P1117="",P1117=0),IF(O1117="-","-",O1117),O1117-P1117)</f>
        <v>0</v>
      </c>
      <c r="R1117" s="4">
        <f>IFERROR(IF(O1117&gt;0, P1117/O1117, 0),"-")</f>
        <v>1</v>
      </c>
      <c r="S1117" s="34" t="s">
        <v>959</v>
      </c>
      <c r="T1117" s="34" t="s">
        <v>959</v>
      </c>
      <c r="U1117" s="34" t="s">
        <v>959</v>
      </c>
      <c r="V1117" s="35" t="s">
        <v>959</v>
      </c>
      <c r="W1117" s="35" t="s">
        <v>959</v>
      </c>
    </row>
    <row r="1118" spans="1:23" x14ac:dyDescent="0.2">
      <c r="A1118" s="30" t="s">
        <v>220</v>
      </c>
      <c r="B1118" s="30" t="s">
        <v>1723</v>
      </c>
      <c r="C1118" s="34">
        <v>3</v>
      </c>
      <c r="D1118" s="35">
        <v>3</v>
      </c>
      <c r="E1118" s="34">
        <f>IF(OR(D1118="-",D1118="",D1118=0),IF(C1118="-","-",C1118),C1118-D1118)</f>
        <v>0</v>
      </c>
      <c r="F1118" s="4">
        <f>IFERROR(IF(C1118&gt;0, D1118/C1118, 0),"-")</f>
        <v>1</v>
      </c>
      <c r="G1118" s="34" t="s">
        <v>959</v>
      </c>
      <c r="H1118" s="35" t="s">
        <v>959</v>
      </c>
      <c r="I1118" s="34" t="str">
        <f>IF(OR(H1118="-",H1118="",H1118=0),IF(G1118="-","-",G1118),G1118-H1118)</f>
        <v>-</v>
      </c>
      <c r="J1118" s="4" t="str">
        <f>IFERROR(IF(G1118&gt;0, H1118/G1118, 0),"-")</f>
        <v>-</v>
      </c>
      <c r="K1118" s="34" t="s">
        <v>959</v>
      </c>
      <c r="L1118" s="35" t="s">
        <v>959</v>
      </c>
      <c r="M1118" s="34" t="str">
        <f>IF(OR(L1118="-",L1118="",L1118=0),IF(K1118="-","-",K1118),K1118-L1118)</f>
        <v>-</v>
      </c>
      <c r="N1118" s="4" t="str">
        <f>IFERROR(IF(K1118&gt;0, L1118/K1118, 0),"-")</f>
        <v>-</v>
      </c>
      <c r="O1118" s="34" t="s">
        <v>959</v>
      </c>
      <c r="P1118" s="35" t="s">
        <v>959</v>
      </c>
      <c r="Q1118" s="34" t="str">
        <f>IF(OR(P1118="-",P1118="",P1118=0),IF(O1118="-","-",O1118),O1118-P1118)</f>
        <v>-</v>
      </c>
      <c r="R1118" s="4" t="str">
        <f>IFERROR(IF(O1118&gt;0, P1118/O1118, 0),"-")</f>
        <v>-</v>
      </c>
      <c r="S1118" s="34" t="s">
        <v>959</v>
      </c>
      <c r="T1118" s="34" t="s">
        <v>959</v>
      </c>
      <c r="U1118" s="34" t="s">
        <v>959</v>
      </c>
      <c r="V1118" s="35" t="s">
        <v>959</v>
      </c>
      <c r="W1118" s="35" t="s">
        <v>959</v>
      </c>
    </row>
    <row r="1119" spans="1:23" x14ac:dyDescent="0.2">
      <c r="A1119" s="29"/>
      <c r="B1119" s="29" t="s">
        <v>123</v>
      </c>
      <c r="C1119" s="32">
        <v>384</v>
      </c>
      <c r="D1119" s="32">
        <v>382</v>
      </c>
      <c r="E1119" s="32">
        <f>IF(OR(D1119="-",D1119="",D1119=0),IF(C1119="-","-",C1119),C1119-D1119)</f>
        <v>2</v>
      </c>
      <c r="F1119" s="36">
        <f>IFERROR(IF(C1119&gt;0, D1119/C1119, 0),"-")</f>
        <v>0.99479166666666663</v>
      </c>
      <c r="G1119" s="32" t="s">
        <v>959</v>
      </c>
      <c r="H1119" s="32" t="s">
        <v>959</v>
      </c>
      <c r="I1119" s="32" t="str">
        <f>IF(OR(H1119="-",H1119="",H1119=0),IF(G1119="-","-",G1119),G1119-H1119)</f>
        <v>-</v>
      </c>
      <c r="J1119" s="36" t="str">
        <f>IFERROR(IF(G1119&gt;0, H1119/G1119, 0),"-")</f>
        <v>-</v>
      </c>
      <c r="K1119" s="32">
        <v>1</v>
      </c>
      <c r="L1119" s="32">
        <v>1</v>
      </c>
      <c r="M1119" s="32">
        <f>IF(OR(L1119="-",L1119="",L1119=0),IF(K1119="-","-",K1119),K1119-L1119)</f>
        <v>0</v>
      </c>
      <c r="N1119" s="36">
        <f>IFERROR(IF(K1119&gt;0, L1119/K1119, 0),"-")</f>
        <v>1</v>
      </c>
      <c r="O1119" s="32">
        <v>3</v>
      </c>
      <c r="P1119" s="32" t="s">
        <v>959</v>
      </c>
      <c r="Q1119" s="32">
        <f>IF(OR(P1119="-",P1119="",P1119=0),IF(O1119="-","-",O1119),O1119-P1119)</f>
        <v>3</v>
      </c>
      <c r="R1119" s="36" t="str">
        <f>IFERROR(IF(O1119&gt;0, P1119/O1119, 0),"-")</f>
        <v>-</v>
      </c>
      <c r="S1119" s="32">
        <v>1</v>
      </c>
      <c r="T1119" s="32" t="s">
        <v>959</v>
      </c>
      <c r="U1119" s="32" t="s">
        <v>959</v>
      </c>
      <c r="V1119" s="32" t="s">
        <v>959</v>
      </c>
      <c r="W1119" s="32" t="s">
        <v>959</v>
      </c>
    </row>
    <row r="1120" spans="1:23" x14ac:dyDescent="0.2">
      <c r="A1120" s="30" t="s">
        <v>871</v>
      </c>
      <c r="B1120" s="30" t="s">
        <v>1724</v>
      </c>
      <c r="C1120" s="34">
        <v>25</v>
      </c>
      <c r="D1120" s="35">
        <v>25</v>
      </c>
      <c r="E1120" s="34">
        <f>IF(OR(D1120="-",D1120="",D1120=0),IF(C1120="-","-",C1120),C1120-D1120)</f>
        <v>0</v>
      </c>
      <c r="F1120" s="4">
        <f>IFERROR(IF(C1120&gt;0, D1120/C1120, 0),"-")</f>
        <v>1</v>
      </c>
      <c r="G1120" s="34" t="s">
        <v>959</v>
      </c>
      <c r="H1120" s="35" t="s">
        <v>959</v>
      </c>
      <c r="I1120" s="34" t="str">
        <f>IF(OR(H1120="-",H1120="",H1120=0),IF(G1120="-","-",G1120),G1120-H1120)</f>
        <v>-</v>
      </c>
      <c r="J1120" s="4" t="str">
        <f>IFERROR(IF(G1120&gt;0, H1120/G1120, 0),"-")</f>
        <v>-</v>
      </c>
      <c r="K1120" s="34" t="s">
        <v>959</v>
      </c>
      <c r="L1120" s="35" t="s">
        <v>959</v>
      </c>
      <c r="M1120" s="34" t="str">
        <f>IF(OR(L1120="-",L1120="",L1120=0),IF(K1120="-","-",K1120),K1120-L1120)</f>
        <v>-</v>
      </c>
      <c r="N1120" s="4" t="str">
        <f>IFERROR(IF(K1120&gt;0, L1120/K1120, 0),"-")</f>
        <v>-</v>
      </c>
      <c r="O1120" s="34" t="s">
        <v>959</v>
      </c>
      <c r="P1120" s="35" t="s">
        <v>959</v>
      </c>
      <c r="Q1120" s="34" t="str">
        <f>IF(OR(P1120="-",P1120="",P1120=0),IF(O1120="-","-",O1120),O1120-P1120)</f>
        <v>-</v>
      </c>
      <c r="R1120" s="4" t="str">
        <f>IFERROR(IF(O1120&gt;0, P1120/O1120, 0),"-")</f>
        <v>-</v>
      </c>
      <c r="S1120" s="34" t="s">
        <v>959</v>
      </c>
      <c r="T1120" s="34" t="s">
        <v>959</v>
      </c>
      <c r="U1120" s="34" t="s">
        <v>959</v>
      </c>
      <c r="V1120" s="35" t="s">
        <v>959</v>
      </c>
      <c r="W1120" s="35" t="s">
        <v>959</v>
      </c>
    </row>
    <row r="1121" spans="1:23" x14ac:dyDescent="0.2">
      <c r="A1121" s="30" t="s">
        <v>869</v>
      </c>
      <c r="B1121" s="30" t="s">
        <v>1725</v>
      </c>
      <c r="C1121" s="34">
        <v>101</v>
      </c>
      <c r="D1121" s="35">
        <v>101</v>
      </c>
      <c r="E1121" s="34">
        <f>IF(OR(D1121="-",D1121="",D1121=0),IF(C1121="-","-",C1121),C1121-D1121)</f>
        <v>0</v>
      </c>
      <c r="F1121" s="4">
        <f>IFERROR(IF(C1121&gt;0, D1121/C1121, 0),"-")</f>
        <v>1</v>
      </c>
      <c r="G1121" s="34" t="s">
        <v>959</v>
      </c>
      <c r="H1121" s="35" t="s">
        <v>959</v>
      </c>
      <c r="I1121" s="34" t="str">
        <f>IF(OR(H1121="-",H1121="",H1121=0),IF(G1121="-","-",G1121),G1121-H1121)</f>
        <v>-</v>
      </c>
      <c r="J1121" s="4" t="str">
        <f>IFERROR(IF(G1121&gt;0, H1121/G1121, 0),"-")</f>
        <v>-</v>
      </c>
      <c r="K1121" s="34" t="s">
        <v>959</v>
      </c>
      <c r="L1121" s="35" t="s">
        <v>959</v>
      </c>
      <c r="M1121" s="34" t="str">
        <f>IF(OR(L1121="-",L1121="",L1121=0),IF(K1121="-","-",K1121),K1121-L1121)</f>
        <v>-</v>
      </c>
      <c r="N1121" s="4" t="str">
        <f>IFERROR(IF(K1121&gt;0, L1121/K1121, 0),"-")</f>
        <v>-</v>
      </c>
      <c r="O1121" s="34" t="s">
        <v>959</v>
      </c>
      <c r="P1121" s="35" t="s">
        <v>959</v>
      </c>
      <c r="Q1121" s="34" t="str">
        <f>IF(OR(P1121="-",P1121="",P1121=0),IF(O1121="-","-",O1121),O1121-P1121)</f>
        <v>-</v>
      </c>
      <c r="R1121" s="4" t="str">
        <f>IFERROR(IF(O1121&gt;0, P1121/O1121, 0),"-")</f>
        <v>-</v>
      </c>
      <c r="S1121" s="34" t="s">
        <v>959</v>
      </c>
      <c r="T1121" s="34" t="s">
        <v>959</v>
      </c>
      <c r="U1121" s="34" t="s">
        <v>959</v>
      </c>
      <c r="V1121" s="35" t="s">
        <v>959</v>
      </c>
      <c r="W1121" s="35" t="s">
        <v>959</v>
      </c>
    </row>
    <row r="1122" spans="1:23" x14ac:dyDescent="0.2">
      <c r="A1122" s="30" t="s">
        <v>867</v>
      </c>
      <c r="B1122" s="30" t="s">
        <v>1726</v>
      </c>
      <c r="C1122" s="34">
        <v>100</v>
      </c>
      <c r="D1122" s="35">
        <v>99</v>
      </c>
      <c r="E1122" s="34">
        <f>IF(OR(D1122="-",D1122="",D1122=0),IF(C1122="-","-",C1122),C1122-D1122)</f>
        <v>1</v>
      </c>
      <c r="F1122" s="4">
        <f>IFERROR(IF(C1122&gt;0, D1122/C1122, 0),"-")</f>
        <v>0.99</v>
      </c>
      <c r="G1122" s="34" t="s">
        <v>959</v>
      </c>
      <c r="H1122" s="35" t="s">
        <v>959</v>
      </c>
      <c r="I1122" s="34" t="str">
        <f>IF(OR(H1122="-",H1122="",H1122=0),IF(G1122="-","-",G1122),G1122-H1122)</f>
        <v>-</v>
      </c>
      <c r="J1122" s="4" t="str">
        <f>IFERROR(IF(G1122&gt;0, H1122/G1122, 0),"-")</f>
        <v>-</v>
      </c>
      <c r="K1122" s="34" t="s">
        <v>959</v>
      </c>
      <c r="L1122" s="35" t="s">
        <v>959</v>
      </c>
      <c r="M1122" s="34" t="str">
        <f>IF(OR(L1122="-",L1122="",L1122=0),IF(K1122="-","-",K1122),K1122-L1122)</f>
        <v>-</v>
      </c>
      <c r="N1122" s="4" t="str">
        <f>IFERROR(IF(K1122&gt;0, L1122/K1122, 0),"-")</f>
        <v>-</v>
      </c>
      <c r="O1122" s="34">
        <v>2</v>
      </c>
      <c r="P1122" s="35" t="s">
        <v>959</v>
      </c>
      <c r="Q1122" s="34">
        <f>IF(OR(P1122="-",P1122="",P1122=0),IF(O1122="-","-",O1122),O1122-P1122)</f>
        <v>2</v>
      </c>
      <c r="R1122" s="4" t="str">
        <f>IFERROR(IF(O1122&gt;0, P1122/O1122, 0),"-")</f>
        <v>-</v>
      </c>
      <c r="S1122" s="34">
        <v>1</v>
      </c>
      <c r="T1122" s="34" t="s">
        <v>959</v>
      </c>
      <c r="U1122" s="34" t="s">
        <v>959</v>
      </c>
      <c r="V1122" s="35" t="s">
        <v>959</v>
      </c>
      <c r="W1122" s="35" t="s">
        <v>959</v>
      </c>
    </row>
    <row r="1123" spans="1:23" x14ac:dyDescent="0.2">
      <c r="A1123" s="30" t="s">
        <v>868</v>
      </c>
      <c r="B1123" s="30" t="s">
        <v>1727</v>
      </c>
      <c r="C1123" s="34">
        <v>77</v>
      </c>
      <c r="D1123" s="35">
        <v>76</v>
      </c>
      <c r="E1123" s="34">
        <f>IF(OR(D1123="-",D1123="",D1123=0),IF(C1123="-","-",C1123),C1123-D1123)</f>
        <v>1</v>
      </c>
      <c r="F1123" s="4">
        <f>IFERROR(IF(C1123&gt;0, D1123/C1123, 0),"-")</f>
        <v>0.98701298701298701</v>
      </c>
      <c r="G1123" s="34" t="s">
        <v>959</v>
      </c>
      <c r="H1123" s="35" t="s">
        <v>959</v>
      </c>
      <c r="I1123" s="34" t="str">
        <f>IF(OR(H1123="-",H1123="",H1123=0),IF(G1123="-","-",G1123),G1123-H1123)</f>
        <v>-</v>
      </c>
      <c r="J1123" s="4" t="str">
        <f>IFERROR(IF(G1123&gt;0, H1123/G1123, 0),"-")</f>
        <v>-</v>
      </c>
      <c r="K1123" s="34" t="s">
        <v>959</v>
      </c>
      <c r="L1123" s="35" t="s">
        <v>959</v>
      </c>
      <c r="M1123" s="34" t="str">
        <f>IF(OR(L1123="-",L1123="",L1123=0),IF(K1123="-","-",K1123),K1123-L1123)</f>
        <v>-</v>
      </c>
      <c r="N1123" s="4" t="str">
        <f>IFERROR(IF(K1123&gt;0, L1123/K1123, 0),"-")</f>
        <v>-</v>
      </c>
      <c r="O1123" s="34" t="s">
        <v>959</v>
      </c>
      <c r="P1123" s="35" t="s">
        <v>959</v>
      </c>
      <c r="Q1123" s="34" t="str">
        <f>IF(OR(P1123="-",P1123="",P1123=0),IF(O1123="-","-",O1123),O1123-P1123)</f>
        <v>-</v>
      </c>
      <c r="R1123" s="4" t="str">
        <f>IFERROR(IF(O1123&gt;0, P1123/O1123, 0),"-")</f>
        <v>-</v>
      </c>
      <c r="S1123" s="34" t="s">
        <v>959</v>
      </c>
      <c r="T1123" s="34" t="s">
        <v>959</v>
      </c>
      <c r="U1123" s="34" t="s">
        <v>959</v>
      </c>
      <c r="V1123" s="35" t="s">
        <v>959</v>
      </c>
      <c r="W1123" s="35" t="s">
        <v>959</v>
      </c>
    </row>
    <row r="1124" spans="1:23" x14ac:dyDescent="0.2">
      <c r="A1124" s="30" t="s">
        <v>870</v>
      </c>
      <c r="B1124" s="30" t="s">
        <v>1728</v>
      </c>
      <c r="C1124" s="34">
        <v>81</v>
      </c>
      <c r="D1124" s="35">
        <v>81</v>
      </c>
      <c r="E1124" s="34">
        <f>IF(OR(D1124="-",D1124="",D1124=0),IF(C1124="-","-",C1124),C1124-D1124)</f>
        <v>0</v>
      </c>
      <c r="F1124" s="4">
        <f>IFERROR(IF(C1124&gt;0, D1124/C1124, 0),"-")</f>
        <v>1</v>
      </c>
      <c r="G1124" s="34" t="s">
        <v>959</v>
      </c>
      <c r="H1124" s="35" t="s">
        <v>959</v>
      </c>
      <c r="I1124" s="34" t="str">
        <f>IF(OR(H1124="-",H1124="",H1124=0),IF(G1124="-","-",G1124),G1124-H1124)</f>
        <v>-</v>
      </c>
      <c r="J1124" s="4" t="str">
        <f>IFERROR(IF(G1124&gt;0, H1124/G1124, 0),"-")</f>
        <v>-</v>
      </c>
      <c r="K1124" s="34">
        <v>1</v>
      </c>
      <c r="L1124" s="35">
        <v>1</v>
      </c>
      <c r="M1124" s="34">
        <f>IF(OR(L1124="-",L1124="",L1124=0),IF(K1124="-","-",K1124),K1124-L1124)</f>
        <v>0</v>
      </c>
      <c r="N1124" s="4">
        <f>IFERROR(IF(K1124&gt;0, L1124/K1124, 0),"-")</f>
        <v>1</v>
      </c>
      <c r="O1124" s="34">
        <v>1</v>
      </c>
      <c r="P1124" s="35" t="s">
        <v>959</v>
      </c>
      <c r="Q1124" s="34">
        <f>IF(OR(P1124="-",P1124="",P1124=0),IF(O1124="-","-",O1124),O1124-P1124)</f>
        <v>1</v>
      </c>
      <c r="R1124" s="4" t="str">
        <f>IFERROR(IF(O1124&gt;0, P1124/O1124, 0),"-")</f>
        <v>-</v>
      </c>
      <c r="S1124" s="34" t="s">
        <v>959</v>
      </c>
      <c r="T1124" s="34" t="s">
        <v>959</v>
      </c>
      <c r="U1124" s="34" t="s">
        <v>959</v>
      </c>
      <c r="V1124" s="35" t="s">
        <v>959</v>
      </c>
      <c r="W1124" s="35" t="s">
        <v>959</v>
      </c>
    </row>
    <row r="1125" spans="1:23" x14ac:dyDescent="0.2">
      <c r="A1125" s="29"/>
      <c r="B1125" s="29" t="s">
        <v>22</v>
      </c>
      <c r="C1125" s="32">
        <v>638</v>
      </c>
      <c r="D1125" s="32">
        <v>624</v>
      </c>
      <c r="E1125" s="32">
        <f>IF(OR(D1125="-",D1125="",D1125=0),IF(C1125="-","-",C1125),C1125-D1125)</f>
        <v>14</v>
      </c>
      <c r="F1125" s="36">
        <f>IFERROR(IF(C1125&gt;0, D1125/C1125, 0),"-")</f>
        <v>0.9780564263322884</v>
      </c>
      <c r="G1125" s="32">
        <v>4</v>
      </c>
      <c r="H1125" s="32">
        <v>1</v>
      </c>
      <c r="I1125" s="32">
        <f>IF(OR(H1125="-",H1125="",H1125=0),IF(G1125="-","-",G1125),G1125-H1125)</f>
        <v>3</v>
      </c>
      <c r="J1125" s="36">
        <f>IFERROR(IF(G1125&gt;0, H1125/G1125, 0),"-")</f>
        <v>0.25</v>
      </c>
      <c r="K1125" s="32">
        <v>1</v>
      </c>
      <c r="L1125" s="32" t="s">
        <v>959</v>
      </c>
      <c r="M1125" s="32">
        <f>IF(OR(L1125="-",L1125="",L1125=0),IF(K1125="-","-",K1125),K1125-L1125)</f>
        <v>1</v>
      </c>
      <c r="N1125" s="36" t="str">
        <f>IFERROR(IF(K1125&gt;0, L1125/K1125, 0),"-")</f>
        <v>-</v>
      </c>
      <c r="O1125" s="32">
        <v>3</v>
      </c>
      <c r="P1125" s="32" t="s">
        <v>959</v>
      </c>
      <c r="Q1125" s="32">
        <f>IF(OR(P1125="-",P1125="",P1125=0),IF(O1125="-","-",O1125),O1125-P1125)</f>
        <v>3</v>
      </c>
      <c r="R1125" s="36" t="str">
        <f>IFERROR(IF(O1125&gt;0, P1125/O1125, 0),"-")</f>
        <v>-</v>
      </c>
      <c r="S1125" s="32">
        <v>3</v>
      </c>
      <c r="T1125" s="32" t="s">
        <v>959</v>
      </c>
      <c r="U1125" s="32" t="s">
        <v>959</v>
      </c>
      <c r="V1125" s="32" t="s">
        <v>959</v>
      </c>
      <c r="W1125" s="32" t="s">
        <v>959</v>
      </c>
    </row>
    <row r="1126" spans="1:23" x14ac:dyDescent="0.2">
      <c r="A1126" s="30" t="s">
        <v>675</v>
      </c>
      <c r="B1126" s="30" t="s">
        <v>1729</v>
      </c>
      <c r="C1126" s="34">
        <v>123</v>
      </c>
      <c r="D1126" s="35">
        <v>122</v>
      </c>
      <c r="E1126" s="34">
        <f>IF(OR(D1126="-",D1126="",D1126=0),IF(C1126="-","-",C1126),C1126-D1126)</f>
        <v>1</v>
      </c>
      <c r="F1126" s="4">
        <f>IFERROR(IF(C1126&gt;0, D1126/C1126, 0),"-")</f>
        <v>0.99186991869918695</v>
      </c>
      <c r="G1126" s="34" t="s">
        <v>959</v>
      </c>
      <c r="H1126" s="35" t="s">
        <v>959</v>
      </c>
      <c r="I1126" s="34" t="str">
        <f>IF(OR(H1126="-",H1126="",H1126=0),IF(G1126="-","-",G1126),G1126-H1126)</f>
        <v>-</v>
      </c>
      <c r="J1126" s="4" t="str">
        <f>IFERROR(IF(G1126&gt;0, H1126/G1126, 0),"-")</f>
        <v>-</v>
      </c>
      <c r="K1126" s="34" t="s">
        <v>959</v>
      </c>
      <c r="L1126" s="35" t="s">
        <v>959</v>
      </c>
      <c r="M1126" s="34" t="str">
        <f>IF(OR(L1126="-",L1126="",L1126=0),IF(K1126="-","-",K1126),K1126-L1126)</f>
        <v>-</v>
      </c>
      <c r="N1126" s="4" t="str">
        <f>IFERROR(IF(K1126&gt;0, L1126/K1126, 0),"-")</f>
        <v>-</v>
      </c>
      <c r="O1126" s="34" t="s">
        <v>959</v>
      </c>
      <c r="P1126" s="35" t="s">
        <v>959</v>
      </c>
      <c r="Q1126" s="34" t="str">
        <f>IF(OR(P1126="-",P1126="",P1126=0),IF(O1126="-","-",O1126),O1126-P1126)</f>
        <v>-</v>
      </c>
      <c r="R1126" s="4" t="str">
        <f>IFERROR(IF(O1126&gt;0, P1126/O1126, 0),"-")</f>
        <v>-</v>
      </c>
      <c r="S1126" s="34" t="s">
        <v>959</v>
      </c>
      <c r="T1126" s="34" t="s">
        <v>959</v>
      </c>
      <c r="U1126" s="34" t="s">
        <v>959</v>
      </c>
      <c r="V1126" s="35" t="s">
        <v>959</v>
      </c>
      <c r="W1126" s="35" t="s">
        <v>959</v>
      </c>
    </row>
    <row r="1127" spans="1:23" x14ac:dyDescent="0.2">
      <c r="A1127" s="30" t="s">
        <v>674</v>
      </c>
      <c r="B1127" s="30" t="s">
        <v>1730</v>
      </c>
      <c r="C1127" s="34">
        <v>103</v>
      </c>
      <c r="D1127" s="35">
        <v>101</v>
      </c>
      <c r="E1127" s="34">
        <f>IF(OR(D1127="-",D1127="",D1127=0),IF(C1127="-","-",C1127),C1127-D1127)</f>
        <v>2</v>
      </c>
      <c r="F1127" s="4">
        <f>IFERROR(IF(C1127&gt;0, D1127/C1127, 0),"-")</f>
        <v>0.98058252427184467</v>
      </c>
      <c r="G1127" s="34" t="s">
        <v>959</v>
      </c>
      <c r="H1127" s="35" t="s">
        <v>959</v>
      </c>
      <c r="I1127" s="34" t="str">
        <f>IF(OR(H1127="-",H1127="",H1127=0),IF(G1127="-","-",G1127),G1127-H1127)</f>
        <v>-</v>
      </c>
      <c r="J1127" s="4" t="str">
        <f>IFERROR(IF(G1127&gt;0, H1127/G1127, 0),"-")</f>
        <v>-</v>
      </c>
      <c r="K1127" s="34" t="s">
        <v>959</v>
      </c>
      <c r="L1127" s="35" t="s">
        <v>959</v>
      </c>
      <c r="M1127" s="34" t="str">
        <f>IF(OR(L1127="-",L1127="",L1127=0),IF(K1127="-","-",K1127),K1127-L1127)</f>
        <v>-</v>
      </c>
      <c r="N1127" s="4" t="str">
        <f>IFERROR(IF(K1127&gt;0, L1127/K1127, 0),"-")</f>
        <v>-</v>
      </c>
      <c r="O1127" s="34">
        <v>2</v>
      </c>
      <c r="P1127" s="35" t="s">
        <v>959</v>
      </c>
      <c r="Q1127" s="34">
        <f>IF(OR(P1127="-",P1127="",P1127=0),IF(O1127="-","-",O1127),O1127-P1127)</f>
        <v>2</v>
      </c>
      <c r="R1127" s="4" t="str">
        <f>IFERROR(IF(O1127&gt;0, P1127/O1127, 0),"-")</f>
        <v>-</v>
      </c>
      <c r="S1127" s="34" t="s">
        <v>959</v>
      </c>
      <c r="T1127" s="34" t="s">
        <v>959</v>
      </c>
      <c r="U1127" s="34" t="s">
        <v>959</v>
      </c>
      <c r="V1127" s="35" t="s">
        <v>959</v>
      </c>
      <c r="W1127" s="35" t="s">
        <v>959</v>
      </c>
    </row>
    <row r="1128" spans="1:23" x14ac:dyDescent="0.2">
      <c r="A1128" s="30" t="s">
        <v>673</v>
      </c>
      <c r="B1128" s="30" t="s">
        <v>1731</v>
      </c>
      <c r="C1128" s="34">
        <v>60</v>
      </c>
      <c r="D1128" s="35">
        <v>58</v>
      </c>
      <c r="E1128" s="34">
        <f>IF(OR(D1128="-",D1128="",D1128=0),IF(C1128="-","-",C1128),C1128-D1128)</f>
        <v>2</v>
      </c>
      <c r="F1128" s="4">
        <f>IFERROR(IF(C1128&gt;0, D1128/C1128, 0),"-")</f>
        <v>0.96666666666666667</v>
      </c>
      <c r="G1128" s="34">
        <v>1</v>
      </c>
      <c r="H1128" s="35" t="s">
        <v>959</v>
      </c>
      <c r="I1128" s="34">
        <f>IF(OR(H1128="-",H1128="",H1128=0),IF(G1128="-","-",G1128),G1128-H1128)</f>
        <v>1</v>
      </c>
      <c r="J1128" s="4" t="str">
        <f>IFERROR(IF(G1128&gt;0, H1128/G1128, 0),"-")</f>
        <v>-</v>
      </c>
      <c r="K1128" s="34" t="s">
        <v>959</v>
      </c>
      <c r="L1128" s="35" t="s">
        <v>959</v>
      </c>
      <c r="M1128" s="34" t="str">
        <f>IF(OR(L1128="-",L1128="",L1128=0),IF(K1128="-","-",K1128),K1128-L1128)</f>
        <v>-</v>
      </c>
      <c r="N1128" s="4" t="str">
        <f>IFERROR(IF(K1128&gt;0, L1128/K1128, 0),"-")</f>
        <v>-</v>
      </c>
      <c r="O1128" s="34" t="s">
        <v>959</v>
      </c>
      <c r="P1128" s="35" t="s">
        <v>959</v>
      </c>
      <c r="Q1128" s="34" t="str">
        <f>IF(OR(P1128="-",P1128="",P1128=0),IF(O1128="-","-",O1128),O1128-P1128)</f>
        <v>-</v>
      </c>
      <c r="R1128" s="4" t="str">
        <f>IFERROR(IF(O1128&gt;0, P1128/O1128, 0),"-")</f>
        <v>-</v>
      </c>
      <c r="S1128" s="34">
        <v>3</v>
      </c>
      <c r="T1128" s="34" t="s">
        <v>959</v>
      </c>
      <c r="U1128" s="34" t="s">
        <v>959</v>
      </c>
      <c r="V1128" s="35" t="s">
        <v>959</v>
      </c>
      <c r="W1128" s="35" t="s">
        <v>959</v>
      </c>
    </row>
    <row r="1129" spans="1:23" x14ac:dyDescent="0.2">
      <c r="A1129" s="30" t="s">
        <v>676</v>
      </c>
      <c r="B1129" s="30" t="s">
        <v>1732</v>
      </c>
      <c r="C1129" s="34">
        <v>139</v>
      </c>
      <c r="D1129" s="35">
        <v>138</v>
      </c>
      <c r="E1129" s="34">
        <f>IF(OR(D1129="-",D1129="",D1129=0),IF(C1129="-","-",C1129),C1129-D1129)</f>
        <v>1</v>
      </c>
      <c r="F1129" s="4">
        <f>IFERROR(IF(C1129&gt;0, D1129/C1129, 0),"-")</f>
        <v>0.9928057553956835</v>
      </c>
      <c r="G1129" s="34">
        <v>1</v>
      </c>
      <c r="H1129" s="35">
        <v>1</v>
      </c>
      <c r="I1129" s="34">
        <f>IF(OR(H1129="-",H1129="",H1129=0),IF(G1129="-","-",G1129),G1129-H1129)</f>
        <v>0</v>
      </c>
      <c r="J1129" s="4">
        <f>IFERROR(IF(G1129&gt;0, H1129/G1129, 0),"-")</f>
        <v>1</v>
      </c>
      <c r="K1129" s="34" t="s">
        <v>959</v>
      </c>
      <c r="L1129" s="35" t="s">
        <v>959</v>
      </c>
      <c r="M1129" s="34" t="str">
        <f>IF(OR(L1129="-",L1129="",L1129=0),IF(K1129="-","-",K1129),K1129-L1129)</f>
        <v>-</v>
      </c>
      <c r="N1129" s="4" t="str">
        <f>IFERROR(IF(K1129&gt;0, L1129/K1129, 0),"-")</f>
        <v>-</v>
      </c>
      <c r="O1129" s="34" t="s">
        <v>959</v>
      </c>
      <c r="P1129" s="35" t="s">
        <v>959</v>
      </c>
      <c r="Q1129" s="34" t="str">
        <f>IF(OR(P1129="-",P1129="",P1129=0),IF(O1129="-","-",O1129),O1129-P1129)</f>
        <v>-</v>
      </c>
      <c r="R1129" s="4" t="str">
        <f>IFERROR(IF(O1129&gt;0, P1129/O1129, 0),"-")</f>
        <v>-</v>
      </c>
      <c r="S1129" s="34" t="s">
        <v>959</v>
      </c>
      <c r="T1129" s="34" t="s">
        <v>959</v>
      </c>
      <c r="U1129" s="34" t="s">
        <v>959</v>
      </c>
      <c r="V1129" s="35" t="s">
        <v>959</v>
      </c>
      <c r="W1129" s="35" t="s">
        <v>959</v>
      </c>
    </row>
    <row r="1130" spans="1:23" x14ac:dyDescent="0.2">
      <c r="A1130" s="30" t="s">
        <v>672</v>
      </c>
      <c r="B1130" s="30" t="s">
        <v>1733</v>
      </c>
      <c r="C1130" s="34">
        <v>69</v>
      </c>
      <c r="D1130" s="35">
        <v>66</v>
      </c>
      <c r="E1130" s="34">
        <f>IF(OR(D1130="-",D1130="",D1130=0),IF(C1130="-","-",C1130),C1130-D1130)</f>
        <v>3</v>
      </c>
      <c r="F1130" s="4">
        <f>IFERROR(IF(C1130&gt;0, D1130/C1130, 0),"-")</f>
        <v>0.95652173913043481</v>
      </c>
      <c r="G1130" s="34">
        <v>1</v>
      </c>
      <c r="H1130" s="35" t="s">
        <v>959</v>
      </c>
      <c r="I1130" s="34">
        <f>IF(OR(H1130="-",H1130="",H1130=0),IF(G1130="-","-",G1130),G1130-H1130)</f>
        <v>1</v>
      </c>
      <c r="J1130" s="4" t="str">
        <f>IFERROR(IF(G1130&gt;0, H1130/G1130, 0),"-")</f>
        <v>-</v>
      </c>
      <c r="K1130" s="34">
        <v>1</v>
      </c>
      <c r="L1130" s="35" t="s">
        <v>959</v>
      </c>
      <c r="M1130" s="34">
        <f>IF(OR(L1130="-",L1130="",L1130=0),IF(K1130="-","-",K1130),K1130-L1130)</f>
        <v>1</v>
      </c>
      <c r="N1130" s="4" t="str">
        <f>IFERROR(IF(K1130&gt;0, L1130/K1130, 0),"-")</f>
        <v>-</v>
      </c>
      <c r="O1130" s="34">
        <v>1</v>
      </c>
      <c r="P1130" s="35" t="s">
        <v>959</v>
      </c>
      <c r="Q1130" s="34">
        <f>IF(OR(P1130="-",P1130="",P1130=0),IF(O1130="-","-",O1130),O1130-P1130)</f>
        <v>1</v>
      </c>
      <c r="R1130" s="4" t="str">
        <f>IFERROR(IF(O1130&gt;0, P1130/O1130, 0),"-")</f>
        <v>-</v>
      </c>
      <c r="S1130" s="34" t="s">
        <v>959</v>
      </c>
      <c r="T1130" s="34" t="s">
        <v>959</v>
      </c>
      <c r="U1130" s="34" t="s">
        <v>959</v>
      </c>
      <c r="V1130" s="35" t="s">
        <v>959</v>
      </c>
      <c r="W1130" s="35" t="s">
        <v>959</v>
      </c>
    </row>
    <row r="1131" spans="1:23" x14ac:dyDescent="0.2">
      <c r="A1131" s="30" t="s">
        <v>671</v>
      </c>
      <c r="B1131" s="30" t="s">
        <v>1734</v>
      </c>
      <c r="C1131" s="34">
        <v>144</v>
      </c>
      <c r="D1131" s="35">
        <v>139</v>
      </c>
      <c r="E1131" s="34">
        <f>IF(OR(D1131="-",D1131="",D1131=0),IF(C1131="-","-",C1131),C1131-D1131)</f>
        <v>5</v>
      </c>
      <c r="F1131" s="4">
        <f>IFERROR(IF(C1131&gt;0, D1131/C1131, 0),"-")</f>
        <v>0.96527777777777779</v>
      </c>
      <c r="G1131" s="34">
        <v>1</v>
      </c>
      <c r="H1131" s="35" t="s">
        <v>959</v>
      </c>
      <c r="I1131" s="34">
        <f>IF(OR(H1131="-",H1131="",H1131=0),IF(G1131="-","-",G1131),G1131-H1131)</f>
        <v>1</v>
      </c>
      <c r="J1131" s="4" t="str">
        <f>IFERROR(IF(G1131&gt;0, H1131/G1131, 0),"-")</f>
        <v>-</v>
      </c>
      <c r="K1131" s="34" t="s">
        <v>959</v>
      </c>
      <c r="L1131" s="35" t="s">
        <v>959</v>
      </c>
      <c r="M1131" s="34" t="str">
        <f>IF(OR(L1131="-",L1131="",L1131=0),IF(K1131="-","-",K1131),K1131-L1131)</f>
        <v>-</v>
      </c>
      <c r="N1131" s="4" t="str">
        <f>IFERROR(IF(K1131&gt;0, L1131/K1131, 0),"-")</f>
        <v>-</v>
      </c>
      <c r="O1131" s="34" t="s">
        <v>959</v>
      </c>
      <c r="P1131" s="35" t="s">
        <v>959</v>
      </c>
      <c r="Q1131" s="34" t="str">
        <f>IF(OR(P1131="-",P1131="",P1131=0),IF(O1131="-","-",O1131),O1131-P1131)</f>
        <v>-</v>
      </c>
      <c r="R1131" s="4" t="str">
        <f>IFERROR(IF(O1131&gt;0, P1131/O1131, 0),"-")</f>
        <v>-</v>
      </c>
      <c r="S1131" s="34" t="s">
        <v>959</v>
      </c>
      <c r="T1131" s="34" t="s">
        <v>959</v>
      </c>
      <c r="U1131" s="34" t="s">
        <v>959</v>
      </c>
      <c r="V1131" s="35" t="s">
        <v>959</v>
      </c>
      <c r="W1131" s="35" t="s">
        <v>959</v>
      </c>
    </row>
    <row r="1132" spans="1:23" x14ac:dyDescent="0.2">
      <c r="A1132" s="29"/>
      <c r="B1132" s="29" t="s">
        <v>1</v>
      </c>
      <c r="C1132" s="32">
        <v>678</v>
      </c>
      <c r="D1132" s="32">
        <v>655</v>
      </c>
      <c r="E1132" s="32">
        <f>IF(OR(D1132="-",D1132="",D1132=0),IF(C1132="-","-",C1132),C1132-D1132)</f>
        <v>23</v>
      </c>
      <c r="F1132" s="36">
        <f>IFERROR(IF(C1132&gt;0, D1132/C1132, 0),"-")</f>
        <v>0.96607669616519176</v>
      </c>
      <c r="G1132" s="32">
        <v>16</v>
      </c>
      <c r="H1132" s="32">
        <v>6</v>
      </c>
      <c r="I1132" s="32">
        <f>IF(OR(H1132="-",H1132="",H1132=0),IF(G1132="-","-",G1132),G1132-H1132)</f>
        <v>10</v>
      </c>
      <c r="J1132" s="36">
        <f>IFERROR(IF(G1132&gt;0, H1132/G1132, 0),"-")</f>
        <v>0.375</v>
      </c>
      <c r="K1132" s="32">
        <v>9</v>
      </c>
      <c r="L1132" s="32">
        <v>1</v>
      </c>
      <c r="M1132" s="32">
        <f>IF(OR(L1132="-",L1132="",L1132=0),IF(K1132="-","-",K1132),K1132-L1132)</f>
        <v>8</v>
      </c>
      <c r="N1132" s="36">
        <f>IFERROR(IF(K1132&gt;0, L1132/K1132, 0),"-")</f>
        <v>0.1111111111111111</v>
      </c>
      <c r="O1132" s="32">
        <v>6</v>
      </c>
      <c r="P1132" s="32" t="s">
        <v>959</v>
      </c>
      <c r="Q1132" s="32">
        <f>IF(OR(P1132="-",P1132="",P1132=0),IF(O1132="-","-",O1132),O1132-P1132)</f>
        <v>6</v>
      </c>
      <c r="R1132" s="36" t="str">
        <f>IFERROR(IF(O1132&gt;0, P1132/O1132, 0),"-")</f>
        <v>-</v>
      </c>
      <c r="S1132" s="32">
        <v>6</v>
      </c>
      <c r="T1132" s="32" t="s">
        <v>959</v>
      </c>
      <c r="U1132" s="32" t="s">
        <v>959</v>
      </c>
      <c r="V1132" s="32" t="s">
        <v>959</v>
      </c>
      <c r="W1132" s="32" t="s">
        <v>959</v>
      </c>
    </row>
    <row r="1133" spans="1:23" x14ac:dyDescent="0.2">
      <c r="A1133" s="30" t="s">
        <v>300</v>
      </c>
      <c r="B1133" s="30" t="s">
        <v>1735</v>
      </c>
      <c r="C1133" s="34">
        <v>56</v>
      </c>
      <c r="D1133" s="35">
        <v>52</v>
      </c>
      <c r="E1133" s="34">
        <f>IF(OR(D1133="-",D1133="",D1133=0),IF(C1133="-","-",C1133),C1133-D1133)</f>
        <v>4</v>
      </c>
      <c r="F1133" s="4">
        <f>IFERROR(IF(C1133&gt;0, D1133/C1133, 0),"-")</f>
        <v>0.9285714285714286</v>
      </c>
      <c r="G1133" s="34">
        <v>5</v>
      </c>
      <c r="H1133" s="35">
        <v>1</v>
      </c>
      <c r="I1133" s="34">
        <f>IF(OR(H1133="-",H1133="",H1133=0),IF(G1133="-","-",G1133),G1133-H1133)</f>
        <v>4</v>
      </c>
      <c r="J1133" s="4">
        <f>IFERROR(IF(G1133&gt;0, H1133/G1133, 0),"-")</f>
        <v>0.2</v>
      </c>
      <c r="K1133" s="34">
        <v>4</v>
      </c>
      <c r="L1133" s="35">
        <v>1</v>
      </c>
      <c r="M1133" s="34">
        <f>IF(OR(L1133="-",L1133="",L1133=0),IF(K1133="-","-",K1133),K1133-L1133)</f>
        <v>3</v>
      </c>
      <c r="N1133" s="4">
        <f>IFERROR(IF(K1133&gt;0, L1133/K1133, 0),"-")</f>
        <v>0.25</v>
      </c>
      <c r="O1133" s="34">
        <v>4</v>
      </c>
      <c r="P1133" s="35" t="s">
        <v>959</v>
      </c>
      <c r="Q1133" s="34">
        <f>IF(OR(P1133="-",P1133="",P1133=0),IF(O1133="-","-",O1133),O1133-P1133)</f>
        <v>4</v>
      </c>
      <c r="R1133" s="4" t="str">
        <f>IFERROR(IF(O1133&gt;0, P1133/O1133, 0),"-")</f>
        <v>-</v>
      </c>
      <c r="S1133" s="34">
        <v>4</v>
      </c>
      <c r="T1133" s="34" t="s">
        <v>959</v>
      </c>
      <c r="U1133" s="34" t="s">
        <v>959</v>
      </c>
      <c r="V1133" s="35" t="s">
        <v>959</v>
      </c>
      <c r="W1133" s="35" t="s">
        <v>959</v>
      </c>
    </row>
    <row r="1134" spans="1:23" x14ac:dyDescent="0.2">
      <c r="A1134" s="30" t="s">
        <v>299</v>
      </c>
      <c r="B1134" s="30" t="s">
        <v>1736</v>
      </c>
      <c r="C1134" s="34">
        <v>8</v>
      </c>
      <c r="D1134" s="35">
        <v>7</v>
      </c>
      <c r="E1134" s="34">
        <f>IF(OR(D1134="-",D1134="",D1134=0),IF(C1134="-","-",C1134),C1134-D1134)</f>
        <v>1</v>
      </c>
      <c r="F1134" s="4">
        <f>IFERROR(IF(C1134&gt;0, D1134/C1134, 0),"-")</f>
        <v>0.875</v>
      </c>
      <c r="G1134" s="34">
        <v>2</v>
      </c>
      <c r="H1134" s="35" t="s">
        <v>959</v>
      </c>
      <c r="I1134" s="34">
        <f>IF(OR(H1134="-",H1134="",H1134=0),IF(G1134="-","-",G1134),G1134-H1134)</f>
        <v>2</v>
      </c>
      <c r="J1134" s="4" t="str">
        <f>IFERROR(IF(G1134&gt;0, H1134/G1134, 0),"-")</f>
        <v>-</v>
      </c>
      <c r="K1134" s="34" t="s">
        <v>959</v>
      </c>
      <c r="L1134" s="35" t="s">
        <v>959</v>
      </c>
      <c r="M1134" s="34" t="str">
        <f>IF(OR(L1134="-",L1134="",L1134=0),IF(K1134="-","-",K1134),K1134-L1134)</f>
        <v>-</v>
      </c>
      <c r="N1134" s="4" t="str">
        <f>IFERROR(IF(K1134&gt;0, L1134/K1134, 0),"-")</f>
        <v>-</v>
      </c>
      <c r="O1134" s="34" t="s">
        <v>959</v>
      </c>
      <c r="P1134" s="35" t="s">
        <v>959</v>
      </c>
      <c r="Q1134" s="34" t="str">
        <f>IF(OR(P1134="-",P1134="",P1134=0),IF(O1134="-","-",O1134),O1134-P1134)</f>
        <v>-</v>
      </c>
      <c r="R1134" s="4" t="str">
        <f>IFERROR(IF(O1134&gt;0, P1134/O1134, 0),"-")</f>
        <v>-</v>
      </c>
      <c r="S1134" s="34" t="s">
        <v>959</v>
      </c>
      <c r="T1134" s="34" t="s">
        <v>959</v>
      </c>
      <c r="U1134" s="34" t="s">
        <v>959</v>
      </c>
      <c r="V1134" s="35" t="s">
        <v>959</v>
      </c>
      <c r="W1134" s="35" t="s">
        <v>959</v>
      </c>
    </row>
    <row r="1135" spans="1:23" x14ac:dyDescent="0.2">
      <c r="A1135" s="30" t="s">
        <v>277</v>
      </c>
      <c r="B1135" s="30" t="s">
        <v>1737</v>
      </c>
      <c r="C1135" s="34">
        <v>91</v>
      </c>
      <c r="D1135" s="35">
        <v>90</v>
      </c>
      <c r="E1135" s="34">
        <f>IF(OR(D1135="-",D1135="",D1135=0),IF(C1135="-","-",C1135),C1135-D1135)</f>
        <v>1</v>
      </c>
      <c r="F1135" s="4">
        <f>IFERROR(IF(C1135&gt;0, D1135/C1135, 0),"-")</f>
        <v>0.98901098901098905</v>
      </c>
      <c r="G1135" s="34">
        <v>5</v>
      </c>
      <c r="H1135" s="35">
        <v>3</v>
      </c>
      <c r="I1135" s="34">
        <f>IF(OR(H1135="-",H1135="",H1135=0),IF(G1135="-","-",G1135),G1135-H1135)</f>
        <v>2</v>
      </c>
      <c r="J1135" s="4">
        <f>IFERROR(IF(G1135&gt;0, H1135/G1135, 0),"-")</f>
        <v>0.6</v>
      </c>
      <c r="K1135" s="34">
        <v>1</v>
      </c>
      <c r="L1135" s="35" t="s">
        <v>959</v>
      </c>
      <c r="M1135" s="34">
        <f>IF(OR(L1135="-",L1135="",L1135=0),IF(K1135="-","-",K1135),K1135-L1135)</f>
        <v>1</v>
      </c>
      <c r="N1135" s="4" t="str">
        <f>IFERROR(IF(K1135&gt;0, L1135/K1135, 0),"-")</f>
        <v>-</v>
      </c>
      <c r="O1135" s="34" t="s">
        <v>959</v>
      </c>
      <c r="P1135" s="35" t="s">
        <v>959</v>
      </c>
      <c r="Q1135" s="34" t="str">
        <f>IF(OR(P1135="-",P1135="",P1135=0),IF(O1135="-","-",O1135),O1135-P1135)</f>
        <v>-</v>
      </c>
      <c r="R1135" s="4" t="str">
        <f>IFERROR(IF(O1135&gt;0, P1135/O1135, 0),"-")</f>
        <v>-</v>
      </c>
      <c r="S1135" s="34">
        <v>1</v>
      </c>
      <c r="T1135" s="34" t="s">
        <v>959</v>
      </c>
      <c r="U1135" s="34" t="s">
        <v>959</v>
      </c>
      <c r="V1135" s="35" t="s">
        <v>959</v>
      </c>
      <c r="W1135" s="35" t="s">
        <v>959</v>
      </c>
    </row>
    <row r="1136" spans="1:23" x14ac:dyDescent="0.2">
      <c r="A1136" s="30" t="s">
        <v>275</v>
      </c>
      <c r="B1136" s="30" t="s">
        <v>1738</v>
      </c>
      <c r="C1136" s="34">
        <v>96</v>
      </c>
      <c r="D1136" s="35">
        <v>93</v>
      </c>
      <c r="E1136" s="34">
        <f>IF(OR(D1136="-",D1136="",D1136=0),IF(C1136="-","-",C1136),C1136-D1136)</f>
        <v>3</v>
      </c>
      <c r="F1136" s="4">
        <f>IFERROR(IF(C1136&gt;0, D1136/C1136, 0),"-")</f>
        <v>0.96875</v>
      </c>
      <c r="G1136" s="34" t="s">
        <v>959</v>
      </c>
      <c r="H1136" s="35" t="s">
        <v>959</v>
      </c>
      <c r="I1136" s="34" t="str">
        <f>IF(OR(H1136="-",H1136="",H1136=0),IF(G1136="-","-",G1136),G1136-H1136)</f>
        <v>-</v>
      </c>
      <c r="J1136" s="4" t="str">
        <f>IFERROR(IF(G1136&gt;0, H1136/G1136, 0),"-")</f>
        <v>-</v>
      </c>
      <c r="K1136" s="34">
        <v>2</v>
      </c>
      <c r="L1136" s="35" t="s">
        <v>959</v>
      </c>
      <c r="M1136" s="34">
        <f>IF(OR(L1136="-",L1136="",L1136=0),IF(K1136="-","-",K1136),K1136-L1136)</f>
        <v>2</v>
      </c>
      <c r="N1136" s="4" t="str">
        <f>IFERROR(IF(K1136&gt;0, L1136/K1136, 0),"-")</f>
        <v>-</v>
      </c>
      <c r="O1136" s="34" t="s">
        <v>959</v>
      </c>
      <c r="P1136" s="35" t="s">
        <v>959</v>
      </c>
      <c r="Q1136" s="34" t="str">
        <f>IF(OR(P1136="-",P1136="",P1136=0),IF(O1136="-","-",O1136),O1136-P1136)</f>
        <v>-</v>
      </c>
      <c r="R1136" s="4" t="str">
        <f>IFERROR(IF(O1136&gt;0, P1136/O1136, 0),"-")</f>
        <v>-</v>
      </c>
      <c r="S1136" s="34">
        <v>1</v>
      </c>
      <c r="T1136" s="34" t="s">
        <v>959</v>
      </c>
      <c r="U1136" s="34" t="s">
        <v>959</v>
      </c>
      <c r="V1136" s="35" t="s">
        <v>959</v>
      </c>
      <c r="W1136" s="35" t="s">
        <v>959</v>
      </c>
    </row>
    <row r="1137" spans="1:23" x14ac:dyDescent="0.2">
      <c r="A1137" s="30" t="s">
        <v>276</v>
      </c>
      <c r="B1137" s="30" t="s">
        <v>1739</v>
      </c>
      <c r="C1137" s="34">
        <v>108</v>
      </c>
      <c r="D1137" s="35">
        <v>107</v>
      </c>
      <c r="E1137" s="34">
        <f>IF(OR(D1137="-",D1137="",D1137=0),IF(C1137="-","-",C1137),C1137-D1137)</f>
        <v>1</v>
      </c>
      <c r="F1137" s="4">
        <f>IFERROR(IF(C1137&gt;0, D1137/C1137, 0),"-")</f>
        <v>0.9907407407407407</v>
      </c>
      <c r="G1137" s="34">
        <v>2</v>
      </c>
      <c r="H1137" s="35">
        <v>1</v>
      </c>
      <c r="I1137" s="34">
        <f>IF(OR(H1137="-",H1137="",H1137=0),IF(G1137="-","-",G1137),G1137-H1137)</f>
        <v>1</v>
      </c>
      <c r="J1137" s="4">
        <f>IFERROR(IF(G1137&gt;0, H1137/G1137, 0),"-")</f>
        <v>0.5</v>
      </c>
      <c r="K1137" s="34" t="s">
        <v>959</v>
      </c>
      <c r="L1137" s="35" t="s">
        <v>959</v>
      </c>
      <c r="M1137" s="34" t="str">
        <f>IF(OR(L1137="-",L1137="",L1137=0),IF(K1137="-","-",K1137),K1137-L1137)</f>
        <v>-</v>
      </c>
      <c r="N1137" s="4" t="str">
        <f>IFERROR(IF(K1137&gt;0, L1137/K1137, 0),"-")</f>
        <v>-</v>
      </c>
      <c r="O1137" s="34">
        <v>1</v>
      </c>
      <c r="P1137" s="35" t="s">
        <v>959</v>
      </c>
      <c r="Q1137" s="34">
        <f>IF(OR(P1137="-",P1137="",P1137=0),IF(O1137="-","-",O1137),O1137-P1137)</f>
        <v>1</v>
      </c>
      <c r="R1137" s="4" t="str">
        <f>IFERROR(IF(O1137&gt;0, P1137/O1137, 0),"-")</f>
        <v>-</v>
      </c>
      <c r="S1137" s="34" t="s">
        <v>959</v>
      </c>
      <c r="T1137" s="34" t="s">
        <v>959</v>
      </c>
      <c r="U1137" s="34" t="s">
        <v>959</v>
      </c>
      <c r="V1137" s="35" t="s">
        <v>959</v>
      </c>
      <c r="W1137" s="35" t="s">
        <v>959</v>
      </c>
    </row>
    <row r="1138" spans="1:23" x14ac:dyDescent="0.2">
      <c r="A1138" s="30" t="s">
        <v>279</v>
      </c>
      <c r="B1138" s="30" t="s">
        <v>1740</v>
      </c>
      <c r="C1138" s="34">
        <v>184</v>
      </c>
      <c r="D1138" s="35">
        <v>176</v>
      </c>
      <c r="E1138" s="34">
        <f>IF(OR(D1138="-",D1138="",D1138=0),IF(C1138="-","-",C1138),C1138-D1138)</f>
        <v>8</v>
      </c>
      <c r="F1138" s="4">
        <f>IFERROR(IF(C1138&gt;0, D1138/C1138, 0),"-")</f>
        <v>0.95652173913043481</v>
      </c>
      <c r="G1138" s="34" t="s">
        <v>959</v>
      </c>
      <c r="H1138" s="35" t="s">
        <v>959</v>
      </c>
      <c r="I1138" s="34" t="str">
        <f>IF(OR(H1138="-",H1138="",H1138=0),IF(G1138="-","-",G1138),G1138-H1138)</f>
        <v>-</v>
      </c>
      <c r="J1138" s="4" t="str">
        <f>IFERROR(IF(G1138&gt;0, H1138/G1138, 0),"-")</f>
        <v>-</v>
      </c>
      <c r="K1138" s="34" t="s">
        <v>959</v>
      </c>
      <c r="L1138" s="35" t="s">
        <v>959</v>
      </c>
      <c r="M1138" s="34" t="str">
        <f>IF(OR(L1138="-",L1138="",L1138=0),IF(K1138="-","-",K1138),K1138-L1138)</f>
        <v>-</v>
      </c>
      <c r="N1138" s="4" t="str">
        <f>IFERROR(IF(K1138&gt;0, L1138/K1138, 0),"-")</f>
        <v>-</v>
      </c>
      <c r="O1138" s="34">
        <v>1</v>
      </c>
      <c r="P1138" s="35" t="s">
        <v>959</v>
      </c>
      <c r="Q1138" s="34">
        <f>IF(OR(P1138="-",P1138="",P1138=0),IF(O1138="-","-",O1138),O1138-P1138)</f>
        <v>1</v>
      </c>
      <c r="R1138" s="4" t="str">
        <f>IFERROR(IF(O1138&gt;0, P1138/O1138, 0),"-")</f>
        <v>-</v>
      </c>
      <c r="S1138" s="34" t="s">
        <v>959</v>
      </c>
      <c r="T1138" s="34" t="s">
        <v>959</v>
      </c>
      <c r="U1138" s="34" t="s">
        <v>959</v>
      </c>
      <c r="V1138" s="35" t="s">
        <v>959</v>
      </c>
      <c r="W1138" s="35" t="s">
        <v>959</v>
      </c>
    </row>
    <row r="1139" spans="1:23" x14ac:dyDescent="0.2">
      <c r="A1139" s="30" t="s">
        <v>278</v>
      </c>
      <c r="B1139" s="30" t="s">
        <v>1741</v>
      </c>
      <c r="C1139" s="34">
        <v>98</v>
      </c>
      <c r="D1139" s="35">
        <v>93</v>
      </c>
      <c r="E1139" s="34">
        <f>IF(OR(D1139="-",D1139="",D1139=0),IF(C1139="-","-",C1139),C1139-D1139)</f>
        <v>5</v>
      </c>
      <c r="F1139" s="4">
        <f>IFERROR(IF(C1139&gt;0, D1139/C1139, 0),"-")</f>
        <v>0.94897959183673475</v>
      </c>
      <c r="G1139" s="34">
        <v>1</v>
      </c>
      <c r="H1139" s="35">
        <v>1</v>
      </c>
      <c r="I1139" s="34">
        <f>IF(OR(H1139="-",H1139="",H1139=0),IF(G1139="-","-",G1139),G1139-H1139)</f>
        <v>0</v>
      </c>
      <c r="J1139" s="4">
        <f>IFERROR(IF(G1139&gt;0, H1139/G1139, 0),"-")</f>
        <v>1</v>
      </c>
      <c r="K1139" s="34">
        <v>1</v>
      </c>
      <c r="L1139" s="35" t="s">
        <v>959</v>
      </c>
      <c r="M1139" s="34">
        <f>IF(OR(L1139="-",L1139="",L1139=0),IF(K1139="-","-",K1139),K1139-L1139)</f>
        <v>1</v>
      </c>
      <c r="N1139" s="4" t="str">
        <f>IFERROR(IF(K1139&gt;0, L1139/K1139, 0),"-")</f>
        <v>-</v>
      </c>
      <c r="O1139" s="34" t="s">
        <v>959</v>
      </c>
      <c r="P1139" s="35" t="s">
        <v>959</v>
      </c>
      <c r="Q1139" s="34" t="str">
        <f>IF(OR(P1139="-",P1139="",P1139=0),IF(O1139="-","-",O1139),O1139-P1139)</f>
        <v>-</v>
      </c>
      <c r="R1139" s="4" t="str">
        <f>IFERROR(IF(O1139&gt;0, P1139/O1139, 0),"-")</f>
        <v>-</v>
      </c>
      <c r="S1139" s="34" t="s">
        <v>959</v>
      </c>
      <c r="T1139" s="34" t="s">
        <v>959</v>
      </c>
      <c r="U1139" s="34" t="s">
        <v>959</v>
      </c>
      <c r="V1139" s="35" t="s">
        <v>959</v>
      </c>
      <c r="W1139" s="35" t="s">
        <v>959</v>
      </c>
    </row>
    <row r="1140" spans="1:23" x14ac:dyDescent="0.2">
      <c r="A1140" s="30" t="s">
        <v>298</v>
      </c>
      <c r="B1140" s="30" t="s">
        <v>1742</v>
      </c>
      <c r="C1140" s="34">
        <v>37</v>
      </c>
      <c r="D1140" s="35">
        <v>37</v>
      </c>
      <c r="E1140" s="34">
        <f>IF(OR(D1140="-",D1140="",D1140=0),IF(C1140="-","-",C1140),C1140-D1140)</f>
        <v>0</v>
      </c>
      <c r="F1140" s="4">
        <f>IFERROR(IF(C1140&gt;0, D1140/C1140, 0),"-")</f>
        <v>1</v>
      </c>
      <c r="G1140" s="34">
        <v>1</v>
      </c>
      <c r="H1140" s="35" t="s">
        <v>959</v>
      </c>
      <c r="I1140" s="34">
        <f>IF(OR(H1140="-",H1140="",H1140=0),IF(G1140="-","-",G1140),G1140-H1140)</f>
        <v>1</v>
      </c>
      <c r="J1140" s="4" t="str">
        <f>IFERROR(IF(G1140&gt;0, H1140/G1140, 0),"-")</f>
        <v>-</v>
      </c>
      <c r="K1140" s="34">
        <v>1</v>
      </c>
      <c r="L1140" s="35" t="s">
        <v>959</v>
      </c>
      <c r="M1140" s="34">
        <f>IF(OR(L1140="-",L1140="",L1140=0),IF(K1140="-","-",K1140),K1140-L1140)</f>
        <v>1</v>
      </c>
      <c r="N1140" s="4" t="str">
        <f>IFERROR(IF(K1140&gt;0, L1140/K1140, 0),"-")</f>
        <v>-</v>
      </c>
      <c r="O1140" s="34" t="s">
        <v>959</v>
      </c>
      <c r="P1140" s="35" t="s">
        <v>959</v>
      </c>
      <c r="Q1140" s="34" t="str">
        <f>IF(OR(P1140="-",P1140="",P1140=0),IF(O1140="-","-",O1140),O1140-P1140)</f>
        <v>-</v>
      </c>
      <c r="R1140" s="4" t="str">
        <f>IFERROR(IF(O1140&gt;0, P1140/O1140, 0),"-")</f>
        <v>-</v>
      </c>
      <c r="S1140" s="34" t="s">
        <v>959</v>
      </c>
      <c r="T1140" s="34" t="s">
        <v>959</v>
      </c>
      <c r="U1140" s="34" t="s">
        <v>959</v>
      </c>
      <c r="V1140" s="35" t="s">
        <v>959</v>
      </c>
      <c r="W1140" s="35" t="s">
        <v>959</v>
      </c>
    </row>
    <row r="1141" spans="1:23" x14ac:dyDescent="0.2">
      <c r="A1141" s="29"/>
      <c r="B1141" s="29" t="s">
        <v>97</v>
      </c>
      <c r="C1141" s="32">
        <v>593</v>
      </c>
      <c r="D1141" s="32">
        <v>583</v>
      </c>
      <c r="E1141" s="32">
        <f>IF(OR(D1141="-",D1141="",D1141=0),IF(C1141="-","-",C1141),C1141-D1141)</f>
        <v>10</v>
      </c>
      <c r="F1141" s="36">
        <f>IFERROR(IF(C1141&gt;0, D1141/C1141, 0),"-")</f>
        <v>0.98313659359190553</v>
      </c>
      <c r="G1141" s="32">
        <v>2</v>
      </c>
      <c r="H1141" s="32" t="s">
        <v>959</v>
      </c>
      <c r="I1141" s="32">
        <f>IF(OR(H1141="-",H1141="",H1141=0),IF(G1141="-","-",G1141),G1141-H1141)</f>
        <v>2</v>
      </c>
      <c r="J1141" s="36" t="str">
        <f>IFERROR(IF(G1141&gt;0, H1141/G1141, 0),"-")</f>
        <v>-</v>
      </c>
      <c r="K1141" s="32">
        <v>1</v>
      </c>
      <c r="L1141" s="32" t="s">
        <v>959</v>
      </c>
      <c r="M1141" s="32">
        <f>IF(OR(L1141="-",L1141="",L1141=0),IF(K1141="-","-",K1141),K1141-L1141)</f>
        <v>1</v>
      </c>
      <c r="N1141" s="36" t="str">
        <f>IFERROR(IF(K1141&gt;0, L1141/K1141, 0),"-")</f>
        <v>-</v>
      </c>
      <c r="O1141" s="32">
        <v>3</v>
      </c>
      <c r="P1141" s="32" t="s">
        <v>959</v>
      </c>
      <c r="Q1141" s="32">
        <f>IF(OR(P1141="-",P1141="",P1141=0),IF(O1141="-","-",O1141),O1141-P1141)</f>
        <v>3</v>
      </c>
      <c r="R1141" s="36" t="str">
        <f>IFERROR(IF(O1141&gt;0, P1141/O1141, 0),"-")</f>
        <v>-</v>
      </c>
      <c r="S1141" s="32">
        <v>5</v>
      </c>
      <c r="T1141" s="32" t="s">
        <v>959</v>
      </c>
      <c r="U1141" s="32" t="s">
        <v>959</v>
      </c>
      <c r="V1141" s="32" t="s">
        <v>959</v>
      </c>
      <c r="W1141" s="32" t="s">
        <v>959</v>
      </c>
    </row>
    <row r="1142" spans="1:23" x14ac:dyDescent="0.2">
      <c r="A1142" s="30" t="s">
        <v>685</v>
      </c>
      <c r="B1142" s="30" t="s">
        <v>1743</v>
      </c>
      <c r="C1142" s="34">
        <v>115</v>
      </c>
      <c r="D1142" s="35">
        <v>112</v>
      </c>
      <c r="E1142" s="34">
        <f>IF(OR(D1142="-",D1142="",D1142=0),IF(C1142="-","-",C1142),C1142-D1142)</f>
        <v>3</v>
      </c>
      <c r="F1142" s="4">
        <f>IFERROR(IF(C1142&gt;0, D1142/C1142, 0),"-")</f>
        <v>0.97391304347826091</v>
      </c>
      <c r="G1142" s="34">
        <v>1</v>
      </c>
      <c r="H1142" s="35" t="s">
        <v>959</v>
      </c>
      <c r="I1142" s="34">
        <f>IF(OR(H1142="-",H1142="",H1142=0),IF(G1142="-","-",G1142),G1142-H1142)</f>
        <v>1</v>
      </c>
      <c r="J1142" s="4" t="str">
        <f>IFERROR(IF(G1142&gt;0, H1142/G1142, 0),"-")</f>
        <v>-</v>
      </c>
      <c r="K1142" s="34" t="s">
        <v>959</v>
      </c>
      <c r="L1142" s="35" t="s">
        <v>959</v>
      </c>
      <c r="M1142" s="34" t="str">
        <f>IF(OR(L1142="-",L1142="",L1142=0),IF(K1142="-","-",K1142),K1142-L1142)</f>
        <v>-</v>
      </c>
      <c r="N1142" s="4" t="str">
        <f>IFERROR(IF(K1142&gt;0, L1142/K1142, 0),"-")</f>
        <v>-</v>
      </c>
      <c r="O1142" s="34">
        <v>1</v>
      </c>
      <c r="P1142" s="35" t="s">
        <v>959</v>
      </c>
      <c r="Q1142" s="34">
        <f>IF(OR(P1142="-",P1142="",P1142=0),IF(O1142="-","-",O1142),O1142-P1142)</f>
        <v>1</v>
      </c>
      <c r="R1142" s="4" t="str">
        <f>IFERROR(IF(O1142&gt;0, P1142/O1142, 0),"-")</f>
        <v>-</v>
      </c>
      <c r="S1142" s="34" t="s">
        <v>959</v>
      </c>
      <c r="T1142" s="34" t="s">
        <v>959</v>
      </c>
      <c r="U1142" s="34" t="s">
        <v>959</v>
      </c>
      <c r="V1142" s="35" t="s">
        <v>959</v>
      </c>
      <c r="W1142" s="35" t="s">
        <v>959</v>
      </c>
    </row>
    <row r="1143" spans="1:23" x14ac:dyDescent="0.2">
      <c r="A1143" s="30" t="s">
        <v>689</v>
      </c>
      <c r="B1143" s="30" t="s">
        <v>1744</v>
      </c>
      <c r="C1143" s="34">
        <v>78</v>
      </c>
      <c r="D1143" s="35">
        <v>77</v>
      </c>
      <c r="E1143" s="34">
        <f>IF(OR(D1143="-",D1143="",D1143=0),IF(C1143="-","-",C1143),C1143-D1143)</f>
        <v>1</v>
      </c>
      <c r="F1143" s="4">
        <f>IFERROR(IF(C1143&gt;0, D1143/C1143, 0),"-")</f>
        <v>0.98717948717948723</v>
      </c>
      <c r="G1143" s="34">
        <v>1</v>
      </c>
      <c r="H1143" s="35" t="s">
        <v>959</v>
      </c>
      <c r="I1143" s="34">
        <f>IF(OR(H1143="-",H1143="",H1143=0),IF(G1143="-","-",G1143),G1143-H1143)</f>
        <v>1</v>
      </c>
      <c r="J1143" s="4" t="str">
        <f>IFERROR(IF(G1143&gt;0, H1143/G1143, 0),"-")</f>
        <v>-</v>
      </c>
      <c r="K1143" s="34">
        <v>1</v>
      </c>
      <c r="L1143" s="35" t="s">
        <v>959</v>
      </c>
      <c r="M1143" s="34">
        <f>IF(OR(L1143="-",L1143="",L1143=0),IF(K1143="-","-",K1143),K1143-L1143)</f>
        <v>1</v>
      </c>
      <c r="N1143" s="4" t="str">
        <f>IFERROR(IF(K1143&gt;0, L1143/K1143, 0),"-")</f>
        <v>-</v>
      </c>
      <c r="O1143" s="34" t="s">
        <v>959</v>
      </c>
      <c r="P1143" s="35" t="s">
        <v>959</v>
      </c>
      <c r="Q1143" s="34" t="str">
        <f>IF(OR(P1143="-",P1143="",P1143=0),IF(O1143="-","-",O1143),O1143-P1143)</f>
        <v>-</v>
      </c>
      <c r="R1143" s="4" t="str">
        <f>IFERROR(IF(O1143&gt;0, P1143/O1143, 0),"-")</f>
        <v>-</v>
      </c>
      <c r="S1143" s="34">
        <v>1</v>
      </c>
      <c r="T1143" s="34" t="s">
        <v>959</v>
      </c>
      <c r="U1143" s="34" t="s">
        <v>959</v>
      </c>
      <c r="V1143" s="35" t="s">
        <v>959</v>
      </c>
      <c r="W1143" s="35" t="s">
        <v>959</v>
      </c>
    </row>
    <row r="1144" spans="1:23" x14ac:dyDescent="0.2">
      <c r="A1144" s="30" t="s">
        <v>686</v>
      </c>
      <c r="B1144" s="30" t="s">
        <v>1745</v>
      </c>
      <c r="C1144" s="34">
        <v>65</v>
      </c>
      <c r="D1144" s="35">
        <v>64</v>
      </c>
      <c r="E1144" s="34">
        <f>IF(OR(D1144="-",D1144="",D1144=0),IF(C1144="-","-",C1144),C1144-D1144)</f>
        <v>1</v>
      </c>
      <c r="F1144" s="4">
        <f>IFERROR(IF(C1144&gt;0, D1144/C1144, 0),"-")</f>
        <v>0.98461538461538467</v>
      </c>
      <c r="G1144" s="34" t="s">
        <v>959</v>
      </c>
      <c r="H1144" s="35" t="s">
        <v>959</v>
      </c>
      <c r="I1144" s="34" t="str">
        <f>IF(OR(H1144="-",H1144="",H1144=0),IF(G1144="-","-",G1144),G1144-H1144)</f>
        <v>-</v>
      </c>
      <c r="J1144" s="4" t="str">
        <f>IFERROR(IF(G1144&gt;0, H1144/G1144, 0),"-")</f>
        <v>-</v>
      </c>
      <c r="K1144" s="34" t="s">
        <v>959</v>
      </c>
      <c r="L1144" s="35" t="s">
        <v>959</v>
      </c>
      <c r="M1144" s="34" t="str">
        <f>IF(OR(L1144="-",L1144="",L1144=0),IF(K1144="-","-",K1144),K1144-L1144)</f>
        <v>-</v>
      </c>
      <c r="N1144" s="4" t="str">
        <f>IFERROR(IF(K1144&gt;0, L1144/K1144, 0),"-")</f>
        <v>-</v>
      </c>
      <c r="O1144" s="34">
        <v>1</v>
      </c>
      <c r="P1144" s="35" t="s">
        <v>959</v>
      </c>
      <c r="Q1144" s="34">
        <f>IF(OR(P1144="-",P1144="",P1144=0),IF(O1144="-","-",O1144),O1144-P1144)</f>
        <v>1</v>
      </c>
      <c r="R1144" s="4" t="str">
        <f>IFERROR(IF(O1144&gt;0, P1144/O1144, 0),"-")</f>
        <v>-</v>
      </c>
      <c r="S1144" s="34" t="s">
        <v>959</v>
      </c>
      <c r="T1144" s="34" t="s">
        <v>959</v>
      </c>
      <c r="U1144" s="34" t="s">
        <v>959</v>
      </c>
      <c r="V1144" s="35" t="s">
        <v>959</v>
      </c>
      <c r="W1144" s="35" t="s">
        <v>959</v>
      </c>
    </row>
    <row r="1145" spans="1:23" x14ac:dyDescent="0.2">
      <c r="A1145" s="30" t="s">
        <v>690</v>
      </c>
      <c r="B1145" s="30" t="s">
        <v>1746</v>
      </c>
      <c r="C1145" s="34">
        <v>73</v>
      </c>
      <c r="D1145" s="35">
        <v>72</v>
      </c>
      <c r="E1145" s="34">
        <f>IF(OR(D1145="-",D1145="",D1145=0),IF(C1145="-","-",C1145),C1145-D1145)</f>
        <v>1</v>
      </c>
      <c r="F1145" s="4">
        <f>IFERROR(IF(C1145&gt;0, D1145/C1145, 0),"-")</f>
        <v>0.98630136986301364</v>
      </c>
      <c r="G1145" s="34" t="s">
        <v>959</v>
      </c>
      <c r="H1145" s="35" t="s">
        <v>959</v>
      </c>
      <c r="I1145" s="34" t="str">
        <f>IF(OR(H1145="-",H1145="",H1145=0),IF(G1145="-","-",G1145),G1145-H1145)</f>
        <v>-</v>
      </c>
      <c r="J1145" s="4" t="str">
        <f>IFERROR(IF(G1145&gt;0, H1145/G1145, 0),"-")</f>
        <v>-</v>
      </c>
      <c r="K1145" s="34" t="s">
        <v>959</v>
      </c>
      <c r="L1145" s="35" t="s">
        <v>959</v>
      </c>
      <c r="M1145" s="34" t="str">
        <f>IF(OR(L1145="-",L1145="",L1145=0),IF(K1145="-","-",K1145),K1145-L1145)</f>
        <v>-</v>
      </c>
      <c r="N1145" s="4" t="str">
        <f>IFERROR(IF(K1145&gt;0, L1145/K1145, 0),"-")</f>
        <v>-</v>
      </c>
      <c r="O1145" s="34" t="s">
        <v>959</v>
      </c>
      <c r="P1145" s="35" t="s">
        <v>959</v>
      </c>
      <c r="Q1145" s="34" t="str">
        <f>IF(OR(P1145="-",P1145="",P1145=0),IF(O1145="-","-",O1145),O1145-P1145)</f>
        <v>-</v>
      </c>
      <c r="R1145" s="4" t="str">
        <f>IFERROR(IF(O1145&gt;0, P1145/O1145, 0),"-")</f>
        <v>-</v>
      </c>
      <c r="S1145" s="34">
        <v>1</v>
      </c>
      <c r="T1145" s="34" t="s">
        <v>959</v>
      </c>
      <c r="U1145" s="34" t="s">
        <v>959</v>
      </c>
      <c r="V1145" s="35" t="s">
        <v>959</v>
      </c>
      <c r="W1145" s="35" t="s">
        <v>959</v>
      </c>
    </row>
    <row r="1146" spans="1:23" x14ac:dyDescent="0.2">
      <c r="A1146" s="30" t="s">
        <v>688</v>
      </c>
      <c r="B1146" s="30" t="s">
        <v>1747</v>
      </c>
      <c r="C1146" s="34">
        <v>120</v>
      </c>
      <c r="D1146" s="35">
        <v>119</v>
      </c>
      <c r="E1146" s="34">
        <f>IF(OR(D1146="-",D1146="",D1146=0),IF(C1146="-","-",C1146),C1146-D1146)</f>
        <v>1</v>
      </c>
      <c r="F1146" s="4">
        <f>IFERROR(IF(C1146&gt;0, D1146/C1146, 0),"-")</f>
        <v>0.9916666666666667</v>
      </c>
      <c r="G1146" s="34" t="s">
        <v>959</v>
      </c>
      <c r="H1146" s="35" t="s">
        <v>959</v>
      </c>
      <c r="I1146" s="34" t="str">
        <f>IF(OR(H1146="-",H1146="",H1146=0),IF(G1146="-","-",G1146),G1146-H1146)</f>
        <v>-</v>
      </c>
      <c r="J1146" s="4" t="str">
        <f>IFERROR(IF(G1146&gt;0, H1146/G1146, 0),"-")</f>
        <v>-</v>
      </c>
      <c r="K1146" s="34" t="s">
        <v>959</v>
      </c>
      <c r="L1146" s="35" t="s">
        <v>959</v>
      </c>
      <c r="M1146" s="34" t="str">
        <f>IF(OR(L1146="-",L1146="",L1146=0),IF(K1146="-","-",K1146),K1146-L1146)</f>
        <v>-</v>
      </c>
      <c r="N1146" s="4" t="str">
        <f>IFERROR(IF(K1146&gt;0, L1146/K1146, 0),"-")</f>
        <v>-</v>
      </c>
      <c r="O1146" s="34">
        <v>1</v>
      </c>
      <c r="P1146" s="35" t="s">
        <v>959</v>
      </c>
      <c r="Q1146" s="34">
        <f>IF(OR(P1146="-",P1146="",P1146=0),IF(O1146="-","-",O1146),O1146-P1146)</f>
        <v>1</v>
      </c>
      <c r="R1146" s="4" t="str">
        <f>IFERROR(IF(O1146&gt;0, P1146/O1146, 0),"-")</f>
        <v>-</v>
      </c>
      <c r="S1146" s="34">
        <v>2</v>
      </c>
      <c r="T1146" s="34" t="s">
        <v>959</v>
      </c>
      <c r="U1146" s="34" t="s">
        <v>959</v>
      </c>
      <c r="V1146" s="35" t="s">
        <v>959</v>
      </c>
      <c r="W1146" s="35" t="s">
        <v>959</v>
      </c>
    </row>
    <row r="1147" spans="1:23" x14ac:dyDescent="0.2">
      <c r="A1147" s="30" t="s">
        <v>687</v>
      </c>
      <c r="B1147" s="30" t="s">
        <v>1748</v>
      </c>
      <c r="C1147" s="34">
        <v>142</v>
      </c>
      <c r="D1147" s="35">
        <v>139</v>
      </c>
      <c r="E1147" s="34">
        <f>IF(OR(D1147="-",D1147="",D1147=0),IF(C1147="-","-",C1147),C1147-D1147)</f>
        <v>3</v>
      </c>
      <c r="F1147" s="4">
        <f>IFERROR(IF(C1147&gt;0, D1147/C1147, 0),"-")</f>
        <v>0.97887323943661975</v>
      </c>
      <c r="G1147" s="34" t="s">
        <v>959</v>
      </c>
      <c r="H1147" s="35" t="s">
        <v>959</v>
      </c>
      <c r="I1147" s="34" t="str">
        <f>IF(OR(H1147="-",H1147="",H1147=0),IF(G1147="-","-",G1147),G1147-H1147)</f>
        <v>-</v>
      </c>
      <c r="J1147" s="4" t="str">
        <f>IFERROR(IF(G1147&gt;0, H1147/G1147, 0),"-")</f>
        <v>-</v>
      </c>
      <c r="K1147" s="34" t="s">
        <v>959</v>
      </c>
      <c r="L1147" s="35" t="s">
        <v>959</v>
      </c>
      <c r="M1147" s="34" t="str">
        <f>IF(OR(L1147="-",L1147="",L1147=0),IF(K1147="-","-",K1147),K1147-L1147)</f>
        <v>-</v>
      </c>
      <c r="N1147" s="4" t="str">
        <f>IFERROR(IF(K1147&gt;0, L1147/K1147, 0),"-")</f>
        <v>-</v>
      </c>
      <c r="O1147" s="34" t="s">
        <v>959</v>
      </c>
      <c r="P1147" s="35" t="s">
        <v>959</v>
      </c>
      <c r="Q1147" s="34" t="str">
        <f>IF(OR(P1147="-",P1147="",P1147=0),IF(O1147="-","-",O1147),O1147-P1147)</f>
        <v>-</v>
      </c>
      <c r="R1147" s="4" t="str">
        <f>IFERROR(IF(O1147&gt;0, P1147/O1147, 0),"-")</f>
        <v>-</v>
      </c>
      <c r="S1147" s="34">
        <v>1</v>
      </c>
      <c r="T1147" s="34" t="s">
        <v>959</v>
      </c>
      <c r="U1147" s="34" t="s">
        <v>959</v>
      </c>
      <c r="V1147" s="35" t="s">
        <v>959</v>
      </c>
      <c r="W1147" s="35" t="s">
        <v>959</v>
      </c>
    </row>
    <row r="1148" spans="1:23" x14ac:dyDescent="0.2">
      <c r="A1148" s="29"/>
      <c r="B1148" s="29" t="s">
        <v>55</v>
      </c>
      <c r="C1148" s="32">
        <v>795</v>
      </c>
      <c r="D1148" s="32">
        <v>774</v>
      </c>
      <c r="E1148" s="32">
        <f>IF(OR(D1148="-",D1148="",D1148=0),IF(C1148="-","-",C1148),C1148-D1148)</f>
        <v>21</v>
      </c>
      <c r="F1148" s="36">
        <f>IFERROR(IF(C1148&gt;0, D1148/C1148, 0),"-")</f>
        <v>0.97358490566037736</v>
      </c>
      <c r="G1148" s="32">
        <v>9</v>
      </c>
      <c r="H1148" s="32">
        <v>1</v>
      </c>
      <c r="I1148" s="32">
        <f>IF(OR(H1148="-",H1148="",H1148=0),IF(G1148="-","-",G1148),G1148-H1148)</f>
        <v>8</v>
      </c>
      <c r="J1148" s="36">
        <f>IFERROR(IF(G1148&gt;0, H1148/G1148, 0),"-")</f>
        <v>0.1111111111111111</v>
      </c>
      <c r="K1148" s="32">
        <v>7</v>
      </c>
      <c r="L1148" s="32" t="s">
        <v>959</v>
      </c>
      <c r="M1148" s="32">
        <f>IF(OR(L1148="-",L1148="",L1148=0),IF(K1148="-","-",K1148),K1148-L1148)</f>
        <v>7</v>
      </c>
      <c r="N1148" s="36" t="str">
        <f>IFERROR(IF(K1148&gt;0, L1148/K1148, 0),"-")</f>
        <v>-</v>
      </c>
      <c r="O1148" s="32">
        <v>5</v>
      </c>
      <c r="P1148" s="32" t="s">
        <v>959</v>
      </c>
      <c r="Q1148" s="32">
        <f>IF(OR(P1148="-",P1148="",P1148=0),IF(O1148="-","-",O1148),O1148-P1148)</f>
        <v>5</v>
      </c>
      <c r="R1148" s="36" t="str">
        <f>IFERROR(IF(O1148&gt;0, P1148/O1148, 0),"-")</f>
        <v>-</v>
      </c>
      <c r="S1148" s="32">
        <v>7</v>
      </c>
      <c r="T1148" s="32">
        <v>1</v>
      </c>
      <c r="U1148" s="32">
        <v>32640</v>
      </c>
      <c r="V1148" s="32" t="s">
        <v>959</v>
      </c>
      <c r="W1148" s="32" t="s">
        <v>959</v>
      </c>
    </row>
    <row r="1149" spans="1:23" x14ac:dyDescent="0.2">
      <c r="A1149" s="30" t="s">
        <v>341</v>
      </c>
      <c r="B1149" s="30" t="s">
        <v>1749</v>
      </c>
      <c r="C1149" s="34">
        <v>120</v>
      </c>
      <c r="D1149" s="35">
        <v>116</v>
      </c>
      <c r="E1149" s="34">
        <f>IF(OR(D1149="-",D1149="",D1149=0),IF(C1149="-","-",C1149),C1149-D1149)</f>
        <v>4</v>
      </c>
      <c r="F1149" s="4">
        <f>IFERROR(IF(C1149&gt;0, D1149/C1149, 0),"-")</f>
        <v>0.96666666666666667</v>
      </c>
      <c r="G1149" s="34" t="s">
        <v>959</v>
      </c>
      <c r="H1149" s="35" t="s">
        <v>959</v>
      </c>
      <c r="I1149" s="34" t="str">
        <f>IF(OR(H1149="-",H1149="",H1149=0),IF(G1149="-","-",G1149),G1149-H1149)</f>
        <v>-</v>
      </c>
      <c r="J1149" s="4" t="str">
        <f>IFERROR(IF(G1149&gt;0, H1149/G1149, 0),"-")</f>
        <v>-</v>
      </c>
      <c r="K1149" s="34" t="s">
        <v>959</v>
      </c>
      <c r="L1149" s="35" t="s">
        <v>959</v>
      </c>
      <c r="M1149" s="34" t="str">
        <f>IF(OR(L1149="-",L1149="",L1149=0),IF(K1149="-","-",K1149),K1149-L1149)</f>
        <v>-</v>
      </c>
      <c r="N1149" s="4" t="str">
        <f>IFERROR(IF(K1149&gt;0, L1149/K1149, 0),"-")</f>
        <v>-</v>
      </c>
      <c r="O1149" s="34" t="s">
        <v>959</v>
      </c>
      <c r="P1149" s="35" t="s">
        <v>959</v>
      </c>
      <c r="Q1149" s="34" t="str">
        <f>IF(OR(P1149="-",P1149="",P1149=0),IF(O1149="-","-",O1149),O1149-P1149)</f>
        <v>-</v>
      </c>
      <c r="R1149" s="4" t="str">
        <f>IFERROR(IF(O1149&gt;0, P1149/O1149, 0),"-")</f>
        <v>-</v>
      </c>
      <c r="S1149" s="34" t="s">
        <v>959</v>
      </c>
      <c r="T1149" s="34" t="s">
        <v>959</v>
      </c>
      <c r="U1149" s="34" t="s">
        <v>959</v>
      </c>
      <c r="V1149" s="35" t="s">
        <v>959</v>
      </c>
      <c r="W1149" s="35" t="s">
        <v>959</v>
      </c>
    </row>
    <row r="1150" spans="1:23" x14ac:dyDescent="0.2">
      <c r="A1150" s="30" t="s">
        <v>368</v>
      </c>
      <c r="B1150" s="30" t="s">
        <v>1750</v>
      </c>
      <c r="C1150" s="34">
        <v>37</v>
      </c>
      <c r="D1150" s="35">
        <v>36</v>
      </c>
      <c r="E1150" s="34">
        <f>IF(OR(D1150="-",D1150="",D1150=0),IF(C1150="-","-",C1150),C1150-D1150)</f>
        <v>1</v>
      </c>
      <c r="F1150" s="4">
        <f>IFERROR(IF(C1150&gt;0, D1150/C1150, 0),"-")</f>
        <v>0.97297297297297303</v>
      </c>
      <c r="G1150" s="34">
        <v>4</v>
      </c>
      <c r="H1150" s="35">
        <v>1</v>
      </c>
      <c r="I1150" s="34">
        <f>IF(OR(H1150="-",H1150="",H1150=0),IF(G1150="-","-",G1150),G1150-H1150)</f>
        <v>3</v>
      </c>
      <c r="J1150" s="4">
        <f>IFERROR(IF(G1150&gt;0, H1150/G1150, 0),"-")</f>
        <v>0.25</v>
      </c>
      <c r="K1150" s="34">
        <v>3</v>
      </c>
      <c r="L1150" s="35" t="s">
        <v>959</v>
      </c>
      <c r="M1150" s="34">
        <f>IF(OR(L1150="-",L1150="",L1150=0),IF(K1150="-","-",K1150),K1150-L1150)</f>
        <v>3</v>
      </c>
      <c r="N1150" s="4" t="str">
        <f>IFERROR(IF(K1150&gt;0, L1150/K1150, 0),"-")</f>
        <v>-</v>
      </c>
      <c r="O1150" s="34">
        <v>2</v>
      </c>
      <c r="P1150" s="35" t="s">
        <v>959</v>
      </c>
      <c r="Q1150" s="34">
        <f>IF(OR(P1150="-",P1150="",P1150=0),IF(O1150="-","-",O1150),O1150-P1150)</f>
        <v>2</v>
      </c>
      <c r="R1150" s="4" t="str">
        <f>IFERROR(IF(O1150&gt;0, P1150/O1150, 0),"-")</f>
        <v>-</v>
      </c>
      <c r="S1150" s="34">
        <v>2</v>
      </c>
      <c r="T1150" s="34" t="s">
        <v>959</v>
      </c>
      <c r="U1150" s="34" t="s">
        <v>959</v>
      </c>
      <c r="V1150" s="35" t="s">
        <v>959</v>
      </c>
      <c r="W1150" s="35" t="s">
        <v>959</v>
      </c>
    </row>
    <row r="1151" spans="1:23" x14ac:dyDescent="0.2">
      <c r="A1151" s="30" t="s">
        <v>343</v>
      </c>
      <c r="B1151" s="30" t="s">
        <v>1751</v>
      </c>
      <c r="C1151" s="34">
        <v>121</v>
      </c>
      <c r="D1151" s="35">
        <v>119</v>
      </c>
      <c r="E1151" s="34">
        <f>IF(OR(D1151="-",D1151="",D1151=0),IF(C1151="-","-",C1151),C1151-D1151)</f>
        <v>2</v>
      </c>
      <c r="F1151" s="4">
        <f>IFERROR(IF(C1151&gt;0, D1151/C1151, 0),"-")</f>
        <v>0.98347107438016534</v>
      </c>
      <c r="G1151" s="34">
        <v>1</v>
      </c>
      <c r="H1151" s="35" t="s">
        <v>959</v>
      </c>
      <c r="I1151" s="34">
        <f>IF(OR(H1151="-",H1151="",H1151=0),IF(G1151="-","-",G1151),G1151-H1151)</f>
        <v>1</v>
      </c>
      <c r="J1151" s="4" t="str">
        <f>IFERROR(IF(G1151&gt;0, H1151/G1151, 0),"-")</f>
        <v>-</v>
      </c>
      <c r="K1151" s="34" t="s">
        <v>959</v>
      </c>
      <c r="L1151" s="35" t="s">
        <v>959</v>
      </c>
      <c r="M1151" s="34" t="str">
        <f>IF(OR(L1151="-",L1151="",L1151=0),IF(K1151="-","-",K1151),K1151-L1151)</f>
        <v>-</v>
      </c>
      <c r="N1151" s="4" t="str">
        <f>IFERROR(IF(K1151&gt;0, L1151/K1151, 0),"-")</f>
        <v>-</v>
      </c>
      <c r="O1151" s="34" t="s">
        <v>959</v>
      </c>
      <c r="P1151" s="35" t="s">
        <v>959</v>
      </c>
      <c r="Q1151" s="34" t="str">
        <f>IF(OR(P1151="-",P1151="",P1151=0),IF(O1151="-","-",O1151),O1151-P1151)</f>
        <v>-</v>
      </c>
      <c r="R1151" s="4" t="str">
        <f>IFERROR(IF(O1151&gt;0, P1151/O1151, 0),"-")</f>
        <v>-</v>
      </c>
      <c r="S1151" s="34" t="s">
        <v>959</v>
      </c>
      <c r="T1151" s="34" t="s">
        <v>959</v>
      </c>
      <c r="U1151" s="34" t="s">
        <v>959</v>
      </c>
      <c r="V1151" s="35" t="s">
        <v>959</v>
      </c>
      <c r="W1151" s="35" t="s">
        <v>959</v>
      </c>
    </row>
    <row r="1152" spans="1:23" x14ac:dyDescent="0.2">
      <c r="A1152" s="30" t="s">
        <v>339</v>
      </c>
      <c r="B1152" s="30" t="s">
        <v>1752</v>
      </c>
      <c r="C1152" s="34">
        <v>106</v>
      </c>
      <c r="D1152" s="35">
        <v>105</v>
      </c>
      <c r="E1152" s="34">
        <f>IF(OR(D1152="-",D1152="",D1152=0),IF(C1152="-","-",C1152),C1152-D1152)</f>
        <v>1</v>
      </c>
      <c r="F1152" s="4">
        <f>IFERROR(IF(C1152&gt;0, D1152/C1152, 0),"-")</f>
        <v>0.99056603773584906</v>
      </c>
      <c r="G1152" s="34" t="s">
        <v>959</v>
      </c>
      <c r="H1152" s="35" t="s">
        <v>959</v>
      </c>
      <c r="I1152" s="34" t="str">
        <f>IF(OR(H1152="-",H1152="",H1152=0),IF(G1152="-","-",G1152),G1152-H1152)</f>
        <v>-</v>
      </c>
      <c r="J1152" s="4" t="str">
        <f>IFERROR(IF(G1152&gt;0, H1152/G1152, 0),"-")</f>
        <v>-</v>
      </c>
      <c r="K1152" s="34" t="s">
        <v>959</v>
      </c>
      <c r="L1152" s="35" t="s">
        <v>959</v>
      </c>
      <c r="M1152" s="34" t="str">
        <f>IF(OR(L1152="-",L1152="",L1152=0),IF(K1152="-","-",K1152),K1152-L1152)</f>
        <v>-</v>
      </c>
      <c r="N1152" s="4" t="str">
        <f>IFERROR(IF(K1152&gt;0, L1152/K1152, 0),"-")</f>
        <v>-</v>
      </c>
      <c r="O1152" s="34" t="s">
        <v>959</v>
      </c>
      <c r="P1152" s="35" t="s">
        <v>959</v>
      </c>
      <c r="Q1152" s="34" t="str">
        <f>IF(OR(P1152="-",P1152="",P1152=0),IF(O1152="-","-",O1152),O1152-P1152)</f>
        <v>-</v>
      </c>
      <c r="R1152" s="4" t="str">
        <f>IFERROR(IF(O1152&gt;0, P1152/O1152, 0),"-")</f>
        <v>-</v>
      </c>
      <c r="S1152" s="34" t="s">
        <v>959</v>
      </c>
      <c r="T1152" s="34" t="s">
        <v>959</v>
      </c>
      <c r="U1152" s="34" t="s">
        <v>959</v>
      </c>
      <c r="V1152" s="35" t="s">
        <v>959</v>
      </c>
      <c r="W1152" s="35" t="s">
        <v>959</v>
      </c>
    </row>
    <row r="1153" spans="1:23" x14ac:dyDescent="0.2">
      <c r="A1153" s="30" t="s">
        <v>342</v>
      </c>
      <c r="B1153" s="30" t="s">
        <v>1753</v>
      </c>
      <c r="C1153" s="34">
        <v>100</v>
      </c>
      <c r="D1153" s="35">
        <v>99</v>
      </c>
      <c r="E1153" s="34">
        <f>IF(OR(D1153="-",D1153="",D1153=0),IF(C1153="-","-",C1153),C1153-D1153)</f>
        <v>1</v>
      </c>
      <c r="F1153" s="4">
        <f>IFERROR(IF(C1153&gt;0, D1153/C1153, 0),"-")</f>
        <v>0.99</v>
      </c>
      <c r="G1153" s="34" t="s">
        <v>959</v>
      </c>
      <c r="H1153" s="35" t="s">
        <v>959</v>
      </c>
      <c r="I1153" s="34" t="str">
        <f>IF(OR(H1153="-",H1153="",H1153=0),IF(G1153="-","-",G1153),G1153-H1153)</f>
        <v>-</v>
      </c>
      <c r="J1153" s="4" t="str">
        <f>IFERROR(IF(G1153&gt;0, H1153/G1153, 0),"-")</f>
        <v>-</v>
      </c>
      <c r="K1153" s="34">
        <v>1</v>
      </c>
      <c r="L1153" s="35" t="s">
        <v>959</v>
      </c>
      <c r="M1153" s="34">
        <f>IF(OR(L1153="-",L1153="",L1153=0),IF(K1153="-","-",K1153),K1153-L1153)</f>
        <v>1</v>
      </c>
      <c r="N1153" s="4" t="str">
        <f>IFERROR(IF(K1153&gt;0, L1153/K1153, 0),"-")</f>
        <v>-</v>
      </c>
      <c r="O1153" s="34" t="s">
        <v>959</v>
      </c>
      <c r="P1153" s="35" t="s">
        <v>959</v>
      </c>
      <c r="Q1153" s="34" t="str">
        <f>IF(OR(P1153="-",P1153="",P1153=0),IF(O1153="-","-",O1153),O1153-P1153)</f>
        <v>-</v>
      </c>
      <c r="R1153" s="4" t="str">
        <f>IFERROR(IF(O1153&gt;0, P1153/O1153, 0),"-")</f>
        <v>-</v>
      </c>
      <c r="S1153" s="34" t="s">
        <v>959</v>
      </c>
      <c r="T1153" s="34" t="s">
        <v>959</v>
      </c>
      <c r="U1153" s="34" t="s">
        <v>959</v>
      </c>
      <c r="V1153" s="35" t="s">
        <v>959</v>
      </c>
      <c r="W1153" s="35" t="s">
        <v>959</v>
      </c>
    </row>
    <row r="1154" spans="1:23" x14ac:dyDescent="0.2">
      <c r="A1154" s="30" t="s">
        <v>369</v>
      </c>
      <c r="B1154" s="30" t="s">
        <v>1754</v>
      </c>
      <c r="C1154" s="34">
        <v>38</v>
      </c>
      <c r="D1154" s="35">
        <v>31</v>
      </c>
      <c r="E1154" s="34">
        <f>IF(OR(D1154="-",D1154="",D1154=0),IF(C1154="-","-",C1154),C1154-D1154)</f>
        <v>7</v>
      </c>
      <c r="F1154" s="4">
        <f>IFERROR(IF(C1154&gt;0, D1154/C1154, 0),"-")</f>
        <v>0.81578947368421051</v>
      </c>
      <c r="G1154" s="34">
        <v>4</v>
      </c>
      <c r="H1154" s="35" t="s">
        <v>959</v>
      </c>
      <c r="I1154" s="34">
        <f>IF(OR(H1154="-",H1154="",H1154=0),IF(G1154="-","-",G1154),G1154-H1154)</f>
        <v>4</v>
      </c>
      <c r="J1154" s="4" t="str">
        <f>IFERROR(IF(G1154&gt;0, H1154/G1154, 0),"-")</f>
        <v>-</v>
      </c>
      <c r="K1154" s="34">
        <v>3</v>
      </c>
      <c r="L1154" s="35" t="s">
        <v>959</v>
      </c>
      <c r="M1154" s="34">
        <f>IF(OR(L1154="-",L1154="",L1154=0),IF(K1154="-","-",K1154),K1154-L1154)</f>
        <v>3</v>
      </c>
      <c r="N1154" s="4" t="str">
        <f>IFERROR(IF(K1154&gt;0, L1154/K1154, 0),"-")</f>
        <v>-</v>
      </c>
      <c r="O1154" s="34">
        <v>3</v>
      </c>
      <c r="P1154" s="35" t="s">
        <v>959</v>
      </c>
      <c r="Q1154" s="34">
        <f>IF(OR(P1154="-",P1154="",P1154=0),IF(O1154="-","-",O1154),O1154-P1154)</f>
        <v>3</v>
      </c>
      <c r="R1154" s="4" t="str">
        <f>IFERROR(IF(O1154&gt;0, P1154/O1154, 0),"-")</f>
        <v>-</v>
      </c>
      <c r="S1154" s="34">
        <v>5</v>
      </c>
      <c r="T1154" s="34">
        <v>1</v>
      </c>
      <c r="U1154" s="34">
        <v>32640</v>
      </c>
      <c r="V1154" s="35" t="s">
        <v>959</v>
      </c>
      <c r="W1154" s="35" t="s">
        <v>959</v>
      </c>
    </row>
    <row r="1155" spans="1:23" x14ac:dyDescent="0.2">
      <c r="A1155" s="30" t="s">
        <v>338</v>
      </c>
      <c r="B1155" s="30" t="s">
        <v>1755</v>
      </c>
      <c r="C1155" s="34">
        <v>83</v>
      </c>
      <c r="D1155" s="35">
        <v>81</v>
      </c>
      <c r="E1155" s="34">
        <f>IF(OR(D1155="-",D1155="",D1155=0),IF(C1155="-","-",C1155),C1155-D1155)</f>
        <v>2</v>
      </c>
      <c r="F1155" s="4">
        <f>IFERROR(IF(C1155&gt;0, D1155/C1155, 0),"-")</f>
        <v>0.97590361445783136</v>
      </c>
      <c r="G1155" s="34" t="s">
        <v>959</v>
      </c>
      <c r="H1155" s="35" t="s">
        <v>959</v>
      </c>
      <c r="I1155" s="34" t="str">
        <f>IF(OR(H1155="-",H1155="",H1155=0),IF(G1155="-","-",G1155),G1155-H1155)</f>
        <v>-</v>
      </c>
      <c r="J1155" s="4" t="str">
        <f>IFERROR(IF(G1155&gt;0, H1155/G1155, 0),"-")</f>
        <v>-</v>
      </c>
      <c r="K1155" s="34" t="s">
        <v>959</v>
      </c>
      <c r="L1155" s="35" t="s">
        <v>959</v>
      </c>
      <c r="M1155" s="34" t="str">
        <f>IF(OR(L1155="-",L1155="",L1155=0),IF(K1155="-","-",K1155),K1155-L1155)</f>
        <v>-</v>
      </c>
      <c r="N1155" s="4" t="str">
        <f>IFERROR(IF(K1155&gt;0, L1155/K1155, 0),"-")</f>
        <v>-</v>
      </c>
      <c r="O1155" s="34" t="s">
        <v>959</v>
      </c>
      <c r="P1155" s="35" t="s">
        <v>959</v>
      </c>
      <c r="Q1155" s="34" t="str">
        <f>IF(OR(P1155="-",P1155="",P1155=0),IF(O1155="-","-",O1155),O1155-P1155)</f>
        <v>-</v>
      </c>
      <c r="R1155" s="4" t="str">
        <f>IFERROR(IF(O1155&gt;0, P1155/O1155, 0),"-")</f>
        <v>-</v>
      </c>
      <c r="S1155" s="34" t="s">
        <v>959</v>
      </c>
      <c r="T1155" s="34" t="s">
        <v>959</v>
      </c>
      <c r="U1155" s="34" t="s">
        <v>959</v>
      </c>
      <c r="V1155" s="35" t="s">
        <v>959</v>
      </c>
      <c r="W1155" s="35" t="s">
        <v>959</v>
      </c>
    </row>
    <row r="1156" spans="1:23" x14ac:dyDescent="0.2">
      <c r="A1156" s="30" t="s">
        <v>340</v>
      </c>
      <c r="B1156" s="30" t="s">
        <v>1756</v>
      </c>
      <c r="C1156" s="34">
        <v>190</v>
      </c>
      <c r="D1156" s="35">
        <v>187</v>
      </c>
      <c r="E1156" s="34">
        <f>IF(OR(D1156="-",D1156="",D1156=0),IF(C1156="-","-",C1156),C1156-D1156)</f>
        <v>3</v>
      </c>
      <c r="F1156" s="4">
        <f>IFERROR(IF(C1156&gt;0, D1156/C1156, 0),"-")</f>
        <v>0.98421052631578942</v>
      </c>
      <c r="G1156" s="34" t="s">
        <v>959</v>
      </c>
      <c r="H1156" s="35" t="s">
        <v>959</v>
      </c>
      <c r="I1156" s="34" t="str">
        <f>IF(OR(H1156="-",H1156="",H1156=0),IF(G1156="-","-",G1156),G1156-H1156)</f>
        <v>-</v>
      </c>
      <c r="J1156" s="4" t="str">
        <f>IFERROR(IF(G1156&gt;0, H1156/G1156, 0),"-")</f>
        <v>-</v>
      </c>
      <c r="K1156" s="34" t="s">
        <v>959</v>
      </c>
      <c r="L1156" s="35" t="s">
        <v>959</v>
      </c>
      <c r="M1156" s="34" t="str">
        <f>IF(OR(L1156="-",L1156="",L1156=0),IF(K1156="-","-",K1156),K1156-L1156)</f>
        <v>-</v>
      </c>
      <c r="N1156" s="4" t="str">
        <f>IFERROR(IF(K1156&gt;0, L1156/K1156, 0),"-")</f>
        <v>-</v>
      </c>
      <c r="O1156" s="34" t="s">
        <v>959</v>
      </c>
      <c r="P1156" s="35" t="s">
        <v>959</v>
      </c>
      <c r="Q1156" s="34" t="str">
        <f>IF(OR(P1156="-",P1156="",P1156=0),IF(O1156="-","-",O1156),O1156-P1156)</f>
        <v>-</v>
      </c>
      <c r="R1156" s="4" t="str">
        <f>IFERROR(IF(O1156&gt;0, P1156/O1156, 0),"-")</f>
        <v>-</v>
      </c>
      <c r="S1156" s="34" t="s">
        <v>959</v>
      </c>
      <c r="T1156" s="34" t="s">
        <v>959</v>
      </c>
      <c r="U1156" s="34" t="s">
        <v>959</v>
      </c>
      <c r="V1156" s="35" t="s">
        <v>959</v>
      </c>
      <c r="W1156" s="35" t="s">
        <v>959</v>
      </c>
    </row>
    <row r="1157" spans="1:23" x14ac:dyDescent="0.2">
      <c r="A1157" s="29"/>
      <c r="B1157" s="29" t="s">
        <v>38</v>
      </c>
      <c r="C1157" s="32">
        <v>474</v>
      </c>
      <c r="D1157" s="32">
        <v>473</v>
      </c>
      <c r="E1157" s="32">
        <f>IF(OR(D1157="-",D1157="",D1157=0),IF(C1157="-","-",C1157),C1157-D1157)</f>
        <v>1</v>
      </c>
      <c r="F1157" s="36">
        <f>IFERROR(IF(C1157&gt;0, D1157/C1157, 0),"-")</f>
        <v>0.99789029535864981</v>
      </c>
      <c r="G1157" s="32" t="s">
        <v>959</v>
      </c>
      <c r="H1157" s="32" t="s">
        <v>959</v>
      </c>
      <c r="I1157" s="32" t="str">
        <f>IF(OR(H1157="-",H1157="",H1157=0),IF(G1157="-","-",G1157),G1157-H1157)</f>
        <v>-</v>
      </c>
      <c r="J1157" s="36" t="str">
        <f>IFERROR(IF(G1157&gt;0, H1157/G1157, 0),"-")</f>
        <v>-</v>
      </c>
      <c r="K1157" s="32" t="s">
        <v>959</v>
      </c>
      <c r="L1157" s="32" t="s">
        <v>959</v>
      </c>
      <c r="M1157" s="32" t="str">
        <f>IF(OR(L1157="-",L1157="",L1157=0),IF(K1157="-","-",K1157),K1157-L1157)</f>
        <v>-</v>
      </c>
      <c r="N1157" s="36" t="str">
        <f>IFERROR(IF(K1157&gt;0, L1157/K1157, 0),"-")</f>
        <v>-</v>
      </c>
      <c r="O1157" s="32">
        <v>1</v>
      </c>
      <c r="P1157" s="32">
        <v>1</v>
      </c>
      <c r="Q1157" s="32">
        <f>IF(OR(P1157="-",P1157="",P1157=0),IF(O1157="-","-",O1157),O1157-P1157)</f>
        <v>0</v>
      </c>
      <c r="R1157" s="36">
        <f>IFERROR(IF(O1157&gt;0, P1157/O1157, 0),"-")</f>
        <v>1</v>
      </c>
      <c r="S1157" s="32" t="s">
        <v>959</v>
      </c>
      <c r="T1157" s="32" t="s">
        <v>959</v>
      </c>
      <c r="U1157" s="32" t="s">
        <v>959</v>
      </c>
      <c r="V1157" s="32" t="s">
        <v>959</v>
      </c>
      <c r="W1157" s="32" t="s">
        <v>959</v>
      </c>
    </row>
    <row r="1158" spans="1:23" x14ac:dyDescent="0.2">
      <c r="A1158" s="30" t="s">
        <v>196</v>
      </c>
      <c r="B1158" s="30" t="s">
        <v>1757</v>
      </c>
      <c r="C1158" s="34">
        <v>103</v>
      </c>
      <c r="D1158" s="35">
        <v>103</v>
      </c>
      <c r="E1158" s="34">
        <f>IF(OR(D1158="-",D1158="",D1158=0),IF(C1158="-","-",C1158),C1158-D1158)</f>
        <v>0</v>
      </c>
      <c r="F1158" s="4">
        <f>IFERROR(IF(C1158&gt;0, D1158/C1158, 0),"-")</f>
        <v>1</v>
      </c>
      <c r="G1158" s="34" t="s">
        <v>959</v>
      </c>
      <c r="H1158" s="35" t="s">
        <v>959</v>
      </c>
      <c r="I1158" s="34" t="str">
        <f>IF(OR(H1158="-",H1158="",H1158=0),IF(G1158="-","-",G1158),G1158-H1158)</f>
        <v>-</v>
      </c>
      <c r="J1158" s="4" t="str">
        <f>IFERROR(IF(G1158&gt;0, H1158/G1158, 0),"-")</f>
        <v>-</v>
      </c>
      <c r="K1158" s="34" t="s">
        <v>959</v>
      </c>
      <c r="L1158" s="35" t="s">
        <v>959</v>
      </c>
      <c r="M1158" s="34" t="str">
        <f>IF(OR(L1158="-",L1158="",L1158=0),IF(K1158="-","-",K1158),K1158-L1158)</f>
        <v>-</v>
      </c>
      <c r="N1158" s="4" t="str">
        <f>IFERROR(IF(K1158&gt;0, L1158/K1158, 0),"-")</f>
        <v>-</v>
      </c>
      <c r="O1158" s="34" t="s">
        <v>959</v>
      </c>
      <c r="P1158" s="35" t="s">
        <v>959</v>
      </c>
      <c r="Q1158" s="34" t="str">
        <f>IF(OR(P1158="-",P1158="",P1158=0),IF(O1158="-","-",O1158),O1158-P1158)</f>
        <v>-</v>
      </c>
      <c r="R1158" s="4" t="str">
        <f>IFERROR(IF(O1158&gt;0, P1158/O1158, 0),"-")</f>
        <v>-</v>
      </c>
      <c r="S1158" s="34" t="s">
        <v>959</v>
      </c>
      <c r="T1158" s="34" t="s">
        <v>959</v>
      </c>
      <c r="U1158" s="34" t="s">
        <v>959</v>
      </c>
      <c r="V1158" s="35" t="s">
        <v>959</v>
      </c>
      <c r="W1158" s="35" t="s">
        <v>959</v>
      </c>
    </row>
    <row r="1159" spans="1:23" x14ac:dyDescent="0.2">
      <c r="A1159" s="30" t="s">
        <v>194</v>
      </c>
      <c r="B1159" s="30" t="s">
        <v>1329</v>
      </c>
      <c r="C1159" s="34">
        <v>112</v>
      </c>
      <c r="D1159" s="35">
        <v>111</v>
      </c>
      <c r="E1159" s="34">
        <f>IF(OR(D1159="-",D1159="",D1159=0),IF(C1159="-","-",C1159),C1159-D1159)</f>
        <v>1</v>
      </c>
      <c r="F1159" s="4">
        <f>IFERROR(IF(C1159&gt;0, D1159/C1159, 0),"-")</f>
        <v>0.9910714285714286</v>
      </c>
      <c r="G1159" s="34" t="s">
        <v>959</v>
      </c>
      <c r="H1159" s="35" t="s">
        <v>959</v>
      </c>
      <c r="I1159" s="34" t="str">
        <f>IF(OR(H1159="-",H1159="",H1159=0),IF(G1159="-","-",G1159),G1159-H1159)</f>
        <v>-</v>
      </c>
      <c r="J1159" s="4" t="str">
        <f>IFERROR(IF(G1159&gt;0, H1159/G1159, 0),"-")</f>
        <v>-</v>
      </c>
      <c r="K1159" s="34" t="s">
        <v>959</v>
      </c>
      <c r="L1159" s="35" t="s">
        <v>959</v>
      </c>
      <c r="M1159" s="34" t="str">
        <f>IF(OR(L1159="-",L1159="",L1159=0),IF(K1159="-","-",K1159),K1159-L1159)</f>
        <v>-</v>
      </c>
      <c r="N1159" s="4" t="str">
        <f>IFERROR(IF(K1159&gt;0, L1159/K1159, 0),"-")</f>
        <v>-</v>
      </c>
      <c r="O1159" s="34" t="s">
        <v>959</v>
      </c>
      <c r="P1159" s="35" t="s">
        <v>959</v>
      </c>
      <c r="Q1159" s="34" t="str">
        <f>IF(OR(P1159="-",P1159="",P1159=0),IF(O1159="-","-",O1159),O1159-P1159)</f>
        <v>-</v>
      </c>
      <c r="R1159" s="4" t="str">
        <f>IFERROR(IF(O1159&gt;0, P1159/O1159, 0),"-")</f>
        <v>-</v>
      </c>
      <c r="S1159" s="34" t="s">
        <v>959</v>
      </c>
      <c r="T1159" s="34" t="s">
        <v>959</v>
      </c>
      <c r="U1159" s="34" t="s">
        <v>959</v>
      </c>
      <c r="V1159" s="35" t="s">
        <v>959</v>
      </c>
      <c r="W1159" s="35" t="s">
        <v>959</v>
      </c>
    </row>
    <row r="1160" spans="1:23" x14ac:dyDescent="0.2">
      <c r="A1160" s="30" t="s">
        <v>195</v>
      </c>
      <c r="B1160" s="30" t="s">
        <v>1758</v>
      </c>
      <c r="C1160" s="34">
        <v>75</v>
      </c>
      <c r="D1160" s="35">
        <v>75</v>
      </c>
      <c r="E1160" s="34">
        <f>IF(OR(D1160="-",D1160="",D1160=0),IF(C1160="-","-",C1160),C1160-D1160)</f>
        <v>0</v>
      </c>
      <c r="F1160" s="4">
        <f>IFERROR(IF(C1160&gt;0, D1160/C1160, 0),"-")</f>
        <v>1</v>
      </c>
      <c r="G1160" s="34" t="s">
        <v>959</v>
      </c>
      <c r="H1160" s="35" t="s">
        <v>959</v>
      </c>
      <c r="I1160" s="34" t="str">
        <f>IF(OR(H1160="-",H1160="",H1160=0),IF(G1160="-","-",G1160),G1160-H1160)</f>
        <v>-</v>
      </c>
      <c r="J1160" s="4" t="str">
        <f>IFERROR(IF(G1160&gt;0, H1160/G1160, 0),"-")</f>
        <v>-</v>
      </c>
      <c r="K1160" s="34" t="s">
        <v>959</v>
      </c>
      <c r="L1160" s="35" t="s">
        <v>959</v>
      </c>
      <c r="M1160" s="34" t="str">
        <f>IF(OR(L1160="-",L1160="",L1160=0),IF(K1160="-","-",K1160),K1160-L1160)</f>
        <v>-</v>
      </c>
      <c r="N1160" s="4" t="str">
        <f>IFERROR(IF(K1160&gt;0, L1160/K1160, 0),"-")</f>
        <v>-</v>
      </c>
      <c r="O1160" s="34" t="s">
        <v>959</v>
      </c>
      <c r="P1160" s="35" t="s">
        <v>959</v>
      </c>
      <c r="Q1160" s="34" t="str">
        <f>IF(OR(P1160="-",P1160="",P1160=0),IF(O1160="-","-",O1160),O1160-P1160)</f>
        <v>-</v>
      </c>
      <c r="R1160" s="4" t="str">
        <f>IFERROR(IF(O1160&gt;0, P1160/O1160, 0),"-")</f>
        <v>-</v>
      </c>
      <c r="S1160" s="34" t="s">
        <v>959</v>
      </c>
      <c r="T1160" s="34" t="s">
        <v>959</v>
      </c>
      <c r="U1160" s="34" t="s">
        <v>959</v>
      </c>
      <c r="V1160" s="35" t="s">
        <v>959</v>
      </c>
      <c r="W1160" s="35" t="s">
        <v>959</v>
      </c>
    </row>
    <row r="1161" spans="1:23" x14ac:dyDescent="0.2">
      <c r="A1161" s="30" t="s">
        <v>198</v>
      </c>
      <c r="B1161" s="30" t="s">
        <v>1759</v>
      </c>
      <c r="C1161" s="34">
        <v>53</v>
      </c>
      <c r="D1161" s="35">
        <v>53</v>
      </c>
      <c r="E1161" s="34">
        <f>IF(OR(D1161="-",D1161="",D1161=0),IF(C1161="-","-",C1161),C1161-D1161)</f>
        <v>0</v>
      </c>
      <c r="F1161" s="4">
        <f>IFERROR(IF(C1161&gt;0, D1161/C1161, 0),"-")</f>
        <v>1</v>
      </c>
      <c r="G1161" s="34" t="s">
        <v>959</v>
      </c>
      <c r="H1161" s="35" t="s">
        <v>959</v>
      </c>
      <c r="I1161" s="34" t="str">
        <f>IF(OR(H1161="-",H1161="",H1161=0),IF(G1161="-","-",G1161),G1161-H1161)</f>
        <v>-</v>
      </c>
      <c r="J1161" s="4" t="str">
        <f>IFERROR(IF(G1161&gt;0, H1161/G1161, 0),"-")</f>
        <v>-</v>
      </c>
      <c r="K1161" s="34" t="s">
        <v>959</v>
      </c>
      <c r="L1161" s="35" t="s">
        <v>959</v>
      </c>
      <c r="M1161" s="34" t="str">
        <f>IF(OR(L1161="-",L1161="",L1161=0),IF(K1161="-","-",K1161),K1161-L1161)</f>
        <v>-</v>
      </c>
      <c r="N1161" s="4" t="str">
        <f>IFERROR(IF(K1161&gt;0, L1161/K1161, 0),"-")</f>
        <v>-</v>
      </c>
      <c r="O1161" s="34" t="s">
        <v>959</v>
      </c>
      <c r="P1161" s="35" t="s">
        <v>959</v>
      </c>
      <c r="Q1161" s="34" t="str">
        <f>IF(OR(P1161="-",P1161="",P1161=0),IF(O1161="-","-",O1161),O1161-P1161)</f>
        <v>-</v>
      </c>
      <c r="R1161" s="4" t="str">
        <f>IFERROR(IF(O1161&gt;0, P1161/O1161, 0),"-")</f>
        <v>-</v>
      </c>
      <c r="S1161" s="34" t="s">
        <v>959</v>
      </c>
      <c r="T1161" s="34" t="s">
        <v>959</v>
      </c>
      <c r="U1161" s="34" t="s">
        <v>959</v>
      </c>
      <c r="V1161" s="35" t="s">
        <v>959</v>
      </c>
      <c r="W1161" s="35" t="s">
        <v>959</v>
      </c>
    </row>
    <row r="1162" spans="1:23" x14ac:dyDescent="0.2">
      <c r="A1162" s="30" t="s">
        <v>193</v>
      </c>
      <c r="B1162" s="30" t="s">
        <v>1760</v>
      </c>
      <c r="C1162" s="34">
        <v>87</v>
      </c>
      <c r="D1162" s="35">
        <v>87</v>
      </c>
      <c r="E1162" s="34">
        <f>IF(OR(D1162="-",D1162="",D1162=0),IF(C1162="-","-",C1162),C1162-D1162)</f>
        <v>0</v>
      </c>
      <c r="F1162" s="4">
        <f>IFERROR(IF(C1162&gt;0, D1162/C1162, 0),"-")</f>
        <v>1</v>
      </c>
      <c r="G1162" s="34" t="s">
        <v>959</v>
      </c>
      <c r="H1162" s="35" t="s">
        <v>959</v>
      </c>
      <c r="I1162" s="34" t="str">
        <f>IF(OR(H1162="-",H1162="",H1162=0),IF(G1162="-","-",G1162),G1162-H1162)</f>
        <v>-</v>
      </c>
      <c r="J1162" s="4" t="str">
        <f>IFERROR(IF(G1162&gt;0, H1162/G1162, 0),"-")</f>
        <v>-</v>
      </c>
      <c r="K1162" s="34" t="s">
        <v>959</v>
      </c>
      <c r="L1162" s="35" t="s">
        <v>959</v>
      </c>
      <c r="M1162" s="34" t="str">
        <f>IF(OR(L1162="-",L1162="",L1162=0),IF(K1162="-","-",K1162),K1162-L1162)</f>
        <v>-</v>
      </c>
      <c r="N1162" s="4" t="str">
        <f>IFERROR(IF(K1162&gt;0, L1162/K1162, 0),"-")</f>
        <v>-</v>
      </c>
      <c r="O1162" s="34">
        <v>1</v>
      </c>
      <c r="P1162" s="35">
        <v>1</v>
      </c>
      <c r="Q1162" s="34">
        <f>IF(OR(P1162="-",P1162="",P1162=0),IF(O1162="-","-",O1162),O1162-P1162)</f>
        <v>0</v>
      </c>
      <c r="R1162" s="4">
        <f>IFERROR(IF(O1162&gt;0, P1162/O1162, 0),"-")</f>
        <v>1</v>
      </c>
      <c r="S1162" s="34" t="s">
        <v>959</v>
      </c>
      <c r="T1162" s="34" t="s">
        <v>959</v>
      </c>
      <c r="U1162" s="34" t="s">
        <v>959</v>
      </c>
      <c r="V1162" s="35" t="s">
        <v>959</v>
      </c>
      <c r="W1162" s="35" t="s">
        <v>959</v>
      </c>
    </row>
    <row r="1163" spans="1:23" x14ac:dyDescent="0.2">
      <c r="A1163" s="30" t="s">
        <v>197</v>
      </c>
      <c r="B1163" s="30" t="s">
        <v>1002</v>
      </c>
      <c r="C1163" s="34">
        <v>44</v>
      </c>
      <c r="D1163" s="35">
        <v>44</v>
      </c>
      <c r="E1163" s="34">
        <f>IF(OR(D1163="-",D1163="",D1163=0),IF(C1163="-","-",C1163),C1163-D1163)</f>
        <v>0</v>
      </c>
      <c r="F1163" s="4">
        <f>IFERROR(IF(C1163&gt;0, D1163/C1163, 0),"-")</f>
        <v>1</v>
      </c>
      <c r="G1163" s="34" t="s">
        <v>959</v>
      </c>
      <c r="H1163" s="35" t="s">
        <v>959</v>
      </c>
      <c r="I1163" s="34" t="str">
        <f>IF(OR(H1163="-",H1163="",H1163=0),IF(G1163="-","-",G1163),G1163-H1163)</f>
        <v>-</v>
      </c>
      <c r="J1163" s="4" t="str">
        <f>IFERROR(IF(G1163&gt;0, H1163/G1163, 0),"-")</f>
        <v>-</v>
      </c>
      <c r="K1163" s="34" t="s">
        <v>959</v>
      </c>
      <c r="L1163" s="35" t="s">
        <v>959</v>
      </c>
      <c r="M1163" s="34" t="str">
        <f>IF(OR(L1163="-",L1163="",L1163=0),IF(K1163="-","-",K1163),K1163-L1163)</f>
        <v>-</v>
      </c>
      <c r="N1163" s="4" t="str">
        <f>IFERROR(IF(K1163&gt;0, L1163/K1163, 0),"-")</f>
        <v>-</v>
      </c>
      <c r="O1163" s="34" t="s">
        <v>959</v>
      </c>
      <c r="P1163" s="35" t="s">
        <v>959</v>
      </c>
      <c r="Q1163" s="34" t="str">
        <f>IF(OR(P1163="-",P1163="",P1163=0),IF(O1163="-","-",O1163),O1163-P1163)</f>
        <v>-</v>
      </c>
      <c r="R1163" s="4" t="str">
        <f>IFERROR(IF(O1163&gt;0, P1163/O1163, 0),"-")</f>
        <v>-</v>
      </c>
      <c r="S1163" s="34" t="s">
        <v>959</v>
      </c>
      <c r="T1163" s="34" t="s">
        <v>959</v>
      </c>
      <c r="U1163" s="34" t="s">
        <v>959</v>
      </c>
      <c r="V1163" s="35" t="s">
        <v>959</v>
      </c>
      <c r="W1163" s="35" t="s">
        <v>959</v>
      </c>
    </row>
    <row r="1164" spans="1:23" x14ac:dyDescent="0.2">
      <c r="A1164" s="29"/>
      <c r="B1164" s="29" t="s">
        <v>86</v>
      </c>
      <c r="C1164" s="32">
        <v>746</v>
      </c>
      <c r="D1164" s="32">
        <v>738</v>
      </c>
      <c r="E1164" s="32">
        <f>IF(OR(D1164="-",D1164="",D1164=0),IF(C1164="-","-",C1164),C1164-D1164)</f>
        <v>8</v>
      </c>
      <c r="F1164" s="36">
        <f>IFERROR(IF(C1164&gt;0, D1164/C1164, 0),"-")</f>
        <v>0.98927613941018766</v>
      </c>
      <c r="G1164" s="32">
        <v>7</v>
      </c>
      <c r="H1164" s="32">
        <v>2</v>
      </c>
      <c r="I1164" s="32">
        <f>IF(OR(H1164="-",H1164="",H1164=0),IF(G1164="-","-",G1164),G1164-H1164)</f>
        <v>5</v>
      </c>
      <c r="J1164" s="36">
        <f>IFERROR(IF(G1164&gt;0, H1164/G1164, 0),"-")</f>
        <v>0.2857142857142857</v>
      </c>
      <c r="K1164" s="32">
        <v>1</v>
      </c>
      <c r="L1164" s="32" t="s">
        <v>959</v>
      </c>
      <c r="M1164" s="32">
        <f>IF(OR(L1164="-",L1164="",L1164=0),IF(K1164="-","-",K1164),K1164-L1164)</f>
        <v>1</v>
      </c>
      <c r="N1164" s="36" t="str">
        <f>IFERROR(IF(K1164&gt;0, L1164/K1164, 0),"-")</f>
        <v>-</v>
      </c>
      <c r="O1164" s="32">
        <v>4</v>
      </c>
      <c r="P1164" s="32">
        <v>1</v>
      </c>
      <c r="Q1164" s="32">
        <f>IF(OR(P1164="-",P1164="",P1164=0),IF(O1164="-","-",O1164),O1164-P1164)</f>
        <v>3</v>
      </c>
      <c r="R1164" s="36">
        <f>IFERROR(IF(O1164&gt;0, P1164/O1164, 0),"-")</f>
        <v>0.25</v>
      </c>
      <c r="S1164" s="32">
        <v>1</v>
      </c>
      <c r="T1164" s="32" t="s">
        <v>959</v>
      </c>
      <c r="U1164" s="32" t="s">
        <v>959</v>
      </c>
      <c r="V1164" s="32" t="s">
        <v>959</v>
      </c>
      <c r="W1164" s="32" t="s">
        <v>959</v>
      </c>
    </row>
    <row r="1165" spans="1:23" x14ac:dyDescent="0.2">
      <c r="A1165" s="30" t="s">
        <v>592</v>
      </c>
      <c r="B1165" s="30" t="s">
        <v>1761</v>
      </c>
      <c r="C1165" s="34">
        <v>49</v>
      </c>
      <c r="D1165" s="35">
        <v>49</v>
      </c>
      <c r="E1165" s="34">
        <f>IF(OR(D1165="-",D1165="",D1165=0),IF(C1165="-","-",C1165),C1165-D1165)</f>
        <v>0</v>
      </c>
      <c r="F1165" s="4">
        <f>IFERROR(IF(C1165&gt;0, D1165/C1165, 0),"-")</f>
        <v>1</v>
      </c>
      <c r="G1165" s="34" t="s">
        <v>959</v>
      </c>
      <c r="H1165" s="35" t="s">
        <v>959</v>
      </c>
      <c r="I1165" s="34" t="str">
        <f>IF(OR(H1165="-",H1165="",H1165=0),IF(G1165="-","-",G1165),G1165-H1165)</f>
        <v>-</v>
      </c>
      <c r="J1165" s="4" t="str">
        <f>IFERROR(IF(G1165&gt;0, H1165/G1165, 0),"-")</f>
        <v>-</v>
      </c>
      <c r="K1165" s="34" t="s">
        <v>959</v>
      </c>
      <c r="L1165" s="35" t="s">
        <v>959</v>
      </c>
      <c r="M1165" s="34" t="str">
        <f>IF(OR(L1165="-",L1165="",L1165=0),IF(K1165="-","-",K1165),K1165-L1165)</f>
        <v>-</v>
      </c>
      <c r="N1165" s="4" t="str">
        <f>IFERROR(IF(K1165&gt;0, L1165/K1165, 0),"-")</f>
        <v>-</v>
      </c>
      <c r="O1165" s="34" t="s">
        <v>959</v>
      </c>
      <c r="P1165" s="35" t="s">
        <v>959</v>
      </c>
      <c r="Q1165" s="34" t="str">
        <f>IF(OR(P1165="-",P1165="",P1165=0),IF(O1165="-","-",O1165),O1165-P1165)</f>
        <v>-</v>
      </c>
      <c r="R1165" s="4" t="str">
        <f>IFERROR(IF(O1165&gt;0, P1165/O1165, 0),"-")</f>
        <v>-</v>
      </c>
      <c r="S1165" s="34" t="s">
        <v>959</v>
      </c>
      <c r="T1165" s="34" t="s">
        <v>959</v>
      </c>
      <c r="U1165" s="34" t="s">
        <v>959</v>
      </c>
      <c r="V1165" s="35" t="s">
        <v>959</v>
      </c>
      <c r="W1165" s="35" t="s">
        <v>959</v>
      </c>
    </row>
    <row r="1166" spans="1:23" x14ac:dyDescent="0.2">
      <c r="A1166" s="30" t="s">
        <v>580</v>
      </c>
      <c r="B1166" s="30" t="s">
        <v>1762</v>
      </c>
      <c r="C1166" s="34">
        <v>62</v>
      </c>
      <c r="D1166" s="35">
        <v>61</v>
      </c>
      <c r="E1166" s="34">
        <f>IF(OR(D1166="-",D1166="",D1166=0),IF(C1166="-","-",C1166),C1166-D1166)</f>
        <v>1</v>
      </c>
      <c r="F1166" s="4">
        <f>IFERROR(IF(C1166&gt;0, D1166/C1166, 0),"-")</f>
        <v>0.9838709677419355</v>
      </c>
      <c r="G1166" s="34">
        <v>2</v>
      </c>
      <c r="H1166" s="35" t="s">
        <v>959</v>
      </c>
      <c r="I1166" s="34">
        <f>IF(OR(H1166="-",H1166="",H1166=0),IF(G1166="-","-",G1166),G1166-H1166)</f>
        <v>2</v>
      </c>
      <c r="J1166" s="4" t="str">
        <f>IFERROR(IF(G1166&gt;0, H1166/G1166, 0),"-")</f>
        <v>-</v>
      </c>
      <c r="K1166" s="34" t="s">
        <v>959</v>
      </c>
      <c r="L1166" s="35" t="s">
        <v>959</v>
      </c>
      <c r="M1166" s="34" t="str">
        <f>IF(OR(L1166="-",L1166="",L1166=0),IF(K1166="-","-",K1166),K1166-L1166)</f>
        <v>-</v>
      </c>
      <c r="N1166" s="4" t="str">
        <f>IFERROR(IF(K1166&gt;0, L1166/K1166, 0),"-")</f>
        <v>-</v>
      </c>
      <c r="O1166" s="34" t="s">
        <v>959</v>
      </c>
      <c r="P1166" s="35" t="s">
        <v>959</v>
      </c>
      <c r="Q1166" s="34" t="str">
        <f>IF(OR(P1166="-",P1166="",P1166=0),IF(O1166="-","-",O1166),O1166-P1166)</f>
        <v>-</v>
      </c>
      <c r="R1166" s="4" t="str">
        <f>IFERROR(IF(O1166&gt;0, P1166/O1166, 0),"-")</f>
        <v>-</v>
      </c>
      <c r="S1166" s="34" t="s">
        <v>959</v>
      </c>
      <c r="T1166" s="34" t="s">
        <v>959</v>
      </c>
      <c r="U1166" s="34" t="s">
        <v>959</v>
      </c>
      <c r="V1166" s="35" t="s">
        <v>959</v>
      </c>
      <c r="W1166" s="35" t="s">
        <v>959</v>
      </c>
    </row>
    <row r="1167" spans="1:23" x14ac:dyDescent="0.2">
      <c r="A1167" s="30" t="s">
        <v>606</v>
      </c>
      <c r="B1167" s="30" t="s">
        <v>1763</v>
      </c>
      <c r="C1167" s="34">
        <v>34</v>
      </c>
      <c r="D1167" s="35">
        <v>31</v>
      </c>
      <c r="E1167" s="34">
        <f>IF(OR(D1167="-",D1167="",D1167=0),IF(C1167="-","-",C1167),C1167-D1167)</f>
        <v>3</v>
      </c>
      <c r="F1167" s="4">
        <f>IFERROR(IF(C1167&gt;0, D1167/C1167, 0),"-")</f>
        <v>0.91176470588235292</v>
      </c>
      <c r="G1167" s="34">
        <v>3</v>
      </c>
      <c r="H1167" s="35" t="s">
        <v>959</v>
      </c>
      <c r="I1167" s="34">
        <f>IF(OR(H1167="-",H1167="",H1167=0),IF(G1167="-","-",G1167),G1167-H1167)</f>
        <v>3</v>
      </c>
      <c r="J1167" s="4" t="str">
        <f>IFERROR(IF(G1167&gt;0, H1167/G1167, 0),"-")</f>
        <v>-</v>
      </c>
      <c r="K1167" s="34" t="s">
        <v>959</v>
      </c>
      <c r="L1167" s="35" t="s">
        <v>959</v>
      </c>
      <c r="M1167" s="34" t="str">
        <f>IF(OR(L1167="-",L1167="",L1167=0),IF(K1167="-","-",K1167),K1167-L1167)</f>
        <v>-</v>
      </c>
      <c r="N1167" s="4" t="str">
        <f>IFERROR(IF(K1167&gt;0, L1167/K1167, 0),"-")</f>
        <v>-</v>
      </c>
      <c r="O1167" s="34">
        <v>3</v>
      </c>
      <c r="P1167" s="35" t="s">
        <v>959</v>
      </c>
      <c r="Q1167" s="34">
        <f>IF(OR(P1167="-",P1167="",P1167=0),IF(O1167="-","-",O1167),O1167-P1167)</f>
        <v>3</v>
      </c>
      <c r="R1167" s="4" t="str">
        <f>IFERROR(IF(O1167&gt;0, P1167/O1167, 0),"-")</f>
        <v>-</v>
      </c>
      <c r="S1167" s="34" t="s">
        <v>959</v>
      </c>
      <c r="T1167" s="34" t="s">
        <v>959</v>
      </c>
      <c r="U1167" s="34" t="s">
        <v>959</v>
      </c>
      <c r="V1167" s="35" t="s">
        <v>959</v>
      </c>
      <c r="W1167" s="35" t="s">
        <v>959</v>
      </c>
    </row>
    <row r="1168" spans="1:23" x14ac:dyDescent="0.2">
      <c r="A1168" s="30" t="s">
        <v>605</v>
      </c>
      <c r="B1168" s="30" t="s">
        <v>1764</v>
      </c>
      <c r="C1168" s="34">
        <v>37</v>
      </c>
      <c r="D1168" s="35">
        <v>37</v>
      </c>
      <c r="E1168" s="34">
        <f>IF(OR(D1168="-",D1168="",D1168=0),IF(C1168="-","-",C1168),C1168-D1168)</f>
        <v>0</v>
      </c>
      <c r="F1168" s="4">
        <f>IFERROR(IF(C1168&gt;0, D1168/C1168, 0),"-")</f>
        <v>1</v>
      </c>
      <c r="G1168" s="34" t="s">
        <v>959</v>
      </c>
      <c r="H1168" s="35" t="s">
        <v>959</v>
      </c>
      <c r="I1168" s="34" t="str">
        <f>IF(OR(H1168="-",H1168="",H1168=0),IF(G1168="-","-",G1168),G1168-H1168)</f>
        <v>-</v>
      </c>
      <c r="J1168" s="4" t="str">
        <f>IFERROR(IF(G1168&gt;0, H1168/G1168, 0),"-")</f>
        <v>-</v>
      </c>
      <c r="K1168" s="34" t="s">
        <v>959</v>
      </c>
      <c r="L1168" s="35" t="s">
        <v>959</v>
      </c>
      <c r="M1168" s="34" t="str">
        <f>IF(OR(L1168="-",L1168="",L1168=0),IF(K1168="-","-",K1168),K1168-L1168)</f>
        <v>-</v>
      </c>
      <c r="N1168" s="4" t="str">
        <f>IFERROR(IF(K1168&gt;0, L1168/K1168, 0),"-")</f>
        <v>-</v>
      </c>
      <c r="O1168" s="34" t="s">
        <v>959</v>
      </c>
      <c r="P1168" s="35" t="s">
        <v>959</v>
      </c>
      <c r="Q1168" s="34" t="str">
        <f>IF(OR(P1168="-",P1168="",P1168=0),IF(O1168="-","-",O1168),O1168-P1168)</f>
        <v>-</v>
      </c>
      <c r="R1168" s="4" t="str">
        <f>IFERROR(IF(O1168&gt;0, P1168/O1168, 0),"-")</f>
        <v>-</v>
      </c>
      <c r="S1168" s="34">
        <v>1</v>
      </c>
      <c r="T1168" s="34" t="s">
        <v>959</v>
      </c>
      <c r="U1168" s="34" t="s">
        <v>959</v>
      </c>
      <c r="V1168" s="35" t="s">
        <v>959</v>
      </c>
      <c r="W1168" s="35" t="s">
        <v>959</v>
      </c>
    </row>
    <row r="1169" spans="1:23" x14ac:dyDescent="0.2">
      <c r="A1169" s="30" t="s">
        <v>593</v>
      </c>
      <c r="B1169" s="30" t="s">
        <v>1765</v>
      </c>
      <c r="C1169" s="34">
        <v>5</v>
      </c>
      <c r="D1169" s="35">
        <v>5</v>
      </c>
      <c r="E1169" s="34">
        <f>IF(OR(D1169="-",D1169="",D1169=0),IF(C1169="-","-",C1169),C1169-D1169)</f>
        <v>0</v>
      </c>
      <c r="F1169" s="4">
        <f>IFERROR(IF(C1169&gt;0, D1169/C1169, 0),"-")</f>
        <v>1</v>
      </c>
      <c r="G1169" s="34" t="s">
        <v>959</v>
      </c>
      <c r="H1169" s="35" t="s">
        <v>959</v>
      </c>
      <c r="I1169" s="34" t="str">
        <f>IF(OR(H1169="-",H1169="",H1169=0),IF(G1169="-","-",G1169),G1169-H1169)</f>
        <v>-</v>
      </c>
      <c r="J1169" s="4" t="str">
        <f>IFERROR(IF(G1169&gt;0, H1169/G1169, 0),"-")</f>
        <v>-</v>
      </c>
      <c r="K1169" s="34" t="s">
        <v>959</v>
      </c>
      <c r="L1169" s="35" t="s">
        <v>959</v>
      </c>
      <c r="M1169" s="34" t="str">
        <f>IF(OR(L1169="-",L1169="",L1169=0),IF(K1169="-","-",K1169),K1169-L1169)</f>
        <v>-</v>
      </c>
      <c r="N1169" s="4" t="str">
        <f>IFERROR(IF(K1169&gt;0, L1169/K1169, 0),"-")</f>
        <v>-</v>
      </c>
      <c r="O1169" s="34" t="s">
        <v>959</v>
      </c>
      <c r="P1169" s="35" t="s">
        <v>959</v>
      </c>
      <c r="Q1169" s="34" t="str">
        <f>IF(OR(P1169="-",P1169="",P1169=0),IF(O1169="-","-",O1169),O1169-P1169)</f>
        <v>-</v>
      </c>
      <c r="R1169" s="4" t="str">
        <f>IFERROR(IF(O1169&gt;0, P1169/O1169, 0),"-")</f>
        <v>-</v>
      </c>
      <c r="S1169" s="34" t="s">
        <v>959</v>
      </c>
      <c r="T1169" s="34" t="s">
        <v>959</v>
      </c>
      <c r="U1169" s="34" t="s">
        <v>959</v>
      </c>
      <c r="V1169" s="35" t="s">
        <v>959</v>
      </c>
      <c r="W1169" s="35" t="s">
        <v>959</v>
      </c>
    </row>
    <row r="1170" spans="1:23" x14ac:dyDescent="0.2">
      <c r="A1170" s="30" t="s">
        <v>583</v>
      </c>
      <c r="B1170" s="30" t="s">
        <v>1766</v>
      </c>
      <c r="C1170" s="34">
        <v>69</v>
      </c>
      <c r="D1170" s="35">
        <v>68</v>
      </c>
      <c r="E1170" s="34">
        <f>IF(OR(D1170="-",D1170="",D1170=0),IF(C1170="-","-",C1170),C1170-D1170)</f>
        <v>1</v>
      </c>
      <c r="F1170" s="4">
        <f>IFERROR(IF(C1170&gt;0, D1170/C1170, 0),"-")</f>
        <v>0.98550724637681164</v>
      </c>
      <c r="G1170" s="34" t="s">
        <v>959</v>
      </c>
      <c r="H1170" s="35" t="s">
        <v>959</v>
      </c>
      <c r="I1170" s="34" t="str">
        <f>IF(OR(H1170="-",H1170="",H1170=0),IF(G1170="-","-",G1170),G1170-H1170)</f>
        <v>-</v>
      </c>
      <c r="J1170" s="4" t="str">
        <f>IFERROR(IF(G1170&gt;0, H1170/G1170, 0),"-")</f>
        <v>-</v>
      </c>
      <c r="K1170" s="34" t="s">
        <v>959</v>
      </c>
      <c r="L1170" s="35" t="s">
        <v>959</v>
      </c>
      <c r="M1170" s="34" t="str">
        <f>IF(OR(L1170="-",L1170="",L1170=0),IF(K1170="-","-",K1170),K1170-L1170)</f>
        <v>-</v>
      </c>
      <c r="N1170" s="4" t="str">
        <f>IFERROR(IF(K1170&gt;0, L1170/K1170, 0),"-")</f>
        <v>-</v>
      </c>
      <c r="O1170" s="34">
        <v>1</v>
      </c>
      <c r="P1170" s="35">
        <v>1</v>
      </c>
      <c r="Q1170" s="34">
        <f>IF(OR(P1170="-",P1170="",P1170=0),IF(O1170="-","-",O1170),O1170-P1170)</f>
        <v>0</v>
      </c>
      <c r="R1170" s="4">
        <f>IFERROR(IF(O1170&gt;0, P1170/O1170, 0),"-")</f>
        <v>1</v>
      </c>
      <c r="S1170" s="34" t="s">
        <v>959</v>
      </c>
      <c r="T1170" s="34" t="s">
        <v>959</v>
      </c>
      <c r="U1170" s="34" t="s">
        <v>959</v>
      </c>
      <c r="V1170" s="35" t="s">
        <v>959</v>
      </c>
      <c r="W1170" s="35" t="s">
        <v>959</v>
      </c>
    </row>
    <row r="1171" spans="1:23" x14ac:dyDescent="0.2">
      <c r="A1171" s="30" t="s">
        <v>582</v>
      </c>
      <c r="B1171" s="30" t="s">
        <v>1767</v>
      </c>
      <c r="C1171" s="34">
        <v>80</v>
      </c>
      <c r="D1171" s="35">
        <v>79</v>
      </c>
      <c r="E1171" s="34">
        <f>IF(OR(D1171="-",D1171="",D1171=0),IF(C1171="-","-",C1171),C1171-D1171)</f>
        <v>1</v>
      </c>
      <c r="F1171" s="4">
        <f>IFERROR(IF(C1171&gt;0, D1171/C1171, 0),"-")</f>
        <v>0.98750000000000004</v>
      </c>
      <c r="G1171" s="34">
        <v>1</v>
      </c>
      <c r="H1171" s="35">
        <v>1</v>
      </c>
      <c r="I1171" s="34">
        <f>IF(OR(H1171="-",H1171="",H1171=0),IF(G1171="-","-",G1171),G1171-H1171)</f>
        <v>0</v>
      </c>
      <c r="J1171" s="4">
        <f>IFERROR(IF(G1171&gt;0, H1171/G1171, 0),"-")</f>
        <v>1</v>
      </c>
      <c r="K1171" s="34" t="s">
        <v>959</v>
      </c>
      <c r="L1171" s="35" t="s">
        <v>959</v>
      </c>
      <c r="M1171" s="34" t="str">
        <f>IF(OR(L1171="-",L1171="",L1171=0),IF(K1171="-","-",K1171),K1171-L1171)</f>
        <v>-</v>
      </c>
      <c r="N1171" s="4" t="str">
        <f>IFERROR(IF(K1171&gt;0, L1171/K1171, 0),"-")</f>
        <v>-</v>
      </c>
      <c r="O1171" s="34" t="s">
        <v>959</v>
      </c>
      <c r="P1171" s="35" t="s">
        <v>959</v>
      </c>
      <c r="Q1171" s="34" t="str">
        <f>IF(OR(P1171="-",P1171="",P1171=0),IF(O1171="-","-",O1171),O1171-P1171)</f>
        <v>-</v>
      </c>
      <c r="R1171" s="4" t="str">
        <f>IFERROR(IF(O1171&gt;0, P1171/O1171, 0),"-")</f>
        <v>-</v>
      </c>
      <c r="S1171" s="34" t="s">
        <v>959</v>
      </c>
      <c r="T1171" s="34" t="s">
        <v>959</v>
      </c>
      <c r="U1171" s="34" t="s">
        <v>959</v>
      </c>
      <c r="V1171" s="35" t="s">
        <v>959</v>
      </c>
      <c r="W1171" s="35" t="s">
        <v>959</v>
      </c>
    </row>
    <row r="1172" spans="1:23" x14ac:dyDescent="0.2">
      <c r="A1172" s="30" t="s">
        <v>584</v>
      </c>
      <c r="B1172" s="30" t="s">
        <v>1768</v>
      </c>
      <c r="C1172" s="34">
        <v>149</v>
      </c>
      <c r="D1172" s="35">
        <v>148</v>
      </c>
      <c r="E1172" s="34">
        <f>IF(OR(D1172="-",D1172="",D1172=0),IF(C1172="-","-",C1172),C1172-D1172)</f>
        <v>1</v>
      </c>
      <c r="F1172" s="4">
        <f>IFERROR(IF(C1172&gt;0, D1172/C1172, 0),"-")</f>
        <v>0.99328859060402686</v>
      </c>
      <c r="G1172" s="34">
        <v>1</v>
      </c>
      <c r="H1172" s="35">
        <v>1</v>
      </c>
      <c r="I1172" s="34">
        <f>IF(OR(H1172="-",H1172="",H1172=0),IF(G1172="-","-",G1172),G1172-H1172)</f>
        <v>0</v>
      </c>
      <c r="J1172" s="4">
        <f>IFERROR(IF(G1172&gt;0, H1172/G1172, 0),"-")</f>
        <v>1</v>
      </c>
      <c r="K1172" s="34" t="s">
        <v>959</v>
      </c>
      <c r="L1172" s="35" t="s">
        <v>959</v>
      </c>
      <c r="M1172" s="34" t="str">
        <f>IF(OR(L1172="-",L1172="",L1172=0),IF(K1172="-","-",K1172),K1172-L1172)</f>
        <v>-</v>
      </c>
      <c r="N1172" s="4" t="str">
        <f>IFERROR(IF(K1172&gt;0, L1172/K1172, 0),"-")</f>
        <v>-</v>
      </c>
      <c r="O1172" s="34" t="s">
        <v>959</v>
      </c>
      <c r="P1172" s="35" t="s">
        <v>959</v>
      </c>
      <c r="Q1172" s="34" t="str">
        <f>IF(OR(P1172="-",P1172="",P1172=0),IF(O1172="-","-",O1172),O1172-P1172)</f>
        <v>-</v>
      </c>
      <c r="R1172" s="4" t="str">
        <f>IFERROR(IF(O1172&gt;0, P1172/O1172, 0),"-")</f>
        <v>-</v>
      </c>
      <c r="S1172" s="34" t="s">
        <v>959</v>
      </c>
      <c r="T1172" s="34" t="s">
        <v>959</v>
      </c>
      <c r="U1172" s="34" t="s">
        <v>959</v>
      </c>
      <c r="V1172" s="35" t="s">
        <v>959</v>
      </c>
      <c r="W1172" s="35" t="s">
        <v>959</v>
      </c>
    </row>
    <row r="1173" spans="1:23" x14ac:dyDescent="0.2">
      <c r="A1173" s="30" t="s">
        <v>614</v>
      </c>
      <c r="B1173" s="30" t="s">
        <v>1769</v>
      </c>
      <c r="C1173" s="34" t="s">
        <v>959</v>
      </c>
      <c r="D1173" s="35" t="s">
        <v>959</v>
      </c>
      <c r="E1173" s="34" t="str">
        <f>IF(OR(D1173="-",D1173="",D1173=0),IF(C1173="-","-",C1173),C1173-D1173)</f>
        <v>-</v>
      </c>
      <c r="F1173" s="4" t="str">
        <f>IFERROR(IF(C1173&gt;0, D1173/C1173, 0),"-")</f>
        <v>-</v>
      </c>
      <c r="G1173" s="34" t="s">
        <v>959</v>
      </c>
      <c r="H1173" s="35" t="s">
        <v>959</v>
      </c>
      <c r="I1173" s="34" t="str">
        <f>IF(OR(H1173="-",H1173="",H1173=0),IF(G1173="-","-",G1173),G1173-H1173)</f>
        <v>-</v>
      </c>
      <c r="J1173" s="4" t="str">
        <f>IFERROR(IF(G1173&gt;0, H1173/G1173, 0),"-")</f>
        <v>-</v>
      </c>
      <c r="K1173" s="34" t="s">
        <v>959</v>
      </c>
      <c r="L1173" s="35" t="s">
        <v>959</v>
      </c>
      <c r="M1173" s="34" t="str">
        <f>IF(OR(L1173="-",L1173="",L1173=0),IF(K1173="-","-",K1173),K1173-L1173)</f>
        <v>-</v>
      </c>
      <c r="N1173" s="4" t="str">
        <f>IFERROR(IF(K1173&gt;0, L1173/K1173, 0),"-")</f>
        <v>-</v>
      </c>
      <c r="O1173" s="34" t="s">
        <v>959</v>
      </c>
      <c r="P1173" s="35" t="s">
        <v>959</v>
      </c>
      <c r="Q1173" s="34" t="str">
        <f>IF(OR(P1173="-",P1173="",P1173=0),IF(O1173="-","-",O1173),O1173-P1173)</f>
        <v>-</v>
      </c>
      <c r="R1173" s="4" t="str">
        <f>IFERROR(IF(O1173&gt;0, P1173/O1173, 0),"-")</f>
        <v>-</v>
      </c>
      <c r="S1173" s="34" t="s">
        <v>959</v>
      </c>
      <c r="T1173" s="34" t="s">
        <v>959</v>
      </c>
      <c r="U1173" s="34" t="s">
        <v>959</v>
      </c>
      <c r="V1173" s="35" t="s">
        <v>959</v>
      </c>
      <c r="W1173" s="35" t="s">
        <v>959</v>
      </c>
    </row>
    <row r="1174" spans="1:23" x14ac:dyDescent="0.2">
      <c r="A1174" s="30" t="s">
        <v>585</v>
      </c>
      <c r="B1174" s="30" t="s">
        <v>1770</v>
      </c>
      <c r="C1174" s="34">
        <v>146</v>
      </c>
      <c r="D1174" s="35">
        <v>146</v>
      </c>
      <c r="E1174" s="34">
        <f>IF(OR(D1174="-",D1174="",D1174=0),IF(C1174="-","-",C1174),C1174-D1174)</f>
        <v>0</v>
      </c>
      <c r="F1174" s="4">
        <f>IFERROR(IF(C1174&gt;0, D1174/C1174, 0),"-")</f>
        <v>1</v>
      </c>
      <c r="G1174" s="34" t="s">
        <v>959</v>
      </c>
      <c r="H1174" s="35" t="s">
        <v>959</v>
      </c>
      <c r="I1174" s="34" t="str">
        <f>IF(OR(H1174="-",H1174="",H1174=0),IF(G1174="-","-",G1174),G1174-H1174)</f>
        <v>-</v>
      </c>
      <c r="J1174" s="4" t="str">
        <f>IFERROR(IF(G1174&gt;0, H1174/G1174, 0),"-")</f>
        <v>-</v>
      </c>
      <c r="K1174" s="34" t="s">
        <v>959</v>
      </c>
      <c r="L1174" s="35" t="s">
        <v>959</v>
      </c>
      <c r="M1174" s="34" t="str">
        <f>IF(OR(L1174="-",L1174="",L1174=0),IF(K1174="-","-",K1174),K1174-L1174)</f>
        <v>-</v>
      </c>
      <c r="N1174" s="4" t="str">
        <f>IFERROR(IF(K1174&gt;0, L1174/K1174, 0),"-")</f>
        <v>-</v>
      </c>
      <c r="O1174" s="34" t="s">
        <v>959</v>
      </c>
      <c r="P1174" s="35" t="s">
        <v>959</v>
      </c>
      <c r="Q1174" s="34" t="str">
        <f>IF(OR(P1174="-",P1174="",P1174=0),IF(O1174="-","-",O1174),O1174-P1174)</f>
        <v>-</v>
      </c>
      <c r="R1174" s="4" t="str">
        <f>IFERROR(IF(O1174&gt;0, P1174/O1174, 0),"-")</f>
        <v>-</v>
      </c>
      <c r="S1174" s="34" t="s">
        <v>959</v>
      </c>
      <c r="T1174" s="34" t="s">
        <v>959</v>
      </c>
      <c r="U1174" s="34" t="s">
        <v>959</v>
      </c>
      <c r="V1174" s="35" t="s">
        <v>959</v>
      </c>
      <c r="W1174" s="35" t="s">
        <v>959</v>
      </c>
    </row>
    <row r="1175" spans="1:23" x14ac:dyDescent="0.2">
      <c r="A1175" s="30" t="s">
        <v>581</v>
      </c>
      <c r="B1175" s="30" t="s">
        <v>1771</v>
      </c>
      <c r="C1175" s="34">
        <v>115</v>
      </c>
      <c r="D1175" s="35">
        <v>114</v>
      </c>
      <c r="E1175" s="34">
        <f>IF(OR(D1175="-",D1175="",D1175=0),IF(C1175="-","-",C1175),C1175-D1175)</f>
        <v>1</v>
      </c>
      <c r="F1175" s="4">
        <f>IFERROR(IF(C1175&gt;0, D1175/C1175, 0),"-")</f>
        <v>0.99130434782608701</v>
      </c>
      <c r="G1175" s="34" t="s">
        <v>959</v>
      </c>
      <c r="H1175" s="35" t="s">
        <v>959</v>
      </c>
      <c r="I1175" s="34" t="str">
        <f>IF(OR(H1175="-",H1175="",H1175=0),IF(G1175="-","-",G1175),G1175-H1175)</f>
        <v>-</v>
      </c>
      <c r="J1175" s="4" t="str">
        <f>IFERROR(IF(G1175&gt;0, H1175/G1175, 0),"-")</f>
        <v>-</v>
      </c>
      <c r="K1175" s="34">
        <v>1</v>
      </c>
      <c r="L1175" s="35" t="s">
        <v>959</v>
      </c>
      <c r="M1175" s="34">
        <f>IF(OR(L1175="-",L1175="",L1175=0),IF(K1175="-","-",K1175),K1175-L1175)</f>
        <v>1</v>
      </c>
      <c r="N1175" s="4" t="str">
        <f>IFERROR(IF(K1175&gt;0, L1175/K1175, 0),"-")</f>
        <v>-</v>
      </c>
      <c r="O1175" s="34" t="s">
        <v>959</v>
      </c>
      <c r="P1175" s="35" t="s">
        <v>959</v>
      </c>
      <c r="Q1175" s="34" t="str">
        <f>IF(OR(P1175="-",P1175="",P1175=0),IF(O1175="-","-",O1175),O1175-P1175)</f>
        <v>-</v>
      </c>
      <c r="R1175" s="4" t="str">
        <f>IFERROR(IF(O1175&gt;0, P1175/O1175, 0),"-")</f>
        <v>-</v>
      </c>
      <c r="S1175" s="34" t="s">
        <v>959</v>
      </c>
      <c r="T1175" s="34" t="s">
        <v>959</v>
      </c>
      <c r="U1175" s="34" t="s">
        <v>959</v>
      </c>
      <c r="V1175" s="35" t="s">
        <v>959</v>
      </c>
      <c r="W1175" s="35" t="s">
        <v>959</v>
      </c>
    </row>
    <row r="1176" spans="1:23" x14ac:dyDescent="0.2">
      <c r="A1176" s="29"/>
      <c r="B1176" s="29" t="s">
        <v>112</v>
      </c>
      <c r="C1176" s="32">
        <v>566</v>
      </c>
      <c r="D1176" s="32">
        <v>530</v>
      </c>
      <c r="E1176" s="32">
        <f>IF(OR(D1176="-",D1176="",D1176=0),IF(C1176="-","-",C1176),C1176-D1176)</f>
        <v>36</v>
      </c>
      <c r="F1176" s="36">
        <f>IFERROR(IF(C1176&gt;0, D1176/C1176, 0),"-")</f>
        <v>0.93639575971731448</v>
      </c>
      <c r="G1176" s="32">
        <v>15</v>
      </c>
      <c r="H1176" s="32">
        <v>8</v>
      </c>
      <c r="I1176" s="32">
        <f>IF(OR(H1176="-",H1176="",H1176=0),IF(G1176="-","-",G1176),G1176-H1176)</f>
        <v>7</v>
      </c>
      <c r="J1176" s="36">
        <f>IFERROR(IF(G1176&gt;0, H1176/G1176, 0),"-")</f>
        <v>0.53333333333333333</v>
      </c>
      <c r="K1176" s="32">
        <v>4</v>
      </c>
      <c r="L1176" s="32">
        <v>2</v>
      </c>
      <c r="M1176" s="32">
        <f>IF(OR(L1176="-",L1176="",L1176=0),IF(K1176="-","-",K1176),K1176-L1176)</f>
        <v>2</v>
      </c>
      <c r="N1176" s="36">
        <f>IFERROR(IF(K1176&gt;0, L1176/K1176, 0),"-")</f>
        <v>0.5</v>
      </c>
      <c r="O1176" s="32" t="s">
        <v>959</v>
      </c>
      <c r="P1176" s="32" t="s">
        <v>959</v>
      </c>
      <c r="Q1176" s="32" t="str">
        <f>IF(OR(P1176="-",P1176="",P1176=0),IF(O1176="-","-",O1176),O1176-P1176)</f>
        <v>-</v>
      </c>
      <c r="R1176" s="36" t="str">
        <f>IFERROR(IF(O1176&gt;0, P1176/O1176, 0),"-")</f>
        <v>-</v>
      </c>
      <c r="S1176" s="32">
        <v>3</v>
      </c>
      <c r="T1176" s="32">
        <v>1</v>
      </c>
      <c r="U1176" s="32">
        <v>5300</v>
      </c>
      <c r="V1176" s="32" t="s">
        <v>959</v>
      </c>
      <c r="W1176" s="32" t="s">
        <v>959</v>
      </c>
    </row>
    <row r="1177" spans="1:23" x14ac:dyDescent="0.2">
      <c r="A1177" s="30" t="s">
        <v>811</v>
      </c>
      <c r="B1177" s="30" t="s">
        <v>1772</v>
      </c>
      <c r="C1177" s="34">
        <v>153</v>
      </c>
      <c r="D1177" s="35">
        <v>151</v>
      </c>
      <c r="E1177" s="34">
        <f>IF(OR(D1177="-",D1177="",D1177=0),IF(C1177="-","-",C1177),C1177-D1177)</f>
        <v>2</v>
      </c>
      <c r="F1177" s="4">
        <f>IFERROR(IF(C1177&gt;0, D1177/C1177, 0),"-")</f>
        <v>0.98692810457516345</v>
      </c>
      <c r="G1177" s="34" t="s">
        <v>959</v>
      </c>
      <c r="H1177" s="35" t="s">
        <v>959</v>
      </c>
      <c r="I1177" s="34" t="str">
        <f>IF(OR(H1177="-",H1177="",H1177=0),IF(G1177="-","-",G1177),G1177-H1177)</f>
        <v>-</v>
      </c>
      <c r="J1177" s="4" t="str">
        <f>IFERROR(IF(G1177&gt;0, H1177/G1177, 0),"-")</f>
        <v>-</v>
      </c>
      <c r="K1177" s="34" t="s">
        <v>959</v>
      </c>
      <c r="L1177" s="35" t="s">
        <v>959</v>
      </c>
      <c r="M1177" s="34" t="str">
        <f>IF(OR(L1177="-",L1177="",L1177=0),IF(K1177="-","-",K1177),K1177-L1177)</f>
        <v>-</v>
      </c>
      <c r="N1177" s="4" t="str">
        <f>IFERROR(IF(K1177&gt;0, L1177/K1177, 0),"-")</f>
        <v>-</v>
      </c>
      <c r="O1177" s="34" t="s">
        <v>959</v>
      </c>
      <c r="P1177" s="35" t="s">
        <v>959</v>
      </c>
      <c r="Q1177" s="34" t="str">
        <f>IF(OR(P1177="-",P1177="",P1177=0),IF(O1177="-","-",O1177),O1177-P1177)</f>
        <v>-</v>
      </c>
      <c r="R1177" s="4" t="str">
        <f>IFERROR(IF(O1177&gt;0, P1177/O1177, 0),"-")</f>
        <v>-</v>
      </c>
      <c r="S1177" s="34" t="s">
        <v>959</v>
      </c>
      <c r="T1177" s="34" t="s">
        <v>959</v>
      </c>
      <c r="U1177" s="34" t="s">
        <v>959</v>
      </c>
      <c r="V1177" s="35" t="s">
        <v>959</v>
      </c>
      <c r="W1177" s="35" t="s">
        <v>959</v>
      </c>
    </row>
    <row r="1178" spans="1:23" x14ac:dyDescent="0.2">
      <c r="A1178" s="30" t="s">
        <v>813</v>
      </c>
      <c r="B1178" s="30" t="s">
        <v>1773</v>
      </c>
      <c r="C1178" s="34">
        <v>260</v>
      </c>
      <c r="D1178" s="35">
        <v>242</v>
      </c>
      <c r="E1178" s="34">
        <f>IF(OR(D1178="-",D1178="",D1178=0),IF(C1178="-","-",C1178),C1178-D1178)</f>
        <v>18</v>
      </c>
      <c r="F1178" s="4">
        <f>IFERROR(IF(C1178&gt;0, D1178/C1178, 0),"-")</f>
        <v>0.93076923076923079</v>
      </c>
      <c r="G1178" s="34">
        <v>6</v>
      </c>
      <c r="H1178" s="35">
        <v>3</v>
      </c>
      <c r="I1178" s="34">
        <f>IF(OR(H1178="-",H1178="",H1178=0),IF(G1178="-","-",G1178),G1178-H1178)</f>
        <v>3</v>
      </c>
      <c r="J1178" s="4">
        <f>IFERROR(IF(G1178&gt;0, H1178/G1178, 0),"-")</f>
        <v>0.5</v>
      </c>
      <c r="K1178" s="34">
        <v>1</v>
      </c>
      <c r="L1178" s="35" t="s">
        <v>959</v>
      </c>
      <c r="M1178" s="34">
        <f>IF(OR(L1178="-",L1178="",L1178=0),IF(K1178="-","-",K1178),K1178-L1178)</f>
        <v>1</v>
      </c>
      <c r="N1178" s="4" t="str">
        <f>IFERROR(IF(K1178&gt;0, L1178/K1178, 0),"-")</f>
        <v>-</v>
      </c>
      <c r="O1178" s="34" t="s">
        <v>959</v>
      </c>
      <c r="P1178" s="35" t="s">
        <v>959</v>
      </c>
      <c r="Q1178" s="34" t="str">
        <f>IF(OR(P1178="-",P1178="",P1178=0),IF(O1178="-","-",O1178),O1178-P1178)</f>
        <v>-</v>
      </c>
      <c r="R1178" s="4" t="str">
        <f>IFERROR(IF(O1178&gt;0, P1178/O1178, 0),"-")</f>
        <v>-</v>
      </c>
      <c r="S1178" s="34">
        <v>1</v>
      </c>
      <c r="T1178" s="34" t="s">
        <v>959</v>
      </c>
      <c r="U1178" s="34" t="s">
        <v>959</v>
      </c>
      <c r="V1178" s="35" t="s">
        <v>959</v>
      </c>
      <c r="W1178" s="35" t="s">
        <v>959</v>
      </c>
    </row>
    <row r="1179" spans="1:23" x14ac:dyDescent="0.2">
      <c r="A1179" s="30" t="s">
        <v>810</v>
      </c>
      <c r="B1179" s="30" t="s">
        <v>1774</v>
      </c>
      <c r="C1179" s="34">
        <v>40</v>
      </c>
      <c r="D1179" s="35">
        <v>37</v>
      </c>
      <c r="E1179" s="34">
        <f>IF(OR(D1179="-",D1179="",D1179=0),IF(C1179="-","-",C1179),C1179-D1179)</f>
        <v>3</v>
      </c>
      <c r="F1179" s="4">
        <f>IFERROR(IF(C1179&gt;0, D1179/C1179, 0),"-")</f>
        <v>0.92500000000000004</v>
      </c>
      <c r="G1179" s="34">
        <v>2</v>
      </c>
      <c r="H1179" s="35">
        <v>1</v>
      </c>
      <c r="I1179" s="34">
        <f>IF(OR(H1179="-",H1179="",H1179=0),IF(G1179="-","-",G1179),G1179-H1179)</f>
        <v>1</v>
      </c>
      <c r="J1179" s="4">
        <f>IFERROR(IF(G1179&gt;0, H1179/G1179, 0),"-")</f>
        <v>0.5</v>
      </c>
      <c r="K1179" s="34" t="s">
        <v>959</v>
      </c>
      <c r="L1179" s="35" t="s">
        <v>959</v>
      </c>
      <c r="M1179" s="34" t="str">
        <f>IF(OR(L1179="-",L1179="",L1179=0),IF(K1179="-","-",K1179),K1179-L1179)</f>
        <v>-</v>
      </c>
      <c r="N1179" s="4" t="str">
        <f>IFERROR(IF(K1179&gt;0, L1179/K1179, 0),"-")</f>
        <v>-</v>
      </c>
      <c r="O1179" s="34" t="s">
        <v>959</v>
      </c>
      <c r="P1179" s="35" t="s">
        <v>959</v>
      </c>
      <c r="Q1179" s="34" t="str">
        <f>IF(OR(P1179="-",P1179="",P1179=0),IF(O1179="-","-",O1179),O1179-P1179)</f>
        <v>-</v>
      </c>
      <c r="R1179" s="4" t="str">
        <f>IFERROR(IF(O1179&gt;0, P1179/O1179, 0),"-")</f>
        <v>-</v>
      </c>
      <c r="S1179" s="34" t="s">
        <v>959</v>
      </c>
      <c r="T1179" s="34" t="s">
        <v>959</v>
      </c>
      <c r="U1179" s="34" t="s">
        <v>959</v>
      </c>
      <c r="V1179" s="35" t="s">
        <v>959</v>
      </c>
      <c r="W1179" s="35" t="s">
        <v>959</v>
      </c>
    </row>
    <row r="1180" spans="1:23" x14ac:dyDescent="0.2">
      <c r="A1180" s="30" t="s">
        <v>812</v>
      </c>
      <c r="B1180" s="30" t="s">
        <v>1775</v>
      </c>
      <c r="C1180" s="34">
        <v>113</v>
      </c>
      <c r="D1180" s="35">
        <v>100</v>
      </c>
      <c r="E1180" s="34">
        <f>IF(OR(D1180="-",D1180="",D1180=0),IF(C1180="-","-",C1180),C1180-D1180)</f>
        <v>13</v>
      </c>
      <c r="F1180" s="4">
        <f>IFERROR(IF(C1180&gt;0, D1180/C1180, 0),"-")</f>
        <v>0.88495575221238942</v>
      </c>
      <c r="G1180" s="34">
        <v>7</v>
      </c>
      <c r="H1180" s="35">
        <v>4</v>
      </c>
      <c r="I1180" s="34">
        <f>IF(OR(H1180="-",H1180="",H1180=0),IF(G1180="-","-",G1180),G1180-H1180)</f>
        <v>3</v>
      </c>
      <c r="J1180" s="4">
        <f>IFERROR(IF(G1180&gt;0, H1180/G1180, 0),"-")</f>
        <v>0.5714285714285714</v>
      </c>
      <c r="K1180" s="34">
        <v>3</v>
      </c>
      <c r="L1180" s="35">
        <v>2</v>
      </c>
      <c r="M1180" s="34">
        <f>IF(OR(L1180="-",L1180="",L1180=0),IF(K1180="-","-",K1180),K1180-L1180)</f>
        <v>1</v>
      </c>
      <c r="N1180" s="4">
        <f>IFERROR(IF(K1180&gt;0, L1180/K1180, 0),"-")</f>
        <v>0.66666666666666663</v>
      </c>
      <c r="O1180" s="34" t="s">
        <v>959</v>
      </c>
      <c r="P1180" s="35" t="s">
        <v>959</v>
      </c>
      <c r="Q1180" s="34" t="str">
        <f>IF(OR(P1180="-",P1180="",P1180=0),IF(O1180="-","-",O1180),O1180-P1180)</f>
        <v>-</v>
      </c>
      <c r="R1180" s="4" t="str">
        <f>IFERROR(IF(O1180&gt;0, P1180/O1180, 0),"-")</f>
        <v>-</v>
      </c>
      <c r="S1180" s="34">
        <v>2</v>
      </c>
      <c r="T1180" s="34">
        <v>1</v>
      </c>
      <c r="U1180" s="34">
        <v>5300</v>
      </c>
      <c r="V1180" s="35" t="s">
        <v>959</v>
      </c>
      <c r="W1180" s="35" t="s">
        <v>959</v>
      </c>
    </row>
    <row r="1181" spans="1:23" x14ac:dyDescent="0.2">
      <c r="A1181" s="31"/>
      <c r="B1181" s="31" t="s">
        <v>953</v>
      </c>
      <c r="C1181" s="33">
        <v>65331</v>
      </c>
      <c r="D1181" s="33">
        <v>64000</v>
      </c>
      <c r="E1181" s="33">
        <f>IF(OR(D1181="-",D1181="",D1181=0),IF(C1181="-","-",C1181),C1181-D1181)</f>
        <v>1331</v>
      </c>
      <c r="F1181" s="37">
        <f>IFERROR(IF(C1181&gt;0, D1181/C1181, 0),"-")</f>
        <v>0.97962682340695839</v>
      </c>
      <c r="G1181" s="33">
        <v>517</v>
      </c>
      <c r="H1181" s="33">
        <v>126</v>
      </c>
      <c r="I1181" s="33">
        <f>IF(OR(H1181="-",H1181="",H1181=0),IF(G1181="-","-",G1181),G1181-H1181)</f>
        <v>391</v>
      </c>
      <c r="J1181" s="37">
        <f>IFERROR(IF(G1181&gt;0, H1181/G1181, 0),"-")</f>
        <v>0.2437137330754352</v>
      </c>
      <c r="K1181" s="33">
        <v>266</v>
      </c>
      <c r="L1181" s="33">
        <v>45</v>
      </c>
      <c r="M1181" s="33">
        <f>IF(OR(L1181="-",L1181="",L1181=0),IF(K1181="-","-",K1181),K1181-L1181)</f>
        <v>221</v>
      </c>
      <c r="N1181" s="37">
        <f>IFERROR(IF(K1181&gt;0, L1181/K1181, 0),"-")</f>
        <v>0.16917293233082706</v>
      </c>
      <c r="O1181" s="33">
        <v>202</v>
      </c>
      <c r="P1181" s="33">
        <v>25</v>
      </c>
      <c r="Q1181" s="33">
        <f>IF(OR(P1181="-",P1181="",P1181=0),IF(O1181="-","-",O1181),O1181-P1181)</f>
        <v>177</v>
      </c>
      <c r="R1181" s="37">
        <f>IFERROR(IF(O1181&gt;0, P1181/O1181, 0),"-")</f>
        <v>0.12376237623762376</v>
      </c>
      <c r="S1181" s="33">
        <v>323</v>
      </c>
      <c r="T1181" s="33">
        <v>21</v>
      </c>
      <c r="U1181" s="33">
        <v>148945</v>
      </c>
      <c r="V1181" s="33" t="s">
        <v>959</v>
      </c>
      <c r="W1181" s="33" t="s">
        <v>959</v>
      </c>
    </row>
  </sheetData>
  <sortState xmlns:xlrd2="http://schemas.microsoft.com/office/spreadsheetml/2017/richdata2" ref="B224:Y228">
    <sortCondition ref="X1"/>
  </sortState>
  <mergeCells count="205">
    <mergeCell ref="O237:O238"/>
    <mergeCell ref="P237:P238"/>
    <mergeCell ref="Q237:Q238"/>
    <mergeCell ref="R237:R238"/>
    <mergeCell ref="S237:S238"/>
    <mergeCell ref="I237:I238"/>
    <mergeCell ref="J237:J238"/>
    <mergeCell ref="K237:K238"/>
    <mergeCell ref="L237:L238"/>
    <mergeCell ref="M237:M238"/>
    <mergeCell ref="N237:N238"/>
    <mergeCell ref="V237:W237"/>
    <mergeCell ref="C237:C238"/>
    <mergeCell ref="D237:D238"/>
    <mergeCell ref="E237:E238"/>
    <mergeCell ref="F237:F238"/>
    <mergeCell ref="G237:G238"/>
    <mergeCell ref="H237:H238"/>
    <mergeCell ref="A235:W235"/>
    <mergeCell ref="A236:A238"/>
    <mergeCell ref="B236:B237"/>
    <mergeCell ref="C236:F236"/>
    <mergeCell ref="G236:J236"/>
    <mergeCell ref="K236:N236"/>
    <mergeCell ref="O236:R236"/>
    <mergeCell ref="S236:W236"/>
    <mergeCell ref="T237:U237"/>
    <mergeCell ref="Q222:Q223"/>
    <mergeCell ref="R222:R223"/>
    <mergeCell ref="S222:S223"/>
    <mergeCell ref="X222:X223"/>
    <mergeCell ref="Y222:Y223"/>
    <mergeCell ref="A233:Y233"/>
    <mergeCell ref="K222:K223"/>
    <mergeCell ref="L222:L223"/>
    <mergeCell ref="M222:M223"/>
    <mergeCell ref="N222:N223"/>
    <mergeCell ref="O222:O223"/>
    <mergeCell ref="P222:P223"/>
    <mergeCell ref="E222:E223"/>
    <mergeCell ref="F222:F223"/>
    <mergeCell ref="G222:G223"/>
    <mergeCell ref="H222:H223"/>
    <mergeCell ref="I222:I223"/>
    <mergeCell ref="J222:J223"/>
    <mergeCell ref="O221:R221"/>
    <mergeCell ref="S221:W221"/>
    <mergeCell ref="X221:Y221"/>
    <mergeCell ref="T222:U222"/>
    <mergeCell ref="V222:W222"/>
    <mergeCell ref="C222:C223"/>
    <mergeCell ref="D222:D223"/>
    <mergeCell ref="B218:Y218"/>
    <mergeCell ref="B220:Y220"/>
    <mergeCell ref="B221:B222"/>
    <mergeCell ref="C221:F221"/>
    <mergeCell ref="G221:J221"/>
    <mergeCell ref="K221:N221"/>
    <mergeCell ref="N207:N208"/>
    <mergeCell ref="O207:O208"/>
    <mergeCell ref="P207:P208"/>
    <mergeCell ref="Q207:Q208"/>
    <mergeCell ref="R207:R208"/>
    <mergeCell ref="S207:S208"/>
    <mergeCell ref="H207:H208"/>
    <mergeCell ref="I207:I208"/>
    <mergeCell ref="J207:J208"/>
    <mergeCell ref="K207:K208"/>
    <mergeCell ref="L207:L208"/>
    <mergeCell ref="M207:M208"/>
    <mergeCell ref="T207:U207"/>
    <mergeCell ref="V207:W207"/>
    <mergeCell ref="C207:C208"/>
    <mergeCell ref="D207:D208"/>
    <mergeCell ref="E207:E208"/>
    <mergeCell ref="F207:F208"/>
    <mergeCell ref="G207:G208"/>
    <mergeCell ref="B203:Y203"/>
    <mergeCell ref="B205:Y205"/>
    <mergeCell ref="B206:B207"/>
    <mergeCell ref="C206:F206"/>
    <mergeCell ref="G206:J206"/>
    <mergeCell ref="K206:N206"/>
    <mergeCell ref="O206:R206"/>
    <mergeCell ref="S206:W206"/>
    <mergeCell ref="Y192:Y193"/>
    <mergeCell ref="X206:Y206"/>
    <mergeCell ref="X207:X208"/>
    <mergeCell ref="Y207:Y208"/>
    <mergeCell ref="O192:O193"/>
    <mergeCell ref="P192:P193"/>
    <mergeCell ref="Q192:Q193"/>
    <mergeCell ref="R192:R193"/>
    <mergeCell ref="S192:S193"/>
    <mergeCell ref="X192:X193"/>
    <mergeCell ref="I192:I193"/>
    <mergeCell ref="J192:J193"/>
    <mergeCell ref="K192:K193"/>
    <mergeCell ref="L192:L193"/>
    <mergeCell ref="M192:M193"/>
    <mergeCell ref="N192:N193"/>
    <mergeCell ref="V192:W192"/>
    <mergeCell ref="C192:C193"/>
    <mergeCell ref="D192:D193"/>
    <mergeCell ref="E192:E193"/>
    <mergeCell ref="F192:F193"/>
    <mergeCell ref="G192:G193"/>
    <mergeCell ref="H192:H193"/>
    <mergeCell ref="B188:Y188"/>
    <mergeCell ref="B190:Y190"/>
    <mergeCell ref="B191:B192"/>
    <mergeCell ref="C191:F191"/>
    <mergeCell ref="G191:J191"/>
    <mergeCell ref="K191:N191"/>
    <mergeCell ref="Q55:Q56"/>
    <mergeCell ref="R55:R56"/>
    <mergeCell ref="S55:S56"/>
    <mergeCell ref="X55:X56"/>
    <mergeCell ref="Y55:Y56"/>
    <mergeCell ref="O191:R191"/>
    <mergeCell ref="S191:W191"/>
    <mergeCell ref="X191:Y191"/>
    <mergeCell ref="T192:U192"/>
    <mergeCell ref="K55:K56"/>
    <mergeCell ref="L55:L56"/>
    <mergeCell ref="M55:M56"/>
    <mergeCell ref="N55:N56"/>
    <mergeCell ref="O55:O56"/>
    <mergeCell ref="P55:P56"/>
    <mergeCell ref="E55:E56"/>
    <mergeCell ref="F55:F56"/>
    <mergeCell ref="G55:G56"/>
    <mergeCell ref="H55:H56"/>
    <mergeCell ref="I55:I56"/>
    <mergeCell ref="J55:J56"/>
    <mergeCell ref="O54:R54"/>
    <mergeCell ref="S54:W54"/>
    <mergeCell ref="X54:Y54"/>
    <mergeCell ref="T55:U55"/>
    <mergeCell ref="V55:W55"/>
    <mergeCell ref="C55:C56"/>
    <mergeCell ref="D55:D56"/>
    <mergeCell ref="R17:R18"/>
    <mergeCell ref="S17:S18"/>
    <mergeCell ref="X17:X18"/>
    <mergeCell ref="Y17:Y18"/>
    <mergeCell ref="B53:Y53"/>
    <mergeCell ref="B54:B55"/>
    <mergeCell ref="C54:F54"/>
    <mergeCell ref="G54:J54"/>
    <mergeCell ref="K54:N54"/>
    <mergeCell ref="L17:L18"/>
    <mergeCell ref="M17:M18"/>
    <mergeCell ref="N17:N18"/>
    <mergeCell ref="O17:O18"/>
    <mergeCell ref="P17:P18"/>
    <mergeCell ref="Q17:Q18"/>
    <mergeCell ref="F17:F18"/>
    <mergeCell ref="G17:G18"/>
    <mergeCell ref="H17:H18"/>
    <mergeCell ref="I17:I18"/>
    <mergeCell ref="J17:J18"/>
    <mergeCell ref="K17:K18"/>
    <mergeCell ref="S16:W16"/>
    <mergeCell ref="X16:Y16"/>
    <mergeCell ref="T17:U17"/>
    <mergeCell ref="V17:W17"/>
    <mergeCell ref="C17:C18"/>
    <mergeCell ref="D17:D18"/>
    <mergeCell ref="E17:E18"/>
    <mergeCell ref="B15:Y15"/>
    <mergeCell ref="B16:B17"/>
    <mergeCell ref="C16:F16"/>
    <mergeCell ref="G16:J16"/>
    <mergeCell ref="K16:N16"/>
    <mergeCell ref="O16:R16"/>
    <mergeCell ref="X4:X5"/>
    <mergeCell ref="Y4:Y5"/>
    <mergeCell ref="N4:N5"/>
    <mergeCell ref="O4:O5"/>
    <mergeCell ref="P4:P5"/>
    <mergeCell ref="Q4:Q5"/>
    <mergeCell ref="R4:R5"/>
    <mergeCell ref="S4:S5"/>
    <mergeCell ref="H4:H5"/>
    <mergeCell ref="I4:I5"/>
    <mergeCell ref="J4:J5"/>
    <mergeCell ref="K4:K5"/>
    <mergeCell ref="L4:L5"/>
    <mergeCell ref="M4:M5"/>
    <mergeCell ref="T4:U4"/>
    <mergeCell ref="V4:W4"/>
    <mergeCell ref="C4:C5"/>
    <mergeCell ref="D4:D5"/>
    <mergeCell ref="E4:E5"/>
    <mergeCell ref="F4:F5"/>
    <mergeCell ref="G4:G5"/>
    <mergeCell ref="B2:Y2"/>
    <mergeCell ref="B3:B4"/>
    <mergeCell ref="C3:F3"/>
    <mergeCell ref="G3:J3"/>
    <mergeCell ref="K3:N3"/>
    <mergeCell ref="O3:R3"/>
    <mergeCell ref="S3:W3"/>
    <mergeCell ref="X3:Y3"/>
  </mergeCells>
  <conditionalFormatting sqref="F6:F10">
    <cfRule type="iconSet" priority="1">
      <iconSet iconSet="3Arrows">
        <cfvo type="percent" val="0"/>
        <cfvo type="formula" val="$F$11"/>
        <cfvo type="formula" val="$F$11"/>
      </iconSet>
    </cfRule>
  </conditionalFormatting>
  <conditionalFormatting sqref="J6:J10">
    <cfRule type="iconSet" priority="2">
      <iconSet iconSet="3Arrows">
        <cfvo type="percent" val="0"/>
        <cfvo type="formula" val="$J$11"/>
        <cfvo type="formula" val="$J$11"/>
      </iconSet>
    </cfRule>
  </conditionalFormatting>
  <conditionalFormatting sqref="N6:N10">
    <cfRule type="iconSet" priority="3">
      <iconSet iconSet="3Arrows">
        <cfvo type="percent" val="0"/>
        <cfvo type="formula" val="$N$11"/>
        <cfvo type="formula" val="$N$11"/>
      </iconSet>
    </cfRule>
  </conditionalFormatting>
  <conditionalFormatting sqref="R6:R10">
    <cfRule type="iconSet" priority="4">
      <iconSet iconSet="3Arrows">
        <cfvo type="percent" val="0"/>
        <cfvo type="formula" val="$R$11"/>
        <cfvo type="formula" val="$R$11"/>
      </iconSet>
    </cfRule>
  </conditionalFormatting>
  <conditionalFormatting sqref="F6:F10">
    <cfRule type="top10" dxfId="73" priority="5" rank="3"/>
  </conditionalFormatting>
  <conditionalFormatting sqref="F6:F10">
    <cfRule type="top10" dxfId="72" priority="6" bottom="1" rank="3"/>
  </conditionalFormatting>
  <conditionalFormatting sqref="J6:J10">
    <cfRule type="top10" dxfId="71" priority="7" rank="3"/>
  </conditionalFormatting>
  <conditionalFormatting sqref="J6:J10">
    <cfRule type="top10" dxfId="70" priority="8" bottom="1" rank="3"/>
  </conditionalFormatting>
  <conditionalFormatting sqref="N6:N10">
    <cfRule type="top10" dxfId="69" priority="9" rank="3"/>
  </conditionalFormatting>
  <conditionalFormatting sqref="N6:N10">
    <cfRule type="top10" dxfId="68" priority="10" bottom="1" rank="3"/>
  </conditionalFormatting>
  <conditionalFormatting sqref="R6:R10">
    <cfRule type="top10" dxfId="67" priority="11" rank="3"/>
  </conditionalFormatting>
  <conditionalFormatting sqref="R6:R10">
    <cfRule type="top10" dxfId="66" priority="12" bottom="1" rank="3"/>
  </conditionalFormatting>
  <conditionalFormatting sqref="Y6:Y10">
    <cfRule type="containsText" dxfId="65" priority="13" stopIfTrue="1" operator="containsText" text="Above Average">
      <formula>NOT(ISERROR(SEARCH("Above Average",Y6)))</formula>
    </cfRule>
  </conditionalFormatting>
  <conditionalFormatting sqref="Y6:Y10">
    <cfRule type="containsText" dxfId="64" priority="14" stopIfTrue="1" operator="containsText" text="Below Average">
      <formula>NOT(ISERROR(SEARCH("Below Average",Y6)))</formula>
    </cfRule>
  </conditionalFormatting>
  <conditionalFormatting sqref="Y6:Y10">
    <cfRule type="containsText" dxfId="63" priority="15" stopIfTrue="1" operator="containsText" text="N/A">
      <formula>NOT(ISERROR(SEARCH("N/A",Y6)))</formula>
    </cfRule>
  </conditionalFormatting>
  <conditionalFormatting sqref="F19:F48">
    <cfRule type="iconSet" priority="28">
      <iconSet iconSet="3Arrows">
        <cfvo type="percent" val="0"/>
        <cfvo type="formula" val="$F$49"/>
        <cfvo type="formula" val="$F$49"/>
      </iconSet>
    </cfRule>
  </conditionalFormatting>
  <conditionalFormatting sqref="J19:J48">
    <cfRule type="iconSet" priority="29">
      <iconSet iconSet="3Arrows">
        <cfvo type="percent" val="0"/>
        <cfvo type="formula" val="$J$49"/>
        <cfvo type="formula" val="$J$49"/>
      </iconSet>
    </cfRule>
  </conditionalFormatting>
  <conditionalFormatting sqref="N19:N48">
    <cfRule type="iconSet" priority="30">
      <iconSet iconSet="3Arrows">
        <cfvo type="percent" val="0"/>
        <cfvo type="formula" val="$N$49"/>
        <cfvo type="formula" val="$N$49"/>
      </iconSet>
    </cfRule>
  </conditionalFormatting>
  <conditionalFormatting sqref="R19:R48">
    <cfRule type="iconSet" priority="31">
      <iconSet iconSet="3Arrows">
        <cfvo type="percent" val="0"/>
        <cfvo type="formula" val="$R$49"/>
        <cfvo type="formula" val="$R$49"/>
      </iconSet>
    </cfRule>
  </conditionalFormatting>
  <conditionalFormatting sqref="F19:F48">
    <cfRule type="top10" dxfId="54" priority="32" rank="3"/>
  </conditionalFormatting>
  <conditionalFormatting sqref="F19:F48">
    <cfRule type="top10" dxfId="53" priority="33" bottom="1" rank="3"/>
  </conditionalFormatting>
  <conditionalFormatting sqref="J19:J48">
    <cfRule type="top10" dxfId="52" priority="34" rank="3"/>
  </conditionalFormatting>
  <conditionalFormatting sqref="J19:J48">
    <cfRule type="top10" dxfId="51" priority="35" bottom="1" rank="3"/>
  </conditionalFormatting>
  <conditionalFormatting sqref="N19:N48">
    <cfRule type="top10" dxfId="50" priority="36" rank="3"/>
  </conditionalFormatting>
  <conditionalFormatting sqref="N19:N48">
    <cfRule type="top10" dxfId="49" priority="37" bottom="1" rank="3"/>
  </conditionalFormatting>
  <conditionalFormatting sqref="R19:R48">
    <cfRule type="top10" dxfId="48" priority="38" rank="3"/>
  </conditionalFormatting>
  <conditionalFormatting sqref="R19:R48">
    <cfRule type="top10" dxfId="47" priority="39" bottom="1" rank="3"/>
  </conditionalFormatting>
  <conditionalFormatting sqref="Y19:Y48">
    <cfRule type="containsText" dxfId="46" priority="40" stopIfTrue="1" operator="containsText" text="Above Average">
      <formula>NOT(ISERROR(SEARCH("Above Average",Y19)))</formula>
    </cfRule>
  </conditionalFormatting>
  <conditionalFormatting sqref="Y19:Y48">
    <cfRule type="containsText" dxfId="45" priority="41" stopIfTrue="1" operator="containsText" text="Below Average">
      <formula>NOT(ISERROR(SEARCH("Below Average",Y19)))</formula>
    </cfRule>
  </conditionalFormatting>
  <conditionalFormatting sqref="Y19:Y48">
    <cfRule type="containsText" dxfId="44" priority="42" stopIfTrue="1" operator="containsText" text="N/A">
      <formula>NOT(ISERROR(SEARCH("N/A",Y19)))</formula>
    </cfRule>
  </conditionalFormatting>
  <conditionalFormatting sqref="F57:F183">
    <cfRule type="iconSet" priority="43">
      <iconSet iconSet="3Arrows">
        <cfvo type="percent" val="0"/>
        <cfvo type="formula" val="$F$184"/>
        <cfvo type="formula" val="$F$184"/>
      </iconSet>
    </cfRule>
  </conditionalFormatting>
  <conditionalFormatting sqref="J57:J183">
    <cfRule type="iconSet" priority="44">
      <iconSet iconSet="3Arrows">
        <cfvo type="percent" val="0"/>
        <cfvo type="formula" val="$J$184"/>
        <cfvo type="formula" val="$J$184"/>
      </iconSet>
    </cfRule>
  </conditionalFormatting>
  <conditionalFormatting sqref="N57:N183">
    <cfRule type="iconSet" priority="45">
      <iconSet iconSet="3Arrows">
        <cfvo type="percent" val="0"/>
        <cfvo type="formula" val="$N$184"/>
        <cfvo type="formula" val="$N$184"/>
      </iconSet>
    </cfRule>
  </conditionalFormatting>
  <conditionalFormatting sqref="R57:R183">
    <cfRule type="iconSet" priority="46">
      <iconSet iconSet="3Arrows">
        <cfvo type="percent" val="0"/>
        <cfvo type="formula" val="$R$184"/>
        <cfvo type="formula" val="$R$184"/>
      </iconSet>
    </cfRule>
  </conditionalFormatting>
  <conditionalFormatting sqref="F57:F183">
    <cfRule type="top10" dxfId="43" priority="47" rank="3"/>
  </conditionalFormatting>
  <conditionalFormatting sqref="F57:F183">
    <cfRule type="top10" dxfId="42" priority="48" bottom="1" rank="3"/>
  </conditionalFormatting>
  <conditionalFormatting sqref="J57:J183">
    <cfRule type="top10" dxfId="41" priority="49" rank="3"/>
  </conditionalFormatting>
  <conditionalFormatting sqref="J57:J183">
    <cfRule type="top10" dxfId="40" priority="50" bottom="1" rank="3"/>
  </conditionalFormatting>
  <conditionalFormatting sqref="N57:N183">
    <cfRule type="top10" dxfId="39" priority="51" rank="3"/>
  </conditionalFormatting>
  <conditionalFormatting sqref="N57:N183">
    <cfRule type="top10" dxfId="38" priority="52" bottom="1" rank="3"/>
  </conditionalFormatting>
  <conditionalFormatting sqref="R57:R183">
    <cfRule type="top10" dxfId="37" priority="53" rank="3"/>
  </conditionalFormatting>
  <conditionalFormatting sqref="R57:R183">
    <cfRule type="top10" dxfId="36" priority="54" bottom="1" rank="3"/>
  </conditionalFormatting>
  <conditionalFormatting sqref="Y57:Y183">
    <cfRule type="containsText" dxfId="35" priority="55" stopIfTrue="1" operator="containsText" text="Above Average">
      <formula>NOT(ISERROR(SEARCH("Above Average",Y57)))</formula>
    </cfRule>
  </conditionalFormatting>
  <conditionalFormatting sqref="Y57:Y183">
    <cfRule type="containsText" dxfId="34" priority="56" stopIfTrue="1" operator="containsText" text="Below Average">
      <formula>NOT(ISERROR(SEARCH("Below Average",Y57)))</formula>
    </cfRule>
  </conditionalFormatting>
  <conditionalFormatting sqref="Y57:Y183">
    <cfRule type="containsText" dxfId="33" priority="57" stopIfTrue="1" operator="containsText" text="N/A">
      <formula>NOT(ISERROR(SEARCH("N/A",Y57)))</formula>
    </cfRule>
  </conditionalFormatting>
  <conditionalFormatting sqref="F194:F198">
    <cfRule type="iconSet" priority="58">
      <iconSet iconSet="3Arrows">
        <cfvo type="percent" val="0"/>
        <cfvo type="formula" val="$F$199"/>
        <cfvo type="formula" val="$F$199"/>
      </iconSet>
    </cfRule>
  </conditionalFormatting>
  <conditionalFormatting sqref="J194:J198">
    <cfRule type="iconSet" priority="59">
      <iconSet iconSet="3Arrows">
        <cfvo type="percent" val="0"/>
        <cfvo type="formula" val="$J$199"/>
        <cfvo type="formula" val="$J$199"/>
      </iconSet>
    </cfRule>
  </conditionalFormatting>
  <conditionalFormatting sqref="N194:N198">
    <cfRule type="iconSet" priority="60">
      <iconSet iconSet="3Arrows">
        <cfvo type="percent" val="0"/>
        <cfvo type="formula" val="$N$199"/>
        <cfvo type="formula" val="$N$199"/>
      </iconSet>
    </cfRule>
  </conditionalFormatting>
  <conditionalFormatting sqref="R194:R198">
    <cfRule type="iconSet" priority="61">
      <iconSet iconSet="3Arrows">
        <cfvo type="percent" val="0"/>
        <cfvo type="formula" val="$R$199"/>
        <cfvo type="formula" val="$R$199"/>
      </iconSet>
    </cfRule>
  </conditionalFormatting>
  <conditionalFormatting sqref="F194:F198">
    <cfRule type="top10" dxfId="32" priority="62" rank="3"/>
  </conditionalFormatting>
  <conditionalFormatting sqref="F194:F198">
    <cfRule type="top10" dxfId="31" priority="63" bottom="1" rank="3"/>
  </conditionalFormatting>
  <conditionalFormatting sqref="J194:J198">
    <cfRule type="top10" dxfId="30" priority="64" rank="3"/>
  </conditionalFormatting>
  <conditionalFormatting sqref="J194:J198">
    <cfRule type="top10" dxfId="29" priority="65" bottom="1" rank="3"/>
  </conditionalFormatting>
  <conditionalFormatting sqref="N194:N198">
    <cfRule type="top10" dxfId="28" priority="66" rank="3"/>
  </conditionalFormatting>
  <conditionalFormatting sqref="N194:N198">
    <cfRule type="top10" dxfId="27" priority="67" bottom="1" rank="3"/>
  </conditionalFormatting>
  <conditionalFormatting sqref="R194:R198">
    <cfRule type="top10" dxfId="26" priority="68" rank="3"/>
  </conditionalFormatting>
  <conditionalFormatting sqref="R194:R198">
    <cfRule type="top10" dxfId="25" priority="69" bottom="1" rank="3"/>
  </conditionalFormatting>
  <conditionalFormatting sqref="Y194:Y198">
    <cfRule type="containsText" dxfId="24" priority="70" stopIfTrue="1" operator="containsText" text="Above Average">
      <formula>NOT(ISERROR(SEARCH("Above Average",Y194)))</formula>
    </cfRule>
  </conditionalFormatting>
  <conditionalFormatting sqref="Y194:Y198">
    <cfRule type="containsText" dxfId="23" priority="71" stopIfTrue="1" operator="containsText" text="Below Average">
      <formula>NOT(ISERROR(SEARCH("Below Average",Y194)))</formula>
    </cfRule>
  </conditionalFormatting>
  <conditionalFormatting sqref="Y194:Y198">
    <cfRule type="containsText" dxfId="22" priority="72" stopIfTrue="1" operator="containsText" text="N/A">
      <formula>NOT(ISERROR(SEARCH("N/A",Y194)))</formula>
    </cfRule>
  </conditionalFormatting>
  <conditionalFormatting sqref="F209:F213">
    <cfRule type="iconSet" priority="73">
      <iconSet iconSet="3Arrows">
        <cfvo type="percent" val="0"/>
        <cfvo type="formula" val="$F$214"/>
        <cfvo type="formula" val="$F$214"/>
      </iconSet>
    </cfRule>
  </conditionalFormatting>
  <conditionalFormatting sqref="J209:J213">
    <cfRule type="iconSet" priority="74">
      <iconSet iconSet="3Arrows">
        <cfvo type="percent" val="0"/>
        <cfvo type="formula" val="$J$214"/>
        <cfvo type="formula" val="$J$214"/>
      </iconSet>
    </cfRule>
  </conditionalFormatting>
  <conditionalFormatting sqref="N209:N213">
    <cfRule type="iconSet" priority="75">
      <iconSet iconSet="3Arrows">
        <cfvo type="percent" val="0"/>
        <cfvo type="formula" val="$N$214"/>
        <cfvo type="formula" val="$N$214"/>
      </iconSet>
    </cfRule>
  </conditionalFormatting>
  <conditionalFormatting sqref="R209:R213">
    <cfRule type="iconSet" priority="76">
      <iconSet iconSet="3Arrows">
        <cfvo type="percent" val="0"/>
        <cfvo type="formula" val="$R$214"/>
        <cfvo type="formula" val="$R$214"/>
      </iconSet>
    </cfRule>
  </conditionalFormatting>
  <conditionalFormatting sqref="F209:F213">
    <cfRule type="top10" dxfId="21" priority="77" rank="3"/>
  </conditionalFormatting>
  <conditionalFormatting sqref="F209:F213">
    <cfRule type="top10" dxfId="20" priority="78" bottom="1" rank="3"/>
  </conditionalFormatting>
  <conditionalFormatting sqref="J209:J213">
    <cfRule type="top10" dxfId="19" priority="79" rank="3"/>
  </conditionalFormatting>
  <conditionalFormatting sqref="J209:J213">
    <cfRule type="top10" dxfId="18" priority="80" bottom="1" rank="3"/>
  </conditionalFormatting>
  <conditionalFormatting sqref="N209:N213">
    <cfRule type="top10" dxfId="17" priority="81" rank="3"/>
  </conditionalFormatting>
  <conditionalFormatting sqref="N209:N213">
    <cfRule type="top10" dxfId="16" priority="82" bottom="1" rank="3"/>
  </conditionalFormatting>
  <conditionalFormatting sqref="R209:R213">
    <cfRule type="top10" dxfId="15" priority="83" rank="3"/>
  </conditionalFormatting>
  <conditionalFormatting sqref="R209:R213">
    <cfRule type="top10" dxfId="14" priority="84" bottom="1" rank="3"/>
  </conditionalFormatting>
  <conditionalFormatting sqref="Y209:Y213">
    <cfRule type="containsText" dxfId="13" priority="85" stopIfTrue="1" operator="containsText" text="Above Average">
      <formula>NOT(ISERROR(SEARCH("Above Average",Y209)))</formula>
    </cfRule>
  </conditionalFormatting>
  <conditionalFormatting sqref="Y209:Y213">
    <cfRule type="containsText" dxfId="12" priority="86" stopIfTrue="1" operator="containsText" text="Below Average">
      <formula>NOT(ISERROR(SEARCH("Below Average",Y209)))</formula>
    </cfRule>
  </conditionalFormatting>
  <conditionalFormatting sqref="Y209:Y213">
    <cfRule type="containsText" dxfId="11" priority="87" stopIfTrue="1" operator="containsText" text="N/A">
      <formula>NOT(ISERROR(SEARCH("N/A",Y209)))</formula>
    </cfRule>
  </conditionalFormatting>
  <conditionalFormatting sqref="F224:F228">
    <cfRule type="iconSet" priority="88">
      <iconSet iconSet="3Arrows">
        <cfvo type="percent" val="0"/>
        <cfvo type="formula" val="$F$229"/>
        <cfvo type="formula" val="$F$229"/>
      </iconSet>
    </cfRule>
  </conditionalFormatting>
  <conditionalFormatting sqref="J224:J228">
    <cfRule type="iconSet" priority="89">
      <iconSet iconSet="3Arrows">
        <cfvo type="percent" val="0"/>
        <cfvo type="formula" val="$J$229"/>
        <cfvo type="formula" val="$J$229"/>
      </iconSet>
    </cfRule>
  </conditionalFormatting>
  <conditionalFormatting sqref="N224:N228">
    <cfRule type="iconSet" priority="90">
      <iconSet iconSet="3Arrows">
        <cfvo type="percent" val="0"/>
        <cfvo type="formula" val="$N$229"/>
        <cfvo type="formula" val="$N$229"/>
      </iconSet>
    </cfRule>
  </conditionalFormatting>
  <conditionalFormatting sqref="R224:R228">
    <cfRule type="iconSet" priority="91">
      <iconSet iconSet="3Arrows">
        <cfvo type="percent" val="0"/>
        <cfvo type="formula" val="$R$229"/>
        <cfvo type="formula" val="$R$229"/>
      </iconSet>
    </cfRule>
  </conditionalFormatting>
  <conditionalFormatting sqref="F224:F228">
    <cfRule type="top10" dxfId="10" priority="92" rank="3"/>
  </conditionalFormatting>
  <conditionalFormatting sqref="F224:F228">
    <cfRule type="top10" dxfId="9" priority="93" bottom="1" rank="3"/>
  </conditionalFormatting>
  <conditionalFormatting sqref="J224:J228">
    <cfRule type="top10" dxfId="8" priority="94" rank="3"/>
  </conditionalFormatting>
  <conditionalFormatting sqref="J224:J228">
    <cfRule type="top10" dxfId="7" priority="95" bottom="1" rank="3"/>
  </conditionalFormatting>
  <conditionalFormatting sqref="N224:N228">
    <cfRule type="top10" dxfId="6" priority="96" rank="3"/>
  </conditionalFormatting>
  <conditionalFormatting sqref="N224:N228">
    <cfRule type="top10" dxfId="5" priority="97" bottom="1" rank="3"/>
  </conditionalFormatting>
  <conditionalFormatting sqref="R224:R228">
    <cfRule type="top10" dxfId="4" priority="98" rank="3"/>
  </conditionalFormatting>
  <conditionalFormatting sqref="R224:R228">
    <cfRule type="top10" dxfId="3" priority="99" bottom="1" rank="3"/>
  </conditionalFormatting>
  <conditionalFormatting sqref="Y224:Y228">
    <cfRule type="containsText" dxfId="2" priority="100" stopIfTrue="1" operator="containsText" text="Above Average">
      <formula>NOT(ISERROR(SEARCH("Above Average",Y224)))</formula>
    </cfRule>
  </conditionalFormatting>
  <conditionalFormatting sqref="Y224:Y228">
    <cfRule type="containsText" dxfId="1" priority="101" stopIfTrue="1" operator="containsText" text="Below Average">
      <formula>NOT(ISERROR(SEARCH("Below Average",Y224)))</formula>
    </cfRule>
  </conditionalFormatting>
  <conditionalFormatting sqref="Y224:Y228">
    <cfRule type="containsText" dxfId="0" priority="102" stopIfTrue="1" operator="containsText" text="N/A">
      <formula>NOT(ISERROR(SEARCH("N/A",Y224)))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E705-33F8-C449-94E5-E30E659735C1}">
  <sheetPr codeName="Sheet6"/>
  <dimension ref="A1:E1181"/>
  <sheetViews>
    <sheetView workbookViewId="0">
      <selection activeCell="B1" sqref="B1:E1194"/>
    </sheetView>
  </sheetViews>
  <sheetFormatPr baseColWidth="10" defaultRowHeight="15" x14ac:dyDescent="0.2"/>
  <cols>
    <col min="1" max="1" width="27.33203125" bestFit="1" customWidth="1"/>
    <col min="2" max="2" width="35.6640625" bestFit="1" customWidth="1"/>
    <col min="3" max="5" width="10.83203125" customWidth="1"/>
  </cols>
  <sheetData>
    <row r="1" spans="1:5" ht="19" x14ac:dyDescent="0.25">
      <c r="A1" s="1" t="s">
        <v>1786</v>
      </c>
    </row>
    <row r="2" spans="1:5" x14ac:dyDescent="0.2">
      <c r="B2" s="2" t="s">
        <v>1782</v>
      </c>
      <c r="C2" s="2"/>
      <c r="D2" s="2"/>
      <c r="E2" s="2"/>
    </row>
    <row r="3" spans="1:5" x14ac:dyDescent="0.2">
      <c r="B3" s="6" t="s">
        <v>958</v>
      </c>
      <c r="C3" s="2" t="s">
        <v>967</v>
      </c>
      <c r="D3" s="2"/>
      <c r="E3" s="2"/>
    </row>
    <row r="4" spans="1:5" x14ac:dyDescent="0.2">
      <c r="B4" s="6"/>
      <c r="C4" s="8" t="s">
        <v>961</v>
      </c>
      <c r="D4" s="9" t="s">
        <v>972</v>
      </c>
      <c r="E4" s="10" t="s">
        <v>956</v>
      </c>
    </row>
    <row r="5" spans="1:5" x14ac:dyDescent="0.2">
      <c r="C5" s="8"/>
      <c r="D5" s="9"/>
      <c r="E5" s="10"/>
    </row>
    <row r="6" spans="1:5" x14ac:dyDescent="0.2">
      <c r="B6" s="17" t="s">
        <v>2</v>
      </c>
      <c r="C6" s="18" t="s">
        <v>959</v>
      </c>
      <c r="D6" s="19" t="s">
        <v>959</v>
      </c>
      <c r="E6" s="20" t="s">
        <v>959</v>
      </c>
    </row>
    <row r="7" spans="1:5" x14ac:dyDescent="0.2">
      <c r="B7" s="17" t="s">
        <v>7</v>
      </c>
      <c r="C7" s="18" t="s">
        <v>959</v>
      </c>
      <c r="D7" s="19" t="s">
        <v>959</v>
      </c>
      <c r="E7" s="20" t="s">
        <v>959</v>
      </c>
    </row>
    <row r="8" spans="1:5" x14ac:dyDescent="0.2">
      <c r="B8" s="17" t="s">
        <v>20</v>
      </c>
      <c r="C8" s="18" t="s">
        <v>959</v>
      </c>
      <c r="D8" s="19" t="s">
        <v>959</v>
      </c>
      <c r="E8" s="20" t="s">
        <v>959</v>
      </c>
    </row>
    <row r="9" spans="1:5" x14ac:dyDescent="0.2">
      <c r="B9" s="17" t="s">
        <v>1</v>
      </c>
      <c r="C9" s="18" t="s">
        <v>959</v>
      </c>
      <c r="D9" s="19" t="s">
        <v>959</v>
      </c>
      <c r="E9" s="20" t="s">
        <v>959</v>
      </c>
    </row>
    <row r="10" spans="1:5" x14ac:dyDescent="0.2">
      <c r="B10" s="17" t="s">
        <v>0</v>
      </c>
      <c r="C10" s="18" t="s">
        <v>959</v>
      </c>
      <c r="D10" s="19" t="s">
        <v>959</v>
      </c>
      <c r="E10" s="20" t="s">
        <v>959</v>
      </c>
    </row>
    <row r="11" spans="1:5" x14ac:dyDescent="0.2">
      <c r="B11" s="15" t="s">
        <v>953</v>
      </c>
      <c r="C11" s="16">
        <v>0</v>
      </c>
      <c r="D11" s="16">
        <v>0</v>
      </c>
      <c r="E11" s="21">
        <v>0</v>
      </c>
    </row>
    <row r="15" spans="1:5" x14ac:dyDescent="0.2">
      <c r="B15" s="2" t="s">
        <v>1783</v>
      </c>
      <c r="C15" s="2"/>
      <c r="D15" s="2"/>
      <c r="E15" s="2"/>
    </row>
    <row r="16" spans="1:5" x14ac:dyDescent="0.2">
      <c r="B16" s="6" t="s">
        <v>957</v>
      </c>
      <c r="C16" s="2" t="s">
        <v>967</v>
      </c>
      <c r="D16" s="2"/>
      <c r="E16" s="2"/>
    </row>
    <row r="17" spans="2:5" x14ac:dyDescent="0.2">
      <c r="B17" s="6"/>
      <c r="C17" s="8" t="s">
        <v>961</v>
      </c>
      <c r="D17" s="9" t="s">
        <v>972</v>
      </c>
      <c r="E17" s="10" t="s">
        <v>956</v>
      </c>
    </row>
    <row r="18" spans="2:5" x14ac:dyDescent="0.2">
      <c r="C18" s="8"/>
      <c r="D18" s="9"/>
      <c r="E18" s="10"/>
    </row>
    <row r="19" spans="2:5" x14ac:dyDescent="0.2">
      <c r="B19" s="17" t="s">
        <v>25</v>
      </c>
      <c r="C19" s="18" t="s">
        <v>959</v>
      </c>
      <c r="D19" s="19" t="s">
        <v>959</v>
      </c>
      <c r="E19" s="20" t="s">
        <v>959</v>
      </c>
    </row>
    <row r="20" spans="2:5" x14ac:dyDescent="0.2">
      <c r="B20" s="17" t="s">
        <v>16</v>
      </c>
      <c r="C20" s="18" t="s">
        <v>959</v>
      </c>
      <c r="D20" s="19" t="s">
        <v>959</v>
      </c>
      <c r="E20" s="20" t="s">
        <v>959</v>
      </c>
    </row>
    <row r="21" spans="2:5" x14ac:dyDescent="0.2">
      <c r="B21" s="17" t="s">
        <v>30</v>
      </c>
      <c r="C21" s="18" t="s">
        <v>959</v>
      </c>
      <c r="D21" s="19" t="s">
        <v>959</v>
      </c>
      <c r="E21" s="20" t="s">
        <v>959</v>
      </c>
    </row>
    <row r="22" spans="2:5" x14ac:dyDescent="0.2">
      <c r="B22" s="17" t="s">
        <v>24</v>
      </c>
      <c r="C22" s="18" t="s">
        <v>959</v>
      </c>
      <c r="D22" s="19" t="s">
        <v>959</v>
      </c>
      <c r="E22" s="20" t="s">
        <v>959</v>
      </c>
    </row>
    <row r="23" spans="2:5" x14ac:dyDescent="0.2">
      <c r="B23" s="17" t="s">
        <v>26</v>
      </c>
      <c r="C23" s="18" t="s">
        <v>959</v>
      </c>
      <c r="D23" s="19" t="s">
        <v>959</v>
      </c>
      <c r="E23" s="20" t="s">
        <v>959</v>
      </c>
    </row>
    <row r="24" spans="2:5" x14ac:dyDescent="0.2">
      <c r="B24" s="17" t="s">
        <v>5</v>
      </c>
      <c r="C24" s="18" t="s">
        <v>959</v>
      </c>
      <c r="D24" s="19" t="s">
        <v>959</v>
      </c>
      <c r="E24" s="20" t="s">
        <v>959</v>
      </c>
    </row>
    <row r="25" spans="2:5" x14ac:dyDescent="0.2">
      <c r="B25" s="17" t="s">
        <v>8</v>
      </c>
      <c r="C25" s="18" t="s">
        <v>959</v>
      </c>
      <c r="D25" s="19" t="s">
        <v>959</v>
      </c>
      <c r="E25" s="20" t="s">
        <v>959</v>
      </c>
    </row>
    <row r="26" spans="2:5" x14ac:dyDescent="0.2">
      <c r="B26" s="17" t="s">
        <v>12</v>
      </c>
      <c r="C26" s="18" t="s">
        <v>959</v>
      </c>
      <c r="D26" s="19" t="s">
        <v>959</v>
      </c>
      <c r="E26" s="20" t="s">
        <v>959</v>
      </c>
    </row>
    <row r="27" spans="2:5" x14ac:dyDescent="0.2">
      <c r="B27" s="17" t="s">
        <v>17</v>
      </c>
      <c r="C27" s="18" t="s">
        <v>959</v>
      </c>
      <c r="D27" s="19" t="s">
        <v>959</v>
      </c>
      <c r="E27" s="20" t="s">
        <v>959</v>
      </c>
    </row>
    <row r="28" spans="2:5" x14ac:dyDescent="0.2">
      <c r="B28" s="17" t="s">
        <v>14</v>
      </c>
      <c r="C28" s="18" t="s">
        <v>959</v>
      </c>
      <c r="D28" s="19" t="s">
        <v>959</v>
      </c>
      <c r="E28" s="20" t="s">
        <v>959</v>
      </c>
    </row>
    <row r="29" spans="2:5" x14ac:dyDescent="0.2">
      <c r="B29" s="17" t="s">
        <v>7</v>
      </c>
      <c r="C29" s="18" t="s">
        <v>959</v>
      </c>
      <c r="D29" s="19" t="s">
        <v>959</v>
      </c>
      <c r="E29" s="20" t="s">
        <v>959</v>
      </c>
    </row>
    <row r="30" spans="2:5" x14ac:dyDescent="0.2">
      <c r="B30" s="17" t="s">
        <v>4</v>
      </c>
      <c r="C30" s="18" t="s">
        <v>959</v>
      </c>
      <c r="D30" s="19" t="s">
        <v>959</v>
      </c>
      <c r="E30" s="20" t="s">
        <v>959</v>
      </c>
    </row>
    <row r="31" spans="2:5" x14ac:dyDescent="0.2">
      <c r="B31" s="17" t="s">
        <v>19</v>
      </c>
      <c r="C31" s="18" t="s">
        <v>959</v>
      </c>
      <c r="D31" s="19" t="s">
        <v>959</v>
      </c>
      <c r="E31" s="20" t="s">
        <v>959</v>
      </c>
    </row>
    <row r="32" spans="2:5" x14ac:dyDescent="0.2">
      <c r="B32" s="17" t="s">
        <v>952</v>
      </c>
      <c r="C32" s="18" t="s">
        <v>959</v>
      </c>
      <c r="D32" s="19" t="s">
        <v>959</v>
      </c>
      <c r="E32" s="20" t="s">
        <v>959</v>
      </c>
    </row>
    <row r="33" spans="2:5" x14ac:dyDescent="0.2">
      <c r="B33" s="17" t="s">
        <v>28</v>
      </c>
      <c r="C33" s="18" t="s">
        <v>959</v>
      </c>
      <c r="D33" s="19" t="s">
        <v>959</v>
      </c>
      <c r="E33" s="20" t="s">
        <v>959</v>
      </c>
    </row>
    <row r="34" spans="2:5" x14ac:dyDescent="0.2">
      <c r="B34" s="17" t="s">
        <v>20</v>
      </c>
      <c r="C34" s="18" t="s">
        <v>959</v>
      </c>
      <c r="D34" s="19" t="s">
        <v>959</v>
      </c>
      <c r="E34" s="20" t="s">
        <v>959</v>
      </c>
    </row>
    <row r="35" spans="2:5" x14ac:dyDescent="0.2">
      <c r="B35" s="17" t="s">
        <v>11</v>
      </c>
      <c r="C35" s="18" t="s">
        <v>959</v>
      </c>
      <c r="D35" s="19" t="s">
        <v>959</v>
      </c>
      <c r="E35" s="20" t="s">
        <v>959</v>
      </c>
    </row>
    <row r="36" spans="2:5" x14ac:dyDescent="0.2">
      <c r="B36" s="17" t="s">
        <v>13</v>
      </c>
      <c r="C36" s="18" t="s">
        <v>959</v>
      </c>
      <c r="D36" s="19" t="s">
        <v>959</v>
      </c>
      <c r="E36" s="20" t="s">
        <v>959</v>
      </c>
    </row>
    <row r="37" spans="2:5" x14ac:dyDescent="0.2">
      <c r="B37" s="17" t="s">
        <v>21</v>
      </c>
      <c r="C37" s="18" t="s">
        <v>959</v>
      </c>
      <c r="D37" s="19" t="s">
        <v>959</v>
      </c>
      <c r="E37" s="20" t="s">
        <v>959</v>
      </c>
    </row>
    <row r="38" spans="2:5" x14ac:dyDescent="0.2">
      <c r="B38" s="17" t="s">
        <v>9</v>
      </c>
      <c r="C38" s="18" t="s">
        <v>959</v>
      </c>
      <c r="D38" s="19" t="s">
        <v>959</v>
      </c>
      <c r="E38" s="20" t="s">
        <v>959</v>
      </c>
    </row>
    <row r="39" spans="2:5" x14ac:dyDescent="0.2">
      <c r="B39" s="17" t="s">
        <v>23</v>
      </c>
      <c r="C39" s="18" t="s">
        <v>959</v>
      </c>
      <c r="D39" s="19" t="s">
        <v>959</v>
      </c>
      <c r="E39" s="20" t="s">
        <v>959</v>
      </c>
    </row>
    <row r="40" spans="2:5" x14ac:dyDescent="0.2">
      <c r="B40" s="17" t="s">
        <v>1</v>
      </c>
      <c r="C40" s="18" t="s">
        <v>959</v>
      </c>
      <c r="D40" s="19" t="s">
        <v>959</v>
      </c>
      <c r="E40" s="20" t="s">
        <v>959</v>
      </c>
    </row>
    <row r="41" spans="2:5" x14ac:dyDescent="0.2">
      <c r="B41" s="17" t="s">
        <v>18</v>
      </c>
      <c r="C41" s="18" t="s">
        <v>959</v>
      </c>
      <c r="D41" s="19" t="s">
        <v>959</v>
      </c>
      <c r="E41" s="20" t="s">
        <v>959</v>
      </c>
    </row>
    <row r="42" spans="2:5" x14ac:dyDescent="0.2">
      <c r="B42" s="17" t="s">
        <v>3</v>
      </c>
      <c r="C42" s="18" t="s">
        <v>959</v>
      </c>
      <c r="D42" s="19" t="s">
        <v>959</v>
      </c>
      <c r="E42" s="20" t="s">
        <v>959</v>
      </c>
    </row>
    <row r="43" spans="2:5" x14ac:dyDescent="0.2">
      <c r="B43" s="17" t="s">
        <v>22</v>
      </c>
      <c r="C43" s="18" t="s">
        <v>959</v>
      </c>
      <c r="D43" s="19" t="s">
        <v>959</v>
      </c>
      <c r="E43" s="20" t="s">
        <v>959</v>
      </c>
    </row>
    <row r="44" spans="2:5" x14ac:dyDescent="0.2">
      <c r="B44" s="17" t="s">
        <v>10</v>
      </c>
      <c r="C44" s="18" t="s">
        <v>959</v>
      </c>
      <c r="D44" s="19" t="s">
        <v>959</v>
      </c>
      <c r="E44" s="20" t="s">
        <v>959</v>
      </c>
    </row>
    <row r="45" spans="2:5" x14ac:dyDescent="0.2">
      <c r="B45" s="17" t="s">
        <v>29</v>
      </c>
      <c r="C45" s="18" t="s">
        <v>959</v>
      </c>
      <c r="D45" s="19" t="s">
        <v>959</v>
      </c>
      <c r="E45" s="20" t="s">
        <v>959</v>
      </c>
    </row>
    <row r="46" spans="2:5" x14ac:dyDescent="0.2">
      <c r="B46" s="17" t="s">
        <v>27</v>
      </c>
      <c r="C46" s="18" t="s">
        <v>959</v>
      </c>
      <c r="D46" s="19" t="s">
        <v>959</v>
      </c>
      <c r="E46" s="20" t="s">
        <v>959</v>
      </c>
    </row>
    <row r="47" spans="2:5" x14ac:dyDescent="0.2">
      <c r="B47" s="17" t="s">
        <v>6</v>
      </c>
      <c r="C47" s="18" t="s">
        <v>959</v>
      </c>
      <c r="D47" s="19" t="s">
        <v>959</v>
      </c>
      <c r="E47" s="20" t="s">
        <v>959</v>
      </c>
    </row>
    <row r="48" spans="2:5" x14ac:dyDescent="0.2">
      <c r="B48" s="17" t="s">
        <v>15</v>
      </c>
      <c r="C48" s="18" t="s">
        <v>959</v>
      </c>
      <c r="D48" s="19" t="s">
        <v>959</v>
      </c>
      <c r="E48" s="20" t="s">
        <v>959</v>
      </c>
    </row>
    <row r="49" spans="2:5" x14ac:dyDescent="0.2">
      <c r="B49" s="15" t="s">
        <v>953</v>
      </c>
      <c r="C49" s="16">
        <v>0</v>
      </c>
      <c r="D49" s="16">
        <v>0</v>
      </c>
      <c r="E49" s="21">
        <v>0</v>
      </c>
    </row>
    <row r="53" spans="2:5" x14ac:dyDescent="0.2">
      <c r="B53" s="2" t="s">
        <v>1784</v>
      </c>
      <c r="C53" s="2"/>
      <c r="D53" s="2"/>
      <c r="E53" s="2"/>
    </row>
    <row r="54" spans="2:5" x14ac:dyDescent="0.2">
      <c r="B54" s="6" t="s">
        <v>954</v>
      </c>
      <c r="C54" s="2" t="s">
        <v>967</v>
      </c>
      <c r="D54" s="2"/>
      <c r="E54" s="2"/>
    </row>
    <row r="55" spans="2:5" x14ac:dyDescent="0.2">
      <c r="B55" s="6"/>
      <c r="C55" s="8" t="s">
        <v>961</v>
      </c>
      <c r="D55" s="9" t="s">
        <v>972</v>
      </c>
      <c r="E55" s="10" t="s">
        <v>956</v>
      </c>
    </row>
    <row r="56" spans="2:5" x14ac:dyDescent="0.2">
      <c r="C56" s="8"/>
      <c r="D56" s="9"/>
      <c r="E56" s="10"/>
    </row>
    <row r="57" spans="2:5" x14ac:dyDescent="0.2">
      <c r="B57" s="17" t="s">
        <v>107</v>
      </c>
      <c r="C57" s="18" t="s">
        <v>959</v>
      </c>
      <c r="D57" s="19" t="s">
        <v>959</v>
      </c>
      <c r="E57" s="20" t="s">
        <v>959</v>
      </c>
    </row>
    <row r="58" spans="2:5" x14ac:dyDescent="0.2">
      <c r="B58" s="17" t="s">
        <v>113</v>
      </c>
      <c r="C58" s="18" t="s">
        <v>959</v>
      </c>
      <c r="D58" s="19" t="s">
        <v>959</v>
      </c>
      <c r="E58" s="20" t="s">
        <v>959</v>
      </c>
    </row>
    <row r="59" spans="2:5" x14ac:dyDescent="0.2">
      <c r="B59" s="17" t="s">
        <v>130</v>
      </c>
      <c r="C59" s="18" t="s">
        <v>959</v>
      </c>
      <c r="D59" s="19" t="s">
        <v>959</v>
      </c>
      <c r="E59" s="20" t="s">
        <v>959</v>
      </c>
    </row>
    <row r="60" spans="2:5" x14ac:dyDescent="0.2">
      <c r="B60" s="17" t="s">
        <v>38</v>
      </c>
      <c r="C60" s="18" t="s">
        <v>959</v>
      </c>
      <c r="D60" s="19" t="s">
        <v>959</v>
      </c>
      <c r="E60" s="20" t="s">
        <v>959</v>
      </c>
    </row>
    <row r="61" spans="2:5" x14ac:dyDescent="0.2">
      <c r="B61" s="17" t="s">
        <v>50</v>
      </c>
      <c r="C61" s="18" t="s">
        <v>959</v>
      </c>
      <c r="D61" s="19" t="s">
        <v>959</v>
      </c>
      <c r="E61" s="20" t="s">
        <v>959</v>
      </c>
    </row>
    <row r="62" spans="2:5" x14ac:dyDescent="0.2">
      <c r="B62" s="17" t="s">
        <v>100</v>
      </c>
      <c r="C62" s="18" t="s">
        <v>959</v>
      </c>
      <c r="D62" s="19" t="s">
        <v>959</v>
      </c>
      <c r="E62" s="20" t="s">
        <v>959</v>
      </c>
    </row>
    <row r="63" spans="2:5" x14ac:dyDescent="0.2">
      <c r="B63" s="17" t="s">
        <v>34</v>
      </c>
      <c r="C63" s="18" t="s">
        <v>959</v>
      </c>
      <c r="D63" s="19" t="s">
        <v>959</v>
      </c>
      <c r="E63" s="20" t="s">
        <v>959</v>
      </c>
    </row>
    <row r="64" spans="2:5" x14ac:dyDescent="0.2">
      <c r="B64" s="17" t="s">
        <v>126</v>
      </c>
      <c r="C64" s="18" t="s">
        <v>959</v>
      </c>
      <c r="D64" s="19" t="s">
        <v>959</v>
      </c>
      <c r="E64" s="20" t="s">
        <v>959</v>
      </c>
    </row>
    <row r="65" spans="2:5" x14ac:dyDescent="0.2">
      <c r="B65" s="17" t="s">
        <v>51</v>
      </c>
      <c r="C65" s="18" t="s">
        <v>959</v>
      </c>
      <c r="D65" s="19" t="s">
        <v>959</v>
      </c>
      <c r="E65" s="20" t="s">
        <v>959</v>
      </c>
    </row>
    <row r="66" spans="2:5" x14ac:dyDescent="0.2">
      <c r="B66" s="17" t="s">
        <v>115</v>
      </c>
      <c r="C66" s="18" t="s">
        <v>959</v>
      </c>
      <c r="D66" s="19" t="s">
        <v>959</v>
      </c>
      <c r="E66" s="20" t="s">
        <v>959</v>
      </c>
    </row>
    <row r="67" spans="2:5" x14ac:dyDescent="0.2">
      <c r="B67" s="17" t="s">
        <v>73</v>
      </c>
      <c r="C67" s="18" t="s">
        <v>959</v>
      </c>
      <c r="D67" s="19" t="s">
        <v>959</v>
      </c>
      <c r="E67" s="20" t="s">
        <v>959</v>
      </c>
    </row>
    <row r="68" spans="2:5" x14ac:dyDescent="0.2">
      <c r="B68" s="17" t="s">
        <v>25</v>
      </c>
      <c r="C68" s="18" t="s">
        <v>959</v>
      </c>
      <c r="D68" s="19" t="s">
        <v>959</v>
      </c>
      <c r="E68" s="20" t="s">
        <v>959</v>
      </c>
    </row>
    <row r="69" spans="2:5" x14ac:dyDescent="0.2">
      <c r="B69" s="17" t="s">
        <v>123</v>
      </c>
      <c r="C69" s="18" t="s">
        <v>959</v>
      </c>
      <c r="D69" s="19" t="s">
        <v>959</v>
      </c>
      <c r="E69" s="20" t="s">
        <v>959</v>
      </c>
    </row>
    <row r="70" spans="2:5" x14ac:dyDescent="0.2">
      <c r="B70" s="17" t="s">
        <v>109</v>
      </c>
      <c r="C70" s="18" t="s">
        <v>959</v>
      </c>
      <c r="D70" s="19" t="s">
        <v>959</v>
      </c>
      <c r="E70" s="20" t="s">
        <v>959</v>
      </c>
    </row>
    <row r="71" spans="2:5" x14ac:dyDescent="0.2">
      <c r="B71" s="17" t="s">
        <v>24</v>
      </c>
      <c r="C71" s="18" t="s">
        <v>959</v>
      </c>
      <c r="D71" s="19" t="s">
        <v>959</v>
      </c>
      <c r="E71" s="20" t="s">
        <v>959</v>
      </c>
    </row>
    <row r="72" spans="2:5" x14ac:dyDescent="0.2">
      <c r="B72" s="17" t="s">
        <v>76</v>
      </c>
      <c r="C72" s="18" t="s">
        <v>959</v>
      </c>
      <c r="D72" s="19" t="s">
        <v>959</v>
      </c>
      <c r="E72" s="20" t="s">
        <v>959</v>
      </c>
    </row>
    <row r="73" spans="2:5" x14ac:dyDescent="0.2">
      <c r="B73" s="17" t="s">
        <v>16</v>
      </c>
      <c r="C73" s="18" t="s">
        <v>959</v>
      </c>
      <c r="D73" s="19" t="s">
        <v>959</v>
      </c>
      <c r="E73" s="20" t="s">
        <v>959</v>
      </c>
    </row>
    <row r="74" spans="2:5" x14ac:dyDescent="0.2">
      <c r="B74" s="17" t="s">
        <v>19</v>
      </c>
      <c r="C74" s="18" t="s">
        <v>959</v>
      </c>
      <c r="D74" s="19" t="s">
        <v>959</v>
      </c>
      <c r="E74" s="20" t="s">
        <v>959</v>
      </c>
    </row>
    <row r="75" spans="2:5" x14ac:dyDescent="0.2">
      <c r="B75" s="17" t="s">
        <v>89</v>
      </c>
      <c r="C75" s="18" t="s">
        <v>959</v>
      </c>
      <c r="D75" s="19" t="s">
        <v>959</v>
      </c>
      <c r="E75" s="20" t="s">
        <v>959</v>
      </c>
    </row>
    <row r="76" spans="2:5" x14ac:dyDescent="0.2">
      <c r="B76" s="17" t="s">
        <v>61</v>
      </c>
      <c r="C76" s="18" t="s">
        <v>959</v>
      </c>
      <c r="D76" s="19" t="s">
        <v>959</v>
      </c>
      <c r="E76" s="20" t="s">
        <v>959</v>
      </c>
    </row>
    <row r="77" spans="2:5" x14ac:dyDescent="0.2">
      <c r="B77" s="17" t="s">
        <v>8</v>
      </c>
      <c r="C77" s="18" t="s">
        <v>959</v>
      </c>
      <c r="D77" s="19" t="s">
        <v>959</v>
      </c>
      <c r="E77" s="20" t="s">
        <v>959</v>
      </c>
    </row>
    <row r="78" spans="2:5" x14ac:dyDescent="0.2">
      <c r="B78" s="17" t="s">
        <v>62</v>
      </c>
      <c r="C78" s="18" t="s">
        <v>959</v>
      </c>
      <c r="D78" s="19" t="s">
        <v>959</v>
      </c>
      <c r="E78" s="20" t="s">
        <v>959</v>
      </c>
    </row>
    <row r="79" spans="2:5" x14ac:dyDescent="0.2">
      <c r="B79" s="17" t="s">
        <v>134</v>
      </c>
      <c r="C79" s="18" t="s">
        <v>959</v>
      </c>
      <c r="D79" s="19" t="s">
        <v>959</v>
      </c>
      <c r="E79" s="20" t="s">
        <v>959</v>
      </c>
    </row>
    <row r="80" spans="2:5" x14ac:dyDescent="0.2">
      <c r="B80" s="17" t="s">
        <v>77</v>
      </c>
      <c r="C80" s="18" t="s">
        <v>959</v>
      </c>
      <c r="D80" s="19" t="s">
        <v>959</v>
      </c>
      <c r="E80" s="20" t="s">
        <v>959</v>
      </c>
    </row>
    <row r="81" spans="2:5" x14ac:dyDescent="0.2">
      <c r="B81" s="17" t="s">
        <v>82</v>
      </c>
      <c r="C81" s="18" t="s">
        <v>959</v>
      </c>
      <c r="D81" s="19" t="s">
        <v>959</v>
      </c>
      <c r="E81" s="20" t="s">
        <v>959</v>
      </c>
    </row>
    <row r="82" spans="2:5" x14ac:dyDescent="0.2">
      <c r="B82" s="17" t="s">
        <v>12</v>
      </c>
      <c r="C82" s="18" t="s">
        <v>959</v>
      </c>
      <c r="D82" s="19" t="s">
        <v>959</v>
      </c>
      <c r="E82" s="20" t="s">
        <v>959</v>
      </c>
    </row>
    <row r="83" spans="2:5" x14ac:dyDescent="0.2">
      <c r="B83" s="17" t="s">
        <v>106</v>
      </c>
      <c r="C83" s="18" t="s">
        <v>959</v>
      </c>
      <c r="D83" s="19" t="s">
        <v>959</v>
      </c>
      <c r="E83" s="20" t="s">
        <v>959</v>
      </c>
    </row>
    <row r="84" spans="2:5" x14ac:dyDescent="0.2">
      <c r="B84" s="17" t="s">
        <v>116</v>
      </c>
      <c r="C84" s="18" t="s">
        <v>959</v>
      </c>
      <c r="D84" s="19" t="s">
        <v>959</v>
      </c>
      <c r="E84" s="20" t="s">
        <v>959</v>
      </c>
    </row>
    <row r="85" spans="2:5" x14ac:dyDescent="0.2">
      <c r="B85" s="17" t="s">
        <v>119</v>
      </c>
      <c r="C85" s="18" t="s">
        <v>959</v>
      </c>
      <c r="D85" s="19" t="s">
        <v>959</v>
      </c>
      <c r="E85" s="20" t="s">
        <v>959</v>
      </c>
    </row>
    <row r="86" spans="2:5" x14ac:dyDescent="0.2">
      <c r="B86" s="17" t="s">
        <v>54</v>
      </c>
      <c r="C86" s="18" t="s">
        <v>959</v>
      </c>
      <c r="D86" s="19" t="s">
        <v>959</v>
      </c>
      <c r="E86" s="20" t="s">
        <v>959</v>
      </c>
    </row>
    <row r="87" spans="2:5" x14ac:dyDescent="0.2">
      <c r="B87" s="17" t="s">
        <v>108</v>
      </c>
      <c r="C87" s="18" t="s">
        <v>959</v>
      </c>
      <c r="D87" s="19" t="s">
        <v>959</v>
      </c>
      <c r="E87" s="20" t="s">
        <v>959</v>
      </c>
    </row>
    <row r="88" spans="2:5" x14ac:dyDescent="0.2">
      <c r="B88" s="17" t="s">
        <v>71</v>
      </c>
      <c r="C88" s="18" t="s">
        <v>959</v>
      </c>
      <c r="D88" s="19" t="s">
        <v>959</v>
      </c>
      <c r="E88" s="20" t="s">
        <v>959</v>
      </c>
    </row>
    <row r="89" spans="2:5" x14ac:dyDescent="0.2">
      <c r="B89" s="17" t="s">
        <v>79</v>
      </c>
      <c r="C89" s="18" t="s">
        <v>959</v>
      </c>
      <c r="D89" s="19" t="s">
        <v>959</v>
      </c>
      <c r="E89" s="20" t="s">
        <v>959</v>
      </c>
    </row>
    <row r="90" spans="2:5" x14ac:dyDescent="0.2">
      <c r="B90" s="17" t="s">
        <v>110</v>
      </c>
      <c r="C90" s="18" t="s">
        <v>959</v>
      </c>
      <c r="D90" s="19" t="s">
        <v>959</v>
      </c>
      <c r="E90" s="20" t="s">
        <v>959</v>
      </c>
    </row>
    <row r="91" spans="2:5" x14ac:dyDescent="0.2">
      <c r="B91" s="17" t="s">
        <v>121</v>
      </c>
      <c r="C91" s="18" t="s">
        <v>959</v>
      </c>
      <c r="D91" s="19" t="s">
        <v>959</v>
      </c>
      <c r="E91" s="20" t="s">
        <v>959</v>
      </c>
    </row>
    <row r="92" spans="2:5" x14ac:dyDescent="0.2">
      <c r="B92" s="17" t="s">
        <v>40</v>
      </c>
      <c r="C92" s="18" t="s">
        <v>959</v>
      </c>
      <c r="D92" s="19" t="s">
        <v>959</v>
      </c>
      <c r="E92" s="20" t="s">
        <v>959</v>
      </c>
    </row>
    <row r="93" spans="2:5" x14ac:dyDescent="0.2">
      <c r="B93" s="17" t="s">
        <v>95</v>
      </c>
      <c r="C93" s="18" t="s">
        <v>959</v>
      </c>
      <c r="D93" s="19" t="s">
        <v>959</v>
      </c>
      <c r="E93" s="20" t="s">
        <v>959</v>
      </c>
    </row>
    <row r="94" spans="2:5" x14ac:dyDescent="0.2">
      <c r="B94" s="17" t="s">
        <v>5</v>
      </c>
      <c r="C94" s="18" t="s">
        <v>959</v>
      </c>
      <c r="D94" s="19" t="s">
        <v>959</v>
      </c>
      <c r="E94" s="20" t="s">
        <v>959</v>
      </c>
    </row>
    <row r="95" spans="2:5" x14ac:dyDescent="0.2">
      <c r="B95" s="17" t="s">
        <v>86</v>
      </c>
      <c r="C95" s="18" t="s">
        <v>959</v>
      </c>
      <c r="D95" s="19" t="s">
        <v>959</v>
      </c>
      <c r="E95" s="20" t="s">
        <v>959</v>
      </c>
    </row>
    <row r="96" spans="2:5" x14ac:dyDescent="0.2">
      <c r="B96" s="17" t="s">
        <v>45</v>
      </c>
      <c r="C96" s="18" t="s">
        <v>959</v>
      </c>
      <c r="D96" s="19" t="s">
        <v>959</v>
      </c>
      <c r="E96" s="20" t="s">
        <v>959</v>
      </c>
    </row>
    <row r="97" spans="2:5" x14ac:dyDescent="0.2">
      <c r="B97" s="17" t="s">
        <v>23</v>
      </c>
      <c r="C97" s="18" t="s">
        <v>959</v>
      </c>
      <c r="D97" s="19" t="s">
        <v>959</v>
      </c>
      <c r="E97" s="20" t="s">
        <v>959</v>
      </c>
    </row>
    <row r="98" spans="2:5" x14ac:dyDescent="0.2">
      <c r="B98" s="17" t="s">
        <v>48</v>
      </c>
      <c r="C98" s="18" t="s">
        <v>959</v>
      </c>
      <c r="D98" s="19" t="s">
        <v>959</v>
      </c>
      <c r="E98" s="20" t="s">
        <v>959</v>
      </c>
    </row>
    <row r="99" spans="2:5" x14ac:dyDescent="0.2">
      <c r="B99" s="17" t="s">
        <v>75</v>
      </c>
      <c r="C99" s="18" t="s">
        <v>959</v>
      </c>
      <c r="D99" s="19" t="s">
        <v>959</v>
      </c>
      <c r="E99" s="20" t="s">
        <v>959</v>
      </c>
    </row>
    <row r="100" spans="2:5" x14ac:dyDescent="0.2">
      <c r="B100" s="17" t="s">
        <v>125</v>
      </c>
      <c r="C100" s="18" t="s">
        <v>959</v>
      </c>
      <c r="D100" s="19" t="s">
        <v>959</v>
      </c>
      <c r="E100" s="20" t="s">
        <v>959</v>
      </c>
    </row>
    <row r="101" spans="2:5" x14ac:dyDescent="0.2">
      <c r="B101" s="17" t="s">
        <v>57</v>
      </c>
      <c r="C101" s="18" t="s">
        <v>959</v>
      </c>
      <c r="D101" s="19" t="s">
        <v>959</v>
      </c>
      <c r="E101" s="20" t="s">
        <v>959</v>
      </c>
    </row>
    <row r="102" spans="2:5" x14ac:dyDescent="0.2">
      <c r="B102" s="17" t="s">
        <v>58</v>
      </c>
      <c r="C102" s="18" t="s">
        <v>959</v>
      </c>
      <c r="D102" s="19" t="s">
        <v>959</v>
      </c>
      <c r="E102" s="20" t="s">
        <v>959</v>
      </c>
    </row>
    <row r="103" spans="2:5" x14ac:dyDescent="0.2">
      <c r="B103" s="17" t="s">
        <v>72</v>
      </c>
      <c r="C103" s="18" t="s">
        <v>959</v>
      </c>
      <c r="D103" s="19" t="s">
        <v>959</v>
      </c>
      <c r="E103" s="20" t="s">
        <v>959</v>
      </c>
    </row>
    <row r="104" spans="2:5" x14ac:dyDescent="0.2">
      <c r="B104" s="17" t="s">
        <v>99</v>
      </c>
      <c r="C104" s="18" t="s">
        <v>959</v>
      </c>
      <c r="D104" s="19" t="s">
        <v>959</v>
      </c>
      <c r="E104" s="20" t="s">
        <v>959</v>
      </c>
    </row>
    <row r="105" spans="2:5" x14ac:dyDescent="0.2">
      <c r="B105" s="17" t="s">
        <v>41</v>
      </c>
      <c r="C105" s="18" t="s">
        <v>959</v>
      </c>
      <c r="D105" s="19" t="s">
        <v>959</v>
      </c>
      <c r="E105" s="20" t="s">
        <v>959</v>
      </c>
    </row>
    <row r="106" spans="2:5" x14ac:dyDescent="0.2">
      <c r="B106" s="17" t="s">
        <v>102</v>
      </c>
      <c r="C106" s="18" t="s">
        <v>959</v>
      </c>
      <c r="D106" s="19" t="s">
        <v>959</v>
      </c>
      <c r="E106" s="20" t="s">
        <v>959</v>
      </c>
    </row>
    <row r="107" spans="2:5" x14ac:dyDescent="0.2">
      <c r="B107" s="17" t="s">
        <v>90</v>
      </c>
      <c r="C107" s="18" t="s">
        <v>959</v>
      </c>
      <c r="D107" s="19" t="s">
        <v>959</v>
      </c>
      <c r="E107" s="20" t="s">
        <v>959</v>
      </c>
    </row>
    <row r="108" spans="2:5" x14ac:dyDescent="0.2">
      <c r="B108" s="17" t="s">
        <v>133</v>
      </c>
      <c r="C108" s="18" t="s">
        <v>959</v>
      </c>
      <c r="D108" s="19" t="s">
        <v>959</v>
      </c>
      <c r="E108" s="20" t="s">
        <v>959</v>
      </c>
    </row>
    <row r="109" spans="2:5" x14ac:dyDescent="0.2">
      <c r="B109" s="17" t="s">
        <v>129</v>
      </c>
      <c r="C109" s="18" t="s">
        <v>959</v>
      </c>
      <c r="D109" s="19" t="s">
        <v>959</v>
      </c>
      <c r="E109" s="20" t="s">
        <v>959</v>
      </c>
    </row>
    <row r="110" spans="2:5" x14ac:dyDescent="0.2">
      <c r="B110" s="17" t="s">
        <v>64</v>
      </c>
      <c r="C110" s="18" t="s">
        <v>959</v>
      </c>
      <c r="D110" s="19" t="s">
        <v>959</v>
      </c>
      <c r="E110" s="20" t="s">
        <v>959</v>
      </c>
    </row>
    <row r="111" spans="2:5" x14ac:dyDescent="0.2">
      <c r="B111" s="17" t="s">
        <v>35</v>
      </c>
      <c r="C111" s="18" t="s">
        <v>959</v>
      </c>
      <c r="D111" s="19" t="s">
        <v>959</v>
      </c>
      <c r="E111" s="20" t="s">
        <v>959</v>
      </c>
    </row>
    <row r="112" spans="2:5" x14ac:dyDescent="0.2">
      <c r="B112" s="17" t="s">
        <v>21</v>
      </c>
      <c r="C112" s="18" t="s">
        <v>959</v>
      </c>
      <c r="D112" s="19" t="s">
        <v>959</v>
      </c>
      <c r="E112" s="20" t="s">
        <v>959</v>
      </c>
    </row>
    <row r="113" spans="2:5" x14ac:dyDescent="0.2">
      <c r="B113" s="17" t="s">
        <v>131</v>
      </c>
      <c r="C113" s="18" t="s">
        <v>959</v>
      </c>
      <c r="D113" s="19" t="s">
        <v>959</v>
      </c>
      <c r="E113" s="20" t="s">
        <v>959</v>
      </c>
    </row>
    <row r="114" spans="2:5" x14ac:dyDescent="0.2">
      <c r="B114" s="17" t="s">
        <v>30</v>
      </c>
      <c r="C114" s="18" t="s">
        <v>959</v>
      </c>
      <c r="D114" s="19" t="s">
        <v>959</v>
      </c>
      <c r="E114" s="20" t="s">
        <v>959</v>
      </c>
    </row>
    <row r="115" spans="2:5" x14ac:dyDescent="0.2">
      <c r="B115" s="17" t="s">
        <v>4</v>
      </c>
      <c r="C115" s="18" t="s">
        <v>959</v>
      </c>
      <c r="D115" s="19" t="s">
        <v>959</v>
      </c>
      <c r="E115" s="20" t="s">
        <v>959</v>
      </c>
    </row>
    <row r="116" spans="2:5" x14ac:dyDescent="0.2">
      <c r="B116" s="17" t="s">
        <v>33</v>
      </c>
      <c r="C116" s="18" t="s">
        <v>959</v>
      </c>
      <c r="D116" s="19" t="s">
        <v>959</v>
      </c>
      <c r="E116" s="20" t="s">
        <v>959</v>
      </c>
    </row>
    <row r="117" spans="2:5" x14ac:dyDescent="0.2">
      <c r="B117" s="17" t="s">
        <v>91</v>
      </c>
      <c r="C117" s="18" t="s">
        <v>959</v>
      </c>
      <c r="D117" s="19" t="s">
        <v>959</v>
      </c>
      <c r="E117" s="20" t="s">
        <v>959</v>
      </c>
    </row>
    <row r="118" spans="2:5" x14ac:dyDescent="0.2">
      <c r="B118" s="17" t="s">
        <v>127</v>
      </c>
      <c r="C118" s="18" t="s">
        <v>959</v>
      </c>
      <c r="D118" s="19" t="s">
        <v>959</v>
      </c>
      <c r="E118" s="20" t="s">
        <v>959</v>
      </c>
    </row>
    <row r="119" spans="2:5" x14ac:dyDescent="0.2">
      <c r="B119" s="17" t="s">
        <v>128</v>
      </c>
      <c r="C119" s="18" t="s">
        <v>959</v>
      </c>
      <c r="D119" s="19" t="s">
        <v>959</v>
      </c>
      <c r="E119" s="20" t="s">
        <v>959</v>
      </c>
    </row>
    <row r="120" spans="2:5" x14ac:dyDescent="0.2">
      <c r="B120" s="17" t="s">
        <v>37</v>
      </c>
      <c r="C120" s="18" t="s">
        <v>959</v>
      </c>
      <c r="D120" s="19" t="s">
        <v>959</v>
      </c>
      <c r="E120" s="20" t="s">
        <v>959</v>
      </c>
    </row>
    <row r="121" spans="2:5" x14ac:dyDescent="0.2">
      <c r="B121" s="17" t="s">
        <v>43</v>
      </c>
      <c r="C121" s="18" t="s">
        <v>959</v>
      </c>
      <c r="D121" s="19" t="s">
        <v>959</v>
      </c>
      <c r="E121" s="20" t="s">
        <v>959</v>
      </c>
    </row>
    <row r="122" spans="2:5" x14ac:dyDescent="0.2">
      <c r="B122" s="17" t="s">
        <v>120</v>
      </c>
      <c r="C122" s="18" t="s">
        <v>959</v>
      </c>
      <c r="D122" s="19" t="s">
        <v>959</v>
      </c>
      <c r="E122" s="20" t="s">
        <v>959</v>
      </c>
    </row>
    <row r="123" spans="2:5" x14ac:dyDescent="0.2">
      <c r="B123" s="17" t="s">
        <v>103</v>
      </c>
      <c r="C123" s="18" t="s">
        <v>959</v>
      </c>
      <c r="D123" s="19" t="s">
        <v>959</v>
      </c>
      <c r="E123" s="20" t="s">
        <v>959</v>
      </c>
    </row>
    <row r="124" spans="2:5" x14ac:dyDescent="0.2">
      <c r="B124" s="17" t="s">
        <v>20</v>
      </c>
      <c r="C124" s="18" t="s">
        <v>959</v>
      </c>
      <c r="D124" s="19" t="s">
        <v>959</v>
      </c>
      <c r="E124" s="20" t="s">
        <v>959</v>
      </c>
    </row>
    <row r="125" spans="2:5" x14ac:dyDescent="0.2">
      <c r="B125" s="17" t="s">
        <v>97</v>
      </c>
      <c r="C125" s="18" t="s">
        <v>959</v>
      </c>
      <c r="D125" s="19" t="s">
        <v>959</v>
      </c>
      <c r="E125" s="20" t="s">
        <v>959</v>
      </c>
    </row>
    <row r="126" spans="2:5" x14ac:dyDescent="0.2">
      <c r="B126" s="17" t="s">
        <v>74</v>
      </c>
      <c r="C126" s="18" t="s">
        <v>959</v>
      </c>
      <c r="D126" s="19" t="s">
        <v>959</v>
      </c>
      <c r="E126" s="20" t="s">
        <v>959</v>
      </c>
    </row>
    <row r="127" spans="2:5" x14ac:dyDescent="0.2">
      <c r="B127" s="17" t="s">
        <v>13</v>
      </c>
      <c r="C127" s="18" t="s">
        <v>959</v>
      </c>
      <c r="D127" s="19" t="s">
        <v>959</v>
      </c>
      <c r="E127" s="20" t="s">
        <v>959</v>
      </c>
    </row>
    <row r="128" spans="2:5" x14ac:dyDescent="0.2">
      <c r="B128" s="17" t="s">
        <v>66</v>
      </c>
      <c r="C128" s="18" t="s">
        <v>959</v>
      </c>
      <c r="D128" s="19" t="s">
        <v>959</v>
      </c>
      <c r="E128" s="20" t="s">
        <v>959</v>
      </c>
    </row>
    <row r="129" spans="2:5" x14ac:dyDescent="0.2">
      <c r="B129" s="17" t="s">
        <v>68</v>
      </c>
      <c r="C129" s="18" t="s">
        <v>959</v>
      </c>
      <c r="D129" s="19" t="s">
        <v>959</v>
      </c>
      <c r="E129" s="20" t="s">
        <v>959</v>
      </c>
    </row>
    <row r="130" spans="2:5" x14ac:dyDescent="0.2">
      <c r="B130" s="17" t="s">
        <v>87</v>
      </c>
      <c r="C130" s="18" t="s">
        <v>959</v>
      </c>
      <c r="D130" s="19" t="s">
        <v>959</v>
      </c>
      <c r="E130" s="20" t="s">
        <v>959</v>
      </c>
    </row>
    <row r="131" spans="2:5" x14ac:dyDescent="0.2">
      <c r="B131" s="17" t="s">
        <v>98</v>
      </c>
      <c r="C131" s="18" t="s">
        <v>959</v>
      </c>
      <c r="D131" s="19" t="s">
        <v>959</v>
      </c>
      <c r="E131" s="20" t="s">
        <v>959</v>
      </c>
    </row>
    <row r="132" spans="2:5" x14ac:dyDescent="0.2">
      <c r="B132" s="17" t="s">
        <v>93</v>
      </c>
      <c r="C132" s="18" t="s">
        <v>959</v>
      </c>
      <c r="D132" s="19" t="s">
        <v>959</v>
      </c>
      <c r="E132" s="20" t="s">
        <v>959</v>
      </c>
    </row>
    <row r="133" spans="2:5" x14ac:dyDescent="0.2">
      <c r="B133" s="17" t="s">
        <v>132</v>
      </c>
      <c r="C133" s="18" t="s">
        <v>959</v>
      </c>
      <c r="D133" s="19" t="s">
        <v>959</v>
      </c>
      <c r="E133" s="20" t="s">
        <v>959</v>
      </c>
    </row>
    <row r="134" spans="2:5" x14ac:dyDescent="0.2">
      <c r="B134" s="17" t="s">
        <v>47</v>
      </c>
      <c r="C134" s="18" t="s">
        <v>959</v>
      </c>
      <c r="D134" s="19" t="s">
        <v>959</v>
      </c>
      <c r="E134" s="20" t="s">
        <v>959</v>
      </c>
    </row>
    <row r="135" spans="2:5" x14ac:dyDescent="0.2">
      <c r="B135" s="17" t="s">
        <v>39</v>
      </c>
      <c r="C135" s="18" t="s">
        <v>959</v>
      </c>
      <c r="D135" s="19" t="s">
        <v>959</v>
      </c>
      <c r="E135" s="20" t="s">
        <v>959</v>
      </c>
    </row>
    <row r="136" spans="2:5" x14ac:dyDescent="0.2">
      <c r="B136" s="17" t="s">
        <v>56</v>
      </c>
      <c r="C136" s="18" t="s">
        <v>959</v>
      </c>
      <c r="D136" s="19" t="s">
        <v>959</v>
      </c>
      <c r="E136" s="20" t="s">
        <v>959</v>
      </c>
    </row>
    <row r="137" spans="2:5" x14ac:dyDescent="0.2">
      <c r="B137" s="17" t="s">
        <v>26</v>
      </c>
      <c r="C137" s="18" t="s">
        <v>959</v>
      </c>
      <c r="D137" s="19" t="s">
        <v>959</v>
      </c>
      <c r="E137" s="20" t="s">
        <v>959</v>
      </c>
    </row>
    <row r="138" spans="2:5" x14ac:dyDescent="0.2">
      <c r="B138" s="17" t="s">
        <v>14</v>
      </c>
      <c r="C138" s="18" t="s">
        <v>959</v>
      </c>
      <c r="D138" s="19" t="s">
        <v>959</v>
      </c>
      <c r="E138" s="20" t="s">
        <v>959</v>
      </c>
    </row>
    <row r="139" spans="2:5" x14ac:dyDescent="0.2">
      <c r="B139" s="17" t="s">
        <v>63</v>
      </c>
      <c r="C139" s="18" t="s">
        <v>959</v>
      </c>
      <c r="D139" s="19" t="s">
        <v>959</v>
      </c>
      <c r="E139" s="20" t="s">
        <v>959</v>
      </c>
    </row>
    <row r="140" spans="2:5" x14ac:dyDescent="0.2">
      <c r="B140" s="17" t="s">
        <v>104</v>
      </c>
      <c r="C140" s="18" t="s">
        <v>959</v>
      </c>
      <c r="D140" s="19" t="s">
        <v>959</v>
      </c>
      <c r="E140" s="20" t="s">
        <v>959</v>
      </c>
    </row>
    <row r="141" spans="2:5" x14ac:dyDescent="0.2">
      <c r="B141" s="17" t="s">
        <v>31</v>
      </c>
      <c r="C141" s="18" t="s">
        <v>959</v>
      </c>
      <c r="D141" s="19" t="s">
        <v>959</v>
      </c>
      <c r="E141" s="20" t="s">
        <v>959</v>
      </c>
    </row>
    <row r="142" spans="2:5" x14ac:dyDescent="0.2">
      <c r="B142" s="17" t="s">
        <v>44</v>
      </c>
      <c r="C142" s="18" t="s">
        <v>959</v>
      </c>
      <c r="D142" s="19" t="s">
        <v>959</v>
      </c>
      <c r="E142" s="20" t="s">
        <v>959</v>
      </c>
    </row>
    <row r="143" spans="2:5" x14ac:dyDescent="0.2">
      <c r="B143" s="17" t="s">
        <v>27</v>
      </c>
      <c r="C143" s="18" t="s">
        <v>959</v>
      </c>
      <c r="D143" s="19" t="s">
        <v>959</v>
      </c>
      <c r="E143" s="20" t="s">
        <v>959</v>
      </c>
    </row>
    <row r="144" spans="2:5" x14ac:dyDescent="0.2">
      <c r="B144" s="17" t="s">
        <v>78</v>
      </c>
      <c r="C144" s="18" t="s">
        <v>959</v>
      </c>
      <c r="D144" s="19" t="s">
        <v>959</v>
      </c>
      <c r="E144" s="20" t="s">
        <v>959</v>
      </c>
    </row>
    <row r="145" spans="2:5" x14ac:dyDescent="0.2">
      <c r="B145" s="17" t="s">
        <v>117</v>
      </c>
      <c r="C145" s="18" t="s">
        <v>959</v>
      </c>
      <c r="D145" s="19" t="s">
        <v>959</v>
      </c>
      <c r="E145" s="20" t="s">
        <v>959</v>
      </c>
    </row>
    <row r="146" spans="2:5" x14ac:dyDescent="0.2">
      <c r="B146" s="17" t="s">
        <v>124</v>
      </c>
      <c r="C146" s="18" t="s">
        <v>959</v>
      </c>
      <c r="D146" s="19" t="s">
        <v>959</v>
      </c>
      <c r="E146" s="20" t="s">
        <v>959</v>
      </c>
    </row>
    <row r="147" spans="2:5" x14ac:dyDescent="0.2">
      <c r="B147" s="17" t="s">
        <v>22</v>
      </c>
      <c r="C147" s="18" t="s">
        <v>959</v>
      </c>
      <c r="D147" s="19" t="s">
        <v>959</v>
      </c>
      <c r="E147" s="20" t="s">
        <v>959</v>
      </c>
    </row>
    <row r="148" spans="2:5" x14ac:dyDescent="0.2">
      <c r="B148" s="17" t="s">
        <v>111</v>
      </c>
      <c r="C148" s="18" t="s">
        <v>959</v>
      </c>
      <c r="D148" s="19" t="s">
        <v>959</v>
      </c>
      <c r="E148" s="20" t="s">
        <v>959</v>
      </c>
    </row>
    <row r="149" spans="2:5" x14ac:dyDescent="0.2">
      <c r="B149" s="17" t="s">
        <v>59</v>
      </c>
      <c r="C149" s="18" t="s">
        <v>959</v>
      </c>
      <c r="D149" s="19" t="s">
        <v>959</v>
      </c>
      <c r="E149" s="20" t="s">
        <v>959</v>
      </c>
    </row>
    <row r="150" spans="2:5" x14ac:dyDescent="0.2">
      <c r="B150" s="17" t="s">
        <v>42</v>
      </c>
      <c r="C150" s="18" t="s">
        <v>959</v>
      </c>
      <c r="D150" s="19" t="s">
        <v>959</v>
      </c>
      <c r="E150" s="20" t="s">
        <v>959</v>
      </c>
    </row>
    <row r="151" spans="2:5" x14ac:dyDescent="0.2">
      <c r="B151" s="17" t="s">
        <v>122</v>
      </c>
      <c r="C151" s="18" t="s">
        <v>959</v>
      </c>
      <c r="D151" s="19" t="s">
        <v>959</v>
      </c>
      <c r="E151" s="20" t="s">
        <v>959</v>
      </c>
    </row>
    <row r="152" spans="2:5" x14ac:dyDescent="0.2">
      <c r="B152" s="17" t="s">
        <v>49</v>
      </c>
      <c r="C152" s="18" t="s">
        <v>959</v>
      </c>
      <c r="D152" s="19" t="s">
        <v>959</v>
      </c>
      <c r="E152" s="20" t="s">
        <v>959</v>
      </c>
    </row>
    <row r="153" spans="2:5" x14ac:dyDescent="0.2">
      <c r="B153" s="17" t="s">
        <v>65</v>
      </c>
      <c r="C153" s="18" t="s">
        <v>959</v>
      </c>
      <c r="D153" s="19" t="s">
        <v>959</v>
      </c>
      <c r="E153" s="20" t="s">
        <v>959</v>
      </c>
    </row>
    <row r="154" spans="2:5" x14ac:dyDescent="0.2">
      <c r="B154" s="17" t="s">
        <v>101</v>
      </c>
      <c r="C154" s="18" t="s">
        <v>959</v>
      </c>
      <c r="D154" s="19" t="s">
        <v>959</v>
      </c>
      <c r="E154" s="20" t="s">
        <v>959</v>
      </c>
    </row>
    <row r="155" spans="2:5" x14ac:dyDescent="0.2">
      <c r="B155" s="17" t="s">
        <v>32</v>
      </c>
      <c r="C155" s="18" t="s">
        <v>959</v>
      </c>
      <c r="D155" s="19" t="s">
        <v>959</v>
      </c>
      <c r="E155" s="20" t="s">
        <v>959</v>
      </c>
    </row>
    <row r="156" spans="2:5" x14ac:dyDescent="0.2">
      <c r="B156" s="17" t="s">
        <v>46</v>
      </c>
      <c r="C156" s="18" t="s">
        <v>959</v>
      </c>
      <c r="D156" s="19" t="s">
        <v>959</v>
      </c>
      <c r="E156" s="20" t="s">
        <v>959</v>
      </c>
    </row>
    <row r="157" spans="2:5" x14ac:dyDescent="0.2">
      <c r="B157" s="17" t="s">
        <v>55</v>
      </c>
      <c r="C157" s="18" t="s">
        <v>959</v>
      </c>
      <c r="D157" s="19" t="s">
        <v>959</v>
      </c>
      <c r="E157" s="20" t="s">
        <v>959</v>
      </c>
    </row>
    <row r="158" spans="2:5" x14ac:dyDescent="0.2">
      <c r="B158" s="17" t="s">
        <v>70</v>
      </c>
      <c r="C158" s="18" t="s">
        <v>959</v>
      </c>
      <c r="D158" s="19" t="s">
        <v>959</v>
      </c>
      <c r="E158" s="20" t="s">
        <v>959</v>
      </c>
    </row>
    <row r="159" spans="2:5" x14ac:dyDescent="0.2">
      <c r="B159" s="17" t="s">
        <v>84</v>
      </c>
      <c r="C159" s="18" t="s">
        <v>959</v>
      </c>
      <c r="D159" s="19" t="s">
        <v>959</v>
      </c>
      <c r="E159" s="20" t="s">
        <v>959</v>
      </c>
    </row>
    <row r="160" spans="2:5" x14ac:dyDescent="0.2">
      <c r="B160" s="17" t="s">
        <v>53</v>
      </c>
      <c r="C160" s="18" t="s">
        <v>959</v>
      </c>
      <c r="D160" s="19" t="s">
        <v>959</v>
      </c>
      <c r="E160" s="20" t="s">
        <v>959</v>
      </c>
    </row>
    <row r="161" spans="2:5" x14ac:dyDescent="0.2">
      <c r="B161" s="17" t="s">
        <v>88</v>
      </c>
      <c r="C161" s="18" t="s">
        <v>959</v>
      </c>
      <c r="D161" s="19" t="s">
        <v>959</v>
      </c>
      <c r="E161" s="20" t="s">
        <v>959</v>
      </c>
    </row>
    <row r="162" spans="2:5" x14ac:dyDescent="0.2">
      <c r="B162" s="17" t="s">
        <v>92</v>
      </c>
      <c r="C162" s="18" t="s">
        <v>959</v>
      </c>
      <c r="D162" s="19" t="s">
        <v>959</v>
      </c>
      <c r="E162" s="20" t="s">
        <v>959</v>
      </c>
    </row>
    <row r="163" spans="2:5" x14ac:dyDescent="0.2">
      <c r="B163" s="17" t="s">
        <v>69</v>
      </c>
      <c r="C163" s="18" t="s">
        <v>959</v>
      </c>
      <c r="D163" s="19" t="s">
        <v>959</v>
      </c>
      <c r="E163" s="20" t="s">
        <v>959</v>
      </c>
    </row>
    <row r="164" spans="2:5" x14ac:dyDescent="0.2">
      <c r="B164" s="17" t="s">
        <v>83</v>
      </c>
      <c r="C164" s="18" t="s">
        <v>959</v>
      </c>
      <c r="D164" s="19" t="s">
        <v>959</v>
      </c>
      <c r="E164" s="20" t="s">
        <v>959</v>
      </c>
    </row>
    <row r="165" spans="2:5" x14ac:dyDescent="0.2">
      <c r="B165" s="17" t="s">
        <v>60</v>
      </c>
      <c r="C165" s="18" t="s">
        <v>959</v>
      </c>
      <c r="D165" s="19" t="s">
        <v>959</v>
      </c>
      <c r="E165" s="20" t="s">
        <v>959</v>
      </c>
    </row>
    <row r="166" spans="2:5" x14ac:dyDescent="0.2">
      <c r="B166" s="17" t="s">
        <v>81</v>
      </c>
      <c r="C166" s="18" t="s">
        <v>959</v>
      </c>
      <c r="D166" s="19" t="s">
        <v>959</v>
      </c>
      <c r="E166" s="20" t="s">
        <v>959</v>
      </c>
    </row>
    <row r="167" spans="2:5" x14ac:dyDescent="0.2">
      <c r="B167" s="17" t="s">
        <v>36</v>
      </c>
      <c r="C167" s="18" t="s">
        <v>959</v>
      </c>
      <c r="D167" s="19" t="s">
        <v>959</v>
      </c>
      <c r="E167" s="20" t="s">
        <v>959</v>
      </c>
    </row>
    <row r="168" spans="2:5" x14ac:dyDescent="0.2">
      <c r="B168" s="17" t="s">
        <v>9</v>
      </c>
      <c r="C168" s="18" t="s">
        <v>959</v>
      </c>
      <c r="D168" s="19" t="s">
        <v>959</v>
      </c>
      <c r="E168" s="20" t="s">
        <v>959</v>
      </c>
    </row>
    <row r="169" spans="2:5" x14ac:dyDescent="0.2">
      <c r="B169" s="17" t="s">
        <v>1</v>
      </c>
      <c r="C169" s="18" t="s">
        <v>959</v>
      </c>
      <c r="D169" s="19" t="s">
        <v>959</v>
      </c>
      <c r="E169" s="20" t="s">
        <v>959</v>
      </c>
    </row>
    <row r="170" spans="2:5" x14ac:dyDescent="0.2">
      <c r="B170" s="17" t="s">
        <v>80</v>
      </c>
      <c r="C170" s="18" t="s">
        <v>959</v>
      </c>
      <c r="D170" s="19" t="s">
        <v>959</v>
      </c>
      <c r="E170" s="20" t="s">
        <v>959</v>
      </c>
    </row>
    <row r="171" spans="2:5" x14ac:dyDescent="0.2">
      <c r="B171" s="17" t="s">
        <v>52</v>
      </c>
      <c r="C171" s="18" t="s">
        <v>959</v>
      </c>
      <c r="D171" s="19" t="s">
        <v>959</v>
      </c>
      <c r="E171" s="20" t="s">
        <v>959</v>
      </c>
    </row>
    <row r="172" spans="2:5" x14ac:dyDescent="0.2">
      <c r="B172" s="17" t="s">
        <v>105</v>
      </c>
      <c r="C172" s="18" t="s">
        <v>959</v>
      </c>
      <c r="D172" s="19" t="s">
        <v>959</v>
      </c>
      <c r="E172" s="20" t="s">
        <v>959</v>
      </c>
    </row>
    <row r="173" spans="2:5" x14ac:dyDescent="0.2">
      <c r="B173" s="17" t="s">
        <v>135</v>
      </c>
      <c r="C173" s="18" t="s">
        <v>959</v>
      </c>
      <c r="D173" s="19" t="s">
        <v>959</v>
      </c>
      <c r="E173" s="20" t="s">
        <v>959</v>
      </c>
    </row>
    <row r="174" spans="2:5" x14ac:dyDescent="0.2">
      <c r="B174" s="17" t="s">
        <v>85</v>
      </c>
      <c r="C174" s="18" t="s">
        <v>959</v>
      </c>
      <c r="D174" s="19" t="s">
        <v>959</v>
      </c>
      <c r="E174" s="20" t="s">
        <v>959</v>
      </c>
    </row>
    <row r="175" spans="2:5" x14ac:dyDescent="0.2">
      <c r="B175" s="17" t="s">
        <v>10</v>
      </c>
      <c r="C175" s="18" t="s">
        <v>959</v>
      </c>
      <c r="D175" s="19" t="s">
        <v>959</v>
      </c>
      <c r="E175" s="20" t="s">
        <v>959</v>
      </c>
    </row>
    <row r="176" spans="2:5" x14ac:dyDescent="0.2">
      <c r="B176" s="17" t="s">
        <v>67</v>
      </c>
      <c r="C176" s="18" t="s">
        <v>959</v>
      </c>
      <c r="D176" s="19" t="s">
        <v>959</v>
      </c>
      <c r="E176" s="20" t="s">
        <v>959</v>
      </c>
    </row>
    <row r="177" spans="2:5" x14ac:dyDescent="0.2">
      <c r="B177" s="17" t="s">
        <v>94</v>
      </c>
      <c r="C177" s="18" t="s">
        <v>959</v>
      </c>
      <c r="D177" s="19" t="s">
        <v>959</v>
      </c>
      <c r="E177" s="20" t="s">
        <v>959</v>
      </c>
    </row>
    <row r="178" spans="2:5" x14ac:dyDescent="0.2">
      <c r="B178" s="17" t="s">
        <v>96</v>
      </c>
      <c r="C178" s="18" t="s">
        <v>959</v>
      </c>
      <c r="D178" s="19" t="s">
        <v>959</v>
      </c>
      <c r="E178" s="20" t="s">
        <v>959</v>
      </c>
    </row>
    <row r="179" spans="2:5" x14ac:dyDescent="0.2">
      <c r="B179" s="17" t="s">
        <v>112</v>
      </c>
      <c r="C179" s="18" t="s">
        <v>959</v>
      </c>
      <c r="D179" s="19" t="s">
        <v>959</v>
      </c>
      <c r="E179" s="20" t="s">
        <v>959</v>
      </c>
    </row>
    <row r="180" spans="2:5" x14ac:dyDescent="0.2">
      <c r="B180" s="17" t="s">
        <v>114</v>
      </c>
      <c r="C180" s="18" t="s">
        <v>959</v>
      </c>
      <c r="D180" s="19" t="s">
        <v>959</v>
      </c>
      <c r="E180" s="20" t="s">
        <v>959</v>
      </c>
    </row>
    <row r="181" spans="2:5" x14ac:dyDescent="0.2">
      <c r="B181" s="17" t="s">
        <v>118</v>
      </c>
      <c r="C181" s="18" t="s">
        <v>959</v>
      </c>
      <c r="D181" s="19" t="s">
        <v>959</v>
      </c>
      <c r="E181" s="20" t="s">
        <v>959</v>
      </c>
    </row>
    <row r="182" spans="2:5" x14ac:dyDescent="0.2">
      <c r="B182" s="17" t="s">
        <v>15</v>
      </c>
      <c r="C182" s="18" t="s">
        <v>959</v>
      </c>
      <c r="D182" s="19" t="s">
        <v>959</v>
      </c>
      <c r="E182" s="20" t="s">
        <v>959</v>
      </c>
    </row>
    <row r="183" spans="2:5" x14ac:dyDescent="0.2">
      <c r="B183" s="17" t="s">
        <v>6</v>
      </c>
      <c r="C183" s="18" t="s">
        <v>959</v>
      </c>
      <c r="D183" s="19" t="s">
        <v>959</v>
      </c>
      <c r="E183" s="20" t="s">
        <v>959</v>
      </c>
    </row>
    <row r="184" spans="2:5" x14ac:dyDescent="0.2">
      <c r="B184" s="15" t="s">
        <v>953</v>
      </c>
      <c r="C184" s="16">
        <v>0</v>
      </c>
      <c r="D184" s="16">
        <v>0</v>
      </c>
      <c r="E184" s="21">
        <v>0</v>
      </c>
    </row>
    <row r="188" spans="2:5" ht="19" x14ac:dyDescent="0.25">
      <c r="B188" s="26" t="s">
        <v>978</v>
      </c>
      <c r="C188" s="26"/>
      <c r="D188" s="26"/>
      <c r="E188" s="26"/>
    </row>
    <row r="190" spans="2:5" x14ac:dyDescent="0.2">
      <c r="B190" s="2" t="s">
        <v>1782</v>
      </c>
      <c r="C190" s="2"/>
      <c r="D190" s="2"/>
      <c r="E190" s="2"/>
    </row>
    <row r="191" spans="2:5" x14ac:dyDescent="0.2">
      <c r="B191" s="6" t="s">
        <v>958</v>
      </c>
      <c r="C191" s="2" t="s">
        <v>967</v>
      </c>
      <c r="D191" s="2"/>
      <c r="E191" s="2"/>
    </row>
    <row r="192" spans="2:5" x14ac:dyDescent="0.2">
      <c r="B192" s="6"/>
      <c r="C192" s="8" t="s">
        <v>961</v>
      </c>
      <c r="D192" s="9" t="s">
        <v>972</v>
      </c>
      <c r="E192" s="10" t="s">
        <v>956</v>
      </c>
    </row>
    <row r="193" spans="2:5" x14ac:dyDescent="0.2">
      <c r="C193" s="8"/>
      <c r="D193" s="9"/>
      <c r="E193" s="10"/>
    </row>
    <row r="194" spans="2:5" x14ac:dyDescent="0.2">
      <c r="B194" s="17" t="s">
        <v>2</v>
      </c>
      <c r="C194" s="18" t="s">
        <v>959</v>
      </c>
      <c r="D194" s="19" t="s">
        <v>959</v>
      </c>
      <c r="E194" s="20" t="s">
        <v>959</v>
      </c>
    </row>
    <row r="195" spans="2:5" x14ac:dyDescent="0.2">
      <c r="B195" s="17" t="s">
        <v>7</v>
      </c>
      <c r="C195" s="18" t="s">
        <v>959</v>
      </c>
      <c r="D195" s="19" t="s">
        <v>959</v>
      </c>
      <c r="E195" s="20" t="s">
        <v>959</v>
      </c>
    </row>
    <row r="196" spans="2:5" x14ac:dyDescent="0.2">
      <c r="B196" s="17" t="s">
        <v>20</v>
      </c>
      <c r="C196" s="18" t="s">
        <v>959</v>
      </c>
      <c r="D196" s="19" t="s">
        <v>959</v>
      </c>
      <c r="E196" s="20" t="s">
        <v>959</v>
      </c>
    </row>
    <row r="197" spans="2:5" x14ac:dyDescent="0.2">
      <c r="B197" s="17" t="s">
        <v>1</v>
      </c>
      <c r="C197" s="18" t="s">
        <v>959</v>
      </c>
      <c r="D197" s="19" t="s">
        <v>959</v>
      </c>
      <c r="E197" s="20" t="s">
        <v>959</v>
      </c>
    </row>
    <row r="198" spans="2:5" x14ac:dyDescent="0.2">
      <c r="B198" s="17" t="s">
        <v>0</v>
      </c>
      <c r="C198" s="18" t="s">
        <v>959</v>
      </c>
      <c r="D198" s="19" t="s">
        <v>959</v>
      </c>
      <c r="E198" s="20" t="s">
        <v>959</v>
      </c>
    </row>
    <row r="199" spans="2:5" x14ac:dyDescent="0.2">
      <c r="B199" s="15" t="s">
        <v>953</v>
      </c>
      <c r="C199" s="16">
        <v>0</v>
      </c>
      <c r="D199" s="16">
        <v>0</v>
      </c>
      <c r="E199" s="21">
        <v>0</v>
      </c>
    </row>
    <row r="203" spans="2:5" ht="19" x14ac:dyDescent="0.25">
      <c r="B203" s="26" t="s">
        <v>979</v>
      </c>
      <c r="C203" s="26"/>
      <c r="D203" s="26"/>
      <c r="E203" s="26"/>
    </row>
    <row r="205" spans="2:5" x14ac:dyDescent="0.2">
      <c r="B205" s="2" t="s">
        <v>1782</v>
      </c>
      <c r="C205" s="2"/>
      <c r="D205" s="2"/>
      <c r="E205" s="2"/>
    </row>
    <row r="206" spans="2:5" x14ac:dyDescent="0.2">
      <c r="B206" s="6" t="s">
        <v>958</v>
      </c>
      <c r="C206" s="2" t="s">
        <v>967</v>
      </c>
      <c r="D206" s="2"/>
      <c r="E206" s="2"/>
    </row>
    <row r="207" spans="2:5" x14ac:dyDescent="0.2">
      <c r="B207" s="6"/>
      <c r="C207" s="8" t="s">
        <v>961</v>
      </c>
      <c r="D207" s="9" t="s">
        <v>972</v>
      </c>
      <c r="E207" s="10" t="s">
        <v>956</v>
      </c>
    </row>
    <row r="208" spans="2:5" x14ac:dyDescent="0.2">
      <c r="C208" s="8"/>
      <c r="D208" s="9"/>
      <c r="E208" s="10"/>
    </row>
    <row r="209" spans="2:5" x14ac:dyDescent="0.2">
      <c r="B209" s="17" t="s">
        <v>2</v>
      </c>
      <c r="C209" s="18" t="s">
        <v>959</v>
      </c>
      <c r="D209" s="19" t="s">
        <v>959</v>
      </c>
      <c r="E209" s="20" t="s">
        <v>959</v>
      </c>
    </row>
    <row r="210" spans="2:5" x14ac:dyDescent="0.2">
      <c r="B210" s="17" t="s">
        <v>20</v>
      </c>
      <c r="C210" s="18" t="s">
        <v>959</v>
      </c>
      <c r="D210" s="19" t="s">
        <v>959</v>
      </c>
      <c r="E210" s="20" t="s">
        <v>959</v>
      </c>
    </row>
    <row r="211" spans="2:5" x14ac:dyDescent="0.2">
      <c r="B211" s="17" t="s">
        <v>0</v>
      </c>
      <c r="C211" s="18" t="s">
        <v>959</v>
      </c>
      <c r="D211" s="19" t="s">
        <v>959</v>
      </c>
      <c r="E211" s="20" t="s">
        <v>959</v>
      </c>
    </row>
    <row r="212" spans="2:5" x14ac:dyDescent="0.2">
      <c r="B212" s="17" t="s">
        <v>7</v>
      </c>
      <c r="C212" s="18" t="s">
        <v>959</v>
      </c>
      <c r="D212" s="19" t="s">
        <v>959</v>
      </c>
      <c r="E212" s="20" t="s">
        <v>959</v>
      </c>
    </row>
    <row r="213" spans="2:5" x14ac:dyDescent="0.2">
      <c r="B213" s="17" t="s">
        <v>1</v>
      </c>
      <c r="C213" s="18" t="s">
        <v>959</v>
      </c>
      <c r="D213" s="19" t="s">
        <v>959</v>
      </c>
      <c r="E213" s="20" t="s">
        <v>959</v>
      </c>
    </row>
    <row r="214" spans="2:5" x14ac:dyDescent="0.2">
      <c r="B214" s="15" t="s">
        <v>953</v>
      </c>
      <c r="C214" s="16">
        <v>0</v>
      </c>
      <c r="D214" s="16">
        <v>0</v>
      </c>
      <c r="E214" s="21">
        <v>0</v>
      </c>
    </row>
    <row r="218" spans="2:5" ht="19" x14ac:dyDescent="0.25">
      <c r="B218" s="26" t="s">
        <v>980</v>
      </c>
      <c r="C218" s="26"/>
      <c r="D218" s="26"/>
      <c r="E218" s="26"/>
    </row>
    <row r="220" spans="2:5" x14ac:dyDescent="0.2">
      <c r="B220" s="2" t="s">
        <v>1782</v>
      </c>
      <c r="C220" s="2"/>
      <c r="D220" s="2"/>
      <c r="E220" s="2"/>
    </row>
    <row r="221" spans="2:5" x14ac:dyDescent="0.2">
      <c r="B221" s="6" t="s">
        <v>958</v>
      </c>
      <c r="C221" s="2" t="s">
        <v>967</v>
      </c>
      <c r="D221" s="2"/>
      <c r="E221" s="2"/>
    </row>
    <row r="222" spans="2:5" x14ac:dyDescent="0.2">
      <c r="B222" s="6"/>
      <c r="C222" s="8" t="s">
        <v>961</v>
      </c>
      <c r="D222" s="9" t="s">
        <v>972</v>
      </c>
      <c r="E222" s="10" t="s">
        <v>956</v>
      </c>
    </row>
    <row r="223" spans="2:5" x14ac:dyDescent="0.2">
      <c r="C223" s="8"/>
      <c r="D223" s="9"/>
      <c r="E223" s="10"/>
    </row>
    <row r="224" spans="2:5" x14ac:dyDescent="0.2">
      <c r="B224" s="17" t="s">
        <v>2</v>
      </c>
      <c r="C224" s="18" t="s">
        <v>959</v>
      </c>
      <c r="D224" s="19" t="s">
        <v>959</v>
      </c>
      <c r="E224" s="20" t="s">
        <v>959</v>
      </c>
    </row>
    <row r="225" spans="2:5" x14ac:dyDescent="0.2">
      <c r="B225" s="17" t="s">
        <v>0</v>
      </c>
      <c r="C225" s="18" t="s">
        <v>959</v>
      </c>
      <c r="D225" s="19" t="s">
        <v>959</v>
      </c>
      <c r="E225" s="20" t="s">
        <v>959</v>
      </c>
    </row>
    <row r="226" spans="2:5" x14ac:dyDescent="0.2">
      <c r="B226" s="17" t="s">
        <v>7</v>
      </c>
      <c r="C226" s="18" t="s">
        <v>959</v>
      </c>
      <c r="D226" s="19" t="s">
        <v>959</v>
      </c>
      <c r="E226" s="20" t="s">
        <v>959</v>
      </c>
    </row>
    <row r="227" spans="2:5" x14ac:dyDescent="0.2">
      <c r="B227" s="17" t="s">
        <v>1</v>
      </c>
      <c r="C227" s="18" t="s">
        <v>959</v>
      </c>
      <c r="D227" s="19" t="s">
        <v>959</v>
      </c>
      <c r="E227" s="20" t="s">
        <v>959</v>
      </c>
    </row>
    <row r="228" spans="2:5" x14ac:dyDescent="0.2">
      <c r="B228" s="17" t="s">
        <v>20</v>
      </c>
      <c r="C228" s="18" t="s">
        <v>959</v>
      </c>
      <c r="D228" s="19" t="s">
        <v>959</v>
      </c>
      <c r="E228" s="20" t="s">
        <v>959</v>
      </c>
    </row>
    <row r="229" spans="2:5" x14ac:dyDescent="0.2">
      <c r="B229" s="15" t="s">
        <v>953</v>
      </c>
      <c r="C229" s="16">
        <v>0</v>
      </c>
      <c r="D229" s="16">
        <v>0</v>
      </c>
      <c r="E229" s="21">
        <v>0</v>
      </c>
    </row>
    <row r="233" spans="2:5" ht="19" x14ac:dyDescent="0.25">
      <c r="B233" s="38"/>
      <c r="C233" s="38"/>
      <c r="D233" s="38"/>
      <c r="E233" s="38"/>
    </row>
    <row r="235" spans="2:5" x14ac:dyDescent="0.2">
      <c r="B235" s="5"/>
      <c r="C235" s="5"/>
      <c r="D235" s="5"/>
      <c r="E235" s="5"/>
    </row>
    <row r="236" spans="2:5" x14ac:dyDescent="0.2">
      <c r="B236" s="6" t="s">
        <v>984</v>
      </c>
      <c r="C236" s="2" t="s">
        <v>967</v>
      </c>
      <c r="D236" s="2"/>
      <c r="E236" s="2"/>
    </row>
    <row r="237" spans="2:5" x14ac:dyDescent="0.2">
      <c r="B237" s="6"/>
      <c r="C237" s="8" t="s">
        <v>961</v>
      </c>
      <c r="D237" s="9" t="s">
        <v>972</v>
      </c>
      <c r="E237" s="10" t="s">
        <v>956</v>
      </c>
    </row>
    <row r="238" spans="2:5" x14ac:dyDescent="0.2">
      <c r="C238" s="8"/>
      <c r="D238" s="9"/>
      <c r="E238" s="10"/>
    </row>
    <row r="239" spans="2:5" x14ac:dyDescent="0.2">
      <c r="B239" s="29" t="s">
        <v>68</v>
      </c>
      <c r="C239" s="32" t="s">
        <v>959</v>
      </c>
      <c r="D239" s="32" t="s">
        <v>959</v>
      </c>
      <c r="E239" s="36" t="s">
        <v>959</v>
      </c>
    </row>
    <row r="240" spans="2:5" x14ac:dyDescent="0.2">
      <c r="B240" s="30" t="s">
        <v>985</v>
      </c>
      <c r="C240" s="34" t="s">
        <v>959</v>
      </c>
      <c r="D240" s="35" t="s">
        <v>959</v>
      </c>
      <c r="E240" s="4" t="s">
        <v>959</v>
      </c>
    </row>
    <row r="241" spans="2:5" x14ac:dyDescent="0.2">
      <c r="B241" s="30" t="s">
        <v>986</v>
      </c>
      <c r="C241" s="34" t="s">
        <v>959</v>
      </c>
      <c r="D241" s="35" t="s">
        <v>959</v>
      </c>
      <c r="E241" s="4" t="s">
        <v>959</v>
      </c>
    </row>
    <row r="242" spans="2:5" x14ac:dyDescent="0.2">
      <c r="B242" s="30" t="s">
        <v>987</v>
      </c>
      <c r="C242" s="34" t="s">
        <v>959</v>
      </c>
      <c r="D242" s="35" t="s">
        <v>959</v>
      </c>
      <c r="E242" s="4" t="s">
        <v>959</v>
      </c>
    </row>
    <row r="243" spans="2:5" x14ac:dyDescent="0.2">
      <c r="B243" s="30" t="s">
        <v>988</v>
      </c>
      <c r="C243" s="34" t="s">
        <v>959</v>
      </c>
      <c r="D243" s="35" t="s">
        <v>959</v>
      </c>
      <c r="E243" s="4" t="s">
        <v>959</v>
      </c>
    </row>
    <row r="244" spans="2:5" x14ac:dyDescent="0.2">
      <c r="B244" s="30" t="s">
        <v>989</v>
      </c>
      <c r="C244" s="34" t="s">
        <v>959</v>
      </c>
      <c r="D244" s="35" t="s">
        <v>959</v>
      </c>
      <c r="E244" s="4" t="s">
        <v>959</v>
      </c>
    </row>
    <row r="245" spans="2:5" x14ac:dyDescent="0.2">
      <c r="B245" s="30" t="s">
        <v>990</v>
      </c>
      <c r="C245" s="34" t="s">
        <v>959</v>
      </c>
      <c r="D245" s="35" t="s">
        <v>959</v>
      </c>
      <c r="E245" s="4" t="s">
        <v>959</v>
      </c>
    </row>
    <row r="246" spans="2:5" x14ac:dyDescent="0.2">
      <c r="B246" s="30" t="s">
        <v>991</v>
      </c>
      <c r="C246" s="34" t="s">
        <v>959</v>
      </c>
      <c r="D246" s="35" t="s">
        <v>959</v>
      </c>
      <c r="E246" s="4" t="s">
        <v>959</v>
      </c>
    </row>
    <row r="247" spans="2:5" x14ac:dyDescent="0.2">
      <c r="B247" s="30" t="s">
        <v>992</v>
      </c>
      <c r="C247" s="34" t="s">
        <v>959</v>
      </c>
      <c r="D247" s="35" t="s">
        <v>959</v>
      </c>
      <c r="E247" s="4" t="s">
        <v>959</v>
      </c>
    </row>
    <row r="248" spans="2:5" x14ac:dyDescent="0.2">
      <c r="B248" s="30" t="s">
        <v>993</v>
      </c>
      <c r="C248" s="34" t="s">
        <v>959</v>
      </c>
      <c r="D248" s="35" t="s">
        <v>959</v>
      </c>
      <c r="E248" s="4" t="s">
        <v>959</v>
      </c>
    </row>
    <row r="249" spans="2:5" x14ac:dyDescent="0.2">
      <c r="B249" s="29" t="s">
        <v>42</v>
      </c>
      <c r="C249" s="32" t="s">
        <v>959</v>
      </c>
      <c r="D249" s="32" t="s">
        <v>959</v>
      </c>
      <c r="E249" s="36" t="s">
        <v>959</v>
      </c>
    </row>
    <row r="250" spans="2:5" x14ac:dyDescent="0.2">
      <c r="B250" s="30" t="s">
        <v>994</v>
      </c>
      <c r="C250" s="34" t="s">
        <v>959</v>
      </c>
      <c r="D250" s="35" t="s">
        <v>959</v>
      </c>
      <c r="E250" s="4" t="s">
        <v>959</v>
      </c>
    </row>
    <row r="251" spans="2:5" x14ac:dyDescent="0.2">
      <c r="B251" s="30" t="s">
        <v>995</v>
      </c>
      <c r="C251" s="34" t="s">
        <v>959</v>
      </c>
      <c r="D251" s="35" t="s">
        <v>959</v>
      </c>
      <c r="E251" s="4" t="s">
        <v>959</v>
      </c>
    </row>
    <row r="252" spans="2:5" x14ac:dyDescent="0.2">
      <c r="B252" s="30" t="s">
        <v>996</v>
      </c>
      <c r="C252" s="34" t="s">
        <v>959</v>
      </c>
      <c r="D252" s="35" t="s">
        <v>959</v>
      </c>
      <c r="E252" s="4" t="s">
        <v>959</v>
      </c>
    </row>
    <row r="253" spans="2:5" x14ac:dyDescent="0.2">
      <c r="B253" s="30" t="s">
        <v>997</v>
      </c>
      <c r="C253" s="34" t="s">
        <v>959</v>
      </c>
      <c r="D253" s="35" t="s">
        <v>959</v>
      </c>
      <c r="E253" s="4" t="s">
        <v>959</v>
      </c>
    </row>
    <row r="254" spans="2:5" x14ac:dyDescent="0.2">
      <c r="B254" s="30" t="s">
        <v>998</v>
      </c>
      <c r="C254" s="34" t="s">
        <v>959</v>
      </c>
      <c r="D254" s="35" t="s">
        <v>959</v>
      </c>
      <c r="E254" s="4" t="s">
        <v>959</v>
      </c>
    </row>
    <row r="255" spans="2:5" x14ac:dyDescent="0.2">
      <c r="B255" s="29" t="s">
        <v>48</v>
      </c>
      <c r="C255" s="32" t="s">
        <v>959</v>
      </c>
      <c r="D255" s="32" t="s">
        <v>959</v>
      </c>
      <c r="E255" s="36" t="s">
        <v>959</v>
      </c>
    </row>
    <row r="256" spans="2:5" x14ac:dyDescent="0.2">
      <c r="B256" s="30" t="s">
        <v>999</v>
      </c>
      <c r="C256" s="34" t="s">
        <v>959</v>
      </c>
      <c r="D256" s="35" t="s">
        <v>959</v>
      </c>
      <c r="E256" s="4" t="s">
        <v>959</v>
      </c>
    </row>
    <row r="257" spans="2:5" x14ac:dyDescent="0.2">
      <c r="B257" s="30" t="s">
        <v>1000</v>
      </c>
      <c r="C257" s="34" t="s">
        <v>959</v>
      </c>
      <c r="D257" s="35" t="s">
        <v>959</v>
      </c>
      <c r="E257" s="4" t="s">
        <v>959</v>
      </c>
    </row>
    <row r="258" spans="2:5" x14ac:dyDescent="0.2">
      <c r="B258" s="30" t="s">
        <v>1001</v>
      </c>
      <c r="C258" s="34" t="s">
        <v>959</v>
      </c>
      <c r="D258" s="35" t="s">
        <v>959</v>
      </c>
      <c r="E258" s="4" t="s">
        <v>959</v>
      </c>
    </row>
    <row r="259" spans="2:5" x14ac:dyDescent="0.2">
      <c r="B259" s="30" t="s">
        <v>1002</v>
      </c>
      <c r="C259" s="34" t="s">
        <v>959</v>
      </c>
      <c r="D259" s="35" t="s">
        <v>959</v>
      </c>
      <c r="E259" s="4" t="s">
        <v>959</v>
      </c>
    </row>
    <row r="260" spans="2:5" x14ac:dyDescent="0.2">
      <c r="B260" s="30" t="s">
        <v>1003</v>
      </c>
      <c r="C260" s="34" t="s">
        <v>959</v>
      </c>
      <c r="D260" s="35" t="s">
        <v>959</v>
      </c>
      <c r="E260" s="4" t="s">
        <v>959</v>
      </c>
    </row>
    <row r="261" spans="2:5" x14ac:dyDescent="0.2">
      <c r="B261" s="30" t="s">
        <v>999</v>
      </c>
      <c r="C261" s="34" t="s">
        <v>959</v>
      </c>
      <c r="D261" s="35" t="s">
        <v>959</v>
      </c>
      <c r="E261" s="4" t="s">
        <v>959</v>
      </c>
    </row>
    <row r="262" spans="2:5" x14ac:dyDescent="0.2">
      <c r="B262" s="29" t="s">
        <v>74</v>
      </c>
      <c r="C262" s="32" t="s">
        <v>959</v>
      </c>
      <c r="D262" s="32" t="s">
        <v>959</v>
      </c>
      <c r="E262" s="36" t="s">
        <v>959</v>
      </c>
    </row>
    <row r="263" spans="2:5" x14ac:dyDescent="0.2">
      <c r="B263" s="30" t="s">
        <v>1004</v>
      </c>
      <c r="C263" s="34" t="s">
        <v>959</v>
      </c>
      <c r="D263" s="35" t="s">
        <v>959</v>
      </c>
      <c r="E263" s="4" t="s">
        <v>959</v>
      </c>
    </row>
    <row r="264" spans="2:5" x14ac:dyDescent="0.2">
      <c r="B264" s="30" t="s">
        <v>1005</v>
      </c>
      <c r="C264" s="34" t="s">
        <v>959</v>
      </c>
      <c r="D264" s="35" t="s">
        <v>959</v>
      </c>
      <c r="E264" s="4" t="s">
        <v>959</v>
      </c>
    </row>
    <row r="265" spans="2:5" x14ac:dyDescent="0.2">
      <c r="B265" s="30" t="s">
        <v>1006</v>
      </c>
      <c r="C265" s="34" t="s">
        <v>959</v>
      </c>
      <c r="D265" s="35" t="s">
        <v>959</v>
      </c>
      <c r="E265" s="4" t="s">
        <v>959</v>
      </c>
    </row>
    <row r="266" spans="2:5" x14ac:dyDescent="0.2">
      <c r="B266" s="30" t="s">
        <v>1007</v>
      </c>
      <c r="C266" s="34" t="s">
        <v>959</v>
      </c>
      <c r="D266" s="35" t="s">
        <v>959</v>
      </c>
      <c r="E266" s="4" t="s">
        <v>959</v>
      </c>
    </row>
    <row r="267" spans="2:5" x14ac:dyDescent="0.2">
      <c r="B267" s="29" t="s">
        <v>92</v>
      </c>
      <c r="C267" s="32" t="s">
        <v>959</v>
      </c>
      <c r="D267" s="32" t="s">
        <v>959</v>
      </c>
      <c r="E267" s="36" t="s">
        <v>959</v>
      </c>
    </row>
    <row r="268" spans="2:5" x14ac:dyDescent="0.2">
      <c r="B268" s="30" t="s">
        <v>1008</v>
      </c>
      <c r="C268" s="34" t="s">
        <v>959</v>
      </c>
      <c r="D268" s="35" t="s">
        <v>959</v>
      </c>
      <c r="E268" s="4" t="s">
        <v>959</v>
      </c>
    </row>
    <row r="269" spans="2:5" x14ac:dyDescent="0.2">
      <c r="B269" s="30" t="s">
        <v>1009</v>
      </c>
      <c r="C269" s="34" t="s">
        <v>959</v>
      </c>
      <c r="D269" s="35" t="s">
        <v>959</v>
      </c>
      <c r="E269" s="4" t="s">
        <v>959</v>
      </c>
    </row>
    <row r="270" spans="2:5" x14ac:dyDescent="0.2">
      <c r="B270" s="30" t="s">
        <v>1010</v>
      </c>
      <c r="C270" s="34" t="s">
        <v>959</v>
      </c>
      <c r="D270" s="35" t="s">
        <v>959</v>
      </c>
      <c r="E270" s="4" t="s">
        <v>959</v>
      </c>
    </row>
    <row r="271" spans="2:5" x14ac:dyDescent="0.2">
      <c r="B271" s="30" t="s">
        <v>1011</v>
      </c>
      <c r="C271" s="34" t="s">
        <v>959</v>
      </c>
      <c r="D271" s="35" t="s">
        <v>959</v>
      </c>
      <c r="E271" s="4" t="s">
        <v>959</v>
      </c>
    </row>
    <row r="272" spans="2:5" x14ac:dyDescent="0.2">
      <c r="B272" s="30" t="s">
        <v>1012</v>
      </c>
      <c r="C272" s="34" t="s">
        <v>959</v>
      </c>
      <c r="D272" s="35" t="s">
        <v>959</v>
      </c>
      <c r="E272" s="4" t="s">
        <v>959</v>
      </c>
    </row>
    <row r="273" spans="2:5" x14ac:dyDescent="0.2">
      <c r="B273" s="30" t="s">
        <v>1013</v>
      </c>
      <c r="C273" s="34" t="s">
        <v>959</v>
      </c>
      <c r="D273" s="35" t="s">
        <v>959</v>
      </c>
      <c r="E273" s="4" t="s">
        <v>959</v>
      </c>
    </row>
    <row r="274" spans="2:5" x14ac:dyDescent="0.2">
      <c r="B274" s="30" t="s">
        <v>1014</v>
      </c>
      <c r="C274" s="34" t="s">
        <v>959</v>
      </c>
      <c r="D274" s="35" t="s">
        <v>959</v>
      </c>
      <c r="E274" s="4" t="s">
        <v>959</v>
      </c>
    </row>
    <row r="275" spans="2:5" x14ac:dyDescent="0.2">
      <c r="B275" s="30" t="s">
        <v>1015</v>
      </c>
      <c r="C275" s="34" t="s">
        <v>959</v>
      </c>
      <c r="D275" s="35" t="s">
        <v>959</v>
      </c>
      <c r="E275" s="4" t="s">
        <v>959</v>
      </c>
    </row>
    <row r="276" spans="2:5" x14ac:dyDescent="0.2">
      <c r="B276" s="29" t="s">
        <v>79</v>
      </c>
      <c r="C276" s="32" t="s">
        <v>959</v>
      </c>
      <c r="D276" s="32" t="s">
        <v>959</v>
      </c>
      <c r="E276" s="36" t="s">
        <v>959</v>
      </c>
    </row>
    <row r="277" spans="2:5" x14ac:dyDescent="0.2">
      <c r="B277" s="30" t="s">
        <v>1016</v>
      </c>
      <c r="C277" s="34" t="s">
        <v>959</v>
      </c>
      <c r="D277" s="35" t="s">
        <v>959</v>
      </c>
      <c r="E277" s="4" t="s">
        <v>959</v>
      </c>
    </row>
    <row r="278" spans="2:5" x14ac:dyDescent="0.2">
      <c r="B278" s="30" t="s">
        <v>1017</v>
      </c>
      <c r="C278" s="34" t="s">
        <v>959</v>
      </c>
      <c r="D278" s="35" t="s">
        <v>959</v>
      </c>
      <c r="E278" s="4" t="s">
        <v>959</v>
      </c>
    </row>
    <row r="279" spans="2:5" x14ac:dyDescent="0.2">
      <c r="B279" s="30" t="s">
        <v>1018</v>
      </c>
      <c r="C279" s="34" t="s">
        <v>959</v>
      </c>
      <c r="D279" s="35" t="s">
        <v>959</v>
      </c>
      <c r="E279" s="4" t="s">
        <v>959</v>
      </c>
    </row>
    <row r="280" spans="2:5" x14ac:dyDescent="0.2">
      <c r="B280" s="30" t="s">
        <v>1019</v>
      </c>
      <c r="C280" s="34" t="s">
        <v>959</v>
      </c>
      <c r="D280" s="35" t="s">
        <v>959</v>
      </c>
      <c r="E280" s="4" t="s">
        <v>959</v>
      </c>
    </row>
    <row r="281" spans="2:5" x14ac:dyDescent="0.2">
      <c r="B281" s="30" t="s">
        <v>1020</v>
      </c>
      <c r="C281" s="34" t="s">
        <v>959</v>
      </c>
      <c r="D281" s="35" t="s">
        <v>959</v>
      </c>
      <c r="E281" s="4" t="s">
        <v>959</v>
      </c>
    </row>
    <row r="282" spans="2:5" x14ac:dyDescent="0.2">
      <c r="B282" s="30" t="s">
        <v>1021</v>
      </c>
      <c r="C282" s="34" t="s">
        <v>959</v>
      </c>
      <c r="D282" s="35" t="s">
        <v>959</v>
      </c>
      <c r="E282" s="4" t="s">
        <v>959</v>
      </c>
    </row>
    <row r="283" spans="2:5" x14ac:dyDescent="0.2">
      <c r="B283" s="30" t="s">
        <v>1022</v>
      </c>
      <c r="C283" s="34" t="s">
        <v>959</v>
      </c>
      <c r="D283" s="35" t="s">
        <v>959</v>
      </c>
      <c r="E283" s="4" t="s">
        <v>959</v>
      </c>
    </row>
    <row r="284" spans="2:5" x14ac:dyDescent="0.2">
      <c r="B284" s="30" t="s">
        <v>1023</v>
      </c>
      <c r="C284" s="34" t="s">
        <v>959</v>
      </c>
      <c r="D284" s="35" t="s">
        <v>959</v>
      </c>
      <c r="E284" s="4" t="s">
        <v>959</v>
      </c>
    </row>
    <row r="285" spans="2:5" x14ac:dyDescent="0.2">
      <c r="B285" s="29" t="s">
        <v>30</v>
      </c>
      <c r="C285" s="32" t="s">
        <v>959</v>
      </c>
      <c r="D285" s="32" t="s">
        <v>959</v>
      </c>
      <c r="E285" s="36" t="s">
        <v>959</v>
      </c>
    </row>
    <row r="286" spans="2:5" x14ac:dyDescent="0.2">
      <c r="B286" s="30" t="s">
        <v>1024</v>
      </c>
      <c r="C286" s="34" t="s">
        <v>959</v>
      </c>
      <c r="D286" s="35" t="s">
        <v>959</v>
      </c>
      <c r="E286" s="4" t="s">
        <v>959</v>
      </c>
    </row>
    <row r="287" spans="2:5" x14ac:dyDescent="0.2">
      <c r="B287" s="30" t="s">
        <v>1025</v>
      </c>
      <c r="C287" s="34" t="s">
        <v>959</v>
      </c>
      <c r="D287" s="35" t="s">
        <v>959</v>
      </c>
      <c r="E287" s="4" t="s">
        <v>959</v>
      </c>
    </row>
    <row r="288" spans="2:5" x14ac:dyDescent="0.2">
      <c r="B288" s="30" t="s">
        <v>1026</v>
      </c>
      <c r="C288" s="34" t="s">
        <v>959</v>
      </c>
      <c r="D288" s="35" t="s">
        <v>959</v>
      </c>
      <c r="E288" s="4" t="s">
        <v>959</v>
      </c>
    </row>
    <row r="289" spans="2:5" x14ac:dyDescent="0.2">
      <c r="B289" s="30" t="s">
        <v>1027</v>
      </c>
      <c r="C289" s="34" t="s">
        <v>959</v>
      </c>
      <c r="D289" s="35" t="s">
        <v>959</v>
      </c>
      <c r="E289" s="4" t="s">
        <v>959</v>
      </c>
    </row>
    <row r="290" spans="2:5" x14ac:dyDescent="0.2">
      <c r="B290" s="30" t="s">
        <v>1028</v>
      </c>
      <c r="C290" s="34" t="s">
        <v>959</v>
      </c>
      <c r="D290" s="35" t="s">
        <v>959</v>
      </c>
      <c r="E290" s="4" t="s">
        <v>959</v>
      </c>
    </row>
    <row r="291" spans="2:5" x14ac:dyDescent="0.2">
      <c r="B291" s="30" t="s">
        <v>1029</v>
      </c>
      <c r="C291" s="34" t="s">
        <v>959</v>
      </c>
      <c r="D291" s="35" t="s">
        <v>959</v>
      </c>
      <c r="E291" s="4" t="s">
        <v>959</v>
      </c>
    </row>
    <row r="292" spans="2:5" x14ac:dyDescent="0.2">
      <c r="B292" s="30" t="s">
        <v>1030</v>
      </c>
      <c r="C292" s="34" t="s">
        <v>959</v>
      </c>
      <c r="D292" s="35" t="s">
        <v>959</v>
      </c>
      <c r="E292" s="4" t="s">
        <v>959</v>
      </c>
    </row>
    <row r="293" spans="2:5" x14ac:dyDescent="0.2">
      <c r="B293" s="30" t="s">
        <v>1031</v>
      </c>
      <c r="C293" s="34" t="s">
        <v>959</v>
      </c>
      <c r="D293" s="35" t="s">
        <v>959</v>
      </c>
      <c r="E293" s="4" t="s">
        <v>959</v>
      </c>
    </row>
    <row r="294" spans="2:5" x14ac:dyDescent="0.2">
      <c r="B294" s="30" t="s">
        <v>1032</v>
      </c>
      <c r="C294" s="34" t="s">
        <v>959</v>
      </c>
      <c r="D294" s="35" t="s">
        <v>959</v>
      </c>
      <c r="E294" s="4" t="s">
        <v>959</v>
      </c>
    </row>
    <row r="295" spans="2:5" x14ac:dyDescent="0.2">
      <c r="B295" s="29" t="s">
        <v>125</v>
      </c>
      <c r="C295" s="32" t="s">
        <v>959</v>
      </c>
      <c r="D295" s="32" t="s">
        <v>959</v>
      </c>
      <c r="E295" s="36" t="s">
        <v>959</v>
      </c>
    </row>
    <row r="296" spans="2:5" x14ac:dyDescent="0.2">
      <c r="B296" s="30" t="s">
        <v>1033</v>
      </c>
      <c r="C296" s="34" t="s">
        <v>959</v>
      </c>
      <c r="D296" s="35" t="s">
        <v>959</v>
      </c>
      <c r="E296" s="4" t="s">
        <v>959</v>
      </c>
    </row>
    <row r="297" spans="2:5" x14ac:dyDescent="0.2">
      <c r="B297" s="30" t="s">
        <v>1034</v>
      </c>
      <c r="C297" s="34" t="s">
        <v>959</v>
      </c>
      <c r="D297" s="35" t="s">
        <v>959</v>
      </c>
      <c r="E297" s="4" t="s">
        <v>959</v>
      </c>
    </row>
    <row r="298" spans="2:5" x14ac:dyDescent="0.2">
      <c r="B298" s="30" t="s">
        <v>1035</v>
      </c>
      <c r="C298" s="34" t="s">
        <v>959</v>
      </c>
      <c r="D298" s="35" t="s">
        <v>959</v>
      </c>
      <c r="E298" s="4" t="s">
        <v>959</v>
      </c>
    </row>
    <row r="299" spans="2:5" x14ac:dyDescent="0.2">
      <c r="B299" s="30" t="s">
        <v>1036</v>
      </c>
      <c r="C299" s="34" t="s">
        <v>959</v>
      </c>
      <c r="D299" s="35" t="s">
        <v>959</v>
      </c>
      <c r="E299" s="4" t="s">
        <v>959</v>
      </c>
    </row>
    <row r="300" spans="2:5" x14ac:dyDescent="0.2">
      <c r="B300" s="30" t="s">
        <v>1037</v>
      </c>
      <c r="C300" s="34" t="s">
        <v>959</v>
      </c>
      <c r="D300" s="35" t="s">
        <v>959</v>
      </c>
      <c r="E300" s="4" t="s">
        <v>959</v>
      </c>
    </row>
    <row r="301" spans="2:5" x14ac:dyDescent="0.2">
      <c r="B301" s="30" t="s">
        <v>1038</v>
      </c>
      <c r="C301" s="34" t="s">
        <v>959</v>
      </c>
      <c r="D301" s="35" t="s">
        <v>959</v>
      </c>
      <c r="E301" s="4" t="s">
        <v>959</v>
      </c>
    </row>
    <row r="302" spans="2:5" x14ac:dyDescent="0.2">
      <c r="B302" s="29" t="s">
        <v>88</v>
      </c>
      <c r="C302" s="32" t="s">
        <v>959</v>
      </c>
      <c r="D302" s="32" t="s">
        <v>959</v>
      </c>
      <c r="E302" s="36" t="s">
        <v>959</v>
      </c>
    </row>
    <row r="303" spans="2:5" x14ac:dyDescent="0.2">
      <c r="B303" s="30" t="s">
        <v>1039</v>
      </c>
      <c r="C303" s="34" t="s">
        <v>959</v>
      </c>
      <c r="D303" s="35" t="s">
        <v>959</v>
      </c>
      <c r="E303" s="4" t="s">
        <v>959</v>
      </c>
    </row>
    <row r="304" spans="2:5" x14ac:dyDescent="0.2">
      <c r="B304" s="30" t="s">
        <v>1040</v>
      </c>
      <c r="C304" s="34" t="s">
        <v>959</v>
      </c>
      <c r="D304" s="35" t="s">
        <v>959</v>
      </c>
      <c r="E304" s="4" t="s">
        <v>959</v>
      </c>
    </row>
    <row r="305" spans="2:5" x14ac:dyDescent="0.2">
      <c r="B305" s="30" t="s">
        <v>1041</v>
      </c>
      <c r="C305" s="34" t="s">
        <v>959</v>
      </c>
      <c r="D305" s="35" t="s">
        <v>959</v>
      </c>
      <c r="E305" s="4" t="s">
        <v>959</v>
      </c>
    </row>
    <row r="306" spans="2:5" x14ac:dyDescent="0.2">
      <c r="B306" s="30" t="s">
        <v>1042</v>
      </c>
      <c r="C306" s="34" t="s">
        <v>959</v>
      </c>
      <c r="D306" s="35" t="s">
        <v>959</v>
      </c>
      <c r="E306" s="4" t="s">
        <v>959</v>
      </c>
    </row>
    <row r="307" spans="2:5" x14ac:dyDescent="0.2">
      <c r="B307" s="30" t="s">
        <v>1043</v>
      </c>
      <c r="C307" s="34" t="s">
        <v>959</v>
      </c>
      <c r="D307" s="35" t="s">
        <v>959</v>
      </c>
      <c r="E307" s="4" t="s">
        <v>959</v>
      </c>
    </row>
    <row r="308" spans="2:5" x14ac:dyDescent="0.2">
      <c r="B308" s="30" t="s">
        <v>1044</v>
      </c>
      <c r="C308" s="34" t="s">
        <v>959</v>
      </c>
      <c r="D308" s="35" t="s">
        <v>959</v>
      </c>
      <c r="E308" s="4" t="s">
        <v>959</v>
      </c>
    </row>
    <row r="309" spans="2:5" x14ac:dyDescent="0.2">
      <c r="B309" s="30" t="s">
        <v>1045</v>
      </c>
      <c r="C309" s="34" t="s">
        <v>959</v>
      </c>
      <c r="D309" s="35" t="s">
        <v>959</v>
      </c>
      <c r="E309" s="4" t="s">
        <v>959</v>
      </c>
    </row>
    <row r="310" spans="2:5" x14ac:dyDescent="0.2">
      <c r="B310" s="29" t="s">
        <v>91</v>
      </c>
      <c r="C310" s="32" t="s">
        <v>959</v>
      </c>
      <c r="D310" s="32" t="s">
        <v>959</v>
      </c>
      <c r="E310" s="36" t="s">
        <v>959</v>
      </c>
    </row>
    <row r="311" spans="2:5" x14ac:dyDescent="0.2">
      <c r="B311" s="30" t="s">
        <v>1046</v>
      </c>
      <c r="C311" s="34" t="s">
        <v>959</v>
      </c>
      <c r="D311" s="35" t="s">
        <v>959</v>
      </c>
      <c r="E311" s="4" t="s">
        <v>959</v>
      </c>
    </row>
    <row r="312" spans="2:5" x14ac:dyDescent="0.2">
      <c r="B312" s="30" t="s">
        <v>1047</v>
      </c>
      <c r="C312" s="34" t="s">
        <v>959</v>
      </c>
      <c r="D312" s="35" t="s">
        <v>959</v>
      </c>
      <c r="E312" s="4" t="s">
        <v>959</v>
      </c>
    </row>
    <row r="313" spans="2:5" x14ac:dyDescent="0.2">
      <c r="B313" s="30" t="s">
        <v>1048</v>
      </c>
      <c r="C313" s="34" t="s">
        <v>959</v>
      </c>
      <c r="D313" s="35" t="s">
        <v>959</v>
      </c>
      <c r="E313" s="4" t="s">
        <v>959</v>
      </c>
    </row>
    <row r="314" spans="2:5" x14ac:dyDescent="0.2">
      <c r="B314" s="30" t="s">
        <v>1049</v>
      </c>
      <c r="C314" s="34" t="s">
        <v>959</v>
      </c>
      <c r="D314" s="35" t="s">
        <v>959</v>
      </c>
      <c r="E314" s="4" t="s">
        <v>959</v>
      </c>
    </row>
    <row r="315" spans="2:5" x14ac:dyDescent="0.2">
      <c r="B315" s="30" t="s">
        <v>1050</v>
      </c>
      <c r="C315" s="34" t="s">
        <v>959</v>
      </c>
      <c r="D315" s="35" t="s">
        <v>959</v>
      </c>
      <c r="E315" s="4" t="s">
        <v>959</v>
      </c>
    </row>
    <row r="316" spans="2:5" x14ac:dyDescent="0.2">
      <c r="B316" s="30" t="s">
        <v>1051</v>
      </c>
      <c r="C316" s="34" t="s">
        <v>959</v>
      </c>
      <c r="D316" s="35" t="s">
        <v>959</v>
      </c>
      <c r="E316" s="4" t="s">
        <v>959</v>
      </c>
    </row>
    <row r="317" spans="2:5" x14ac:dyDescent="0.2">
      <c r="B317" s="29" t="s">
        <v>16</v>
      </c>
      <c r="C317" s="32" t="s">
        <v>959</v>
      </c>
      <c r="D317" s="32" t="s">
        <v>959</v>
      </c>
      <c r="E317" s="36" t="s">
        <v>959</v>
      </c>
    </row>
    <row r="318" spans="2:5" x14ac:dyDescent="0.2">
      <c r="B318" s="30" t="s">
        <v>1052</v>
      </c>
      <c r="C318" s="34" t="s">
        <v>959</v>
      </c>
      <c r="D318" s="35" t="s">
        <v>959</v>
      </c>
      <c r="E318" s="4" t="s">
        <v>959</v>
      </c>
    </row>
    <row r="319" spans="2:5" x14ac:dyDescent="0.2">
      <c r="B319" s="30" t="s">
        <v>1053</v>
      </c>
      <c r="C319" s="34" t="s">
        <v>959</v>
      </c>
      <c r="D319" s="35" t="s">
        <v>959</v>
      </c>
      <c r="E319" s="4" t="s">
        <v>959</v>
      </c>
    </row>
    <row r="320" spans="2:5" x14ac:dyDescent="0.2">
      <c r="B320" s="30" t="s">
        <v>1054</v>
      </c>
      <c r="C320" s="34" t="s">
        <v>959</v>
      </c>
      <c r="D320" s="35" t="s">
        <v>959</v>
      </c>
      <c r="E320" s="4" t="s">
        <v>959</v>
      </c>
    </row>
    <row r="321" spans="2:5" x14ac:dyDescent="0.2">
      <c r="B321" s="30" t="s">
        <v>1055</v>
      </c>
      <c r="C321" s="34" t="s">
        <v>959</v>
      </c>
      <c r="D321" s="35" t="s">
        <v>959</v>
      </c>
      <c r="E321" s="4" t="s">
        <v>959</v>
      </c>
    </row>
    <row r="322" spans="2:5" x14ac:dyDescent="0.2">
      <c r="B322" s="30" t="s">
        <v>1056</v>
      </c>
      <c r="C322" s="34" t="s">
        <v>959</v>
      </c>
      <c r="D322" s="35" t="s">
        <v>959</v>
      </c>
      <c r="E322" s="4" t="s">
        <v>959</v>
      </c>
    </row>
    <row r="323" spans="2:5" x14ac:dyDescent="0.2">
      <c r="B323" s="30" t="s">
        <v>1057</v>
      </c>
      <c r="C323" s="34" t="s">
        <v>959</v>
      </c>
      <c r="D323" s="35" t="s">
        <v>959</v>
      </c>
      <c r="E323" s="4" t="s">
        <v>959</v>
      </c>
    </row>
    <row r="324" spans="2:5" x14ac:dyDescent="0.2">
      <c r="B324" s="29" t="s">
        <v>53</v>
      </c>
      <c r="C324" s="32" t="s">
        <v>959</v>
      </c>
      <c r="D324" s="32" t="s">
        <v>959</v>
      </c>
      <c r="E324" s="36" t="s">
        <v>959</v>
      </c>
    </row>
    <row r="325" spans="2:5" x14ac:dyDescent="0.2">
      <c r="B325" s="30" t="s">
        <v>1058</v>
      </c>
      <c r="C325" s="34" t="s">
        <v>959</v>
      </c>
      <c r="D325" s="35" t="s">
        <v>959</v>
      </c>
      <c r="E325" s="4" t="s">
        <v>959</v>
      </c>
    </row>
    <row r="326" spans="2:5" x14ac:dyDescent="0.2">
      <c r="B326" s="30" t="s">
        <v>1059</v>
      </c>
      <c r="C326" s="34" t="s">
        <v>959</v>
      </c>
      <c r="D326" s="35" t="s">
        <v>959</v>
      </c>
      <c r="E326" s="4" t="s">
        <v>959</v>
      </c>
    </row>
    <row r="327" spans="2:5" x14ac:dyDescent="0.2">
      <c r="B327" s="30" t="s">
        <v>1060</v>
      </c>
      <c r="C327" s="34" t="s">
        <v>959</v>
      </c>
      <c r="D327" s="35" t="s">
        <v>959</v>
      </c>
      <c r="E327" s="4" t="s">
        <v>959</v>
      </c>
    </row>
    <row r="328" spans="2:5" x14ac:dyDescent="0.2">
      <c r="B328" s="30" t="s">
        <v>1061</v>
      </c>
      <c r="C328" s="34" t="s">
        <v>959</v>
      </c>
      <c r="D328" s="35" t="s">
        <v>959</v>
      </c>
      <c r="E328" s="4" t="s">
        <v>959</v>
      </c>
    </row>
    <row r="329" spans="2:5" x14ac:dyDescent="0.2">
      <c r="B329" s="30" t="s">
        <v>1062</v>
      </c>
      <c r="C329" s="34" t="s">
        <v>959</v>
      </c>
      <c r="D329" s="35" t="s">
        <v>959</v>
      </c>
      <c r="E329" s="4" t="s">
        <v>959</v>
      </c>
    </row>
    <row r="330" spans="2:5" x14ac:dyDescent="0.2">
      <c r="B330" s="30" t="s">
        <v>1063</v>
      </c>
      <c r="C330" s="34" t="s">
        <v>959</v>
      </c>
      <c r="D330" s="35" t="s">
        <v>959</v>
      </c>
      <c r="E330" s="4" t="s">
        <v>959</v>
      </c>
    </row>
    <row r="331" spans="2:5" x14ac:dyDescent="0.2">
      <c r="B331" s="30" t="s">
        <v>1064</v>
      </c>
      <c r="C331" s="34" t="s">
        <v>959</v>
      </c>
      <c r="D331" s="35" t="s">
        <v>959</v>
      </c>
      <c r="E331" s="4" t="s">
        <v>959</v>
      </c>
    </row>
    <row r="332" spans="2:5" x14ac:dyDescent="0.2">
      <c r="B332" s="30" t="s">
        <v>1065</v>
      </c>
      <c r="C332" s="34" t="s">
        <v>959</v>
      </c>
      <c r="D332" s="35" t="s">
        <v>959</v>
      </c>
      <c r="E332" s="4" t="s">
        <v>959</v>
      </c>
    </row>
    <row r="333" spans="2:5" x14ac:dyDescent="0.2">
      <c r="B333" s="30" t="s">
        <v>1066</v>
      </c>
      <c r="C333" s="34" t="s">
        <v>959</v>
      </c>
      <c r="D333" s="35" t="s">
        <v>959</v>
      </c>
      <c r="E333" s="4" t="s">
        <v>959</v>
      </c>
    </row>
    <row r="334" spans="2:5" x14ac:dyDescent="0.2">
      <c r="B334" s="29" t="s">
        <v>35</v>
      </c>
      <c r="C334" s="32" t="s">
        <v>959</v>
      </c>
      <c r="D334" s="32" t="s">
        <v>959</v>
      </c>
      <c r="E334" s="36" t="s">
        <v>959</v>
      </c>
    </row>
    <row r="335" spans="2:5" x14ac:dyDescent="0.2">
      <c r="B335" s="30" t="s">
        <v>1067</v>
      </c>
      <c r="C335" s="34" t="s">
        <v>959</v>
      </c>
      <c r="D335" s="35" t="s">
        <v>959</v>
      </c>
      <c r="E335" s="4" t="s">
        <v>959</v>
      </c>
    </row>
    <row r="336" spans="2:5" x14ac:dyDescent="0.2">
      <c r="B336" s="30" t="s">
        <v>1068</v>
      </c>
      <c r="C336" s="34" t="s">
        <v>959</v>
      </c>
      <c r="D336" s="35" t="s">
        <v>959</v>
      </c>
      <c r="E336" s="4" t="s">
        <v>959</v>
      </c>
    </row>
    <row r="337" spans="2:5" x14ac:dyDescent="0.2">
      <c r="B337" s="30" t="s">
        <v>1069</v>
      </c>
      <c r="C337" s="34" t="s">
        <v>959</v>
      </c>
      <c r="D337" s="35" t="s">
        <v>959</v>
      </c>
      <c r="E337" s="4" t="s">
        <v>959</v>
      </c>
    </row>
    <row r="338" spans="2:5" x14ac:dyDescent="0.2">
      <c r="B338" s="30" t="s">
        <v>1070</v>
      </c>
      <c r="C338" s="34" t="s">
        <v>959</v>
      </c>
      <c r="D338" s="35" t="s">
        <v>959</v>
      </c>
      <c r="E338" s="4" t="s">
        <v>959</v>
      </c>
    </row>
    <row r="339" spans="2:5" x14ac:dyDescent="0.2">
      <c r="B339" s="30" t="s">
        <v>1071</v>
      </c>
      <c r="C339" s="34" t="s">
        <v>959</v>
      </c>
      <c r="D339" s="35" t="s">
        <v>959</v>
      </c>
      <c r="E339" s="4" t="s">
        <v>959</v>
      </c>
    </row>
    <row r="340" spans="2:5" x14ac:dyDescent="0.2">
      <c r="B340" s="30" t="s">
        <v>1072</v>
      </c>
      <c r="C340" s="34" t="s">
        <v>959</v>
      </c>
      <c r="D340" s="35" t="s">
        <v>959</v>
      </c>
      <c r="E340" s="4" t="s">
        <v>959</v>
      </c>
    </row>
    <row r="341" spans="2:5" x14ac:dyDescent="0.2">
      <c r="B341" s="30" t="s">
        <v>1073</v>
      </c>
      <c r="C341" s="34" t="s">
        <v>959</v>
      </c>
      <c r="D341" s="35" t="s">
        <v>959</v>
      </c>
      <c r="E341" s="4" t="s">
        <v>959</v>
      </c>
    </row>
    <row r="342" spans="2:5" x14ac:dyDescent="0.2">
      <c r="B342" s="29" t="s">
        <v>19</v>
      </c>
      <c r="C342" s="32" t="s">
        <v>959</v>
      </c>
      <c r="D342" s="32" t="s">
        <v>959</v>
      </c>
      <c r="E342" s="36" t="s">
        <v>959</v>
      </c>
    </row>
    <row r="343" spans="2:5" x14ac:dyDescent="0.2">
      <c r="B343" s="30" t="s">
        <v>1074</v>
      </c>
      <c r="C343" s="34" t="s">
        <v>959</v>
      </c>
      <c r="D343" s="35" t="s">
        <v>959</v>
      </c>
      <c r="E343" s="4" t="s">
        <v>959</v>
      </c>
    </row>
    <row r="344" spans="2:5" x14ac:dyDescent="0.2">
      <c r="B344" s="30" t="s">
        <v>1075</v>
      </c>
      <c r="C344" s="34" t="s">
        <v>959</v>
      </c>
      <c r="D344" s="35" t="s">
        <v>959</v>
      </c>
      <c r="E344" s="4" t="s">
        <v>959</v>
      </c>
    </row>
    <row r="345" spans="2:5" x14ac:dyDescent="0.2">
      <c r="B345" s="30" t="s">
        <v>1076</v>
      </c>
      <c r="C345" s="34" t="s">
        <v>959</v>
      </c>
      <c r="D345" s="35" t="s">
        <v>959</v>
      </c>
      <c r="E345" s="4" t="s">
        <v>959</v>
      </c>
    </row>
    <row r="346" spans="2:5" x14ac:dyDescent="0.2">
      <c r="B346" s="30" t="s">
        <v>1077</v>
      </c>
      <c r="C346" s="34" t="s">
        <v>959</v>
      </c>
      <c r="D346" s="35" t="s">
        <v>959</v>
      </c>
      <c r="E346" s="4" t="s">
        <v>959</v>
      </c>
    </row>
    <row r="347" spans="2:5" x14ac:dyDescent="0.2">
      <c r="B347" s="30" t="s">
        <v>1078</v>
      </c>
      <c r="C347" s="34" t="s">
        <v>959</v>
      </c>
      <c r="D347" s="35" t="s">
        <v>959</v>
      </c>
      <c r="E347" s="4" t="s">
        <v>959</v>
      </c>
    </row>
    <row r="348" spans="2:5" x14ac:dyDescent="0.2">
      <c r="B348" s="30" t="s">
        <v>1079</v>
      </c>
      <c r="C348" s="34" t="s">
        <v>959</v>
      </c>
      <c r="D348" s="35" t="s">
        <v>959</v>
      </c>
      <c r="E348" s="4" t="s">
        <v>959</v>
      </c>
    </row>
    <row r="349" spans="2:5" x14ac:dyDescent="0.2">
      <c r="B349" s="30" t="s">
        <v>1080</v>
      </c>
      <c r="C349" s="34" t="s">
        <v>959</v>
      </c>
      <c r="D349" s="35" t="s">
        <v>959</v>
      </c>
      <c r="E349" s="4" t="s">
        <v>959</v>
      </c>
    </row>
    <row r="350" spans="2:5" x14ac:dyDescent="0.2">
      <c r="B350" s="30" t="s">
        <v>1081</v>
      </c>
      <c r="C350" s="34" t="s">
        <v>959</v>
      </c>
      <c r="D350" s="35" t="s">
        <v>959</v>
      </c>
      <c r="E350" s="4" t="s">
        <v>959</v>
      </c>
    </row>
    <row r="351" spans="2:5" x14ac:dyDescent="0.2">
      <c r="B351" s="30" t="s">
        <v>1082</v>
      </c>
      <c r="C351" s="34" t="s">
        <v>959</v>
      </c>
      <c r="D351" s="35" t="s">
        <v>959</v>
      </c>
      <c r="E351" s="4" t="s">
        <v>959</v>
      </c>
    </row>
    <row r="352" spans="2:5" x14ac:dyDescent="0.2">
      <c r="B352" s="30" t="s">
        <v>1083</v>
      </c>
      <c r="C352" s="34" t="s">
        <v>959</v>
      </c>
      <c r="D352" s="35" t="s">
        <v>959</v>
      </c>
      <c r="E352" s="4" t="s">
        <v>959</v>
      </c>
    </row>
    <row r="353" spans="2:5" x14ac:dyDescent="0.2">
      <c r="B353" s="29" t="s">
        <v>56</v>
      </c>
      <c r="C353" s="32" t="s">
        <v>959</v>
      </c>
      <c r="D353" s="32" t="s">
        <v>959</v>
      </c>
      <c r="E353" s="36" t="s">
        <v>959</v>
      </c>
    </row>
    <row r="354" spans="2:5" x14ac:dyDescent="0.2">
      <c r="B354" s="30" t="s">
        <v>1084</v>
      </c>
      <c r="C354" s="34" t="s">
        <v>959</v>
      </c>
      <c r="D354" s="35" t="s">
        <v>959</v>
      </c>
      <c r="E354" s="4" t="s">
        <v>959</v>
      </c>
    </row>
    <row r="355" spans="2:5" x14ac:dyDescent="0.2">
      <c r="B355" s="30" t="s">
        <v>1085</v>
      </c>
      <c r="C355" s="34" t="s">
        <v>959</v>
      </c>
      <c r="D355" s="35" t="s">
        <v>959</v>
      </c>
      <c r="E355" s="4" t="s">
        <v>959</v>
      </c>
    </row>
    <row r="356" spans="2:5" x14ac:dyDescent="0.2">
      <c r="B356" s="30" t="s">
        <v>1086</v>
      </c>
      <c r="C356" s="34" t="s">
        <v>959</v>
      </c>
      <c r="D356" s="35" t="s">
        <v>959</v>
      </c>
      <c r="E356" s="4" t="s">
        <v>959</v>
      </c>
    </row>
    <row r="357" spans="2:5" x14ac:dyDescent="0.2">
      <c r="B357" s="30" t="s">
        <v>1087</v>
      </c>
      <c r="C357" s="34" t="s">
        <v>959</v>
      </c>
      <c r="D357" s="35" t="s">
        <v>959</v>
      </c>
      <c r="E357" s="4" t="s">
        <v>959</v>
      </c>
    </row>
    <row r="358" spans="2:5" x14ac:dyDescent="0.2">
      <c r="B358" s="30" t="s">
        <v>1088</v>
      </c>
      <c r="C358" s="34" t="s">
        <v>959</v>
      </c>
      <c r="D358" s="35" t="s">
        <v>959</v>
      </c>
      <c r="E358" s="4" t="s">
        <v>959</v>
      </c>
    </row>
    <row r="359" spans="2:5" x14ac:dyDescent="0.2">
      <c r="B359" s="30" t="s">
        <v>1089</v>
      </c>
      <c r="C359" s="34" t="s">
        <v>959</v>
      </c>
      <c r="D359" s="35" t="s">
        <v>959</v>
      </c>
      <c r="E359" s="4" t="s">
        <v>959</v>
      </c>
    </row>
    <row r="360" spans="2:5" x14ac:dyDescent="0.2">
      <c r="B360" s="30" t="s">
        <v>1090</v>
      </c>
      <c r="C360" s="34" t="s">
        <v>959</v>
      </c>
      <c r="D360" s="35" t="s">
        <v>959</v>
      </c>
      <c r="E360" s="4" t="s">
        <v>959</v>
      </c>
    </row>
    <row r="361" spans="2:5" x14ac:dyDescent="0.2">
      <c r="B361" s="30" t="s">
        <v>1091</v>
      </c>
      <c r="C361" s="34" t="s">
        <v>959</v>
      </c>
      <c r="D361" s="35" t="s">
        <v>959</v>
      </c>
      <c r="E361" s="4" t="s">
        <v>959</v>
      </c>
    </row>
    <row r="362" spans="2:5" x14ac:dyDescent="0.2">
      <c r="B362" s="30" t="s">
        <v>1092</v>
      </c>
      <c r="C362" s="34" t="s">
        <v>959</v>
      </c>
      <c r="D362" s="35" t="s">
        <v>959</v>
      </c>
      <c r="E362" s="4" t="s">
        <v>959</v>
      </c>
    </row>
    <row r="363" spans="2:5" x14ac:dyDescent="0.2">
      <c r="B363" s="29" t="s">
        <v>77</v>
      </c>
      <c r="C363" s="32" t="s">
        <v>959</v>
      </c>
      <c r="D363" s="32" t="s">
        <v>959</v>
      </c>
      <c r="E363" s="36" t="s">
        <v>959</v>
      </c>
    </row>
    <row r="364" spans="2:5" x14ac:dyDescent="0.2">
      <c r="B364" s="30" t="s">
        <v>1018</v>
      </c>
      <c r="C364" s="34" t="s">
        <v>959</v>
      </c>
      <c r="D364" s="35" t="s">
        <v>959</v>
      </c>
      <c r="E364" s="4" t="s">
        <v>959</v>
      </c>
    </row>
    <row r="365" spans="2:5" x14ac:dyDescent="0.2">
      <c r="B365" s="30" t="s">
        <v>1093</v>
      </c>
      <c r="C365" s="34" t="s">
        <v>959</v>
      </c>
      <c r="D365" s="35" t="s">
        <v>959</v>
      </c>
      <c r="E365" s="4" t="s">
        <v>959</v>
      </c>
    </row>
    <row r="366" spans="2:5" x14ac:dyDescent="0.2">
      <c r="B366" s="30" t="s">
        <v>1094</v>
      </c>
      <c r="C366" s="34" t="s">
        <v>959</v>
      </c>
      <c r="D366" s="35" t="s">
        <v>959</v>
      </c>
      <c r="E366" s="4" t="s">
        <v>959</v>
      </c>
    </row>
    <row r="367" spans="2:5" x14ac:dyDescent="0.2">
      <c r="B367" s="30" t="s">
        <v>1095</v>
      </c>
      <c r="C367" s="34" t="s">
        <v>959</v>
      </c>
      <c r="D367" s="35" t="s">
        <v>959</v>
      </c>
      <c r="E367" s="4" t="s">
        <v>959</v>
      </c>
    </row>
    <row r="368" spans="2:5" x14ac:dyDescent="0.2">
      <c r="B368" s="30" t="s">
        <v>1096</v>
      </c>
      <c r="C368" s="34" t="s">
        <v>959</v>
      </c>
      <c r="D368" s="35" t="s">
        <v>959</v>
      </c>
      <c r="E368" s="4" t="s">
        <v>959</v>
      </c>
    </row>
    <row r="369" spans="2:5" x14ac:dyDescent="0.2">
      <c r="B369" s="30" t="s">
        <v>1097</v>
      </c>
      <c r="C369" s="34" t="s">
        <v>959</v>
      </c>
      <c r="D369" s="35" t="s">
        <v>959</v>
      </c>
      <c r="E369" s="4" t="s">
        <v>959</v>
      </c>
    </row>
    <row r="370" spans="2:5" x14ac:dyDescent="0.2">
      <c r="B370" s="30" t="s">
        <v>999</v>
      </c>
      <c r="C370" s="34" t="s">
        <v>959</v>
      </c>
      <c r="D370" s="35" t="s">
        <v>959</v>
      </c>
      <c r="E370" s="4" t="s">
        <v>959</v>
      </c>
    </row>
    <row r="371" spans="2:5" x14ac:dyDescent="0.2">
      <c r="B371" s="29" t="s">
        <v>12</v>
      </c>
      <c r="C371" s="32" t="s">
        <v>959</v>
      </c>
      <c r="D371" s="32" t="s">
        <v>959</v>
      </c>
      <c r="E371" s="36" t="s">
        <v>959</v>
      </c>
    </row>
    <row r="372" spans="2:5" x14ac:dyDescent="0.2">
      <c r="B372" s="30" t="s">
        <v>1098</v>
      </c>
      <c r="C372" s="34" t="s">
        <v>959</v>
      </c>
      <c r="D372" s="35" t="s">
        <v>959</v>
      </c>
      <c r="E372" s="4" t="s">
        <v>959</v>
      </c>
    </row>
    <row r="373" spans="2:5" x14ac:dyDescent="0.2">
      <c r="B373" s="30" t="s">
        <v>1099</v>
      </c>
      <c r="C373" s="34" t="s">
        <v>959</v>
      </c>
      <c r="D373" s="35" t="s">
        <v>959</v>
      </c>
      <c r="E373" s="4" t="s">
        <v>959</v>
      </c>
    </row>
    <row r="374" spans="2:5" x14ac:dyDescent="0.2">
      <c r="B374" s="30" t="s">
        <v>1100</v>
      </c>
      <c r="C374" s="34" t="s">
        <v>959</v>
      </c>
      <c r="D374" s="35" t="s">
        <v>959</v>
      </c>
      <c r="E374" s="4" t="s">
        <v>959</v>
      </c>
    </row>
    <row r="375" spans="2:5" x14ac:dyDescent="0.2">
      <c r="B375" s="30" t="s">
        <v>1101</v>
      </c>
      <c r="C375" s="34" t="s">
        <v>959</v>
      </c>
      <c r="D375" s="35" t="s">
        <v>959</v>
      </c>
      <c r="E375" s="4" t="s">
        <v>959</v>
      </c>
    </row>
    <row r="376" spans="2:5" x14ac:dyDescent="0.2">
      <c r="B376" s="30" t="s">
        <v>1020</v>
      </c>
      <c r="C376" s="34" t="s">
        <v>959</v>
      </c>
      <c r="D376" s="35" t="s">
        <v>959</v>
      </c>
      <c r="E376" s="4" t="s">
        <v>959</v>
      </c>
    </row>
    <row r="377" spans="2:5" x14ac:dyDescent="0.2">
      <c r="B377" s="30" t="s">
        <v>1022</v>
      </c>
      <c r="C377" s="34" t="s">
        <v>959</v>
      </c>
      <c r="D377" s="35" t="s">
        <v>959</v>
      </c>
      <c r="E377" s="4" t="s">
        <v>959</v>
      </c>
    </row>
    <row r="378" spans="2:5" x14ac:dyDescent="0.2">
      <c r="B378" s="30" t="s">
        <v>1102</v>
      </c>
      <c r="C378" s="34" t="s">
        <v>959</v>
      </c>
      <c r="D378" s="35" t="s">
        <v>959</v>
      </c>
      <c r="E378" s="4" t="s">
        <v>959</v>
      </c>
    </row>
    <row r="379" spans="2:5" x14ac:dyDescent="0.2">
      <c r="B379" s="29" t="s">
        <v>59</v>
      </c>
      <c r="C379" s="32" t="s">
        <v>959</v>
      </c>
      <c r="D379" s="32" t="s">
        <v>959</v>
      </c>
      <c r="E379" s="36" t="s">
        <v>959</v>
      </c>
    </row>
    <row r="380" spans="2:5" x14ac:dyDescent="0.2">
      <c r="B380" s="30" t="s">
        <v>1103</v>
      </c>
      <c r="C380" s="34" t="s">
        <v>959</v>
      </c>
      <c r="D380" s="35" t="s">
        <v>959</v>
      </c>
      <c r="E380" s="4" t="s">
        <v>959</v>
      </c>
    </row>
    <row r="381" spans="2:5" x14ac:dyDescent="0.2">
      <c r="B381" s="30" t="s">
        <v>1104</v>
      </c>
      <c r="C381" s="34" t="s">
        <v>959</v>
      </c>
      <c r="D381" s="35" t="s">
        <v>959</v>
      </c>
      <c r="E381" s="4" t="s">
        <v>959</v>
      </c>
    </row>
    <row r="382" spans="2:5" x14ac:dyDescent="0.2">
      <c r="B382" s="30" t="s">
        <v>1105</v>
      </c>
      <c r="C382" s="34" t="s">
        <v>959</v>
      </c>
      <c r="D382" s="35" t="s">
        <v>959</v>
      </c>
      <c r="E382" s="4" t="s">
        <v>959</v>
      </c>
    </row>
    <row r="383" spans="2:5" x14ac:dyDescent="0.2">
      <c r="B383" s="30" t="s">
        <v>1106</v>
      </c>
      <c r="C383" s="34" t="s">
        <v>959</v>
      </c>
      <c r="D383" s="35" t="s">
        <v>959</v>
      </c>
      <c r="E383" s="4" t="s">
        <v>959</v>
      </c>
    </row>
    <row r="384" spans="2:5" x14ac:dyDescent="0.2">
      <c r="B384" s="30" t="s">
        <v>1107</v>
      </c>
      <c r="C384" s="34" t="s">
        <v>959</v>
      </c>
      <c r="D384" s="35" t="s">
        <v>959</v>
      </c>
      <c r="E384" s="4" t="s">
        <v>959</v>
      </c>
    </row>
    <row r="385" spans="2:5" x14ac:dyDescent="0.2">
      <c r="B385" s="29" t="s">
        <v>129</v>
      </c>
      <c r="C385" s="32" t="s">
        <v>959</v>
      </c>
      <c r="D385" s="32" t="s">
        <v>959</v>
      </c>
      <c r="E385" s="36" t="s">
        <v>959</v>
      </c>
    </row>
    <row r="386" spans="2:5" x14ac:dyDescent="0.2">
      <c r="B386" s="30" t="s">
        <v>1108</v>
      </c>
      <c r="C386" s="34" t="s">
        <v>959</v>
      </c>
      <c r="D386" s="35" t="s">
        <v>959</v>
      </c>
      <c r="E386" s="4" t="s">
        <v>959</v>
      </c>
    </row>
    <row r="387" spans="2:5" x14ac:dyDescent="0.2">
      <c r="B387" s="30" t="s">
        <v>1109</v>
      </c>
      <c r="C387" s="34" t="s">
        <v>959</v>
      </c>
      <c r="D387" s="35" t="s">
        <v>959</v>
      </c>
      <c r="E387" s="4" t="s">
        <v>959</v>
      </c>
    </row>
    <row r="388" spans="2:5" x14ac:dyDescent="0.2">
      <c r="B388" s="30" t="s">
        <v>1110</v>
      </c>
      <c r="C388" s="34" t="s">
        <v>959</v>
      </c>
      <c r="D388" s="35" t="s">
        <v>959</v>
      </c>
      <c r="E388" s="4" t="s">
        <v>959</v>
      </c>
    </row>
    <row r="389" spans="2:5" x14ac:dyDescent="0.2">
      <c r="B389" s="30" t="s">
        <v>1111</v>
      </c>
      <c r="C389" s="34" t="s">
        <v>959</v>
      </c>
      <c r="D389" s="35" t="s">
        <v>959</v>
      </c>
      <c r="E389" s="4" t="s">
        <v>959</v>
      </c>
    </row>
    <row r="390" spans="2:5" x14ac:dyDescent="0.2">
      <c r="B390" s="29" t="s">
        <v>110</v>
      </c>
      <c r="C390" s="32" t="s">
        <v>959</v>
      </c>
      <c r="D390" s="32" t="s">
        <v>959</v>
      </c>
      <c r="E390" s="36" t="s">
        <v>959</v>
      </c>
    </row>
    <row r="391" spans="2:5" x14ac:dyDescent="0.2">
      <c r="B391" s="30" t="s">
        <v>1112</v>
      </c>
      <c r="C391" s="34" t="s">
        <v>959</v>
      </c>
      <c r="D391" s="35" t="s">
        <v>959</v>
      </c>
      <c r="E391" s="4" t="s">
        <v>959</v>
      </c>
    </row>
    <row r="392" spans="2:5" x14ac:dyDescent="0.2">
      <c r="B392" s="30" t="s">
        <v>1113</v>
      </c>
      <c r="C392" s="34" t="s">
        <v>959</v>
      </c>
      <c r="D392" s="35" t="s">
        <v>959</v>
      </c>
      <c r="E392" s="4" t="s">
        <v>959</v>
      </c>
    </row>
    <row r="393" spans="2:5" x14ac:dyDescent="0.2">
      <c r="B393" s="30" t="s">
        <v>1114</v>
      </c>
      <c r="C393" s="34" t="s">
        <v>959</v>
      </c>
      <c r="D393" s="35" t="s">
        <v>959</v>
      </c>
      <c r="E393" s="4" t="s">
        <v>959</v>
      </c>
    </row>
    <row r="394" spans="2:5" x14ac:dyDescent="0.2">
      <c r="B394" s="30" t="s">
        <v>1115</v>
      </c>
      <c r="C394" s="34" t="s">
        <v>959</v>
      </c>
      <c r="D394" s="35" t="s">
        <v>959</v>
      </c>
      <c r="E394" s="4" t="s">
        <v>959</v>
      </c>
    </row>
    <row r="395" spans="2:5" x14ac:dyDescent="0.2">
      <c r="B395" s="30" t="s">
        <v>1116</v>
      </c>
      <c r="C395" s="34" t="s">
        <v>959</v>
      </c>
      <c r="D395" s="35" t="s">
        <v>959</v>
      </c>
      <c r="E395" s="4" t="s">
        <v>959</v>
      </c>
    </row>
    <row r="396" spans="2:5" x14ac:dyDescent="0.2">
      <c r="B396" s="30" t="s">
        <v>1117</v>
      </c>
      <c r="C396" s="34" t="s">
        <v>959</v>
      </c>
      <c r="D396" s="35" t="s">
        <v>959</v>
      </c>
      <c r="E396" s="4" t="s">
        <v>959</v>
      </c>
    </row>
    <row r="397" spans="2:5" x14ac:dyDescent="0.2">
      <c r="B397" s="29" t="s">
        <v>50</v>
      </c>
      <c r="C397" s="32" t="s">
        <v>959</v>
      </c>
      <c r="D397" s="32" t="s">
        <v>959</v>
      </c>
      <c r="E397" s="36" t="s">
        <v>959</v>
      </c>
    </row>
    <row r="398" spans="2:5" x14ac:dyDescent="0.2">
      <c r="B398" s="30" t="s">
        <v>1118</v>
      </c>
      <c r="C398" s="34" t="s">
        <v>959</v>
      </c>
      <c r="D398" s="35" t="s">
        <v>959</v>
      </c>
      <c r="E398" s="4" t="s">
        <v>959</v>
      </c>
    </row>
    <row r="399" spans="2:5" x14ac:dyDescent="0.2">
      <c r="B399" s="30" t="s">
        <v>1119</v>
      </c>
      <c r="C399" s="34" t="s">
        <v>959</v>
      </c>
      <c r="D399" s="35" t="s">
        <v>959</v>
      </c>
      <c r="E399" s="4" t="s">
        <v>959</v>
      </c>
    </row>
    <row r="400" spans="2:5" x14ac:dyDescent="0.2">
      <c r="B400" s="30" t="s">
        <v>1120</v>
      </c>
      <c r="C400" s="34" t="s">
        <v>959</v>
      </c>
      <c r="D400" s="35" t="s">
        <v>959</v>
      </c>
      <c r="E400" s="4" t="s">
        <v>959</v>
      </c>
    </row>
    <row r="401" spans="2:5" x14ac:dyDescent="0.2">
      <c r="B401" s="30" t="s">
        <v>1121</v>
      </c>
      <c r="C401" s="34" t="s">
        <v>959</v>
      </c>
      <c r="D401" s="35" t="s">
        <v>959</v>
      </c>
      <c r="E401" s="4" t="s">
        <v>959</v>
      </c>
    </row>
    <row r="402" spans="2:5" x14ac:dyDescent="0.2">
      <c r="B402" s="30" t="s">
        <v>1122</v>
      </c>
      <c r="C402" s="34" t="s">
        <v>959</v>
      </c>
      <c r="D402" s="35" t="s">
        <v>959</v>
      </c>
      <c r="E402" s="4" t="s">
        <v>959</v>
      </c>
    </row>
    <row r="403" spans="2:5" x14ac:dyDescent="0.2">
      <c r="B403" s="30" t="s">
        <v>1123</v>
      </c>
      <c r="C403" s="34" t="s">
        <v>959</v>
      </c>
      <c r="D403" s="35" t="s">
        <v>959</v>
      </c>
      <c r="E403" s="4" t="s">
        <v>959</v>
      </c>
    </row>
    <row r="404" spans="2:5" x14ac:dyDescent="0.2">
      <c r="B404" s="30" t="s">
        <v>1124</v>
      </c>
      <c r="C404" s="34" t="s">
        <v>959</v>
      </c>
      <c r="D404" s="35" t="s">
        <v>959</v>
      </c>
      <c r="E404" s="4" t="s">
        <v>959</v>
      </c>
    </row>
    <row r="405" spans="2:5" x14ac:dyDescent="0.2">
      <c r="B405" s="30" t="s">
        <v>1125</v>
      </c>
      <c r="C405" s="34" t="s">
        <v>959</v>
      </c>
      <c r="D405" s="35" t="s">
        <v>959</v>
      </c>
      <c r="E405" s="4" t="s">
        <v>959</v>
      </c>
    </row>
    <row r="406" spans="2:5" x14ac:dyDescent="0.2">
      <c r="B406" s="30" t="s">
        <v>1126</v>
      </c>
      <c r="C406" s="34" t="s">
        <v>959</v>
      </c>
      <c r="D406" s="35" t="s">
        <v>959</v>
      </c>
      <c r="E406" s="4" t="s">
        <v>959</v>
      </c>
    </row>
    <row r="407" spans="2:5" x14ac:dyDescent="0.2">
      <c r="B407" s="29" t="s">
        <v>105</v>
      </c>
      <c r="C407" s="32" t="s">
        <v>959</v>
      </c>
      <c r="D407" s="32" t="s">
        <v>959</v>
      </c>
      <c r="E407" s="36" t="s">
        <v>959</v>
      </c>
    </row>
    <row r="408" spans="2:5" x14ac:dyDescent="0.2">
      <c r="B408" s="30" t="s">
        <v>1127</v>
      </c>
      <c r="C408" s="34" t="s">
        <v>959</v>
      </c>
      <c r="D408" s="35" t="s">
        <v>959</v>
      </c>
      <c r="E408" s="4" t="s">
        <v>959</v>
      </c>
    </row>
    <row r="409" spans="2:5" x14ac:dyDescent="0.2">
      <c r="B409" s="30" t="s">
        <v>1128</v>
      </c>
      <c r="C409" s="34" t="s">
        <v>959</v>
      </c>
      <c r="D409" s="35" t="s">
        <v>959</v>
      </c>
      <c r="E409" s="4" t="s">
        <v>959</v>
      </c>
    </row>
    <row r="410" spans="2:5" x14ac:dyDescent="0.2">
      <c r="B410" s="30" t="s">
        <v>1129</v>
      </c>
      <c r="C410" s="34" t="s">
        <v>959</v>
      </c>
      <c r="D410" s="35" t="s">
        <v>959</v>
      </c>
      <c r="E410" s="4" t="s">
        <v>959</v>
      </c>
    </row>
    <row r="411" spans="2:5" x14ac:dyDescent="0.2">
      <c r="B411" s="30" t="s">
        <v>1130</v>
      </c>
      <c r="C411" s="34" t="s">
        <v>959</v>
      </c>
      <c r="D411" s="35" t="s">
        <v>959</v>
      </c>
      <c r="E411" s="4" t="s">
        <v>959</v>
      </c>
    </row>
    <row r="412" spans="2:5" x14ac:dyDescent="0.2">
      <c r="B412" s="30" t="s">
        <v>1131</v>
      </c>
      <c r="C412" s="34" t="s">
        <v>959</v>
      </c>
      <c r="D412" s="35" t="s">
        <v>959</v>
      </c>
      <c r="E412" s="4" t="s">
        <v>959</v>
      </c>
    </row>
    <row r="413" spans="2:5" x14ac:dyDescent="0.2">
      <c r="B413" s="30" t="s">
        <v>1132</v>
      </c>
      <c r="C413" s="34" t="s">
        <v>959</v>
      </c>
      <c r="D413" s="35" t="s">
        <v>959</v>
      </c>
      <c r="E413" s="4" t="s">
        <v>959</v>
      </c>
    </row>
    <row r="414" spans="2:5" x14ac:dyDescent="0.2">
      <c r="B414" s="30" t="s">
        <v>1133</v>
      </c>
      <c r="C414" s="34" t="s">
        <v>959</v>
      </c>
      <c r="D414" s="35" t="s">
        <v>959</v>
      </c>
      <c r="E414" s="4" t="s">
        <v>959</v>
      </c>
    </row>
    <row r="415" spans="2:5" x14ac:dyDescent="0.2">
      <c r="B415" s="29" t="s">
        <v>100</v>
      </c>
      <c r="C415" s="32" t="s">
        <v>959</v>
      </c>
      <c r="D415" s="32" t="s">
        <v>959</v>
      </c>
      <c r="E415" s="36" t="s">
        <v>959</v>
      </c>
    </row>
    <row r="416" spans="2:5" x14ac:dyDescent="0.2">
      <c r="B416" s="30" t="s">
        <v>1134</v>
      </c>
      <c r="C416" s="34" t="s">
        <v>959</v>
      </c>
      <c r="D416" s="35" t="s">
        <v>959</v>
      </c>
      <c r="E416" s="4" t="s">
        <v>959</v>
      </c>
    </row>
    <row r="417" spans="2:5" x14ac:dyDescent="0.2">
      <c r="B417" s="30" t="s">
        <v>1135</v>
      </c>
      <c r="C417" s="34" t="s">
        <v>959</v>
      </c>
      <c r="D417" s="35" t="s">
        <v>959</v>
      </c>
      <c r="E417" s="4" t="s">
        <v>959</v>
      </c>
    </row>
    <row r="418" spans="2:5" x14ac:dyDescent="0.2">
      <c r="B418" s="30" t="s">
        <v>1136</v>
      </c>
      <c r="C418" s="34" t="s">
        <v>959</v>
      </c>
      <c r="D418" s="35" t="s">
        <v>959</v>
      </c>
      <c r="E418" s="4" t="s">
        <v>959</v>
      </c>
    </row>
    <row r="419" spans="2:5" x14ac:dyDescent="0.2">
      <c r="B419" s="30" t="s">
        <v>1137</v>
      </c>
      <c r="C419" s="34" t="s">
        <v>959</v>
      </c>
      <c r="D419" s="35" t="s">
        <v>959</v>
      </c>
      <c r="E419" s="4" t="s">
        <v>959</v>
      </c>
    </row>
    <row r="420" spans="2:5" x14ac:dyDescent="0.2">
      <c r="B420" s="30" t="s">
        <v>1138</v>
      </c>
      <c r="C420" s="34" t="s">
        <v>959</v>
      </c>
      <c r="D420" s="35" t="s">
        <v>959</v>
      </c>
      <c r="E420" s="4" t="s">
        <v>959</v>
      </c>
    </row>
    <row r="421" spans="2:5" x14ac:dyDescent="0.2">
      <c r="B421" s="30" t="s">
        <v>1139</v>
      </c>
      <c r="C421" s="34" t="s">
        <v>959</v>
      </c>
      <c r="D421" s="35" t="s">
        <v>959</v>
      </c>
      <c r="E421" s="4" t="s">
        <v>959</v>
      </c>
    </row>
    <row r="422" spans="2:5" x14ac:dyDescent="0.2">
      <c r="B422" s="29" t="s">
        <v>31</v>
      </c>
      <c r="C422" s="32" t="s">
        <v>959</v>
      </c>
      <c r="D422" s="32" t="s">
        <v>959</v>
      </c>
      <c r="E422" s="36" t="s">
        <v>959</v>
      </c>
    </row>
    <row r="423" spans="2:5" x14ac:dyDescent="0.2">
      <c r="B423" s="30" t="s">
        <v>1140</v>
      </c>
      <c r="C423" s="34" t="s">
        <v>959</v>
      </c>
      <c r="D423" s="35" t="s">
        <v>959</v>
      </c>
      <c r="E423" s="4" t="s">
        <v>959</v>
      </c>
    </row>
    <row r="424" spans="2:5" x14ac:dyDescent="0.2">
      <c r="B424" s="30" t="s">
        <v>1141</v>
      </c>
      <c r="C424" s="34" t="s">
        <v>959</v>
      </c>
      <c r="D424" s="35" t="s">
        <v>959</v>
      </c>
      <c r="E424" s="4" t="s">
        <v>959</v>
      </c>
    </row>
    <row r="425" spans="2:5" x14ac:dyDescent="0.2">
      <c r="B425" s="30" t="s">
        <v>1142</v>
      </c>
      <c r="C425" s="34" t="s">
        <v>959</v>
      </c>
      <c r="D425" s="35" t="s">
        <v>959</v>
      </c>
      <c r="E425" s="4" t="s">
        <v>959</v>
      </c>
    </row>
    <row r="426" spans="2:5" x14ac:dyDescent="0.2">
      <c r="B426" s="30" t="s">
        <v>1143</v>
      </c>
      <c r="C426" s="34" t="s">
        <v>959</v>
      </c>
      <c r="D426" s="35" t="s">
        <v>959</v>
      </c>
      <c r="E426" s="4" t="s">
        <v>959</v>
      </c>
    </row>
    <row r="427" spans="2:5" x14ac:dyDescent="0.2">
      <c r="B427" s="30" t="s">
        <v>1144</v>
      </c>
      <c r="C427" s="34" t="s">
        <v>959</v>
      </c>
      <c r="D427" s="35" t="s">
        <v>959</v>
      </c>
      <c r="E427" s="4" t="s">
        <v>959</v>
      </c>
    </row>
    <row r="428" spans="2:5" x14ac:dyDescent="0.2">
      <c r="B428" s="30" t="s">
        <v>1145</v>
      </c>
      <c r="C428" s="34" t="s">
        <v>959</v>
      </c>
      <c r="D428" s="35" t="s">
        <v>959</v>
      </c>
      <c r="E428" s="4" t="s">
        <v>959</v>
      </c>
    </row>
    <row r="429" spans="2:5" x14ac:dyDescent="0.2">
      <c r="B429" s="30" t="s">
        <v>1146</v>
      </c>
      <c r="C429" s="34" t="s">
        <v>959</v>
      </c>
      <c r="D429" s="35" t="s">
        <v>959</v>
      </c>
      <c r="E429" s="4" t="s">
        <v>959</v>
      </c>
    </row>
    <row r="430" spans="2:5" x14ac:dyDescent="0.2">
      <c r="B430" s="29" t="s">
        <v>84</v>
      </c>
      <c r="C430" s="32" t="s">
        <v>959</v>
      </c>
      <c r="D430" s="32" t="s">
        <v>959</v>
      </c>
      <c r="E430" s="36" t="s">
        <v>959</v>
      </c>
    </row>
    <row r="431" spans="2:5" x14ac:dyDescent="0.2">
      <c r="B431" s="30" t="s">
        <v>1147</v>
      </c>
      <c r="C431" s="34" t="s">
        <v>959</v>
      </c>
      <c r="D431" s="35" t="s">
        <v>959</v>
      </c>
      <c r="E431" s="4" t="s">
        <v>959</v>
      </c>
    </row>
    <row r="432" spans="2:5" x14ac:dyDescent="0.2">
      <c r="B432" s="30" t="s">
        <v>1148</v>
      </c>
      <c r="C432" s="34" t="s">
        <v>959</v>
      </c>
      <c r="D432" s="35" t="s">
        <v>959</v>
      </c>
      <c r="E432" s="4" t="s">
        <v>959</v>
      </c>
    </row>
    <row r="433" spans="2:5" x14ac:dyDescent="0.2">
      <c r="B433" s="30" t="s">
        <v>1149</v>
      </c>
      <c r="C433" s="34" t="s">
        <v>959</v>
      </c>
      <c r="D433" s="35" t="s">
        <v>959</v>
      </c>
      <c r="E433" s="4" t="s">
        <v>959</v>
      </c>
    </row>
    <row r="434" spans="2:5" x14ac:dyDescent="0.2">
      <c r="B434" s="30" t="s">
        <v>1073</v>
      </c>
      <c r="C434" s="34" t="s">
        <v>959</v>
      </c>
      <c r="D434" s="35" t="s">
        <v>959</v>
      </c>
      <c r="E434" s="4" t="s">
        <v>959</v>
      </c>
    </row>
    <row r="435" spans="2:5" x14ac:dyDescent="0.2">
      <c r="B435" s="30" t="s">
        <v>1150</v>
      </c>
      <c r="C435" s="34" t="s">
        <v>959</v>
      </c>
      <c r="D435" s="35" t="s">
        <v>959</v>
      </c>
      <c r="E435" s="4" t="s">
        <v>959</v>
      </c>
    </row>
    <row r="436" spans="2:5" x14ac:dyDescent="0.2">
      <c r="B436" s="30" t="s">
        <v>1151</v>
      </c>
      <c r="C436" s="34" t="s">
        <v>959</v>
      </c>
      <c r="D436" s="35" t="s">
        <v>959</v>
      </c>
      <c r="E436" s="4" t="s">
        <v>959</v>
      </c>
    </row>
    <row r="437" spans="2:5" x14ac:dyDescent="0.2">
      <c r="B437" s="29" t="s">
        <v>14</v>
      </c>
      <c r="C437" s="32" t="s">
        <v>959</v>
      </c>
      <c r="D437" s="32" t="s">
        <v>959</v>
      </c>
      <c r="E437" s="36" t="s">
        <v>959</v>
      </c>
    </row>
    <row r="438" spans="2:5" x14ac:dyDescent="0.2">
      <c r="B438" s="30" t="s">
        <v>1152</v>
      </c>
      <c r="C438" s="34" t="s">
        <v>959</v>
      </c>
      <c r="D438" s="35" t="s">
        <v>959</v>
      </c>
      <c r="E438" s="4" t="s">
        <v>959</v>
      </c>
    </row>
    <row r="439" spans="2:5" x14ac:dyDescent="0.2">
      <c r="B439" s="30" t="s">
        <v>1153</v>
      </c>
      <c r="C439" s="34" t="s">
        <v>959</v>
      </c>
      <c r="D439" s="35" t="s">
        <v>959</v>
      </c>
      <c r="E439" s="4" t="s">
        <v>959</v>
      </c>
    </row>
    <row r="440" spans="2:5" x14ac:dyDescent="0.2">
      <c r="B440" s="30" t="s">
        <v>1154</v>
      </c>
      <c r="C440" s="34" t="s">
        <v>959</v>
      </c>
      <c r="D440" s="35" t="s">
        <v>959</v>
      </c>
      <c r="E440" s="4" t="s">
        <v>959</v>
      </c>
    </row>
    <row r="441" spans="2:5" x14ac:dyDescent="0.2">
      <c r="B441" s="30" t="s">
        <v>1155</v>
      </c>
      <c r="C441" s="34" t="s">
        <v>959</v>
      </c>
      <c r="D441" s="35" t="s">
        <v>959</v>
      </c>
      <c r="E441" s="4" t="s">
        <v>959</v>
      </c>
    </row>
    <row r="442" spans="2:5" x14ac:dyDescent="0.2">
      <c r="B442" s="30" t="s">
        <v>1156</v>
      </c>
      <c r="C442" s="34" t="s">
        <v>959</v>
      </c>
      <c r="D442" s="35" t="s">
        <v>959</v>
      </c>
      <c r="E442" s="4" t="s">
        <v>959</v>
      </c>
    </row>
    <row r="443" spans="2:5" x14ac:dyDescent="0.2">
      <c r="B443" s="29" t="s">
        <v>98</v>
      </c>
      <c r="C443" s="32" t="s">
        <v>959</v>
      </c>
      <c r="D443" s="32" t="s">
        <v>959</v>
      </c>
      <c r="E443" s="36" t="s">
        <v>959</v>
      </c>
    </row>
    <row r="444" spans="2:5" x14ac:dyDescent="0.2">
      <c r="B444" s="30" t="s">
        <v>1157</v>
      </c>
      <c r="C444" s="34" t="s">
        <v>959</v>
      </c>
      <c r="D444" s="35" t="s">
        <v>959</v>
      </c>
      <c r="E444" s="4" t="s">
        <v>959</v>
      </c>
    </row>
    <row r="445" spans="2:5" x14ac:dyDescent="0.2">
      <c r="B445" s="30" t="s">
        <v>1158</v>
      </c>
      <c r="C445" s="34" t="s">
        <v>959</v>
      </c>
      <c r="D445" s="35" t="s">
        <v>959</v>
      </c>
      <c r="E445" s="4" t="s">
        <v>959</v>
      </c>
    </row>
    <row r="446" spans="2:5" x14ac:dyDescent="0.2">
      <c r="B446" s="30" t="s">
        <v>1159</v>
      </c>
      <c r="C446" s="34" t="s">
        <v>959</v>
      </c>
      <c r="D446" s="35" t="s">
        <v>959</v>
      </c>
      <c r="E446" s="4" t="s">
        <v>959</v>
      </c>
    </row>
    <row r="447" spans="2:5" x14ac:dyDescent="0.2">
      <c r="B447" s="30" t="s">
        <v>1160</v>
      </c>
      <c r="C447" s="34" t="s">
        <v>959</v>
      </c>
      <c r="D447" s="35" t="s">
        <v>959</v>
      </c>
      <c r="E447" s="4" t="s">
        <v>959</v>
      </c>
    </row>
    <row r="448" spans="2:5" x14ac:dyDescent="0.2">
      <c r="B448" s="30" t="s">
        <v>1161</v>
      </c>
      <c r="C448" s="34" t="s">
        <v>959</v>
      </c>
      <c r="D448" s="35" t="s">
        <v>959</v>
      </c>
      <c r="E448" s="4" t="s">
        <v>959</v>
      </c>
    </row>
    <row r="449" spans="2:5" x14ac:dyDescent="0.2">
      <c r="B449" s="29" t="s">
        <v>21</v>
      </c>
      <c r="C449" s="32" t="s">
        <v>959</v>
      </c>
      <c r="D449" s="32" t="s">
        <v>959</v>
      </c>
      <c r="E449" s="36" t="s">
        <v>959</v>
      </c>
    </row>
    <row r="450" spans="2:5" x14ac:dyDescent="0.2">
      <c r="B450" s="30" t="s">
        <v>1162</v>
      </c>
      <c r="C450" s="34" t="s">
        <v>959</v>
      </c>
      <c r="D450" s="35" t="s">
        <v>959</v>
      </c>
      <c r="E450" s="4" t="s">
        <v>959</v>
      </c>
    </row>
    <row r="451" spans="2:5" x14ac:dyDescent="0.2">
      <c r="B451" s="30" t="s">
        <v>1163</v>
      </c>
      <c r="C451" s="34" t="s">
        <v>959</v>
      </c>
      <c r="D451" s="35" t="s">
        <v>959</v>
      </c>
      <c r="E451" s="4" t="s">
        <v>959</v>
      </c>
    </row>
    <row r="452" spans="2:5" x14ac:dyDescent="0.2">
      <c r="B452" s="30" t="s">
        <v>1164</v>
      </c>
      <c r="C452" s="34" t="s">
        <v>959</v>
      </c>
      <c r="D452" s="35" t="s">
        <v>959</v>
      </c>
      <c r="E452" s="4" t="s">
        <v>959</v>
      </c>
    </row>
    <row r="453" spans="2:5" x14ac:dyDescent="0.2">
      <c r="B453" s="30" t="s">
        <v>1165</v>
      </c>
      <c r="C453" s="34" t="s">
        <v>959</v>
      </c>
      <c r="D453" s="35" t="s">
        <v>959</v>
      </c>
      <c r="E453" s="4" t="s">
        <v>959</v>
      </c>
    </row>
    <row r="454" spans="2:5" x14ac:dyDescent="0.2">
      <c r="B454" s="30" t="s">
        <v>1166</v>
      </c>
      <c r="C454" s="34" t="s">
        <v>959</v>
      </c>
      <c r="D454" s="35" t="s">
        <v>959</v>
      </c>
      <c r="E454" s="4" t="s">
        <v>959</v>
      </c>
    </row>
    <row r="455" spans="2:5" x14ac:dyDescent="0.2">
      <c r="B455" s="30" t="s">
        <v>1167</v>
      </c>
      <c r="C455" s="34" t="s">
        <v>959</v>
      </c>
      <c r="D455" s="35" t="s">
        <v>959</v>
      </c>
      <c r="E455" s="4" t="s">
        <v>959</v>
      </c>
    </row>
    <row r="456" spans="2:5" x14ac:dyDescent="0.2">
      <c r="B456" s="30" t="s">
        <v>1168</v>
      </c>
      <c r="C456" s="34" t="s">
        <v>959</v>
      </c>
      <c r="D456" s="35" t="s">
        <v>959</v>
      </c>
      <c r="E456" s="4" t="s">
        <v>959</v>
      </c>
    </row>
    <row r="457" spans="2:5" x14ac:dyDescent="0.2">
      <c r="B457" s="30" t="s">
        <v>1169</v>
      </c>
      <c r="C457" s="34" t="s">
        <v>959</v>
      </c>
      <c r="D457" s="35" t="s">
        <v>959</v>
      </c>
      <c r="E457" s="4" t="s">
        <v>959</v>
      </c>
    </row>
    <row r="458" spans="2:5" x14ac:dyDescent="0.2">
      <c r="B458" s="30" t="s">
        <v>1170</v>
      </c>
      <c r="C458" s="34" t="s">
        <v>959</v>
      </c>
      <c r="D458" s="35" t="s">
        <v>959</v>
      </c>
      <c r="E458" s="4" t="s">
        <v>959</v>
      </c>
    </row>
    <row r="459" spans="2:5" x14ac:dyDescent="0.2">
      <c r="B459" s="29" t="s">
        <v>65</v>
      </c>
      <c r="C459" s="32" t="s">
        <v>959</v>
      </c>
      <c r="D459" s="32" t="s">
        <v>959</v>
      </c>
      <c r="E459" s="36" t="s">
        <v>959</v>
      </c>
    </row>
    <row r="460" spans="2:5" x14ac:dyDescent="0.2">
      <c r="B460" s="30" t="s">
        <v>1171</v>
      </c>
      <c r="C460" s="34" t="s">
        <v>959</v>
      </c>
      <c r="D460" s="35" t="s">
        <v>959</v>
      </c>
      <c r="E460" s="4" t="s">
        <v>959</v>
      </c>
    </row>
    <row r="461" spans="2:5" x14ac:dyDescent="0.2">
      <c r="B461" s="30" t="s">
        <v>1172</v>
      </c>
      <c r="C461" s="34" t="s">
        <v>959</v>
      </c>
      <c r="D461" s="35" t="s">
        <v>959</v>
      </c>
      <c r="E461" s="4" t="s">
        <v>959</v>
      </c>
    </row>
    <row r="462" spans="2:5" x14ac:dyDescent="0.2">
      <c r="B462" s="30" t="s">
        <v>1173</v>
      </c>
      <c r="C462" s="34" t="s">
        <v>959</v>
      </c>
      <c r="D462" s="35" t="s">
        <v>959</v>
      </c>
      <c r="E462" s="4" t="s">
        <v>959</v>
      </c>
    </row>
    <row r="463" spans="2:5" x14ac:dyDescent="0.2">
      <c r="B463" s="30" t="s">
        <v>1174</v>
      </c>
      <c r="C463" s="34" t="s">
        <v>959</v>
      </c>
      <c r="D463" s="35" t="s">
        <v>959</v>
      </c>
      <c r="E463" s="4" t="s">
        <v>959</v>
      </c>
    </row>
    <row r="464" spans="2:5" x14ac:dyDescent="0.2">
      <c r="B464" s="30" t="s">
        <v>1175</v>
      </c>
      <c r="C464" s="34" t="s">
        <v>959</v>
      </c>
      <c r="D464" s="35" t="s">
        <v>959</v>
      </c>
      <c r="E464" s="4" t="s">
        <v>959</v>
      </c>
    </row>
    <row r="465" spans="2:5" x14ac:dyDescent="0.2">
      <c r="B465" s="29" t="s">
        <v>87</v>
      </c>
      <c r="C465" s="32" t="s">
        <v>959</v>
      </c>
      <c r="D465" s="32" t="s">
        <v>959</v>
      </c>
      <c r="E465" s="36" t="s">
        <v>959</v>
      </c>
    </row>
    <row r="466" spans="2:5" x14ac:dyDescent="0.2">
      <c r="B466" s="30" t="s">
        <v>1176</v>
      </c>
      <c r="C466" s="34" t="s">
        <v>959</v>
      </c>
      <c r="D466" s="35" t="s">
        <v>959</v>
      </c>
      <c r="E466" s="4" t="s">
        <v>959</v>
      </c>
    </row>
    <row r="467" spans="2:5" x14ac:dyDescent="0.2">
      <c r="B467" s="30" t="s">
        <v>1177</v>
      </c>
      <c r="C467" s="34" t="s">
        <v>959</v>
      </c>
      <c r="D467" s="35" t="s">
        <v>959</v>
      </c>
      <c r="E467" s="4" t="s">
        <v>959</v>
      </c>
    </row>
    <row r="468" spans="2:5" x14ac:dyDescent="0.2">
      <c r="B468" s="30" t="s">
        <v>1178</v>
      </c>
      <c r="C468" s="34" t="s">
        <v>959</v>
      </c>
      <c r="D468" s="35" t="s">
        <v>959</v>
      </c>
      <c r="E468" s="4" t="s">
        <v>959</v>
      </c>
    </row>
    <row r="469" spans="2:5" x14ac:dyDescent="0.2">
      <c r="B469" s="30" t="s">
        <v>1179</v>
      </c>
      <c r="C469" s="34" t="s">
        <v>959</v>
      </c>
      <c r="D469" s="35" t="s">
        <v>959</v>
      </c>
      <c r="E469" s="4" t="s">
        <v>959</v>
      </c>
    </row>
    <row r="470" spans="2:5" x14ac:dyDescent="0.2">
      <c r="B470" s="30" t="s">
        <v>1180</v>
      </c>
      <c r="C470" s="34" t="s">
        <v>959</v>
      </c>
      <c r="D470" s="35" t="s">
        <v>959</v>
      </c>
      <c r="E470" s="4" t="s">
        <v>959</v>
      </c>
    </row>
    <row r="471" spans="2:5" x14ac:dyDescent="0.2">
      <c r="B471" s="30" t="s">
        <v>1181</v>
      </c>
      <c r="C471" s="34" t="s">
        <v>959</v>
      </c>
      <c r="D471" s="35" t="s">
        <v>959</v>
      </c>
      <c r="E471" s="4" t="s">
        <v>959</v>
      </c>
    </row>
    <row r="472" spans="2:5" x14ac:dyDescent="0.2">
      <c r="B472" s="29" t="s">
        <v>23</v>
      </c>
      <c r="C472" s="32" t="s">
        <v>959</v>
      </c>
      <c r="D472" s="32" t="s">
        <v>959</v>
      </c>
      <c r="E472" s="36" t="s">
        <v>959</v>
      </c>
    </row>
    <row r="473" spans="2:5" x14ac:dyDescent="0.2">
      <c r="B473" s="30" t="s">
        <v>1182</v>
      </c>
      <c r="C473" s="34" t="s">
        <v>959</v>
      </c>
      <c r="D473" s="35" t="s">
        <v>959</v>
      </c>
      <c r="E473" s="4" t="s">
        <v>959</v>
      </c>
    </row>
    <row r="474" spans="2:5" x14ac:dyDescent="0.2">
      <c r="B474" s="30" t="s">
        <v>1183</v>
      </c>
      <c r="C474" s="34" t="s">
        <v>959</v>
      </c>
      <c r="D474" s="35" t="s">
        <v>959</v>
      </c>
      <c r="E474" s="4" t="s">
        <v>959</v>
      </c>
    </row>
    <row r="475" spans="2:5" x14ac:dyDescent="0.2">
      <c r="B475" s="30" t="s">
        <v>1184</v>
      </c>
      <c r="C475" s="34" t="s">
        <v>959</v>
      </c>
      <c r="D475" s="35" t="s">
        <v>959</v>
      </c>
      <c r="E475" s="4" t="s">
        <v>959</v>
      </c>
    </row>
    <row r="476" spans="2:5" x14ac:dyDescent="0.2">
      <c r="B476" s="30" t="s">
        <v>1185</v>
      </c>
      <c r="C476" s="34" t="s">
        <v>959</v>
      </c>
      <c r="D476" s="35" t="s">
        <v>959</v>
      </c>
      <c r="E476" s="4" t="s">
        <v>959</v>
      </c>
    </row>
    <row r="477" spans="2:5" x14ac:dyDescent="0.2">
      <c r="B477" s="30" t="s">
        <v>1186</v>
      </c>
      <c r="C477" s="34" t="s">
        <v>959</v>
      </c>
      <c r="D477" s="35" t="s">
        <v>959</v>
      </c>
      <c r="E477" s="4" t="s">
        <v>959</v>
      </c>
    </row>
    <row r="478" spans="2:5" x14ac:dyDescent="0.2">
      <c r="B478" s="30" t="s">
        <v>1187</v>
      </c>
      <c r="C478" s="34" t="s">
        <v>959</v>
      </c>
      <c r="D478" s="35" t="s">
        <v>959</v>
      </c>
      <c r="E478" s="4" t="s">
        <v>959</v>
      </c>
    </row>
    <row r="479" spans="2:5" x14ac:dyDescent="0.2">
      <c r="B479" s="30" t="s">
        <v>1188</v>
      </c>
      <c r="C479" s="34" t="s">
        <v>959</v>
      </c>
      <c r="D479" s="35" t="s">
        <v>959</v>
      </c>
      <c r="E479" s="4" t="s">
        <v>959</v>
      </c>
    </row>
    <row r="480" spans="2:5" x14ac:dyDescent="0.2">
      <c r="B480" s="30" t="s">
        <v>1189</v>
      </c>
      <c r="C480" s="34" t="s">
        <v>959</v>
      </c>
      <c r="D480" s="35" t="s">
        <v>959</v>
      </c>
      <c r="E480" s="4" t="s">
        <v>959</v>
      </c>
    </row>
    <row r="481" spans="2:5" x14ac:dyDescent="0.2">
      <c r="B481" s="29" t="s">
        <v>127</v>
      </c>
      <c r="C481" s="32" t="s">
        <v>959</v>
      </c>
      <c r="D481" s="32" t="s">
        <v>959</v>
      </c>
      <c r="E481" s="36" t="s">
        <v>959</v>
      </c>
    </row>
    <row r="482" spans="2:5" x14ac:dyDescent="0.2">
      <c r="B482" s="30" t="s">
        <v>1190</v>
      </c>
      <c r="C482" s="34" t="s">
        <v>959</v>
      </c>
      <c r="D482" s="35" t="s">
        <v>959</v>
      </c>
      <c r="E482" s="4" t="s">
        <v>959</v>
      </c>
    </row>
    <row r="483" spans="2:5" x14ac:dyDescent="0.2">
      <c r="B483" s="30" t="s">
        <v>1191</v>
      </c>
      <c r="C483" s="34" t="s">
        <v>959</v>
      </c>
      <c r="D483" s="35" t="s">
        <v>959</v>
      </c>
      <c r="E483" s="4" t="s">
        <v>959</v>
      </c>
    </row>
    <row r="484" spans="2:5" x14ac:dyDescent="0.2">
      <c r="B484" s="30" t="s">
        <v>1192</v>
      </c>
      <c r="C484" s="34" t="s">
        <v>959</v>
      </c>
      <c r="D484" s="35" t="s">
        <v>959</v>
      </c>
      <c r="E484" s="4" t="s">
        <v>959</v>
      </c>
    </row>
    <row r="485" spans="2:5" x14ac:dyDescent="0.2">
      <c r="B485" s="30" t="s">
        <v>1193</v>
      </c>
      <c r="C485" s="34" t="s">
        <v>959</v>
      </c>
      <c r="D485" s="35" t="s">
        <v>959</v>
      </c>
      <c r="E485" s="4" t="s">
        <v>959</v>
      </c>
    </row>
    <row r="486" spans="2:5" x14ac:dyDescent="0.2">
      <c r="B486" s="30" t="s">
        <v>1194</v>
      </c>
      <c r="C486" s="34" t="s">
        <v>959</v>
      </c>
      <c r="D486" s="35" t="s">
        <v>959</v>
      </c>
      <c r="E486" s="4" t="s">
        <v>959</v>
      </c>
    </row>
    <row r="487" spans="2:5" x14ac:dyDescent="0.2">
      <c r="B487" s="29" t="s">
        <v>15</v>
      </c>
      <c r="C487" s="32" t="s">
        <v>959</v>
      </c>
      <c r="D487" s="32" t="s">
        <v>959</v>
      </c>
      <c r="E487" s="36" t="s">
        <v>959</v>
      </c>
    </row>
    <row r="488" spans="2:5" x14ac:dyDescent="0.2">
      <c r="B488" s="30" t="s">
        <v>1195</v>
      </c>
      <c r="C488" s="34" t="s">
        <v>959</v>
      </c>
      <c r="D488" s="35" t="s">
        <v>959</v>
      </c>
      <c r="E488" s="4" t="s">
        <v>959</v>
      </c>
    </row>
    <row r="489" spans="2:5" x14ac:dyDescent="0.2">
      <c r="B489" s="30" t="s">
        <v>1196</v>
      </c>
      <c r="C489" s="34" t="s">
        <v>959</v>
      </c>
      <c r="D489" s="35" t="s">
        <v>959</v>
      </c>
      <c r="E489" s="4" t="s">
        <v>959</v>
      </c>
    </row>
    <row r="490" spans="2:5" x14ac:dyDescent="0.2">
      <c r="B490" s="30" t="s">
        <v>1197</v>
      </c>
      <c r="C490" s="34" t="s">
        <v>959</v>
      </c>
      <c r="D490" s="35" t="s">
        <v>959</v>
      </c>
      <c r="E490" s="4" t="s">
        <v>959</v>
      </c>
    </row>
    <row r="491" spans="2:5" x14ac:dyDescent="0.2">
      <c r="B491" s="30" t="s">
        <v>1198</v>
      </c>
      <c r="C491" s="34" t="s">
        <v>959</v>
      </c>
      <c r="D491" s="35" t="s">
        <v>959</v>
      </c>
      <c r="E491" s="4" t="s">
        <v>959</v>
      </c>
    </row>
    <row r="492" spans="2:5" x14ac:dyDescent="0.2">
      <c r="B492" s="30" t="s">
        <v>1199</v>
      </c>
      <c r="C492" s="34" t="s">
        <v>959</v>
      </c>
      <c r="D492" s="35" t="s">
        <v>959</v>
      </c>
      <c r="E492" s="4" t="s">
        <v>959</v>
      </c>
    </row>
    <row r="493" spans="2:5" x14ac:dyDescent="0.2">
      <c r="B493" s="30" t="s">
        <v>1200</v>
      </c>
      <c r="C493" s="34" t="s">
        <v>959</v>
      </c>
      <c r="D493" s="35" t="s">
        <v>959</v>
      </c>
      <c r="E493" s="4" t="s">
        <v>959</v>
      </c>
    </row>
    <row r="494" spans="2:5" x14ac:dyDescent="0.2">
      <c r="B494" s="30" t="s">
        <v>1201</v>
      </c>
      <c r="C494" s="34" t="s">
        <v>959</v>
      </c>
      <c r="D494" s="35" t="s">
        <v>959</v>
      </c>
      <c r="E494" s="4" t="s">
        <v>959</v>
      </c>
    </row>
    <row r="495" spans="2:5" x14ac:dyDescent="0.2">
      <c r="B495" s="30" t="s">
        <v>1202</v>
      </c>
      <c r="C495" s="34" t="s">
        <v>959</v>
      </c>
      <c r="D495" s="35" t="s">
        <v>959</v>
      </c>
      <c r="E495" s="4" t="s">
        <v>959</v>
      </c>
    </row>
    <row r="496" spans="2:5" x14ac:dyDescent="0.2">
      <c r="B496" s="30" t="s">
        <v>1203</v>
      </c>
      <c r="C496" s="34" t="s">
        <v>959</v>
      </c>
      <c r="D496" s="35" t="s">
        <v>959</v>
      </c>
      <c r="E496" s="4" t="s">
        <v>959</v>
      </c>
    </row>
    <row r="497" spans="2:5" x14ac:dyDescent="0.2">
      <c r="B497" s="29" t="s">
        <v>111</v>
      </c>
      <c r="C497" s="32" t="s">
        <v>959</v>
      </c>
      <c r="D497" s="32" t="s">
        <v>959</v>
      </c>
      <c r="E497" s="36" t="s">
        <v>959</v>
      </c>
    </row>
    <row r="498" spans="2:5" x14ac:dyDescent="0.2">
      <c r="B498" s="30" t="s">
        <v>1204</v>
      </c>
      <c r="C498" s="34" t="s">
        <v>959</v>
      </c>
      <c r="D498" s="35" t="s">
        <v>959</v>
      </c>
      <c r="E498" s="4" t="s">
        <v>959</v>
      </c>
    </row>
    <row r="499" spans="2:5" x14ac:dyDescent="0.2">
      <c r="B499" s="30" t="s">
        <v>1205</v>
      </c>
      <c r="C499" s="34" t="s">
        <v>959</v>
      </c>
      <c r="D499" s="35" t="s">
        <v>959</v>
      </c>
      <c r="E499" s="4" t="s">
        <v>959</v>
      </c>
    </row>
    <row r="500" spans="2:5" x14ac:dyDescent="0.2">
      <c r="B500" s="30" t="s">
        <v>1206</v>
      </c>
      <c r="C500" s="34" t="s">
        <v>959</v>
      </c>
      <c r="D500" s="35" t="s">
        <v>959</v>
      </c>
      <c r="E500" s="4" t="s">
        <v>959</v>
      </c>
    </row>
    <row r="501" spans="2:5" x14ac:dyDescent="0.2">
      <c r="B501" s="30" t="s">
        <v>1207</v>
      </c>
      <c r="C501" s="34" t="s">
        <v>959</v>
      </c>
      <c r="D501" s="35" t="s">
        <v>959</v>
      </c>
      <c r="E501" s="4" t="s">
        <v>959</v>
      </c>
    </row>
    <row r="502" spans="2:5" x14ac:dyDescent="0.2">
      <c r="B502" s="30" t="s">
        <v>1208</v>
      </c>
      <c r="C502" s="34" t="s">
        <v>959</v>
      </c>
      <c r="D502" s="35" t="s">
        <v>959</v>
      </c>
      <c r="E502" s="4" t="s">
        <v>959</v>
      </c>
    </row>
    <row r="503" spans="2:5" x14ac:dyDescent="0.2">
      <c r="B503" s="30" t="s">
        <v>1209</v>
      </c>
      <c r="C503" s="34" t="s">
        <v>959</v>
      </c>
      <c r="D503" s="35" t="s">
        <v>959</v>
      </c>
      <c r="E503" s="4" t="s">
        <v>959</v>
      </c>
    </row>
    <row r="504" spans="2:5" x14ac:dyDescent="0.2">
      <c r="B504" s="29" t="s">
        <v>83</v>
      </c>
      <c r="C504" s="32" t="s">
        <v>959</v>
      </c>
      <c r="D504" s="32" t="s">
        <v>959</v>
      </c>
      <c r="E504" s="36" t="s">
        <v>959</v>
      </c>
    </row>
    <row r="505" spans="2:5" x14ac:dyDescent="0.2">
      <c r="B505" s="30" t="s">
        <v>1210</v>
      </c>
      <c r="C505" s="34" t="s">
        <v>959</v>
      </c>
      <c r="D505" s="35" t="s">
        <v>959</v>
      </c>
      <c r="E505" s="4" t="s">
        <v>959</v>
      </c>
    </row>
    <row r="506" spans="2:5" x14ac:dyDescent="0.2">
      <c r="B506" s="30" t="s">
        <v>1211</v>
      </c>
      <c r="C506" s="34" t="s">
        <v>959</v>
      </c>
      <c r="D506" s="35" t="s">
        <v>959</v>
      </c>
      <c r="E506" s="4" t="s">
        <v>959</v>
      </c>
    </row>
    <row r="507" spans="2:5" x14ac:dyDescent="0.2">
      <c r="B507" s="30" t="s">
        <v>1212</v>
      </c>
      <c r="C507" s="34" t="s">
        <v>959</v>
      </c>
      <c r="D507" s="35" t="s">
        <v>959</v>
      </c>
      <c r="E507" s="4" t="s">
        <v>959</v>
      </c>
    </row>
    <row r="508" spans="2:5" x14ac:dyDescent="0.2">
      <c r="B508" s="30" t="s">
        <v>1213</v>
      </c>
      <c r="C508" s="34" t="s">
        <v>959</v>
      </c>
      <c r="D508" s="35" t="s">
        <v>959</v>
      </c>
      <c r="E508" s="4" t="s">
        <v>959</v>
      </c>
    </row>
    <row r="509" spans="2:5" x14ac:dyDescent="0.2">
      <c r="B509" s="30" t="s">
        <v>1214</v>
      </c>
      <c r="C509" s="34" t="s">
        <v>959</v>
      </c>
      <c r="D509" s="35" t="s">
        <v>959</v>
      </c>
      <c r="E509" s="4" t="s">
        <v>959</v>
      </c>
    </row>
    <row r="510" spans="2:5" x14ac:dyDescent="0.2">
      <c r="B510" s="29" t="s">
        <v>116</v>
      </c>
      <c r="C510" s="32" t="s">
        <v>959</v>
      </c>
      <c r="D510" s="32" t="s">
        <v>959</v>
      </c>
      <c r="E510" s="36" t="s">
        <v>959</v>
      </c>
    </row>
    <row r="511" spans="2:5" x14ac:dyDescent="0.2">
      <c r="B511" s="30" t="s">
        <v>1215</v>
      </c>
      <c r="C511" s="34" t="s">
        <v>959</v>
      </c>
      <c r="D511" s="35" t="s">
        <v>959</v>
      </c>
      <c r="E511" s="4" t="s">
        <v>959</v>
      </c>
    </row>
    <row r="512" spans="2:5" x14ac:dyDescent="0.2">
      <c r="B512" s="30" t="s">
        <v>1216</v>
      </c>
      <c r="C512" s="34" t="s">
        <v>959</v>
      </c>
      <c r="D512" s="35" t="s">
        <v>959</v>
      </c>
      <c r="E512" s="4" t="s">
        <v>959</v>
      </c>
    </row>
    <row r="513" spans="2:5" x14ac:dyDescent="0.2">
      <c r="B513" s="30" t="s">
        <v>1217</v>
      </c>
      <c r="C513" s="34" t="s">
        <v>959</v>
      </c>
      <c r="D513" s="35" t="s">
        <v>959</v>
      </c>
      <c r="E513" s="4" t="s">
        <v>959</v>
      </c>
    </row>
    <row r="514" spans="2:5" x14ac:dyDescent="0.2">
      <c r="B514" s="30" t="s">
        <v>1218</v>
      </c>
      <c r="C514" s="34" t="s">
        <v>959</v>
      </c>
      <c r="D514" s="35" t="s">
        <v>959</v>
      </c>
      <c r="E514" s="4" t="s">
        <v>959</v>
      </c>
    </row>
    <row r="515" spans="2:5" x14ac:dyDescent="0.2">
      <c r="B515" s="30" t="s">
        <v>1219</v>
      </c>
      <c r="C515" s="34" t="s">
        <v>959</v>
      </c>
      <c r="D515" s="35" t="s">
        <v>959</v>
      </c>
      <c r="E515" s="4" t="s">
        <v>959</v>
      </c>
    </row>
    <row r="516" spans="2:5" x14ac:dyDescent="0.2">
      <c r="B516" s="29" t="s">
        <v>20</v>
      </c>
      <c r="C516" s="32" t="s">
        <v>959</v>
      </c>
      <c r="D516" s="32" t="s">
        <v>959</v>
      </c>
      <c r="E516" s="36" t="s">
        <v>959</v>
      </c>
    </row>
    <row r="517" spans="2:5" x14ac:dyDescent="0.2">
      <c r="B517" s="30" t="s">
        <v>1220</v>
      </c>
      <c r="C517" s="34" t="s">
        <v>959</v>
      </c>
      <c r="D517" s="35" t="s">
        <v>959</v>
      </c>
      <c r="E517" s="4" t="s">
        <v>959</v>
      </c>
    </row>
    <row r="518" spans="2:5" x14ac:dyDescent="0.2">
      <c r="B518" s="30" t="s">
        <v>1221</v>
      </c>
      <c r="C518" s="34" t="s">
        <v>959</v>
      </c>
      <c r="D518" s="35" t="s">
        <v>959</v>
      </c>
      <c r="E518" s="4" t="s">
        <v>959</v>
      </c>
    </row>
    <row r="519" spans="2:5" x14ac:dyDescent="0.2">
      <c r="B519" s="30" t="s">
        <v>1222</v>
      </c>
      <c r="C519" s="34" t="s">
        <v>959</v>
      </c>
      <c r="D519" s="35" t="s">
        <v>959</v>
      </c>
      <c r="E519" s="4" t="s">
        <v>959</v>
      </c>
    </row>
    <row r="520" spans="2:5" x14ac:dyDescent="0.2">
      <c r="B520" s="30" t="s">
        <v>1223</v>
      </c>
      <c r="C520" s="34" t="s">
        <v>959</v>
      </c>
      <c r="D520" s="35" t="s">
        <v>959</v>
      </c>
      <c r="E520" s="4" t="s">
        <v>959</v>
      </c>
    </row>
    <row r="521" spans="2:5" x14ac:dyDescent="0.2">
      <c r="B521" s="30" t="s">
        <v>1224</v>
      </c>
      <c r="C521" s="34" t="s">
        <v>959</v>
      </c>
      <c r="D521" s="35" t="s">
        <v>959</v>
      </c>
      <c r="E521" s="4" t="s">
        <v>959</v>
      </c>
    </row>
    <row r="522" spans="2:5" x14ac:dyDescent="0.2">
      <c r="B522" s="30" t="s">
        <v>1225</v>
      </c>
      <c r="C522" s="34" t="s">
        <v>959</v>
      </c>
      <c r="D522" s="35" t="s">
        <v>959</v>
      </c>
      <c r="E522" s="4" t="s">
        <v>959</v>
      </c>
    </row>
    <row r="523" spans="2:5" x14ac:dyDescent="0.2">
      <c r="B523" s="30" t="s">
        <v>1226</v>
      </c>
      <c r="C523" s="34" t="s">
        <v>959</v>
      </c>
      <c r="D523" s="35" t="s">
        <v>959</v>
      </c>
      <c r="E523" s="4" t="s">
        <v>959</v>
      </c>
    </row>
    <row r="524" spans="2:5" x14ac:dyDescent="0.2">
      <c r="B524" s="30" t="s">
        <v>1227</v>
      </c>
      <c r="C524" s="34" t="s">
        <v>959</v>
      </c>
      <c r="D524" s="35" t="s">
        <v>959</v>
      </c>
      <c r="E524" s="4" t="s">
        <v>959</v>
      </c>
    </row>
    <row r="525" spans="2:5" x14ac:dyDescent="0.2">
      <c r="B525" s="30" t="s">
        <v>1228</v>
      </c>
      <c r="C525" s="34" t="s">
        <v>959</v>
      </c>
      <c r="D525" s="35" t="s">
        <v>959</v>
      </c>
      <c r="E525" s="4" t="s">
        <v>959</v>
      </c>
    </row>
    <row r="526" spans="2:5" x14ac:dyDescent="0.2">
      <c r="B526" s="30" t="s">
        <v>1229</v>
      </c>
      <c r="C526" s="34" t="s">
        <v>959</v>
      </c>
      <c r="D526" s="35" t="s">
        <v>959</v>
      </c>
      <c r="E526" s="4" t="s">
        <v>959</v>
      </c>
    </row>
    <row r="527" spans="2:5" x14ac:dyDescent="0.2">
      <c r="B527" s="30" t="s">
        <v>1230</v>
      </c>
      <c r="C527" s="34" t="s">
        <v>959</v>
      </c>
      <c r="D527" s="35" t="s">
        <v>959</v>
      </c>
      <c r="E527" s="4" t="s">
        <v>959</v>
      </c>
    </row>
    <row r="528" spans="2:5" x14ac:dyDescent="0.2">
      <c r="B528" s="29" t="s">
        <v>131</v>
      </c>
      <c r="C528" s="32" t="s">
        <v>959</v>
      </c>
      <c r="D528" s="32" t="s">
        <v>959</v>
      </c>
      <c r="E528" s="36" t="s">
        <v>959</v>
      </c>
    </row>
    <row r="529" spans="2:5" x14ac:dyDescent="0.2">
      <c r="B529" s="30" t="s">
        <v>1231</v>
      </c>
      <c r="C529" s="34" t="s">
        <v>959</v>
      </c>
      <c r="D529" s="35" t="s">
        <v>959</v>
      </c>
      <c r="E529" s="4" t="s">
        <v>959</v>
      </c>
    </row>
    <row r="530" spans="2:5" x14ac:dyDescent="0.2">
      <c r="B530" s="30" t="s">
        <v>1232</v>
      </c>
      <c r="C530" s="34" t="s">
        <v>959</v>
      </c>
      <c r="D530" s="35" t="s">
        <v>959</v>
      </c>
      <c r="E530" s="4" t="s">
        <v>959</v>
      </c>
    </row>
    <row r="531" spans="2:5" x14ac:dyDescent="0.2">
      <c r="B531" s="30" t="s">
        <v>1233</v>
      </c>
      <c r="C531" s="34" t="s">
        <v>959</v>
      </c>
      <c r="D531" s="35" t="s">
        <v>959</v>
      </c>
      <c r="E531" s="4" t="s">
        <v>959</v>
      </c>
    </row>
    <row r="532" spans="2:5" x14ac:dyDescent="0.2">
      <c r="B532" s="30" t="s">
        <v>1234</v>
      </c>
      <c r="C532" s="34" t="s">
        <v>959</v>
      </c>
      <c r="D532" s="35" t="s">
        <v>959</v>
      </c>
      <c r="E532" s="4" t="s">
        <v>959</v>
      </c>
    </row>
    <row r="533" spans="2:5" x14ac:dyDescent="0.2">
      <c r="B533" s="30" t="s">
        <v>1235</v>
      </c>
      <c r="C533" s="34" t="s">
        <v>959</v>
      </c>
      <c r="D533" s="35" t="s">
        <v>959</v>
      </c>
      <c r="E533" s="4" t="s">
        <v>959</v>
      </c>
    </row>
    <row r="534" spans="2:5" x14ac:dyDescent="0.2">
      <c r="B534" s="30" t="s">
        <v>1236</v>
      </c>
      <c r="C534" s="34" t="s">
        <v>959</v>
      </c>
      <c r="D534" s="35" t="s">
        <v>959</v>
      </c>
      <c r="E534" s="4" t="s">
        <v>959</v>
      </c>
    </row>
    <row r="535" spans="2:5" x14ac:dyDescent="0.2">
      <c r="B535" s="29" t="s">
        <v>24</v>
      </c>
      <c r="C535" s="32" t="s">
        <v>959</v>
      </c>
      <c r="D535" s="32" t="s">
        <v>959</v>
      </c>
      <c r="E535" s="36" t="s">
        <v>959</v>
      </c>
    </row>
    <row r="536" spans="2:5" x14ac:dyDescent="0.2">
      <c r="B536" s="30" t="s">
        <v>1237</v>
      </c>
      <c r="C536" s="34" t="s">
        <v>959</v>
      </c>
      <c r="D536" s="35" t="s">
        <v>959</v>
      </c>
      <c r="E536" s="4" t="s">
        <v>959</v>
      </c>
    </row>
    <row r="537" spans="2:5" x14ac:dyDescent="0.2">
      <c r="B537" s="30" t="s">
        <v>1238</v>
      </c>
      <c r="C537" s="34" t="s">
        <v>959</v>
      </c>
      <c r="D537" s="35" t="s">
        <v>959</v>
      </c>
      <c r="E537" s="4" t="s">
        <v>959</v>
      </c>
    </row>
    <row r="538" spans="2:5" x14ac:dyDescent="0.2">
      <c r="B538" s="30" t="s">
        <v>1239</v>
      </c>
      <c r="C538" s="34" t="s">
        <v>959</v>
      </c>
      <c r="D538" s="35" t="s">
        <v>959</v>
      </c>
      <c r="E538" s="4" t="s">
        <v>959</v>
      </c>
    </row>
    <row r="539" spans="2:5" x14ac:dyDescent="0.2">
      <c r="B539" s="30" t="s">
        <v>1240</v>
      </c>
      <c r="C539" s="34" t="s">
        <v>959</v>
      </c>
      <c r="D539" s="35" t="s">
        <v>959</v>
      </c>
      <c r="E539" s="4" t="s">
        <v>959</v>
      </c>
    </row>
    <row r="540" spans="2:5" x14ac:dyDescent="0.2">
      <c r="B540" s="30" t="s">
        <v>1241</v>
      </c>
      <c r="C540" s="34" t="s">
        <v>959</v>
      </c>
      <c r="D540" s="35" t="s">
        <v>959</v>
      </c>
      <c r="E540" s="4" t="s">
        <v>959</v>
      </c>
    </row>
    <row r="541" spans="2:5" x14ac:dyDescent="0.2">
      <c r="B541" s="30" t="s">
        <v>1242</v>
      </c>
      <c r="C541" s="34" t="s">
        <v>959</v>
      </c>
      <c r="D541" s="35" t="s">
        <v>959</v>
      </c>
      <c r="E541" s="4" t="s">
        <v>959</v>
      </c>
    </row>
    <row r="542" spans="2:5" x14ac:dyDescent="0.2">
      <c r="B542" s="30" t="s">
        <v>1243</v>
      </c>
      <c r="C542" s="34" t="s">
        <v>959</v>
      </c>
      <c r="D542" s="35" t="s">
        <v>959</v>
      </c>
      <c r="E542" s="4" t="s">
        <v>959</v>
      </c>
    </row>
    <row r="543" spans="2:5" x14ac:dyDescent="0.2">
      <c r="B543" s="29" t="s">
        <v>122</v>
      </c>
      <c r="C543" s="32" t="s">
        <v>959</v>
      </c>
      <c r="D543" s="32" t="s">
        <v>959</v>
      </c>
      <c r="E543" s="36" t="s">
        <v>959</v>
      </c>
    </row>
    <row r="544" spans="2:5" x14ac:dyDescent="0.2">
      <c r="B544" s="30" t="s">
        <v>1244</v>
      </c>
      <c r="C544" s="34" t="s">
        <v>959</v>
      </c>
      <c r="D544" s="35" t="s">
        <v>959</v>
      </c>
      <c r="E544" s="4" t="s">
        <v>959</v>
      </c>
    </row>
    <row r="545" spans="2:5" x14ac:dyDescent="0.2">
      <c r="B545" s="30" t="s">
        <v>1245</v>
      </c>
      <c r="C545" s="34" t="s">
        <v>959</v>
      </c>
      <c r="D545" s="35" t="s">
        <v>959</v>
      </c>
      <c r="E545" s="4" t="s">
        <v>959</v>
      </c>
    </row>
    <row r="546" spans="2:5" x14ac:dyDescent="0.2">
      <c r="B546" s="30" t="s">
        <v>1246</v>
      </c>
      <c r="C546" s="34" t="s">
        <v>959</v>
      </c>
      <c r="D546" s="35" t="s">
        <v>959</v>
      </c>
      <c r="E546" s="4" t="s">
        <v>959</v>
      </c>
    </row>
    <row r="547" spans="2:5" x14ac:dyDescent="0.2">
      <c r="B547" s="30" t="s">
        <v>1247</v>
      </c>
      <c r="C547" s="34" t="s">
        <v>959</v>
      </c>
      <c r="D547" s="35" t="s">
        <v>959</v>
      </c>
      <c r="E547" s="4" t="s">
        <v>959</v>
      </c>
    </row>
    <row r="548" spans="2:5" x14ac:dyDescent="0.2">
      <c r="B548" s="29" t="s">
        <v>133</v>
      </c>
      <c r="C548" s="32" t="s">
        <v>959</v>
      </c>
      <c r="D548" s="32" t="s">
        <v>959</v>
      </c>
      <c r="E548" s="36" t="s">
        <v>959</v>
      </c>
    </row>
    <row r="549" spans="2:5" x14ac:dyDescent="0.2">
      <c r="B549" s="30" t="s">
        <v>1248</v>
      </c>
      <c r="C549" s="34" t="s">
        <v>959</v>
      </c>
      <c r="D549" s="35" t="s">
        <v>959</v>
      </c>
      <c r="E549" s="4" t="s">
        <v>959</v>
      </c>
    </row>
    <row r="550" spans="2:5" x14ac:dyDescent="0.2">
      <c r="B550" s="30" t="s">
        <v>1249</v>
      </c>
      <c r="C550" s="34" t="s">
        <v>959</v>
      </c>
      <c r="D550" s="35" t="s">
        <v>959</v>
      </c>
      <c r="E550" s="4" t="s">
        <v>959</v>
      </c>
    </row>
    <row r="551" spans="2:5" x14ac:dyDescent="0.2">
      <c r="B551" s="30" t="s">
        <v>1250</v>
      </c>
      <c r="C551" s="34" t="s">
        <v>959</v>
      </c>
      <c r="D551" s="35" t="s">
        <v>959</v>
      </c>
      <c r="E551" s="4" t="s">
        <v>959</v>
      </c>
    </row>
    <row r="552" spans="2:5" x14ac:dyDescent="0.2">
      <c r="B552" s="30" t="s">
        <v>1251</v>
      </c>
      <c r="C552" s="34" t="s">
        <v>959</v>
      </c>
      <c r="D552" s="35" t="s">
        <v>959</v>
      </c>
      <c r="E552" s="4" t="s">
        <v>959</v>
      </c>
    </row>
    <row r="553" spans="2:5" x14ac:dyDescent="0.2">
      <c r="B553" s="30" t="s">
        <v>1252</v>
      </c>
      <c r="C553" s="34" t="s">
        <v>959</v>
      </c>
      <c r="D553" s="35" t="s">
        <v>959</v>
      </c>
      <c r="E553" s="4" t="s">
        <v>959</v>
      </c>
    </row>
    <row r="554" spans="2:5" x14ac:dyDescent="0.2">
      <c r="B554" s="30" t="s">
        <v>1253</v>
      </c>
      <c r="C554" s="34" t="s">
        <v>959</v>
      </c>
      <c r="D554" s="35" t="s">
        <v>959</v>
      </c>
      <c r="E554" s="4" t="s">
        <v>959</v>
      </c>
    </row>
    <row r="555" spans="2:5" x14ac:dyDescent="0.2">
      <c r="B555" s="30" t="s">
        <v>989</v>
      </c>
      <c r="C555" s="34" t="s">
        <v>959</v>
      </c>
      <c r="D555" s="35" t="s">
        <v>959</v>
      </c>
      <c r="E555" s="4" t="s">
        <v>959</v>
      </c>
    </row>
    <row r="556" spans="2:5" x14ac:dyDescent="0.2">
      <c r="B556" s="29" t="s">
        <v>108</v>
      </c>
      <c r="C556" s="32" t="s">
        <v>959</v>
      </c>
      <c r="D556" s="32" t="s">
        <v>959</v>
      </c>
      <c r="E556" s="36" t="s">
        <v>959</v>
      </c>
    </row>
    <row r="557" spans="2:5" x14ac:dyDescent="0.2">
      <c r="B557" s="30" t="s">
        <v>1254</v>
      </c>
      <c r="C557" s="34" t="s">
        <v>959</v>
      </c>
      <c r="D557" s="35" t="s">
        <v>959</v>
      </c>
      <c r="E557" s="4" t="s">
        <v>959</v>
      </c>
    </row>
    <row r="558" spans="2:5" x14ac:dyDescent="0.2">
      <c r="B558" s="30" t="s">
        <v>1255</v>
      </c>
      <c r="C558" s="34" t="s">
        <v>959</v>
      </c>
      <c r="D558" s="35" t="s">
        <v>959</v>
      </c>
      <c r="E558" s="4" t="s">
        <v>959</v>
      </c>
    </row>
    <row r="559" spans="2:5" x14ac:dyDescent="0.2">
      <c r="B559" s="30" t="s">
        <v>1256</v>
      </c>
      <c r="C559" s="34" t="s">
        <v>959</v>
      </c>
      <c r="D559" s="35" t="s">
        <v>959</v>
      </c>
      <c r="E559" s="4" t="s">
        <v>959</v>
      </c>
    </row>
    <row r="560" spans="2:5" x14ac:dyDescent="0.2">
      <c r="B560" s="30" t="s">
        <v>1257</v>
      </c>
      <c r="C560" s="34" t="s">
        <v>959</v>
      </c>
      <c r="D560" s="35" t="s">
        <v>959</v>
      </c>
      <c r="E560" s="4" t="s">
        <v>959</v>
      </c>
    </row>
    <row r="561" spans="2:5" x14ac:dyDescent="0.2">
      <c r="B561" s="30" t="s">
        <v>989</v>
      </c>
      <c r="C561" s="34" t="s">
        <v>959</v>
      </c>
      <c r="D561" s="35" t="s">
        <v>959</v>
      </c>
      <c r="E561" s="4" t="s">
        <v>959</v>
      </c>
    </row>
    <row r="562" spans="2:5" x14ac:dyDescent="0.2">
      <c r="B562" s="30" t="s">
        <v>1258</v>
      </c>
      <c r="C562" s="34" t="s">
        <v>959</v>
      </c>
      <c r="D562" s="35" t="s">
        <v>959</v>
      </c>
      <c r="E562" s="4" t="s">
        <v>959</v>
      </c>
    </row>
    <row r="563" spans="2:5" x14ac:dyDescent="0.2">
      <c r="B563" s="30" t="s">
        <v>1259</v>
      </c>
      <c r="C563" s="34" t="s">
        <v>959</v>
      </c>
      <c r="D563" s="35" t="s">
        <v>959</v>
      </c>
      <c r="E563" s="4" t="s">
        <v>959</v>
      </c>
    </row>
    <row r="564" spans="2:5" x14ac:dyDescent="0.2">
      <c r="B564" s="29" t="s">
        <v>85</v>
      </c>
      <c r="C564" s="32" t="s">
        <v>959</v>
      </c>
      <c r="D564" s="32" t="s">
        <v>959</v>
      </c>
      <c r="E564" s="36" t="s">
        <v>959</v>
      </c>
    </row>
    <row r="565" spans="2:5" x14ac:dyDescent="0.2">
      <c r="B565" s="30" t="s">
        <v>1260</v>
      </c>
      <c r="C565" s="34" t="s">
        <v>959</v>
      </c>
      <c r="D565" s="35" t="s">
        <v>959</v>
      </c>
      <c r="E565" s="4" t="s">
        <v>959</v>
      </c>
    </row>
    <row r="566" spans="2:5" x14ac:dyDescent="0.2">
      <c r="B566" s="30" t="s">
        <v>1261</v>
      </c>
      <c r="C566" s="34" t="s">
        <v>959</v>
      </c>
      <c r="D566" s="35" t="s">
        <v>959</v>
      </c>
      <c r="E566" s="4" t="s">
        <v>959</v>
      </c>
    </row>
    <row r="567" spans="2:5" x14ac:dyDescent="0.2">
      <c r="B567" s="30" t="s">
        <v>1262</v>
      </c>
      <c r="C567" s="34" t="s">
        <v>959</v>
      </c>
      <c r="D567" s="35" t="s">
        <v>959</v>
      </c>
      <c r="E567" s="4" t="s">
        <v>959</v>
      </c>
    </row>
    <row r="568" spans="2:5" x14ac:dyDescent="0.2">
      <c r="B568" s="30" t="s">
        <v>1263</v>
      </c>
      <c r="C568" s="34" t="s">
        <v>959</v>
      </c>
      <c r="D568" s="35" t="s">
        <v>959</v>
      </c>
      <c r="E568" s="4" t="s">
        <v>959</v>
      </c>
    </row>
    <row r="569" spans="2:5" x14ac:dyDescent="0.2">
      <c r="B569" s="30" t="s">
        <v>1264</v>
      </c>
      <c r="C569" s="34" t="s">
        <v>959</v>
      </c>
      <c r="D569" s="35" t="s">
        <v>959</v>
      </c>
      <c r="E569" s="4" t="s">
        <v>959</v>
      </c>
    </row>
    <row r="570" spans="2:5" x14ac:dyDescent="0.2">
      <c r="B570" s="30" t="s">
        <v>1265</v>
      </c>
      <c r="C570" s="34" t="s">
        <v>959</v>
      </c>
      <c r="D570" s="35" t="s">
        <v>959</v>
      </c>
      <c r="E570" s="4" t="s">
        <v>959</v>
      </c>
    </row>
    <row r="571" spans="2:5" x14ac:dyDescent="0.2">
      <c r="B571" s="30" t="s">
        <v>1266</v>
      </c>
      <c r="C571" s="34" t="s">
        <v>959</v>
      </c>
      <c r="D571" s="35" t="s">
        <v>959</v>
      </c>
      <c r="E571" s="4" t="s">
        <v>959</v>
      </c>
    </row>
    <row r="572" spans="2:5" x14ac:dyDescent="0.2">
      <c r="B572" s="30" t="s">
        <v>1267</v>
      </c>
      <c r="C572" s="34" t="s">
        <v>959</v>
      </c>
      <c r="D572" s="35" t="s">
        <v>959</v>
      </c>
      <c r="E572" s="4" t="s">
        <v>959</v>
      </c>
    </row>
    <row r="573" spans="2:5" x14ac:dyDescent="0.2">
      <c r="B573" s="30" t="s">
        <v>1268</v>
      </c>
      <c r="C573" s="34" t="s">
        <v>959</v>
      </c>
      <c r="D573" s="35" t="s">
        <v>959</v>
      </c>
      <c r="E573" s="4" t="s">
        <v>959</v>
      </c>
    </row>
    <row r="574" spans="2:5" x14ac:dyDescent="0.2">
      <c r="B574" s="30" t="s">
        <v>1269</v>
      </c>
      <c r="C574" s="34" t="s">
        <v>959</v>
      </c>
      <c r="D574" s="35" t="s">
        <v>959</v>
      </c>
      <c r="E574" s="4" t="s">
        <v>959</v>
      </c>
    </row>
    <row r="575" spans="2:5" x14ac:dyDescent="0.2">
      <c r="B575" s="29" t="s">
        <v>132</v>
      </c>
      <c r="C575" s="32" t="s">
        <v>959</v>
      </c>
      <c r="D575" s="32" t="s">
        <v>959</v>
      </c>
      <c r="E575" s="36" t="s">
        <v>959</v>
      </c>
    </row>
    <row r="576" spans="2:5" x14ac:dyDescent="0.2">
      <c r="B576" s="30" t="s">
        <v>1270</v>
      </c>
      <c r="C576" s="34" t="s">
        <v>959</v>
      </c>
      <c r="D576" s="35" t="s">
        <v>959</v>
      </c>
      <c r="E576" s="4" t="s">
        <v>959</v>
      </c>
    </row>
    <row r="577" spans="2:5" x14ac:dyDescent="0.2">
      <c r="B577" s="30" t="s">
        <v>1271</v>
      </c>
      <c r="C577" s="34" t="s">
        <v>959</v>
      </c>
      <c r="D577" s="35" t="s">
        <v>959</v>
      </c>
      <c r="E577" s="4" t="s">
        <v>959</v>
      </c>
    </row>
    <row r="578" spans="2:5" x14ac:dyDescent="0.2">
      <c r="B578" s="30" t="s">
        <v>1272</v>
      </c>
      <c r="C578" s="34" t="s">
        <v>959</v>
      </c>
      <c r="D578" s="35" t="s">
        <v>959</v>
      </c>
      <c r="E578" s="4" t="s">
        <v>959</v>
      </c>
    </row>
    <row r="579" spans="2:5" x14ac:dyDescent="0.2">
      <c r="B579" s="30" t="s">
        <v>1273</v>
      </c>
      <c r="C579" s="34" t="s">
        <v>959</v>
      </c>
      <c r="D579" s="35" t="s">
        <v>959</v>
      </c>
      <c r="E579" s="4" t="s">
        <v>959</v>
      </c>
    </row>
    <row r="580" spans="2:5" x14ac:dyDescent="0.2">
      <c r="B580" s="30" t="s">
        <v>1274</v>
      </c>
      <c r="C580" s="34" t="s">
        <v>959</v>
      </c>
      <c r="D580" s="35" t="s">
        <v>959</v>
      </c>
      <c r="E580" s="4" t="s">
        <v>959</v>
      </c>
    </row>
    <row r="581" spans="2:5" x14ac:dyDescent="0.2">
      <c r="B581" s="30" t="s">
        <v>1275</v>
      </c>
      <c r="C581" s="34" t="s">
        <v>959</v>
      </c>
      <c r="D581" s="35" t="s">
        <v>959</v>
      </c>
      <c r="E581" s="4" t="s">
        <v>959</v>
      </c>
    </row>
    <row r="582" spans="2:5" x14ac:dyDescent="0.2">
      <c r="B582" s="30" t="s">
        <v>1276</v>
      </c>
      <c r="C582" s="34" t="s">
        <v>959</v>
      </c>
      <c r="D582" s="35" t="s">
        <v>959</v>
      </c>
      <c r="E582" s="4" t="s">
        <v>959</v>
      </c>
    </row>
    <row r="583" spans="2:5" x14ac:dyDescent="0.2">
      <c r="B583" s="30" t="s">
        <v>1277</v>
      </c>
      <c r="C583" s="34" t="s">
        <v>959</v>
      </c>
      <c r="D583" s="35" t="s">
        <v>959</v>
      </c>
      <c r="E583" s="4" t="s">
        <v>959</v>
      </c>
    </row>
    <row r="584" spans="2:5" x14ac:dyDescent="0.2">
      <c r="B584" s="30" t="s">
        <v>1278</v>
      </c>
      <c r="C584" s="34" t="s">
        <v>959</v>
      </c>
      <c r="D584" s="35" t="s">
        <v>959</v>
      </c>
      <c r="E584" s="4" t="s">
        <v>959</v>
      </c>
    </row>
    <row r="585" spans="2:5" x14ac:dyDescent="0.2">
      <c r="B585" s="29" t="s">
        <v>96</v>
      </c>
      <c r="C585" s="32" t="s">
        <v>959</v>
      </c>
      <c r="D585" s="32" t="s">
        <v>959</v>
      </c>
      <c r="E585" s="36" t="s">
        <v>959</v>
      </c>
    </row>
    <row r="586" spans="2:5" x14ac:dyDescent="0.2">
      <c r="B586" s="30" t="s">
        <v>1279</v>
      </c>
      <c r="C586" s="34" t="s">
        <v>959</v>
      </c>
      <c r="D586" s="35" t="s">
        <v>959</v>
      </c>
      <c r="E586" s="4" t="s">
        <v>959</v>
      </c>
    </row>
    <row r="587" spans="2:5" x14ac:dyDescent="0.2">
      <c r="B587" s="30" t="s">
        <v>1280</v>
      </c>
      <c r="C587" s="34" t="s">
        <v>959</v>
      </c>
      <c r="D587" s="35" t="s">
        <v>959</v>
      </c>
      <c r="E587" s="4" t="s">
        <v>959</v>
      </c>
    </row>
    <row r="588" spans="2:5" x14ac:dyDescent="0.2">
      <c r="B588" s="30" t="s">
        <v>1281</v>
      </c>
      <c r="C588" s="34" t="s">
        <v>959</v>
      </c>
      <c r="D588" s="35" t="s">
        <v>959</v>
      </c>
      <c r="E588" s="4" t="s">
        <v>959</v>
      </c>
    </row>
    <row r="589" spans="2:5" x14ac:dyDescent="0.2">
      <c r="B589" s="30" t="s">
        <v>1282</v>
      </c>
      <c r="C589" s="34" t="s">
        <v>959</v>
      </c>
      <c r="D589" s="35" t="s">
        <v>959</v>
      </c>
      <c r="E589" s="4" t="s">
        <v>959</v>
      </c>
    </row>
    <row r="590" spans="2:5" x14ac:dyDescent="0.2">
      <c r="B590" s="30" t="s">
        <v>1283</v>
      </c>
      <c r="C590" s="34" t="s">
        <v>959</v>
      </c>
      <c r="D590" s="35" t="s">
        <v>959</v>
      </c>
      <c r="E590" s="4" t="s">
        <v>959</v>
      </c>
    </row>
    <row r="591" spans="2:5" x14ac:dyDescent="0.2">
      <c r="B591" s="30" t="s">
        <v>1284</v>
      </c>
      <c r="C591" s="34" t="s">
        <v>959</v>
      </c>
      <c r="D591" s="35" t="s">
        <v>959</v>
      </c>
      <c r="E591" s="4" t="s">
        <v>959</v>
      </c>
    </row>
    <row r="592" spans="2:5" x14ac:dyDescent="0.2">
      <c r="B592" s="30" t="s">
        <v>1285</v>
      </c>
      <c r="C592" s="34" t="s">
        <v>959</v>
      </c>
      <c r="D592" s="35" t="s">
        <v>959</v>
      </c>
      <c r="E592" s="4" t="s">
        <v>959</v>
      </c>
    </row>
    <row r="593" spans="2:5" x14ac:dyDescent="0.2">
      <c r="B593" s="29" t="s">
        <v>117</v>
      </c>
      <c r="C593" s="32" t="s">
        <v>959</v>
      </c>
      <c r="D593" s="32" t="s">
        <v>959</v>
      </c>
      <c r="E593" s="36" t="s">
        <v>959</v>
      </c>
    </row>
    <row r="594" spans="2:5" x14ac:dyDescent="0.2">
      <c r="B594" s="30" t="s">
        <v>1286</v>
      </c>
      <c r="C594" s="34" t="s">
        <v>959</v>
      </c>
      <c r="D594" s="35" t="s">
        <v>959</v>
      </c>
      <c r="E594" s="4" t="s">
        <v>959</v>
      </c>
    </row>
    <row r="595" spans="2:5" x14ac:dyDescent="0.2">
      <c r="B595" s="30" t="s">
        <v>1287</v>
      </c>
      <c r="C595" s="34" t="s">
        <v>959</v>
      </c>
      <c r="D595" s="35" t="s">
        <v>959</v>
      </c>
      <c r="E595" s="4" t="s">
        <v>959</v>
      </c>
    </row>
    <row r="596" spans="2:5" x14ac:dyDescent="0.2">
      <c r="B596" s="30" t="s">
        <v>1288</v>
      </c>
      <c r="C596" s="34" t="s">
        <v>959</v>
      </c>
      <c r="D596" s="35" t="s">
        <v>959</v>
      </c>
      <c r="E596" s="4" t="s">
        <v>959</v>
      </c>
    </row>
    <row r="597" spans="2:5" x14ac:dyDescent="0.2">
      <c r="B597" s="30" t="s">
        <v>1289</v>
      </c>
      <c r="C597" s="34" t="s">
        <v>959</v>
      </c>
      <c r="D597" s="35" t="s">
        <v>959</v>
      </c>
      <c r="E597" s="4" t="s">
        <v>959</v>
      </c>
    </row>
    <row r="598" spans="2:5" x14ac:dyDescent="0.2">
      <c r="B598" s="30" t="s">
        <v>1290</v>
      </c>
      <c r="C598" s="34" t="s">
        <v>959</v>
      </c>
      <c r="D598" s="35" t="s">
        <v>959</v>
      </c>
      <c r="E598" s="4" t="s">
        <v>959</v>
      </c>
    </row>
    <row r="599" spans="2:5" x14ac:dyDescent="0.2">
      <c r="B599" s="30" t="s">
        <v>1291</v>
      </c>
      <c r="C599" s="34" t="s">
        <v>959</v>
      </c>
      <c r="D599" s="35" t="s">
        <v>959</v>
      </c>
      <c r="E599" s="4" t="s">
        <v>959</v>
      </c>
    </row>
    <row r="600" spans="2:5" x14ac:dyDescent="0.2">
      <c r="B600" s="29" t="s">
        <v>49</v>
      </c>
      <c r="C600" s="32" t="s">
        <v>959</v>
      </c>
      <c r="D600" s="32" t="s">
        <v>959</v>
      </c>
      <c r="E600" s="36" t="s">
        <v>959</v>
      </c>
    </row>
    <row r="601" spans="2:5" x14ac:dyDescent="0.2">
      <c r="B601" s="30" t="s">
        <v>1292</v>
      </c>
      <c r="C601" s="34" t="s">
        <v>959</v>
      </c>
      <c r="D601" s="35" t="s">
        <v>959</v>
      </c>
      <c r="E601" s="4" t="s">
        <v>959</v>
      </c>
    </row>
    <row r="602" spans="2:5" x14ac:dyDescent="0.2">
      <c r="B602" s="30" t="s">
        <v>1293</v>
      </c>
      <c r="C602" s="34" t="s">
        <v>959</v>
      </c>
      <c r="D602" s="35" t="s">
        <v>959</v>
      </c>
      <c r="E602" s="4" t="s">
        <v>959</v>
      </c>
    </row>
    <row r="603" spans="2:5" x14ac:dyDescent="0.2">
      <c r="B603" s="30" t="s">
        <v>1294</v>
      </c>
      <c r="C603" s="34" t="s">
        <v>959</v>
      </c>
      <c r="D603" s="35" t="s">
        <v>959</v>
      </c>
      <c r="E603" s="4" t="s">
        <v>959</v>
      </c>
    </row>
    <row r="604" spans="2:5" x14ac:dyDescent="0.2">
      <c r="B604" s="30" t="s">
        <v>1295</v>
      </c>
      <c r="C604" s="34" t="s">
        <v>959</v>
      </c>
      <c r="D604" s="35" t="s">
        <v>959</v>
      </c>
      <c r="E604" s="4" t="s">
        <v>959</v>
      </c>
    </row>
    <row r="605" spans="2:5" x14ac:dyDescent="0.2">
      <c r="B605" s="30" t="s">
        <v>1296</v>
      </c>
      <c r="C605" s="34" t="s">
        <v>959</v>
      </c>
      <c r="D605" s="35" t="s">
        <v>959</v>
      </c>
      <c r="E605" s="4" t="s">
        <v>959</v>
      </c>
    </row>
    <row r="606" spans="2:5" x14ac:dyDescent="0.2">
      <c r="B606" s="30" t="s">
        <v>1297</v>
      </c>
      <c r="C606" s="34" t="s">
        <v>959</v>
      </c>
      <c r="D606" s="35" t="s">
        <v>959</v>
      </c>
      <c r="E606" s="4" t="s">
        <v>959</v>
      </c>
    </row>
    <row r="607" spans="2:5" x14ac:dyDescent="0.2">
      <c r="B607" s="29" t="s">
        <v>70</v>
      </c>
      <c r="C607" s="32" t="s">
        <v>959</v>
      </c>
      <c r="D607" s="32" t="s">
        <v>959</v>
      </c>
      <c r="E607" s="36" t="s">
        <v>959</v>
      </c>
    </row>
    <row r="608" spans="2:5" x14ac:dyDescent="0.2">
      <c r="B608" s="30" t="s">
        <v>1298</v>
      </c>
      <c r="C608" s="34" t="s">
        <v>959</v>
      </c>
      <c r="D608" s="35" t="s">
        <v>959</v>
      </c>
      <c r="E608" s="4" t="s">
        <v>959</v>
      </c>
    </row>
    <row r="609" spans="2:5" x14ac:dyDescent="0.2">
      <c r="B609" s="30" t="s">
        <v>1299</v>
      </c>
      <c r="C609" s="34" t="s">
        <v>959</v>
      </c>
      <c r="D609" s="35" t="s">
        <v>959</v>
      </c>
      <c r="E609" s="4" t="s">
        <v>959</v>
      </c>
    </row>
    <row r="610" spans="2:5" x14ac:dyDescent="0.2">
      <c r="B610" s="30" t="s">
        <v>1300</v>
      </c>
      <c r="C610" s="34" t="s">
        <v>959</v>
      </c>
      <c r="D610" s="35" t="s">
        <v>959</v>
      </c>
      <c r="E610" s="4" t="s">
        <v>959</v>
      </c>
    </row>
    <row r="611" spans="2:5" x14ac:dyDescent="0.2">
      <c r="B611" s="30" t="s">
        <v>1301</v>
      </c>
      <c r="C611" s="34" t="s">
        <v>959</v>
      </c>
      <c r="D611" s="35" t="s">
        <v>959</v>
      </c>
      <c r="E611" s="4" t="s">
        <v>959</v>
      </c>
    </row>
    <row r="612" spans="2:5" x14ac:dyDescent="0.2">
      <c r="B612" s="30" t="s">
        <v>1302</v>
      </c>
      <c r="C612" s="34" t="s">
        <v>959</v>
      </c>
      <c r="D612" s="35" t="s">
        <v>959</v>
      </c>
      <c r="E612" s="4" t="s">
        <v>959</v>
      </c>
    </row>
    <row r="613" spans="2:5" x14ac:dyDescent="0.2">
      <c r="B613" s="30" t="s">
        <v>1303</v>
      </c>
      <c r="C613" s="34" t="s">
        <v>959</v>
      </c>
      <c r="D613" s="35" t="s">
        <v>959</v>
      </c>
      <c r="E613" s="4" t="s">
        <v>959</v>
      </c>
    </row>
    <row r="614" spans="2:5" x14ac:dyDescent="0.2">
      <c r="B614" s="29" t="s">
        <v>76</v>
      </c>
      <c r="C614" s="32" t="s">
        <v>959</v>
      </c>
      <c r="D614" s="32" t="s">
        <v>959</v>
      </c>
      <c r="E614" s="36" t="s">
        <v>959</v>
      </c>
    </row>
    <row r="615" spans="2:5" x14ac:dyDescent="0.2">
      <c r="B615" s="30" t="s">
        <v>1304</v>
      </c>
      <c r="C615" s="34" t="s">
        <v>959</v>
      </c>
      <c r="D615" s="35" t="s">
        <v>959</v>
      </c>
      <c r="E615" s="4" t="s">
        <v>959</v>
      </c>
    </row>
    <row r="616" spans="2:5" x14ac:dyDescent="0.2">
      <c r="B616" s="30" t="s">
        <v>1305</v>
      </c>
      <c r="C616" s="34" t="s">
        <v>959</v>
      </c>
      <c r="D616" s="35" t="s">
        <v>959</v>
      </c>
      <c r="E616" s="4" t="s">
        <v>959</v>
      </c>
    </row>
    <row r="617" spans="2:5" x14ac:dyDescent="0.2">
      <c r="B617" s="30" t="s">
        <v>1306</v>
      </c>
      <c r="C617" s="34" t="s">
        <v>959</v>
      </c>
      <c r="D617" s="35" t="s">
        <v>959</v>
      </c>
      <c r="E617" s="4" t="s">
        <v>959</v>
      </c>
    </row>
    <row r="618" spans="2:5" x14ac:dyDescent="0.2">
      <c r="B618" s="30" t="s">
        <v>1307</v>
      </c>
      <c r="C618" s="34" t="s">
        <v>959</v>
      </c>
      <c r="D618" s="35" t="s">
        <v>959</v>
      </c>
      <c r="E618" s="4" t="s">
        <v>959</v>
      </c>
    </row>
    <row r="619" spans="2:5" x14ac:dyDescent="0.2">
      <c r="B619" s="30" t="s">
        <v>1308</v>
      </c>
      <c r="C619" s="34" t="s">
        <v>959</v>
      </c>
      <c r="D619" s="35" t="s">
        <v>959</v>
      </c>
      <c r="E619" s="4" t="s">
        <v>959</v>
      </c>
    </row>
    <row r="620" spans="2:5" x14ac:dyDescent="0.2">
      <c r="B620" s="30" t="s">
        <v>1309</v>
      </c>
      <c r="C620" s="34" t="s">
        <v>959</v>
      </c>
      <c r="D620" s="35" t="s">
        <v>959</v>
      </c>
      <c r="E620" s="4" t="s">
        <v>959</v>
      </c>
    </row>
    <row r="621" spans="2:5" x14ac:dyDescent="0.2">
      <c r="B621" s="29" t="s">
        <v>102</v>
      </c>
      <c r="C621" s="32" t="s">
        <v>959</v>
      </c>
      <c r="D621" s="32" t="s">
        <v>959</v>
      </c>
      <c r="E621" s="36" t="s">
        <v>959</v>
      </c>
    </row>
    <row r="622" spans="2:5" x14ac:dyDescent="0.2">
      <c r="B622" s="30" t="s">
        <v>1310</v>
      </c>
      <c r="C622" s="34" t="s">
        <v>959</v>
      </c>
      <c r="D622" s="35" t="s">
        <v>959</v>
      </c>
      <c r="E622" s="4" t="s">
        <v>959</v>
      </c>
    </row>
    <row r="623" spans="2:5" x14ac:dyDescent="0.2">
      <c r="B623" s="30" t="s">
        <v>1311</v>
      </c>
      <c r="C623" s="34" t="s">
        <v>959</v>
      </c>
      <c r="D623" s="35" t="s">
        <v>959</v>
      </c>
      <c r="E623" s="4" t="s">
        <v>959</v>
      </c>
    </row>
    <row r="624" spans="2:5" x14ac:dyDescent="0.2">
      <c r="B624" s="30" t="s">
        <v>1312</v>
      </c>
      <c r="C624" s="34" t="s">
        <v>959</v>
      </c>
      <c r="D624" s="35" t="s">
        <v>959</v>
      </c>
      <c r="E624" s="4" t="s">
        <v>959</v>
      </c>
    </row>
    <row r="625" spans="2:5" x14ac:dyDescent="0.2">
      <c r="B625" s="30" t="s">
        <v>1313</v>
      </c>
      <c r="C625" s="34" t="s">
        <v>959</v>
      </c>
      <c r="D625" s="35" t="s">
        <v>959</v>
      </c>
      <c r="E625" s="4" t="s">
        <v>959</v>
      </c>
    </row>
    <row r="626" spans="2:5" x14ac:dyDescent="0.2">
      <c r="B626" s="30" t="s">
        <v>1314</v>
      </c>
      <c r="C626" s="34" t="s">
        <v>959</v>
      </c>
      <c r="D626" s="35" t="s">
        <v>959</v>
      </c>
      <c r="E626" s="4" t="s">
        <v>959</v>
      </c>
    </row>
    <row r="627" spans="2:5" x14ac:dyDescent="0.2">
      <c r="B627" s="29" t="s">
        <v>33</v>
      </c>
      <c r="C627" s="32" t="s">
        <v>959</v>
      </c>
      <c r="D627" s="32" t="s">
        <v>959</v>
      </c>
      <c r="E627" s="36" t="s">
        <v>959</v>
      </c>
    </row>
    <row r="628" spans="2:5" x14ac:dyDescent="0.2">
      <c r="B628" s="30" t="s">
        <v>1315</v>
      </c>
      <c r="C628" s="34" t="s">
        <v>959</v>
      </c>
      <c r="D628" s="35" t="s">
        <v>959</v>
      </c>
      <c r="E628" s="4" t="s">
        <v>959</v>
      </c>
    </row>
    <row r="629" spans="2:5" x14ac:dyDescent="0.2">
      <c r="B629" s="30" t="s">
        <v>1316</v>
      </c>
      <c r="C629" s="34" t="s">
        <v>959</v>
      </c>
      <c r="D629" s="35" t="s">
        <v>959</v>
      </c>
      <c r="E629" s="4" t="s">
        <v>959</v>
      </c>
    </row>
    <row r="630" spans="2:5" x14ac:dyDescent="0.2">
      <c r="B630" s="30" t="s">
        <v>1317</v>
      </c>
      <c r="C630" s="34" t="s">
        <v>959</v>
      </c>
      <c r="D630" s="35" t="s">
        <v>959</v>
      </c>
      <c r="E630" s="4" t="s">
        <v>959</v>
      </c>
    </row>
    <row r="631" spans="2:5" x14ac:dyDescent="0.2">
      <c r="B631" s="30" t="s">
        <v>1318</v>
      </c>
      <c r="C631" s="34" t="s">
        <v>959</v>
      </c>
      <c r="D631" s="35" t="s">
        <v>959</v>
      </c>
      <c r="E631" s="4" t="s">
        <v>959</v>
      </c>
    </row>
    <row r="632" spans="2:5" x14ac:dyDescent="0.2">
      <c r="B632" s="29" t="s">
        <v>67</v>
      </c>
      <c r="C632" s="32" t="s">
        <v>959</v>
      </c>
      <c r="D632" s="32" t="s">
        <v>959</v>
      </c>
      <c r="E632" s="36" t="s">
        <v>959</v>
      </c>
    </row>
    <row r="633" spans="2:5" x14ac:dyDescent="0.2">
      <c r="B633" s="30" t="s">
        <v>1319</v>
      </c>
      <c r="C633" s="34" t="s">
        <v>959</v>
      </c>
      <c r="D633" s="35" t="s">
        <v>959</v>
      </c>
      <c r="E633" s="4" t="s">
        <v>959</v>
      </c>
    </row>
    <row r="634" spans="2:5" x14ac:dyDescent="0.2">
      <c r="B634" s="30" t="s">
        <v>1320</v>
      </c>
      <c r="C634" s="34" t="s">
        <v>959</v>
      </c>
      <c r="D634" s="35" t="s">
        <v>959</v>
      </c>
      <c r="E634" s="4" t="s">
        <v>959</v>
      </c>
    </row>
    <row r="635" spans="2:5" x14ac:dyDescent="0.2">
      <c r="B635" s="30" t="s">
        <v>1321</v>
      </c>
      <c r="C635" s="34" t="s">
        <v>959</v>
      </c>
      <c r="D635" s="35" t="s">
        <v>959</v>
      </c>
      <c r="E635" s="4" t="s">
        <v>959</v>
      </c>
    </row>
    <row r="636" spans="2:5" x14ac:dyDescent="0.2">
      <c r="B636" s="30" t="s">
        <v>1322</v>
      </c>
      <c r="C636" s="34" t="s">
        <v>959</v>
      </c>
      <c r="D636" s="35" t="s">
        <v>959</v>
      </c>
      <c r="E636" s="4" t="s">
        <v>959</v>
      </c>
    </row>
    <row r="637" spans="2:5" x14ac:dyDescent="0.2">
      <c r="B637" s="30" t="s">
        <v>1323</v>
      </c>
      <c r="C637" s="34" t="s">
        <v>959</v>
      </c>
      <c r="D637" s="35" t="s">
        <v>959</v>
      </c>
      <c r="E637" s="4" t="s">
        <v>959</v>
      </c>
    </row>
    <row r="638" spans="2:5" x14ac:dyDescent="0.2">
      <c r="B638" s="30" t="s">
        <v>1324</v>
      </c>
      <c r="C638" s="34" t="s">
        <v>959</v>
      </c>
      <c r="D638" s="35" t="s">
        <v>959</v>
      </c>
      <c r="E638" s="4" t="s">
        <v>959</v>
      </c>
    </row>
    <row r="639" spans="2:5" x14ac:dyDescent="0.2">
      <c r="B639" s="30" t="s">
        <v>1325</v>
      </c>
      <c r="C639" s="34" t="s">
        <v>959</v>
      </c>
      <c r="D639" s="35" t="s">
        <v>959</v>
      </c>
      <c r="E639" s="4" t="s">
        <v>959</v>
      </c>
    </row>
    <row r="640" spans="2:5" x14ac:dyDescent="0.2">
      <c r="B640" s="29" t="s">
        <v>135</v>
      </c>
      <c r="C640" s="32" t="s">
        <v>959</v>
      </c>
      <c r="D640" s="32" t="s">
        <v>959</v>
      </c>
      <c r="E640" s="36" t="s">
        <v>959</v>
      </c>
    </row>
    <row r="641" spans="2:5" x14ac:dyDescent="0.2">
      <c r="B641" s="30" t="s">
        <v>1326</v>
      </c>
      <c r="C641" s="34" t="s">
        <v>959</v>
      </c>
      <c r="D641" s="35" t="s">
        <v>959</v>
      </c>
      <c r="E641" s="4" t="s">
        <v>959</v>
      </c>
    </row>
    <row r="642" spans="2:5" x14ac:dyDescent="0.2">
      <c r="B642" s="30" t="s">
        <v>1327</v>
      </c>
      <c r="C642" s="34" t="s">
        <v>959</v>
      </c>
      <c r="D642" s="35" t="s">
        <v>959</v>
      </c>
      <c r="E642" s="4" t="s">
        <v>959</v>
      </c>
    </row>
    <row r="643" spans="2:5" x14ac:dyDescent="0.2">
      <c r="B643" s="30" t="s">
        <v>1328</v>
      </c>
      <c r="C643" s="34" t="s">
        <v>959</v>
      </c>
      <c r="D643" s="35" t="s">
        <v>959</v>
      </c>
      <c r="E643" s="4" t="s">
        <v>959</v>
      </c>
    </row>
    <row r="644" spans="2:5" x14ac:dyDescent="0.2">
      <c r="B644" s="30" t="s">
        <v>1329</v>
      </c>
      <c r="C644" s="34" t="s">
        <v>959</v>
      </c>
      <c r="D644" s="35" t="s">
        <v>959</v>
      </c>
      <c r="E644" s="4" t="s">
        <v>959</v>
      </c>
    </row>
    <row r="645" spans="2:5" x14ac:dyDescent="0.2">
      <c r="B645" s="30" t="s">
        <v>1330</v>
      </c>
      <c r="C645" s="34" t="s">
        <v>959</v>
      </c>
      <c r="D645" s="35" t="s">
        <v>959</v>
      </c>
      <c r="E645" s="4" t="s">
        <v>959</v>
      </c>
    </row>
    <row r="646" spans="2:5" x14ac:dyDescent="0.2">
      <c r="B646" s="30" t="s">
        <v>1331</v>
      </c>
      <c r="C646" s="34" t="s">
        <v>959</v>
      </c>
      <c r="D646" s="35" t="s">
        <v>959</v>
      </c>
      <c r="E646" s="4" t="s">
        <v>959</v>
      </c>
    </row>
    <row r="647" spans="2:5" x14ac:dyDescent="0.2">
      <c r="B647" s="29" t="s">
        <v>120</v>
      </c>
      <c r="C647" s="32" t="s">
        <v>959</v>
      </c>
      <c r="D647" s="32" t="s">
        <v>959</v>
      </c>
      <c r="E647" s="36" t="s">
        <v>959</v>
      </c>
    </row>
    <row r="648" spans="2:5" x14ac:dyDescent="0.2">
      <c r="B648" s="30" t="s">
        <v>1332</v>
      </c>
      <c r="C648" s="34" t="s">
        <v>959</v>
      </c>
      <c r="D648" s="35" t="s">
        <v>959</v>
      </c>
      <c r="E648" s="4" t="s">
        <v>959</v>
      </c>
    </row>
    <row r="649" spans="2:5" x14ac:dyDescent="0.2">
      <c r="B649" s="30" t="s">
        <v>1333</v>
      </c>
      <c r="C649" s="34" t="s">
        <v>959</v>
      </c>
      <c r="D649" s="35" t="s">
        <v>959</v>
      </c>
      <c r="E649" s="4" t="s">
        <v>959</v>
      </c>
    </row>
    <row r="650" spans="2:5" x14ac:dyDescent="0.2">
      <c r="B650" s="30" t="s">
        <v>1334</v>
      </c>
      <c r="C650" s="34" t="s">
        <v>959</v>
      </c>
      <c r="D650" s="35" t="s">
        <v>959</v>
      </c>
      <c r="E650" s="4" t="s">
        <v>959</v>
      </c>
    </row>
    <row r="651" spans="2:5" x14ac:dyDescent="0.2">
      <c r="B651" s="30" t="s">
        <v>1335</v>
      </c>
      <c r="C651" s="34" t="s">
        <v>959</v>
      </c>
      <c r="D651" s="35" t="s">
        <v>959</v>
      </c>
      <c r="E651" s="4" t="s">
        <v>959</v>
      </c>
    </row>
    <row r="652" spans="2:5" x14ac:dyDescent="0.2">
      <c r="B652" s="30" t="s">
        <v>1336</v>
      </c>
      <c r="C652" s="34" t="s">
        <v>959</v>
      </c>
      <c r="D652" s="35" t="s">
        <v>959</v>
      </c>
      <c r="E652" s="4" t="s">
        <v>959</v>
      </c>
    </row>
    <row r="653" spans="2:5" x14ac:dyDescent="0.2">
      <c r="B653" s="30" t="s">
        <v>1337</v>
      </c>
      <c r="C653" s="34" t="s">
        <v>959</v>
      </c>
      <c r="D653" s="35" t="s">
        <v>959</v>
      </c>
      <c r="E653" s="4" t="s">
        <v>959</v>
      </c>
    </row>
    <row r="654" spans="2:5" x14ac:dyDescent="0.2">
      <c r="B654" s="29" t="s">
        <v>99</v>
      </c>
      <c r="C654" s="32" t="s">
        <v>959</v>
      </c>
      <c r="D654" s="32" t="s">
        <v>959</v>
      </c>
      <c r="E654" s="36" t="s">
        <v>959</v>
      </c>
    </row>
    <row r="655" spans="2:5" x14ac:dyDescent="0.2">
      <c r="B655" s="30" t="s">
        <v>1338</v>
      </c>
      <c r="C655" s="34" t="s">
        <v>959</v>
      </c>
      <c r="D655" s="35" t="s">
        <v>959</v>
      </c>
      <c r="E655" s="4" t="s">
        <v>959</v>
      </c>
    </row>
    <row r="656" spans="2:5" x14ac:dyDescent="0.2">
      <c r="B656" s="30" t="s">
        <v>1339</v>
      </c>
      <c r="C656" s="34" t="s">
        <v>959</v>
      </c>
      <c r="D656" s="35" t="s">
        <v>959</v>
      </c>
      <c r="E656" s="4" t="s">
        <v>959</v>
      </c>
    </row>
    <row r="657" spans="2:5" x14ac:dyDescent="0.2">
      <c r="B657" s="30" t="s">
        <v>1340</v>
      </c>
      <c r="C657" s="34" t="s">
        <v>959</v>
      </c>
      <c r="D657" s="35" t="s">
        <v>959</v>
      </c>
      <c r="E657" s="4" t="s">
        <v>959</v>
      </c>
    </row>
    <row r="658" spans="2:5" x14ac:dyDescent="0.2">
      <c r="B658" s="30" t="s">
        <v>1341</v>
      </c>
      <c r="C658" s="34" t="s">
        <v>959</v>
      </c>
      <c r="D658" s="35" t="s">
        <v>959</v>
      </c>
      <c r="E658" s="4" t="s">
        <v>959</v>
      </c>
    </row>
    <row r="659" spans="2:5" x14ac:dyDescent="0.2">
      <c r="B659" s="30" t="s">
        <v>1342</v>
      </c>
      <c r="C659" s="34" t="s">
        <v>959</v>
      </c>
      <c r="D659" s="35" t="s">
        <v>959</v>
      </c>
      <c r="E659" s="4" t="s">
        <v>959</v>
      </c>
    </row>
    <row r="660" spans="2:5" x14ac:dyDescent="0.2">
      <c r="B660" s="30" t="s">
        <v>1343</v>
      </c>
      <c r="C660" s="34" t="s">
        <v>959</v>
      </c>
      <c r="D660" s="35" t="s">
        <v>959</v>
      </c>
      <c r="E660" s="4" t="s">
        <v>959</v>
      </c>
    </row>
    <row r="661" spans="2:5" x14ac:dyDescent="0.2">
      <c r="B661" s="30" t="s">
        <v>1344</v>
      </c>
      <c r="C661" s="34" t="s">
        <v>959</v>
      </c>
      <c r="D661" s="35" t="s">
        <v>959</v>
      </c>
      <c r="E661" s="4" t="s">
        <v>959</v>
      </c>
    </row>
    <row r="662" spans="2:5" x14ac:dyDescent="0.2">
      <c r="B662" s="29" t="s">
        <v>89</v>
      </c>
      <c r="C662" s="32" t="s">
        <v>959</v>
      </c>
      <c r="D662" s="32" t="s">
        <v>959</v>
      </c>
      <c r="E662" s="36" t="s">
        <v>959</v>
      </c>
    </row>
    <row r="663" spans="2:5" x14ac:dyDescent="0.2">
      <c r="B663" s="30" t="s">
        <v>1345</v>
      </c>
      <c r="C663" s="34" t="s">
        <v>959</v>
      </c>
      <c r="D663" s="35" t="s">
        <v>959</v>
      </c>
      <c r="E663" s="4" t="s">
        <v>959</v>
      </c>
    </row>
    <row r="664" spans="2:5" x14ac:dyDescent="0.2">
      <c r="B664" s="30" t="s">
        <v>1346</v>
      </c>
      <c r="C664" s="34" t="s">
        <v>959</v>
      </c>
      <c r="D664" s="35" t="s">
        <v>959</v>
      </c>
      <c r="E664" s="4" t="s">
        <v>959</v>
      </c>
    </row>
    <row r="665" spans="2:5" x14ac:dyDescent="0.2">
      <c r="B665" s="30" t="s">
        <v>1347</v>
      </c>
      <c r="C665" s="34" t="s">
        <v>959</v>
      </c>
      <c r="D665" s="35" t="s">
        <v>959</v>
      </c>
      <c r="E665" s="4" t="s">
        <v>959</v>
      </c>
    </row>
    <row r="666" spans="2:5" x14ac:dyDescent="0.2">
      <c r="B666" s="30" t="s">
        <v>1348</v>
      </c>
      <c r="C666" s="34" t="s">
        <v>959</v>
      </c>
      <c r="D666" s="35" t="s">
        <v>959</v>
      </c>
      <c r="E666" s="4" t="s">
        <v>959</v>
      </c>
    </row>
    <row r="667" spans="2:5" x14ac:dyDescent="0.2">
      <c r="B667" s="30" t="s">
        <v>1349</v>
      </c>
      <c r="C667" s="34" t="s">
        <v>959</v>
      </c>
      <c r="D667" s="35" t="s">
        <v>959</v>
      </c>
      <c r="E667" s="4" t="s">
        <v>959</v>
      </c>
    </row>
    <row r="668" spans="2:5" x14ac:dyDescent="0.2">
      <c r="B668" s="29" t="s">
        <v>94</v>
      </c>
      <c r="C668" s="32" t="s">
        <v>959</v>
      </c>
      <c r="D668" s="32" t="s">
        <v>959</v>
      </c>
      <c r="E668" s="36" t="s">
        <v>959</v>
      </c>
    </row>
    <row r="669" spans="2:5" x14ac:dyDescent="0.2">
      <c r="B669" s="30" t="s">
        <v>1350</v>
      </c>
      <c r="C669" s="34" t="s">
        <v>959</v>
      </c>
      <c r="D669" s="35" t="s">
        <v>959</v>
      </c>
      <c r="E669" s="4" t="s">
        <v>959</v>
      </c>
    </row>
    <row r="670" spans="2:5" x14ac:dyDescent="0.2">
      <c r="B670" s="30" t="s">
        <v>1351</v>
      </c>
      <c r="C670" s="34" t="s">
        <v>959</v>
      </c>
      <c r="D670" s="35" t="s">
        <v>959</v>
      </c>
      <c r="E670" s="4" t="s">
        <v>959</v>
      </c>
    </row>
    <row r="671" spans="2:5" x14ac:dyDescent="0.2">
      <c r="B671" s="30" t="s">
        <v>1352</v>
      </c>
      <c r="C671" s="34" t="s">
        <v>959</v>
      </c>
      <c r="D671" s="35" t="s">
        <v>959</v>
      </c>
      <c r="E671" s="4" t="s">
        <v>959</v>
      </c>
    </row>
    <row r="672" spans="2:5" x14ac:dyDescent="0.2">
      <c r="B672" s="30" t="s">
        <v>1353</v>
      </c>
      <c r="C672" s="34" t="s">
        <v>959</v>
      </c>
      <c r="D672" s="35" t="s">
        <v>959</v>
      </c>
      <c r="E672" s="4" t="s">
        <v>959</v>
      </c>
    </row>
    <row r="673" spans="2:5" x14ac:dyDescent="0.2">
      <c r="B673" s="30" t="s">
        <v>1354</v>
      </c>
      <c r="C673" s="34" t="s">
        <v>959</v>
      </c>
      <c r="D673" s="35" t="s">
        <v>959</v>
      </c>
      <c r="E673" s="4" t="s">
        <v>959</v>
      </c>
    </row>
    <row r="674" spans="2:5" x14ac:dyDescent="0.2">
      <c r="B674" s="30" t="s">
        <v>1355</v>
      </c>
      <c r="C674" s="34" t="s">
        <v>959</v>
      </c>
      <c r="D674" s="35" t="s">
        <v>959</v>
      </c>
      <c r="E674" s="4" t="s">
        <v>959</v>
      </c>
    </row>
    <row r="675" spans="2:5" x14ac:dyDescent="0.2">
      <c r="B675" s="30" t="s">
        <v>1356</v>
      </c>
      <c r="C675" s="34" t="s">
        <v>959</v>
      </c>
      <c r="D675" s="35" t="s">
        <v>959</v>
      </c>
      <c r="E675" s="4" t="s">
        <v>959</v>
      </c>
    </row>
    <row r="676" spans="2:5" x14ac:dyDescent="0.2">
      <c r="B676" s="30" t="s">
        <v>1357</v>
      </c>
      <c r="C676" s="34" t="s">
        <v>959</v>
      </c>
      <c r="D676" s="35" t="s">
        <v>959</v>
      </c>
      <c r="E676" s="4" t="s">
        <v>959</v>
      </c>
    </row>
    <row r="677" spans="2:5" x14ac:dyDescent="0.2">
      <c r="B677" s="30" t="s">
        <v>1358</v>
      </c>
      <c r="C677" s="34" t="s">
        <v>959</v>
      </c>
      <c r="D677" s="35" t="s">
        <v>959</v>
      </c>
      <c r="E677" s="4" t="s">
        <v>959</v>
      </c>
    </row>
    <row r="678" spans="2:5" x14ac:dyDescent="0.2">
      <c r="B678" s="29" t="s">
        <v>34</v>
      </c>
      <c r="C678" s="32" t="s">
        <v>959</v>
      </c>
      <c r="D678" s="32" t="s">
        <v>959</v>
      </c>
      <c r="E678" s="36" t="s">
        <v>959</v>
      </c>
    </row>
    <row r="679" spans="2:5" x14ac:dyDescent="0.2">
      <c r="B679" s="30" t="s">
        <v>1244</v>
      </c>
      <c r="C679" s="34" t="s">
        <v>959</v>
      </c>
      <c r="D679" s="35" t="s">
        <v>959</v>
      </c>
      <c r="E679" s="4" t="s">
        <v>959</v>
      </c>
    </row>
    <row r="680" spans="2:5" x14ac:dyDescent="0.2">
      <c r="B680" s="30" t="s">
        <v>1359</v>
      </c>
      <c r="C680" s="34" t="s">
        <v>959</v>
      </c>
      <c r="D680" s="35" t="s">
        <v>959</v>
      </c>
      <c r="E680" s="4" t="s">
        <v>959</v>
      </c>
    </row>
    <row r="681" spans="2:5" x14ac:dyDescent="0.2">
      <c r="B681" s="30" t="s">
        <v>1360</v>
      </c>
      <c r="C681" s="34" t="s">
        <v>959</v>
      </c>
      <c r="D681" s="35" t="s">
        <v>959</v>
      </c>
      <c r="E681" s="4" t="s">
        <v>959</v>
      </c>
    </row>
    <row r="682" spans="2:5" x14ac:dyDescent="0.2">
      <c r="B682" s="30" t="s">
        <v>1022</v>
      </c>
      <c r="C682" s="34" t="s">
        <v>959</v>
      </c>
      <c r="D682" s="35" t="s">
        <v>959</v>
      </c>
      <c r="E682" s="4" t="s">
        <v>959</v>
      </c>
    </row>
    <row r="683" spans="2:5" x14ac:dyDescent="0.2">
      <c r="B683" s="29" t="s">
        <v>5</v>
      </c>
      <c r="C683" s="32" t="s">
        <v>959</v>
      </c>
      <c r="D683" s="32" t="s">
        <v>959</v>
      </c>
      <c r="E683" s="36" t="s">
        <v>959</v>
      </c>
    </row>
    <row r="684" spans="2:5" x14ac:dyDescent="0.2">
      <c r="B684" s="30" t="s">
        <v>1361</v>
      </c>
      <c r="C684" s="34" t="s">
        <v>959</v>
      </c>
      <c r="D684" s="35" t="s">
        <v>959</v>
      </c>
      <c r="E684" s="4" t="s">
        <v>959</v>
      </c>
    </row>
    <row r="685" spans="2:5" x14ac:dyDescent="0.2">
      <c r="B685" s="30" t="s">
        <v>1362</v>
      </c>
      <c r="C685" s="34" t="s">
        <v>959</v>
      </c>
      <c r="D685" s="35" t="s">
        <v>959</v>
      </c>
      <c r="E685" s="4" t="s">
        <v>959</v>
      </c>
    </row>
    <row r="686" spans="2:5" x14ac:dyDescent="0.2">
      <c r="B686" s="30" t="s">
        <v>1363</v>
      </c>
      <c r="C686" s="34" t="s">
        <v>959</v>
      </c>
      <c r="D686" s="35" t="s">
        <v>959</v>
      </c>
      <c r="E686" s="4" t="s">
        <v>959</v>
      </c>
    </row>
    <row r="687" spans="2:5" x14ac:dyDescent="0.2">
      <c r="B687" s="30" t="s">
        <v>1364</v>
      </c>
      <c r="C687" s="34" t="s">
        <v>959</v>
      </c>
      <c r="D687" s="35" t="s">
        <v>959</v>
      </c>
      <c r="E687" s="4" t="s">
        <v>959</v>
      </c>
    </row>
    <row r="688" spans="2:5" x14ac:dyDescent="0.2">
      <c r="B688" s="30" t="s">
        <v>1365</v>
      </c>
      <c r="C688" s="34" t="s">
        <v>959</v>
      </c>
      <c r="D688" s="35" t="s">
        <v>959</v>
      </c>
      <c r="E688" s="4" t="s">
        <v>959</v>
      </c>
    </row>
    <row r="689" spans="2:5" x14ac:dyDescent="0.2">
      <c r="B689" s="30" t="s">
        <v>1366</v>
      </c>
      <c r="C689" s="34" t="s">
        <v>959</v>
      </c>
      <c r="D689" s="35" t="s">
        <v>959</v>
      </c>
      <c r="E689" s="4" t="s">
        <v>959</v>
      </c>
    </row>
    <row r="690" spans="2:5" x14ac:dyDescent="0.2">
      <c r="B690" s="30" t="s">
        <v>1367</v>
      </c>
      <c r="C690" s="34" t="s">
        <v>959</v>
      </c>
      <c r="D690" s="35" t="s">
        <v>959</v>
      </c>
      <c r="E690" s="4" t="s">
        <v>959</v>
      </c>
    </row>
    <row r="691" spans="2:5" x14ac:dyDescent="0.2">
      <c r="B691" s="29" t="s">
        <v>109</v>
      </c>
      <c r="C691" s="32" t="s">
        <v>959</v>
      </c>
      <c r="D691" s="32" t="s">
        <v>959</v>
      </c>
      <c r="E691" s="36" t="s">
        <v>959</v>
      </c>
    </row>
    <row r="692" spans="2:5" x14ac:dyDescent="0.2">
      <c r="B692" s="30" t="s">
        <v>1368</v>
      </c>
      <c r="C692" s="34" t="s">
        <v>959</v>
      </c>
      <c r="D692" s="35" t="s">
        <v>959</v>
      </c>
      <c r="E692" s="4" t="s">
        <v>959</v>
      </c>
    </row>
    <row r="693" spans="2:5" x14ac:dyDescent="0.2">
      <c r="B693" s="30" t="s">
        <v>1369</v>
      </c>
      <c r="C693" s="34" t="s">
        <v>959</v>
      </c>
      <c r="D693" s="35" t="s">
        <v>959</v>
      </c>
      <c r="E693" s="4" t="s">
        <v>959</v>
      </c>
    </row>
    <row r="694" spans="2:5" x14ac:dyDescent="0.2">
      <c r="B694" s="30" t="s">
        <v>1370</v>
      </c>
      <c r="C694" s="34" t="s">
        <v>959</v>
      </c>
      <c r="D694" s="35" t="s">
        <v>959</v>
      </c>
      <c r="E694" s="4" t="s">
        <v>959</v>
      </c>
    </row>
    <row r="695" spans="2:5" x14ac:dyDescent="0.2">
      <c r="B695" s="30" t="s">
        <v>1371</v>
      </c>
      <c r="C695" s="34" t="s">
        <v>959</v>
      </c>
      <c r="D695" s="35" t="s">
        <v>959</v>
      </c>
      <c r="E695" s="4" t="s">
        <v>959</v>
      </c>
    </row>
    <row r="696" spans="2:5" x14ac:dyDescent="0.2">
      <c r="B696" s="30" t="s">
        <v>1372</v>
      </c>
      <c r="C696" s="34" t="s">
        <v>959</v>
      </c>
      <c r="D696" s="35" t="s">
        <v>959</v>
      </c>
      <c r="E696" s="4" t="s">
        <v>959</v>
      </c>
    </row>
    <row r="697" spans="2:5" x14ac:dyDescent="0.2">
      <c r="B697" s="29" t="s">
        <v>121</v>
      </c>
      <c r="C697" s="32" t="s">
        <v>959</v>
      </c>
      <c r="D697" s="32" t="s">
        <v>959</v>
      </c>
      <c r="E697" s="36" t="s">
        <v>959</v>
      </c>
    </row>
    <row r="698" spans="2:5" x14ac:dyDescent="0.2">
      <c r="B698" s="30" t="s">
        <v>1373</v>
      </c>
      <c r="C698" s="34" t="s">
        <v>959</v>
      </c>
      <c r="D698" s="35" t="s">
        <v>959</v>
      </c>
      <c r="E698" s="4" t="s">
        <v>959</v>
      </c>
    </row>
    <row r="699" spans="2:5" x14ac:dyDescent="0.2">
      <c r="B699" s="30" t="s">
        <v>1374</v>
      </c>
      <c r="C699" s="34" t="s">
        <v>959</v>
      </c>
      <c r="D699" s="35" t="s">
        <v>959</v>
      </c>
      <c r="E699" s="4" t="s">
        <v>959</v>
      </c>
    </row>
    <row r="700" spans="2:5" x14ac:dyDescent="0.2">
      <c r="B700" s="30" t="s">
        <v>1375</v>
      </c>
      <c r="C700" s="34" t="s">
        <v>959</v>
      </c>
      <c r="D700" s="35" t="s">
        <v>959</v>
      </c>
      <c r="E700" s="4" t="s">
        <v>959</v>
      </c>
    </row>
    <row r="701" spans="2:5" x14ac:dyDescent="0.2">
      <c r="B701" s="30" t="s">
        <v>1376</v>
      </c>
      <c r="C701" s="34" t="s">
        <v>959</v>
      </c>
      <c r="D701" s="35" t="s">
        <v>959</v>
      </c>
      <c r="E701" s="4" t="s">
        <v>959</v>
      </c>
    </row>
    <row r="702" spans="2:5" x14ac:dyDescent="0.2">
      <c r="B702" s="30" t="s">
        <v>1377</v>
      </c>
      <c r="C702" s="34" t="s">
        <v>959</v>
      </c>
      <c r="D702" s="35" t="s">
        <v>959</v>
      </c>
      <c r="E702" s="4" t="s">
        <v>959</v>
      </c>
    </row>
    <row r="703" spans="2:5" x14ac:dyDescent="0.2">
      <c r="B703" s="29" t="s">
        <v>9</v>
      </c>
      <c r="C703" s="32" t="s">
        <v>959</v>
      </c>
      <c r="D703" s="32" t="s">
        <v>959</v>
      </c>
      <c r="E703" s="36" t="s">
        <v>959</v>
      </c>
    </row>
    <row r="704" spans="2:5" x14ac:dyDescent="0.2">
      <c r="B704" s="30" t="s">
        <v>1378</v>
      </c>
      <c r="C704" s="34" t="s">
        <v>959</v>
      </c>
      <c r="D704" s="35" t="s">
        <v>959</v>
      </c>
      <c r="E704" s="4" t="s">
        <v>959</v>
      </c>
    </row>
    <row r="705" spans="2:5" x14ac:dyDescent="0.2">
      <c r="B705" s="30" t="s">
        <v>1379</v>
      </c>
      <c r="C705" s="34" t="s">
        <v>959</v>
      </c>
      <c r="D705" s="35" t="s">
        <v>959</v>
      </c>
      <c r="E705" s="4" t="s">
        <v>959</v>
      </c>
    </row>
    <row r="706" spans="2:5" x14ac:dyDescent="0.2">
      <c r="B706" s="30" t="s">
        <v>1380</v>
      </c>
      <c r="C706" s="34" t="s">
        <v>959</v>
      </c>
      <c r="D706" s="35" t="s">
        <v>959</v>
      </c>
      <c r="E706" s="4" t="s">
        <v>959</v>
      </c>
    </row>
    <row r="707" spans="2:5" x14ac:dyDescent="0.2">
      <c r="B707" s="30" t="s">
        <v>1381</v>
      </c>
      <c r="C707" s="34" t="s">
        <v>959</v>
      </c>
      <c r="D707" s="35" t="s">
        <v>959</v>
      </c>
      <c r="E707" s="4" t="s">
        <v>959</v>
      </c>
    </row>
    <row r="708" spans="2:5" x14ac:dyDescent="0.2">
      <c r="B708" s="30" t="s">
        <v>1382</v>
      </c>
      <c r="C708" s="34" t="s">
        <v>959</v>
      </c>
      <c r="D708" s="35" t="s">
        <v>959</v>
      </c>
      <c r="E708" s="4" t="s">
        <v>959</v>
      </c>
    </row>
    <row r="709" spans="2:5" x14ac:dyDescent="0.2">
      <c r="B709" s="30" t="s">
        <v>1383</v>
      </c>
      <c r="C709" s="34" t="s">
        <v>959</v>
      </c>
      <c r="D709" s="35" t="s">
        <v>959</v>
      </c>
      <c r="E709" s="4" t="s">
        <v>959</v>
      </c>
    </row>
    <row r="710" spans="2:5" x14ac:dyDescent="0.2">
      <c r="B710" s="30" t="s">
        <v>1384</v>
      </c>
      <c r="C710" s="34" t="s">
        <v>959</v>
      </c>
      <c r="D710" s="35" t="s">
        <v>959</v>
      </c>
      <c r="E710" s="4" t="s">
        <v>959</v>
      </c>
    </row>
    <row r="711" spans="2:5" x14ac:dyDescent="0.2">
      <c r="B711" s="30" t="s">
        <v>1385</v>
      </c>
      <c r="C711" s="34" t="s">
        <v>959</v>
      </c>
      <c r="D711" s="35" t="s">
        <v>959</v>
      </c>
      <c r="E711" s="4" t="s">
        <v>959</v>
      </c>
    </row>
    <row r="712" spans="2:5" x14ac:dyDescent="0.2">
      <c r="B712" s="29" t="s">
        <v>78</v>
      </c>
      <c r="C712" s="32" t="s">
        <v>959</v>
      </c>
      <c r="D712" s="32" t="s">
        <v>959</v>
      </c>
      <c r="E712" s="36" t="s">
        <v>959</v>
      </c>
    </row>
    <row r="713" spans="2:5" x14ac:dyDescent="0.2">
      <c r="B713" s="30" t="s">
        <v>1386</v>
      </c>
      <c r="C713" s="34" t="s">
        <v>959</v>
      </c>
      <c r="D713" s="35" t="s">
        <v>959</v>
      </c>
      <c r="E713" s="4" t="s">
        <v>959</v>
      </c>
    </row>
    <row r="714" spans="2:5" x14ac:dyDescent="0.2">
      <c r="B714" s="30" t="s">
        <v>1387</v>
      </c>
      <c r="C714" s="34" t="s">
        <v>959</v>
      </c>
      <c r="D714" s="35" t="s">
        <v>959</v>
      </c>
      <c r="E714" s="4" t="s">
        <v>959</v>
      </c>
    </row>
    <row r="715" spans="2:5" x14ac:dyDescent="0.2">
      <c r="B715" s="30" t="s">
        <v>1388</v>
      </c>
      <c r="C715" s="34" t="s">
        <v>959</v>
      </c>
      <c r="D715" s="35" t="s">
        <v>959</v>
      </c>
      <c r="E715" s="4" t="s">
        <v>959</v>
      </c>
    </row>
    <row r="716" spans="2:5" x14ac:dyDescent="0.2">
      <c r="B716" s="30" t="s">
        <v>1389</v>
      </c>
      <c r="C716" s="34" t="s">
        <v>959</v>
      </c>
      <c r="D716" s="35" t="s">
        <v>959</v>
      </c>
      <c r="E716" s="4" t="s">
        <v>959</v>
      </c>
    </row>
    <row r="717" spans="2:5" x14ac:dyDescent="0.2">
      <c r="B717" s="30" t="s">
        <v>1390</v>
      </c>
      <c r="C717" s="34" t="s">
        <v>959</v>
      </c>
      <c r="D717" s="35" t="s">
        <v>959</v>
      </c>
      <c r="E717" s="4" t="s">
        <v>959</v>
      </c>
    </row>
    <row r="718" spans="2:5" x14ac:dyDescent="0.2">
      <c r="B718" s="30" t="s">
        <v>1391</v>
      </c>
      <c r="C718" s="34" t="s">
        <v>959</v>
      </c>
      <c r="D718" s="35" t="s">
        <v>959</v>
      </c>
      <c r="E718" s="4" t="s">
        <v>959</v>
      </c>
    </row>
    <row r="719" spans="2:5" x14ac:dyDescent="0.2">
      <c r="B719" s="29" t="s">
        <v>104</v>
      </c>
      <c r="C719" s="32" t="s">
        <v>959</v>
      </c>
      <c r="D719" s="32" t="s">
        <v>959</v>
      </c>
      <c r="E719" s="36" t="s">
        <v>959</v>
      </c>
    </row>
    <row r="720" spans="2:5" x14ac:dyDescent="0.2">
      <c r="B720" s="30" t="s">
        <v>1392</v>
      </c>
      <c r="C720" s="34" t="s">
        <v>959</v>
      </c>
      <c r="D720" s="35" t="s">
        <v>959</v>
      </c>
      <c r="E720" s="4" t="s">
        <v>959</v>
      </c>
    </row>
    <row r="721" spans="2:5" x14ac:dyDescent="0.2">
      <c r="B721" s="30" t="s">
        <v>1393</v>
      </c>
      <c r="C721" s="34" t="s">
        <v>959</v>
      </c>
      <c r="D721" s="35" t="s">
        <v>959</v>
      </c>
      <c r="E721" s="4" t="s">
        <v>959</v>
      </c>
    </row>
    <row r="722" spans="2:5" x14ac:dyDescent="0.2">
      <c r="B722" s="30" t="s">
        <v>1394</v>
      </c>
      <c r="C722" s="34" t="s">
        <v>959</v>
      </c>
      <c r="D722" s="35" t="s">
        <v>959</v>
      </c>
      <c r="E722" s="4" t="s">
        <v>959</v>
      </c>
    </row>
    <row r="723" spans="2:5" x14ac:dyDescent="0.2">
      <c r="B723" s="30" t="s">
        <v>1395</v>
      </c>
      <c r="C723" s="34" t="s">
        <v>959</v>
      </c>
      <c r="D723" s="35" t="s">
        <v>959</v>
      </c>
      <c r="E723" s="4" t="s">
        <v>959</v>
      </c>
    </row>
    <row r="724" spans="2:5" x14ac:dyDescent="0.2">
      <c r="B724" s="30" t="s">
        <v>1396</v>
      </c>
      <c r="C724" s="34" t="s">
        <v>959</v>
      </c>
      <c r="D724" s="35" t="s">
        <v>959</v>
      </c>
      <c r="E724" s="4" t="s">
        <v>959</v>
      </c>
    </row>
    <row r="725" spans="2:5" x14ac:dyDescent="0.2">
      <c r="B725" s="30" t="s">
        <v>1397</v>
      </c>
      <c r="C725" s="34" t="s">
        <v>959</v>
      </c>
      <c r="D725" s="35" t="s">
        <v>959</v>
      </c>
      <c r="E725" s="4" t="s">
        <v>959</v>
      </c>
    </row>
    <row r="726" spans="2:5" x14ac:dyDescent="0.2">
      <c r="B726" s="30" t="s">
        <v>1398</v>
      </c>
      <c r="C726" s="34" t="s">
        <v>959</v>
      </c>
      <c r="D726" s="35" t="s">
        <v>959</v>
      </c>
      <c r="E726" s="4" t="s">
        <v>959</v>
      </c>
    </row>
    <row r="727" spans="2:5" x14ac:dyDescent="0.2">
      <c r="B727" s="30" t="s">
        <v>1399</v>
      </c>
      <c r="C727" s="34" t="s">
        <v>959</v>
      </c>
      <c r="D727" s="35" t="s">
        <v>959</v>
      </c>
      <c r="E727" s="4" t="s">
        <v>959</v>
      </c>
    </row>
    <row r="728" spans="2:5" x14ac:dyDescent="0.2">
      <c r="B728" s="30" t="s">
        <v>1400</v>
      </c>
      <c r="C728" s="34" t="s">
        <v>959</v>
      </c>
      <c r="D728" s="35" t="s">
        <v>959</v>
      </c>
      <c r="E728" s="4" t="s">
        <v>959</v>
      </c>
    </row>
    <row r="729" spans="2:5" x14ac:dyDescent="0.2">
      <c r="B729" s="29" t="s">
        <v>119</v>
      </c>
      <c r="C729" s="32" t="s">
        <v>959</v>
      </c>
      <c r="D729" s="32" t="s">
        <v>959</v>
      </c>
      <c r="E729" s="36" t="s">
        <v>959</v>
      </c>
    </row>
    <row r="730" spans="2:5" x14ac:dyDescent="0.2">
      <c r="B730" s="30" t="s">
        <v>1401</v>
      </c>
      <c r="C730" s="34" t="s">
        <v>959</v>
      </c>
      <c r="D730" s="35" t="s">
        <v>959</v>
      </c>
      <c r="E730" s="4" t="s">
        <v>959</v>
      </c>
    </row>
    <row r="731" spans="2:5" x14ac:dyDescent="0.2">
      <c r="B731" s="30" t="s">
        <v>1402</v>
      </c>
      <c r="C731" s="34" t="s">
        <v>959</v>
      </c>
      <c r="D731" s="35" t="s">
        <v>959</v>
      </c>
      <c r="E731" s="4" t="s">
        <v>959</v>
      </c>
    </row>
    <row r="732" spans="2:5" x14ac:dyDescent="0.2">
      <c r="B732" s="30" t="s">
        <v>1403</v>
      </c>
      <c r="C732" s="34" t="s">
        <v>959</v>
      </c>
      <c r="D732" s="35" t="s">
        <v>959</v>
      </c>
      <c r="E732" s="4" t="s">
        <v>959</v>
      </c>
    </row>
    <row r="733" spans="2:5" x14ac:dyDescent="0.2">
      <c r="B733" s="30" t="s">
        <v>1404</v>
      </c>
      <c r="C733" s="34" t="s">
        <v>959</v>
      </c>
      <c r="D733" s="35" t="s">
        <v>959</v>
      </c>
      <c r="E733" s="4" t="s">
        <v>959</v>
      </c>
    </row>
    <row r="734" spans="2:5" x14ac:dyDescent="0.2">
      <c r="B734" s="30" t="s">
        <v>1405</v>
      </c>
      <c r="C734" s="34" t="s">
        <v>959</v>
      </c>
      <c r="D734" s="35" t="s">
        <v>959</v>
      </c>
      <c r="E734" s="4" t="s">
        <v>959</v>
      </c>
    </row>
    <row r="735" spans="2:5" x14ac:dyDescent="0.2">
      <c r="B735" s="30" t="s">
        <v>1406</v>
      </c>
      <c r="C735" s="34" t="s">
        <v>959</v>
      </c>
      <c r="D735" s="35" t="s">
        <v>959</v>
      </c>
      <c r="E735" s="4" t="s">
        <v>959</v>
      </c>
    </row>
    <row r="736" spans="2:5" x14ac:dyDescent="0.2">
      <c r="B736" s="29" t="s">
        <v>39</v>
      </c>
      <c r="C736" s="32" t="s">
        <v>959</v>
      </c>
      <c r="D736" s="32" t="s">
        <v>959</v>
      </c>
      <c r="E736" s="36" t="s">
        <v>959</v>
      </c>
    </row>
    <row r="737" spans="2:5" x14ac:dyDescent="0.2">
      <c r="B737" s="30" t="s">
        <v>1407</v>
      </c>
      <c r="C737" s="34" t="s">
        <v>959</v>
      </c>
      <c r="D737" s="35" t="s">
        <v>959</v>
      </c>
      <c r="E737" s="4" t="s">
        <v>959</v>
      </c>
    </row>
    <row r="738" spans="2:5" x14ac:dyDescent="0.2">
      <c r="B738" s="30" t="s">
        <v>1408</v>
      </c>
      <c r="C738" s="34" t="s">
        <v>959</v>
      </c>
      <c r="D738" s="35" t="s">
        <v>959</v>
      </c>
      <c r="E738" s="4" t="s">
        <v>959</v>
      </c>
    </row>
    <row r="739" spans="2:5" x14ac:dyDescent="0.2">
      <c r="B739" s="30" t="s">
        <v>1409</v>
      </c>
      <c r="C739" s="34" t="s">
        <v>959</v>
      </c>
      <c r="D739" s="35" t="s">
        <v>959</v>
      </c>
      <c r="E739" s="4" t="s">
        <v>959</v>
      </c>
    </row>
    <row r="740" spans="2:5" x14ac:dyDescent="0.2">
      <c r="B740" s="30" t="s">
        <v>1410</v>
      </c>
      <c r="C740" s="34" t="s">
        <v>959</v>
      </c>
      <c r="D740" s="35" t="s">
        <v>959</v>
      </c>
      <c r="E740" s="4" t="s">
        <v>959</v>
      </c>
    </row>
    <row r="741" spans="2:5" x14ac:dyDescent="0.2">
      <c r="B741" s="30" t="s">
        <v>1411</v>
      </c>
      <c r="C741" s="34" t="s">
        <v>959</v>
      </c>
      <c r="D741" s="35" t="s">
        <v>959</v>
      </c>
      <c r="E741" s="4" t="s">
        <v>959</v>
      </c>
    </row>
    <row r="742" spans="2:5" x14ac:dyDescent="0.2">
      <c r="B742" s="30" t="s">
        <v>1412</v>
      </c>
      <c r="C742" s="34" t="s">
        <v>959</v>
      </c>
      <c r="D742" s="35" t="s">
        <v>959</v>
      </c>
      <c r="E742" s="4" t="s">
        <v>959</v>
      </c>
    </row>
    <row r="743" spans="2:5" x14ac:dyDescent="0.2">
      <c r="B743" s="30" t="s">
        <v>1413</v>
      </c>
      <c r="C743" s="34" t="s">
        <v>959</v>
      </c>
      <c r="D743" s="35" t="s">
        <v>959</v>
      </c>
      <c r="E743" s="4" t="s">
        <v>959</v>
      </c>
    </row>
    <row r="744" spans="2:5" x14ac:dyDescent="0.2">
      <c r="B744" s="30" t="s">
        <v>1414</v>
      </c>
      <c r="C744" s="34" t="s">
        <v>959</v>
      </c>
      <c r="D744" s="35" t="s">
        <v>959</v>
      </c>
      <c r="E744" s="4" t="s">
        <v>959</v>
      </c>
    </row>
    <row r="745" spans="2:5" x14ac:dyDescent="0.2">
      <c r="B745" s="29" t="s">
        <v>25</v>
      </c>
      <c r="C745" s="32" t="s">
        <v>959</v>
      </c>
      <c r="D745" s="32" t="s">
        <v>959</v>
      </c>
      <c r="E745" s="36" t="s">
        <v>959</v>
      </c>
    </row>
    <row r="746" spans="2:5" x14ac:dyDescent="0.2">
      <c r="B746" s="30" t="s">
        <v>1415</v>
      </c>
      <c r="C746" s="34" t="s">
        <v>959</v>
      </c>
      <c r="D746" s="35" t="s">
        <v>959</v>
      </c>
      <c r="E746" s="4" t="s">
        <v>959</v>
      </c>
    </row>
    <row r="747" spans="2:5" x14ac:dyDescent="0.2">
      <c r="B747" s="30" t="s">
        <v>1416</v>
      </c>
      <c r="C747" s="34" t="s">
        <v>959</v>
      </c>
      <c r="D747" s="35" t="s">
        <v>959</v>
      </c>
      <c r="E747" s="4" t="s">
        <v>959</v>
      </c>
    </row>
    <row r="748" spans="2:5" x14ac:dyDescent="0.2">
      <c r="B748" s="30" t="s">
        <v>1417</v>
      </c>
      <c r="C748" s="34" t="s">
        <v>959</v>
      </c>
      <c r="D748" s="35" t="s">
        <v>959</v>
      </c>
      <c r="E748" s="4" t="s">
        <v>959</v>
      </c>
    </row>
    <row r="749" spans="2:5" x14ac:dyDescent="0.2">
      <c r="B749" s="30" t="s">
        <v>1418</v>
      </c>
      <c r="C749" s="34" t="s">
        <v>959</v>
      </c>
      <c r="D749" s="35" t="s">
        <v>959</v>
      </c>
      <c r="E749" s="4" t="s">
        <v>959</v>
      </c>
    </row>
    <row r="750" spans="2:5" x14ac:dyDescent="0.2">
      <c r="B750" s="29" t="s">
        <v>115</v>
      </c>
      <c r="C750" s="32" t="s">
        <v>959</v>
      </c>
      <c r="D750" s="32" t="s">
        <v>959</v>
      </c>
      <c r="E750" s="36" t="s">
        <v>959</v>
      </c>
    </row>
    <row r="751" spans="2:5" x14ac:dyDescent="0.2">
      <c r="B751" s="30" t="s">
        <v>1419</v>
      </c>
      <c r="C751" s="34" t="s">
        <v>959</v>
      </c>
      <c r="D751" s="35" t="s">
        <v>959</v>
      </c>
      <c r="E751" s="4" t="s">
        <v>959</v>
      </c>
    </row>
    <row r="752" spans="2:5" x14ac:dyDescent="0.2">
      <c r="B752" s="30" t="s">
        <v>1420</v>
      </c>
      <c r="C752" s="34" t="s">
        <v>959</v>
      </c>
      <c r="D752" s="35" t="s">
        <v>959</v>
      </c>
      <c r="E752" s="4" t="s">
        <v>959</v>
      </c>
    </row>
    <row r="753" spans="2:5" x14ac:dyDescent="0.2">
      <c r="B753" s="30" t="s">
        <v>1421</v>
      </c>
      <c r="C753" s="34" t="s">
        <v>959</v>
      </c>
      <c r="D753" s="35" t="s">
        <v>959</v>
      </c>
      <c r="E753" s="4" t="s">
        <v>959</v>
      </c>
    </row>
    <row r="754" spans="2:5" x14ac:dyDescent="0.2">
      <c r="B754" s="30" t="s">
        <v>1422</v>
      </c>
      <c r="C754" s="34" t="s">
        <v>959</v>
      </c>
      <c r="D754" s="35" t="s">
        <v>959</v>
      </c>
      <c r="E754" s="4" t="s">
        <v>959</v>
      </c>
    </row>
    <row r="755" spans="2:5" x14ac:dyDescent="0.2">
      <c r="B755" s="30" t="s">
        <v>1423</v>
      </c>
      <c r="C755" s="34" t="s">
        <v>959</v>
      </c>
      <c r="D755" s="35" t="s">
        <v>959</v>
      </c>
      <c r="E755" s="4" t="s">
        <v>959</v>
      </c>
    </row>
    <row r="756" spans="2:5" x14ac:dyDescent="0.2">
      <c r="B756" s="29" t="s">
        <v>6</v>
      </c>
      <c r="C756" s="32" t="s">
        <v>959</v>
      </c>
      <c r="D756" s="32" t="s">
        <v>959</v>
      </c>
      <c r="E756" s="36" t="s">
        <v>959</v>
      </c>
    </row>
    <row r="757" spans="2:5" x14ac:dyDescent="0.2">
      <c r="B757" s="30" t="s">
        <v>1424</v>
      </c>
      <c r="C757" s="34" t="s">
        <v>959</v>
      </c>
      <c r="D757" s="35" t="s">
        <v>959</v>
      </c>
      <c r="E757" s="4" t="s">
        <v>959</v>
      </c>
    </row>
    <row r="758" spans="2:5" x14ac:dyDescent="0.2">
      <c r="B758" s="30" t="s">
        <v>1425</v>
      </c>
      <c r="C758" s="34" t="s">
        <v>959</v>
      </c>
      <c r="D758" s="35" t="s">
        <v>959</v>
      </c>
      <c r="E758" s="4" t="s">
        <v>959</v>
      </c>
    </row>
    <row r="759" spans="2:5" x14ac:dyDescent="0.2">
      <c r="B759" s="30" t="s">
        <v>1426</v>
      </c>
      <c r="C759" s="34" t="s">
        <v>959</v>
      </c>
      <c r="D759" s="35" t="s">
        <v>959</v>
      </c>
      <c r="E759" s="4" t="s">
        <v>959</v>
      </c>
    </row>
    <row r="760" spans="2:5" x14ac:dyDescent="0.2">
      <c r="B760" s="30" t="s">
        <v>1427</v>
      </c>
      <c r="C760" s="34" t="s">
        <v>959</v>
      </c>
      <c r="D760" s="35" t="s">
        <v>959</v>
      </c>
      <c r="E760" s="4" t="s">
        <v>959</v>
      </c>
    </row>
    <row r="761" spans="2:5" x14ac:dyDescent="0.2">
      <c r="B761" s="30" t="s">
        <v>1428</v>
      </c>
      <c r="C761" s="34" t="s">
        <v>959</v>
      </c>
      <c r="D761" s="35" t="s">
        <v>959</v>
      </c>
      <c r="E761" s="4" t="s">
        <v>959</v>
      </c>
    </row>
    <row r="762" spans="2:5" x14ac:dyDescent="0.2">
      <c r="B762" s="30" t="s">
        <v>1429</v>
      </c>
      <c r="C762" s="34" t="s">
        <v>959</v>
      </c>
      <c r="D762" s="35" t="s">
        <v>959</v>
      </c>
      <c r="E762" s="4" t="s">
        <v>959</v>
      </c>
    </row>
    <row r="763" spans="2:5" x14ac:dyDescent="0.2">
      <c r="B763" s="30" t="s">
        <v>1430</v>
      </c>
      <c r="C763" s="34" t="s">
        <v>959</v>
      </c>
      <c r="D763" s="35" t="s">
        <v>959</v>
      </c>
      <c r="E763" s="4" t="s">
        <v>959</v>
      </c>
    </row>
    <row r="764" spans="2:5" x14ac:dyDescent="0.2">
      <c r="B764" s="30" t="s">
        <v>1431</v>
      </c>
      <c r="C764" s="34" t="s">
        <v>959</v>
      </c>
      <c r="D764" s="35" t="s">
        <v>959</v>
      </c>
      <c r="E764" s="4" t="s">
        <v>959</v>
      </c>
    </row>
    <row r="765" spans="2:5" x14ac:dyDescent="0.2">
      <c r="B765" s="30" t="s">
        <v>1432</v>
      </c>
      <c r="C765" s="34" t="s">
        <v>959</v>
      </c>
      <c r="D765" s="35" t="s">
        <v>959</v>
      </c>
      <c r="E765" s="4" t="s">
        <v>959</v>
      </c>
    </row>
    <row r="766" spans="2:5" x14ac:dyDescent="0.2">
      <c r="B766" s="30" t="s">
        <v>1433</v>
      </c>
      <c r="C766" s="34" t="s">
        <v>959</v>
      </c>
      <c r="D766" s="35" t="s">
        <v>959</v>
      </c>
      <c r="E766" s="4" t="s">
        <v>959</v>
      </c>
    </row>
    <row r="767" spans="2:5" x14ac:dyDescent="0.2">
      <c r="B767" s="29" t="s">
        <v>40</v>
      </c>
      <c r="C767" s="32" t="s">
        <v>959</v>
      </c>
      <c r="D767" s="32" t="s">
        <v>959</v>
      </c>
      <c r="E767" s="36" t="s">
        <v>959</v>
      </c>
    </row>
    <row r="768" spans="2:5" x14ac:dyDescent="0.2">
      <c r="B768" s="30" t="s">
        <v>1434</v>
      </c>
      <c r="C768" s="34" t="s">
        <v>959</v>
      </c>
      <c r="D768" s="35" t="s">
        <v>959</v>
      </c>
      <c r="E768" s="4" t="s">
        <v>959</v>
      </c>
    </row>
    <row r="769" spans="2:5" x14ac:dyDescent="0.2">
      <c r="B769" s="30" t="s">
        <v>1435</v>
      </c>
      <c r="C769" s="34" t="s">
        <v>959</v>
      </c>
      <c r="D769" s="35" t="s">
        <v>959</v>
      </c>
      <c r="E769" s="4" t="s">
        <v>959</v>
      </c>
    </row>
    <row r="770" spans="2:5" x14ac:dyDescent="0.2">
      <c r="B770" s="30" t="s">
        <v>1436</v>
      </c>
      <c r="C770" s="34" t="s">
        <v>959</v>
      </c>
      <c r="D770" s="35" t="s">
        <v>959</v>
      </c>
      <c r="E770" s="4" t="s">
        <v>959</v>
      </c>
    </row>
    <row r="771" spans="2:5" x14ac:dyDescent="0.2">
      <c r="B771" s="30" t="s">
        <v>1437</v>
      </c>
      <c r="C771" s="34" t="s">
        <v>959</v>
      </c>
      <c r="D771" s="35" t="s">
        <v>959</v>
      </c>
      <c r="E771" s="4" t="s">
        <v>959</v>
      </c>
    </row>
    <row r="772" spans="2:5" x14ac:dyDescent="0.2">
      <c r="B772" s="30" t="s">
        <v>1438</v>
      </c>
      <c r="C772" s="34" t="s">
        <v>959</v>
      </c>
      <c r="D772" s="35" t="s">
        <v>959</v>
      </c>
      <c r="E772" s="4" t="s">
        <v>959</v>
      </c>
    </row>
    <row r="773" spans="2:5" x14ac:dyDescent="0.2">
      <c r="B773" s="30" t="s">
        <v>1439</v>
      </c>
      <c r="C773" s="34" t="s">
        <v>959</v>
      </c>
      <c r="D773" s="35" t="s">
        <v>959</v>
      </c>
      <c r="E773" s="4" t="s">
        <v>959</v>
      </c>
    </row>
    <row r="774" spans="2:5" x14ac:dyDescent="0.2">
      <c r="B774" s="30" t="s">
        <v>1437</v>
      </c>
      <c r="C774" s="34" t="s">
        <v>959</v>
      </c>
      <c r="D774" s="35" t="s">
        <v>959</v>
      </c>
      <c r="E774" s="4" t="s">
        <v>959</v>
      </c>
    </row>
    <row r="775" spans="2:5" x14ac:dyDescent="0.2">
      <c r="B775" s="30" t="s">
        <v>1440</v>
      </c>
      <c r="C775" s="34" t="s">
        <v>959</v>
      </c>
      <c r="D775" s="35" t="s">
        <v>959</v>
      </c>
      <c r="E775" s="4" t="s">
        <v>959</v>
      </c>
    </row>
    <row r="776" spans="2:5" x14ac:dyDescent="0.2">
      <c r="B776" s="30" t="s">
        <v>1441</v>
      </c>
      <c r="C776" s="34" t="s">
        <v>959</v>
      </c>
      <c r="D776" s="35" t="s">
        <v>959</v>
      </c>
      <c r="E776" s="4" t="s">
        <v>959</v>
      </c>
    </row>
    <row r="777" spans="2:5" x14ac:dyDescent="0.2">
      <c r="B777" s="30" t="s">
        <v>1442</v>
      </c>
      <c r="C777" s="34" t="s">
        <v>959</v>
      </c>
      <c r="D777" s="35" t="s">
        <v>959</v>
      </c>
      <c r="E777" s="4" t="s">
        <v>959</v>
      </c>
    </row>
    <row r="778" spans="2:5" x14ac:dyDescent="0.2">
      <c r="B778" s="30" t="s">
        <v>1443</v>
      </c>
      <c r="C778" s="34" t="s">
        <v>959</v>
      </c>
      <c r="D778" s="35" t="s">
        <v>959</v>
      </c>
      <c r="E778" s="4" t="s">
        <v>959</v>
      </c>
    </row>
    <row r="779" spans="2:5" x14ac:dyDescent="0.2">
      <c r="B779" s="29" t="s">
        <v>58</v>
      </c>
      <c r="C779" s="32" t="s">
        <v>959</v>
      </c>
      <c r="D779" s="32" t="s">
        <v>959</v>
      </c>
      <c r="E779" s="36" t="s">
        <v>959</v>
      </c>
    </row>
    <row r="780" spans="2:5" x14ac:dyDescent="0.2">
      <c r="B780" s="30" t="s">
        <v>989</v>
      </c>
      <c r="C780" s="34" t="s">
        <v>959</v>
      </c>
      <c r="D780" s="35" t="s">
        <v>959</v>
      </c>
      <c r="E780" s="4" t="s">
        <v>959</v>
      </c>
    </row>
    <row r="781" spans="2:5" x14ac:dyDescent="0.2">
      <c r="B781" s="30" t="s">
        <v>1444</v>
      </c>
      <c r="C781" s="34" t="s">
        <v>959</v>
      </c>
      <c r="D781" s="35" t="s">
        <v>959</v>
      </c>
      <c r="E781" s="4" t="s">
        <v>959</v>
      </c>
    </row>
    <row r="782" spans="2:5" x14ac:dyDescent="0.2">
      <c r="B782" s="30" t="s">
        <v>1445</v>
      </c>
      <c r="C782" s="34" t="s">
        <v>959</v>
      </c>
      <c r="D782" s="35" t="s">
        <v>959</v>
      </c>
      <c r="E782" s="4" t="s">
        <v>959</v>
      </c>
    </row>
    <row r="783" spans="2:5" x14ac:dyDescent="0.2">
      <c r="B783" s="30" t="s">
        <v>1446</v>
      </c>
      <c r="C783" s="34" t="s">
        <v>959</v>
      </c>
      <c r="D783" s="35" t="s">
        <v>959</v>
      </c>
      <c r="E783" s="4" t="s">
        <v>959</v>
      </c>
    </row>
    <row r="784" spans="2:5" x14ac:dyDescent="0.2">
      <c r="B784" s="30" t="s">
        <v>1447</v>
      </c>
      <c r="C784" s="34" t="s">
        <v>959</v>
      </c>
      <c r="D784" s="35" t="s">
        <v>959</v>
      </c>
      <c r="E784" s="4" t="s">
        <v>959</v>
      </c>
    </row>
    <row r="785" spans="2:5" x14ac:dyDescent="0.2">
      <c r="B785" s="30" t="s">
        <v>1448</v>
      </c>
      <c r="C785" s="34" t="s">
        <v>959</v>
      </c>
      <c r="D785" s="35" t="s">
        <v>959</v>
      </c>
      <c r="E785" s="4" t="s">
        <v>959</v>
      </c>
    </row>
    <row r="786" spans="2:5" x14ac:dyDescent="0.2">
      <c r="B786" s="29" t="s">
        <v>43</v>
      </c>
      <c r="C786" s="32" t="s">
        <v>959</v>
      </c>
      <c r="D786" s="32" t="s">
        <v>959</v>
      </c>
      <c r="E786" s="36" t="s">
        <v>959</v>
      </c>
    </row>
    <row r="787" spans="2:5" x14ac:dyDescent="0.2">
      <c r="B787" s="30" t="s">
        <v>1449</v>
      </c>
      <c r="C787" s="34" t="s">
        <v>959</v>
      </c>
      <c r="D787" s="35" t="s">
        <v>959</v>
      </c>
      <c r="E787" s="4" t="s">
        <v>959</v>
      </c>
    </row>
    <row r="788" spans="2:5" x14ac:dyDescent="0.2">
      <c r="B788" s="30" t="s">
        <v>1450</v>
      </c>
      <c r="C788" s="34" t="s">
        <v>959</v>
      </c>
      <c r="D788" s="35" t="s">
        <v>959</v>
      </c>
      <c r="E788" s="4" t="s">
        <v>959</v>
      </c>
    </row>
    <row r="789" spans="2:5" x14ac:dyDescent="0.2">
      <c r="B789" s="30" t="s">
        <v>1451</v>
      </c>
      <c r="C789" s="34" t="s">
        <v>959</v>
      </c>
      <c r="D789" s="35" t="s">
        <v>959</v>
      </c>
      <c r="E789" s="4" t="s">
        <v>959</v>
      </c>
    </row>
    <row r="790" spans="2:5" x14ac:dyDescent="0.2">
      <c r="B790" s="30" t="s">
        <v>1452</v>
      </c>
      <c r="C790" s="34" t="s">
        <v>959</v>
      </c>
      <c r="D790" s="35" t="s">
        <v>959</v>
      </c>
      <c r="E790" s="4" t="s">
        <v>959</v>
      </c>
    </row>
    <row r="791" spans="2:5" x14ac:dyDescent="0.2">
      <c r="B791" s="30" t="s">
        <v>1453</v>
      </c>
      <c r="C791" s="34" t="s">
        <v>959</v>
      </c>
      <c r="D791" s="35" t="s">
        <v>959</v>
      </c>
      <c r="E791" s="4" t="s">
        <v>959</v>
      </c>
    </row>
    <row r="792" spans="2:5" x14ac:dyDescent="0.2">
      <c r="B792" s="30" t="s">
        <v>1446</v>
      </c>
      <c r="C792" s="34" t="s">
        <v>959</v>
      </c>
      <c r="D792" s="35" t="s">
        <v>959</v>
      </c>
      <c r="E792" s="4" t="s">
        <v>959</v>
      </c>
    </row>
    <row r="793" spans="2:5" x14ac:dyDescent="0.2">
      <c r="B793" s="30" t="s">
        <v>1454</v>
      </c>
      <c r="C793" s="34" t="s">
        <v>959</v>
      </c>
      <c r="D793" s="35" t="s">
        <v>959</v>
      </c>
      <c r="E793" s="4" t="s">
        <v>959</v>
      </c>
    </row>
    <row r="794" spans="2:5" x14ac:dyDescent="0.2">
      <c r="B794" s="30" t="s">
        <v>1455</v>
      </c>
      <c r="C794" s="34" t="s">
        <v>959</v>
      </c>
      <c r="D794" s="35" t="s">
        <v>959</v>
      </c>
      <c r="E794" s="4" t="s">
        <v>959</v>
      </c>
    </row>
    <row r="795" spans="2:5" x14ac:dyDescent="0.2">
      <c r="B795" s="30" t="s">
        <v>1106</v>
      </c>
      <c r="C795" s="34" t="s">
        <v>959</v>
      </c>
      <c r="D795" s="35" t="s">
        <v>959</v>
      </c>
      <c r="E795" s="4" t="s">
        <v>959</v>
      </c>
    </row>
    <row r="796" spans="2:5" x14ac:dyDescent="0.2">
      <c r="B796" s="29" t="s">
        <v>101</v>
      </c>
      <c r="C796" s="32" t="s">
        <v>959</v>
      </c>
      <c r="D796" s="32" t="s">
        <v>959</v>
      </c>
      <c r="E796" s="36" t="s">
        <v>959</v>
      </c>
    </row>
    <row r="797" spans="2:5" x14ac:dyDescent="0.2">
      <c r="B797" s="30" t="s">
        <v>1456</v>
      </c>
      <c r="C797" s="34" t="s">
        <v>959</v>
      </c>
      <c r="D797" s="35" t="s">
        <v>959</v>
      </c>
      <c r="E797" s="4" t="s">
        <v>959</v>
      </c>
    </row>
    <row r="798" spans="2:5" x14ac:dyDescent="0.2">
      <c r="B798" s="30" t="s">
        <v>1457</v>
      </c>
      <c r="C798" s="34" t="s">
        <v>959</v>
      </c>
      <c r="D798" s="35" t="s">
        <v>959</v>
      </c>
      <c r="E798" s="4" t="s">
        <v>959</v>
      </c>
    </row>
    <row r="799" spans="2:5" x14ac:dyDescent="0.2">
      <c r="B799" s="30" t="s">
        <v>1458</v>
      </c>
      <c r="C799" s="34" t="s">
        <v>959</v>
      </c>
      <c r="D799" s="35" t="s">
        <v>959</v>
      </c>
      <c r="E799" s="4" t="s">
        <v>959</v>
      </c>
    </row>
    <row r="800" spans="2:5" x14ac:dyDescent="0.2">
      <c r="B800" s="30" t="s">
        <v>1459</v>
      </c>
      <c r="C800" s="34" t="s">
        <v>959</v>
      </c>
      <c r="D800" s="35" t="s">
        <v>959</v>
      </c>
      <c r="E800" s="4" t="s">
        <v>959</v>
      </c>
    </row>
    <row r="801" spans="2:5" x14ac:dyDescent="0.2">
      <c r="B801" s="30" t="s">
        <v>1460</v>
      </c>
      <c r="C801" s="34" t="s">
        <v>959</v>
      </c>
      <c r="D801" s="35" t="s">
        <v>959</v>
      </c>
      <c r="E801" s="4" t="s">
        <v>959</v>
      </c>
    </row>
    <row r="802" spans="2:5" x14ac:dyDescent="0.2">
      <c r="B802" s="30" t="s">
        <v>1461</v>
      </c>
      <c r="C802" s="34" t="s">
        <v>959</v>
      </c>
      <c r="D802" s="35" t="s">
        <v>959</v>
      </c>
      <c r="E802" s="4" t="s">
        <v>959</v>
      </c>
    </row>
    <row r="803" spans="2:5" x14ac:dyDescent="0.2">
      <c r="B803" s="30" t="s">
        <v>1462</v>
      </c>
      <c r="C803" s="34" t="s">
        <v>959</v>
      </c>
      <c r="D803" s="35" t="s">
        <v>959</v>
      </c>
      <c r="E803" s="4" t="s">
        <v>959</v>
      </c>
    </row>
    <row r="804" spans="2:5" x14ac:dyDescent="0.2">
      <c r="B804" s="30" t="s">
        <v>1463</v>
      </c>
      <c r="C804" s="34" t="s">
        <v>959</v>
      </c>
      <c r="D804" s="35" t="s">
        <v>959</v>
      </c>
      <c r="E804" s="4" t="s">
        <v>959</v>
      </c>
    </row>
    <row r="805" spans="2:5" x14ac:dyDescent="0.2">
      <c r="B805" s="29" t="s">
        <v>57</v>
      </c>
      <c r="C805" s="32" t="s">
        <v>959</v>
      </c>
      <c r="D805" s="32" t="s">
        <v>959</v>
      </c>
      <c r="E805" s="36" t="s">
        <v>959</v>
      </c>
    </row>
    <row r="806" spans="2:5" x14ac:dyDescent="0.2">
      <c r="B806" s="30" t="s">
        <v>1464</v>
      </c>
      <c r="C806" s="34" t="s">
        <v>959</v>
      </c>
      <c r="D806" s="35" t="s">
        <v>959</v>
      </c>
      <c r="E806" s="4" t="s">
        <v>959</v>
      </c>
    </row>
    <row r="807" spans="2:5" x14ac:dyDescent="0.2">
      <c r="B807" s="30" t="s">
        <v>1465</v>
      </c>
      <c r="C807" s="34" t="s">
        <v>959</v>
      </c>
      <c r="D807" s="35" t="s">
        <v>959</v>
      </c>
      <c r="E807" s="4" t="s">
        <v>959</v>
      </c>
    </row>
    <row r="808" spans="2:5" x14ac:dyDescent="0.2">
      <c r="B808" s="30" t="s">
        <v>1466</v>
      </c>
      <c r="C808" s="34" t="s">
        <v>959</v>
      </c>
      <c r="D808" s="35" t="s">
        <v>959</v>
      </c>
      <c r="E808" s="4" t="s">
        <v>959</v>
      </c>
    </row>
    <row r="809" spans="2:5" x14ac:dyDescent="0.2">
      <c r="B809" s="30" t="s">
        <v>1467</v>
      </c>
      <c r="C809" s="34" t="s">
        <v>959</v>
      </c>
      <c r="D809" s="35" t="s">
        <v>959</v>
      </c>
      <c r="E809" s="4" t="s">
        <v>959</v>
      </c>
    </row>
    <row r="810" spans="2:5" x14ac:dyDescent="0.2">
      <c r="B810" s="29" t="s">
        <v>80</v>
      </c>
      <c r="C810" s="32" t="s">
        <v>959</v>
      </c>
      <c r="D810" s="32" t="s">
        <v>959</v>
      </c>
      <c r="E810" s="36" t="s">
        <v>959</v>
      </c>
    </row>
    <row r="811" spans="2:5" x14ac:dyDescent="0.2">
      <c r="B811" s="30" t="s">
        <v>1468</v>
      </c>
      <c r="C811" s="34" t="s">
        <v>959</v>
      </c>
      <c r="D811" s="35" t="s">
        <v>959</v>
      </c>
      <c r="E811" s="4" t="s">
        <v>959</v>
      </c>
    </row>
    <row r="812" spans="2:5" x14ac:dyDescent="0.2">
      <c r="B812" s="30" t="s">
        <v>1469</v>
      </c>
      <c r="C812" s="34" t="s">
        <v>959</v>
      </c>
      <c r="D812" s="35" t="s">
        <v>959</v>
      </c>
      <c r="E812" s="4" t="s">
        <v>959</v>
      </c>
    </row>
    <row r="813" spans="2:5" x14ac:dyDescent="0.2">
      <c r="B813" s="30" t="s">
        <v>1470</v>
      </c>
      <c r="C813" s="34" t="s">
        <v>959</v>
      </c>
      <c r="D813" s="35" t="s">
        <v>959</v>
      </c>
      <c r="E813" s="4" t="s">
        <v>959</v>
      </c>
    </row>
    <row r="814" spans="2:5" x14ac:dyDescent="0.2">
      <c r="B814" s="30" t="s">
        <v>1471</v>
      </c>
      <c r="C814" s="34" t="s">
        <v>959</v>
      </c>
      <c r="D814" s="35" t="s">
        <v>959</v>
      </c>
      <c r="E814" s="4" t="s">
        <v>959</v>
      </c>
    </row>
    <row r="815" spans="2:5" x14ac:dyDescent="0.2">
      <c r="B815" s="29" t="s">
        <v>45</v>
      </c>
      <c r="C815" s="32" t="s">
        <v>959</v>
      </c>
      <c r="D815" s="32" t="s">
        <v>959</v>
      </c>
      <c r="E815" s="36" t="s">
        <v>959</v>
      </c>
    </row>
    <row r="816" spans="2:5" x14ac:dyDescent="0.2">
      <c r="B816" s="30" t="s">
        <v>1472</v>
      </c>
      <c r="C816" s="34" t="s">
        <v>959</v>
      </c>
      <c r="D816" s="35" t="s">
        <v>959</v>
      </c>
      <c r="E816" s="4" t="s">
        <v>959</v>
      </c>
    </row>
    <row r="817" spans="2:5" x14ac:dyDescent="0.2">
      <c r="B817" s="30" t="s">
        <v>1473</v>
      </c>
      <c r="C817" s="34" t="s">
        <v>959</v>
      </c>
      <c r="D817" s="35" t="s">
        <v>959</v>
      </c>
      <c r="E817" s="4" t="s">
        <v>959</v>
      </c>
    </row>
    <row r="818" spans="2:5" x14ac:dyDescent="0.2">
      <c r="B818" s="30" t="s">
        <v>1474</v>
      </c>
      <c r="C818" s="34" t="s">
        <v>959</v>
      </c>
      <c r="D818" s="35" t="s">
        <v>959</v>
      </c>
      <c r="E818" s="4" t="s">
        <v>959</v>
      </c>
    </row>
    <row r="819" spans="2:5" x14ac:dyDescent="0.2">
      <c r="B819" s="30" t="s">
        <v>1475</v>
      </c>
      <c r="C819" s="34" t="s">
        <v>959</v>
      </c>
      <c r="D819" s="35" t="s">
        <v>959</v>
      </c>
      <c r="E819" s="4" t="s">
        <v>959</v>
      </c>
    </row>
    <row r="820" spans="2:5" x14ac:dyDescent="0.2">
      <c r="B820" s="30" t="s">
        <v>1476</v>
      </c>
      <c r="C820" s="34" t="s">
        <v>959</v>
      </c>
      <c r="D820" s="35" t="s">
        <v>959</v>
      </c>
      <c r="E820" s="4" t="s">
        <v>959</v>
      </c>
    </row>
    <row r="821" spans="2:5" x14ac:dyDescent="0.2">
      <c r="B821" s="30" t="s">
        <v>1477</v>
      </c>
      <c r="C821" s="34" t="s">
        <v>959</v>
      </c>
      <c r="D821" s="35" t="s">
        <v>959</v>
      </c>
      <c r="E821" s="4" t="s">
        <v>959</v>
      </c>
    </row>
    <row r="822" spans="2:5" x14ac:dyDescent="0.2">
      <c r="B822" s="30" t="s">
        <v>1478</v>
      </c>
      <c r="C822" s="34" t="s">
        <v>959</v>
      </c>
      <c r="D822" s="35" t="s">
        <v>959</v>
      </c>
      <c r="E822" s="4" t="s">
        <v>959</v>
      </c>
    </row>
    <row r="823" spans="2:5" x14ac:dyDescent="0.2">
      <c r="B823" s="30" t="s">
        <v>1479</v>
      </c>
      <c r="C823" s="34" t="s">
        <v>959</v>
      </c>
      <c r="D823" s="35" t="s">
        <v>959</v>
      </c>
      <c r="E823" s="4" t="s">
        <v>959</v>
      </c>
    </row>
    <row r="824" spans="2:5" x14ac:dyDescent="0.2">
      <c r="B824" s="29" t="s">
        <v>90</v>
      </c>
      <c r="C824" s="32" t="s">
        <v>959</v>
      </c>
      <c r="D824" s="32" t="s">
        <v>959</v>
      </c>
      <c r="E824" s="36" t="s">
        <v>959</v>
      </c>
    </row>
    <row r="825" spans="2:5" x14ac:dyDescent="0.2">
      <c r="B825" s="30" t="s">
        <v>1480</v>
      </c>
      <c r="C825" s="34" t="s">
        <v>959</v>
      </c>
      <c r="D825" s="35" t="s">
        <v>959</v>
      </c>
      <c r="E825" s="4" t="s">
        <v>959</v>
      </c>
    </row>
    <row r="826" spans="2:5" x14ac:dyDescent="0.2">
      <c r="B826" s="30" t="s">
        <v>1481</v>
      </c>
      <c r="C826" s="34" t="s">
        <v>959</v>
      </c>
      <c r="D826" s="35" t="s">
        <v>959</v>
      </c>
      <c r="E826" s="4" t="s">
        <v>959</v>
      </c>
    </row>
    <row r="827" spans="2:5" x14ac:dyDescent="0.2">
      <c r="B827" s="30" t="s">
        <v>1482</v>
      </c>
      <c r="C827" s="34" t="s">
        <v>959</v>
      </c>
      <c r="D827" s="35" t="s">
        <v>959</v>
      </c>
      <c r="E827" s="4" t="s">
        <v>959</v>
      </c>
    </row>
    <row r="828" spans="2:5" x14ac:dyDescent="0.2">
      <c r="B828" s="30" t="s">
        <v>1483</v>
      </c>
      <c r="C828" s="34" t="s">
        <v>959</v>
      </c>
      <c r="D828" s="35" t="s">
        <v>959</v>
      </c>
      <c r="E828" s="4" t="s">
        <v>959</v>
      </c>
    </row>
    <row r="829" spans="2:5" x14ac:dyDescent="0.2">
      <c r="B829" s="30" t="s">
        <v>1484</v>
      </c>
      <c r="C829" s="34" t="s">
        <v>959</v>
      </c>
      <c r="D829" s="35" t="s">
        <v>959</v>
      </c>
      <c r="E829" s="4" t="s">
        <v>959</v>
      </c>
    </row>
    <row r="830" spans="2:5" x14ac:dyDescent="0.2">
      <c r="B830" s="30" t="s">
        <v>1485</v>
      </c>
      <c r="C830" s="34" t="s">
        <v>959</v>
      </c>
      <c r="D830" s="35" t="s">
        <v>959</v>
      </c>
      <c r="E830" s="4" t="s">
        <v>959</v>
      </c>
    </row>
    <row r="831" spans="2:5" x14ac:dyDescent="0.2">
      <c r="B831" s="30" t="s">
        <v>1486</v>
      </c>
      <c r="C831" s="34" t="s">
        <v>959</v>
      </c>
      <c r="D831" s="35" t="s">
        <v>959</v>
      </c>
      <c r="E831" s="4" t="s">
        <v>959</v>
      </c>
    </row>
    <row r="832" spans="2:5" x14ac:dyDescent="0.2">
      <c r="B832" s="30" t="s">
        <v>1487</v>
      </c>
      <c r="C832" s="34" t="s">
        <v>959</v>
      </c>
      <c r="D832" s="35" t="s">
        <v>959</v>
      </c>
      <c r="E832" s="4" t="s">
        <v>959</v>
      </c>
    </row>
    <row r="833" spans="2:5" x14ac:dyDescent="0.2">
      <c r="B833" s="29" t="s">
        <v>114</v>
      </c>
      <c r="C833" s="32" t="s">
        <v>959</v>
      </c>
      <c r="D833" s="32" t="s">
        <v>959</v>
      </c>
      <c r="E833" s="36" t="s">
        <v>959</v>
      </c>
    </row>
    <row r="834" spans="2:5" x14ac:dyDescent="0.2">
      <c r="B834" s="30" t="s">
        <v>1488</v>
      </c>
      <c r="C834" s="34" t="s">
        <v>959</v>
      </c>
      <c r="D834" s="35" t="s">
        <v>959</v>
      </c>
      <c r="E834" s="4" t="s">
        <v>959</v>
      </c>
    </row>
    <row r="835" spans="2:5" x14ac:dyDescent="0.2">
      <c r="B835" s="30" t="s">
        <v>1489</v>
      </c>
      <c r="C835" s="34" t="s">
        <v>959</v>
      </c>
      <c r="D835" s="35" t="s">
        <v>959</v>
      </c>
      <c r="E835" s="4" t="s">
        <v>959</v>
      </c>
    </row>
    <row r="836" spans="2:5" x14ac:dyDescent="0.2">
      <c r="B836" s="30" t="s">
        <v>1490</v>
      </c>
      <c r="C836" s="34" t="s">
        <v>959</v>
      </c>
      <c r="D836" s="35" t="s">
        <v>959</v>
      </c>
      <c r="E836" s="4" t="s">
        <v>959</v>
      </c>
    </row>
    <row r="837" spans="2:5" x14ac:dyDescent="0.2">
      <c r="B837" s="30" t="s">
        <v>1491</v>
      </c>
      <c r="C837" s="34" t="s">
        <v>959</v>
      </c>
      <c r="D837" s="35" t="s">
        <v>959</v>
      </c>
      <c r="E837" s="4" t="s">
        <v>959</v>
      </c>
    </row>
    <row r="838" spans="2:5" x14ac:dyDescent="0.2">
      <c r="B838" s="29" t="s">
        <v>10</v>
      </c>
      <c r="C838" s="32" t="s">
        <v>959</v>
      </c>
      <c r="D838" s="32" t="s">
        <v>959</v>
      </c>
      <c r="E838" s="36" t="s">
        <v>959</v>
      </c>
    </row>
    <row r="839" spans="2:5" x14ac:dyDescent="0.2">
      <c r="B839" s="30" t="s">
        <v>1492</v>
      </c>
      <c r="C839" s="34" t="s">
        <v>959</v>
      </c>
      <c r="D839" s="35" t="s">
        <v>959</v>
      </c>
      <c r="E839" s="4" t="s">
        <v>959</v>
      </c>
    </row>
    <row r="840" spans="2:5" x14ac:dyDescent="0.2">
      <c r="B840" s="30" t="s">
        <v>1493</v>
      </c>
      <c r="C840" s="34" t="s">
        <v>959</v>
      </c>
      <c r="D840" s="35" t="s">
        <v>959</v>
      </c>
      <c r="E840" s="4" t="s">
        <v>959</v>
      </c>
    </row>
    <row r="841" spans="2:5" x14ac:dyDescent="0.2">
      <c r="B841" s="30" t="s">
        <v>1494</v>
      </c>
      <c r="C841" s="34" t="s">
        <v>959</v>
      </c>
      <c r="D841" s="35" t="s">
        <v>959</v>
      </c>
      <c r="E841" s="4" t="s">
        <v>959</v>
      </c>
    </row>
    <row r="842" spans="2:5" x14ac:dyDescent="0.2">
      <c r="B842" s="30" t="s">
        <v>1495</v>
      </c>
      <c r="C842" s="34" t="s">
        <v>959</v>
      </c>
      <c r="D842" s="35" t="s">
        <v>959</v>
      </c>
      <c r="E842" s="4" t="s">
        <v>959</v>
      </c>
    </row>
    <row r="843" spans="2:5" x14ac:dyDescent="0.2">
      <c r="B843" s="30" t="s">
        <v>1496</v>
      </c>
      <c r="C843" s="34" t="s">
        <v>959</v>
      </c>
      <c r="D843" s="35" t="s">
        <v>959</v>
      </c>
      <c r="E843" s="4" t="s">
        <v>959</v>
      </c>
    </row>
    <row r="844" spans="2:5" x14ac:dyDescent="0.2">
      <c r="B844" s="29" t="s">
        <v>107</v>
      </c>
      <c r="C844" s="32" t="s">
        <v>959</v>
      </c>
      <c r="D844" s="32" t="s">
        <v>959</v>
      </c>
      <c r="E844" s="36" t="s">
        <v>959</v>
      </c>
    </row>
    <row r="845" spans="2:5" x14ac:dyDescent="0.2">
      <c r="B845" s="30" t="s">
        <v>1497</v>
      </c>
      <c r="C845" s="34" t="s">
        <v>959</v>
      </c>
      <c r="D845" s="35" t="s">
        <v>959</v>
      </c>
      <c r="E845" s="4" t="s">
        <v>959</v>
      </c>
    </row>
    <row r="846" spans="2:5" x14ac:dyDescent="0.2">
      <c r="B846" s="30" t="s">
        <v>1498</v>
      </c>
      <c r="C846" s="34" t="s">
        <v>959</v>
      </c>
      <c r="D846" s="35" t="s">
        <v>959</v>
      </c>
      <c r="E846" s="4" t="s">
        <v>959</v>
      </c>
    </row>
    <row r="847" spans="2:5" x14ac:dyDescent="0.2">
      <c r="B847" s="30" t="s">
        <v>1499</v>
      </c>
      <c r="C847" s="34" t="s">
        <v>959</v>
      </c>
      <c r="D847" s="35" t="s">
        <v>959</v>
      </c>
      <c r="E847" s="4" t="s">
        <v>959</v>
      </c>
    </row>
    <row r="848" spans="2:5" x14ac:dyDescent="0.2">
      <c r="B848" s="30" t="s">
        <v>1500</v>
      </c>
      <c r="C848" s="34" t="s">
        <v>959</v>
      </c>
      <c r="D848" s="35" t="s">
        <v>959</v>
      </c>
      <c r="E848" s="4" t="s">
        <v>959</v>
      </c>
    </row>
    <row r="849" spans="2:5" x14ac:dyDescent="0.2">
      <c r="B849" s="29" t="s">
        <v>36</v>
      </c>
      <c r="C849" s="32" t="s">
        <v>959</v>
      </c>
      <c r="D849" s="32" t="s">
        <v>959</v>
      </c>
      <c r="E849" s="36" t="s">
        <v>959</v>
      </c>
    </row>
    <row r="850" spans="2:5" x14ac:dyDescent="0.2">
      <c r="B850" s="30" t="s">
        <v>1501</v>
      </c>
      <c r="C850" s="34" t="s">
        <v>959</v>
      </c>
      <c r="D850" s="35" t="s">
        <v>959</v>
      </c>
      <c r="E850" s="4" t="s">
        <v>959</v>
      </c>
    </row>
    <row r="851" spans="2:5" x14ac:dyDescent="0.2">
      <c r="B851" s="30" t="s">
        <v>1502</v>
      </c>
      <c r="C851" s="34" t="s">
        <v>959</v>
      </c>
      <c r="D851" s="35" t="s">
        <v>959</v>
      </c>
      <c r="E851" s="4" t="s">
        <v>959</v>
      </c>
    </row>
    <row r="852" spans="2:5" x14ac:dyDescent="0.2">
      <c r="B852" s="30" t="s">
        <v>1503</v>
      </c>
      <c r="C852" s="34" t="s">
        <v>959</v>
      </c>
      <c r="D852" s="35" t="s">
        <v>959</v>
      </c>
      <c r="E852" s="4" t="s">
        <v>959</v>
      </c>
    </row>
    <row r="853" spans="2:5" x14ac:dyDescent="0.2">
      <c r="B853" s="30" t="s">
        <v>1504</v>
      </c>
      <c r="C853" s="34" t="s">
        <v>959</v>
      </c>
      <c r="D853" s="35" t="s">
        <v>959</v>
      </c>
      <c r="E853" s="4" t="s">
        <v>959</v>
      </c>
    </row>
    <row r="854" spans="2:5" x14ac:dyDescent="0.2">
      <c r="B854" s="30" t="s">
        <v>1505</v>
      </c>
      <c r="C854" s="34" t="s">
        <v>959</v>
      </c>
      <c r="D854" s="35" t="s">
        <v>959</v>
      </c>
      <c r="E854" s="4" t="s">
        <v>959</v>
      </c>
    </row>
    <row r="855" spans="2:5" x14ac:dyDescent="0.2">
      <c r="B855" s="30" t="s">
        <v>1506</v>
      </c>
      <c r="C855" s="34" t="s">
        <v>959</v>
      </c>
      <c r="D855" s="35" t="s">
        <v>959</v>
      </c>
      <c r="E855" s="4" t="s">
        <v>959</v>
      </c>
    </row>
    <row r="856" spans="2:5" x14ac:dyDescent="0.2">
      <c r="B856" s="30" t="s">
        <v>1507</v>
      </c>
      <c r="C856" s="34" t="s">
        <v>959</v>
      </c>
      <c r="D856" s="35" t="s">
        <v>959</v>
      </c>
      <c r="E856" s="4" t="s">
        <v>959</v>
      </c>
    </row>
    <row r="857" spans="2:5" x14ac:dyDescent="0.2">
      <c r="B857" s="29" t="s">
        <v>51</v>
      </c>
      <c r="C857" s="32" t="s">
        <v>959</v>
      </c>
      <c r="D857" s="32" t="s">
        <v>959</v>
      </c>
      <c r="E857" s="36" t="s">
        <v>959</v>
      </c>
    </row>
    <row r="858" spans="2:5" x14ac:dyDescent="0.2">
      <c r="B858" s="30" t="s">
        <v>1508</v>
      </c>
      <c r="C858" s="34" t="s">
        <v>959</v>
      </c>
      <c r="D858" s="35" t="s">
        <v>959</v>
      </c>
      <c r="E858" s="4" t="s">
        <v>959</v>
      </c>
    </row>
    <row r="859" spans="2:5" x14ac:dyDescent="0.2">
      <c r="B859" s="30" t="s">
        <v>1509</v>
      </c>
      <c r="C859" s="34" t="s">
        <v>959</v>
      </c>
      <c r="D859" s="35" t="s">
        <v>959</v>
      </c>
      <c r="E859" s="4" t="s">
        <v>959</v>
      </c>
    </row>
    <row r="860" spans="2:5" x14ac:dyDescent="0.2">
      <c r="B860" s="30" t="s">
        <v>1510</v>
      </c>
      <c r="C860" s="34" t="s">
        <v>959</v>
      </c>
      <c r="D860" s="35" t="s">
        <v>959</v>
      </c>
      <c r="E860" s="4" t="s">
        <v>959</v>
      </c>
    </row>
    <row r="861" spans="2:5" x14ac:dyDescent="0.2">
      <c r="B861" s="30" t="s">
        <v>1511</v>
      </c>
      <c r="C861" s="34" t="s">
        <v>959</v>
      </c>
      <c r="D861" s="35" t="s">
        <v>959</v>
      </c>
      <c r="E861" s="4" t="s">
        <v>959</v>
      </c>
    </row>
    <row r="862" spans="2:5" x14ac:dyDescent="0.2">
      <c r="B862" s="30" t="s">
        <v>1512</v>
      </c>
      <c r="C862" s="34" t="s">
        <v>959</v>
      </c>
      <c r="D862" s="35" t="s">
        <v>959</v>
      </c>
      <c r="E862" s="4" t="s">
        <v>959</v>
      </c>
    </row>
    <row r="863" spans="2:5" x14ac:dyDescent="0.2">
      <c r="B863" s="30" t="s">
        <v>1513</v>
      </c>
      <c r="C863" s="34" t="s">
        <v>959</v>
      </c>
      <c r="D863" s="35" t="s">
        <v>959</v>
      </c>
      <c r="E863" s="4" t="s">
        <v>959</v>
      </c>
    </row>
    <row r="864" spans="2:5" x14ac:dyDescent="0.2">
      <c r="B864" s="29" t="s">
        <v>75</v>
      </c>
      <c r="C864" s="32" t="s">
        <v>959</v>
      </c>
      <c r="D864" s="32" t="s">
        <v>959</v>
      </c>
      <c r="E864" s="36" t="s">
        <v>959</v>
      </c>
    </row>
    <row r="865" spans="2:5" x14ac:dyDescent="0.2">
      <c r="B865" s="30" t="s">
        <v>1514</v>
      </c>
      <c r="C865" s="34" t="s">
        <v>959</v>
      </c>
      <c r="D865" s="35" t="s">
        <v>959</v>
      </c>
      <c r="E865" s="4" t="s">
        <v>959</v>
      </c>
    </row>
    <row r="866" spans="2:5" x14ac:dyDescent="0.2">
      <c r="B866" s="30" t="s">
        <v>1515</v>
      </c>
      <c r="C866" s="34" t="s">
        <v>959</v>
      </c>
      <c r="D866" s="35" t="s">
        <v>959</v>
      </c>
      <c r="E866" s="4" t="s">
        <v>959</v>
      </c>
    </row>
    <row r="867" spans="2:5" x14ac:dyDescent="0.2">
      <c r="B867" s="30" t="s">
        <v>1516</v>
      </c>
      <c r="C867" s="34" t="s">
        <v>959</v>
      </c>
      <c r="D867" s="35" t="s">
        <v>959</v>
      </c>
      <c r="E867" s="4" t="s">
        <v>959</v>
      </c>
    </row>
    <row r="868" spans="2:5" x14ac:dyDescent="0.2">
      <c r="B868" s="30" t="s">
        <v>1517</v>
      </c>
      <c r="C868" s="34" t="s">
        <v>959</v>
      </c>
      <c r="D868" s="35" t="s">
        <v>959</v>
      </c>
      <c r="E868" s="4" t="s">
        <v>959</v>
      </c>
    </row>
    <row r="869" spans="2:5" x14ac:dyDescent="0.2">
      <c r="B869" s="29" t="s">
        <v>8</v>
      </c>
      <c r="C869" s="32" t="s">
        <v>959</v>
      </c>
      <c r="D869" s="32" t="s">
        <v>959</v>
      </c>
      <c r="E869" s="36" t="s">
        <v>959</v>
      </c>
    </row>
    <row r="870" spans="2:5" x14ac:dyDescent="0.2">
      <c r="B870" s="30" t="s">
        <v>1518</v>
      </c>
      <c r="C870" s="34" t="s">
        <v>959</v>
      </c>
      <c r="D870" s="35" t="s">
        <v>959</v>
      </c>
      <c r="E870" s="4" t="s">
        <v>959</v>
      </c>
    </row>
    <row r="871" spans="2:5" x14ac:dyDescent="0.2">
      <c r="B871" s="30" t="s">
        <v>1519</v>
      </c>
      <c r="C871" s="34" t="s">
        <v>959</v>
      </c>
      <c r="D871" s="35" t="s">
        <v>959</v>
      </c>
      <c r="E871" s="4" t="s">
        <v>959</v>
      </c>
    </row>
    <row r="872" spans="2:5" x14ac:dyDescent="0.2">
      <c r="B872" s="30" t="s">
        <v>1520</v>
      </c>
      <c r="C872" s="34" t="s">
        <v>959</v>
      </c>
      <c r="D872" s="35" t="s">
        <v>959</v>
      </c>
      <c r="E872" s="4" t="s">
        <v>959</v>
      </c>
    </row>
    <row r="873" spans="2:5" x14ac:dyDescent="0.2">
      <c r="B873" s="30" t="s">
        <v>1521</v>
      </c>
      <c r="C873" s="34" t="s">
        <v>959</v>
      </c>
      <c r="D873" s="35" t="s">
        <v>959</v>
      </c>
      <c r="E873" s="4" t="s">
        <v>959</v>
      </c>
    </row>
    <row r="874" spans="2:5" x14ac:dyDescent="0.2">
      <c r="B874" s="30" t="s">
        <v>1522</v>
      </c>
      <c r="C874" s="34" t="s">
        <v>959</v>
      </c>
      <c r="D874" s="35" t="s">
        <v>959</v>
      </c>
      <c r="E874" s="4" t="s">
        <v>959</v>
      </c>
    </row>
    <row r="875" spans="2:5" x14ac:dyDescent="0.2">
      <c r="B875" s="29" t="s">
        <v>41</v>
      </c>
      <c r="C875" s="32" t="s">
        <v>959</v>
      </c>
      <c r="D875" s="32" t="s">
        <v>959</v>
      </c>
      <c r="E875" s="36" t="s">
        <v>959</v>
      </c>
    </row>
    <row r="876" spans="2:5" x14ac:dyDescent="0.2">
      <c r="B876" s="30" t="s">
        <v>1523</v>
      </c>
      <c r="C876" s="34" t="s">
        <v>959</v>
      </c>
      <c r="D876" s="35" t="s">
        <v>959</v>
      </c>
      <c r="E876" s="4" t="s">
        <v>959</v>
      </c>
    </row>
    <row r="877" spans="2:5" x14ac:dyDescent="0.2">
      <c r="B877" s="30" t="s">
        <v>1524</v>
      </c>
      <c r="C877" s="34" t="s">
        <v>959</v>
      </c>
      <c r="D877" s="35" t="s">
        <v>959</v>
      </c>
      <c r="E877" s="4" t="s">
        <v>959</v>
      </c>
    </row>
    <row r="878" spans="2:5" x14ac:dyDescent="0.2">
      <c r="B878" s="30" t="s">
        <v>1525</v>
      </c>
      <c r="C878" s="34" t="s">
        <v>959</v>
      </c>
      <c r="D878" s="35" t="s">
        <v>959</v>
      </c>
      <c r="E878" s="4" t="s">
        <v>959</v>
      </c>
    </row>
    <row r="879" spans="2:5" x14ac:dyDescent="0.2">
      <c r="B879" s="29" t="s">
        <v>26</v>
      </c>
      <c r="C879" s="32" t="s">
        <v>959</v>
      </c>
      <c r="D879" s="32" t="s">
        <v>959</v>
      </c>
      <c r="E879" s="36" t="s">
        <v>959</v>
      </c>
    </row>
    <row r="880" spans="2:5" x14ac:dyDescent="0.2">
      <c r="B880" s="30" t="s">
        <v>1526</v>
      </c>
      <c r="C880" s="34" t="s">
        <v>959</v>
      </c>
      <c r="D880" s="35" t="s">
        <v>959</v>
      </c>
      <c r="E880" s="4" t="s">
        <v>959</v>
      </c>
    </row>
    <row r="881" spans="2:5" x14ac:dyDescent="0.2">
      <c r="B881" s="30" t="s">
        <v>1527</v>
      </c>
      <c r="C881" s="34" t="s">
        <v>959</v>
      </c>
      <c r="D881" s="35" t="s">
        <v>959</v>
      </c>
      <c r="E881" s="4" t="s">
        <v>959</v>
      </c>
    </row>
    <row r="882" spans="2:5" x14ac:dyDescent="0.2">
      <c r="B882" s="30" t="s">
        <v>1528</v>
      </c>
      <c r="C882" s="34" t="s">
        <v>959</v>
      </c>
      <c r="D882" s="35" t="s">
        <v>959</v>
      </c>
      <c r="E882" s="4" t="s">
        <v>959</v>
      </c>
    </row>
    <row r="883" spans="2:5" x14ac:dyDescent="0.2">
      <c r="B883" s="30" t="s">
        <v>1529</v>
      </c>
      <c r="C883" s="34" t="s">
        <v>959</v>
      </c>
      <c r="D883" s="35" t="s">
        <v>959</v>
      </c>
      <c r="E883" s="4" t="s">
        <v>959</v>
      </c>
    </row>
    <row r="884" spans="2:5" x14ac:dyDescent="0.2">
      <c r="B884" s="30" t="s">
        <v>1259</v>
      </c>
      <c r="C884" s="34" t="s">
        <v>959</v>
      </c>
      <c r="D884" s="35" t="s">
        <v>959</v>
      </c>
      <c r="E884" s="4" t="s">
        <v>959</v>
      </c>
    </row>
    <row r="885" spans="2:5" x14ac:dyDescent="0.2">
      <c r="B885" s="30" t="s">
        <v>1530</v>
      </c>
      <c r="C885" s="34" t="s">
        <v>959</v>
      </c>
      <c r="D885" s="35" t="s">
        <v>959</v>
      </c>
      <c r="E885" s="4" t="s">
        <v>959</v>
      </c>
    </row>
    <row r="886" spans="2:5" x14ac:dyDescent="0.2">
      <c r="B886" s="30" t="s">
        <v>1531</v>
      </c>
      <c r="C886" s="34" t="s">
        <v>959</v>
      </c>
      <c r="D886" s="35" t="s">
        <v>959</v>
      </c>
      <c r="E886" s="4" t="s">
        <v>959</v>
      </c>
    </row>
    <row r="887" spans="2:5" x14ac:dyDescent="0.2">
      <c r="B887" s="30" t="s">
        <v>989</v>
      </c>
      <c r="C887" s="34" t="s">
        <v>959</v>
      </c>
      <c r="D887" s="35" t="s">
        <v>959</v>
      </c>
      <c r="E887" s="4" t="s">
        <v>959</v>
      </c>
    </row>
    <row r="888" spans="2:5" x14ac:dyDescent="0.2">
      <c r="B888" s="30" t="s">
        <v>1532</v>
      </c>
      <c r="C888" s="34" t="s">
        <v>959</v>
      </c>
      <c r="D888" s="35" t="s">
        <v>959</v>
      </c>
      <c r="E888" s="4" t="s">
        <v>959</v>
      </c>
    </row>
    <row r="889" spans="2:5" x14ac:dyDescent="0.2">
      <c r="B889" s="29" t="s">
        <v>103</v>
      </c>
      <c r="C889" s="32" t="s">
        <v>959</v>
      </c>
      <c r="D889" s="32" t="s">
        <v>959</v>
      </c>
      <c r="E889" s="36" t="s">
        <v>959</v>
      </c>
    </row>
    <row r="890" spans="2:5" x14ac:dyDescent="0.2">
      <c r="B890" s="30" t="s">
        <v>1533</v>
      </c>
      <c r="C890" s="34" t="s">
        <v>959</v>
      </c>
      <c r="D890" s="35" t="s">
        <v>959</v>
      </c>
      <c r="E890" s="4" t="s">
        <v>959</v>
      </c>
    </row>
    <row r="891" spans="2:5" x14ac:dyDescent="0.2">
      <c r="B891" s="30" t="s">
        <v>1534</v>
      </c>
      <c r="C891" s="34" t="s">
        <v>959</v>
      </c>
      <c r="D891" s="35" t="s">
        <v>959</v>
      </c>
      <c r="E891" s="4" t="s">
        <v>959</v>
      </c>
    </row>
    <row r="892" spans="2:5" x14ac:dyDescent="0.2">
      <c r="B892" s="30" t="s">
        <v>1535</v>
      </c>
      <c r="C892" s="34" t="s">
        <v>959</v>
      </c>
      <c r="D892" s="35" t="s">
        <v>959</v>
      </c>
      <c r="E892" s="4" t="s">
        <v>959</v>
      </c>
    </row>
    <row r="893" spans="2:5" x14ac:dyDescent="0.2">
      <c r="B893" s="30" t="s">
        <v>1536</v>
      </c>
      <c r="C893" s="34" t="s">
        <v>959</v>
      </c>
      <c r="D893" s="35" t="s">
        <v>959</v>
      </c>
      <c r="E893" s="4" t="s">
        <v>959</v>
      </c>
    </row>
    <row r="894" spans="2:5" x14ac:dyDescent="0.2">
      <c r="B894" s="30" t="s">
        <v>1537</v>
      </c>
      <c r="C894" s="34" t="s">
        <v>959</v>
      </c>
      <c r="D894" s="35" t="s">
        <v>959</v>
      </c>
      <c r="E894" s="4" t="s">
        <v>959</v>
      </c>
    </row>
    <row r="895" spans="2:5" x14ac:dyDescent="0.2">
      <c r="B895" s="29" t="s">
        <v>13</v>
      </c>
      <c r="C895" s="32" t="s">
        <v>959</v>
      </c>
      <c r="D895" s="32" t="s">
        <v>959</v>
      </c>
      <c r="E895" s="36" t="s">
        <v>959</v>
      </c>
    </row>
    <row r="896" spans="2:5" x14ac:dyDescent="0.2">
      <c r="B896" s="30" t="s">
        <v>1538</v>
      </c>
      <c r="C896" s="34" t="s">
        <v>959</v>
      </c>
      <c r="D896" s="35" t="s">
        <v>959</v>
      </c>
      <c r="E896" s="4" t="s">
        <v>959</v>
      </c>
    </row>
    <row r="897" spans="2:5" x14ac:dyDescent="0.2">
      <c r="B897" s="30" t="s">
        <v>1539</v>
      </c>
      <c r="C897" s="34" t="s">
        <v>959</v>
      </c>
      <c r="D897" s="35" t="s">
        <v>959</v>
      </c>
      <c r="E897" s="4" t="s">
        <v>959</v>
      </c>
    </row>
    <row r="898" spans="2:5" x14ac:dyDescent="0.2">
      <c r="B898" s="30" t="s">
        <v>1540</v>
      </c>
      <c r="C898" s="34" t="s">
        <v>959</v>
      </c>
      <c r="D898" s="35" t="s">
        <v>959</v>
      </c>
      <c r="E898" s="4" t="s">
        <v>959</v>
      </c>
    </row>
    <row r="899" spans="2:5" x14ac:dyDescent="0.2">
      <c r="B899" s="30" t="s">
        <v>1541</v>
      </c>
      <c r="C899" s="34" t="s">
        <v>959</v>
      </c>
      <c r="D899" s="35" t="s">
        <v>959</v>
      </c>
      <c r="E899" s="4" t="s">
        <v>959</v>
      </c>
    </row>
    <row r="900" spans="2:5" x14ac:dyDescent="0.2">
      <c r="B900" s="30" t="s">
        <v>1542</v>
      </c>
      <c r="C900" s="34" t="s">
        <v>959</v>
      </c>
      <c r="D900" s="35" t="s">
        <v>959</v>
      </c>
      <c r="E900" s="4" t="s">
        <v>959</v>
      </c>
    </row>
    <row r="901" spans="2:5" x14ac:dyDescent="0.2">
      <c r="B901" s="30" t="s">
        <v>1543</v>
      </c>
      <c r="C901" s="34" t="s">
        <v>959</v>
      </c>
      <c r="D901" s="35" t="s">
        <v>959</v>
      </c>
      <c r="E901" s="4" t="s">
        <v>959</v>
      </c>
    </row>
    <row r="902" spans="2:5" x14ac:dyDescent="0.2">
      <c r="B902" s="30" t="s">
        <v>1544</v>
      </c>
      <c r="C902" s="34" t="s">
        <v>959</v>
      </c>
      <c r="D902" s="35" t="s">
        <v>959</v>
      </c>
      <c r="E902" s="4" t="s">
        <v>959</v>
      </c>
    </row>
    <row r="903" spans="2:5" x14ac:dyDescent="0.2">
      <c r="B903" s="29" t="s">
        <v>128</v>
      </c>
      <c r="C903" s="32" t="s">
        <v>959</v>
      </c>
      <c r="D903" s="32" t="s">
        <v>959</v>
      </c>
      <c r="E903" s="36" t="s">
        <v>959</v>
      </c>
    </row>
    <row r="904" spans="2:5" x14ac:dyDescent="0.2">
      <c r="B904" s="30" t="s">
        <v>1545</v>
      </c>
      <c r="C904" s="34" t="s">
        <v>959</v>
      </c>
      <c r="D904" s="35" t="s">
        <v>959</v>
      </c>
      <c r="E904" s="4" t="s">
        <v>959</v>
      </c>
    </row>
    <row r="905" spans="2:5" x14ac:dyDescent="0.2">
      <c r="B905" s="30" t="s">
        <v>1546</v>
      </c>
      <c r="C905" s="34" t="s">
        <v>959</v>
      </c>
      <c r="D905" s="35" t="s">
        <v>959</v>
      </c>
      <c r="E905" s="4" t="s">
        <v>959</v>
      </c>
    </row>
    <row r="906" spans="2:5" x14ac:dyDescent="0.2">
      <c r="B906" s="30" t="s">
        <v>1547</v>
      </c>
      <c r="C906" s="34" t="s">
        <v>959</v>
      </c>
      <c r="D906" s="35" t="s">
        <v>959</v>
      </c>
      <c r="E906" s="4" t="s">
        <v>959</v>
      </c>
    </row>
    <row r="907" spans="2:5" x14ac:dyDescent="0.2">
      <c r="B907" s="30" t="s">
        <v>1548</v>
      </c>
      <c r="C907" s="34" t="s">
        <v>959</v>
      </c>
      <c r="D907" s="35" t="s">
        <v>959</v>
      </c>
      <c r="E907" s="4" t="s">
        <v>959</v>
      </c>
    </row>
    <row r="908" spans="2:5" x14ac:dyDescent="0.2">
      <c r="B908" s="30" t="s">
        <v>1549</v>
      </c>
      <c r="C908" s="34" t="s">
        <v>959</v>
      </c>
      <c r="D908" s="35" t="s">
        <v>959</v>
      </c>
      <c r="E908" s="4" t="s">
        <v>959</v>
      </c>
    </row>
    <row r="909" spans="2:5" x14ac:dyDescent="0.2">
      <c r="B909" s="29" t="s">
        <v>46</v>
      </c>
      <c r="C909" s="32" t="s">
        <v>959</v>
      </c>
      <c r="D909" s="32" t="s">
        <v>959</v>
      </c>
      <c r="E909" s="36" t="s">
        <v>959</v>
      </c>
    </row>
    <row r="910" spans="2:5" x14ac:dyDescent="0.2">
      <c r="B910" s="30" t="s">
        <v>1550</v>
      </c>
      <c r="C910" s="34" t="s">
        <v>959</v>
      </c>
      <c r="D910" s="35" t="s">
        <v>959</v>
      </c>
      <c r="E910" s="4" t="s">
        <v>959</v>
      </c>
    </row>
    <row r="911" spans="2:5" x14ac:dyDescent="0.2">
      <c r="B911" s="30" t="s">
        <v>1551</v>
      </c>
      <c r="C911" s="34" t="s">
        <v>959</v>
      </c>
      <c r="D911" s="35" t="s">
        <v>959</v>
      </c>
      <c r="E911" s="4" t="s">
        <v>959</v>
      </c>
    </row>
    <row r="912" spans="2:5" x14ac:dyDescent="0.2">
      <c r="B912" s="30" t="s">
        <v>1552</v>
      </c>
      <c r="C912" s="34" t="s">
        <v>959</v>
      </c>
      <c r="D912" s="35" t="s">
        <v>959</v>
      </c>
      <c r="E912" s="4" t="s">
        <v>959</v>
      </c>
    </row>
    <row r="913" spans="2:5" x14ac:dyDescent="0.2">
      <c r="B913" s="30" t="s">
        <v>1553</v>
      </c>
      <c r="C913" s="34" t="s">
        <v>959</v>
      </c>
      <c r="D913" s="35" t="s">
        <v>959</v>
      </c>
      <c r="E913" s="4" t="s">
        <v>959</v>
      </c>
    </row>
    <row r="914" spans="2:5" x14ac:dyDescent="0.2">
      <c r="B914" s="30" t="s">
        <v>1554</v>
      </c>
      <c r="C914" s="34" t="s">
        <v>959</v>
      </c>
      <c r="D914" s="35" t="s">
        <v>959</v>
      </c>
      <c r="E914" s="4" t="s">
        <v>959</v>
      </c>
    </row>
    <row r="915" spans="2:5" x14ac:dyDescent="0.2">
      <c r="B915" s="30" t="s">
        <v>1555</v>
      </c>
      <c r="C915" s="34" t="s">
        <v>959</v>
      </c>
      <c r="D915" s="35" t="s">
        <v>959</v>
      </c>
      <c r="E915" s="4" t="s">
        <v>959</v>
      </c>
    </row>
    <row r="916" spans="2:5" x14ac:dyDescent="0.2">
      <c r="B916" s="30" t="s">
        <v>1556</v>
      </c>
      <c r="C916" s="34" t="s">
        <v>959</v>
      </c>
      <c r="D916" s="35" t="s">
        <v>959</v>
      </c>
      <c r="E916" s="4" t="s">
        <v>959</v>
      </c>
    </row>
    <row r="917" spans="2:5" x14ac:dyDescent="0.2">
      <c r="B917" s="29" t="s">
        <v>124</v>
      </c>
      <c r="C917" s="32" t="s">
        <v>959</v>
      </c>
      <c r="D917" s="32" t="s">
        <v>959</v>
      </c>
      <c r="E917" s="36" t="s">
        <v>959</v>
      </c>
    </row>
    <row r="918" spans="2:5" x14ac:dyDescent="0.2">
      <c r="B918" s="30" t="s">
        <v>1557</v>
      </c>
      <c r="C918" s="34" t="s">
        <v>959</v>
      </c>
      <c r="D918" s="35" t="s">
        <v>959</v>
      </c>
      <c r="E918" s="4" t="s">
        <v>959</v>
      </c>
    </row>
    <row r="919" spans="2:5" x14ac:dyDescent="0.2">
      <c r="B919" s="30" t="s">
        <v>1558</v>
      </c>
      <c r="C919" s="34" t="s">
        <v>959</v>
      </c>
      <c r="D919" s="35" t="s">
        <v>959</v>
      </c>
      <c r="E919" s="4" t="s">
        <v>959</v>
      </c>
    </row>
    <row r="920" spans="2:5" x14ac:dyDescent="0.2">
      <c r="B920" s="30" t="s">
        <v>1559</v>
      </c>
      <c r="C920" s="34" t="s">
        <v>959</v>
      </c>
      <c r="D920" s="35" t="s">
        <v>959</v>
      </c>
      <c r="E920" s="4" t="s">
        <v>959</v>
      </c>
    </row>
    <row r="921" spans="2:5" x14ac:dyDescent="0.2">
      <c r="B921" s="30" t="s">
        <v>1560</v>
      </c>
      <c r="C921" s="34" t="s">
        <v>959</v>
      </c>
      <c r="D921" s="35" t="s">
        <v>959</v>
      </c>
      <c r="E921" s="4" t="s">
        <v>959</v>
      </c>
    </row>
    <row r="922" spans="2:5" x14ac:dyDescent="0.2">
      <c r="B922" s="30" t="s">
        <v>1561</v>
      </c>
      <c r="C922" s="34" t="s">
        <v>959</v>
      </c>
      <c r="D922" s="35" t="s">
        <v>959</v>
      </c>
      <c r="E922" s="4" t="s">
        <v>959</v>
      </c>
    </row>
    <row r="923" spans="2:5" x14ac:dyDescent="0.2">
      <c r="B923" s="29" t="s">
        <v>52</v>
      </c>
      <c r="C923" s="32" t="s">
        <v>959</v>
      </c>
      <c r="D923" s="32" t="s">
        <v>959</v>
      </c>
      <c r="E923" s="36" t="s">
        <v>959</v>
      </c>
    </row>
    <row r="924" spans="2:5" x14ac:dyDescent="0.2">
      <c r="B924" s="30" t="s">
        <v>1562</v>
      </c>
      <c r="C924" s="34" t="s">
        <v>959</v>
      </c>
      <c r="D924" s="35" t="s">
        <v>959</v>
      </c>
      <c r="E924" s="4" t="s">
        <v>959</v>
      </c>
    </row>
    <row r="925" spans="2:5" x14ac:dyDescent="0.2">
      <c r="B925" s="30" t="s">
        <v>1563</v>
      </c>
      <c r="C925" s="34" t="s">
        <v>959</v>
      </c>
      <c r="D925" s="35" t="s">
        <v>959</v>
      </c>
      <c r="E925" s="4" t="s">
        <v>959</v>
      </c>
    </row>
    <row r="926" spans="2:5" x14ac:dyDescent="0.2">
      <c r="B926" s="30" t="s">
        <v>1564</v>
      </c>
      <c r="C926" s="34" t="s">
        <v>959</v>
      </c>
      <c r="D926" s="35" t="s">
        <v>959</v>
      </c>
      <c r="E926" s="4" t="s">
        <v>959</v>
      </c>
    </row>
    <row r="927" spans="2:5" x14ac:dyDescent="0.2">
      <c r="B927" s="30" t="s">
        <v>1565</v>
      </c>
      <c r="C927" s="34" t="s">
        <v>959</v>
      </c>
      <c r="D927" s="35" t="s">
        <v>959</v>
      </c>
      <c r="E927" s="4" t="s">
        <v>959</v>
      </c>
    </row>
    <row r="928" spans="2:5" x14ac:dyDescent="0.2">
      <c r="B928" s="30" t="s">
        <v>1566</v>
      </c>
      <c r="C928" s="34" t="s">
        <v>959</v>
      </c>
      <c r="D928" s="35" t="s">
        <v>959</v>
      </c>
      <c r="E928" s="4" t="s">
        <v>959</v>
      </c>
    </row>
    <row r="929" spans="2:5" x14ac:dyDescent="0.2">
      <c r="B929" s="30" t="s">
        <v>1567</v>
      </c>
      <c r="C929" s="34" t="s">
        <v>959</v>
      </c>
      <c r="D929" s="35" t="s">
        <v>959</v>
      </c>
      <c r="E929" s="4" t="s">
        <v>959</v>
      </c>
    </row>
    <row r="930" spans="2:5" x14ac:dyDescent="0.2">
      <c r="B930" s="30" t="s">
        <v>1568</v>
      </c>
      <c r="C930" s="34" t="s">
        <v>959</v>
      </c>
      <c r="D930" s="35" t="s">
        <v>959</v>
      </c>
      <c r="E930" s="4" t="s">
        <v>959</v>
      </c>
    </row>
    <row r="931" spans="2:5" x14ac:dyDescent="0.2">
      <c r="B931" s="29" t="s">
        <v>60</v>
      </c>
      <c r="C931" s="32" t="s">
        <v>959</v>
      </c>
      <c r="D931" s="32" t="s">
        <v>959</v>
      </c>
      <c r="E931" s="36" t="s">
        <v>959</v>
      </c>
    </row>
    <row r="932" spans="2:5" x14ac:dyDescent="0.2">
      <c r="B932" s="30" t="s">
        <v>1569</v>
      </c>
      <c r="C932" s="34" t="s">
        <v>959</v>
      </c>
      <c r="D932" s="35" t="s">
        <v>959</v>
      </c>
      <c r="E932" s="4" t="s">
        <v>959</v>
      </c>
    </row>
    <row r="933" spans="2:5" x14ac:dyDescent="0.2">
      <c r="B933" s="30" t="s">
        <v>1570</v>
      </c>
      <c r="C933" s="34" t="s">
        <v>959</v>
      </c>
      <c r="D933" s="35" t="s">
        <v>959</v>
      </c>
      <c r="E933" s="4" t="s">
        <v>959</v>
      </c>
    </row>
    <row r="934" spans="2:5" x14ac:dyDescent="0.2">
      <c r="B934" s="30" t="s">
        <v>1571</v>
      </c>
      <c r="C934" s="34" t="s">
        <v>959</v>
      </c>
      <c r="D934" s="35" t="s">
        <v>959</v>
      </c>
      <c r="E934" s="4" t="s">
        <v>959</v>
      </c>
    </row>
    <row r="935" spans="2:5" x14ac:dyDescent="0.2">
      <c r="B935" s="30" t="s">
        <v>1572</v>
      </c>
      <c r="C935" s="34" t="s">
        <v>959</v>
      </c>
      <c r="D935" s="35" t="s">
        <v>959</v>
      </c>
      <c r="E935" s="4" t="s">
        <v>959</v>
      </c>
    </row>
    <row r="936" spans="2:5" x14ac:dyDescent="0.2">
      <c r="B936" s="30" t="s">
        <v>1444</v>
      </c>
      <c r="C936" s="34" t="s">
        <v>959</v>
      </c>
      <c r="D936" s="35" t="s">
        <v>959</v>
      </c>
      <c r="E936" s="4" t="s">
        <v>959</v>
      </c>
    </row>
    <row r="937" spans="2:5" x14ac:dyDescent="0.2">
      <c r="B937" s="29" t="s">
        <v>126</v>
      </c>
      <c r="C937" s="32" t="s">
        <v>959</v>
      </c>
      <c r="D937" s="32" t="s">
        <v>959</v>
      </c>
      <c r="E937" s="36" t="s">
        <v>959</v>
      </c>
    </row>
    <row r="938" spans="2:5" x14ac:dyDescent="0.2">
      <c r="B938" s="30" t="s">
        <v>1573</v>
      </c>
      <c r="C938" s="34" t="s">
        <v>959</v>
      </c>
      <c r="D938" s="35" t="s">
        <v>959</v>
      </c>
      <c r="E938" s="4" t="s">
        <v>959</v>
      </c>
    </row>
    <row r="939" spans="2:5" x14ac:dyDescent="0.2">
      <c r="B939" s="30" t="s">
        <v>1574</v>
      </c>
      <c r="C939" s="34" t="s">
        <v>959</v>
      </c>
      <c r="D939" s="35" t="s">
        <v>959</v>
      </c>
      <c r="E939" s="4" t="s">
        <v>959</v>
      </c>
    </row>
    <row r="940" spans="2:5" x14ac:dyDescent="0.2">
      <c r="B940" s="29" t="s">
        <v>93</v>
      </c>
      <c r="C940" s="32" t="s">
        <v>959</v>
      </c>
      <c r="D940" s="32" t="s">
        <v>959</v>
      </c>
      <c r="E940" s="36" t="s">
        <v>959</v>
      </c>
    </row>
    <row r="941" spans="2:5" x14ac:dyDescent="0.2">
      <c r="B941" s="30" t="s">
        <v>1575</v>
      </c>
      <c r="C941" s="34" t="s">
        <v>959</v>
      </c>
      <c r="D941" s="35" t="s">
        <v>959</v>
      </c>
      <c r="E941" s="4" t="s">
        <v>959</v>
      </c>
    </row>
    <row r="942" spans="2:5" x14ac:dyDescent="0.2">
      <c r="B942" s="30" t="s">
        <v>1576</v>
      </c>
      <c r="C942" s="34" t="s">
        <v>959</v>
      </c>
      <c r="D942" s="35" t="s">
        <v>959</v>
      </c>
      <c r="E942" s="4" t="s">
        <v>959</v>
      </c>
    </row>
    <row r="943" spans="2:5" x14ac:dyDescent="0.2">
      <c r="B943" s="30" t="s">
        <v>1577</v>
      </c>
      <c r="C943" s="34" t="s">
        <v>959</v>
      </c>
      <c r="D943" s="35" t="s">
        <v>959</v>
      </c>
      <c r="E943" s="4" t="s">
        <v>959</v>
      </c>
    </row>
    <row r="944" spans="2:5" x14ac:dyDescent="0.2">
      <c r="B944" s="30" t="s">
        <v>1578</v>
      </c>
      <c r="C944" s="34" t="s">
        <v>959</v>
      </c>
      <c r="D944" s="35" t="s">
        <v>959</v>
      </c>
      <c r="E944" s="4" t="s">
        <v>959</v>
      </c>
    </row>
    <row r="945" spans="2:5" x14ac:dyDescent="0.2">
      <c r="B945" s="30" t="s">
        <v>1579</v>
      </c>
      <c r="C945" s="34" t="s">
        <v>959</v>
      </c>
      <c r="D945" s="35" t="s">
        <v>959</v>
      </c>
      <c r="E945" s="4" t="s">
        <v>959</v>
      </c>
    </row>
    <row r="946" spans="2:5" x14ac:dyDescent="0.2">
      <c r="B946" s="30" t="s">
        <v>1580</v>
      </c>
      <c r="C946" s="34" t="s">
        <v>959</v>
      </c>
      <c r="D946" s="35" t="s">
        <v>959</v>
      </c>
      <c r="E946" s="4" t="s">
        <v>959</v>
      </c>
    </row>
    <row r="947" spans="2:5" x14ac:dyDescent="0.2">
      <c r="B947" s="30" t="s">
        <v>1581</v>
      </c>
      <c r="C947" s="34" t="s">
        <v>959</v>
      </c>
      <c r="D947" s="35" t="s">
        <v>959</v>
      </c>
      <c r="E947" s="4" t="s">
        <v>959</v>
      </c>
    </row>
    <row r="948" spans="2:5" x14ac:dyDescent="0.2">
      <c r="B948" s="30" t="s">
        <v>1582</v>
      </c>
      <c r="C948" s="34" t="s">
        <v>959</v>
      </c>
      <c r="D948" s="35" t="s">
        <v>959</v>
      </c>
      <c r="E948" s="4" t="s">
        <v>959</v>
      </c>
    </row>
    <row r="949" spans="2:5" x14ac:dyDescent="0.2">
      <c r="B949" s="29" t="s">
        <v>54</v>
      </c>
      <c r="C949" s="32" t="s">
        <v>959</v>
      </c>
      <c r="D949" s="32" t="s">
        <v>959</v>
      </c>
      <c r="E949" s="36" t="s">
        <v>959</v>
      </c>
    </row>
    <row r="950" spans="2:5" x14ac:dyDescent="0.2">
      <c r="B950" s="30" t="s">
        <v>1583</v>
      </c>
      <c r="C950" s="34" t="s">
        <v>959</v>
      </c>
      <c r="D950" s="35" t="s">
        <v>959</v>
      </c>
      <c r="E950" s="4" t="s">
        <v>959</v>
      </c>
    </row>
    <row r="951" spans="2:5" x14ac:dyDescent="0.2">
      <c r="B951" s="30" t="s">
        <v>1584</v>
      </c>
      <c r="C951" s="34" t="s">
        <v>959</v>
      </c>
      <c r="D951" s="35" t="s">
        <v>959</v>
      </c>
      <c r="E951" s="4" t="s">
        <v>959</v>
      </c>
    </row>
    <row r="952" spans="2:5" x14ac:dyDescent="0.2">
      <c r="B952" s="30" t="s">
        <v>1585</v>
      </c>
      <c r="C952" s="34" t="s">
        <v>959</v>
      </c>
      <c r="D952" s="35" t="s">
        <v>959</v>
      </c>
      <c r="E952" s="4" t="s">
        <v>959</v>
      </c>
    </row>
    <row r="953" spans="2:5" x14ac:dyDescent="0.2">
      <c r="B953" s="30" t="s">
        <v>1586</v>
      </c>
      <c r="C953" s="34" t="s">
        <v>959</v>
      </c>
      <c r="D953" s="35" t="s">
        <v>959</v>
      </c>
      <c r="E953" s="4" t="s">
        <v>959</v>
      </c>
    </row>
    <row r="954" spans="2:5" x14ac:dyDescent="0.2">
      <c r="B954" s="30" t="s">
        <v>1587</v>
      </c>
      <c r="C954" s="34" t="s">
        <v>959</v>
      </c>
      <c r="D954" s="35" t="s">
        <v>959</v>
      </c>
      <c r="E954" s="4" t="s">
        <v>959</v>
      </c>
    </row>
    <row r="955" spans="2:5" x14ac:dyDescent="0.2">
      <c r="B955" s="30" t="s">
        <v>1588</v>
      </c>
      <c r="C955" s="34" t="s">
        <v>959</v>
      </c>
      <c r="D955" s="35" t="s">
        <v>959</v>
      </c>
      <c r="E955" s="4" t="s">
        <v>959</v>
      </c>
    </row>
    <row r="956" spans="2:5" x14ac:dyDescent="0.2">
      <c r="B956" s="29" t="s">
        <v>62</v>
      </c>
      <c r="C956" s="32" t="s">
        <v>959</v>
      </c>
      <c r="D956" s="32" t="s">
        <v>959</v>
      </c>
      <c r="E956" s="36" t="s">
        <v>959</v>
      </c>
    </row>
    <row r="957" spans="2:5" x14ac:dyDescent="0.2">
      <c r="B957" s="30" t="s">
        <v>1589</v>
      </c>
      <c r="C957" s="34" t="s">
        <v>959</v>
      </c>
      <c r="D957" s="35" t="s">
        <v>959</v>
      </c>
      <c r="E957" s="4" t="s">
        <v>959</v>
      </c>
    </row>
    <row r="958" spans="2:5" x14ac:dyDescent="0.2">
      <c r="B958" s="30" t="s">
        <v>1590</v>
      </c>
      <c r="C958" s="34" t="s">
        <v>959</v>
      </c>
      <c r="D958" s="35" t="s">
        <v>959</v>
      </c>
      <c r="E958" s="4" t="s">
        <v>959</v>
      </c>
    </row>
    <row r="959" spans="2:5" x14ac:dyDescent="0.2">
      <c r="B959" s="30" t="s">
        <v>1591</v>
      </c>
      <c r="C959" s="34" t="s">
        <v>959</v>
      </c>
      <c r="D959" s="35" t="s">
        <v>959</v>
      </c>
      <c r="E959" s="4" t="s">
        <v>959</v>
      </c>
    </row>
    <row r="960" spans="2:5" x14ac:dyDescent="0.2">
      <c r="B960" s="30" t="s">
        <v>1592</v>
      </c>
      <c r="C960" s="34" t="s">
        <v>959</v>
      </c>
      <c r="D960" s="35" t="s">
        <v>959</v>
      </c>
      <c r="E960" s="4" t="s">
        <v>959</v>
      </c>
    </row>
    <row r="961" spans="2:5" x14ac:dyDescent="0.2">
      <c r="B961" s="30" t="s">
        <v>1593</v>
      </c>
      <c r="C961" s="34" t="s">
        <v>959</v>
      </c>
      <c r="D961" s="35" t="s">
        <v>959</v>
      </c>
      <c r="E961" s="4" t="s">
        <v>959</v>
      </c>
    </row>
    <row r="962" spans="2:5" x14ac:dyDescent="0.2">
      <c r="B962" s="29" t="s">
        <v>106</v>
      </c>
      <c r="C962" s="32" t="s">
        <v>959</v>
      </c>
      <c r="D962" s="32" t="s">
        <v>959</v>
      </c>
      <c r="E962" s="36" t="s">
        <v>959</v>
      </c>
    </row>
    <row r="963" spans="2:5" x14ac:dyDescent="0.2">
      <c r="B963" s="30" t="s">
        <v>1594</v>
      </c>
      <c r="C963" s="34" t="s">
        <v>959</v>
      </c>
      <c r="D963" s="35" t="s">
        <v>959</v>
      </c>
      <c r="E963" s="4" t="s">
        <v>959</v>
      </c>
    </row>
    <row r="964" spans="2:5" x14ac:dyDescent="0.2">
      <c r="B964" s="30" t="s">
        <v>1595</v>
      </c>
      <c r="C964" s="34" t="s">
        <v>959</v>
      </c>
      <c r="D964" s="35" t="s">
        <v>959</v>
      </c>
      <c r="E964" s="4" t="s">
        <v>959</v>
      </c>
    </row>
    <row r="965" spans="2:5" x14ac:dyDescent="0.2">
      <c r="B965" s="30" t="s">
        <v>1596</v>
      </c>
      <c r="C965" s="34" t="s">
        <v>959</v>
      </c>
      <c r="D965" s="35" t="s">
        <v>959</v>
      </c>
      <c r="E965" s="4" t="s">
        <v>959</v>
      </c>
    </row>
    <row r="966" spans="2:5" x14ac:dyDescent="0.2">
      <c r="B966" s="30" t="s">
        <v>1597</v>
      </c>
      <c r="C966" s="34" t="s">
        <v>959</v>
      </c>
      <c r="D966" s="35" t="s">
        <v>959</v>
      </c>
      <c r="E966" s="4" t="s">
        <v>959</v>
      </c>
    </row>
    <row r="967" spans="2:5" x14ac:dyDescent="0.2">
      <c r="B967" s="30" t="s">
        <v>1598</v>
      </c>
      <c r="C967" s="34" t="s">
        <v>959</v>
      </c>
      <c r="D967" s="35" t="s">
        <v>959</v>
      </c>
      <c r="E967" s="4" t="s">
        <v>959</v>
      </c>
    </row>
    <row r="968" spans="2:5" x14ac:dyDescent="0.2">
      <c r="B968" s="30" t="s">
        <v>1599</v>
      </c>
      <c r="C968" s="34" t="s">
        <v>959</v>
      </c>
      <c r="D968" s="35" t="s">
        <v>959</v>
      </c>
      <c r="E968" s="4" t="s">
        <v>959</v>
      </c>
    </row>
    <row r="969" spans="2:5" x14ac:dyDescent="0.2">
      <c r="B969" s="30" t="s">
        <v>1600</v>
      </c>
      <c r="C969" s="34" t="s">
        <v>959</v>
      </c>
      <c r="D969" s="35" t="s">
        <v>959</v>
      </c>
      <c r="E969" s="4" t="s">
        <v>959</v>
      </c>
    </row>
    <row r="970" spans="2:5" x14ac:dyDescent="0.2">
      <c r="B970" s="30" t="s">
        <v>1601</v>
      </c>
      <c r="C970" s="34" t="s">
        <v>959</v>
      </c>
      <c r="D970" s="35" t="s">
        <v>959</v>
      </c>
      <c r="E970" s="4" t="s">
        <v>959</v>
      </c>
    </row>
    <row r="971" spans="2:5" x14ac:dyDescent="0.2">
      <c r="B971" s="29" t="s">
        <v>134</v>
      </c>
      <c r="C971" s="32" t="s">
        <v>959</v>
      </c>
      <c r="D971" s="32" t="s">
        <v>959</v>
      </c>
      <c r="E971" s="36" t="s">
        <v>959</v>
      </c>
    </row>
    <row r="972" spans="2:5" x14ac:dyDescent="0.2">
      <c r="B972" s="30" t="s">
        <v>1602</v>
      </c>
      <c r="C972" s="34" t="s">
        <v>959</v>
      </c>
      <c r="D972" s="35" t="s">
        <v>959</v>
      </c>
      <c r="E972" s="4" t="s">
        <v>959</v>
      </c>
    </row>
    <row r="973" spans="2:5" x14ac:dyDescent="0.2">
      <c r="B973" s="30" t="s">
        <v>1603</v>
      </c>
      <c r="C973" s="34" t="s">
        <v>959</v>
      </c>
      <c r="D973" s="35" t="s">
        <v>959</v>
      </c>
      <c r="E973" s="4" t="s">
        <v>959</v>
      </c>
    </row>
    <row r="974" spans="2:5" x14ac:dyDescent="0.2">
      <c r="B974" s="30" t="s">
        <v>1604</v>
      </c>
      <c r="C974" s="34" t="s">
        <v>959</v>
      </c>
      <c r="D974" s="35" t="s">
        <v>959</v>
      </c>
      <c r="E974" s="4" t="s">
        <v>959</v>
      </c>
    </row>
    <row r="975" spans="2:5" x14ac:dyDescent="0.2">
      <c r="B975" s="30" t="s">
        <v>1605</v>
      </c>
      <c r="C975" s="34" t="s">
        <v>959</v>
      </c>
      <c r="D975" s="35" t="s">
        <v>959</v>
      </c>
      <c r="E975" s="4" t="s">
        <v>959</v>
      </c>
    </row>
    <row r="976" spans="2:5" x14ac:dyDescent="0.2">
      <c r="B976" s="30" t="s">
        <v>1606</v>
      </c>
      <c r="C976" s="34" t="s">
        <v>959</v>
      </c>
      <c r="D976" s="35" t="s">
        <v>959</v>
      </c>
      <c r="E976" s="4" t="s">
        <v>959</v>
      </c>
    </row>
    <row r="977" spans="2:5" x14ac:dyDescent="0.2">
      <c r="B977" s="30" t="s">
        <v>1607</v>
      </c>
      <c r="C977" s="34" t="s">
        <v>959</v>
      </c>
      <c r="D977" s="35" t="s">
        <v>959</v>
      </c>
      <c r="E977" s="4" t="s">
        <v>959</v>
      </c>
    </row>
    <row r="978" spans="2:5" x14ac:dyDescent="0.2">
      <c r="B978" s="29" t="s">
        <v>113</v>
      </c>
      <c r="C978" s="32" t="s">
        <v>959</v>
      </c>
      <c r="D978" s="32" t="s">
        <v>959</v>
      </c>
      <c r="E978" s="36" t="s">
        <v>959</v>
      </c>
    </row>
    <row r="979" spans="2:5" x14ac:dyDescent="0.2">
      <c r="B979" s="30" t="s">
        <v>1608</v>
      </c>
      <c r="C979" s="34" t="s">
        <v>959</v>
      </c>
      <c r="D979" s="35" t="s">
        <v>959</v>
      </c>
      <c r="E979" s="4" t="s">
        <v>959</v>
      </c>
    </row>
    <row r="980" spans="2:5" x14ac:dyDescent="0.2">
      <c r="B980" s="30" t="s">
        <v>1609</v>
      </c>
      <c r="C980" s="34" t="s">
        <v>959</v>
      </c>
      <c r="D980" s="35" t="s">
        <v>959</v>
      </c>
      <c r="E980" s="4" t="s">
        <v>959</v>
      </c>
    </row>
    <row r="981" spans="2:5" x14ac:dyDescent="0.2">
      <c r="B981" s="30" t="s">
        <v>1610</v>
      </c>
      <c r="C981" s="34" t="s">
        <v>959</v>
      </c>
      <c r="D981" s="35" t="s">
        <v>959</v>
      </c>
      <c r="E981" s="4" t="s">
        <v>959</v>
      </c>
    </row>
    <row r="982" spans="2:5" x14ac:dyDescent="0.2">
      <c r="B982" s="30" t="s">
        <v>1611</v>
      </c>
      <c r="C982" s="34" t="s">
        <v>959</v>
      </c>
      <c r="D982" s="35" t="s">
        <v>959</v>
      </c>
      <c r="E982" s="4" t="s">
        <v>959</v>
      </c>
    </row>
    <row r="983" spans="2:5" x14ac:dyDescent="0.2">
      <c r="B983" s="30" t="s">
        <v>1612</v>
      </c>
      <c r="C983" s="34" t="s">
        <v>959</v>
      </c>
      <c r="D983" s="35" t="s">
        <v>959</v>
      </c>
      <c r="E983" s="4" t="s">
        <v>959</v>
      </c>
    </row>
    <row r="984" spans="2:5" x14ac:dyDescent="0.2">
      <c r="B984" s="29" t="s">
        <v>95</v>
      </c>
      <c r="C984" s="32" t="s">
        <v>959</v>
      </c>
      <c r="D984" s="32" t="s">
        <v>959</v>
      </c>
      <c r="E984" s="36" t="s">
        <v>959</v>
      </c>
    </row>
    <row r="985" spans="2:5" x14ac:dyDescent="0.2">
      <c r="B985" s="30" t="s">
        <v>1613</v>
      </c>
      <c r="C985" s="34" t="s">
        <v>959</v>
      </c>
      <c r="D985" s="35" t="s">
        <v>959</v>
      </c>
      <c r="E985" s="4" t="s">
        <v>959</v>
      </c>
    </row>
    <row r="986" spans="2:5" x14ac:dyDescent="0.2">
      <c r="B986" s="30" t="s">
        <v>1614</v>
      </c>
      <c r="C986" s="34" t="s">
        <v>959</v>
      </c>
      <c r="D986" s="35" t="s">
        <v>959</v>
      </c>
      <c r="E986" s="4" t="s">
        <v>959</v>
      </c>
    </row>
    <row r="987" spans="2:5" x14ac:dyDescent="0.2">
      <c r="B987" s="30" t="s">
        <v>1615</v>
      </c>
      <c r="C987" s="34" t="s">
        <v>959</v>
      </c>
      <c r="D987" s="35" t="s">
        <v>959</v>
      </c>
      <c r="E987" s="4" t="s">
        <v>959</v>
      </c>
    </row>
    <row r="988" spans="2:5" x14ac:dyDescent="0.2">
      <c r="B988" s="30" t="s">
        <v>1616</v>
      </c>
      <c r="C988" s="34" t="s">
        <v>959</v>
      </c>
      <c r="D988" s="35" t="s">
        <v>959</v>
      </c>
      <c r="E988" s="4" t="s">
        <v>959</v>
      </c>
    </row>
    <row r="989" spans="2:5" x14ac:dyDescent="0.2">
      <c r="B989" s="30" t="s">
        <v>1617</v>
      </c>
      <c r="C989" s="34" t="s">
        <v>959</v>
      </c>
      <c r="D989" s="35" t="s">
        <v>959</v>
      </c>
      <c r="E989" s="4" t="s">
        <v>959</v>
      </c>
    </row>
    <row r="990" spans="2:5" x14ac:dyDescent="0.2">
      <c r="B990" s="30" t="s">
        <v>1618</v>
      </c>
      <c r="C990" s="34" t="s">
        <v>959</v>
      </c>
      <c r="D990" s="35" t="s">
        <v>959</v>
      </c>
      <c r="E990" s="4" t="s">
        <v>959</v>
      </c>
    </row>
    <row r="991" spans="2:5" x14ac:dyDescent="0.2">
      <c r="B991" s="30" t="s">
        <v>1619</v>
      </c>
      <c r="C991" s="34" t="s">
        <v>959</v>
      </c>
      <c r="D991" s="35" t="s">
        <v>959</v>
      </c>
      <c r="E991" s="4" t="s">
        <v>959</v>
      </c>
    </row>
    <row r="992" spans="2:5" x14ac:dyDescent="0.2">
      <c r="B992" s="29" t="s">
        <v>66</v>
      </c>
      <c r="C992" s="32" t="s">
        <v>959</v>
      </c>
      <c r="D992" s="32" t="s">
        <v>959</v>
      </c>
      <c r="E992" s="36" t="s">
        <v>959</v>
      </c>
    </row>
    <row r="993" spans="2:5" x14ac:dyDescent="0.2">
      <c r="B993" s="30" t="s">
        <v>1620</v>
      </c>
      <c r="C993" s="34" t="s">
        <v>959</v>
      </c>
      <c r="D993" s="35" t="s">
        <v>959</v>
      </c>
      <c r="E993" s="4" t="s">
        <v>959</v>
      </c>
    </row>
    <row r="994" spans="2:5" x14ac:dyDescent="0.2">
      <c r="B994" s="30" t="s">
        <v>1621</v>
      </c>
      <c r="C994" s="34" t="s">
        <v>959</v>
      </c>
      <c r="D994" s="35" t="s">
        <v>959</v>
      </c>
      <c r="E994" s="4" t="s">
        <v>959</v>
      </c>
    </row>
    <row r="995" spans="2:5" x14ac:dyDescent="0.2">
      <c r="B995" s="30" t="s">
        <v>1622</v>
      </c>
      <c r="C995" s="34" t="s">
        <v>959</v>
      </c>
      <c r="D995" s="35" t="s">
        <v>959</v>
      </c>
      <c r="E995" s="4" t="s">
        <v>959</v>
      </c>
    </row>
    <row r="996" spans="2:5" x14ac:dyDescent="0.2">
      <c r="B996" s="30" t="s">
        <v>1623</v>
      </c>
      <c r="C996" s="34" t="s">
        <v>959</v>
      </c>
      <c r="D996" s="35" t="s">
        <v>959</v>
      </c>
      <c r="E996" s="4" t="s">
        <v>959</v>
      </c>
    </row>
    <row r="997" spans="2:5" x14ac:dyDescent="0.2">
      <c r="B997" s="29" t="s">
        <v>44</v>
      </c>
      <c r="C997" s="32" t="s">
        <v>959</v>
      </c>
      <c r="D997" s="32" t="s">
        <v>959</v>
      </c>
      <c r="E997" s="36" t="s">
        <v>959</v>
      </c>
    </row>
    <row r="998" spans="2:5" x14ac:dyDescent="0.2">
      <c r="B998" s="30" t="s">
        <v>1624</v>
      </c>
      <c r="C998" s="34" t="s">
        <v>959</v>
      </c>
      <c r="D998" s="35" t="s">
        <v>959</v>
      </c>
      <c r="E998" s="4" t="s">
        <v>959</v>
      </c>
    </row>
    <row r="999" spans="2:5" x14ac:dyDescent="0.2">
      <c r="B999" s="30" t="s">
        <v>1625</v>
      </c>
      <c r="C999" s="34" t="s">
        <v>959</v>
      </c>
      <c r="D999" s="35" t="s">
        <v>959</v>
      </c>
      <c r="E999" s="4" t="s">
        <v>959</v>
      </c>
    </row>
    <row r="1000" spans="2:5" x14ac:dyDescent="0.2">
      <c r="B1000" s="30" t="s">
        <v>1626</v>
      </c>
      <c r="C1000" s="34" t="s">
        <v>959</v>
      </c>
      <c r="D1000" s="35" t="s">
        <v>959</v>
      </c>
      <c r="E1000" s="4" t="s">
        <v>959</v>
      </c>
    </row>
    <row r="1001" spans="2:5" x14ac:dyDescent="0.2">
      <c r="B1001" s="30" t="s">
        <v>1627</v>
      </c>
      <c r="C1001" s="34" t="s">
        <v>959</v>
      </c>
      <c r="D1001" s="35" t="s">
        <v>959</v>
      </c>
      <c r="E1001" s="4" t="s">
        <v>959</v>
      </c>
    </row>
    <row r="1002" spans="2:5" x14ac:dyDescent="0.2">
      <c r="B1002" s="29" t="s">
        <v>61</v>
      </c>
      <c r="C1002" s="32" t="s">
        <v>959</v>
      </c>
      <c r="D1002" s="32" t="s">
        <v>959</v>
      </c>
      <c r="E1002" s="36" t="s">
        <v>959</v>
      </c>
    </row>
    <row r="1003" spans="2:5" x14ac:dyDescent="0.2">
      <c r="B1003" s="30" t="s">
        <v>1628</v>
      </c>
      <c r="C1003" s="34" t="s">
        <v>959</v>
      </c>
      <c r="D1003" s="35" t="s">
        <v>959</v>
      </c>
      <c r="E1003" s="4" t="s">
        <v>959</v>
      </c>
    </row>
    <row r="1004" spans="2:5" x14ac:dyDescent="0.2">
      <c r="B1004" s="30" t="s">
        <v>1629</v>
      </c>
      <c r="C1004" s="34" t="s">
        <v>959</v>
      </c>
      <c r="D1004" s="35" t="s">
        <v>959</v>
      </c>
      <c r="E1004" s="4" t="s">
        <v>959</v>
      </c>
    </row>
    <row r="1005" spans="2:5" x14ac:dyDescent="0.2">
      <c r="B1005" s="30" t="s">
        <v>1630</v>
      </c>
      <c r="C1005" s="34" t="s">
        <v>959</v>
      </c>
      <c r="D1005" s="35" t="s">
        <v>959</v>
      </c>
      <c r="E1005" s="4" t="s">
        <v>959</v>
      </c>
    </row>
    <row r="1006" spans="2:5" x14ac:dyDescent="0.2">
      <c r="B1006" s="30" t="s">
        <v>1631</v>
      </c>
      <c r="C1006" s="34" t="s">
        <v>959</v>
      </c>
      <c r="D1006" s="35" t="s">
        <v>959</v>
      </c>
      <c r="E1006" s="4" t="s">
        <v>959</v>
      </c>
    </row>
    <row r="1007" spans="2:5" x14ac:dyDescent="0.2">
      <c r="B1007" s="30" t="s">
        <v>1632</v>
      </c>
      <c r="C1007" s="34" t="s">
        <v>959</v>
      </c>
      <c r="D1007" s="35" t="s">
        <v>959</v>
      </c>
      <c r="E1007" s="4" t="s">
        <v>959</v>
      </c>
    </row>
    <row r="1008" spans="2:5" x14ac:dyDescent="0.2">
      <c r="B1008" s="30" t="s">
        <v>1633</v>
      </c>
      <c r="C1008" s="34" t="s">
        <v>959</v>
      </c>
      <c r="D1008" s="35" t="s">
        <v>959</v>
      </c>
      <c r="E1008" s="4" t="s">
        <v>959</v>
      </c>
    </row>
    <row r="1009" spans="2:5" x14ac:dyDescent="0.2">
      <c r="B1009" s="30" t="s">
        <v>1634</v>
      </c>
      <c r="C1009" s="34" t="s">
        <v>959</v>
      </c>
      <c r="D1009" s="35" t="s">
        <v>959</v>
      </c>
      <c r="E1009" s="4" t="s">
        <v>959</v>
      </c>
    </row>
    <row r="1010" spans="2:5" x14ac:dyDescent="0.2">
      <c r="B1010" s="29" t="s">
        <v>130</v>
      </c>
      <c r="C1010" s="32" t="s">
        <v>959</v>
      </c>
      <c r="D1010" s="32" t="s">
        <v>959</v>
      </c>
      <c r="E1010" s="36" t="s">
        <v>959</v>
      </c>
    </row>
    <row r="1011" spans="2:5" x14ac:dyDescent="0.2">
      <c r="B1011" s="30" t="s">
        <v>1635</v>
      </c>
      <c r="C1011" s="34" t="s">
        <v>959</v>
      </c>
      <c r="D1011" s="35" t="s">
        <v>959</v>
      </c>
      <c r="E1011" s="4" t="s">
        <v>959</v>
      </c>
    </row>
    <row r="1012" spans="2:5" x14ac:dyDescent="0.2">
      <c r="B1012" s="30" t="s">
        <v>1636</v>
      </c>
      <c r="C1012" s="34" t="s">
        <v>959</v>
      </c>
      <c r="D1012" s="35" t="s">
        <v>959</v>
      </c>
      <c r="E1012" s="4" t="s">
        <v>959</v>
      </c>
    </row>
    <row r="1013" spans="2:5" x14ac:dyDescent="0.2">
      <c r="B1013" s="30" t="s">
        <v>1637</v>
      </c>
      <c r="C1013" s="34" t="s">
        <v>959</v>
      </c>
      <c r="D1013" s="35" t="s">
        <v>959</v>
      </c>
      <c r="E1013" s="4" t="s">
        <v>959</v>
      </c>
    </row>
    <row r="1014" spans="2:5" x14ac:dyDescent="0.2">
      <c r="B1014" s="30" t="s">
        <v>1638</v>
      </c>
      <c r="C1014" s="34" t="s">
        <v>959</v>
      </c>
      <c r="D1014" s="35" t="s">
        <v>959</v>
      </c>
      <c r="E1014" s="4" t="s">
        <v>959</v>
      </c>
    </row>
    <row r="1015" spans="2:5" x14ac:dyDescent="0.2">
      <c r="B1015" s="30" t="s">
        <v>1639</v>
      </c>
      <c r="C1015" s="34" t="s">
        <v>959</v>
      </c>
      <c r="D1015" s="35" t="s">
        <v>959</v>
      </c>
      <c r="E1015" s="4" t="s">
        <v>959</v>
      </c>
    </row>
    <row r="1016" spans="2:5" x14ac:dyDescent="0.2">
      <c r="B1016" s="30" t="s">
        <v>1640</v>
      </c>
      <c r="C1016" s="34" t="s">
        <v>959</v>
      </c>
      <c r="D1016" s="35" t="s">
        <v>959</v>
      </c>
      <c r="E1016" s="4" t="s">
        <v>959</v>
      </c>
    </row>
    <row r="1017" spans="2:5" x14ac:dyDescent="0.2">
      <c r="B1017" s="30" t="s">
        <v>1641</v>
      </c>
      <c r="C1017" s="34" t="s">
        <v>959</v>
      </c>
      <c r="D1017" s="35" t="s">
        <v>959</v>
      </c>
      <c r="E1017" s="4" t="s">
        <v>959</v>
      </c>
    </row>
    <row r="1018" spans="2:5" x14ac:dyDescent="0.2">
      <c r="B1018" s="30" t="s">
        <v>1642</v>
      </c>
      <c r="C1018" s="34" t="s">
        <v>959</v>
      </c>
      <c r="D1018" s="35" t="s">
        <v>959</v>
      </c>
      <c r="E1018" s="4" t="s">
        <v>959</v>
      </c>
    </row>
    <row r="1019" spans="2:5" x14ac:dyDescent="0.2">
      <c r="B1019" s="30" t="s">
        <v>1643</v>
      </c>
      <c r="C1019" s="34" t="s">
        <v>959</v>
      </c>
      <c r="D1019" s="35" t="s">
        <v>959</v>
      </c>
      <c r="E1019" s="4" t="s">
        <v>959</v>
      </c>
    </row>
    <row r="1020" spans="2:5" x14ac:dyDescent="0.2">
      <c r="B1020" s="29" t="s">
        <v>73</v>
      </c>
      <c r="C1020" s="32" t="s">
        <v>959</v>
      </c>
      <c r="D1020" s="32" t="s">
        <v>959</v>
      </c>
      <c r="E1020" s="36" t="s">
        <v>959</v>
      </c>
    </row>
    <row r="1021" spans="2:5" x14ac:dyDescent="0.2">
      <c r="B1021" s="30" t="s">
        <v>1644</v>
      </c>
      <c r="C1021" s="34" t="s">
        <v>959</v>
      </c>
      <c r="D1021" s="35" t="s">
        <v>959</v>
      </c>
      <c r="E1021" s="4" t="s">
        <v>959</v>
      </c>
    </row>
    <row r="1022" spans="2:5" x14ac:dyDescent="0.2">
      <c r="B1022" s="30" t="s">
        <v>1645</v>
      </c>
      <c r="C1022" s="34" t="s">
        <v>959</v>
      </c>
      <c r="D1022" s="35" t="s">
        <v>959</v>
      </c>
      <c r="E1022" s="4" t="s">
        <v>959</v>
      </c>
    </row>
    <row r="1023" spans="2:5" x14ac:dyDescent="0.2">
      <c r="B1023" s="30" t="s">
        <v>1646</v>
      </c>
      <c r="C1023" s="34" t="s">
        <v>959</v>
      </c>
      <c r="D1023" s="35" t="s">
        <v>959</v>
      </c>
      <c r="E1023" s="4" t="s">
        <v>959</v>
      </c>
    </row>
    <row r="1024" spans="2:5" x14ac:dyDescent="0.2">
      <c r="B1024" s="30" t="s">
        <v>1647</v>
      </c>
      <c r="C1024" s="34" t="s">
        <v>959</v>
      </c>
      <c r="D1024" s="35" t="s">
        <v>959</v>
      </c>
      <c r="E1024" s="4" t="s">
        <v>959</v>
      </c>
    </row>
    <row r="1025" spans="2:5" x14ac:dyDescent="0.2">
      <c r="B1025" s="30" t="s">
        <v>1648</v>
      </c>
      <c r="C1025" s="34" t="s">
        <v>959</v>
      </c>
      <c r="D1025" s="35" t="s">
        <v>959</v>
      </c>
      <c r="E1025" s="4" t="s">
        <v>959</v>
      </c>
    </row>
    <row r="1026" spans="2:5" x14ac:dyDescent="0.2">
      <c r="B1026" s="30" t="s">
        <v>1649</v>
      </c>
      <c r="C1026" s="34" t="s">
        <v>959</v>
      </c>
      <c r="D1026" s="35" t="s">
        <v>959</v>
      </c>
      <c r="E1026" s="4" t="s">
        <v>959</v>
      </c>
    </row>
    <row r="1027" spans="2:5" x14ac:dyDescent="0.2">
      <c r="B1027" s="30" t="s">
        <v>1650</v>
      </c>
      <c r="C1027" s="34" t="s">
        <v>959</v>
      </c>
      <c r="D1027" s="35" t="s">
        <v>959</v>
      </c>
      <c r="E1027" s="4" t="s">
        <v>959</v>
      </c>
    </row>
    <row r="1028" spans="2:5" x14ac:dyDescent="0.2">
      <c r="B1028" s="29" t="s">
        <v>27</v>
      </c>
      <c r="C1028" s="32" t="s">
        <v>959</v>
      </c>
      <c r="D1028" s="32" t="s">
        <v>959</v>
      </c>
      <c r="E1028" s="36" t="s">
        <v>959</v>
      </c>
    </row>
    <row r="1029" spans="2:5" x14ac:dyDescent="0.2">
      <c r="B1029" s="30" t="s">
        <v>1651</v>
      </c>
      <c r="C1029" s="34" t="s">
        <v>959</v>
      </c>
      <c r="D1029" s="35" t="s">
        <v>959</v>
      </c>
      <c r="E1029" s="4" t="s">
        <v>959</v>
      </c>
    </row>
    <row r="1030" spans="2:5" x14ac:dyDescent="0.2">
      <c r="B1030" s="30" t="s">
        <v>1652</v>
      </c>
      <c r="C1030" s="34" t="s">
        <v>959</v>
      </c>
      <c r="D1030" s="35" t="s">
        <v>959</v>
      </c>
      <c r="E1030" s="4" t="s">
        <v>959</v>
      </c>
    </row>
    <row r="1031" spans="2:5" x14ac:dyDescent="0.2">
      <c r="B1031" s="29" t="s">
        <v>82</v>
      </c>
      <c r="C1031" s="32" t="s">
        <v>959</v>
      </c>
      <c r="D1031" s="32" t="s">
        <v>959</v>
      </c>
      <c r="E1031" s="36" t="s">
        <v>959</v>
      </c>
    </row>
    <row r="1032" spans="2:5" x14ac:dyDescent="0.2">
      <c r="B1032" s="30" t="s">
        <v>1653</v>
      </c>
      <c r="C1032" s="34" t="s">
        <v>959</v>
      </c>
      <c r="D1032" s="35" t="s">
        <v>959</v>
      </c>
      <c r="E1032" s="4" t="s">
        <v>959</v>
      </c>
    </row>
    <row r="1033" spans="2:5" x14ac:dyDescent="0.2">
      <c r="B1033" s="30" t="s">
        <v>1654</v>
      </c>
      <c r="C1033" s="34" t="s">
        <v>959</v>
      </c>
      <c r="D1033" s="35" t="s">
        <v>959</v>
      </c>
      <c r="E1033" s="4" t="s">
        <v>959</v>
      </c>
    </row>
    <row r="1034" spans="2:5" x14ac:dyDescent="0.2">
      <c r="B1034" s="30" t="s">
        <v>1655</v>
      </c>
      <c r="C1034" s="34" t="s">
        <v>959</v>
      </c>
      <c r="D1034" s="35" t="s">
        <v>959</v>
      </c>
      <c r="E1034" s="4" t="s">
        <v>959</v>
      </c>
    </row>
    <row r="1035" spans="2:5" x14ac:dyDescent="0.2">
      <c r="B1035" s="30" t="s">
        <v>1656</v>
      </c>
      <c r="C1035" s="34" t="s">
        <v>959</v>
      </c>
      <c r="D1035" s="35" t="s">
        <v>959</v>
      </c>
      <c r="E1035" s="4" t="s">
        <v>959</v>
      </c>
    </row>
    <row r="1036" spans="2:5" x14ac:dyDescent="0.2">
      <c r="B1036" s="30" t="s">
        <v>1657</v>
      </c>
      <c r="C1036" s="34" t="s">
        <v>959</v>
      </c>
      <c r="D1036" s="35" t="s">
        <v>959</v>
      </c>
      <c r="E1036" s="4" t="s">
        <v>959</v>
      </c>
    </row>
    <row r="1037" spans="2:5" x14ac:dyDescent="0.2">
      <c r="B1037" s="29" t="s">
        <v>4</v>
      </c>
      <c r="C1037" s="32" t="s">
        <v>959</v>
      </c>
      <c r="D1037" s="32" t="s">
        <v>959</v>
      </c>
      <c r="E1037" s="36" t="s">
        <v>959</v>
      </c>
    </row>
    <row r="1038" spans="2:5" x14ac:dyDescent="0.2">
      <c r="B1038" s="30" t="s">
        <v>1658</v>
      </c>
      <c r="C1038" s="34" t="s">
        <v>959</v>
      </c>
      <c r="D1038" s="35" t="s">
        <v>959</v>
      </c>
      <c r="E1038" s="4" t="s">
        <v>959</v>
      </c>
    </row>
    <row r="1039" spans="2:5" x14ac:dyDescent="0.2">
      <c r="B1039" s="30" t="s">
        <v>1410</v>
      </c>
      <c r="C1039" s="34" t="s">
        <v>959</v>
      </c>
      <c r="D1039" s="35" t="s">
        <v>959</v>
      </c>
      <c r="E1039" s="4" t="s">
        <v>959</v>
      </c>
    </row>
    <row r="1040" spans="2:5" x14ac:dyDescent="0.2">
      <c r="B1040" s="30" t="s">
        <v>1659</v>
      </c>
      <c r="C1040" s="34" t="s">
        <v>959</v>
      </c>
      <c r="D1040" s="35" t="s">
        <v>959</v>
      </c>
      <c r="E1040" s="4" t="s">
        <v>959</v>
      </c>
    </row>
    <row r="1041" spans="2:5" x14ac:dyDescent="0.2">
      <c r="B1041" s="30" t="s">
        <v>991</v>
      </c>
      <c r="C1041" s="34" t="s">
        <v>959</v>
      </c>
      <c r="D1041" s="35" t="s">
        <v>959</v>
      </c>
      <c r="E1041" s="4" t="s">
        <v>959</v>
      </c>
    </row>
    <row r="1042" spans="2:5" x14ac:dyDescent="0.2">
      <c r="B1042" s="30" t="s">
        <v>1660</v>
      </c>
      <c r="C1042" s="34" t="s">
        <v>959</v>
      </c>
      <c r="D1042" s="35" t="s">
        <v>959</v>
      </c>
      <c r="E1042" s="4" t="s">
        <v>959</v>
      </c>
    </row>
    <row r="1043" spans="2:5" x14ac:dyDescent="0.2">
      <c r="B1043" s="30" t="s">
        <v>1661</v>
      </c>
      <c r="C1043" s="34" t="s">
        <v>959</v>
      </c>
      <c r="D1043" s="35" t="s">
        <v>959</v>
      </c>
      <c r="E1043" s="4" t="s">
        <v>959</v>
      </c>
    </row>
    <row r="1044" spans="2:5" x14ac:dyDescent="0.2">
      <c r="B1044" s="30" t="s">
        <v>1662</v>
      </c>
      <c r="C1044" s="34" t="s">
        <v>959</v>
      </c>
      <c r="D1044" s="35" t="s">
        <v>959</v>
      </c>
      <c r="E1044" s="4" t="s">
        <v>959</v>
      </c>
    </row>
    <row r="1045" spans="2:5" x14ac:dyDescent="0.2">
      <c r="B1045" s="29" t="s">
        <v>32</v>
      </c>
      <c r="C1045" s="32" t="s">
        <v>959</v>
      </c>
      <c r="D1045" s="32" t="s">
        <v>959</v>
      </c>
      <c r="E1045" s="36" t="s">
        <v>959</v>
      </c>
    </row>
    <row r="1046" spans="2:5" x14ac:dyDescent="0.2">
      <c r="B1046" s="30" t="s">
        <v>1663</v>
      </c>
      <c r="C1046" s="34" t="s">
        <v>959</v>
      </c>
      <c r="D1046" s="35" t="s">
        <v>959</v>
      </c>
      <c r="E1046" s="4" t="s">
        <v>959</v>
      </c>
    </row>
    <row r="1047" spans="2:5" x14ac:dyDescent="0.2">
      <c r="B1047" s="30" t="s">
        <v>1664</v>
      </c>
      <c r="C1047" s="34" t="s">
        <v>959</v>
      </c>
      <c r="D1047" s="35" t="s">
        <v>959</v>
      </c>
      <c r="E1047" s="4" t="s">
        <v>959</v>
      </c>
    </row>
    <row r="1048" spans="2:5" x14ac:dyDescent="0.2">
      <c r="B1048" s="30" t="s">
        <v>1665</v>
      </c>
      <c r="C1048" s="34" t="s">
        <v>959</v>
      </c>
      <c r="D1048" s="35" t="s">
        <v>959</v>
      </c>
      <c r="E1048" s="4" t="s">
        <v>959</v>
      </c>
    </row>
    <row r="1049" spans="2:5" x14ac:dyDescent="0.2">
      <c r="B1049" s="30" t="s">
        <v>1666</v>
      </c>
      <c r="C1049" s="34" t="s">
        <v>959</v>
      </c>
      <c r="D1049" s="35" t="s">
        <v>959</v>
      </c>
      <c r="E1049" s="4" t="s">
        <v>959</v>
      </c>
    </row>
    <row r="1050" spans="2:5" x14ac:dyDescent="0.2">
      <c r="B1050" s="30" t="s">
        <v>986</v>
      </c>
      <c r="C1050" s="34" t="s">
        <v>959</v>
      </c>
      <c r="D1050" s="35" t="s">
        <v>959</v>
      </c>
      <c r="E1050" s="4" t="s">
        <v>959</v>
      </c>
    </row>
    <row r="1051" spans="2:5" x14ac:dyDescent="0.2">
      <c r="B1051" s="30" t="s">
        <v>1412</v>
      </c>
      <c r="C1051" s="34" t="s">
        <v>959</v>
      </c>
      <c r="D1051" s="35" t="s">
        <v>959</v>
      </c>
      <c r="E1051" s="4" t="s">
        <v>959</v>
      </c>
    </row>
    <row r="1052" spans="2:5" x14ac:dyDescent="0.2">
      <c r="B1052" s="30" t="s">
        <v>1667</v>
      </c>
      <c r="C1052" s="34" t="s">
        <v>959</v>
      </c>
      <c r="D1052" s="35" t="s">
        <v>959</v>
      </c>
      <c r="E1052" s="4" t="s">
        <v>959</v>
      </c>
    </row>
    <row r="1053" spans="2:5" x14ac:dyDescent="0.2">
      <c r="B1053" s="30" t="s">
        <v>1668</v>
      </c>
      <c r="C1053" s="34" t="s">
        <v>959</v>
      </c>
      <c r="D1053" s="35" t="s">
        <v>959</v>
      </c>
      <c r="E1053" s="4" t="s">
        <v>959</v>
      </c>
    </row>
    <row r="1054" spans="2:5" x14ac:dyDescent="0.2">
      <c r="B1054" s="29" t="s">
        <v>69</v>
      </c>
      <c r="C1054" s="32" t="s">
        <v>959</v>
      </c>
      <c r="D1054" s="32" t="s">
        <v>959</v>
      </c>
      <c r="E1054" s="36" t="s">
        <v>959</v>
      </c>
    </row>
    <row r="1055" spans="2:5" x14ac:dyDescent="0.2">
      <c r="B1055" s="30" t="s">
        <v>1669</v>
      </c>
      <c r="C1055" s="34" t="s">
        <v>959</v>
      </c>
      <c r="D1055" s="35" t="s">
        <v>959</v>
      </c>
      <c r="E1055" s="4" t="s">
        <v>959</v>
      </c>
    </row>
    <row r="1056" spans="2:5" x14ac:dyDescent="0.2">
      <c r="B1056" s="30" t="s">
        <v>1670</v>
      </c>
      <c r="C1056" s="34" t="s">
        <v>959</v>
      </c>
      <c r="D1056" s="35" t="s">
        <v>959</v>
      </c>
      <c r="E1056" s="4" t="s">
        <v>959</v>
      </c>
    </row>
    <row r="1057" spans="2:5" x14ac:dyDescent="0.2">
      <c r="B1057" s="30" t="s">
        <v>1671</v>
      </c>
      <c r="C1057" s="34" t="s">
        <v>959</v>
      </c>
      <c r="D1057" s="35" t="s">
        <v>959</v>
      </c>
      <c r="E1057" s="4" t="s">
        <v>959</v>
      </c>
    </row>
    <row r="1058" spans="2:5" x14ac:dyDescent="0.2">
      <c r="B1058" s="30" t="s">
        <v>1672</v>
      </c>
      <c r="C1058" s="34" t="s">
        <v>959</v>
      </c>
      <c r="D1058" s="35" t="s">
        <v>959</v>
      </c>
      <c r="E1058" s="4" t="s">
        <v>959</v>
      </c>
    </row>
    <row r="1059" spans="2:5" x14ac:dyDescent="0.2">
      <c r="B1059" s="30" t="s">
        <v>1673</v>
      </c>
      <c r="C1059" s="34" t="s">
        <v>959</v>
      </c>
      <c r="D1059" s="35" t="s">
        <v>959</v>
      </c>
      <c r="E1059" s="4" t="s">
        <v>959</v>
      </c>
    </row>
    <row r="1060" spans="2:5" x14ac:dyDescent="0.2">
      <c r="B1060" s="30" t="s">
        <v>1674</v>
      </c>
      <c r="C1060" s="34" t="s">
        <v>959</v>
      </c>
      <c r="D1060" s="35" t="s">
        <v>959</v>
      </c>
      <c r="E1060" s="4" t="s">
        <v>959</v>
      </c>
    </row>
    <row r="1061" spans="2:5" x14ac:dyDescent="0.2">
      <c r="B1061" s="29" t="s">
        <v>63</v>
      </c>
      <c r="C1061" s="32" t="s">
        <v>959</v>
      </c>
      <c r="D1061" s="32" t="s">
        <v>959</v>
      </c>
      <c r="E1061" s="36" t="s">
        <v>959</v>
      </c>
    </row>
    <row r="1062" spans="2:5" x14ac:dyDescent="0.2">
      <c r="B1062" s="30" t="s">
        <v>1675</v>
      </c>
      <c r="C1062" s="34" t="s">
        <v>959</v>
      </c>
      <c r="D1062" s="35" t="s">
        <v>959</v>
      </c>
      <c r="E1062" s="4" t="s">
        <v>959</v>
      </c>
    </row>
    <row r="1063" spans="2:5" x14ac:dyDescent="0.2">
      <c r="B1063" s="30" t="s">
        <v>989</v>
      </c>
      <c r="C1063" s="34" t="s">
        <v>959</v>
      </c>
      <c r="D1063" s="35" t="s">
        <v>959</v>
      </c>
      <c r="E1063" s="4" t="s">
        <v>959</v>
      </c>
    </row>
    <row r="1064" spans="2:5" x14ac:dyDescent="0.2">
      <c r="B1064" s="30" t="s">
        <v>1676</v>
      </c>
      <c r="C1064" s="34" t="s">
        <v>959</v>
      </c>
      <c r="D1064" s="35" t="s">
        <v>959</v>
      </c>
      <c r="E1064" s="4" t="s">
        <v>959</v>
      </c>
    </row>
    <row r="1065" spans="2:5" x14ac:dyDescent="0.2">
      <c r="B1065" s="30" t="s">
        <v>1677</v>
      </c>
      <c r="C1065" s="34" t="s">
        <v>959</v>
      </c>
      <c r="D1065" s="35" t="s">
        <v>959</v>
      </c>
      <c r="E1065" s="4" t="s">
        <v>959</v>
      </c>
    </row>
    <row r="1066" spans="2:5" x14ac:dyDescent="0.2">
      <c r="B1066" s="30" t="s">
        <v>1678</v>
      </c>
      <c r="C1066" s="34" t="s">
        <v>959</v>
      </c>
      <c r="D1066" s="35" t="s">
        <v>959</v>
      </c>
      <c r="E1066" s="4" t="s">
        <v>959</v>
      </c>
    </row>
    <row r="1067" spans="2:5" x14ac:dyDescent="0.2">
      <c r="B1067" s="30" t="s">
        <v>1679</v>
      </c>
      <c r="C1067" s="34" t="s">
        <v>959</v>
      </c>
      <c r="D1067" s="35" t="s">
        <v>959</v>
      </c>
      <c r="E1067" s="4" t="s">
        <v>959</v>
      </c>
    </row>
    <row r="1068" spans="2:5" x14ac:dyDescent="0.2">
      <c r="B1068" s="30" t="s">
        <v>1680</v>
      </c>
      <c r="C1068" s="34" t="s">
        <v>959</v>
      </c>
      <c r="D1068" s="35" t="s">
        <v>959</v>
      </c>
      <c r="E1068" s="4" t="s">
        <v>959</v>
      </c>
    </row>
    <row r="1069" spans="2:5" x14ac:dyDescent="0.2">
      <c r="B1069" s="30" t="s">
        <v>1681</v>
      </c>
      <c r="C1069" s="34" t="s">
        <v>959</v>
      </c>
      <c r="D1069" s="35" t="s">
        <v>959</v>
      </c>
      <c r="E1069" s="4" t="s">
        <v>959</v>
      </c>
    </row>
    <row r="1070" spans="2:5" x14ac:dyDescent="0.2">
      <c r="B1070" s="30" t="s">
        <v>1682</v>
      </c>
      <c r="C1070" s="34" t="s">
        <v>959</v>
      </c>
      <c r="D1070" s="35" t="s">
        <v>959</v>
      </c>
      <c r="E1070" s="4" t="s">
        <v>959</v>
      </c>
    </row>
    <row r="1071" spans="2:5" x14ac:dyDescent="0.2">
      <c r="B1071" s="30" t="s">
        <v>1683</v>
      </c>
      <c r="C1071" s="34" t="s">
        <v>959</v>
      </c>
      <c r="D1071" s="35" t="s">
        <v>959</v>
      </c>
      <c r="E1071" s="4" t="s">
        <v>959</v>
      </c>
    </row>
    <row r="1072" spans="2:5" x14ac:dyDescent="0.2">
      <c r="B1072" s="29" t="s">
        <v>47</v>
      </c>
      <c r="C1072" s="32" t="s">
        <v>959</v>
      </c>
      <c r="D1072" s="32" t="s">
        <v>959</v>
      </c>
      <c r="E1072" s="36" t="s">
        <v>959</v>
      </c>
    </row>
    <row r="1073" spans="2:5" x14ac:dyDescent="0.2">
      <c r="B1073" s="30" t="s">
        <v>1684</v>
      </c>
      <c r="C1073" s="34" t="s">
        <v>959</v>
      </c>
      <c r="D1073" s="35" t="s">
        <v>959</v>
      </c>
      <c r="E1073" s="4" t="s">
        <v>959</v>
      </c>
    </row>
    <row r="1074" spans="2:5" x14ac:dyDescent="0.2">
      <c r="B1074" s="30" t="s">
        <v>1685</v>
      </c>
      <c r="C1074" s="34" t="s">
        <v>959</v>
      </c>
      <c r="D1074" s="35" t="s">
        <v>959</v>
      </c>
      <c r="E1074" s="4" t="s">
        <v>959</v>
      </c>
    </row>
    <row r="1075" spans="2:5" x14ac:dyDescent="0.2">
      <c r="B1075" s="30" t="s">
        <v>1686</v>
      </c>
      <c r="C1075" s="34" t="s">
        <v>959</v>
      </c>
      <c r="D1075" s="35" t="s">
        <v>959</v>
      </c>
      <c r="E1075" s="4" t="s">
        <v>959</v>
      </c>
    </row>
    <row r="1076" spans="2:5" x14ac:dyDescent="0.2">
      <c r="B1076" s="30" t="s">
        <v>1687</v>
      </c>
      <c r="C1076" s="34" t="s">
        <v>959</v>
      </c>
      <c r="D1076" s="35" t="s">
        <v>959</v>
      </c>
      <c r="E1076" s="4" t="s">
        <v>959</v>
      </c>
    </row>
    <row r="1077" spans="2:5" x14ac:dyDescent="0.2">
      <c r="B1077" s="30" t="s">
        <v>1688</v>
      </c>
      <c r="C1077" s="34" t="s">
        <v>959</v>
      </c>
      <c r="D1077" s="35" t="s">
        <v>959</v>
      </c>
      <c r="E1077" s="4" t="s">
        <v>959</v>
      </c>
    </row>
    <row r="1078" spans="2:5" x14ac:dyDescent="0.2">
      <c r="B1078" s="30" t="s">
        <v>1689</v>
      </c>
      <c r="C1078" s="34" t="s">
        <v>959</v>
      </c>
      <c r="D1078" s="35" t="s">
        <v>959</v>
      </c>
      <c r="E1078" s="4" t="s">
        <v>959</v>
      </c>
    </row>
    <row r="1079" spans="2:5" x14ac:dyDescent="0.2">
      <c r="B1079" s="29" t="s">
        <v>71</v>
      </c>
      <c r="C1079" s="32" t="s">
        <v>959</v>
      </c>
      <c r="D1079" s="32" t="s">
        <v>959</v>
      </c>
      <c r="E1079" s="36" t="s">
        <v>959</v>
      </c>
    </row>
    <row r="1080" spans="2:5" x14ac:dyDescent="0.2">
      <c r="B1080" s="30" t="s">
        <v>1690</v>
      </c>
      <c r="C1080" s="34" t="s">
        <v>959</v>
      </c>
      <c r="D1080" s="35" t="s">
        <v>959</v>
      </c>
      <c r="E1080" s="4" t="s">
        <v>959</v>
      </c>
    </row>
    <row r="1081" spans="2:5" x14ac:dyDescent="0.2">
      <c r="B1081" s="30" t="s">
        <v>1691</v>
      </c>
      <c r="C1081" s="34" t="s">
        <v>959</v>
      </c>
      <c r="D1081" s="35" t="s">
        <v>959</v>
      </c>
      <c r="E1081" s="4" t="s">
        <v>959</v>
      </c>
    </row>
    <row r="1082" spans="2:5" x14ac:dyDescent="0.2">
      <c r="B1082" s="30" t="s">
        <v>1692</v>
      </c>
      <c r="C1082" s="34" t="s">
        <v>959</v>
      </c>
      <c r="D1082" s="35" t="s">
        <v>959</v>
      </c>
      <c r="E1082" s="4" t="s">
        <v>959</v>
      </c>
    </row>
    <row r="1083" spans="2:5" x14ac:dyDescent="0.2">
      <c r="B1083" s="30" t="s">
        <v>1693</v>
      </c>
      <c r="C1083" s="34" t="s">
        <v>959</v>
      </c>
      <c r="D1083" s="35" t="s">
        <v>959</v>
      </c>
      <c r="E1083" s="4" t="s">
        <v>959</v>
      </c>
    </row>
    <row r="1084" spans="2:5" x14ac:dyDescent="0.2">
      <c r="B1084" s="30" t="s">
        <v>1694</v>
      </c>
      <c r="C1084" s="34" t="s">
        <v>959</v>
      </c>
      <c r="D1084" s="35" t="s">
        <v>959</v>
      </c>
      <c r="E1084" s="4" t="s">
        <v>959</v>
      </c>
    </row>
    <row r="1085" spans="2:5" x14ac:dyDescent="0.2">
      <c r="B1085" s="30" t="s">
        <v>1695</v>
      </c>
      <c r="C1085" s="34" t="s">
        <v>959</v>
      </c>
      <c r="D1085" s="35" t="s">
        <v>959</v>
      </c>
      <c r="E1085" s="4" t="s">
        <v>959</v>
      </c>
    </row>
    <row r="1086" spans="2:5" x14ac:dyDescent="0.2">
      <c r="B1086" s="30" t="s">
        <v>1696</v>
      </c>
      <c r="C1086" s="34" t="s">
        <v>959</v>
      </c>
      <c r="D1086" s="35" t="s">
        <v>959</v>
      </c>
      <c r="E1086" s="4" t="s">
        <v>959</v>
      </c>
    </row>
    <row r="1087" spans="2:5" x14ac:dyDescent="0.2">
      <c r="B1087" s="29" t="s">
        <v>64</v>
      </c>
      <c r="C1087" s="32" t="s">
        <v>959</v>
      </c>
      <c r="D1087" s="32" t="s">
        <v>959</v>
      </c>
      <c r="E1087" s="36" t="s">
        <v>959</v>
      </c>
    </row>
    <row r="1088" spans="2:5" x14ac:dyDescent="0.2">
      <c r="B1088" s="30" t="s">
        <v>1697</v>
      </c>
      <c r="C1088" s="34" t="s">
        <v>959</v>
      </c>
      <c r="D1088" s="35" t="s">
        <v>959</v>
      </c>
      <c r="E1088" s="4" t="s">
        <v>959</v>
      </c>
    </row>
    <row r="1089" spans="2:5" x14ac:dyDescent="0.2">
      <c r="B1089" s="30" t="s">
        <v>1698</v>
      </c>
      <c r="C1089" s="34" t="s">
        <v>959</v>
      </c>
      <c r="D1089" s="35" t="s">
        <v>959</v>
      </c>
      <c r="E1089" s="4" t="s">
        <v>959</v>
      </c>
    </row>
    <row r="1090" spans="2:5" x14ac:dyDescent="0.2">
      <c r="B1090" s="30" t="s">
        <v>1699</v>
      </c>
      <c r="C1090" s="34" t="s">
        <v>959</v>
      </c>
      <c r="D1090" s="35" t="s">
        <v>959</v>
      </c>
      <c r="E1090" s="4" t="s">
        <v>959</v>
      </c>
    </row>
    <row r="1091" spans="2:5" x14ac:dyDescent="0.2">
      <c r="B1091" s="30" t="s">
        <v>1700</v>
      </c>
      <c r="C1091" s="34" t="s">
        <v>959</v>
      </c>
      <c r="D1091" s="35" t="s">
        <v>959</v>
      </c>
      <c r="E1091" s="4" t="s">
        <v>959</v>
      </c>
    </row>
    <row r="1092" spans="2:5" x14ac:dyDescent="0.2">
      <c r="B1092" s="30" t="s">
        <v>1701</v>
      </c>
      <c r="C1092" s="34" t="s">
        <v>959</v>
      </c>
      <c r="D1092" s="35" t="s">
        <v>959</v>
      </c>
      <c r="E1092" s="4" t="s">
        <v>959</v>
      </c>
    </row>
    <row r="1093" spans="2:5" x14ac:dyDescent="0.2">
      <c r="B1093" s="30" t="s">
        <v>1702</v>
      </c>
      <c r="C1093" s="34" t="s">
        <v>959</v>
      </c>
      <c r="D1093" s="35" t="s">
        <v>959</v>
      </c>
      <c r="E1093" s="4" t="s">
        <v>959</v>
      </c>
    </row>
    <row r="1094" spans="2:5" x14ac:dyDescent="0.2">
      <c r="B1094" s="29" t="s">
        <v>81</v>
      </c>
      <c r="C1094" s="32" t="s">
        <v>959</v>
      </c>
      <c r="D1094" s="32" t="s">
        <v>959</v>
      </c>
      <c r="E1094" s="36" t="s">
        <v>959</v>
      </c>
    </row>
    <row r="1095" spans="2:5" x14ac:dyDescent="0.2">
      <c r="B1095" s="30" t="s">
        <v>1703</v>
      </c>
      <c r="C1095" s="34" t="s">
        <v>959</v>
      </c>
      <c r="D1095" s="35" t="s">
        <v>959</v>
      </c>
      <c r="E1095" s="4" t="s">
        <v>959</v>
      </c>
    </row>
    <row r="1096" spans="2:5" x14ac:dyDescent="0.2">
      <c r="B1096" s="30" t="s">
        <v>1704</v>
      </c>
      <c r="C1096" s="34" t="s">
        <v>959</v>
      </c>
      <c r="D1096" s="35" t="s">
        <v>959</v>
      </c>
      <c r="E1096" s="4" t="s">
        <v>959</v>
      </c>
    </row>
    <row r="1097" spans="2:5" x14ac:dyDescent="0.2">
      <c r="B1097" s="30" t="s">
        <v>1705</v>
      </c>
      <c r="C1097" s="34" t="s">
        <v>959</v>
      </c>
      <c r="D1097" s="35" t="s">
        <v>959</v>
      </c>
      <c r="E1097" s="4" t="s">
        <v>959</v>
      </c>
    </row>
    <row r="1098" spans="2:5" x14ac:dyDescent="0.2">
      <c r="B1098" s="30" t="s">
        <v>1706</v>
      </c>
      <c r="C1098" s="34" t="s">
        <v>959</v>
      </c>
      <c r="D1098" s="35" t="s">
        <v>959</v>
      </c>
      <c r="E1098" s="4" t="s">
        <v>959</v>
      </c>
    </row>
    <row r="1099" spans="2:5" x14ac:dyDescent="0.2">
      <c r="B1099" s="30" t="s">
        <v>1707</v>
      </c>
      <c r="C1099" s="34" t="s">
        <v>959</v>
      </c>
      <c r="D1099" s="35" t="s">
        <v>959</v>
      </c>
      <c r="E1099" s="4" t="s">
        <v>959</v>
      </c>
    </row>
    <row r="1100" spans="2:5" x14ac:dyDescent="0.2">
      <c r="B1100" s="29" t="s">
        <v>72</v>
      </c>
      <c r="C1100" s="32" t="s">
        <v>959</v>
      </c>
      <c r="D1100" s="32" t="s">
        <v>959</v>
      </c>
      <c r="E1100" s="36" t="s">
        <v>959</v>
      </c>
    </row>
    <row r="1101" spans="2:5" x14ac:dyDescent="0.2">
      <c r="B1101" s="30" t="s">
        <v>1708</v>
      </c>
      <c r="C1101" s="34" t="s">
        <v>959</v>
      </c>
      <c r="D1101" s="35" t="s">
        <v>959</v>
      </c>
      <c r="E1101" s="4" t="s">
        <v>959</v>
      </c>
    </row>
    <row r="1102" spans="2:5" x14ac:dyDescent="0.2">
      <c r="B1102" s="30" t="s">
        <v>1709</v>
      </c>
      <c r="C1102" s="34" t="s">
        <v>959</v>
      </c>
      <c r="D1102" s="35" t="s">
        <v>959</v>
      </c>
      <c r="E1102" s="4" t="s">
        <v>959</v>
      </c>
    </row>
    <row r="1103" spans="2:5" x14ac:dyDescent="0.2">
      <c r="B1103" s="30" t="s">
        <v>1710</v>
      </c>
      <c r="C1103" s="34" t="s">
        <v>959</v>
      </c>
      <c r="D1103" s="35" t="s">
        <v>959</v>
      </c>
      <c r="E1103" s="4" t="s">
        <v>959</v>
      </c>
    </row>
    <row r="1104" spans="2:5" x14ac:dyDescent="0.2">
      <c r="B1104" s="30" t="s">
        <v>1711</v>
      </c>
      <c r="C1104" s="34" t="s">
        <v>959</v>
      </c>
      <c r="D1104" s="35" t="s">
        <v>959</v>
      </c>
      <c r="E1104" s="4" t="s">
        <v>959</v>
      </c>
    </row>
    <row r="1105" spans="2:5" x14ac:dyDescent="0.2">
      <c r="B1105" s="30" t="s">
        <v>1712</v>
      </c>
      <c r="C1105" s="34" t="s">
        <v>959</v>
      </c>
      <c r="D1105" s="35" t="s">
        <v>959</v>
      </c>
      <c r="E1105" s="4" t="s">
        <v>959</v>
      </c>
    </row>
    <row r="1106" spans="2:5" x14ac:dyDescent="0.2">
      <c r="B1106" s="29" t="s">
        <v>118</v>
      </c>
      <c r="C1106" s="32" t="s">
        <v>959</v>
      </c>
      <c r="D1106" s="32" t="s">
        <v>959</v>
      </c>
      <c r="E1106" s="36" t="s">
        <v>959</v>
      </c>
    </row>
    <row r="1107" spans="2:5" x14ac:dyDescent="0.2">
      <c r="B1107" s="30" t="s">
        <v>1713</v>
      </c>
      <c r="C1107" s="34" t="s">
        <v>959</v>
      </c>
      <c r="D1107" s="35" t="s">
        <v>959</v>
      </c>
      <c r="E1107" s="4" t="s">
        <v>959</v>
      </c>
    </row>
    <row r="1108" spans="2:5" x14ac:dyDescent="0.2">
      <c r="B1108" s="30" t="s">
        <v>1714</v>
      </c>
      <c r="C1108" s="34" t="s">
        <v>959</v>
      </c>
      <c r="D1108" s="35" t="s">
        <v>959</v>
      </c>
      <c r="E1108" s="4" t="s">
        <v>959</v>
      </c>
    </row>
    <row r="1109" spans="2:5" x14ac:dyDescent="0.2">
      <c r="B1109" s="30" t="s">
        <v>1715</v>
      </c>
      <c r="C1109" s="34" t="s">
        <v>959</v>
      </c>
      <c r="D1109" s="35" t="s">
        <v>959</v>
      </c>
      <c r="E1109" s="4" t="s">
        <v>959</v>
      </c>
    </row>
    <row r="1110" spans="2:5" x14ac:dyDescent="0.2">
      <c r="B1110" s="30" t="s">
        <v>1716</v>
      </c>
      <c r="C1110" s="34" t="s">
        <v>959</v>
      </c>
      <c r="D1110" s="35" t="s">
        <v>959</v>
      </c>
      <c r="E1110" s="4" t="s">
        <v>959</v>
      </c>
    </row>
    <row r="1111" spans="2:5" x14ac:dyDescent="0.2">
      <c r="B1111" s="30" t="s">
        <v>1717</v>
      </c>
      <c r="C1111" s="34" t="s">
        <v>959</v>
      </c>
      <c r="D1111" s="35" t="s">
        <v>959</v>
      </c>
      <c r="E1111" s="4" t="s">
        <v>959</v>
      </c>
    </row>
    <row r="1112" spans="2:5" x14ac:dyDescent="0.2">
      <c r="B1112" s="29" t="s">
        <v>37</v>
      </c>
      <c r="C1112" s="32" t="s">
        <v>959</v>
      </c>
      <c r="D1112" s="32" t="s">
        <v>959</v>
      </c>
      <c r="E1112" s="36" t="s">
        <v>959</v>
      </c>
    </row>
    <row r="1113" spans="2:5" x14ac:dyDescent="0.2">
      <c r="B1113" s="30" t="s">
        <v>1718</v>
      </c>
      <c r="C1113" s="34" t="s">
        <v>959</v>
      </c>
      <c r="D1113" s="35" t="s">
        <v>959</v>
      </c>
      <c r="E1113" s="4" t="s">
        <v>959</v>
      </c>
    </row>
    <row r="1114" spans="2:5" x14ac:dyDescent="0.2">
      <c r="B1114" s="30" t="s">
        <v>1719</v>
      </c>
      <c r="C1114" s="34" t="s">
        <v>959</v>
      </c>
      <c r="D1114" s="35" t="s">
        <v>959</v>
      </c>
      <c r="E1114" s="4" t="s">
        <v>959</v>
      </c>
    </row>
    <row r="1115" spans="2:5" x14ac:dyDescent="0.2">
      <c r="B1115" s="30" t="s">
        <v>1720</v>
      </c>
      <c r="C1115" s="34" t="s">
        <v>959</v>
      </c>
      <c r="D1115" s="35" t="s">
        <v>959</v>
      </c>
      <c r="E1115" s="4" t="s">
        <v>959</v>
      </c>
    </row>
    <row r="1116" spans="2:5" x14ac:dyDescent="0.2">
      <c r="B1116" s="30" t="s">
        <v>1721</v>
      </c>
      <c r="C1116" s="34" t="s">
        <v>959</v>
      </c>
      <c r="D1116" s="35" t="s">
        <v>959</v>
      </c>
      <c r="E1116" s="4" t="s">
        <v>959</v>
      </c>
    </row>
    <row r="1117" spans="2:5" x14ac:dyDescent="0.2">
      <c r="B1117" s="30" t="s">
        <v>1722</v>
      </c>
      <c r="C1117" s="34" t="s">
        <v>959</v>
      </c>
      <c r="D1117" s="35" t="s">
        <v>959</v>
      </c>
      <c r="E1117" s="4" t="s">
        <v>959</v>
      </c>
    </row>
    <row r="1118" spans="2:5" x14ac:dyDescent="0.2">
      <c r="B1118" s="30" t="s">
        <v>1723</v>
      </c>
      <c r="C1118" s="34" t="s">
        <v>959</v>
      </c>
      <c r="D1118" s="35" t="s">
        <v>959</v>
      </c>
      <c r="E1118" s="4" t="s">
        <v>959</v>
      </c>
    </row>
    <row r="1119" spans="2:5" x14ac:dyDescent="0.2">
      <c r="B1119" s="29" t="s">
        <v>123</v>
      </c>
      <c r="C1119" s="32" t="s">
        <v>959</v>
      </c>
      <c r="D1119" s="32" t="s">
        <v>959</v>
      </c>
      <c r="E1119" s="36" t="s">
        <v>959</v>
      </c>
    </row>
    <row r="1120" spans="2:5" x14ac:dyDescent="0.2">
      <c r="B1120" s="30" t="s">
        <v>1724</v>
      </c>
      <c r="C1120" s="34" t="s">
        <v>959</v>
      </c>
      <c r="D1120" s="35" t="s">
        <v>959</v>
      </c>
      <c r="E1120" s="4" t="s">
        <v>959</v>
      </c>
    </row>
    <row r="1121" spans="2:5" x14ac:dyDescent="0.2">
      <c r="B1121" s="30" t="s">
        <v>1725</v>
      </c>
      <c r="C1121" s="34" t="s">
        <v>959</v>
      </c>
      <c r="D1121" s="35" t="s">
        <v>959</v>
      </c>
      <c r="E1121" s="4" t="s">
        <v>959</v>
      </c>
    </row>
    <row r="1122" spans="2:5" x14ac:dyDescent="0.2">
      <c r="B1122" s="30" t="s">
        <v>1726</v>
      </c>
      <c r="C1122" s="34" t="s">
        <v>959</v>
      </c>
      <c r="D1122" s="35" t="s">
        <v>959</v>
      </c>
      <c r="E1122" s="4" t="s">
        <v>959</v>
      </c>
    </row>
    <row r="1123" spans="2:5" x14ac:dyDescent="0.2">
      <c r="B1123" s="30" t="s">
        <v>1727</v>
      </c>
      <c r="C1123" s="34" t="s">
        <v>959</v>
      </c>
      <c r="D1123" s="35" t="s">
        <v>959</v>
      </c>
      <c r="E1123" s="4" t="s">
        <v>959</v>
      </c>
    </row>
    <row r="1124" spans="2:5" x14ac:dyDescent="0.2">
      <c r="B1124" s="30" t="s">
        <v>1728</v>
      </c>
      <c r="C1124" s="34" t="s">
        <v>959</v>
      </c>
      <c r="D1124" s="35" t="s">
        <v>959</v>
      </c>
      <c r="E1124" s="4" t="s">
        <v>959</v>
      </c>
    </row>
    <row r="1125" spans="2:5" x14ac:dyDescent="0.2">
      <c r="B1125" s="29" t="s">
        <v>22</v>
      </c>
      <c r="C1125" s="32" t="s">
        <v>959</v>
      </c>
      <c r="D1125" s="32" t="s">
        <v>959</v>
      </c>
      <c r="E1125" s="36" t="s">
        <v>959</v>
      </c>
    </row>
    <row r="1126" spans="2:5" x14ac:dyDescent="0.2">
      <c r="B1126" s="30" t="s">
        <v>1729</v>
      </c>
      <c r="C1126" s="34" t="s">
        <v>959</v>
      </c>
      <c r="D1126" s="35" t="s">
        <v>959</v>
      </c>
      <c r="E1126" s="4" t="s">
        <v>959</v>
      </c>
    </row>
    <row r="1127" spans="2:5" x14ac:dyDescent="0.2">
      <c r="B1127" s="30" t="s">
        <v>1730</v>
      </c>
      <c r="C1127" s="34" t="s">
        <v>959</v>
      </c>
      <c r="D1127" s="35" t="s">
        <v>959</v>
      </c>
      <c r="E1127" s="4" t="s">
        <v>959</v>
      </c>
    </row>
    <row r="1128" spans="2:5" x14ac:dyDescent="0.2">
      <c r="B1128" s="30" t="s">
        <v>1731</v>
      </c>
      <c r="C1128" s="34" t="s">
        <v>959</v>
      </c>
      <c r="D1128" s="35" t="s">
        <v>959</v>
      </c>
      <c r="E1128" s="4" t="s">
        <v>959</v>
      </c>
    </row>
    <row r="1129" spans="2:5" x14ac:dyDescent="0.2">
      <c r="B1129" s="30" t="s">
        <v>1732</v>
      </c>
      <c r="C1129" s="34" t="s">
        <v>959</v>
      </c>
      <c r="D1129" s="35" t="s">
        <v>959</v>
      </c>
      <c r="E1129" s="4" t="s">
        <v>959</v>
      </c>
    </row>
    <row r="1130" spans="2:5" x14ac:dyDescent="0.2">
      <c r="B1130" s="30" t="s">
        <v>1733</v>
      </c>
      <c r="C1130" s="34" t="s">
        <v>959</v>
      </c>
      <c r="D1130" s="35" t="s">
        <v>959</v>
      </c>
      <c r="E1130" s="4" t="s">
        <v>959</v>
      </c>
    </row>
    <row r="1131" spans="2:5" x14ac:dyDescent="0.2">
      <c r="B1131" s="30" t="s">
        <v>1734</v>
      </c>
      <c r="C1131" s="34" t="s">
        <v>959</v>
      </c>
      <c r="D1131" s="35" t="s">
        <v>959</v>
      </c>
      <c r="E1131" s="4" t="s">
        <v>959</v>
      </c>
    </row>
    <row r="1132" spans="2:5" x14ac:dyDescent="0.2">
      <c r="B1132" s="29" t="s">
        <v>1</v>
      </c>
      <c r="C1132" s="32" t="s">
        <v>959</v>
      </c>
      <c r="D1132" s="32" t="s">
        <v>959</v>
      </c>
      <c r="E1132" s="36" t="s">
        <v>959</v>
      </c>
    </row>
    <row r="1133" spans="2:5" x14ac:dyDescent="0.2">
      <c r="B1133" s="30" t="s">
        <v>1735</v>
      </c>
      <c r="C1133" s="34" t="s">
        <v>959</v>
      </c>
      <c r="D1133" s="35" t="s">
        <v>959</v>
      </c>
      <c r="E1133" s="4" t="s">
        <v>959</v>
      </c>
    </row>
    <row r="1134" spans="2:5" x14ac:dyDescent="0.2">
      <c r="B1134" s="30" t="s">
        <v>1736</v>
      </c>
      <c r="C1134" s="34" t="s">
        <v>959</v>
      </c>
      <c r="D1134" s="35" t="s">
        <v>959</v>
      </c>
      <c r="E1134" s="4" t="s">
        <v>959</v>
      </c>
    </row>
    <row r="1135" spans="2:5" x14ac:dyDescent="0.2">
      <c r="B1135" s="30" t="s">
        <v>1737</v>
      </c>
      <c r="C1135" s="34" t="s">
        <v>959</v>
      </c>
      <c r="D1135" s="35" t="s">
        <v>959</v>
      </c>
      <c r="E1135" s="4" t="s">
        <v>959</v>
      </c>
    </row>
    <row r="1136" spans="2:5" x14ac:dyDescent="0.2">
      <c r="B1136" s="30" t="s">
        <v>1738</v>
      </c>
      <c r="C1136" s="34" t="s">
        <v>959</v>
      </c>
      <c r="D1136" s="35" t="s">
        <v>959</v>
      </c>
      <c r="E1136" s="4" t="s">
        <v>959</v>
      </c>
    </row>
    <row r="1137" spans="2:5" x14ac:dyDescent="0.2">
      <c r="B1137" s="30" t="s">
        <v>1739</v>
      </c>
      <c r="C1137" s="34" t="s">
        <v>959</v>
      </c>
      <c r="D1137" s="35" t="s">
        <v>959</v>
      </c>
      <c r="E1137" s="4" t="s">
        <v>959</v>
      </c>
    </row>
    <row r="1138" spans="2:5" x14ac:dyDescent="0.2">
      <c r="B1138" s="30" t="s">
        <v>1740</v>
      </c>
      <c r="C1138" s="34" t="s">
        <v>959</v>
      </c>
      <c r="D1138" s="35" t="s">
        <v>959</v>
      </c>
      <c r="E1138" s="4" t="s">
        <v>959</v>
      </c>
    </row>
    <row r="1139" spans="2:5" x14ac:dyDescent="0.2">
      <c r="B1139" s="30" t="s">
        <v>1741</v>
      </c>
      <c r="C1139" s="34" t="s">
        <v>959</v>
      </c>
      <c r="D1139" s="35" t="s">
        <v>959</v>
      </c>
      <c r="E1139" s="4" t="s">
        <v>959</v>
      </c>
    </row>
    <row r="1140" spans="2:5" x14ac:dyDescent="0.2">
      <c r="B1140" s="30" t="s">
        <v>1742</v>
      </c>
      <c r="C1140" s="34" t="s">
        <v>959</v>
      </c>
      <c r="D1140" s="35" t="s">
        <v>959</v>
      </c>
      <c r="E1140" s="4" t="s">
        <v>959</v>
      </c>
    </row>
    <row r="1141" spans="2:5" x14ac:dyDescent="0.2">
      <c r="B1141" s="29" t="s">
        <v>97</v>
      </c>
      <c r="C1141" s="32" t="s">
        <v>959</v>
      </c>
      <c r="D1141" s="32" t="s">
        <v>959</v>
      </c>
      <c r="E1141" s="36" t="s">
        <v>959</v>
      </c>
    </row>
    <row r="1142" spans="2:5" x14ac:dyDescent="0.2">
      <c r="B1142" s="30" t="s">
        <v>1743</v>
      </c>
      <c r="C1142" s="34" t="s">
        <v>959</v>
      </c>
      <c r="D1142" s="35" t="s">
        <v>959</v>
      </c>
      <c r="E1142" s="4" t="s">
        <v>959</v>
      </c>
    </row>
    <row r="1143" spans="2:5" x14ac:dyDescent="0.2">
      <c r="B1143" s="30" t="s">
        <v>1744</v>
      </c>
      <c r="C1143" s="34" t="s">
        <v>959</v>
      </c>
      <c r="D1143" s="35" t="s">
        <v>959</v>
      </c>
      <c r="E1143" s="4" t="s">
        <v>959</v>
      </c>
    </row>
    <row r="1144" spans="2:5" x14ac:dyDescent="0.2">
      <c r="B1144" s="30" t="s">
        <v>1745</v>
      </c>
      <c r="C1144" s="34" t="s">
        <v>959</v>
      </c>
      <c r="D1144" s="35" t="s">
        <v>959</v>
      </c>
      <c r="E1144" s="4" t="s">
        <v>959</v>
      </c>
    </row>
    <row r="1145" spans="2:5" x14ac:dyDescent="0.2">
      <c r="B1145" s="30" t="s">
        <v>1746</v>
      </c>
      <c r="C1145" s="34" t="s">
        <v>959</v>
      </c>
      <c r="D1145" s="35" t="s">
        <v>959</v>
      </c>
      <c r="E1145" s="4" t="s">
        <v>959</v>
      </c>
    </row>
    <row r="1146" spans="2:5" x14ac:dyDescent="0.2">
      <c r="B1146" s="30" t="s">
        <v>1747</v>
      </c>
      <c r="C1146" s="34" t="s">
        <v>959</v>
      </c>
      <c r="D1146" s="35" t="s">
        <v>959</v>
      </c>
      <c r="E1146" s="4" t="s">
        <v>959</v>
      </c>
    </row>
    <row r="1147" spans="2:5" x14ac:dyDescent="0.2">
      <c r="B1147" s="30" t="s">
        <v>1748</v>
      </c>
      <c r="C1147" s="34" t="s">
        <v>959</v>
      </c>
      <c r="D1147" s="35" t="s">
        <v>959</v>
      </c>
      <c r="E1147" s="4" t="s">
        <v>959</v>
      </c>
    </row>
    <row r="1148" spans="2:5" x14ac:dyDescent="0.2">
      <c r="B1148" s="29" t="s">
        <v>55</v>
      </c>
      <c r="C1148" s="32" t="s">
        <v>959</v>
      </c>
      <c r="D1148" s="32" t="s">
        <v>959</v>
      </c>
      <c r="E1148" s="36" t="s">
        <v>959</v>
      </c>
    </row>
    <row r="1149" spans="2:5" x14ac:dyDescent="0.2">
      <c r="B1149" s="30" t="s">
        <v>1749</v>
      </c>
      <c r="C1149" s="34" t="s">
        <v>959</v>
      </c>
      <c r="D1149" s="35" t="s">
        <v>959</v>
      </c>
      <c r="E1149" s="4" t="s">
        <v>959</v>
      </c>
    </row>
    <row r="1150" spans="2:5" x14ac:dyDescent="0.2">
      <c r="B1150" s="30" t="s">
        <v>1750</v>
      </c>
      <c r="C1150" s="34" t="s">
        <v>959</v>
      </c>
      <c r="D1150" s="35" t="s">
        <v>959</v>
      </c>
      <c r="E1150" s="4" t="s">
        <v>959</v>
      </c>
    </row>
    <row r="1151" spans="2:5" x14ac:dyDescent="0.2">
      <c r="B1151" s="30" t="s">
        <v>1751</v>
      </c>
      <c r="C1151" s="34" t="s">
        <v>959</v>
      </c>
      <c r="D1151" s="35" t="s">
        <v>959</v>
      </c>
      <c r="E1151" s="4" t="s">
        <v>959</v>
      </c>
    </row>
    <row r="1152" spans="2:5" x14ac:dyDescent="0.2">
      <c r="B1152" s="30" t="s">
        <v>1752</v>
      </c>
      <c r="C1152" s="34" t="s">
        <v>959</v>
      </c>
      <c r="D1152" s="35" t="s">
        <v>959</v>
      </c>
      <c r="E1152" s="4" t="s">
        <v>959</v>
      </c>
    </row>
    <row r="1153" spans="2:5" x14ac:dyDescent="0.2">
      <c r="B1153" s="30" t="s">
        <v>1753</v>
      </c>
      <c r="C1153" s="34" t="s">
        <v>959</v>
      </c>
      <c r="D1153" s="35" t="s">
        <v>959</v>
      </c>
      <c r="E1153" s="4" t="s">
        <v>959</v>
      </c>
    </row>
    <row r="1154" spans="2:5" x14ac:dyDescent="0.2">
      <c r="B1154" s="30" t="s">
        <v>1754</v>
      </c>
      <c r="C1154" s="34" t="s">
        <v>959</v>
      </c>
      <c r="D1154" s="35" t="s">
        <v>959</v>
      </c>
      <c r="E1154" s="4" t="s">
        <v>959</v>
      </c>
    </row>
    <row r="1155" spans="2:5" x14ac:dyDescent="0.2">
      <c r="B1155" s="30" t="s">
        <v>1755</v>
      </c>
      <c r="C1155" s="34" t="s">
        <v>959</v>
      </c>
      <c r="D1155" s="35" t="s">
        <v>959</v>
      </c>
      <c r="E1155" s="4" t="s">
        <v>959</v>
      </c>
    </row>
    <row r="1156" spans="2:5" x14ac:dyDescent="0.2">
      <c r="B1156" s="30" t="s">
        <v>1756</v>
      </c>
      <c r="C1156" s="34" t="s">
        <v>959</v>
      </c>
      <c r="D1156" s="35" t="s">
        <v>959</v>
      </c>
      <c r="E1156" s="4" t="s">
        <v>959</v>
      </c>
    </row>
    <row r="1157" spans="2:5" x14ac:dyDescent="0.2">
      <c r="B1157" s="29" t="s">
        <v>38</v>
      </c>
      <c r="C1157" s="32" t="s">
        <v>959</v>
      </c>
      <c r="D1157" s="32" t="s">
        <v>959</v>
      </c>
      <c r="E1157" s="36" t="s">
        <v>959</v>
      </c>
    </row>
    <row r="1158" spans="2:5" x14ac:dyDescent="0.2">
      <c r="B1158" s="30" t="s">
        <v>1757</v>
      </c>
      <c r="C1158" s="34" t="s">
        <v>959</v>
      </c>
      <c r="D1158" s="35" t="s">
        <v>959</v>
      </c>
      <c r="E1158" s="4" t="s">
        <v>959</v>
      </c>
    </row>
    <row r="1159" spans="2:5" x14ac:dyDescent="0.2">
      <c r="B1159" s="30" t="s">
        <v>1329</v>
      </c>
      <c r="C1159" s="34" t="s">
        <v>959</v>
      </c>
      <c r="D1159" s="35" t="s">
        <v>959</v>
      </c>
      <c r="E1159" s="4" t="s">
        <v>959</v>
      </c>
    </row>
    <row r="1160" spans="2:5" x14ac:dyDescent="0.2">
      <c r="B1160" s="30" t="s">
        <v>1758</v>
      </c>
      <c r="C1160" s="34" t="s">
        <v>959</v>
      </c>
      <c r="D1160" s="35" t="s">
        <v>959</v>
      </c>
      <c r="E1160" s="4" t="s">
        <v>959</v>
      </c>
    </row>
    <row r="1161" spans="2:5" x14ac:dyDescent="0.2">
      <c r="B1161" s="30" t="s">
        <v>1759</v>
      </c>
      <c r="C1161" s="34" t="s">
        <v>959</v>
      </c>
      <c r="D1161" s="35" t="s">
        <v>959</v>
      </c>
      <c r="E1161" s="4" t="s">
        <v>959</v>
      </c>
    </row>
    <row r="1162" spans="2:5" x14ac:dyDescent="0.2">
      <c r="B1162" s="30" t="s">
        <v>1760</v>
      </c>
      <c r="C1162" s="34" t="s">
        <v>959</v>
      </c>
      <c r="D1162" s="35" t="s">
        <v>959</v>
      </c>
      <c r="E1162" s="4" t="s">
        <v>959</v>
      </c>
    </row>
    <row r="1163" spans="2:5" x14ac:dyDescent="0.2">
      <c r="B1163" s="30" t="s">
        <v>1002</v>
      </c>
      <c r="C1163" s="34" t="s">
        <v>959</v>
      </c>
      <c r="D1163" s="35" t="s">
        <v>959</v>
      </c>
      <c r="E1163" s="4" t="s">
        <v>959</v>
      </c>
    </row>
    <row r="1164" spans="2:5" x14ac:dyDescent="0.2">
      <c r="B1164" s="29" t="s">
        <v>86</v>
      </c>
      <c r="C1164" s="32" t="s">
        <v>959</v>
      </c>
      <c r="D1164" s="32" t="s">
        <v>959</v>
      </c>
      <c r="E1164" s="36" t="s">
        <v>959</v>
      </c>
    </row>
    <row r="1165" spans="2:5" x14ac:dyDescent="0.2">
      <c r="B1165" s="30" t="s">
        <v>1761</v>
      </c>
      <c r="C1165" s="34" t="s">
        <v>959</v>
      </c>
      <c r="D1165" s="35" t="s">
        <v>959</v>
      </c>
      <c r="E1165" s="4" t="s">
        <v>959</v>
      </c>
    </row>
    <row r="1166" spans="2:5" x14ac:dyDescent="0.2">
      <c r="B1166" s="30" t="s">
        <v>1762</v>
      </c>
      <c r="C1166" s="34" t="s">
        <v>959</v>
      </c>
      <c r="D1166" s="35" t="s">
        <v>959</v>
      </c>
      <c r="E1166" s="4" t="s">
        <v>959</v>
      </c>
    </row>
    <row r="1167" spans="2:5" x14ac:dyDescent="0.2">
      <c r="B1167" s="30" t="s">
        <v>1763</v>
      </c>
      <c r="C1167" s="34" t="s">
        <v>959</v>
      </c>
      <c r="D1167" s="35" t="s">
        <v>959</v>
      </c>
      <c r="E1167" s="4" t="s">
        <v>959</v>
      </c>
    </row>
    <row r="1168" spans="2:5" x14ac:dyDescent="0.2">
      <c r="B1168" s="30" t="s">
        <v>1764</v>
      </c>
      <c r="C1168" s="34" t="s">
        <v>959</v>
      </c>
      <c r="D1168" s="35" t="s">
        <v>959</v>
      </c>
      <c r="E1168" s="4" t="s">
        <v>959</v>
      </c>
    </row>
    <row r="1169" spans="2:5" x14ac:dyDescent="0.2">
      <c r="B1169" s="30" t="s">
        <v>1765</v>
      </c>
      <c r="C1169" s="34" t="s">
        <v>959</v>
      </c>
      <c r="D1169" s="35" t="s">
        <v>959</v>
      </c>
      <c r="E1169" s="4" t="s">
        <v>959</v>
      </c>
    </row>
    <row r="1170" spans="2:5" x14ac:dyDescent="0.2">
      <c r="B1170" s="30" t="s">
        <v>1766</v>
      </c>
      <c r="C1170" s="34" t="s">
        <v>959</v>
      </c>
      <c r="D1170" s="35" t="s">
        <v>959</v>
      </c>
      <c r="E1170" s="4" t="s">
        <v>959</v>
      </c>
    </row>
    <row r="1171" spans="2:5" x14ac:dyDescent="0.2">
      <c r="B1171" s="30" t="s">
        <v>1767</v>
      </c>
      <c r="C1171" s="34" t="s">
        <v>959</v>
      </c>
      <c r="D1171" s="35" t="s">
        <v>959</v>
      </c>
      <c r="E1171" s="4" t="s">
        <v>959</v>
      </c>
    </row>
    <row r="1172" spans="2:5" x14ac:dyDescent="0.2">
      <c r="B1172" s="30" t="s">
        <v>1768</v>
      </c>
      <c r="C1172" s="34" t="s">
        <v>959</v>
      </c>
      <c r="D1172" s="35" t="s">
        <v>959</v>
      </c>
      <c r="E1172" s="4" t="s">
        <v>959</v>
      </c>
    </row>
    <row r="1173" spans="2:5" x14ac:dyDescent="0.2">
      <c r="B1173" s="30" t="s">
        <v>1769</v>
      </c>
      <c r="C1173" s="34" t="s">
        <v>959</v>
      </c>
      <c r="D1173" s="35" t="s">
        <v>959</v>
      </c>
      <c r="E1173" s="4" t="s">
        <v>959</v>
      </c>
    </row>
    <row r="1174" spans="2:5" x14ac:dyDescent="0.2">
      <c r="B1174" s="30" t="s">
        <v>1770</v>
      </c>
      <c r="C1174" s="34" t="s">
        <v>959</v>
      </c>
      <c r="D1174" s="35" t="s">
        <v>959</v>
      </c>
      <c r="E1174" s="4" t="s">
        <v>959</v>
      </c>
    </row>
    <row r="1175" spans="2:5" x14ac:dyDescent="0.2">
      <c r="B1175" s="30" t="s">
        <v>1771</v>
      </c>
      <c r="C1175" s="34" t="s">
        <v>959</v>
      </c>
      <c r="D1175" s="35" t="s">
        <v>959</v>
      </c>
      <c r="E1175" s="4" t="s">
        <v>959</v>
      </c>
    </row>
    <row r="1176" spans="2:5" x14ac:dyDescent="0.2">
      <c r="B1176" s="29" t="s">
        <v>112</v>
      </c>
      <c r="C1176" s="32" t="s">
        <v>959</v>
      </c>
      <c r="D1176" s="32" t="s">
        <v>959</v>
      </c>
      <c r="E1176" s="36" t="s">
        <v>959</v>
      </c>
    </row>
    <row r="1177" spans="2:5" x14ac:dyDescent="0.2">
      <c r="B1177" s="30" t="s">
        <v>1772</v>
      </c>
      <c r="C1177" s="34" t="s">
        <v>959</v>
      </c>
      <c r="D1177" s="35" t="s">
        <v>959</v>
      </c>
      <c r="E1177" s="4" t="s">
        <v>959</v>
      </c>
    </row>
    <row r="1178" spans="2:5" x14ac:dyDescent="0.2">
      <c r="B1178" s="30" t="s">
        <v>1773</v>
      </c>
      <c r="C1178" s="34" t="s">
        <v>959</v>
      </c>
      <c r="D1178" s="35" t="s">
        <v>959</v>
      </c>
      <c r="E1178" s="4" t="s">
        <v>959</v>
      </c>
    </row>
    <row r="1179" spans="2:5" x14ac:dyDescent="0.2">
      <c r="B1179" s="30" t="s">
        <v>1774</v>
      </c>
      <c r="C1179" s="34" t="s">
        <v>959</v>
      </c>
      <c r="D1179" s="35" t="s">
        <v>959</v>
      </c>
      <c r="E1179" s="4" t="s">
        <v>959</v>
      </c>
    </row>
    <row r="1180" spans="2:5" x14ac:dyDescent="0.2">
      <c r="B1180" s="30" t="s">
        <v>1775</v>
      </c>
      <c r="C1180" s="34" t="s">
        <v>959</v>
      </c>
      <c r="D1180" s="35" t="s">
        <v>959</v>
      </c>
      <c r="E1180" s="4" t="s">
        <v>959</v>
      </c>
    </row>
    <row r="1181" spans="2:5" x14ac:dyDescent="0.2">
      <c r="B1181" s="31" t="s">
        <v>953</v>
      </c>
      <c r="C1181" s="33" t="s">
        <v>959</v>
      </c>
      <c r="D1181" s="33" t="s">
        <v>959</v>
      </c>
      <c r="E1181" s="37" t="s">
        <v>959</v>
      </c>
    </row>
  </sheetData>
  <mergeCells count="44">
    <mergeCell ref="B236:B237"/>
    <mergeCell ref="C236:E236"/>
    <mergeCell ref="C237:C238"/>
    <mergeCell ref="D237:D238"/>
    <mergeCell ref="E237:E238"/>
    <mergeCell ref="B218:E218"/>
    <mergeCell ref="B220:E220"/>
    <mergeCell ref="B221:B222"/>
    <mergeCell ref="C221:E221"/>
    <mergeCell ref="C222:C223"/>
    <mergeCell ref="D222:D223"/>
    <mergeCell ref="E222:E223"/>
    <mergeCell ref="B203:E203"/>
    <mergeCell ref="B205:E205"/>
    <mergeCell ref="B206:B207"/>
    <mergeCell ref="C206:E206"/>
    <mergeCell ref="C207:C208"/>
    <mergeCell ref="D207:D208"/>
    <mergeCell ref="E207:E208"/>
    <mergeCell ref="B188:E188"/>
    <mergeCell ref="B190:E190"/>
    <mergeCell ref="B191:B192"/>
    <mergeCell ref="C191:E191"/>
    <mergeCell ref="C192:C193"/>
    <mergeCell ref="D192:D193"/>
    <mergeCell ref="E192:E193"/>
    <mergeCell ref="B53:E53"/>
    <mergeCell ref="B54:B55"/>
    <mergeCell ref="C54:E54"/>
    <mergeCell ref="C55:C56"/>
    <mergeCell ref="D55:D56"/>
    <mergeCell ref="E55:E56"/>
    <mergeCell ref="B15:E15"/>
    <mergeCell ref="B16:B17"/>
    <mergeCell ref="C16:E16"/>
    <mergeCell ref="C17:C18"/>
    <mergeCell ref="D17:D18"/>
    <mergeCell ref="E17:E18"/>
    <mergeCell ref="B2:E2"/>
    <mergeCell ref="B3:B4"/>
    <mergeCell ref="C3:E3"/>
    <mergeCell ref="C4:C5"/>
    <mergeCell ref="D4:D5"/>
    <mergeCell ref="E4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D989-AB35-7C46-8952-F2C976110616}">
  <sheetPr codeName="Sheet7"/>
  <dimension ref="A1:E1181"/>
  <sheetViews>
    <sheetView tabSelected="1" workbookViewId="0"/>
  </sheetViews>
  <sheetFormatPr baseColWidth="10" defaultRowHeight="15" x14ac:dyDescent="0.2"/>
  <cols>
    <col min="1" max="1" width="52.83203125" bestFit="1" customWidth="1"/>
    <col min="2" max="2" width="35.6640625" bestFit="1" customWidth="1"/>
    <col min="3" max="5" width="10.83203125" customWidth="1"/>
  </cols>
  <sheetData>
    <row r="1" spans="1:5" ht="19" x14ac:dyDescent="0.25">
      <c r="A1" s="1" t="s">
        <v>1791</v>
      </c>
    </row>
    <row r="2" spans="1:5" x14ac:dyDescent="0.2">
      <c r="B2" s="2" t="s">
        <v>1787</v>
      </c>
      <c r="C2" s="2"/>
      <c r="D2" s="2"/>
      <c r="E2" s="2"/>
    </row>
    <row r="3" spans="1:5" x14ac:dyDescent="0.2">
      <c r="B3" s="6" t="s">
        <v>958</v>
      </c>
      <c r="C3" s="2" t="s">
        <v>967</v>
      </c>
      <c r="D3" s="2"/>
      <c r="E3" s="2"/>
    </row>
    <row r="4" spans="1:5" x14ac:dyDescent="0.2">
      <c r="B4" s="6"/>
      <c r="C4" s="8" t="s">
        <v>961</v>
      </c>
      <c r="D4" s="9" t="s">
        <v>972</v>
      </c>
      <c r="E4" s="10" t="s">
        <v>956</v>
      </c>
    </row>
    <row r="5" spans="1:5" x14ac:dyDescent="0.2">
      <c r="C5" s="8"/>
      <c r="D5" s="9"/>
      <c r="E5" s="10"/>
    </row>
    <row r="6" spans="1:5" x14ac:dyDescent="0.2">
      <c r="B6" s="17" t="s">
        <v>2</v>
      </c>
      <c r="C6" s="18" t="s">
        <v>959</v>
      </c>
      <c r="D6" s="19" t="s">
        <v>959</v>
      </c>
      <c r="E6" s="20" t="str">
        <f>IFERROR(IF(C6&gt;0, D6/C6, 0),"-")</f>
        <v>-</v>
      </c>
    </row>
    <row r="7" spans="1:5" x14ac:dyDescent="0.2">
      <c r="B7" s="17" t="s">
        <v>20</v>
      </c>
      <c r="C7" s="18" t="s">
        <v>959</v>
      </c>
      <c r="D7" s="19" t="s">
        <v>959</v>
      </c>
      <c r="E7" s="20" t="str">
        <f>IFERROR(IF(C7&gt;0, D7/C7, 0),"-")</f>
        <v>-</v>
      </c>
    </row>
    <row r="8" spans="1:5" x14ac:dyDescent="0.2">
      <c r="B8" s="17" t="s">
        <v>7</v>
      </c>
      <c r="C8" s="18" t="s">
        <v>959</v>
      </c>
      <c r="D8" s="19" t="s">
        <v>959</v>
      </c>
      <c r="E8" s="20" t="str">
        <f>IFERROR(IF(C8&gt;0, D8/C8, 0),"-")</f>
        <v>-</v>
      </c>
    </row>
    <row r="9" spans="1:5" x14ac:dyDescent="0.2">
      <c r="B9" s="17" t="s">
        <v>0</v>
      </c>
      <c r="C9" s="18" t="s">
        <v>959</v>
      </c>
      <c r="D9" s="19" t="s">
        <v>959</v>
      </c>
      <c r="E9" s="20" t="str">
        <f>IFERROR(IF(C9&gt;0, D9/C9, 0),"-")</f>
        <v>-</v>
      </c>
    </row>
    <row r="10" spans="1:5" x14ac:dyDescent="0.2">
      <c r="B10" s="17" t="s">
        <v>1</v>
      </c>
      <c r="C10" s="18" t="s">
        <v>959</v>
      </c>
      <c r="D10" s="19" t="s">
        <v>959</v>
      </c>
      <c r="E10" s="20" t="str">
        <f>IFERROR(IF(C10&gt;0, D10/C10, 0),"-")</f>
        <v>-</v>
      </c>
    </row>
    <row r="11" spans="1:5" x14ac:dyDescent="0.2">
      <c r="B11" s="15" t="s">
        <v>953</v>
      </c>
      <c r="C11" s="16">
        <f>SUM(C6:C10)</f>
        <v>0</v>
      </c>
      <c r="D11" s="16">
        <f>SUM(D6:D10)</f>
        <v>0</v>
      </c>
      <c r="E11" s="21">
        <f>IFERROR(IF(C11&gt;0, D11/C11, 0),"-")</f>
        <v>0</v>
      </c>
    </row>
    <row r="15" spans="1:5" x14ac:dyDescent="0.2">
      <c r="B15" s="2" t="s">
        <v>1788</v>
      </c>
      <c r="C15" s="2"/>
      <c r="D15" s="2"/>
      <c r="E15" s="2"/>
    </row>
    <row r="16" spans="1:5" x14ac:dyDescent="0.2">
      <c r="B16" s="6" t="s">
        <v>957</v>
      </c>
      <c r="C16" s="2" t="s">
        <v>967</v>
      </c>
      <c r="D16" s="2"/>
      <c r="E16" s="2"/>
    </row>
    <row r="17" spans="2:5" x14ac:dyDescent="0.2">
      <c r="B17" s="6"/>
      <c r="C17" s="8" t="s">
        <v>961</v>
      </c>
      <c r="D17" s="9" t="s">
        <v>972</v>
      </c>
      <c r="E17" s="10" t="s">
        <v>956</v>
      </c>
    </row>
    <row r="18" spans="2:5" x14ac:dyDescent="0.2">
      <c r="C18" s="8"/>
      <c r="D18" s="9"/>
      <c r="E18" s="10"/>
    </row>
    <row r="19" spans="2:5" x14ac:dyDescent="0.2">
      <c r="B19" s="17" t="s">
        <v>30</v>
      </c>
      <c r="C19" s="18" t="s">
        <v>959</v>
      </c>
      <c r="D19" s="19" t="s">
        <v>959</v>
      </c>
      <c r="E19" s="20" t="str">
        <f>IFERROR(IF(C19&gt;0, D19/C19, 0),"-")</f>
        <v>-</v>
      </c>
    </row>
    <row r="20" spans="2:5" x14ac:dyDescent="0.2">
      <c r="B20" s="17" t="s">
        <v>16</v>
      </c>
      <c r="C20" s="18" t="s">
        <v>959</v>
      </c>
      <c r="D20" s="19" t="s">
        <v>959</v>
      </c>
      <c r="E20" s="20" t="str">
        <f>IFERROR(IF(C20&gt;0, D20/C20, 0),"-")</f>
        <v>-</v>
      </c>
    </row>
    <row r="21" spans="2:5" x14ac:dyDescent="0.2">
      <c r="B21" s="17" t="s">
        <v>19</v>
      </c>
      <c r="C21" s="18" t="s">
        <v>959</v>
      </c>
      <c r="D21" s="19" t="s">
        <v>959</v>
      </c>
      <c r="E21" s="20" t="str">
        <f>IFERROR(IF(C21&gt;0, D21/C21, 0),"-")</f>
        <v>-</v>
      </c>
    </row>
    <row r="22" spans="2:5" x14ac:dyDescent="0.2">
      <c r="B22" s="17" t="s">
        <v>952</v>
      </c>
      <c r="C22" s="18" t="s">
        <v>959</v>
      </c>
      <c r="D22" s="19" t="s">
        <v>959</v>
      </c>
      <c r="E22" s="20" t="str">
        <f>IFERROR(IF(C22&gt;0, D22/C22, 0),"-")</f>
        <v>-</v>
      </c>
    </row>
    <row r="23" spans="2:5" x14ac:dyDescent="0.2">
      <c r="B23" s="17" t="s">
        <v>17</v>
      </c>
      <c r="C23" s="18" t="s">
        <v>959</v>
      </c>
      <c r="D23" s="19" t="s">
        <v>959</v>
      </c>
      <c r="E23" s="20" t="str">
        <f>IFERROR(IF(C23&gt;0, D23/C23, 0),"-")</f>
        <v>-</v>
      </c>
    </row>
    <row r="24" spans="2:5" x14ac:dyDescent="0.2">
      <c r="B24" s="17" t="s">
        <v>12</v>
      </c>
      <c r="C24" s="18" t="s">
        <v>959</v>
      </c>
      <c r="D24" s="19" t="s">
        <v>959</v>
      </c>
      <c r="E24" s="20" t="str">
        <f>IFERROR(IF(C24&gt;0, D24/C24, 0),"-")</f>
        <v>-</v>
      </c>
    </row>
    <row r="25" spans="2:5" x14ac:dyDescent="0.2">
      <c r="B25" s="17" t="s">
        <v>18</v>
      </c>
      <c r="C25" s="18" t="s">
        <v>959</v>
      </c>
      <c r="D25" s="19" t="s">
        <v>959</v>
      </c>
      <c r="E25" s="20" t="str">
        <f>IFERROR(IF(C25&gt;0, D25/C25, 0),"-")</f>
        <v>-</v>
      </c>
    </row>
    <row r="26" spans="2:5" x14ac:dyDescent="0.2">
      <c r="B26" s="17" t="s">
        <v>14</v>
      </c>
      <c r="C26" s="18" t="s">
        <v>959</v>
      </c>
      <c r="D26" s="19" t="s">
        <v>959</v>
      </c>
      <c r="E26" s="20" t="str">
        <f>IFERROR(IF(C26&gt;0, D26/C26, 0),"-")</f>
        <v>-</v>
      </c>
    </row>
    <row r="27" spans="2:5" x14ac:dyDescent="0.2">
      <c r="B27" s="17" t="s">
        <v>21</v>
      </c>
      <c r="C27" s="18" t="s">
        <v>959</v>
      </c>
      <c r="D27" s="19" t="s">
        <v>959</v>
      </c>
      <c r="E27" s="20" t="str">
        <f>IFERROR(IF(C27&gt;0, D27/C27, 0),"-")</f>
        <v>-</v>
      </c>
    </row>
    <row r="28" spans="2:5" x14ac:dyDescent="0.2">
      <c r="B28" s="17" t="s">
        <v>23</v>
      </c>
      <c r="C28" s="18" t="s">
        <v>959</v>
      </c>
      <c r="D28" s="19" t="s">
        <v>959</v>
      </c>
      <c r="E28" s="20" t="str">
        <f>IFERROR(IF(C28&gt;0, D28/C28, 0),"-")</f>
        <v>-</v>
      </c>
    </row>
    <row r="29" spans="2:5" x14ac:dyDescent="0.2">
      <c r="B29" s="17" t="s">
        <v>15</v>
      </c>
      <c r="C29" s="18" t="s">
        <v>959</v>
      </c>
      <c r="D29" s="19" t="s">
        <v>959</v>
      </c>
      <c r="E29" s="20" t="str">
        <f>IFERROR(IF(C29&gt;0, D29/C29, 0),"-")</f>
        <v>-</v>
      </c>
    </row>
    <row r="30" spans="2:5" x14ac:dyDescent="0.2">
      <c r="B30" s="17" t="s">
        <v>20</v>
      </c>
      <c r="C30" s="18" t="s">
        <v>959</v>
      </c>
      <c r="D30" s="19" t="s">
        <v>959</v>
      </c>
      <c r="E30" s="20" t="str">
        <f>IFERROR(IF(C30&gt;0, D30/C30, 0),"-")</f>
        <v>-</v>
      </c>
    </row>
    <row r="31" spans="2:5" x14ac:dyDescent="0.2">
      <c r="B31" s="17" t="s">
        <v>24</v>
      </c>
      <c r="C31" s="18" t="s">
        <v>959</v>
      </c>
      <c r="D31" s="19" t="s">
        <v>959</v>
      </c>
      <c r="E31" s="20" t="str">
        <f>IFERROR(IF(C31&gt;0, D31/C31, 0),"-")</f>
        <v>-</v>
      </c>
    </row>
    <row r="32" spans="2:5" x14ac:dyDescent="0.2">
      <c r="B32" s="17" t="s">
        <v>3</v>
      </c>
      <c r="C32" s="18" t="s">
        <v>959</v>
      </c>
      <c r="D32" s="19" t="s">
        <v>959</v>
      </c>
      <c r="E32" s="20" t="str">
        <f>IFERROR(IF(C32&gt;0, D32/C32, 0),"-")</f>
        <v>-</v>
      </c>
    </row>
    <row r="33" spans="2:5" x14ac:dyDescent="0.2">
      <c r="B33" s="17" t="s">
        <v>5</v>
      </c>
      <c r="C33" s="18" t="s">
        <v>959</v>
      </c>
      <c r="D33" s="19" t="s">
        <v>959</v>
      </c>
      <c r="E33" s="20" t="str">
        <f>IFERROR(IF(C33&gt;0, D33/C33, 0),"-")</f>
        <v>-</v>
      </c>
    </row>
    <row r="34" spans="2:5" x14ac:dyDescent="0.2">
      <c r="B34" s="17" t="s">
        <v>9</v>
      </c>
      <c r="C34" s="18" t="s">
        <v>959</v>
      </c>
      <c r="D34" s="19" t="s">
        <v>959</v>
      </c>
      <c r="E34" s="20" t="str">
        <f>IFERROR(IF(C34&gt;0, D34/C34, 0),"-")</f>
        <v>-</v>
      </c>
    </row>
    <row r="35" spans="2:5" x14ac:dyDescent="0.2">
      <c r="B35" s="17" t="s">
        <v>25</v>
      </c>
      <c r="C35" s="18" t="s">
        <v>959</v>
      </c>
      <c r="D35" s="19" t="s">
        <v>959</v>
      </c>
      <c r="E35" s="20" t="str">
        <f>IFERROR(IF(C35&gt;0, D35/C35, 0),"-")</f>
        <v>-</v>
      </c>
    </row>
    <row r="36" spans="2:5" x14ac:dyDescent="0.2">
      <c r="B36" s="17" t="s">
        <v>6</v>
      </c>
      <c r="C36" s="18" t="s">
        <v>959</v>
      </c>
      <c r="D36" s="19" t="s">
        <v>959</v>
      </c>
      <c r="E36" s="20" t="str">
        <f>IFERROR(IF(C36&gt;0, D36/C36, 0),"-")</f>
        <v>-</v>
      </c>
    </row>
    <row r="37" spans="2:5" x14ac:dyDescent="0.2">
      <c r="B37" s="17" t="s">
        <v>7</v>
      </c>
      <c r="C37" s="18" t="s">
        <v>959</v>
      </c>
      <c r="D37" s="19" t="s">
        <v>959</v>
      </c>
      <c r="E37" s="20" t="str">
        <f>IFERROR(IF(C37&gt;0, D37/C37, 0),"-")</f>
        <v>-</v>
      </c>
    </row>
    <row r="38" spans="2:5" x14ac:dyDescent="0.2">
      <c r="B38" s="17" t="s">
        <v>10</v>
      </c>
      <c r="C38" s="18" t="s">
        <v>959</v>
      </c>
      <c r="D38" s="19" t="s">
        <v>959</v>
      </c>
      <c r="E38" s="20" t="str">
        <f>IFERROR(IF(C38&gt;0, D38/C38, 0),"-")</f>
        <v>-</v>
      </c>
    </row>
    <row r="39" spans="2:5" x14ac:dyDescent="0.2">
      <c r="B39" s="17" t="s">
        <v>8</v>
      </c>
      <c r="C39" s="18" t="s">
        <v>959</v>
      </c>
      <c r="D39" s="19" t="s">
        <v>959</v>
      </c>
      <c r="E39" s="20" t="str">
        <f>IFERROR(IF(C39&gt;0, D39/C39, 0),"-")</f>
        <v>-</v>
      </c>
    </row>
    <row r="40" spans="2:5" x14ac:dyDescent="0.2">
      <c r="B40" s="17" t="s">
        <v>26</v>
      </c>
      <c r="C40" s="18" t="s">
        <v>959</v>
      </c>
      <c r="D40" s="19" t="s">
        <v>959</v>
      </c>
      <c r="E40" s="20" t="str">
        <f>IFERROR(IF(C40&gt;0, D40/C40, 0),"-")</f>
        <v>-</v>
      </c>
    </row>
    <row r="41" spans="2:5" x14ac:dyDescent="0.2">
      <c r="B41" s="17" t="s">
        <v>13</v>
      </c>
      <c r="C41" s="18" t="s">
        <v>959</v>
      </c>
      <c r="D41" s="19" t="s">
        <v>959</v>
      </c>
      <c r="E41" s="20" t="str">
        <f>IFERROR(IF(C41&gt;0, D41/C41, 0),"-")</f>
        <v>-</v>
      </c>
    </row>
    <row r="42" spans="2:5" x14ac:dyDescent="0.2">
      <c r="B42" s="17" t="s">
        <v>29</v>
      </c>
      <c r="C42" s="18" t="s">
        <v>959</v>
      </c>
      <c r="D42" s="19" t="s">
        <v>959</v>
      </c>
      <c r="E42" s="20" t="str">
        <f>IFERROR(IF(C42&gt;0, D42/C42, 0),"-")</f>
        <v>-</v>
      </c>
    </row>
    <row r="43" spans="2:5" x14ac:dyDescent="0.2">
      <c r="B43" s="17" t="s">
        <v>27</v>
      </c>
      <c r="C43" s="18" t="s">
        <v>959</v>
      </c>
      <c r="D43" s="19" t="s">
        <v>959</v>
      </c>
      <c r="E43" s="20" t="str">
        <f>IFERROR(IF(C43&gt;0, D43/C43, 0),"-")</f>
        <v>-</v>
      </c>
    </row>
    <row r="44" spans="2:5" x14ac:dyDescent="0.2">
      <c r="B44" s="17" t="s">
        <v>4</v>
      </c>
      <c r="C44" s="18" t="s">
        <v>959</v>
      </c>
      <c r="D44" s="19" t="s">
        <v>959</v>
      </c>
      <c r="E44" s="20" t="str">
        <f>IFERROR(IF(C44&gt;0, D44/C44, 0),"-")</f>
        <v>-</v>
      </c>
    </row>
    <row r="45" spans="2:5" x14ac:dyDescent="0.2">
      <c r="B45" s="17" t="s">
        <v>22</v>
      </c>
      <c r="C45" s="18" t="s">
        <v>959</v>
      </c>
      <c r="D45" s="19" t="s">
        <v>959</v>
      </c>
      <c r="E45" s="20" t="str">
        <f>IFERROR(IF(C45&gt;0, D45/C45, 0),"-")</f>
        <v>-</v>
      </c>
    </row>
    <row r="46" spans="2:5" x14ac:dyDescent="0.2">
      <c r="B46" s="17" t="s">
        <v>1</v>
      </c>
      <c r="C46" s="18" t="s">
        <v>959</v>
      </c>
      <c r="D46" s="19" t="s">
        <v>959</v>
      </c>
      <c r="E46" s="20" t="str">
        <f>IFERROR(IF(C46&gt;0, D46/C46, 0),"-")</f>
        <v>-</v>
      </c>
    </row>
    <row r="47" spans="2:5" x14ac:dyDescent="0.2">
      <c r="B47" s="17" t="s">
        <v>28</v>
      </c>
      <c r="C47" s="18" t="s">
        <v>959</v>
      </c>
      <c r="D47" s="19" t="s">
        <v>959</v>
      </c>
      <c r="E47" s="20" t="str">
        <f>IFERROR(IF(C47&gt;0, D47/C47, 0),"-")</f>
        <v>-</v>
      </c>
    </row>
    <row r="48" spans="2:5" x14ac:dyDescent="0.2">
      <c r="B48" s="17" t="s">
        <v>11</v>
      </c>
      <c r="C48" s="18" t="s">
        <v>959</v>
      </c>
      <c r="D48" s="19" t="s">
        <v>959</v>
      </c>
      <c r="E48" s="20" t="str">
        <f>IFERROR(IF(C48&gt;0, D48/C48, 0),"-")</f>
        <v>-</v>
      </c>
    </row>
    <row r="49" spans="2:5" x14ac:dyDescent="0.2">
      <c r="B49" s="15" t="s">
        <v>953</v>
      </c>
      <c r="C49" s="16">
        <f>SUM(C19:C48)</f>
        <v>0</v>
      </c>
      <c r="D49" s="16">
        <f>SUM(D19:D48)</f>
        <v>0</v>
      </c>
      <c r="E49" s="21">
        <f>IFERROR(IF(C49&gt;0, D49/C49, 0),"-")</f>
        <v>0</v>
      </c>
    </row>
    <row r="53" spans="2:5" x14ac:dyDescent="0.2">
      <c r="B53" s="2" t="s">
        <v>1789</v>
      </c>
      <c r="C53" s="2"/>
      <c r="D53" s="2"/>
      <c r="E53" s="2"/>
    </row>
    <row r="54" spans="2:5" x14ac:dyDescent="0.2">
      <c r="B54" s="6" t="s">
        <v>954</v>
      </c>
      <c r="C54" s="2" t="s">
        <v>967</v>
      </c>
      <c r="D54" s="2"/>
      <c r="E54" s="2"/>
    </row>
    <row r="55" spans="2:5" x14ac:dyDescent="0.2">
      <c r="B55" s="6"/>
      <c r="C55" s="8" t="s">
        <v>961</v>
      </c>
      <c r="D55" s="9" t="s">
        <v>972</v>
      </c>
      <c r="E55" s="10" t="s">
        <v>956</v>
      </c>
    </row>
    <row r="56" spans="2:5" x14ac:dyDescent="0.2">
      <c r="C56" s="8"/>
      <c r="D56" s="9"/>
      <c r="E56" s="10"/>
    </row>
    <row r="57" spans="2:5" x14ac:dyDescent="0.2">
      <c r="B57" s="17" t="s">
        <v>68</v>
      </c>
      <c r="C57" s="18" t="s">
        <v>959</v>
      </c>
      <c r="D57" s="19" t="s">
        <v>959</v>
      </c>
      <c r="E57" s="20" t="str">
        <f>IFERROR(IF(C57&gt;0, D57/C57, 0),"-")</f>
        <v>-</v>
      </c>
    </row>
    <row r="58" spans="2:5" x14ac:dyDescent="0.2">
      <c r="B58" s="17" t="s">
        <v>42</v>
      </c>
      <c r="C58" s="18" t="s">
        <v>959</v>
      </c>
      <c r="D58" s="19" t="s">
        <v>959</v>
      </c>
      <c r="E58" s="20" t="str">
        <f>IFERROR(IF(C58&gt;0, D58/C58, 0),"-")</f>
        <v>-</v>
      </c>
    </row>
    <row r="59" spans="2:5" x14ac:dyDescent="0.2">
      <c r="B59" s="17" t="s">
        <v>48</v>
      </c>
      <c r="C59" s="18" t="s">
        <v>959</v>
      </c>
      <c r="D59" s="19" t="s">
        <v>959</v>
      </c>
      <c r="E59" s="20" t="str">
        <f>IFERROR(IF(C59&gt;0, D59/C59, 0),"-")</f>
        <v>-</v>
      </c>
    </row>
    <row r="60" spans="2:5" x14ac:dyDescent="0.2">
      <c r="B60" s="17" t="s">
        <v>74</v>
      </c>
      <c r="C60" s="18" t="s">
        <v>959</v>
      </c>
      <c r="D60" s="19" t="s">
        <v>959</v>
      </c>
      <c r="E60" s="20" t="str">
        <f>IFERROR(IF(C60&gt;0, D60/C60, 0),"-")</f>
        <v>-</v>
      </c>
    </row>
    <row r="61" spans="2:5" x14ac:dyDescent="0.2">
      <c r="B61" s="17" t="s">
        <v>92</v>
      </c>
      <c r="C61" s="18" t="s">
        <v>959</v>
      </c>
      <c r="D61" s="19" t="s">
        <v>959</v>
      </c>
      <c r="E61" s="20" t="str">
        <f>IFERROR(IF(C61&gt;0, D61/C61, 0),"-")</f>
        <v>-</v>
      </c>
    </row>
    <row r="62" spans="2:5" x14ac:dyDescent="0.2">
      <c r="B62" s="17" t="s">
        <v>79</v>
      </c>
      <c r="C62" s="18" t="s">
        <v>959</v>
      </c>
      <c r="D62" s="19" t="s">
        <v>959</v>
      </c>
      <c r="E62" s="20" t="str">
        <f>IFERROR(IF(C62&gt;0, D62/C62, 0),"-")</f>
        <v>-</v>
      </c>
    </row>
    <row r="63" spans="2:5" x14ac:dyDescent="0.2">
      <c r="B63" s="17" t="s">
        <v>30</v>
      </c>
      <c r="C63" s="18" t="s">
        <v>959</v>
      </c>
      <c r="D63" s="19" t="s">
        <v>959</v>
      </c>
      <c r="E63" s="20" t="str">
        <f>IFERROR(IF(C63&gt;0, D63/C63, 0),"-")</f>
        <v>-</v>
      </c>
    </row>
    <row r="64" spans="2:5" x14ac:dyDescent="0.2">
      <c r="B64" s="17" t="s">
        <v>125</v>
      </c>
      <c r="C64" s="18" t="s">
        <v>959</v>
      </c>
      <c r="D64" s="19" t="s">
        <v>959</v>
      </c>
      <c r="E64" s="20" t="str">
        <f>IFERROR(IF(C64&gt;0, D64/C64, 0),"-")</f>
        <v>-</v>
      </c>
    </row>
    <row r="65" spans="2:5" x14ac:dyDescent="0.2">
      <c r="B65" s="17" t="s">
        <v>88</v>
      </c>
      <c r="C65" s="18" t="s">
        <v>959</v>
      </c>
      <c r="D65" s="19" t="s">
        <v>959</v>
      </c>
      <c r="E65" s="20" t="str">
        <f>IFERROR(IF(C65&gt;0, D65/C65, 0),"-")</f>
        <v>-</v>
      </c>
    </row>
    <row r="66" spans="2:5" x14ac:dyDescent="0.2">
      <c r="B66" s="17" t="s">
        <v>91</v>
      </c>
      <c r="C66" s="18" t="s">
        <v>959</v>
      </c>
      <c r="D66" s="19" t="s">
        <v>959</v>
      </c>
      <c r="E66" s="20" t="str">
        <f>IFERROR(IF(C66&gt;0, D66/C66, 0),"-")</f>
        <v>-</v>
      </c>
    </row>
    <row r="67" spans="2:5" x14ac:dyDescent="0.2">
      <c r="B67" s="17" t="s">
        <v>16</v>
      </c>
      <c r="C67" s="18" t="s">
        <v>959</v>
      </c>
      <c r="D67" s="19" t="s">
        <v>959</v>
      </c>
      <c r="E67" s="20" t="str">
        <f>IFERROR(IF(C67&gt;0, D67/C67, 0),"-")</f>
        <v>-</v>
      </c>
    </row>
    <row r="68" spans="2:5" x14ac:dyDescent="0.2">
      <c r="B68" s="17" t="s">
        <v>53</v>
      </c>
      <c r="C68" s="18" t="s">
        <v>959</v>
      </c>
      <c r="D68" s="19" t="s">
        <v>959</v>
      </c>
      <c r="E68" s="20" t="str">
        <f>IFERROR(IF(C68&gt;0, D68/C68, 0),"-")</f>
        <v>-</v>
      </c>
    </row>
    <row r="69" spans="2:5" x14ac:dyDescent="0.2">
      <c r="B69" s="17" t="s">
        <v>35</v>
      </c>
      <c r="C69" s="18" t="s">
        <v>959</v>
      </c>
      <c r="D69" s="19" t="s">
        <v>959</v>
      </c>
      <c r="E69" s="20" t="str">
        <f>IFERROR(IF(C69&gt;0, D69/C69, 0),"-")</f>
        <v>-</v>
      </c>
    </row>
    <row r="70" spans="2:5" x14ac:dyDescent="0.2">
      <c r="B70" s="17" t="s">
        <v>19</v>
      </c>
      <c r="C70" s="18" t="s">
        <v>959</v>
      </c>
      <c r="D70" s="19" t="s">
        <v>959</v>
      </c>
      <c r="E70" s="20" t="str">
        <f>IFERROR(IF(C70&gt;0, D70/C70, 0),"-")</f>
        <v>-</v>
      </c>
    </row>
    <row r="71" spans="2:5" x14ac:dyDescent="0.2">
      <c r="B71" s="17" t="s">
        <v>56</v>
      </c>
      <c r="C71" s="18" t="s">
        <v>959</v>
      </c>
      <c r="D71" s="19" t="s">
        <v>959</v>
      </c>
      <c r="E71" s="20" t="str">
        <f>IFERROR(IF(C71&gt;0, D71/C71, 0),"-")</f>
        <v>-</v>
      </c>
    </row>
    <row r="72" spans="2:5" x14ac:dyDescent="0.2">
      <c r="B72" s="17" t="s">
        <v>77</v>
      </c>
      <c r="C72" s="18" t="s">
        <v>959</v>
      </c>
      <c r="D72" s="19" t="s">
        <v>959</v>
      </c>
      <c r="E72" s="20" t="str">
        <f>IFERROR(IF(C72&gt;0, D72/C72, 0),"-")</f>
        <v>-</v>
      </c>
    </row>
    <row r="73" spans="2:5" x14ac:dyDescent="0.2">
      <c r="B73" s="17" t="s">
        <v>12</v>
      </c>
      <c r="C73" s="18" t="s">
        <v>959</v>
      </c>
      <c r="D73" s="19" t="s">
        <v>959</v>
      </c>
      <c r="E73" s="20" t="str">
        <f>IFERROR(IF(C73&gt;0, D73/C73, 0),"-")</f>
        <v>-</v>
      </c>
    </row>
    <row r="74" spans="2:5" x14ac:dyDescent="0.2">
      <c r="B74" s="17" t="s">
        <v>59</v>
      </c>
      <c r="C74" s="18" t="s">
        <v>959</v>
      </c>
      <c r="D74" s="19" t="s">
        <v>959</v>
      </c>
      <c r="E74" s="20" t="str">
        <f>IFERROR(IF(C74&gt;0, D74/C74, 0),"-")</f>
        <v>-</v>
      </c>
    </row>
    <row r="75" spans="2:5" x14ac:dyDescent="0.2">
      <c r="B75" s="17" t="s">
        <v>129</v>
      </c>
      <c r="C75" s="18" t="s">
        <v>959</v>
      </c>
      <c r="D75" s="19" t="s">
        <v>959</v>
      </c>
      <c r="E75" s="20" t="str">
        <f>IFERROR(IF(C75&gt;0, D75/C75, 0),"-")</f>
        <v>-</v>
      </c>
    </row>
    <row r="76" spans="2:5" x14ac:dyDescent="0.2">
      <c r="B76" s="17" t="s">
        <v>110</v>
      </c>
      <c r="C76" s="18" t="s">
        <v>959</v>
      </c>
      <c r="D76" s="19" t="s">
        <v>959</v>
      </c>
      <c r="E76" s="20" t="str">
        <f>IFERROR(IF(C76&gt;0, D76/C76, 0),"-")</f>
        <v>-</v>
      </c>
    </row>
    <row r="77" spans="2:5" x14ac:dyDescent="0.2">
      <c r="B77" s="17" t="s">
        <v>50</v>
      </c>
      <c r="C77" s="18" t="s">
        <v>959</v>
      </c>
      <c r="D77" s="19" t="s">
        <v>959</v>
      </c>
      <c r="E77" s="20" t="str">
        <f>IFERROR(IF(C77&gt;0, D77/C77, 0),"-")</f>
        <v>-</v>
      </c>
    </row>
    <row r="78" spans="2:5" x14ac:dyDescent="0.2">
      <c r="B78" s="17" t="s">
        <v>105</v>
      </c>
      <c r="C78" s="18" t="s">
        <v>959</v>
      </c>
      <c r="D78" s="19" t="s">
        <v>959</v>
      </c>
      <c r="E78" s="20" t="str">
        <f>IFERROR(IF(C78&gt;0, D78/C78, 0),"-")</f>
        <v>-</v>
      </c>
    </row>
    <row r="79" spans="2:5" x14ac:dyDescent="0.2">
      <c r="B79" s="17" t="s">
        <v>100</v>
      </c>
      <c r="C79" s="18" t="s">
        <v>959</v>
      </c>
      <c r="D79" s="19" t="s">
        <v>959</v>
      </c>
      <c r="E79" s="20" t="str">
        <f>IFERROR(IF(C79&gt;0, D79/C79, 0),"-")</f>
        <v>-</v>
      </c>
    </row>
    <row r="80" spans="2:5" x14ac:dyDescent="0.2">
      <c r="B80" s="17" t="s">
        <v>31</v>
      </c>
      <c r="C80" s="18" t="s">
        <v>959</v>
      </c>
      <c r="D80" s="19" t="s">
        <v>959</v>
      </c>
      <c r="E80" s="20" t="str">
        <f>IFERROR(IF(C80&gt;0, D80/C80, 0),"-")</f>
        <v>-</v>
      </c>
    </row>
    <row r="81" spans="2:5" x14ac:dyDescent="0.2">
      <c r="B81" s="17" t="s">
        <v>84</v>
      </c>
      <c r="C81" s="18" t="s">
        <v>959</v>
      </c>
      <c r="D81" s="19" t="s">
        <v>959</v>
      </c>
      <c r="E81" s="20" t="str">
        <f>IFERROR(IF(C81&gt;0, D81/C81, 0),"-")</f>
        <v>-</v>
      </c>
    </row>
    <row r="82" spans="2:5" x14ac:dyDescent="0.2">
      <c r="B82" s="17" t="s">
        <v>14</v>
      </c>
      <c r="C82" s="18" t="s">
        <v>959</v>
      </c>
      <c r="D82" s="19" t="s">
        <v>959</v>
      </c>
      <c r="E82" s="20" t="str">
        <f>IFERROR(IF(C82&gt;0, D82/C82, 0),"-")</f>
        <v>-</v>
      </c>
    </row>
    <row r="83" spans="2:5" x14ac:dyDescent="0.2">
      <c r="B83" s="17" t="s">
        <v>98</v>
      </c>
      <c r="C83" s="18" t="s">
        <v>959</v>
      </c>
      <c r="D83" s="19" t="s">
        <v>959</v>
      </c>
      <c r="E83" s="20" t="str">
        <f>IFERROR(IF(C83&gt;0, D83/C83, 0),"-")</f>
        <v>-</v>
      </c>
    </row>
    <row r="84" spans="2:5" x14ac:dyDescent="0.2">
      <c r="B84" s="17" t="s">
        <v>21</v>
      </c>
      <c r="C84" s="18" t="s">
        <v>959</v>
      </c>
      <c r="D84" s="19" t="s">
        <v>959</v>
      </c>
      <c r="E84" s="20" t="str">
        <f>IFERROR(IF(C84&gt;0, D84/C84, 0),"-")</f>
        <v>-</v>
      </c>
    </row>
    <row r="85" spans="2:5" x14ac:dyDescent="0.2">
      <c r="B85" s="17" t="s">
        <v>65</v>
      </c>
      <c r="C85" s="18" t="s">
        <v>959</v>
      </c>
      <c r="D85" s="19" t="s">
        <v>959</v>
      </c>
      <c r="E85" s="20" t="str">
        <f>IFERROR(IF(C85&gt;0, D85/C85, 0),"-")</f>
        <v>-</v>
      </c>
    </row>
    <row r="86" spans="2:5" x14ac:dyDescent="0.2">
      <c r="B86" s="17" t="s">
        <v>87</v>
      </c>
      <c r="C86" s="18" t="s">
        <v>959</v>
      </c>
      <c r="D86" s="19" t="s">
        <v>959</v>
      </c>
      <c r="E86" s="20" t="str">
        <f>IFERROR(IF(C86&gt;0, D86/C86, 0),"-")</f>
        <v>-</v>
      </c>
    </row>
    <row r="87" spans="2:5" x14ac:dyDescent="0.2">
      <c r="B87" s="17" t="s">
        <v>23</v>
      </c>
      <c r="C87" s="18" t="s">
        <v>959</v>
      </c>
      <c r="D87" s="19" t="s">
        <v>959</v>
      </c>
      <c r="E87" s="20" t="str">
        <f>IFERROR(IF(C87&gt;0, D87/C87, 0),"-")</f>
        <v>-</v>
      </c>
    </row>
    <row r="88" spans="2:5" x14ac:dyDescent="0.2">
      <c r="B88" s="17" t="s">
        <v>127</v>
      </c>
      <c r="C88" s="18" t="s">
        <v>959</v>
      </c>
      <c r="D88" s="19" t="s">
        <v>959</v>
      </c>
      <c r="E88" s="20" t="str">
        <f>IFERROR(IF(C88&gt;0, D88/C88, 0),"-")</f>
        <v>-</v>
      </c>
    </row>
    <row r="89" spans="2:5" x14ac:dyDescent="0.2">
      <c r="B89" s="17" t="s">
        <v>15</v>
      </c>
      <c r="C89" s="18" t="s">
        <v>959</v>
      </c>
      <c r="D89" s="19" t="s">
        <v>959</v>
      </c>
      <c r="E89" s="20" t="str">
        <f>IFERROR(IF(C89&gt;0, D89/C89, 0),"-")</f>
        <v>-</v>
      </c>
    </row>
    <row r="90" spans="2:5" x14ac:dyDescent="0.2">
      <c r="B90" s="17" t="s">
        <v>111</v>
      </c>
      <c r="C90" s="18" t="s">
        <v>959</v>
      </c>
      <c r="D90" s="19" t="s">
        <v>959</v>
      </c>
      <c r="E90" s="20" t="str">
        <f>IFERROR(IF(C90&gt;0, D90/C90, 0),"-")</f>
        <v>-</v>
      </c>
    </row>
    <row r="91" spans="2:5" x14ac:dyDescent="0.2">
      <c r="B91" s="17" t="s">
        <v>83</v>
      </c>
      <c r="C91" s="18" t="s">
        <v>959</v>
      </c>
      <c r="D91" s="19" t="s">
        <v>959</v>
      </c>
      <c r="E91" s="20" t="str">
        <f>IFERROR(IF(C91&gt;0, D91/C91, 0),"-")</f>
        <v>-</v>
      </c>
    </row>
    <row r="92" spans="2:5" x14ac:dyDescent="0.2">
      <c r="B92" s="17" t="s">
        <v>116</v>
      </c>
      <c r="C92" s="18" t="s">
        <v>959</v>
      </c>
      <c r="D92" s="19" t="s">
        <v>959</v>
      </c>
      <c r="E92" s="20" t="str">
        <f>IFERROR(IF(C92&gt;0, D92/C92, 0),"-")</f>
        <v>-</v>
      </c>
    </row>
    <row r="93" spans="2:5" x14ac:dyDescent="0.2">
      <c r="B93" s="17" t="s">
        <v>20</v>
      </c>
      <c r="C93" s="18" t="s">
        <v>959</v>
      </c>
      <c r="D93" s="19" t="s">
        <v>959</v>
      </c>
      <c r="E93" s="20" t="str">
        <f>IFERROR(IF(C93&gt;0, D93/C93, 0),"-")</f>
        <v>-</v>
      </c>
    </row>
    <row r="94" spans="2:5" x14ac:dyDescent="0.2">
      <c r="B94" s="17" t="s">
        <v>131</v>
      </c>
      <c r="C94" s="18" t="s">
        <v>959</v>
      </c>
      <c r="D94" s="19" t="s">
        <v>959</v>
      </c>
      <c r="E94" s="20" t="str">
        <f>IFERROR(IF(C94&gt;0, D94/C94, 0),"-")</f>
        <v>-</v>
      </c>
    </row>
    <row r="95" spans="2:5" x14ac:dyDescent="0.2">
      <c r="B95" s="17" t="s">
        <v>24</v>
      </c>
      <c r="C95" s="18" t="s">
        <v>959</v>
      </c>
      <c r="D95" s="19" t="s">
        <v>959</v>
      </c>
      <c r="E95" s="20" t="str">
        <f>IFERROR(IF(C95&gt;0, D95/C95, 0),"-")</f>
        <v>-</v>
      </c>
    </row>
    <row r="96" spans="2:5" x14ac:dyDescent="0.2">
      <c r="B96" s="17" t="s">
        <v>122</v>
      </c>
      <c r="C96" s="18" t="s">
        <v>959</v>
      </c>
      <c r="D96" s="19" t="s">
        <v>959</v>
      </c>
      <c r="E96" s="20" t="str">
        <f>IFERROR(IF(C96&gt;0, D96/C96, 0),"-")</f>
        <v>-</v>
      </c>
    </row>
    <row r="97" spans="2:5" x14ac:dyDescent="0.2">
      <c r="B97" s="17" t="s">
        <v>133</v>
      </c>
      <c r="C97" s="18" t="s">
        <v>959</v>
      </c>
      <c r="D97" s="19" t="s">
        <v>959</v>
      </c>
      <c r="E97" s="20" t="str">
        <f>IFERROR(IF(C97&gt;0, D97/C97, 0),"-")</f>
        <v>-</v>
      </c>
    </row>
    <row r="98" spans="2:5" x14ac:dyDescent="0.2">
      <c r="B98" s="17" t="s">
        <v>108</v>
      </c>
      <c r="C98" s="18" t="s">
        <v>959</v>
      </c>
      <c r="D98" s="19" t="s">
        <v>959</v>
      </c>
      <c r="E98" s="20" t="str">
        <f>IFERROR(IF(C98&gt;0, D98/C98, 0),"-")</f>
        <v>-</v>
      </c>
    </row>
    <row r="99" spans="2:5" x14ac:dyDescent="0.2">
      <c r="B99" s="17" t="s">
        <v>85</v>
      </c>
      <c r="C99" s="18" t="s">
        <v>959</v>
      </c>
      <c r="D99" s="19" t="s">
        <v>959</v>
      </c>
      <c r="E99" s="20" t="str">
        <f>IFERROR(IF(C99&gt;0, D99/C99, 0),"-")</f>
        <v>-</v>
      </c>
    </row>
    <row r="100" spans="2:5" x14ac:dyDescent="0.2">
      <c r="B100" s="17" t="s">
        <v>132</v>
      </c>
      <c r="C100" s="18" t="s">
        <v>959</v>
      </c>
      <c r="D100" s="19" t="s">
        <v>959</v>
      </c>
      <c r="E100" s="20" t="str">
        <f>IFERROR(IF(C100&gt;0, D100/C100, 0),"-")</f>
        <v>-</v>
      </c>
    </row>
    <row r="101" spans="2:5" x14ac:dyDescent="0.2">
      <c r="B101" s="17" t="s">
        <v>96</v>
      </c>
      <c r="C101" s="18" t="s">
        <v>959</v>
      </c>
      <c r="D101" s="19" t="s">
        <v>959</v>
      </c>
      <c r="E101" s="20" t="str">
        <f>IFERROR(IF(C101&gt;0, D101/C101, 0),"-")</f>
        <v>-</v>
      </c>
    </row>
    <row r="102" spans="2:5" x14ac:dyDescent="0.2">
      <c r="B102" s="17" t="s">
        <v>117</v>
      </c>
      <c r="C102" s="18" t="s">
        <v>959</v>
      </c>
      <c r="D102" s="19" t="s">
        <v>959</v>
      </c>
      <c r="E102" s="20" t="str">
        <f>IFERROR(IF(C102&gt;0, D102/C102, 0),"-")</f>
        <v>-</v>
      </c>
    </row>
    <row r="103" spans="2:5" x14ac:dyDescent="0.2">
      <c r="B103" s="17" t="s">
        <v>49</v>
      </c>
      <c r="C103" s="18" t="s">
        <v>959</v>
      </c>
      <c r="D103" s="19" t="s">
        <v>959</v>
      </c>
      <c r="E103" s="20" t="str">
        <f>IFERROR(IF(C103&gt;0, D103/C103, 0),"-")</f>
        <v>-</v>
      </c>
    </row>
    <row r="104" spans="2:5" x14ac:dyDescent="0.2">
      <c r="B104" s="17" t="s">
        <v>70</v>
      </c>
      <c r="C104" s="18" t="s">
        <v>959</v>
      </c>
      <c r="D104" s="19" t="s">
        <v>959</v>
      </c>
      <c r="E104" s="20" t="str">
        <f>IFERROR(IF(C104&gt;0, D104/C104, 0),"-")</f>
        <v>-</v>
      </c>
    </row>
    <row r="105" spans="2:5" x14ac:dyDescent="0.2">
      <c r="B105" s="17" t="s">
        <v>76</v>
      </c>
      <c r="C105" s="18" t="s">
        <v>959</v>
      </c>
      <c r="D105" s="19" t="s">
        <v>959</v>
      </c>
      <c r="E105" s="20" t="str">
        <f>IFERROR(IF(C105&gt;0, D105/C105, 0),"-")</f>
        <v>-</v>
      </c>
    </row>
    <row r="106" spans="2:5" x14ac:dyDescent="0.2">
      <c r="B106" s="17" t="s">
        <v>102</v>
      </c>
      <c r="C106" s="18" t="s">
        <v>959</v>
      </c>
      <c r="D106" s="19" t="s">
        <v>959</v>
      </c>
      <c r="E106" s="20" t="str">
        <f>IFERROR(IF(C106&gt;0, D106/C106, 0),"-")</f>
        <v>-</v>
      </c>
    </row>
    <row r="107" spans="2:5" x14ac:dyDescent="0.2">
      <c r="B107" s="17" t="s">
        <v>33</v>
      </c>
      <c r="C107" s="18" t="s">
        <v>959</v>
      </c>
      <c r="D107" s="19" t="s">
        <v>959</v>
      </c>
      <c r="E107" s="20" t="str">
        <f>IFERROR(IF(C107&gt;0, D107/C107, 0),"-")</f>
        <v>-</v>
      </c>
    </row>
    <row r="108" spans="2:5" x14ac:dyDescent="0.2">
      <c r="B108" s="17" t="s">
        <v>67</v>
      </c>
      <c r="C108" s="18" t="s">
        <v>959</v>
      </c>
      <c r="D108" s="19" t="s">
        <v>959</v>
      </c>
      <c r="E108" s="20" t="str">
        <f>IFERROR(IF(C108&gt;0, D108/C108, 0),"-")</f>
        <v>-</v>
      </c>
    </row>
    <row r="109" spans="2:5" x14ac:dyDescent="0.2">
      <c r="B109" s="17" t="s">
        <v>135</v>
      </c>
      <c r="C109" s="18" t="s">
        <v>959</v>
      </c>
      <c r="D109" s="19" t="s">
        <v>959</v>
      </c>
      <c r="E109" s="20" t="str">
        <f>IFERROR(IF(C109&gt;0, D109/C109, 0),"-")</f>
        <v>-</v>
      </c>
    </row>
    <row r="110" spans="2:5" x14ac:dyDescent="0.2">
      <c r="B110" s="17" t="s">
        <v>120</v>
      </c>
      <c r="C110" s="18" t="s">
        <v>959</v>
      </c>
      <c r="D110" s="19" t="s">
        <v>959</v>
      </c>
      <c r="E110" s="20" t="str">
        <f>IFERROR(IF(C110&gt;0, D110/C110, 0),"-")</f>
        <v>-</v>
      </c>
    </row>
    <row r="111" spans="2:5" x14ac:dyDescent="0.2">
      <c r="B111" s="17" t="s">
        <v>99</v>
      </c>
      <c r="C111" s="18" t="s">
        <v>959</v>
      </c>
      <c r="D111" s="19" t="s">
        <v>959</v>
      </c>
      <c r="E111" s="20" t="str">
        <f>IFERROR(IF(C111&gt;0, D111/C111, 0),"-")</f>
        <v>-</v>
      </c>
    </row>
    <row r="112" spans="2:5" x14ac:dyDescent="0.2">
      <c r="B112" s="17" t="s">
        <v>89</v>
      </c>
      <c r="C112" s="18" t="s">
        <v>959</v>
      </c>
      <c r="D112" s="19" t="s">
        <v>959</v>
      </c>
      <c r="E112" s="20" t="str">
        <f>IFERROR(IF(C112&gt;0, D112/C112, 0),"-")</f>
        <v>-</v>
      </c>
    </row>
    <row r="113" spans="2:5" x14ac:dyDescent="0.2">
      <c r="B113" s="17" t="s">
        <v>94</v>
      </c>
      <c r="C113" s="18" t="s">
        <v>959</v>
      </c>
      <c r="D113" s="19" t="s">
        <v>959</v>
      </c>
      <c r="E113" s="20" t="str">
        <f>IFERROR(IF(C113&gt;0, D113/C113, 0),"-")</f>
        <v>-</v>
      </c>
    </row>
    <row r="114" spans="2:5" x14ac:dyDescent="0.2">
      <c r="B114" s="17" t="s">
        <v>34</v>
      </c>
      <c r="C114" s="18" t="s">
        <v>959</v>
      </c>
      <c r="D114" s="19" t="s">
        <v>959</v>
      </c>
      <c r="E114" s="20" t="str">
        <f>IFERROR(IF(C114&gt;0, D114/C114, 0),"-")</f>
        <v>-</v>
      </c>
    </row>
    <row r="115" spans="2:5" x14ac:dyDescent="0.2">
      <c r="B115" s="17" t="s">
        <v>5</v>
      </c>
      <c r="C115" s="18" t="s">
        <v>959</v>
      </c>
      <c r="D115" s="19" t="s">
        <v>959</v>
      </c>
      <c r="E115" s="20" t="str">
        <f>IFERROR(IF(C115&gt;0, D115/C115, 0),"-")</f>
        <v>-</v>
      </c>
    </row>
    <row r="116" spans="2:5" x14ac:dyDescent="0.2">
      <c r="B116" s="17" t="s">
        <v>109</v>
      </c>
      <c r="C116" s="18" t="s">
        <v>959</v>
      </c>
      <c r="D116" s="19" t="s">
        <v>959</v>
      </c>
      <c r="E116" s="20" t="str">
        <f>IFERROR(IF(C116&gt;0, D116/C116, 0),"-")</f>
        <v>-</v>
      </c>
    </row>
    <row r="117" spans="2:5" x14ac:dyDescent="0.2">
      <c r="B117" s="17" t="s">
        <v>121</v>
      </c>
      <c r="C117" s="18" t="s">
        <v>959</v>
      </c>
      <c r="D117" s="19" t="s">
        <v>959</v>
      </c>
      <c r="E117" s="20" t="str">
        <f>IFERROR(IF(C117&gt;0, D117/C117, 0),"-")</f>
        <v>-</v>
      </c>
    </row>
    <row r="118" spans="2:5" x14ac:dyDescent="0.2">
      <c r="B118" s="17" t="s">
        <v>9</v>
      </c>
      <c r="C118" s="18" t="s">
        <v>959</v>
      </c>
      <c r="D118" s="19" t="s">
        <v>959</v>
      </c>
      <c r="E118" s="20" t="str">
        <f>IFERROR(IF(C118&gt;0, D118/C118, 0),"-")</f>
        <v>-</v>
      </c>
    </row>
    <row r="119" spans="2:5" x14ac:dyDescent="0.2">
      <c r="B119" s="17" t="s">
        <v>78</v>
      </c>
      <c r="C119" s="18" t="s">
        <v>959</v>
      </c>
      <c r="D119" s="19" t="s">
        <v>959</v>
      </c>
      <c r="E119" s="20" t="str">
        <f>IFERROR(IF(C119&gt;0, D119/C119, 0),"-")</f>
        <v>-</v>
      </c>
    </row>
    <row r="120" spans="2:5" x14ac:dyDescent="0.2">
      <c r="B120" s="17" t="s">
        <v>104</v>
      </c>
      <c r="C120" s="18" t="s">
        <v>959</v>
      </c>
      <c r="D120" s="19" t="s">
        <v>959</v>
      </c>
      <c r="E120" s="20" t="str">
        <f>IFERROR(IF(C120&gt;0, D120/C120, 0),"-")</f>
        <v>-</v>
      </c>
    </row>
    <row r="121" spans="2:5" x14ac:dyDescent="0.2">
      <c r="B121" s="17" t="s">
        <v>119</v>
      </c>
      <c r="C121" s="18" t="s">
        <v>959</v>
      </c>
      <c r="D121" s="19" t="s">
        <v>959</v>
      </c>
      <c r="E121" s="20" t="str">
        <f>IFERROR(IF(C121&gt;0, D121/C121, 0),"-")</f>
        <v>-</v>
      </c>
    </row>
    <row r="122" spans="2:5" x14ac:dyDescent="0.2">
      <c r="B122" s="17" t="s">
        <v>39</v>
      </c>
      <c r="C122" s="18" t="s">
        <v>959</v>
      </c>
      <c r="D122" s="19" t="s">
        <v>959</v>
      </c>
      <c r="E122" s="20" t="str">
        <f>IFERROR(IF(C122&gt;0, D122/C122, 0),"-")</f>
        <v>-</v>
      </c>
    </row>
    <row r="123" spans="2:5" x14ac:dyDescent="0.2">
      <c r="B123" s="17" t="s">
        <v>25</v>
      </c>
      <c r="C123" s="18" t="s">
        <v>959</v>
      </c>
      <c r="D123" s="19" t="s">
        <v>959</v>
      </c>
      <c r="E123" s="20" t="str">
        <f>IFERROR(IF(C123&gt;0, D123/C123, 0),"-")</f>
        <v>-</v>
      </c>
    </row>
    <row r="124" spans="2:5" x14ac:dyDescent="0.2">
      <c r="B124" s="17" t="s">
        <v>115</v>
      </c>
      <c r="C124" s="18" t="s">
        <v>959</v>
      </c>
      <c r="D124" s="19" t="s">
        <v>959</v>
      </c>
      <c r="E124" s="20" t="str">
        <f>IFERROR(IF(C124&gt;0, D124/C124, 0),"-")</f>
        <v>-</v>
      </c>
    </row>
    <row r="125" spans="2:5" x14ac:dyDescent="0.2">
      <c r="B125" s="17" t="s">
        <v>6</v>
      </c>
      <c r="C125" s="18" t="s">
        <v>959</v>
      </c>
      <c r="D125" s="19" t="s">
        <v>959</v>
      </c>
      <c r="E125" s="20" t="str">
        <f>IFERROR(IF(C125&gt;0, D125/C125, 0),"-")</f>
        <v>-</v>
      </c>
    </row>
    <row r="126" spans="2:5" x14ac:dyDescent="0.2">
      <c r="B126" s="17" t="s">
        <v>40</v>
      </c>
      <c r="C126" s="18" t="s">
        <v>959</v>
      </c>
      <c r="D126" s="19" t="s">
        <v>959</v>
      </c>
      <c r="E126" s="20" t="str">
        <f>IFERROR(IF(C126&gt;0, D126/C126, 0),"-")</f>
        <v>-</v>
      </c>
    </row>
    <row r="127" spans="2:5" x14ac:dyDescent="0.2">
      <c r="B127" s="17" t="s">
        <v>58</v>
      </c>
      <c r="C127" s="18" t="s">
        <v>959</v>
      </c>
      <c r="D127" s="19" t="s">
        <v>959</v>
      </c>
      <c r="E127" s="20" t="str">
        <f>IFERROR(IF(C127&gt;0, D127/C127, 0),"-")</f>
        <v>-</v>
      </c>
    </row>
    <row r="128" spans="2:5" x14ac:dyDescent="0.2">
      <c r="B128" s="17" t="s">
        <v>43</v>
      </c>
      <c r="C128" s="18" t="s">
        <v>959</v>
      </c>
      <c r="D128" s="19" t="s">
        <v>959</v>
      </c>
      <c r="E128" s="20" t="str">
        <f>IFERROR(IF(C128&gt;0, D128/C128, 0),"-")</f>
        <v>-</v>
      </c>
    </row>
    <row r="129" spans="2:5" x14ac:dyDescent="0.2">
      <c r="B129" s="17" t="s">
        <v>101</v>
      </c>
      <c r="C129" s="18" t="s">
        <v>959</v>
      </c>
      <c r="D129" s="19" t="s">
        <v>959</v>
      </c>
      <c r="E129" s="20" t="str">
        <f>IFERROR(IF(C129&gt;0, D129/C129, 0),"-")</f>
        <v>-</v>
      </c>
    </row>
    <row r="130" spans="2:5" x14ac:dyDescent="0.2">
      <c r="B130" s="17" t="s">
        <v>57</v>
      </c>
      <c r="C130" s="18" t="s">
        <v>959</v>
      </c>
      <c r="D130" s="19" t="s">
        <v>959</v>
      </c>
      <c r="E130" s="20" t="str">
        <f>IFERROR(IF(C130&gt;0, D130/C130, 0),"-")</f>
        <v>-</v>
      </c>
    </row>
    <row r="131" spans="2:5" x14ac:dyDescent="0.2">
      <c r="B131" s="17" t="s">
        <v>80</v>
      </c>
      <c r="C131" s="18" t="s">
        <v>959</v>
      </c>
      <c r="D131" s="19" t="s">
        <v>959</v>
      </c>
      <c r="E131" s="20" t="str">
        <f>IFERROR(IF(C131&gt;0, D131/C131, 0),"-")</f>
        <v>-</v>
      </c>
    </row>
    <row r="132" spans="2:5" x14ac:dyDescent="0.2">
      <c r="B132" s="17" t="s">
        <v>45</v>
      </c>
      <c r="C132" s="18" t="s">
        <v>959</v>
      </c>
      <c r="D132" s="19" t="s">
        <v>959</v>
      </c>
      <c r="E132" s="20" t="str">
        <f>IFERROR(IF(C132&gt;0, D132/C132, 0),"-")</f>
        <v>-</v>
      </c>
    </row>
    <row r="133" spans="2:5" x14ac:dyDescent="0.2">
      <c r="B133" s="17" t="s">
        <v>90</v>
      </c>
      <c r="C133" s="18" t="s">
        <v>959</v>
      </c>
      <c r="D133" s="19" t="s">
        <v>959</v>
      </c>
      <c r="E133" s="20" t="str">
        <f>IFERROR(IF(C133&gt;0, D133/C133, 0),"-")</f>
        <v>-</v>
      </c>
    </row>
    <row r="134" spans="2:5" x14ac:dyDescent="0.2">
      <c r="B134" s="17" t="s">
        <v>114</v>
      </c>
      <c r="C134" s="18" t="s">
        <v>959</v>
      </c>
      <c r="D134" s="19" t="s">
        <v>959</v>
      </c>
      <c r="E134" s="20" t="str">
        <f>IFERROR(IF(C134&gt;0, D134/C134, 0),"-")</f>
        <v>-</v>
      </c>
    </row>
    <row r="135" spans="2:5" x14ac:dyDescent="0.2">
      <c r="B135" s="17" t="s">
        <v>10</v>
      </c>
      <c r="C135" s="18" t="s">
        <v>959</v>
      </c>
      <c r="D135" s="19" t="s">
        <v>959</v>
      </c>
      <c r="E135" s="20" t="str">
        <f>IFERROR(IF(C135&gt;0, D135/C135, 0),"-")</f>
        <v>-</v>
      </c>
    </row>
    <row r="136" spans="2:5" x14ac:dyDescent="0.2">
      <c r="B136" s="17" t="s">
        <v>107</v>
      </c>
      <c r="C136" s="18" t="s">
        <v>959</v>
      </c>
      <c r="D136" s="19" t="s">
        <v>959</v>
      </c>
      <c r="E136" s="20" t="str">
        <f>IFERROR(IF(C136&gt;0, D136/C136, 0),"-")</f>
        <v>-</v>
      </c>
    </row>
    <row r="137" spans="2:5" x14ac:dyDescent="0.2">
      <c r="B137" s="17" t="s">
        <v>36</v>
      </c>
      <c r="C137" s="18" t="s">
        <v>959</v>
      </c>
      <c r="D137" s="19" t="s">
        <v>959</v>
      </c>
      <c r="E137" s="20" t="str">
        <f>IFERROR(IF(C137&gt;0, D137/C137, 0),"-")</f>
        <v>-</v>
      </c>
    </row>
    <row r="138" spans="2:5" x14ac:dyDescent="0.2">
      <c r="B138" s="17" t="s">
        <v>51</v>
      </c>
      <c r="C138" s="18" t="s">
        <v>959</v>
      </c>
      <c r="D138" s="19" t="s">
        <v>959</v>
      </c>
      <c r="E138" s="20" t="str">
        <f>IFERROR(IF(C138&gt;0, D138/C138, 0),"-")</f>
        <v>-</v>
      </c>
    </row>
    <row r="139" spans="2:5" x14ac:dyDescent="0.2">
      <c r="B139" s="17" t="s">
        <v>75</v>
      </c>
      <c r="C139" s="18" t="s">
        <v>959</v>
      </c>
      <c r="D139" s="19" t="s">
        <v>959</v>
      </c>
      <c r="E139" s="20" t="str">
        <f>IFERROR(IF(C139&gt;0, D139/C139, 0),"-")</f>
        <v>-</v>
      </c>
    </row>
    <row r="140" spans="2:5" x14ac:dyDescent="0.2">
      <c r="B140" s="17" t="s">
        <v>8</v>
      </c>
      <c r="C140" s="18" t="s">
        <v>959</v>
      </c>
      <c r="D140" s="19" t="s">
        <v>959</v>
      </c>
      <c r="E140" s="20" t="str">
        <f>IFERROR(IF(C140&gt;0, D140/C140, 0),"-")</f>
        <v>-</v>
      </c>
    </row>
    <row r="141" spans="2:5" x14ac:dyDescent="0.2">
      <c r="B141" s="17" t="s">
        <v>41</v>
      </c>
      <c r="C141" s="18" t="s">
        <v>959</v>
      </c>
      <c r="D141" s="19" t="s">
        <v>959</v>
      </c>
      <c r="E141" s="20" t="str">
        <f>IFERROR(IF(C141&gt;0, D141/C141, 0),"-")</f>
        <v>-</v>
      </c>
    </row>
    <row r="142" spans="2:5" x14ac:dyDescent="0.2">
      <c r="B142" s="17" t="s">
        <v>26</v>
      </c>
      <c r="C142" s="18" t="s">
        <v>959</v>
      </c>
      <c r="D142" s="19" t="s">
        <v>959</v>
      </c>
      <c r="E142" s="20" t="str">
        <f>IFERROR(IF(C142&gt;0, D142/C142, 0),"-")</f>
        <v>-</v>
      </c>
    </row>
    <row r="143" spans="2:5" x14ac:dyDescent="0.2">
      <c r="B143" s="17" t="s">
        <v>103</v>
      </c>
      <c r="C143" s="18" t="s">
        <v>959</v>
      </c>
      <c r="D143" s="19" t="s">
        <v>959</v>
      </c>
      <c r="E143" s="20" t="str">
        <f>IFERROR(IF(C143&gt;0, D143/C143, 0),"-")</f>
        <v>-</v>
      </c>
    </row>
    <row r="144" spans="2:5" x14ac:dyDescent="0.2">
      <c r="B144" s="17" t="s">
        <v>13</v>
      </c>
      <c r="C144" s="18" t="s">
        <v>959</v>
      </c>
      <c r="D144" s="19" t="s">
        <v>959</v>
      </c>
      <c r="E144" s="20" t="str">
        <f>IFERROR(IF(C144&gt;0, D144/C144, 0),"-")</f>
        <v>-</v>
      </c>
    </row>
    <row r="145" spans="2:5" x14ac:dyDescent="0.2">
      <c r="B145" s="17" t="s">
        <v>128</v>
      </c>
      <c r="C145" s="18" t="s">
        <v>959</v>
      </c>
      <c r="D145" s="19" t="s">
        <v>959</v>
      </c>
      <c r="E145" s="20" t="str">
        <f>IFERROR(IF(C145&gt;0, D145/C145, 0),"-")</f>
        <v>-</v>
      </c>
    </row>
    <row r="146" spans="2:5" x14ac:dyDescent="0.2">
      <c r="B146" s="17" t="s">
        <v>46</v>
      </c>
      <c r="C146" s="18" t="s">
        <v>959</v>
      </c>
      <c r="D146" s="19" t="s">
        <v>959</v>
      </c>
      <c r="E146" s="20" t="str">
        <f>IFERROR(IF(C146&gt;0, D146/C146, 0),"-")</f>
        <v>-</v>
      </c>
    </row>
    <row r="147" spans="2:5" x14ac:dyDescent="0.2">
      <c r="B147" s="17" t="s">
        <v>124</v>
      </c>
      <c r="C147" s="18" t="s">
        <v>959</v>
      </c>
      <c r="D147" s="19" t="s">
        <v>959</v>
      </c>
      <c r="E147" s="20" t="str">
        <f>IFERROR(IF(C147&gt;0, D147/C147, 0),"-")</f>
        <v>-</v>
      </c>
    </row>
    <row r="148" spans="2:5" x14ac:dyDescent="0.2">
      <c r="B148" s="17" t="s">
        <v>52</v>
      </c>
      <c r="C148" s="18" t="s">
        <v>959</v>
      </c>
      <c r="D148" s="19" t="s">
        <v>959</v>
      </c>
      <c r="E148" s="20" t="str">
        <f>IFERROR(IF(C148&gt;0, D148/C148, 0),"-")</f>
        <v>-</v>
      </c>
    </row>
    <row r="149" spans="2:5" x14ac:dyDescent="0.2">
      <c r="B149" s="17" t="s">
        <v>60</v>
      </c>
      <c r="C149" s="18" t="s">
        <v>959</v>
      </c>
      <c r="D149" s="19" t="s">
        <v>959</v>
      </c>
      <c r="E149" s="20" t="str">
        <f>IFERROR(IF(C149&gt;0, D149/C149, 0),"-")</f>
        <v>-</v>
      </c>
    </row>
    <row r="150" spans="2:5" x14ac:dyDescent="0.2">
      <c r="B150" s="17" t="s">
        <v>126</v>
      </c>
      <c r="C150" s="18" t="s">
        <v>959</v>
      </c>
      <c r="D150" s="19" t="s">
        <v>959</v>
      </c>
      <c r="E150" s="20" t="str">
        <f>IFERROR(IF(C150&gt;0, D150/C150, 0),"-")</f>
        <v>-</v>
      </c>
    </row>
    <row r="151" spans="2:5" x14ac:dyDescent="0.2">
      <c r="B151" s="17" t="s">
        <v>93</v>
      </c>
      <c r="C151" s="18" t="s">
        <v>959</v>
      </c>
      <c r="D151" s="19" t="s">
        <v>959</v>
      </c>
      <c r="E151" s="20" t="str">
        <f>IFERROR(IF(C151&gt;0, D151/C151, 0),"-")</f>
        <v>-</v>
      </c>
    </row>
    <row r="152" spans="2:5" x14ac:dyDescent="0.2">
      <c r="B152" s="17" t="s">
        <v>54</v>
      </c>
      <c r="C152" s="18" t="s">
        <v>959</v>
      </c>
      <c r="D152" s="19" t="s">
        <v>959</v>
      </c>
      <c r="E152" s="20" t="str">
        <f>IFERROR(IF(C152&gt;0, D152/C152, 0),"-")</f>
        <v>-</v>
      </c>
    </row>
    <row r="153" spans="2:5" x14ac:dyDescent="0.2">
      <c r="B153" s="17" t="s">
        <v>62</v>
      </c>
      <c r="C153" s="18" t="s">
        <v>959</v>
      </c>
      <c r="D153" s="19" t="s">
        <v>959</v>
      </c>
      <c r="E153" s="20" t="str">
        <f>IFERROR(IF(C153&gt;0, D153/C153, 0),"-")</f>
        <v>-</v>
      </c>
    </row>
    <row r="154" spans="2:5" x14ac:dyDescent="0.2">
      <c r="B154" s="17" t="s">
        <v>106</v>
      </c>
      <c r="C154" s="18" t="s">
        <v>959</v>
      </c>
      <c r="D154" s="19" t="s">
        <v>959</v>
      </c>
      <c r="E154" s="20" t="str">
        <f>IFERROR(IF(C154&gt;0, D154/C154, 0),"-")</f>
        <v>-</v>
      </c>
    </row>
    <row r="155" spans="2:5" x14ac:dyDescent="0.2">
      <c r="B155" s="17" t="s">
        <v>134</v>
      </c>
      <c r="C155" s="18" t="s">
        <v>959</v>
      </c>
      <c r="D155" s="19" t="s">
        <v>959</v>
      </c>
      <c r="E155" s="20" t="str">
        <f>IFERROR(IF(C155&gt;0, D155/C155, 0),"-")</f>
        <v>-</v>
      </c>
    </row>
    <row r="156" spans="2:5" x14ac:dyDescent="0.2">
      <c r="B156" s="17" t="s">
        <v>113</v>
      </c>
      <c r="C156" s="18" t="s">
        <v>959</v>
      </c>
      <c r="D156" s="19" t="s">
        <v>959</v>
      </c>
      <c r="E156" s="20" t="str">
        <f>IFERROR(IF(C156&gt;0, D156/C156, 0),"-")</f>
        <v>-</v>
      </c>
    </row>
    <row r="157" spans="2:5" x14ac:dyDescent="0.2">
      <c r="B157" s="17" t="s">
        <v>95</v>
      </c>
      <c r="C157" s="18" t="s">
        <v>959</v>
      </c>
      <c r="D157" s="19" t="s">
        <v>959</v>
      </c>
      <c r="E157" s="20" t="str">
        <f>IFERROR(IF(C157&gt;0, D157/C157, 0),"-")</f>
        <v>-</v>
      </c>
    </row>
    <row r="158" spans="2:5" x14ac:dyDescent="0.2">
      <c r="B158" s="17" t="s">
        <v>66</v>
      </c>
      <c r="C158" s="18" t="s">
        <v>959</v>
      </c>
      <c r="D158" s="19" t="s">
        <v>959</v>
      </c>
      <c r="E158" s="20" t="str">
        <f>IFERROR(IF(C158&gt;0, D158/C158, 0),"-")</f>
        <v>-</v>
      </c>
    </row>
    <row r="159" spans="2:5" x14ac:dyDescent="0.2">
      <c r="B159" s="17" t="s">
        <v>44</v>
      </c>
      <c r="C159" s="18" t="s">
        <v>959</v>
      </c>
      <c r="D159" s="19" t="s">
        <v>959</v>
      </c>
      <c r="E159" s="20" t="str">
        <f>IFERROR(IF(C159&gt;0, D159/C159, 0),"-")</f>
        <v>-</v>
      </c>
    </row>
    <row r="160" spans="2:5" x14ac:dyDescent="0.2">
      <c r="B160" s="17" t="s">
        <v>61</v>
      </c>
      <c r="C160" s="18" t="s">
        <v>959</v>
      </c>
      <c r="D160" s="19" t="s">
        <v>959</v>
      </c>
      <c r="E160" s="20" t="str">
        <f>IFERROR(IF(C160&gt;0, D160/C160, 0),"-")</f>
        <v>-</v>
      </c>
    </row>
    <row r="161" spans="2:5" x14ac:dyDescent="0.2">
      <c r="B161" s="17" t="s">
        <v>130</v>
      </c>
      <c r="C161" s="18" t="s">
        <v>959</v>
      </c>
      <c r="D161" s="19" t="s">
        <v>959</v>
      </c>
      <c r="E161" s="20" t="str">
        <f>IFERROR(IF(C161&gt;0, D161/C161, 0),"-")</f>
        <v>-</v>
      </c>
    </row>
    <row r="162" spans="2:5" x14ac:dyDescent="0.2">
      <c r="B162" s="17" t="s">
        <v>73</v>
      </c>
      <c r="C162" s="18" t="s">
        <v>959</v>
      </c>
      <c r="D162" s="19" t="s">
        <v>959</v>
      </c>
      <c r="E162" s="20" t="str">
        <f>IFERROR(IF(C162&gt;0, D162/C162, 0),"-")</f>
        <v>-</v>
      </c>
    </row>
    <row r="163" spans="2:5" x14ac:dyDescent="0.2">
      <c r="B163" s="17" t="s">
        <v>27</v>
      </c>
      <c r="C163" s="18" t="s">
        <v>959</v>
      </c>
      <c r="D163" s="19" t="s">
        <v>959</v>
      </c>
      <c r="E163" s="20" t="str">
        <f>IFERROR(IF(C163&gt;0, D163/C163, 0),"-")</f>
        <v>-</v>
      </c>
    </row>
    <row r="164" spans="2:5" x14ac:dyDescent="0.2">
      <c r="B164" s="17" t="s">
        <v>82</v>
      </c>
      <c r="C164" s="18" t="s">
        <v>959</v>
      </c>
      <c r="D164" s="19" t="s">
        <v>959</v>
      </c>
      <c r="E164" s="20" t="str">
        <f>IFERROR(IF(C164&gt;0, D164/C164, 0),"-")</f>
        <v>-</v>
      </c>
    </row>
    <row r="165" spans="2:5" x14ac:dyDescent="0.2">
      <c r="B165" s="17" t="s">
        <v>4</v>
      </c>
      <c r="C165" s="18" t="s">
        <v>959</v>
      </c>
      <c r="D165" s="19" t="s">
        <v>959</v>
      </c>
      <c r="E165" s="20" t="str">
        <f>IFERROR(IF(C165&gt;0, D165/C165, 0),"-")</f>
        <v>-</v>
      </c>
    </row>
    <row r="166" spans="2:5" x14ac:dyDescent="0.2">
      <c r="B166" s="17" t="s">
        <v>32</v>
      </c>
      <c r="C166" s="18" t="s">
        <v>959</v>
      </c>
      <c r="D166" s="19" t="s">
        <v>959</v>
      </c>
      <c r="E166" s="20" t="str">
        <f>IFERROR(IF(C166&gt;0, D166/C166, 0),"-")</f>
        <v>-</v>
      </c>
    </row>
    <row r="167" spans="2:5" x14ac:dyDescent="0.2">
      <c r="B167" s="17" t="s">
        <v>69</v>
      </c>
      <c r="C167" s="18" t="s">
        <v>959</v>
      </c>
      <c r="D167" s="19" t="s">
        <v>959</v>
      </c>
      <c r="E167" s="20" t="str">
        <f>IFERROR(IF(C167&gt;0, D167/C167, 0),"-")</f>
        <v>-</v>
      </c>
    </row>
    <row r="168" spans="2:5" x14ac:dyDescent="0.2">
      <c r="B168" s="17" t="s">
        <v>63</v>
      </c>
      <c r="C168" s="18" t="s">
        <v>959</v>
      </c>
      <c r="D168" s="19" t="s">
        <v>959</v>
      </c>
      <c r="E168" s="20" t="str">
        <f>IFERROR(IF(C168&gt;0, D168/C168, 0),"-")</f>
        <v>-</v>
      </c>
    </row>
    <row r="169" spans="2:5" x14ac:dyDescent="0.2">
      <c r="B169" s="17" t="s">
        <v>47</v>
      </c>
      <c r="C169" s="18" t="s">
        <v>959</v>
      </c>
      <c r="D169" s="19" t="s">
        <v>959</v>
      </c>
      <c r="E169" s="20" t="str">
        <f>IFERROR(IF(C169&gt;0, D169/C169, 0),"-")</f>
        <v>-</v>
      </c>
    </row>
    <row r="170" spans="2:5" x14ac:dyDescent="0.2">
      <c r="B170" s="17" t="s">
        <v>71</v>
      </c>
      <c r="C170" s="18" t="s">
        <v>959</v>
      </c>
      <c r="D170" s="19" t="s">
        <v>959</v>
      </c>
      <c r="E170" s="20" t="str">
        <f>IFERROR(IF(C170&gt;0, D170/C170, 0),"-")</f>
        <v>-</v>
      </c>
    </row>
    <row r="171" spans="2:5" x14ac:dyDescent="0.2">
      <c r="B171" s="17" t="s">
        <v>64</v>
      </c>
      <c r="C171" s="18" t="s">
        <v>959</v>
      </c>
      <c r="D171" s="19" t="s">
        <v>959</v>
      </c>
      <c r="E171" s="20" t="str">
        <f>IFERROR(IF(C171&gt;0, D171/C171, 0),"-")</f>
        <v>-</v>
      </c>
    </row>
    <row r="172" spans="2:5" x14ac:dyDescent="0.2">
      <c r="B172" s="17" t="s">
        <v>81</v>
      </c>
      <c r="C172" s="18" t="s">
        <v>959</v>
      </c>
      <c r="D172" s="19" t="s">
        <v>959</v>
      </c>
      <c r="E172" s="20" t="str">
        <f>IFERROR(IF(C172&gt;0, D172/C172, 0),"-")</f>
        <v>-</v>
      </c>
    </row>
    <row r="173" spans="2:5" x14ac:dyDescent="0.2">
      <c r="B173" s="17" t="s">
        <v>72</v>
      </c>
      <c r="C173" s="18" t="s">
        <v>959</v>
      </c>
      <c r="D173" s="19" t="s">
        <v>959</v>
      </c>
      <c r="E173" s="20" t="str">
        <f>IFERROR(IF(C173&gt;0, D173/C173, 0),"-")</f>
        <v>-</v>
      </c>
    </row>
    <row r="174" spans="2:5" x14ac:dyDescent="0.2">
      <c r="B174" s="17" t="s">
        <v>118</v>
      </c>
      <c r="C174" s="18" t="s">
        <v>959</v>
      </c>
      <c r="D174" s="19" t="s">
        <v>959</v>
      </c>
      <c r="E174" s="20" t="str">
        <f>IFERROR(IF(C174&gt;0, D174/C174, 0),"-")</f>
        <v>-</v>
      </c>
    </row>
    <row r="175" spans="2:5" x14ac:dyDescent="0.2">
      <c r="B175" s="17" t="s">
        <v>37</v>
      </c>
      <c r="C175" s="18" t="s">
        <v>959</v>
      </c>
      <c r="D175" s="19" t="s">
        <v>959</v>
      </c>
      <c r="E175" s="20" t="str">
        <f>IFERROR(IF(C175&gt;0, D175/C175, 0),"-")</f>
        <v>-</v>
      </c>
    </row>
    <row r="176" spans="2:5" x14ac:dyDescent="0.2">
      <c r="B176" s="17" t="s">
        <v>123</v>
      </c>
      <c r="C176" s="18" t="s">
        <v>959</v>
      </c>
      <c r="D176" s="19" t="s">
        <v>959</v>
      </c>
      <c r="E176" s="20" t="str">
        <f>IFERROR(IF(C176&gt;0, D176/C176, 0),"-")</f>
        <v>-</v>
      </c>
    </row>
    <row r="177" spans="2:5" x14ac:dyDescent="0.2">
      <c r="B177" s="17" t="s">
        <v>22</v>
      </c>
      <c r="C177" s="18" t="s">
        <v>959</v>
      </c>
      <c r="D177" s="19" t="s">
        <v>959</v>
      </c>
      <c r="E177" s="20" t="str">
        <f>IFERROR(IF(C177&gt;0, D177/C177, 0),"-")</f>
        <v>-</v>
      </c>
    </row>
    <row r="178" spans="2:5" x14ac:dyDescent="0.2">
      <c r="B178" s="17" t="s">
        <v>1</v>
      </c>
      <c r="C178" s="18" t="s">
        <v>959</v>
      </c>
      <c r="D178" s="19" t="s">
        <v>959</v>
      </c>
      <c r="E178" s="20" t="str">
        <f>IFERROR(IF(C178&gt;0, D178/C178, 0),"-")</f>
        <v>-</v>
      </c>
    </row>
    <row r="179" spans="2:5" x14ac:dyDescent="0.2">
      <c r="B179" s="17" t="s">
        <v>97</v>
      </c>
      <c r="C179" s="18" t="s">
        <v>959</v>
      </c>
      <c r="D179" s="19" t="s">
        <v>959</v>
      </c>
      <c r="E179" s="20" t="str">
        <f>IFERROR(IF(C179&gt;0, D179/C179, 0),"-")</f>
        <v>-</v>
      </c>
    </row>
    <row r="180" spans="2:5" x14ac:dyDescent="0.2">
      <c r="B180" s="17" t="s">
        <v>55</v>
      </c>
      <c r="C180" s="18" t="s">
        <v>959</v>
      </c>
      <c r="D180" s="19" t="s">
        <v>959</v>
      </c>
      <c r="E180" s="20" t="str">
        <f>IFERROR(IF(C180&gt;0, D180/C180, 0),"-")</f>
        <v>-</v>
      </c>
    </row>
    <row r="181" spans="2:5" x14ac:dyDescent="0.2">
      <c r="B181" s="17" t="s">
        <v>38</v>
      </c>
      <c r="C181" s="18" t="s">
        <v>959</v>
      </c>
      <c r="D181" s="19" t="s">
        <v>959</v>
      </c>
      <c r="E181" s="20" t="str">
        <f>IFERROR(IF(C181&gt;0, D181/C181, 0),"-")</f>
        <v>-</v>
      </c>
    </row>
    <row r="182" spans="2:5" x14ac:dyDescent="0.2">
      <c r="B182" s="17" t="s">
        <v>86</v>
      </c>
      <c r="C182" s="18" t="s">
        <v>959</v>
      </c>
      <c r="D182" s="19" t="s">
        <v>959</v>
      </c>
      <c r="E182" s="20" t="str">
        <f>IFERROR(IF(C182&gt;0, D182/C182, 0),"-")</f>
        <v>-</v>
      </c>
    </row>
    <row r="183" spans="2:5" x14ac:dyDescent="0.2">
      <c r="B183" s="17" t="s">
        <v>112</v>
      </c>
      <c r="C183" s="18" t="s">
        <v>959</v>
      </c>
      <c r="D183" s="19" t="s">
        <v>959</v>
      </c>
      <c r="E183" s="20" t="str">
        <f>IFERROR(IF(C183&gt;0, D183/C183, 0),"-")</f>
        <v>-</v>
      </c>
    </row>
    <row r="184" spans="2:5" x14ac:dyDescent="0.2">
      <c r="B184" s="15" t="s">
        <v>953</v>
      </c>
      <c r="C184" s="16">
        <f>SUM(C57:C183)</f>
        <v>0</v>
      </c>
      <c r="D184" s="16">
        <f>SUM(D57:D183)</f>
        <v>0</v>
      </c>
      <c r="E184" s="21">
        <f>IFERROR(IF(C184&gt;0, D184/C184, 0),"-")</f>
        <v>0</v>
      </c>
    </row>
    <row r="188" spans="2:5" ht="19" x14ac:dyDescent="0.25">
      <c r="B188" s="26" t="s">
        <v>978</v>
      </c>
      <c r="C188" s="26"/>
      <c r="D188" s="26"/>
      <c r="E188" s="26"/>
    </row>
    <row r="190" spans="2:5" x14ac:dyDescent="0.2">
      <c r="B190" s="2" t="s">
        <v>1787</v>
      </c>
      <c r="C190" s="2"/>
      <c r="D190" s="2"/>
      <c r="E190" s="2"/>
    </row>
    <row r="191" spans="2:5" x14ac:dyDescent="0.2">
      <c r="B191" s="6" t="s">
        <v>958</v>
      </c>
      <c r="C191" s="2" t="s">
        <v>967</v>
      </c>
      <c r="D191" s="2"/>
      <c r="E191" s="2"/>
    </row>
    <row r="192" spans="2:5" x14ac:dyDescent="0.2">
      <c r="B192" s="6"/>
      <c r="C192" s="8" t="s">
        <v>961</v>
      </c>
      <c r="D192" s="9" t="s">
        <v>972</v>
      </c>
      <c r="E192" s="10" t="s">
        <v>956</v>
      </c>
    </row>
    <row r="193" spans="2:5" x14ac:dyDescent="0.2">
      <c r="C193" s="8"/>
      <c r="D193" s="9"/>
      <c r="E193" s="10"/>
    </row>
    <row r="194" spans="2:5" x14ac:dyDescent="0.2">
      <c r="B194" s="17" t="s">
        <v>2</v>
      </c>
      <c r="C194" s="18" t="s">
        <v>959</v>
      </c>
      <c r="D194" s="19" t="s">
        <v>959</v>
      </c>
      <c r="E194" s="20" t="str">
        <f>IFERROR(IF(C194&gt;0, D194/C194, 0),"-")</f>
        <v>-</v>
      </c>
    </row>
    <row r="195" spans="2:5" x14ac:dyDescent="0.2">
      <c r="B195" s="17" t="s">
        <v>20</v>
      </c>
      <c r="C195" s="18" t="s">
        <v>959</v>
      </c>
      <c r="D195" s="19" t="s">
        <v>959</v>
      </c>
      <c r="E195" s="20" t="str">
        <f>IFERROR(IF(C195&gt;0, D195/C195, 0),"-")</f>
        <v>-</v>
      </c>
    </row>
    <row r="196" spans="2:5" x14ac:dyDescent="0.2">
      <c r="B196" s="17" t="s">
        <v>7</v>
      </c>
      <c r="C196" s="18" t="s">
        <v>959</v>
      </c>
      <c r="D196" s="19" t="s">
        <v>959</v>
      </c>
      <c r="E196" s="20" t="str">
        <f>IFERROR(IF(C196&gt;0, D196/C196, 0),"-")</f>
        <v>-</v>
      </c>
    </row>
    <row r="197" spans="2:5" x14ac:dyDescent="0.2">
      <c r="B197" s="17" t="s">
        <v>0</v>
      </c>
      <c r="C197" s="18" t="s">
        <v>959</v>
      </c>
      <c r="D197" s="19" t="s">
        <v>959</v>
      </c>
      <c r="E197" s="20" t="str">
        <f>IFERROR(IF(C197&gt;0, D197/C197, 0),"-")</f>
        <v>-</v>
      </c>
    </row>
    <row r="198" spans="2:5" x14ac:dyDescent="0.2">
      <c r="B198" s="17" t="s">
        <v>1</v>
      </c>
      <c r="C198" s="18" t="s">
        <v>959</v>
      </c>
      <c r="D198" s="19" t="s">
        <v>959</v>
      </c>
      <c r="E198" s="20" t="str">
        <f>IFERROR(IF(C198&gt;0, D198/C198, 0),"-")</f>
        <v>-</v>
      </c>
    </row>
    <row r="199" spans="2:5" x14ac:dyDescent="0.2">
      <c r="B199" s="15" t="s">
        <v>953</v>
      </c>
      <c r="C199" s="16">
        <f>SUM(C194:C198)</f>
        <v>0</v>
      </c>
      <c r="D199" s="16">
        <f>SUM(D194:D198)</f>
        <v>0</v>
      </c>
      <c r="E199" s="21">
        <f>IFERROR(IF(C199&gt;0, D199/C199, 0),"-")</f>
        <v>0</v>
      </c>
    </row>
    <row r="203" spans="2:5" ht="19" x14ac:dyDescent="0.25">
      <c r="B203" s="26" t="s">
        <v>979</v>
      </c>
      <c r="C203" s="26"/>
      <c r="D203" s="26"/>
      <c r="E203" s="26"/>
    </row>
    <row r="205" spans="2:5" x14ac:dyDescent="0.2">
      <c r="B205" s="2" t="s">
        <v>1787</v>
      </c>
      <c r="C205" s="2"/>
      <c r="D205" s="2"/>
      <c r="E205" s="2"/>
    </row>
    <row r="206" spans="2:5" x14ac:dyDescent="0.2">
      <c r="B206" s="6" t="s">
        <v>958</v>
      </c>
      <c r="C206" s="2" t="s">
        <v>967</v>
      </c>
      <c r="D206" s="2"/>
      <c r="E206" s="2"/>
    </row>
    <row r="207" spans="2:5" x14ac:dyDescent="0.2">
      <c r="B207" s="6"/>
      <c r="C207" s="8" t="s">
        <v>961</v>
      </c>
      <c r="D207" s="9" t="s">
        <v>972</v>
      </c>
      <c r="E207" s="10" t="s">
        <v>956</v>
      </c>
    </row>
    <row r="208" spans="2:5" x14ac:dyDescent="0.2">
      <c r="C208" s="8"/>
      <c r="D208" s="9"/>
      <c r="E208" s="10"/>
    </row>
    <row r="209" spans="2:5" x14ac:dyDescent="0.2">
      <c r="B209" s="17" t="s">
        <v>2</v>
      </c>
      <c r="C209" s="18" t="s">
        <v>959</v>
      </c>
      <c r="D209" s="19" t="s">
        <v>959</v>
      </c>
      <c r="E209" s="20" t="str">
        <f>IFERROR(IF(C209&gt;0, D209/C209, 0),"-")</f>
        <v>-</v>
      </c>
    </row>
    <row r="210" spans="2:5" x14ac:dyDescent="0.2">
      <c r="B210" s="17" t="s">
        <v>20</v>
      </c>
      <c r="C210" s="18" t="s">
        <v>959</v>
      </c>
      <c r="D210" s="19" t="s">
        <v>959</v>
      </c>
      <c r="E210" s="20" t="str">
        <f>IFERROR(IF(C210&gt;0, D210/C210, 0),"-")</f>
        <v>-</v>
      </c>
    </row>
    <row r="211" spans="2:5" x14ac:dyDescent="0.2">
      <c r="B211" s="17" t="s">
        <v>7</v>
      </c>
      <c r="C211" s="18" t="s">
        <v>959</v>
      </c>
      <c r="D211" s="19" t="s">
        <v>959</v>
      </c>
      <c r="E211" s="20" t="str">
        <f>IFERROR(IF(C211&gt;0, D211/C211, 0),"-")</f>
        <v>-</v>
      </c>
    </row>
    <row r="212" spans="2:5" x14ac:dyDescent="0.2">
      <c r="B212" s="17" t="s">
        <v>0</v>
      </c>
      <c r="C212" s="18" t="s">
        <v>959</v>
      </c>
      <c r="D212" s="19" t="s">
        <v>959</v>
      </c>
      <c r="E212" s="20" t="str">
        <f>IFERROR(IF(C212&gt;0, D212/C212, 0),"-")</f>
        <v>-</v>
      </c>
    </row>
    <row r="213" spans="2:5" x14ac:dyDescent="0.2">
      <c r="B213" s="17" t="s">
        <v>1</v>
      </c>
      <c r="C213" s="18" t="s">
        <v>959</v>
      </c>
      <c r="D213" s="19" t="s">
        <v>959</v>
      </c>
      <c r="E213" s="20" t="str">
        <f>IFERROR(IF(C213&gt;0, D213/C213, 0),"-")</f>
        <v>-</v>
      </c>
    </row>
    <row r="214" spans="2:5" x14ac:dyDescent="0.2">
      <c r="B214" s="15" t="s">
        <v>953</v>
      </c>
      <c r="C214" s="16">
        <f>SUM(C209:C213)</f>
        <v>0</v>
      </c>
      <c r="D214" s="16">
        <f>SUM(D209:D213)</f>
        <v>0</v>
      </c>
      <c r="E214" s="21">
        <f>IFERROR(IF(C214&gt;0, D214/C214, 0),"-")</f>
        <v>0</v>
      </c>
    </row>
    <row r="218" spans="2:5" ht="19" x14ac:dyDescent="0.25">
      <c r="B218" s="26" t="s">
        <v>980</v>
      </c>
      <c r="C218" s="26"/>
      <c r="D218" s="26"/>
      <c r="E218" s="26"/>
    </row>
    <row r="220" spans="2:5" x14ac:dyDescent="0.2">
      <c r="B220" s="2" t="s">
        <v>1787</v>
      </c>
      <c r="C220" s="2"/>
      <c r="D220" s="2"/>
      <c r="E220" s="2"/>
    </row>
    <row r="221" spans="2:5" x14ac:dyDescent="0.2">
      <c r="B221" s="6" t="s">
        <v>958</v>
      </c>
      <c r="C221" s="2" t="s">
        <v>967</v>
      </c>
      <c r="D221" s="2"/>
      <c r="E221" s="2"/>
    </row>
    <row r="222" spans="2:5" x14ac:dyDescent="0.2">
      <c r="B222" s="6"/>
      <c r="C222" s="8" t="s">
        <v>961</v>
      </c>
      <c r="D222" s="9" t="s">
        <v>972</v>
      </c>
      <c r="E222" s="10" t="s">
        <v>956</v>
      </c>
    </row>
    <row r="223" spans="2:5" x14ac:dyDescent="0.2">
      <c r="C223" s="8"/>
      <c r="D223" s="9"/>
      <c r="E223" s="10"/>
    </row>
    <row r="224" spans="2:5" x14ac:dyDescent="0.2">
      <c r="B224" s="17" t="s">
        <v>2</v>
      </c>
      <c r="C224" s="18" t="s">
        <v>959</v>
      </c>
      <c r="D224" s="19" t="s">
        <v>959</v>
      </c>
      <c r="E224" s="20" t="str">
        <f>IFERROR(IF(C224&gt;0, D224/C224, 0),"-")</f>
        <v>-</v>
      </c>
    </row>
    <row r="225" spans="1:5" x14ac:dyDescent="0.2">
      <c r="B225" s="17" t="s">
        <v>20</v>
      </c>
      <c r="C225" s="18" t="s">
        <v>959</v>
      </c>
      <c r="D225" s="19" t="s">
        <v>959</v>
      </c>
      <c r="E225" s="20" t="str">
        <f>IFERROR(IF(C225&gt;0, D225/C225, 0),"-")</f>
        <v>-</v>
      </c>
    </row>
    <row r="226" spans="1:5" x14ac:dyDescent="0.2">
      <c r="B226" s="17" t="s">
        <v>7</v>
      </c>
      <c r="C226" s="18" t="s">
        <v>959</v>
      </c>
      <c r="D226" s="19" t="s">
        <v>959</v>
      </c>
      <c r="E226" s="20" t="str">
        <f>IFERROR(IF(C226&gt;0, D226/C226, 0),"-")</f>
        <v>-</v>
      </c>
    </row>
    <row r="227" spans="1:5" x14ac:dyDescent="0.2">
      <c r="B227" s="17" t="s">
        <v>0</v>
      </c>
      <c r="C227" s="18" t="s">
        <v>959</v>
      </c>
      <c r="D227" s="19" t="s">
        <v>959</v>
      </c>
      <c r="E227" s="20" t="str">
        <f>IFERROR(IF(C227&gt;0, D227/C227, 0),"-")</f>
        <v>-</v>
      </c>
    </row>
    <row r="228" spans="1:5" x14ac:dyDescent="0.2">
      <c r="B228" s="17" t="s">
        <v>1</v>
      </c>
      <c r="C228" s="18" t="s">
        <v>959</v>
      </c>
      <c r="D228" s="19" t="s">
        <v>959</v>
      </c>
      <c r="E228" s="20" t="str">
        <f>IFERROR(IF(C228&gt;0, D228/C228, 0),"-")</f>
        <v>-</v>
      </c>
    </row>
    <row r="229" spans="1:5" x14ac:dyDescent="0.2">
      <c r="B229" s="15" t="s">
        <v>953</v>
      </c>
      <c r="C229" s="16">
        <f>SUM(C224:C228)</f>
        <v>0</v>
      </c>
      <c r="D229" s="16">
        <f>SUM(D224:D228)</f>
        <v>0</v>
      </c>
      <c r="E229" s="21">
        <f>IFERROR(IF(C229&gt;0, D229/C229, 0),"-")</f>
        <v>0</v>
      </c>
    </row>
    <row r="233" spans="1:5" ht="19" x14ac:dyDescent="0.25">
      <c r="A233" s="26" t="s">
        <v>981</v>
      </c>
      <c r="B233" s="26"/>
      <c r="C233" s="26"/>
      <c r="D233" s="26"/>
      <c r="E233" s="26"/>
    </row>
    <row r="235" spans="1:5" x14ac:dyDescent="0.2">
      <c r="A235" s="2" t="s">
        <v>1790</v>
      </c>
      <c r="B235" s="2"/>
      <c r="C235" s="2"/>
      <c r="D235" s="2"/>
      <c r="E235" s="2"/>
    </row>
    <row r="236" spans="1:5" x14ac:dyDescent="0.2">
      <c r="A236" s="6" t="s">
        <v>983</v>
      </c>
      <c r="B236" s="6" t="s">
        <v>984</v>
      </c>
      <c r="C236" s="2" t="s">
        <v>967</v>
      </c>
      <c r="D236" s="2"/>
      <c r="E236" s="2"/>
    </row>
    <row r="237" spans="1:5" x14ac:dyDescent="0.2">
      <c r="A237" s="6"/>
      <c r="B237" s="6"/>
      <c r="C237" s="8" t="s">
        <v>961</v>
      </c>
      <c r="D237" s="9" t="s">
        <v>972</v>
      </c>
      <c r="E237" s="10" t="s">
        <v>956</v>
      </c>
    </row>
    <row r="238" spans="1:5" x14ac:dyDescent="0.2">
      <c r="C238" s="8"/>
      <c r="D238" s="9"/>
      <c r="E238" s="10"/>
    </row>
    <row r="239" spans="1:5" x14ac:dyDescent="0.2">
      <c r="A239" s="27"/>
      <c r="B239" s="27" t="s">
        <v>68</v>
      </c>
      <c r="C239" s="27" t="s">
        <v>959</v>
      </c>
      <c r="D239" s="27" t="s">
        <v>959</v>
      </c>
      <c r="E239" s="27" t="str">
        <f>IFERROR(IF(C239&gt;0, D239/C239, 0),"-")</f>
        <v>-</v>
      </c>
    </row>
    <row r="240" spans="1:5" x14ac:dyDescent="0.2">
      <c r="A240" s="28" t="s">
        <v>455</v>
      </c>
      <c r="B240" s="28" t="s">
        <v>985</v>
      </c>
      <c r="C240" s="28" t="s">
        <v>959</v>
      </c>
      <c r="D240" s="28" t="s">
        <v>959</v>
      </c>
      <c r="E240" s="28" t="str">
        <f>IFERROR(IF(C240&gt;0, D240/C240, 0),"-")</f>
        <v>-</v>
      </c>
    </row>
    <row r="241" spans="1:5" x14ac:dyDescent="0.2">
      <c r="A241" s="28" t="s">
        <v>453</v>
      </c>
      <c r="B241" s="28" t="s">
        <v>986</v>
      </c>
      <c r="C241" s="28" t="s">
        <v>959</v>
      </c>
      <c r="D241" s="28" t="s">
        <v>959</v>
      </c>
      <c r="E241" s="28" t="str">
        <f>IFERROR(IF(C241&gt;0, D241/C241, 0),"-")</f>
        <v>-</v>
      </c>
    </row>
    <row r="242" spans="1:5" x14ac:dyDescent="0.2">
      <c r="A242" s="28" t="s">
        <v>451</v>
      </c>
      <c r="B242" s="28" t="s">
        <v>987</v>
      </c>
      <c r="C242" s="28" t="s">
        <v>959</v>
      </c>
      <c r="D242" s="28" t="s">
        <v>959</v>
      </c>
      <c r="E242" s="28" t="str">
        <f>IFERROR(IF(C242&gt;0, D242/C242, 0),"-")</f>
        <v>-</v>
      </c>
    </row>
    <row r="243" spans="1:5" x14ac:dyDescent="0.2">
      <c r="A243" s="28" t="s">
        <v>449</v>
      </c>
      <c r="B243" s="28" t="s">
        <v>988</v>
      </c>
      <c r="C243" s="28" t="s">
        <v>959</v>
      </c>
      <c r="D243" s="28" t="s">
        <v>959</v>
      </c>
      <c r="E243" s="28" t="str">
        <f>IFERROR(IF(C243&gt;0, D243/C243, 0),"-")</f>
        <v>-</v>
      </c>
    </row>
    <row r="244" spans="1:5" x14ac:dyDescent="0.2">
      <c r="A244" s="28" t="s">
        <v>454</v>
      </c>
      <c r="B244" s="28" t="s">
        <v>989</v>
      </c>
      <c r="C244" s="28" t="s">
        <v>959</v>
      </c>
      <c r="D244" s="28" t="s">
        <v>959</v>
      </c>
      <c r="E244" s="28" t="str">
        <f>IFERROR(IF(C244&gt;0, D244/C244, 0),"-")</f>
        <v>-</v>
      </c>
    </row>
    <row r="245" spans="1:5" x14ac:dyDescent="0.2">
      <c r="A245" s="28" t="s">
        <v>447</v>
      </c>
      <c r="B245" s="28" t="s">
        <v>990</v>
      </c>
      <c r="C245" s="28" t="s">
        <v>959</v>
      </c>
      <c r="D245" s="28" t="s">
        <v>959</v>
      </c>
      <c r="E245" s="28" t="str">
        <f>IFERROR(IF(C245&gt;0, D245/C245, 0),"-")</f>
        <v>-</v>
      </c>
    </row>
    <row r="246" spans="1:5" x14ac:dyDescent="0.2">
      <c r="A246" s="28" t="s">
        <v>448</v>
      </c>
      <c r="B246" s="28" t="s">
        <v>991</v>
      </c>
      <c r="C246" s="28" t="s">
        <v>959</v>
      </c>
      <c r="D246" s="28" t="s">
        <v>959</v>
      </c>
      <c r="E246" s="28" t="str">
        <f>IFERROR(IF(C246&gt;0, D246/C246, 0),"-")</f>
        <v>-</v>
      </c>
    </row>
    <row r="247" spans="1:5" x14ac:dyDescent="0.2">
      <c r="A247" s="28" t="s">
        <v>452</v>
      </c>
      <c r="B247" s="28" t="s">
        <v>992</v>
      </c>
      <c r="C247" s="28" t="s">
        <v>959</v>
      </c>
      <c r="D247" s="28" t="s">
        <v>959</v>
      </c>
      <c r="E247" s="28" t="str">
        <f>IFERROR(IF(C247&gt;0, D247/C247, 0),"-")</f>
        <v>-</v>
      </c>
    </row>
    <row r="248" spans="1:5" x14ac:dyDescent="0.2">
      <c r="A248" s="28" t="s">
        <v>450</v>
      </c>
      <c r="B248" s="28" t="s">
        <v>993</v>
      </c>
      <c r="C248" s="28" t="s">
        <v>959</v>
      </c>
      <c r="D248" s="28" t="s">
        <v>959</v>
      </c>
      <c r="E248" s="28" t="str">
        <f>IFERROR(IF(C248&gt;0, D248/C248, 0),"-")</f>
        <v>-</v>
      </c>
    </row>
    <row r="249" spans="1:5" x14ac:dyDescent="0.2">
      <c r="A249" s="27"/>
      <c r="B249" s="27" t="s">
        <v>42</v>
      </c>
      <c r="C249" s="27" t="s">
        <v>959</v>
      </c>
      <c r="D249" s="27" t="s">
        <v>959</v>
      </c>
      <c r="E249" s="27" t="str">
        <f>IFERROR(IF(C249&gt;0, D249/C249, 0),"-")</f>
        <v>-</v>
      </c>
    </row>
    <row r="250" spans="1:5" x14ac:dyDescent="0.2">
      <c r="A250" s="28" t="s">
        <v>223</v>
      </c>
      <c r="B250" s="28" t="s">
        <v>994</v>
      </c>
      <c r="C250" s="28" t="s">
        <v>959</v>
      </c>
      <c r="D250" s="28" t="s">
        <v>959</v>
      </c>
      <c r="E250" s="28" t="str">
        <f>IFERROR(IF(C250&gt;0, D250/C250, 0),"-")</f>
        <v>-</v>
      </c>
    </row>
    <row r="251" spans="1:5" x14ac:dyDescent="0.2">
      <c r="A251" s="28" t="s">
        <v>224</v>
      </c>
      <c r="B251" s="28" t="s">
        <v>995</v>
      </c>
      <c r="C251" s="28" t="s">
        <v>959</v>
      </c>
      <c r="D251" s="28" t="s">
        <v>959</v>
      </c>
      <c r="E251" s="28" t="str">
        <f>IFERROR(IF(C251&gt;0, D251/C251, 0),"-")</f>
        <v>-</v>
      </c>
    </row>
    <row r="252" spans="1:5" x14ac:dyDescent="0.2">
      <c r="A252" s="28" t="s">
        <v>225</v>
      </c>
      <c r="B252" s="28" t="s">
        <v>996</v>
      </c>
      <c r="C252" s="28" t="s">
        <v>959</v>
      </c>
      <c r="D252" s="28" t="s">
        <v>959</v>
      </c>
      <c r="E252" s="28" t="str">
        <f>IFERROR(IF(C252&gt;0, D252/C252, 0),"-")</f>
        <v>-</v>
      </c>
    </row>
    <row r="253" spans="1:5" x14ac:dyDescent="0.2">
      <c r="A253" s="28" t="s">
        <v>222</v>
      </c>
      <c r="B253" s="28" t="s">
        <v>997</v>
      </c>
      <c r="C253" s="28" t="s">
        <v>959</v>
      </c>
      <c r="D253" s="28" t="s">
        <v>959</v>
      </c>
      <c r="E253" s="28" t="str">
        <f>IFERROR(IF(C253&gt;0, D253/C253, 0),"-")</f>
        <v>-</v>
      </c>
    </row>
    <row r="254" spans="1:5" x14ac:dyDescent="0.2">
      <c r="A254" s="28" t="s">
        <v>221</v>
      </c>
      <c r="B254" s="28" t="s">
        <v>998</v>
      </c>
      <c r="C254" s="28" t="s">
        <v>959</v>
      </c>
      <c r="D254" s="28" t="s">
        <v>959</v>
      </c>
      <c r="E254" s="28" t="str">
        <f>IFERROR(IF(C254&gt;0, D254/C254, 0),"-")</f>
        <v>-</v>
      </c>
    </row>
    <row r="255" spans="1:5" x14ac:dyDescent="0.2">
      <c r="A255" s="27"/>
      <c r="B255" s="27" t="s">
        <v>48</v>
      </c>
      <c r="C255" s="27" t="s">
        <v>959</v>
      </c>
      <c r="D255" s="27" t="s">
        <v>959</v>
      </c>
      <c r="E255" s="27" t="str">
        <f>IFERROR(IF(C255&gt;0, D255/C255, 0),"-")</f>
        <v>-</v>
      </c>
    </row>
    <row r="256" spans="1:5" x14ac:dyDescent="0.2">
      <c r="A256" s="28" t="s">
        <v>264</v>
      </c>
      <c r="B256" s="28" t="s">
        <v>999</v>
      </c>
      <c r="C256" s="28" t="s">
        <v>959</v>
      </c>
      <c r="D256" s="28" t="s">
        <v>959</v>
      </c>
      <c r="E256" s="28" t="str">
        <f>IFERROR(IF(C256&gt;0, D256/C256, 0),"-")</f>
        <v>-</v>
      </c>
    </row>
    <row r="257" spans="1:5" x14ac:dyDescent="0.2">
      <c r="A257" s="28" t="s">
        <v>266</v>
      </c>
      <c r="B257" s="28" t="s">
        <v>1000</v>
      </c>
      <c r="C257" s="28" t="s">
        <v>959</v>
      </c>
      <c r="D257" s="28" t="s">
        <v>959</v>
      </c>
      <c r="E257" s="28" t="str">
        <f>IFERROR(IF(C257&gt;0, D257/C257, 0),"-")</f>
        <v>-</v>
      </c>
    </row>
    <row r="258" spans="1:5" x14ac:dyDescent="0.2">
      <c r="A258" s="28" t="s">
        <v>265</v>
      </c>
      <c r="B258" s="28" t="s">
        <v>1001</v>
      </c>
      <c r="C258" s="28" t="s">
        <v>959</v>
      </c>
      <c r="D258" s="28" t="s">
        <v>959</v>
      </c>
      <c r="E258" s="28" t="str">
        <f>IFERROR(IF(C258&gt;0, D258/C258, 0),"-")</f>
        <v>-</v>
      </c>
    </row>
    <row r="259" spans="1:5" x14ac:dyDescent="0.2">
      <c r="A259" s="28" t="s">
        <v>263</v>
      </c>
      <c r="B259" s="28" t="s">
        <v>1002</v>
      </c>
      <c r="C259" s="28" t="s">
        <v>959</v>
      </c>
      <c r="D259" s="28" t="s">
        <v>959</v>
      </c>
      <c r="E259" s="28" t="str">
        <f>IFERROR(IF(C259&gt;0, D259/C259, 0),"-")</f>
        <v>-</v>
      </c>
    </row>
    <row r="260" spans="1:5" x14ac:dyDescent="0.2">
      <c r="A260" s="28" t="s">
        <v>262</v>
      </c>
      <c r="B260" s="28" t="s">
        <v>1003</v>
      </c>
      <c r="C260" s="28" t="s">
        <v>959</v>
      </c>
      <c r="D260" s="28" t="s">
        <v>959</v>
      </c>
      <c r="E260" s="28" t="str">
        <f>IFERROR(IF(C260&gt;0, D260/C260, 0),"-")</f>
        <v>-</v>
      </c>
    </row>
    <row r="261" spans="1:5" x14ac:dyDescent="0.2">
      <c r="A261" s="28" t="s">
        <v>261</v>
      </c>
      <c r="B261" s="28" t="s">
        <v>999</v>
      </c>
      <c r="C261" s="28" t="s">
        <v>959</v>
      </c>
      <c r="D261" s="28" t="s">
        <v>959</v>
      </c>
      <c r="E261" s="28" t="str">
        <f>IFERROR(IF(C261&gt;0, D261/C261, 0),"-")</f>
        <v>-</v>
      </c>
    </row>
    <row r="262" spans="1:5" x14ac:dyDescent="0.2">
      <c r="A262" s="27"/>
      <c r="B262" s="27" t="s">
        <v>74</v>
      </c>
      <c r="C262" s="27" t="s">
        <v>959</v>
      </c>
      <c r="D262" s="27" t="s">
        <v>959</v>
      </c>
      <c r="E262" s="27" t="str">
        <f>IFERROR(IF(C262&gt;0, D262/C262, 0),"-")</f>
        <v>-</v>
      </c>
    </row>
    <row r="263" spans="1:5" x14ac:dyDescent="0.2">
      <c r="A263" s="28" t="s">
        <v>494</v>
      </c>
      <c r="B263" s="28" t="s">
        <v>1004</v>
      </c>
      <c r="C263" s="28" t="s">
        <v>959</v>
      </c>
      <c r="D263" s="28" t="s">
        <v>959</v>
      </c>
      <c r="E263" s="28" t="str">
        <f>IFERROR(IF(C263&gt;0, D263/C263, 0),"-")</f>
        <v>-</v>
      </c>
    </row>
    <row r="264" spans="1:5" x14ac:dyDescent="0.2">
      <c r="A264" s="28" t="s">
        <v>493</v>
      </c>
      <c r="B264" s="28" t="s">
        <v>1005</v>
      </c>
      <c r="C264" s="28" t="s">
        <v>959</v>
      </c>
      <c r="D264" s="28" t="s">
        <v>959</v>
      </c>
      <c r="E264" s="28" t="str">
        <f>IFERROR(IF(C264&gt;0, D264/C264, 0),"-")</f>
        <v>-</v>
      </c>
    </row>
    <row r="265" spans="1:5" x14ac:dyDescent="0.2">
      <c r="A265" s="28" t="s">
        <v>492</v>
      </c>
      <c r="B265" s="28" t="s">
        <v>1006</v>
      </c>
      <c r="C265" s="28" t="s">
        <v>959</v>
      </c>
      <c r="D265" s="28" t="s">
        <v>959</v>
      </c>
      <c r="E265" s="28" t="str">
        <f>IFERROR(IF(C265&gt;0, D265/C265, 0),"-")</f>
        <v>-</v>
      </c>
    </row>
    <row r="266" spans="1:5" x14ac:dyDescent="0.2">
      <c r="A266" s="28" t="s">
        <v>491</v>
      </c>
      <c r="B266" s="28" t="s">
        <v>1007</v>
      </c>
      <c r="C266" s="28" t="s">
        <v>959</v>
      </c>
      <c r="D266" s="28" t="s">
        <v>959</v>
      </c>
      <c r="E266" s="28" t="str">
        <f>IFERROR(IF(C266&gt;0, D266/C266, 0),"-")</f>
        <v>-</v>
      </c>
    </row>
    <row r="267" spans="1:5" x14ac:dyDescent="0.2">
      <c r="A267" s="27"/>
      <c r="B267" s="27" t="s">
        <v>92</v>
      </c>
      <c r="C267" s="27" t="s">
        <v>959</v>
      </c>
      <c r="D267" s="27" t="s">
        <v>959</v>
      </c>
      <c r="E267" s="27" t="str">
        <f>IFERROR(IF(C267&gt;0, D267/C267, 0),"-")</f>
        <v>-</v>
      </c>
    </row>
    <row r="268" spans="1:5" x14ac:dyDescent="0.2">
      <c r="A268" s="28" t="s">
        <v>625</v>
      </c>
      <c r="B268" s="28" t="s">
        <v>1008</v>
      </c>
      <c r="C268" s="28" t="s">
        <v>959</v>
      </c>
      <c r="D268" s="28" t="s">
        <v>959</v>
      </c>
      <c r="E268" s="28" t="str">
        <f>IFERROR(IF(C268&gt;0, D268/C268, 0),"-")</f>
        <v>-</v>
      </c>
    </row>
    <row r="269" spans="1:5" x14ac:dyDescent="0.2">
      <c r="A269" s="28" t="s">
        <v>630</v>
      </c>
      <c r="B269" s="28" t="s">
        <v>1009</v>
      </c>
      <c r="C269" s="28" t="s">
        <v>959</v>
      </c>
      <c r="D269" s="28" t="s">
        <v>959</v>
      </c>
      <c r="E269" s="28" t="str">
        <f>IFERROR(IF(C269&gt;0, D269/C269, 0),"-")</f>
        <v>-</v>
      </c>
    </row>
    <row r="270" spans="1:5" x14ac:dyDescent="0.2">
      <c r="A270" s="28" t="s">
        <v>629</v>
      </c>
      <c r="B270" s="28" t="s">
        <v>1010</v>
      </c>
      <c r="C270" s="28" t="s">
        <v>959</v>
      </c>
      <c r="D270" s="28" t="s">
        <v>959</v>
      </c>
      <c r="E270" s="28" t="str">
        <f>IFERROR(IF(C270&gt;0, D270/C270, 0),"-")</f>
        <v>-</v>
      </c>
    </row>
    <row r="271" spans="1:5" x14ac:dyDescent="0.2">
      <c r="A271" s="28" t="s">
        <v>626</v>
      </c>
      <c r="B271" s="28" t="s">
        <v>1011</v>
      </c>
      <c r="C271" s="28" t="s">
        <v>959</v>
      </c>
      <c r="D271" s="28" t="s">
        <v>959</v>
      </c>
      <c r="E271" s="28" t="str">
        <f>IFERROR(IF(C271&gt;0, D271/C271, 0),"-")</f>
        <v>-</v>
      </c>
    </row>
    <row r="272" spans="1:5" x14ac:dyDescent="0.2">
      <c r="A272" s="28" t="s">
        <v>627</v>
      </c>
      <c r="B272" s="28" t="s">
        <v>1012</v>
      </c>
      <c r="C272" s="28" t="s">
        <v>959</v>
      </c>
      <c r="D272" s="28" t="s">
        <v>959</v>
      </c>
      <c r="E272" s="28" t="str">
        <f>IFERROR(IF(C272&gt;0, D272/C272, 0),"-")</f>
        <v>-</v>
      </c>
    </row>
    <row r="273" spans="1:5" x14ac:dyDescent="0.2">
      <c r="A273" s="28" t="s">
        <v>628</v>
      </c>
      <c r="B273" s="28" t="s">
        <v>1013</v>
      </c>
      <c r="C273" s="28" t="s">
        <v>959</v>
      </c>
      <c r="D273" s="28" t="s">
        <v>959</v>
      </c>
      <c r="E273" s="28" t="str">
        <f>IFERROR(IF(C273&gt;0, D273/C273, 0),"-")</f>
        <v>-</v>
      </c>
    </row>
    <row r="274" spans="1:5" x14ac:dyDescent="0.2">
      <c r="A274" s="28" t="s">
        <v>623</v>
      </c>
      <c r="B274" s="28" t="s">
        <v>1014</v>
      </c>
      <c r="C274" s="28" t="s">
        <v>959</v>
      </c>
      <c r="D274" s="28" t="s">
        <v>959</v>
      </c>
      <c r="E274" s="28" t="str">
        <f>IFERROR(IF(C274&gt;0, D274/C274, 0),"-")</f>
        <v>-</v>
      </c>
    </row>
    <row r="275" spans="1:5" x14ac:dyDescent="0.2">
      <c r="A275" s="28" t="s">
        <v>624</v>
      </c>
      <c r="B275" s="28" t="s">
        <v>1015</v>
      </c>
      <c r="C275" s="28" t="s">
        <v>959</v>
      </c>
      <c r="D275" s="28" t="s">
        <v>959</v>
      </c>
      <c r="E275" s="28" t="str">
        <f>IFERROR(IF(C275&gt;0, D275/C275, 0),"-")</f>
        <v>-</v>
      </c>
    </row>
    <row r="276" spans="1:5" x14ac:dyDescent="0.2">
      <c r="A276" s="27"/>
      <c r="B276" s="27" t="s">
        <v>79</v>
      </c>
      <c r="C276" s="27" t="s">
        <v>959</v>
      </c>
      <c r="D276" s="27" t="s">
        <v>959</v>
      </c>
      <c r="E276" s="27" t="str">
        <f>IFERROR(IF(C276&gt;0, D276/C276, 0),"-")</f>
        <v>-</v>
      </c>
    </row>
    <row r="277" spans="1:5" x14ac:dyDescent="0.2">
      <c r="A277" s="28" t="s">
        <v>530</v>
      </c>
      <c r="B277" s="28" t="s">
        <v>1016</v>
      </c>
      <c r="C277" s="28" t="s">
        <v>959</v>
      </c>
      <c r="D277" s="28" t="s">
        <v>959</v>
      </c>
      <c r="E277" s="28" t="str">
        <f>IFERROR(IF(C277&gt;0, D277/C277, 0),"-")</f>
        <v>-</v>
      </c>
    </row>
    <row r="278" spans="1:5" x14ac:dyDescent="0.2">
      <c r="A278" s="28" t="s">
        <v>528</v>
      </c>
      <c r="B278" s="28" t="s">
        <v>1017</v>
      </c>
      <c r="C278" s="28" t="s">
        <v>959</v>
      </c>
      <c r="D278" s="28" t="s">
        <v>959</v>
      </c>
      <c r="E278" s="28" t="str">
        <f>IFERROR(IF(C278&gt;0, D278/C278, 0),"-")</f>
        <v>-</v>
      </c>
    </row>
    <row r="279" spans="1:5" x14ac:dyDescent="0.2">
      <c r="A279" s="28" t="s">
        <v>529</v>
      </c>
      <c r="B279" s="28" t="s">
        <v>1018</v>
      </c>
      <c r="C279" s="28" t="s">
        <v>959</v>
      </c>
      <c r="D279" s="28" t="s">
        <v>959</v>
      </c>
      <c r="E279" s="28" t="str">
        <f>IFERROR(IF(C279&gt;0, D279/C279, 0),"-")</f>
        <v>-</v>
      </c>
    </row>
    <row r="280" spans="1:5" x14ac:dyDescent="0.2">
      <c r="A280" s="28" t="s">
        <v>531</v>
      </c>
      <c r="B280" s="28" t="s">
        <v>1019</v>
      </c>
      <c r="C280" s="28" t="s">
        <v>959</v>
      </c>
      <c r="D280" s="28" t="s">
        <v>959</v>
      </c>
      <c r="E280" s="28" t="str">
        <f>IFERROR(IF(C280&gt;0, D280/C280, 0),"-")</f>
        <v>-</v>
      </c>
    </row>
    <row r="281" spans="1:5" x14ac:dyDescent="0.2">
      <c r="A281" s="28" t="s">
        <v>533</v>
      </c>
      <c r="B281" s="28" t="s">
        <v>1020</v>
      </c>
      <c r="C281" s="28" t="s">
        <v>959</v>
      </c>
      <c r="D281" s="28" t="s">
        <v>959</v>
      </c>
      <c r="E281" s="28" t="str">
        <f>IFERROR(IF(C281&gt;0, D281/C281, 0),"-")</f>
        <v>-</v>
      </c>
    </row>
    <row r="282" spans="1:5" x14ac:dyDescent="0.2">
      <c r="A282" s="28" t="s">
        <v>532</v>
      </c>
      <c r="B282" s="28" t="s">
        <v>1021</v>
      </c>
      <c r="C282" s="28" t="s">
        <v>959</v>
      </c>
      <c r="D282" s="28" t="s">
        <v>959</v>
      </c>
      <c r="E282" s="28" t="str">
        <f>IFERROR(IF(C282&gt;0, D282/C282, 0),"-")</f>
        <v>-</v>
      </c>
    </row>
    <row r="283" spans="1:5" x14ac:dyDescent="0.2">
      <c r="A283" s="28" t="s">
        <v>534</v>
      </c>
      <c r="B283" s="28" t="s">
        <v>1022</v>
      </c>
      <c r="C283" s="28" t="s">
        <v>959</v>
      </c>
      <c r="D283" s="28" t="s">
        <v>959</v>
      </c>
      <c r="E283" s="28" t="str">
        <f>IFERROR(IF(C283&gt;0, D283/C283, 0),"-")</f>
        <v>-</v>
      </c>
    </row>
    <row r="284" spans="1:5" x14ac:dyDescent="0.2">
      <c r="A284" s="28" t="s">
        <v>527</v>
      </c>
      <c r="B284" s="28" t="s">
        <v>1023</v>
      </c>
      <c r="C284" s="28" t="s">
        <v>959</v>
      </c>
      <c r="D284" s="28" t="s">
        <v>959</v>
      </c>
      <c r="E284" s="28" t="str">
        <f>IFERROR(IF(C284&gt;0, D284/C284, 0),"-")</f>
        <v>-</v>
      </c>
    </row>
    <row r="285" spans="1:5" x14ac:dyDescent="0.2">
      <c r="A285" s="27"/>
      <c r="B285" s="27" t="s">
        <v>30</v>
      </c>
      <c r="C285" s="27" t="s">
        <v>959</v>
      </c>
      <c r="D285" s="27" t="s">
        <v>959</v>
      </c>
      <c r="E285" s="27" t="str">
        <f>IFERROR(IF(C285&gt;0, D285/C285, 0),"-")</f>
        <v>-</v>
      </c>
    </row>
    <row r="286" spans="1:5" x14ac:dyDescent="0.2">
      <c r="A286" s="28" t="s">
        <v>917</v>
      </c>
      <c r="B286" s="28" t="s">
        <v>1024</v>
      </c>
      <c r="C286" s="28" t="s">
        <v>959</v>
      </c>
      <c r="D286" s="28" t="s">
        <v>959</v>
      </c>
      <c r="E286" s="28" t="str">
        <f>IFERROR(IF(C286&gt;0, D286/C286, 0),"-")</f>
        <v>-</v>
      </c>
    </row>
    <row r="287" spans="1:5" x14ac:dyDescent="0.2">
      <c r="A287" s="28" t="s">
        <v>915</v>
      </c>
      <c r="B287" s="28" t="s">
        <v>1025</v>
      </c>
      <c r="C287" s="28" t="s">
        <v>959</v>
      </c>
      <c r="D287" s="28" t="s">
        <v>959</v>
      </c>
      <c r="E287" s="28" t="str">
        <f>IFERROR(IF(C287&gt;0, D287/C287, 0),"-")</f>
        <v>-</v>
      </c>
    </row>
    <row r="288" spans="1:5" x14ac:dyDescent="0.2">
      <c r="A288" s="28" t="s">
        <v>914</v>
      </c>
      <c r="B288" s="28" t="s">
        <v>1026</v>
      </c>
      <c r="C288" s="28" t="s">
        <v>959</v>
      </c>
      <c r="D288" s="28" t="s">
        <v>959</v>
      </c>
      <c r="E288" s="28" t="str">
        <f>IFERROR(IF(C288&gt;0, D288/C288, 0),"-")</f>
        <v>-</v>
      </c>
    </row>
    <row r="289" spans="1:5" x14ac:dyDescent="0.2">
      <c r="A289" s="28" t="s">
        <v>916</v>
      </c>
      <c r="B289" s="28" t="s">
        <v>1027</v>
      </c>
      <c r="C289" s="28" t="s">
        <v>959</v>
      </c>
      <c r="D289" s="28" t="s">
        <v>959</v>
      </c>
      <c r="E289" s="28" t="str">
        <f>IFERROR(IF(C289&gt;0, D289/C289, 0),"-")</f>
        <v>-</v>
      </c>
    </row>
    <row r="290" spans="1:5" x14ac:dyDescent="0.2">
      <c r="A290" s="28" t="s">
        <v>920</v>
      </c>
      <c r="B290" s="28" t="s">
        <v>1028</v>
      </c>
      <c r="C290" s="28" t="s">
        <v>959</v>
      </c>
      <c r="D290" s="28" t="s">
        <v>959</v>
      </c>
      <c r="E290" s="28" t="str">
        <f>IFERROR(IF(C290&gt;0, D290/C290, 0),"-")</f>
        <v>-</v>
      </c>
    </row>
    <row r="291" spans="1:5" x14ac:dyDescent="0.2">
      <c r="A291" s="28" t="s">
        <v>928</v>
      </c>
      <c r="B291" s="28" t="s">
        <v>1029</v>
      </c>
      <c r="C291" s="28" t="s">
        <v>959</v>
      </c>
      <c r="D291" s="28" t="s">
        <v>959</v>
      </c>
      <c r="E291" s="28" t="str">
        <f>IFERROR(IF(C291&gt;0, D291/C291, 0),"-")</f>
        <v>-</v>
      </c>
    </row>
    <row r="292" spans="1:5" x14ac:dyDescent="0.2">
      <c r="A292" s="28" t="s">
        <v>918</v>
      </c>
      <c r="B292" s="28" t="s">
        <v>1030</v>
      </c>
      <c r="C292" s="28" t="s">
        <v>959</v>
      </c>
      <c r="D292" s="28" t="s">
        <v>959</v>
      </c>
      <c r="E292" s="28" t="str">
        <f>IFERROR(IF(C292&gt;0, D292/C292, 0),"-")</f>
        <v>-</v>
      </c>
    </row>
    <row r="293" spans="1:5" x14ac:dyDescent="0.2">
      <c r="A293" s="28" t="s">
        <v>921</v>
      </c>
      <c r="B293" s="28" t="s">
        <v>1031</v>
      </c>
      <c r="C293" s="28" t="s">
        <v>959</v>
      </c>
      <c r="D293" s="28" t="s">
        <v>959</v>
      </c>
      <c r="E293" s="28" t="str">
        <f>IFERROR(IF(C293&gt;0, D293/C293, 0),"-")</f>
        <v>-</v>
      </c>
    </row>
    <row r="294" spans="1:5" x14ac:dyDescent="0.2">
      <c r="A294" s="28" t="s">
        <v>919</v>
      </c>
      <c r="B294" s="28" t="s">
        <v>1032</v>
      </c>
      <c r="C294" s="28" t="s">
        <v>959</v>
      </c>
      <c r="D294" s="28" t="s">
        <v>959</v>
      </c>
      <c r="E294" s="28" t="str">
        <f>IFERROR(IF(C294&gt;0, D294/C294, 0),"-")</f>
        <v>-</v>
      </c>
    </row>
    <row r="295" spans="1:5" x14ac:dyDescent="0.2">
      <c r="A295" s="27"/>
      <c r="B295" s="27" t="s">
        <v>125</v>
      </c>
      <c r="C295" s="27" t="s">
        <v>959</v>
      </c>
      <c r="D295" s="27" t="s">
        <v>959</v>
      </c>
      <c r="E295" s="27" t="str">
        <f>IFERROR(IF(C295&gt;0, D295/C295, 0),"-")</f>
        <v>-</v>
      </c>
    </row>
    <row r="296" spans="1:5" x14ac:dyDescent="0.2">
      <c r="A296" s="28" t="s">
        <v>877</v>
      </c>
      <c r="B296" s="28" t="s">
        <v>1033</v>
      </c>
      <c r="C296" s="28" t="s">
        <v>959</v>
      </c>
      <c r="D296" s="28" t="s">
        <v>959</v>
      </c>
      <c r="E296" s="28" t="str">
        <f>IFERROR(IF(C296&gt;0, D296/C296, 0),"-")</f>
        <v>-</v>
      </c>
    </row>
    <row r="297" spans="1:5" x14ac:dyDescent="0.2">
      <c r="A297" s="28" t="s">
        <v>880</v>
      </c>
      <c r="B297" s="28" t="s">
        <v>1034</v>
      </c>
      <c r="C297" s="28" t="s">
        <v>959</v>
      </c>
      <c r="D297" s="28" t="s">
        <v>959</v>
      </c>
      <c r="E297" s="28" t="str">
        <f>IFERROR(IF(C297&gt;0, D297/C297, 0),"-")</f>
        <v>-</v>
      </c>
    </row>
    <row r="298" spans="1:5" x14ac:dyDescent="0.2">
      <c r="A298" s="28" t="s">
        <v>879</v>
      </c>
      <c r="B298" s="28" t="s">
        <v>1035</v>
      </c>
      <c r="C298" s="28" t="s">
        <v>959</v>
      </c>
      <c r="D298" s="28" t="s">
        <v>959</v>
      </c>
      <c r="E298" s="28" t="str">
        <f>IFERROR(IF(C298&gt;0, D298/C298, 0),"-")</f>
        <v>-</v>
      </c>
    </row>
    <row r="299" spans="1:5" x14ac:dyDescent="0.2">
      <c r="A299" s="28" t="s">
        <v>881</v>
      </c>
      <c r="B299" s="28" t="s">
        <v>1036</v>
      </c>
      <c r="C299" s="28" t="s">
        <v>959</v>
      </c>
      <c r="D299" s="28" t="s">
        <v>959</v>
      </c>
      <c r="E299" s="28" t="str">
        <f>IFERROR(IF(C299&gt;0, D299/C299, 0),"-")</f>
        <v>-</v>
      </c>
    </row>
    <row r="300" spans="1:5" x14ac:dyDescent="0.2">
      <c r="A300" s="28" t="s">
        <v>882</v>
      </c>
      <c r="B300" s="28" t="s">
        <v>1037</v>
      </c>
      <c r="C300" s="28" t="s">
        <v>959</v>
      </c>
      <c r="D300" s="28" t="s">
        <v>959</v>
      </c>
      <c r="E300" s="28" t="str">
        <f>IFERROR(IF(C300&gt;0, D300/C300, 0),"-")</f>
        <v>-</v>
      </c>
    </row>
    <row r="301" spans="1:5" x14ac:dyDescent="0.2">
      <c r="A301" s="28" t="s">
        <v>878</v>
      </c>
      <c r="B301" s="28" t="s">
        <v>1038</v>
      </c>
      <c r="C301" s="28" t="s">
        <v>959</v>
      </c>
      <c r="D301" s="28" t="s">
        <v>959</v>
      </c>
      <c r="E301" s="28" t="str">
        <f>IFERROR(IF(C301&gt;0, D301/C301, 0),"-")</f>
        <v>-</v>
      </c>
    </row>
    <row r="302" spans="1:5" x14ac:dyDescent="0.2">
      <c r="A302" s="27"/>
      <c r="B302" s="27" t="s">
        <v>88</v>
      </c>
      <c r="C302" s="27" t="s">
        <v>959</v>
      </c>
      <c r="D302" s="27" t="s">
        <v>959</v>
      </c>
      <c r="E302" s="27" t="str">
        <f>IFERROR(IF(C302&gt;0, D302/C302, 0),"-")</f>
        <v>-</v>
      </c>
    </row>
    <row r="303" spans="1:5" x14ac:dyDescent="0.2">
      <c r="A303" s="28" t="s">
        <v>598</v>
      </c>
      <c r="B303" s="28" t="s">
        <v>1039</v>
      </c>
      <c r="C303" s="28" t="s">
        <v>959</v>
      </c>
      <c r="D303" s="28" t="s">
        <v>959</v>
      </c>
      <c r="E303" s="28" t="str">
        <f>IFERROR(IF(C303&gt;0, D303/C303, 0),"-")</f>
        <v>-</v>
      </c>
    </row>
    <row r="304" spans="1:5" x14ac:dyDescent="0.2">
      <c r="A304" s="28" t="s">
        <v>599</v>
      </c>
      <c r="B304" s="28" t="s">
        <v>1040</v>
      </c>
      <c r="C304" s="28" t="s">
        <v>959</v>
      </c>
      <c r="D304" s="28" t="s">
        <v>959</v>
      </c>
      <c r="E304" s="28" t="str">
        <f>IFERROR(IF(C304&gt;0, D304/C304, 0),"-")</f>
        <v>-</v>
      </c>
    </row>
    <row r="305" spans="1:5" x14ac:dyDescent="0.2">
      <c r="A305" s="28" t="s">
        <v>596</v>
      </c>
      <c r="B305" s="28" t="s">
        <v>1041</v>
      </c>
      <c r="C305" s="28" t="s">
        <v>959</v>
      </c>
      <c r="D305" s="28" t="s">
        <v>959</v>
      </c>
      <c r="E305" s="28" t="str">
        <f>IFERROR(IF(C305&gt;0, D305/C305, 0),"-")</f>
        <v>-</v>
      </c>
    </row>
    <row r="306" spans="1:5" x14ac:dyDescent="0.2">
      <c r="A306" s="28" t="s">
        <v>600</v>
      </c>
      <c r="B306" s="28" t="s">
        <v>1042</v>
      </c>
      <c r="C306" s="28" t="s">
        <v>959</v>
      </c>
      <c r="D306" s="28" t="s">
        <v>959</v>
      </c>
      <c r="E306" s="28" t="str">
        <f>IFERROR(IF(C306&gt;0, D306/C306, 0),"-")</f>
        <v>-</v>
      </c>
    </row>
    <row r="307" spans="1:5" x14ac:dyDescent="0.2">
      <c r="A307" s="28" t="s">
        <v>597</v>
      </c>
      <c r="B307" s="28" t="s">
        <v>1043</v>
      </c>
      <c r="C307" s="28" t="s">
        <v>959</v>
      </c>
      <c r="D307" s="28" t="s">
        <v>959</v>
      </c>
      <c r="E307" s="28" t="str">
        <f>IFERROR(IF(C307&gt;0, D307/C307, 0),"-")</f>
        <v>-</v>
      </c>
    </row>
    <row r="308" spans="1:5" x14ac:dyDescent="0.2">
      <c r="A308" s="28" t="s">
        <v>595</v>
      </c>
      <c r="B308" s="28" t="s">
        <v>1044</v>
      </c>
      <c r="C308" s="28" t="s">
        <v>959</v>
      </c>
      <c r="D308" s="28" t="s">
        <v>959</v>
      </c>
      <c r="E308" s="28" t="str">
        <f>IFERROR(IF(C308&gt;0, D308/C308, 0),"-")</f>
        <v>-</v>
      </c>
    </row>
    <row r="309" spans="1:5" x14ac:dyDescent="0.2">
      <c r="A309" s="28" t="s">
        <v>594</v>
      </c>
      <c r="B309" s="28" t="s">
        <v>1045</v>
      </c>
      <c r="C309" s="28" t="s">
        <v>959</v>
      </c>
      <c r="D309" s="28" t="s">
        <v>959</v>
      </c>
      <c r="E309" s="28" t="str">
        <f>IFERROR(IF(C309&gt;0, D309/C309, 0),"-")</f>
        <v>-</v>
      </c>
    </row>
    <row r="310" spans="1:5" x14ac:dyDescent="0.2">
      <c r="A310" s="27"/>
      <c r="B310" s="27" t="s">
        <v>91</v>
      </c>
      <c r="C310" s="27" t="s">
        <v>959</v>
      </c>
      <c r="D310" s="27" t="s">
        <v>959</v>
      </c>
      <c r="E310" s="27" t="str">
        <f>IFERROR(IF(C310&gt;0, D310/C310, 0),"-")</f>
        <v>-</v>
      </c>
    </row>
    <row r="311" spans="1:5" x14ac:dyDescent="0.2">
      <c r="A311" s="28" t="s">
        <v>619</v>
      </c>
      <c r="B311" s="28" t="s">
        <v>1046</v>
      </c>
      <c r="C311" s="28" t="s">
        <v>959</v>
      </c>
      <c r="D311" s="28" t="s">
        <v>959</v>
      </c>
      <c r="E311" s="28" t="str">
        <f>IFERROR(IF(C311&gt;0, D311/C311, 0),"-")</f>
        <v>-</v>
      </c>
    </row>
    <row r="312" spans="1:5" x14ac:dyDescent="0.2">
      <c r="A312" s="28" t="s">
        <v>618</v>
      </c>
      <c r="B312" s="28" t="s">
        <v>1047</v>
      </c>
      <c r="C312" s="28" t="s">
        <v>959</v>
      </c>
      <c r="D312" s="28" t="s">
        <v>959</v>
      </c>
      <c r="E312" s="28" t="str">
        <f>IFERROR(IF(C312&gt;0, D312/C312, 0),"-")</f>
        <v>-</v>
      </c>
    </row>
    <row r="313" spans="1:5" x14ac:dyDescent="0.2">
      <c r="A313" s="28" t="s">
        <v>621</v>
      </c>
      <c r="B313" s="28" t="s">
        <v>1048</v>
      </c>
      <c r="C313" s="28" t="s">
        <v>959</v>
      </c>
      <c r="D313" s="28" t="s">
        <v>959</v>
      </c>
      <c r="E313" s="28" t="str">
        <f>IFERROR(IF(C313&gt;0, D313/C313, 0),"-")</f>
        <v>-</v>
      </c>
    </row>
    <row r="314" spans="1:5" x14ac:dyDescent="0.2">
      <c r="A314" s="28" t="s">
        <v>620</v>
      </c>
      <c r="B314" s="28" t="s">
        <v>1049</v>
      </c>
      <c r="C314" s="28" t="s">
        <v>959</v>
      </c>
      <c r="D314" s="28" t="s">
        <v>959</v>
      </c>
      <c r="E314" s="28" t="str">
        <f>IFERROR(IF(C314&gt;0, D314/C314, 0),"-")</f>
        <v>-</v>
      </c>
    </row>
    <row r="315" spans="1:5" x14ac:dyDescent="0.2">
      <c r="A315" s="28" t="s">
        <v>617</v>
      </c>
      <c r="B315" s="28" t="s">
        <v>1050</v>
      </c>
      <c r="C315" s="28" t="s">
        <v>959</v>
      </c>
      <c r="D315" s="28" t="s">
        <v>959</v>
      </c>
      <c r="E315" s="28" t="str">
        <f>IFERROR(IF(C315&gt;0, D315/C315, 0),"-")</f>
        <v>-</v>
      </c>
    </row>
    <row r="316" spans="1:5" x14ac:dyDescent="0.2">
      <c r="A316" s="28" t="s">
        <v>616</v>
      </c>
      <c r="B316" s="28" t="s">
        <v>1051</v>
      </c>
      <c r="C316" s="28" t="s">
        <v>959</v>
      </c>
      <c r="D316" s="28" t="s">
        <v>959</v>
      </c>
      <c r="E316" s="28" t="str">
        <f>IFERROR(IF(C316&gt;0, D316/C316, 0),"-")</f>
        <v>-</v>
      </c>
    </row>
    <row r="317" spans="1:5" x14ac:dyDescent="0.2">
      <c r="A317" s="27"/>
      <c r="B317" s="27" t="s">
        <v>16</v>
      </c>
      <c r="C317" s="27" t="s">
        <v>959</v>
      </c>
      <c r="D317" s="27" t="s">
        <v>959</v>
      </c>
      <c r="E317" s="27" t="str">
        <f>IFERROR(IF(C317&gt;0, D317/C317, 0),"-")</f>
        <v>-</v>
      </c>
    </row>
    <row r="318" spans="1:5" x14ac:dyDescent="0.2">
      <c r="A318" s="28" t="s">
        <v>470</v>
      </c>
      <c r="B318" s="28" t="s">
        <v>1052</v>
      </c>
      <c r="C318" s="28" t="s">
        <v>959</v>
      </c>
      <c r="D318" s="28" t="s">
        <v>959</v>
      </c>
      <c r="E318" s="28" t="str">
        <f>IFERROR(IF(C318&gt;0, D318/C318, 0),"-")</f>
        <v>-</v>
      </c>
    </row>
    <row r="319" spans="1:5" x14ac:dyDescent="0.2">
      <c r="A319" s="28" t="s">
        <v>469</v>
      </c>
      <c r="B319" s="28" t="s">
        <v>1053</v>
      </c>
      <c r="C319" s="28" t="s">
        <v>959</v>
      </c>
      <c r="D319" s="28" t="s">
        <v>959</v>
      </c>
      <c r="E319" s="28" t="str">
        <f>IFERROR(IF(C319&gt;0, D319/C319, 0),"-")</f>
        <v>-</v>
      </c>
    </row>
    <row r="320" spans="1:5" x14ac:dyDescent="0.2">
      <c r="A320" s="28" t="s">
        <v>472</v>
      </c>
      <c r="B320" s="28" t="s">
        <v>1054</v>
      </c>
      <c r="C320" s="28" t="s">
        <v>959</v>
      </c>
      <c r="D320" s="28" t="s">
        <v>959</v>
      </c>
      <c r="E320" s="28" t="str">
        <f>IFERROR(IF(C320&gt;0, D320/C320, 0),"-")</f>
        <v>-</v>
      </c>
    </row>
    <row r="321" spans="1:5" x14ac:dyDescent="0.2">
      <c r="A321" s="28" t="s">
        <v>468</v>
      </c>
      <c r="B321" s="28" t="s">
        <v>1055</v>
      </c>
      <c r="C321" s="28" t="s">
        <v>959</v>
      </c>
      <c r="D321" s="28" t="s">
        <v>959</v>
      </c>
      <c r="E321" s="28" t="str">
        <f>IFERROR(IF(C321&gt;0, D321/C321, 0),"-")</f>
        <v>-</v>
      </c>
    </row>
    <row r="322" spans="1:5" x14ac:dyDescent="0.2">
      <c r="A322" s="28" t="s">
        <v>473</v>
      </c>
      <c r="B322" s="28" t="s">
        <v>1056</v>
      </c>
      <c r="C322" s="28" t="s">
        <v>959</v>
      </c>
      <c r="D322" s="28" t="s">
        <v>959</v>
      </c>
      <c r="E322" s="28" t="str">
        <f>IFERROR(IF(C322&gt;0, D322/C322, 0),"-")</f>
        <v>-</v>
      </c>
    </row>
    <row r="323" spans="1:5" x14ac:dyDescent="0.2">
      <c r="A323" s="28" t="s">
        <v>471</v>
      </c>
      <c r="B323" s="28" t="s">
        <v>1057</v>
      </c>
      <c r="C323" s="28" t="s">
        <v>959</v>
      </c>
      <c r="D323" s="28" t="s">
        <v>959</v>
      </c>
      <c r="E323" s="28" t="str">
        <f>IFERROR(IF(C323&gt;0, D323/C323, 0),"-")</f>
        <v>-</v>
      </c>
    </row>
    <row r="324" spans="1:5" x14ac:dyDescent="0.2">
      <c r="A324" s="27"/>
      <c r="B324" s="27" t="s">
        <v>53</v>
      </c>
      <c r="C324" s="27" t="s">
        <v>959</v>
      </c>
      <c r="D324" s="27" t="s">
        <v>959</v>
      </c>
      <c r="E324" s="27" t="str">
        <f>IFERROR(IF(C324&gt;0, D324/C324, 0),"-")</f>
        <v>-</v>
      </c>
    </row>
    <row r="325" spans="1:5" x14ac:dyDescent="0.2">
      <c r="A325" s="28" t="s">
        <v>319</v>
      </c>
      <c r="B325" s="28" t="s">
        <v>1058</v>
      </c>
      <c r="C325" s="28" t="s">
        <v>959</v>
      </c>
      <c r="D325" s="28" t="s">
        <v>959</v>
      </c>
      <c r="E325" s="28" t="str">
        <f>IFERROR(IF(C325&gt;0, D325/C325, 0),"-")</f>
        <v>-</v>
      </c>
    </row>
    <row r="326" spans="1:5" x14ac:dyDescent="0.2">
      <c r="A326" s="28" t="s">
        <v>325</v>
      </c>
      <c r="B326" s="28" t="s">
        <v>1059</v>
      </c>
      <c r="C326" s="28" t="s">
        <v>959</v>
      </c>
      <c r="D326" s="28" t="s">
        <v>959</v>
      </c>
      <c r="E326" s="28" t="str">
        <f>IFERROR(IF(C326&gt;0, D326/C326, 0),"-")</f>
        <v>-</v>
      </c>
    </row>
    <row r="327" spans="1:5" x14ac:dyDescent="0.2">
      <c r="A327" s="28" t="s">
        <v>322</v>
      </c>
      <c r="B327" s="28" t="s">
        <v>1060</v>
      </c>
      <c r="C327" s="28" t="s">
        <v>959</v>
      </c>
      <c r="D327" s="28" t="s">
        <v>959</v>
      </c>
      <c r="E327" s="28" t="str">
        <f>IFERROR(IF(C327&gt;0, D327/C327, 0),"-")</f>
        <v>-</v>
      </c>
    </row>
    <row r="328" spans="1:5" x14ac:dyDescent="0.2">
      <c r="A328" s="28" t="s">
        <v>320</v>
      </c>
      <c r="B328" s="28" t="s">
        <v>1061</v>
      </c>
      <c r="C328" s="28" t="s">
        <v>959</v>
      </c>
      <c r="D328" s="28" t="s">
        <v>959</v>
      </c>
      <c r="E328" s="28" t="str">
        <f>IFERROR(IF(C328&gt;0, D328/C328, 0),"-")</f>
        <v>-</v>
      </c>
    </row>
    <row r="329" spans="1:5" x14ac:dyDescent="0.2">
      <c r="A329" s="28" t="s">
        <v>323</v>
      </c>
      <c r="B329" s="28" t="s">
        <v>1062</v>
      </c>
      <c r="C329" s="28" t="s">
        <v>959</v>
      </c>
      <c r="D329" s="28" t="s">
        <v>959</v>
      </c>
      <c r="E329" s="28" t="str">
        <f>IFERROR(IF(C329&gt;0, D329/C329, 0),"-")</f>
        <v>-</v>
      </c>
    </row>
    <row r="330" spans="1:5" x14ac:dyDescent="0.2">
      <c r="A330" s="28" t="s">
        <v>318</v>
      </c>
      <c r="B330" s="28" t="s">
        <v>1063</v>
      </c>
      <c r="C330" s="28" t="s">
        <v>959</v>
      </c>
      <c r="D330" s="28" t="s">
        <v>959</v>
      </c>
      <c r="E330" s="28" t="str">
        <f>IFERROR(IF(C330&gt;0, D330/C330, 0),"-")</f>
        <v>-</v>
      </c>
    </row>
    <row r="331" spans="1:5" x14ac:dyDescent="0.2">
      <c r="A331" s="28" t="s">
        <v>321</v>
      </c>
      <c r="B331" s="28" t="s">
        <v>1064</v>
      </c>
      <c r="C331" s="28" t="s">
        <v>959</v>
      </c>
      <c r="D331" s="28" t="s">
        <v>959</v>
      </c>
      <c r="E331" s="28" t="str">
        <f>IFERROR(IF(C331&gt;0, D331/C331, 0),"-")</f>
        <v>-</v>
      </c>
    </row>
    <row r="332" spans="1:5" x14ac:dyDescent="0.2">
      <c r="A332" s="28" t="s">
        <v>326</v>
      </c>
      <c r="B332" s="28" t="s">
        <v>1065</v>
      </c>
      <c r="C332" s="28" t="s">
        <v>959</v>
      </c>
      <c r="D332" s="28" t="s">
        <v>959</v>
      </c>
      <c r="E332" s="28" t="str">
        <f>IFERROR(IF(C332&gt;0, D332/C332, 0),"-")</f>
        <v>-</v>
      </c>
    </row>
    <row r="333" spans="1:5" x14ac:dyDescent="0.2">
      <c r="A333" s="28" t="s">
        <v>324</v>
      </c>
      <c r="B333" s="28" t="s">
        <v>1066</v>
      </c>
      <c r="C333" s="28" t="s">
        <v>959</v>
      </c>
      <c r="D333" s="28" t="s">
        <v>959</v>
      </c>
      <c r="E333" s="28" t="str">
        <f>IFERROR(IF(C333&gt;0, D333/C333, 0),"-")</f>
        <v>-</v>
      </c>
    </row>
    <row r="334" spans="1:5" x14ac:dyDescent="0.2">
      <c r="A334" s="27"/>
      <c r="B334" s="27" t="s">
        <v>35</v>
      </c>
      <c r="C334" s="27" t="s">
        <v>959</v>
      </c>
      <c r="D334" s="27" t="s">
        <v>959</v>
      </c>
      <c r="E334" s="27" t="str">
        <f>IFERROR(IF(C334&gt;0, D334/C334, 0),"-")</f>
        <v>-</v>
      </c>
    </row>
    <row r="335" spans="1:5" x14ac:dyDescent="0.2">
      <c r="A335" s="28" t="s">
        <v>169</v>
      </c>
      <c r="B335" s="28" t="s">
        <v>1067</v>
      </c>
      <c r="C335" s="28" t="s">
        <v>959</v>
      </c>
      <c r="D335" s="28" t="s">
        <v>959</v>
      </c>
      <c r="E335" s="28" t="str">
        <f>IFERROR(IF(C335&gt;0, D335/C335, 0),"-")</f>
        <v>-</v>
      </c>
    </row>
    <row r="336" spans="1:5" x14ac:dyDescent="0.2">
      <c r="A336" s="28" t="s">
        <v>166</v>
      </c>
      <c r="B336" s="28" t="s">
        <v>1068</v>
      </c>
      <c r="C336" s="28" t="s">
        <v>959</v>
      </c>
      <c r="D336" s="28" t="s">
        <v>959</v>
      </c>
      <c r="E336" s="28" t="str">
        <f>IFERROR(IF(C336&gt;0, D336/C336, 0),"-")</f>
        <v>-</v>
      </c>
    </row>
    <row r="337" spans="1:5" x14ac:dyDescent="0.2">
      <c r="A337" s="28" t="s">
        <v>165</v>
      </c>
      <c r="B337" s="28" t="s">
        <v>1069</v>
      </c>
      <c r="C337" s="28" t="s">
        <v>959</v>
      </c>
      <c r="D337" s="28" t="s">
        <v>959</v>
      </c>
      <c r="E337" s="28" t="str">
        <f>IFERROR(IF(C337&gt;0, D337/C337, 0),"-")</f>
        <v>-</v>
      </c>
    </row>
    <row r="338" spans="1:5" x14ac:dyDescent="0.2">
      <c r="A338" s="28" t="s">
        <v>171</v>
      </c>
      <c r="B338" s="28" t="s">
        <v>1070</v>
      </c>
      <c r="C338" s="28" t="s">
        <v>959</v>
      </c>
      <c r="D338" s="28" t="s">
        <v>959</v>
      </c>
      <c r="E338" s="28" t="str">
        <f>IFERROR(IF(C338&gt;0, D338/C338, 0),"-")</f>
        <v>-</v>
      </c>
    </row>
    <row r="339" spans="1:5" x14ac:dyDescent="0.2">
      <c r="A339" s="28" t="s">
        <v>168</v>
      </c>
      <c r="B339" s="28" t="s">
        <v>1071</v>
      </c>
      <c r="C339" s="28" t="s">
        <v>959</v>
      </c>
      <c r="D339" s="28" t="s">
        <v>959</v>
      </c>
      <c r="E339" s="28" t="str">
        <f>IFERROR(IF(C339&gt;0, D339/C339, 0),"-")</f>
        <v>-</v>
      </c>
    </row>
    <row r="340" spans="1:5" x14ac:dyDescent="0.2">
      <c r="A340" s="28" t="s">
        <v>167</v>
      </c>
      <c r="B340" s="28" t="s">
        <v>1072</v>
      </c>
      <c r="C340" s="28" t="s">
        <v>959</v>
      </c>
      <c r="D340" s="28" t="s">
        <v>959</v>
      </c>
      <c r="E340" s="28" t="str">
        <f>IFERROR(IF(C340&gt;0, D340/C340, 0),"-")</f>
        <v>-</v>
      </c>
    </row>
    <row r="341" spans="1:5" x14ac:dyDescent="0.2">
      <c r="A341" s="28" t="s">
        <v>170</v>
      </c>
      <c r="B341" s="28" t="s">
        <v>1073</v>
      </c>
      <c r="C341" s="28" t="s">
        <v>959</v>
      </c>
      <c r="D341" s="28" t="s">
        <v>959</v>
      </c>
      <c r="E341" s="28" t="str">
        <f>IFERROR(IF(C341&gt;0, D341/C341, 0),"-")</f>
        <v>-</v>
      </c>
    </row>
    <row r="342" spans="1:5" x14ac:dyDescent="0.2">
      <c r="A342" s="27"/>
      <c r="B342" s="27" t="s">
        <v>19</v>
      </c>
      <c r="C342" s="27" t="s">
        <v>959</v>
      </c>
      <c r="D342" s="27" t="s">
        <v>959</v>
      </c>
      <c r="E342" s="27" t="str">
        <f>IFERROR(IF(C342&gt;0, D342/C342, 0),"-")</f>
        <v>-</v>
      </c>
    </row>
    <row r="343" spans="1:5" x14ac:dyDescent="0.2">
      <c r="A343" s="28" t="s">
        <v>552</v>
      </c>
      <c r="B343" s="28" t="s">
        <v>1074</v>
      </c>
      <c r="C343" s="28" t="s">
        <v>959</v>
      </c>
      <c r="D343" s="28" t="s">
        <v>959</v>
      </c>
      <c r="E343" s="28" t="str">
        <f>IFERROR(IF(C343&gt;0, D343/C343, 0),"-")</f>
        <v>-</v>
      </c>
    </row>
    <row r="344" spans="1:5" x14ac:dyDescent="0.2">
      <c r="A344" s="28" t="s">
        <v>567</v>
      </c>
      <c r="B344" s="28" t="s">
        <v>1075</v>
      </c>
      <c r="C344" s="28" t="s">
        <v>959</v>
      </c>
      <c r="D344" s="28" t="s">
        <v>959</v>
      </c>
      <c r="E344" s="28" t="str">
        <f>IFERROR(IF(C344&gt;0, D344/C344, 0),"-")</f>
        <v>-</v>
      </c>
    </row>
    <row r="345" spans="1:5" x14ac:dyDescent="0.2">
      <c r="A345" s="28" t="s">
        <v>566</v>
      </c>
      <c r="B345" s="28" t="s">
        <v>1076</v>
      </c>
      <c r="C345" s="28" t="s">
        <v>959</v>
      </c>
      <c r="D345" s="28" t="s">
        <v>959</v>
      </c>
      <c r="E345" s="28" t="str">
        <f>IFERROR(IF(C345&gt;0, D345/C345, 0),"-")</f>
        <v>-</v>
      </c>
    </row>
    <row r="346" spans="1:5" x14ac:dyDescent="0.2">
      <c r="A346" s="28" t="s">
        <v>568</v>
      </c>
      <c r="B346" s="28" t="s">
        <v>1077</v>
      </c>
      <c r="C346" s="28" t="s">
        <v>959</v>
      </c>
      <c r="D346" s="28" t="s">
        <v>959</v>
      </c>
      <c r="E346" s="28" t="str">
        <f>IFERROR(IF(C346&gt;0, D346/C346, 0),"-")</f>
        <v>-</v>
      </c>
    </row>
    <row r="347" spans="1:5" x14ac:dyDescent="0.2">
      <c r="A347" s="28" t="s">
        <v>553</v>
      </c>
      <c r="B347" s="28" t="s">
        <v>1078</v>
      </c>
      <c r="C347" s="28" t="s">
        <v>959</v>
      </c>
      <c r="D347" s="28" t="s">
        <v>959</v>
      </c>
      <c r="E347" s="28" t="str">
        <f>IFERROR(IF(C347&gt;0, D347/C347, 0),"-")</f>
        <v>-</v>
      </c>
    </row>
    <row r="348" spans="1:5" x14ac:dyDescent="0.2">
      <c r="A348" s="28" t="s">
        <v>551</v>
      </c>
      <c r="B348" s="28" t="s">
        <v>1079</v>
      </c>
      <c r="C348" s="28" t="s">
        <v>959</v>
      </c>
      <c r="D348" s="28" t="s">
        <v>959</v>
      </c>
      <c r="E348" s="28" t="str">
        <f>IFERROR(IF(C348&gt;0, D348/C348, 0),"-")</f>
        <v>-</v>
      </c>
    </row>
    <row r="349" spans="1:5" x14ac:dyDescent="0.2">
      <c r="A349" s="28" t="s">
        <v>555</v>
      </c>
      <c r="B349" s="28" t="s">
        <v>1080</v>
      </c>
      <c r="C349" s="28" t="s">
        <v>959</v>
      </c>
      <c r="D349" s="28" t="s">
        <v>959</v>
      </c>
      <c r="E349" s="28" t="str">
        <f>IFERROR(IF(C349&gt;0, D349/C349, 0),"-")</f>
        <v>-</v>
      </c>
    </row>
    <row r="350" spans="1:5" x14ac:dyDescent="0.2">
      <c r="A350" s="28" t="s">
        <v>549</v>
      </c>
      <c r="B350" s="28" t="s">
        <v>1081</v>
      </c>
      <c r="C350" s="28" t="s">
        <v>959</v>
      </c>
      <c r="D350" s="28" t="s">
        <v>959</v>
      </c>
      <c r="E350" s="28" t="str">
        <f>IFERROR(IF(C350&gt;0, D350/C350, 0),"-")</f>
        <v>-</v>
      </c>
    </row>
    <row r="351" spans="1:5" x14ac:dyDescent="0.2">
      <c r="A351" s="28" t="s">
        <v>554</v>
      </c>
      <c r="B351" s="28" t="s">
        <v>1082</v>
      </c>
      <c r="C351" s="28" t="s">
        <v>959</v>
      </c>
      <c r="D351" s="28" t="s">
        <v>959</v>
      </c>
      <c r="E351" s="28" t="str">
        <f>IFERROR(IF(C351&gt;0, D351/C351, 0),"-")</f>
        <v>-</v>
      </c>
    </row>
    <row r="352" spans="1:5" x14ac:dyDescent="0.2">
      <c r="A352" s="28" t="s">
        <v>550</v>
      </c>
      <c r="B352" s="28" t="s">
        <v>1083</v>
      </c>
      <c r="C352" s="28" t="s">
        <v>959</v>
      </c>
      <c r="D352" s="28" t="s">
        <v>959</v>
      </c>
      <c r="E352" s="28" t="str">
        <f>IFERROR(IF(C352&gt;0, D352/C352, 0),"-")</f>
        <v>-</v>
      </c>
    </row>
    <row r="353" spans="1:5" x14ac:dyDescent="0.2">
      <c r="A353" s="27"/>
      <c r="B353" s="27" t="s">
        <v>56</v>
      </c>
      <c r="C353" s="27" t="s">
        <v>959</v>
      </c>
      <c r="D353" s="27" t="s">
        <v>959</v>
      </c>
      <c r="E353" s="27" t="str">
        <f>IFERROR(IF(C353&gt;0, D353/C353, 0),"-")</f>
        <v>-</v>
      </c>
    </row>
    <row r="354" spans="1:5" x14ac:dyDescent="0.2">
      <c r="A354" s="28" t="s">
        <v>349</v>
      </c>
      <c r="B354" s="28" t="s">
        <v>1084</v>
      </c>
      <c r="C354" s="28" t="s">
        <v>959</v>
      </c>
      <c r="D354" s="28" t="s">
        <v>959</v>
      </c>
      <c r="E354" s="28" t="str">
        <f>IFERROR(IF(C354&gt;0, D354/C354, 0),"-")</f>
        <v>-</v>
      </c>
    </row>
    <row r="355" spans="1:5" x14ac:dyDescent="0.2">
      <c r="A355" s="28" t="s">
        <v>347</v>
      </c>
      <c r="B355" s="28" t="s">
        <v>1085</v>
      </c>
      <c r="C355" s="28" t="s">
        <v>959</v>
      </c>
      <c r="D355" s="28" t="s">
        <v>959</v>
      </c>
      <c r="E355" s="28" t="str">
        <f>IFERROR(IF(C355&gt;0, D355/C355, 0),"-")</f>
        <v>-</v>
      </c>
    </row>
    <row r="356" spans="1:5" x14ac:dyDescent="0.2">
      <c r="A356" s="28" t="s">
        <v>351</v>
      </c>
      <c r="B356" s="28" t="s">
        <v>1086</v>
      </c>
      <c r="C356" s="28" t="s">
        <v>959</v>
      </c>
      <c r="D356" s="28" t="s">
        <v>959</v>
      </c>
      <c r="E356" s="28" t="str">
        <f>IFERROR(IF(C356&gt;0, D356/C356, 0),"-")</f>
        <v>-</v>
      </c>
    </row>
    <row r="357" spans="1:5" x14ac:dyDescent="0.2">
      <c r="A357" s="28" t="s">
        <v>346</v>
      </c>
      <c r="B357" s="28" t="s">
        <v>1087</v>
      </c>
      <c r="C357" s="28" t="s">
        <v>959</v>
      </c>
      <c r="D357" s="28" t="s">
        <v>959</v>
      </c>
      <c r="E357" s="28" t="str">
        <f>IFERROR(IF(C357&gt;0, D357/C357, 0),"-")</f>
        <v>-</v>
      </c>
    </row>
    <row r="358" spans="1:5" x14ac:dyDescent="0.2">
      <c r="A358" s="28" t="s">
        <v>350</v>
      </c>
      <c r="B358" s="28" t="s">
        <v>1088</v>
      </c>
      <c r="C358" s="28" t="s">
        <v>959</v>
      </c>
      <c r="D358" s="28" t="s">
        <v>959</v>
      </c>
      <c r="E358" s="28" t="str">
        <f>IFERROR(IF(C358&gt;0, D358/C358, 0),"-")</f>
        <v>-</v>
      </c>
    </row>
    <row r="359" spans="1:5" x14ac:dyDescent="0.2">
      <c r="A359" s="28" t="s">
        <v>345</v>
      </c>
      <c r="B359" s="28" t="s">
        <v>1089</v>
      </c>
      <c r="C359" s="28" t="s">
        <v>959</v>
      </c>
      <c r="D359" s="28" t="s">
        <v>959</v>
      </c>
      <c r="E359" s="28" t="str">
        <f>IFERROR(IF(C359&gt;0, D359/C359, 0),"-")</f>
        <v>-</v>
      </c>
    </row>
    <row r="360" spans="1:5" x14ac:dyDescent="0.2">
      <c r="A360" s="28" t="s">
        <v>344</v>
      </c>
      <c r="B360" s="28" t="s">
        <v>1090</v>
      </c>
      <c r="C360" s="28" t="s">
        <v>959</v>
      </c>
      <c r="D360" s="28" t="s">
        <v>959</v>
      </c>
      <c r="E360" s="28" t="str">
        <f>IFERROR(IF(C360&gt;0, D360/C360, 0),"-")</f>
        <v>-</v>
      </c>
    </row>
    <row r="361" spans="1:5" x14ac:dyDescent="0.2">
      <c r="A361" s="28" t="s">
        <v>352</v>
      </c>
      <c r="B361" s="28" t="s">
        <v>1091</v>
      </c>
      <c r="C361" s="28" t="s">
        <v>959</v>
      </c>
      <c r="D361" s="28" t="s">
        <v>959</v>
      </c>
      <c r="E361" s="28" t="str">
        <f>IFERROR(IF(C361&gt;0, D361/C361, 0),"-")</f>
        <v>-</v>
      </c>
    </row>
    <row r="362" spans="1:5" x14ac:dyDescent="0.2">
      <c r="A362" s="28" t="s">
        <v>348</v>
      </c>
      <c r="B362" s="28" t="s">
        <v>1092</v>
      </c>
      <c r="C362" s="28" t="s">
        <v>959</v>
      </c>
      <c r="D362" s="28" t="s">
        <v>959</v>
      </c>
      <c r="E362" s="28" t="str">
        <f>IFERROR(IF(C362&gt;0, D362/C362, 0),"-")</f>
        <v>-</v>
      </c>
    </row>
    <row r="363" spans="1:5" x14ac:dyDescent="0.2">
      <c r="A363" s="27"/>
      <c r="B363" s="27" t="s">
        <v>77</v>
      </c>
      <c r="C363" s="27" t="s">
        <v>959</v>
      </c>
      <c r="D363" s="27" t="s">
        <v>959</v>
      </c>
      <c r="E363" s="27" t="str">
        <f>IFERROR(IF(C363&gt;0, D363/C363, 0),"-")</f>
        <v>-</v>
      </c>
    </row>
    <row r="364" spans="1:5" x14ac:dyDescent="0.2">
      <c r="A364" s="28" t="s">
        <v>508</v>
      </c>
      <c r="B364" s="28" t="s">
        <v>1018</v>
      </c>
      <c r="C364" s="28" t="s">
        <v>959</v>
      </c>
      <c r="D364" s="28" t="s">
        <v>959</v>
      </c>
      <c r="E364" s="28" t="str">
        <f>IFERROR(IF(C364&gt;0, D364/C364, 0),"-")</f>
        <v>-</v>
      </c>
    </row>
    <row r="365" spans="1:5" x14ac:dyDescent="0.2">
      <c r="A365" s="28" t="s">
        <v>507</v>
      </c>
      <c r="B365" s="28" t="s">
        <v>1093</v>
      </c>
      <c r="C365" s="28" t="s">
        <v>959</v>
      </c>
      <c r="D365" s="28" t="s">
        <v>959</v>
      </c>
      <c r="E365" s="28" t="str">
        <f>IFERROR(IF(C365&gt;0, D365/C365, 0),"-")</f>
        <v>-</v>
      </c>
    </row>
    <row r="366" spans="1:5" x14ac:dyDescent="0.2">
      <c r="A366" s="28" t="s">
        <v>509</v>
      </c>
      <c r="B366" s="28" t="s">
        <v>1094</v>
      </c>
      <c r="C366" s="28" t="s">
        <v>959</v>
      </c>
      <c r="D366" s="28" t="s">
        <v>959</v>
      </c>
      <c r="E366" s="28" t="str">
        <f>IFERROR(IF(C366&gt;0, D366/C366, 0),"-")</f>
        <v>-</v>
      </c>
    </row>
    <row r="367" spans="1:5" x14ac:dyDescent="0.2">
      <c r="A367" s="28" t="s">
        <v>512</v>
      </c>
      <c r="B367" s="28" t="s">
        <v>1095</v>
      </c>
      <c r="C367" s="28" t="s">
        <v>959</v>
      </c>
      <c r="D367" s="28" t="s">
        <v>959</v>
      </c>
      <c r="E367" s="28" t="str">
        <f>IFERROR(IF(C367&gt;0, D367/C367, 0),"-")</f>
        <v>-</v>
      </c>
    </row>
    <row r="368" spans="1:5" x14ac:dyDescent="0.2">
      <c r="A368" s="28" t="s">
        <v>511</v>
      </c>
      <c r="B368" s="28" t="s">
        <v>1096</v>
      </c>
      <c r="C368" s="28" t="s">
        <v>959</v>
      </c>
      <c r="D368" s="28" t="s">
        <v>959</v>
      </c>
      <c r="E368" s="28" t="str">
        <f>IFERROR(IF(C368&gt;0, D368/C368, 0),"-")</f>
        <v>-</v>
      </c>
    </row>
    <row r="369" spans="1:5" x14ac:dyDescent="0.2">
      <c r="A369" s="28" t="s">
        <v>506</v>
      </c>
      <c r="B369" s="28" t="s">
        <v>1097</v>
      </c>
      <c r="C369" s="28" t="s">
        <v>959</v>
      </c>
      <c r="D369" s="28" t="s">
        <v>959</v>
      </c>
      <c r="E369" s="28" t="str">
        <f>IFERROR(IF(C369&gt;0, D369/C369, 0),"-")</f>
        <v>-</v>
      </c>
    </row>
    <row r="370" spans="1:5" x14ac:dyDescent="0.2">
      <c r="A370" s="28" t="s">
        <v>510</v>
      </c>
      <c r="B370" s="28" t="s">
        <v>999</v>
      </c>
      <c r="C370" s="28" t="s">
        <v>959</v>
      </c>
      <c r="D370" s="28" t="s">
        <v>959</v>
      </c>
      <c r="E370" s="28" t="str">
        <f>IFERROR(IF(C370&gt;0, D370/C370, 0),"-")</f>
        <v>-</v>
      </c>
    </row>
    <row r="371" spans="1:5" x14ac:dyDescent="0.2">
      <c r="A371" s="27"/>
      <c r="B371" s="27" t="s">
        <v>12</v>
      </c>
      <c r="C371" s="27" t="s">
        <v>959</v>
      </c>
      <c r="D371" s="27" t="s">
        <v>959</v>
      </c>
      <c r="E371" s="27" t="str">
        <f>IFERROR(IF(C371&gt;0, D371/C371, 0),"-")</f>
        <v>-</v>
      </c>
    </row>
    <row r="372" spans="1:5" x14ac:dyDescent="0.2">
      <c r="A372" s="28" t="s">
        <v>517</v>
      </c>
      <c r="B372" s="28" t="s">
        <v>1098</v>
      </c>
      <c r="C372" s="28" t="s">
        <v>959</v>
      </c>
      <c r="D372" s="28" t="s">
        <v>959</v>
      </c>
      <c r="E372" s="28" t="str">
        <f>IFERROR(IF(C372&gt;0, D372/C372, 0),"-")</f>
        <v>-</v>
      </c>
    </row>
    <row r="373" spans="1:5" x14ac:dyDescent="0.2">
      <c r="A373" s="28" t="s">
        <v>514</v>
      </c>
      <c r="B373" s="28" t="s">
        <v>1099</v>
      </c>
      <c r="C373" s="28" t="s">
        <v>959</v>
      </c>
      <c r="D373" s="28" t="s">
        <v>959</v>
      </c>
      <c r="E373" s="28" t="str">
        <f>IFERROR(IF(C373&gt;0, D373/C373, 0),"-")</f>
        <v>-</v>
      </c>
    </row>
    <row r="374" spans="1:5" x14ac:dyDescent="0.2">
      <c r="A374" s="28" t="s">
        <v>519</v>
      </c>
      <c r="B374" s="28" t="s">
        <v>1100</v>
      </c>
      <c r="C374" s="28" t="s">
        <v>959</v>
      </c>
      <c r="D374" s="28" t="s">
        <v>959</v>
      </c>
      <c r="E374" s="28" t="str">
        <f>IFERROR(IF(C374&gt;0, D374/C374, 0),"-")</f>
        <v>-</v>
      </c>
    </row>
    <row r="375" spans="1:5" x14ac:dyDescent="0.2">
      <c r="A375" s="28" t="s">
        <v>516</v>
      </c>
      <c r="B375" s="28" t="s">
        <v>1101</v>
      </c>
      <c r="C375" s="28" t="s">
        <v>959</v>
      </c>
      <c r="D375" s="28" t="s">
        <v>959</v>
      </c>
      <c r="E375" s="28" t="str">
        <f>IFERROR(IF(C375&gt;0, D375/C375, 0),"-")</f>
        <v>-</v>
      </c>
    </row>
    <row r="376" spans="1:5" x14ac:dyDescent="0.2">
      <c r="A376" s="28" t="s">
        <v>513</v>
      </c>
      <c r="B376" s="28" t="s">
        <v>1020</v>
      </c>
      <c r="C376" s="28" t="s">
        <v>959</v>
      </c>
      <c r="D376" s="28" t="s">
        <v>959</v>
      </c>
      <c r="E376" s="28" t="str">
        <f>IFERROR(IF(C376&gt;0, D376/C376, 0),"-")</f>
        <v>-</v>
      </c>
    </row>
    <row r="377" spans="1:5" x14ac:dyDescent="0.2">
      <c r="A377" s="28" t="s">
        <v>515</v>
      </c>
      <c r="B377" s="28" t="s">
        <v>1022</v>
      </c>
      <c r="C377" s="28" t="s">
        <v>959</v>
      </c>
      <c r="D377" s="28" t="s">
        <v>959</v>
      </c>
      <c r="E377" s="28" t="str">
        <f>IFERROR(IF(C377&gt;0, D377/C377, 0),"-")</f>
        <v>-</v>
      </c>
    </row>
    <row r="378" spans="1:5" x14ac:dyDescent="0.2">
      <c r="A378" s="28" t="s">
        <v>518</v>
      </c>
      <c r="B378" s="28" t="s">
        <v>1102</v>
      </c>
      <c r="C378" s="28" t="s">
        <v>959</v>
      </c>
      <c r="D378" s="28" t="s">
        <v>959</v>
      </c>
      <c r="E378" s="28" t="str">
        <f>IFERROR(IF(C378&gt;0, D378/C378, 0),"-")</f>
        <v>-</v>
      </c>
    </row>
    <row r="379" spans="1:5" x14ac:dyDescent="0.2">
      <c r="A379" s="27"/>
      <c r="B379" s="27" t="s">
        <v>59</v>
      </c>
      <c r="C379" s="27" t="s">
        <v>959</v>
      </c>
      <c r="D379" s="27" t="s">
        <v>959</v>
      </c>
      <c r="E379" s="27" t="str">
        <f>IFERROR(IF(C379&gt;0, D379/C379, 0),"-")</f>
        <v>-</v>
      </c>
    </row>
    <row r="380" spans="1:5" x14ac:dyDescent="0.2">
      <c r="A380" s="28" t="s">
        <v>363</v>
      </c>
      <c r="B380" s="28" t="s">
        <v>1103</v>
      </c>
      <c r="C380" s="28" t="s">
        <v>959</v>
      </c>
      <c r="D380" s="28" t="s">
        <v>959</v>
      </c>
      <c r="E380" s="28" t="str">
        <f>IFERROR(IF(C380&gt;0, D380/C380, 0),"-")</f>
        <v>-</v>
      </c>
    </row>
    <row r="381" spans="1:5" x14ac:dyDescent="0.2">
      <c r="A381" s="28" t="s">
        <v>364</v>
      </c>
      <c r="B381" s="28" t="s">
        <v>1104</v>
      </c>
      <c r="C381" s="28" t="s">
        <v>959</v>
      </c>
      <c r="D381" s="28" t="s">
        <v>959</v>
      </c>
      <c r="E381" s="28" t="str">
        <f>IFERROR(IF(C381&gt;0, D381/C381, 0),"-")</f>
        <v>-</v>
      </c>
    </row>
    <row r="382" spans="1:5" x14ac:dyDescent="0.2">
      <c r="A382" s="28" t="s">
        <v>362</v>
      </c>
      <c r="B382" s="28" t="s">
        <v>1105</v>
      </c>
      <c r="C382" s="28" t="s">
        <v>959</v>
      </c>
      <c r="D382" s="28" t="s">
        <v>959</v>
      </c>
      <c r="E382" s="28" t="str">
        <f>IFERROR(IF(C382&gt;0, D382/C382, 0),"-")</f>
        <v>-</v>
      </c>
    </row>
    <row r="383" spans="1:5" x14ac:dyDescent="0.2">
      <c r="A383" s="28" t="s">
        <v>366</v>
      </c>
      <c r="B383" s="28" t="s">
        <v>1106</v>
      </c>
      <c r="C383" s="28" t="s">
        <v>959</v>
      </c>
      <c r="D383" s="28" t="s">
        <v>959</v>
      </c>
      <c r="E383" s="28" t="str">
        <f>IFERROR(IF(C383&gt;0, D383/C383, 0),"-")</f>
        <v>-</v>
      </c>
    </row>
    <row r="384" spans="1:5" x14ac:dyDescent="0.2">
      <c r="A384" s="28" t="s">
        <v>365</v>
      </c>
      <c r="B384" s="28" t="s">
        <v>1107</v>
      </c>
      <c r="C384" s="28" t="s">
        <v>959</v>
      </c>
      <c r="D384" s="28" t="s">
        <v>959</v>
      </c>
      <c r="E384" s="28" t="str">
        <f>IFERROR(IF(C384&gt;0, D384/C384, 0),"-")</f>
        <v>-</v>
      </c>
    </row>
    <row r="385" spans="1:5" x14ac:dyDescent="0.2">
      <c r="A385" s="27"/>
      <c r="B385" s="27" t="s">
        <v>129</v>
      </c>
      <c r="C385" s="27" t="s">
        <v>959</v>
      </c>
      <c r="D385" s="27" t="s">
        <v>959</v>
      </c>
      <c r="E385" s="27" t="str">
        <f>IFERROR(IF(C385&gt;0, D385/C385, 0),"-")</f>
        <v>-</v>
      </c>
    </row>
    <row r="386" spans="1:5" x14ac:dyDescent="0.2">
      <c r="A386" s="28" t="s">
        <v>897</v>
      </c>
      <c r="B386" s="28" t="s">
        <v>1108</v>
      </c>
      <c r="C386" s="28" t="s">
        <v>959</v>
      </c>
      <c r="D386" s="28" t="s">
        <v>959</v>
      </c>
      <c r="E386" s="28" t="str">
        <f>IFERROR(IF(C386&gt;0, D386/C386, 0),"-")</f>
        <v>-</v>
      </c>
    </row>
    <row r="387" spans="1:5" x14ac:dyDescent="0.2">
      <c r="A387" s="28" t="s">
        <v>895</v>
      </c>
      <c r="B387" s="28" t="s">
        <v>1109</v>
      </c>
      <c r="C387" s="28" t="s">
        <v>959</v>
      </c>
      <c r="D387" s="28" t="s">
        <v>959</v>
      </c>
      <c r="E387" s="28" t="str">
        <f>IFERROR(IF(C387&gt;0, D387/C387, 0),"-")</f>
        <v>-</v>
      </c>
    </row>
    <row r="388" spans="1:5" x14ac:dyDescent="0.2">
      <c r="A388" s="28" t="s">
        <v>896</v>
      </c>
      <c r="B388" s="28" t="s">
        <v>1110</v>
      </c>
      <c r="C388" s="28" t="s">
        <v>959</v>
      </c>
      <c r="D388" s="28" t="s">
        <v>959</v>
      </c>
      <c r="E388" s="28" t="str">
        <f>IFERROR(IF(C388&gt;0, D388/C388, 0),"-")</f>
        <v>-</v>
      </c>
    </row>
    <row r="389" spans="1:5" x14ac:dyDescent="0.2">
      <c r="A389" s="28" t="s">
        <v>894</v>
      </c>
      <c r="B389" s="28" t="s">
        <v>1111</v>
      </c>
      <c r="C389" s="28" t="s">
        <v>959</v>
      </c>
      <c r="D389" s="28" t="s">
        <v>959</v>
      </c>
      <c r="E389" s="28" t="str">
        <f>IFERROR(IF(C389&gt;0, D389/C389, 0),"-")</f>
        <v>-</v>
      </c>
    </row>
    <row r="390" spans="1:5" x14ac:dyDescent="0.2">
      <c r="A390" s="27"/>
      <c r="B390" s="27" t="s">
        <v>110</v>
      </c>
      <c r="C390" s="27" t="s">
        <v>959</v>
      </c>
      <c r="D390" s="27" t="s">
        <v>959</v>
      </c>
      <c r="E390" s="27" t="str">
        <f>IFERROR(IF(C390&gt;0, D390/C390, 0),"-")</f>
        <v>-</v>
      </c>
    </row>
    <row r="391" spans="1:5" x14ac:dyDescent="0.2">
      <c r="A391" s="28" t="s">
        <v>796</v>
      </c>
      <c r="B391" s="28" t="s">
        <v>1112</v>
      </c>
      <c r="C391" s="28" t="s">
        <v>959</v>
      </c>
      <c r="D391" s="28" t="s">
        <v>959</v>
      </c>
      <c r="E391" s="28" t="str">
        <f>IFERROR(IF(C391&gt;0, D391/C391, 0),"-")</f>
        <v>-</v>
      </c>
    </row>
    <row r="392" spans="1:5" x14ac:dyDescent="0.2">
      <c r="A392" s="28" t="s">
        <v>800</v>
      </c>
      <c r="B392" s="28" t="s">
        <v>1113</v>
      </c>
      <c r="C392" s="28" t="s">
        <v>959</v>
      </c>
      <c r="D392" s="28" t="s">
        <v>959</v>
      </c>
      <c r="E392" s="28" t="str">
        <f>IFERROR(IF(C392&gt;0, D392/C392, 0),"-")</f>
        <v>-</v>
      </c>
    </row>
    <row r="393" spans="1:5" x14ac:dyDescent="0.2">
      <c r="A393" s="28" t="s">
        <v>798</v>
      </c>
      <c r="B393" s="28" t="s">
        <v>1114</v>
      </c>
      <c r="C393" s="28" t="s">
        <v>959</v>
      </c>
      <c r="D393" s="28" t="s">
        <v>959</v>
      </c>
      <c r="E393" s="28" t="str">
        <f>IFERROR(IF(C393&gt;0, D393/C393, 0),"-")</f>
        <v>-</v>
      </c>
    </row>
    <row r="394" spans="1:5" x14ac:dyDescent="0.2">
      <c r="A394" s="28" t="s">
        <v>799</v>
      </c>
      <c r="B394" s="28" t="s">
        <v>1115</v>
      </c>
      <c r="C394" s="28" t="s">
        <v>959</v>
      </c>
      <c r="D394" s="28" t="s">
        <v>959</v>
      </c>
      <c r="E394" s="28" t="str">
        <f>IFERROR(IF(C394&gt;0, D394/C394, 0),"-")</f>
        <v>-</v>
      </c>
    </row>
    <row r="395" spans="1:5" x14ac:dyDescent="0.2">
      <c r="A395" s="28" t="s">
        <v>797</v>
      </c>
      <c r="B395" s="28" t="s">
        <v>1116</v>
      </c>
      <c r="C395" s="28" t="s">
        <v>959</v>
      </c>
      <c r="D395" s="28" t="s">
        <v>959</v>
      </c>
      <c r="E395" s="28" t="str">
        <f>IFERROR(IF(C395&gt;0, D395/C395, 0),"-")</f>
        <v>-</v>
      </c>
    </row>
    <row r="396" spans="1:5" x14ac:dyDescent="0.2">
      <c r="A396" s="28" t="s">
        <v>801</v>
      </c>
      <c r="B396" s="28" t="s">
        <v>1117</v>
      </c>
      <c r="C396" s="28" t="s">
        <v>959</v>
      </c>
      <c r="D396" s="28" t="s">
        <v>959</v>
      </c>
      <c r="E396" s="28" t="str">
        <f>IFERROR(IF(C396&gt;0, D396/C396, 0),"-")</f>
        <v>-</v>
      </c>
    </row>
    <row r="397" spans="1:5" x14ac:dyDescent="0.2">
      <c r="A397" s="27"/>
      <c r="B397" s="27" t="s">
        <v>50</v>
      </c>
      <c r="C397" s="27" t="s">
        <v>959</v>
      </c>
      <c r="D397" s="27" t="s">
        <v>959</v>
      </c>
      <c r="E397" s="27" t="str">
        <f>IFERROR(IF(C397&gt;0, D397/C397, 0),"-")</f>
        <v>-</v>
      </c>
    </row>
    <row r="398" spans="1:5" x14ac:dyDescent="0.2">
      <c r="A398" s="28" t="s">
        <v>285</v>
      </c>
      <c r="B398" s="28" t="s">
        <v>1118</v>
      </c>
      <c r="C398" s="28" t="s">
        <v>959</v>
      </c>
      <c r="D398" s="28" t="s">
        <v>959</v>
      </c>
      <c r="E398" s="28" t="str">
        <f>IFERROR(IF(C398&gt;0, D398/C398, 0),"-")</f>
        <v>-</v>
      </c>
    </row>
    <row r="399" spans="1:5" x14ac:dyDescent="0.2">
      <c r="A399" s="28" t="s">
        <v>287</v>
      </c>
      <c r="B399" s="28" t="s">
        <v>1119</v>
      </c>
      <c r="C399" s="28" t="s">
        <v>959</v>
      </c>
      <c r="D399" s="28" t="s">
        <v>959</v>
      </c>
      <c r="E399" s="28" t="str">
        <f>IFERROR(IF(C399&gt;0, D399/C399, 0),"-")</f>
        <v>-</v>
      </c>
    </row>
    <row r="400" spans="1:5" x14ac:dyDescent="0.2">
      <c r="A400" s="28" t="s">
        <v>281</v>
      </c>
      <c r="B400" s="28" t="s">
        <v>1120</v>
      </c>
      <c r="C400" s="28" t="s">
        <v>959</v>
      </c>
      <c r="D400" s="28" t="s">
        <v>959</v>
      </c>
      <c r="E400" s="28" t="str">
        <f>IFERROR(IF(C400&gt;0, D400/C400, 0),"-")</f>
        <v>-</v>
      </c>
    </row>
    <row r="401" spans="1:5" x14ac:dyDescent="0.2">
      <c r="A401" s="28" t="s">
        <v>282</v>
      </c>
      <c r="B401" s="28" t="s">
        <v>1121</v>
      </c>
      <c r="C401" s="28" t="s">
        <v>959</v>
      </c>
      <c r="D401" s="28" t="s">
        <v>959</v>
      </c>
      <c r="E401" s="28" t="str">
        <f>IFERROR(IF(C401&gt;0, D401/C401, 0),"-")</f>
        <v>-</v>
      </c>
    </row>
    <row r="402" spans="1:5" x14ac:dyDescent="0.2">
      <c r="A402" s="28" t="s">
        <v>286</v>
      </c>
      <c r="B402" s="28" t="s">
        <v>1122</v>
      </c>
      <c r="C402" s="28" t="s">
        <v>959</v>
      </c>
      <c r="D402" s="28" t="s">
        <v>959</v>
      </c>
      <c r="E402" s="28" t="str">
        <f>IFERROR(IF(C402&gt;0, D402/C402, 0),"-")</f>
        <v>-</v>
      </c>
    </row>
    <row r="403" spans="1:5" x14ac:dyDescent="0.2">
      <c r="A403" s="28" t="s">
        <v>302</v>
      </c>
      <c r="B403" s="28" t="s">
        <v>1123</v>
      </c>
      <c r="C403" s="28" t="s">
        <v>959</v>
      </c>
      <c r="D403" s="28" t="s">
        <v>959</v>
      </c>
      <c r="E403" s="28" t="str">
        <f>IFERROR(IF(C403&gt;0, D403/C403, 0),"-")</f>
        <v>-</v>
      </c>
    </row>
    <row r="404" spans="1:5" x14ac:dyDescent="0.2">
      <c r="A404" s="28" t="s">
        <v>280</v>
      </c>
      <c r="B404" s="28" t="s">
        <v>1124</v>
      </c>
      <c r="C404" s="28" t="s">
        <v>959</v>
      </c>
      <c r="D404" s="28" t="s">
        <v>959</v>
      </c>
      <c r="E404" s="28" t="str">
        <f>IFERROR(IF(C404&gt;0, D404/C404, 0),"-")</f>
        <v>-</v>
      </c>
    </row>
    <row r="405" spans="1:5" x14ac:dyDescent="0.2">
      <c r="A405" s="28" t="s">
        <v>284</v>
      </c>
      <c r="B405" s="28" t="s">
        <v>1125</v>
      </c>
      <c r="C405" s="28" t="s">
        <v>959</v>
      </c>
      <c r="D405" s="28" t="s">
        <v>959</v>
      </c>
      <c r="E405" s="28" t="str">
        <f>IFERROR(IF(C405&gt;0, D405/C405, 0),"-")</f>
        <v>-</v>
      </c>
    </row>
    <row r="406" spans="1:5" x14ac:dyDescent="0.2">
      <c r="A406" s="28" t="s">
        <v>283</v>
      </c>
      <c r="B406" s="28" t="s">
        <v>1126</v>
      </c>
      <c r="C406" s="28" t="s">
        <v>959</v>
      </c>
      <c r="D406" s="28" t="s">
        <v>959</v>
      </c>
      <c r="E406" s="28" t="str">
        <f>IFERROR(IF(C406&gt;0, D406/C406, 0),"-")</f>
        <v>-</v>
      </c>
    </row>
    <row r="407" spans="1:5" x14ac:dyDescent="0.2">
      <c r="A407" s="27"/>
      <c r="B407" s="27" t="s">
        <v>105</v>
      </c>
      <c r="C407" s="27" t="s">
        <v>959</v>
      </c>
      <c r="D407" s="27" t="s">
        <v>959</v>
      </c>
      <c r="E407" s="27" t="str">
        <f>IFERROR(IF(C407&gt;0, D407/C407, 0),"-")</f>
        <v>-</v>
      </c>
    </row>
    <row r="408" spans="1:5" x14ac:dyDescent="0.2">
      <c r="A408" s="28" t="s">
        <v>757</v>
      </c>
      <c r="B408" s="28" t="s">
        <v>1127</v>
      </c>
      <c r="C408" s="28" t="s">
        <v>959</v>
      </c>
      <c r="D408" s="28" t="s">
        <v>959</v>
      </c>
      <c r="E408" s="28" t="str">
        <f>IFERROR(IF(C408&gt;0, D408/C408, 0),"-")</f>
        <v>-</v>
      </c>
    </row>
    <row r="409" spans="1:5" x14ac:dyDescent="0.2">
      <c r="A409" s="28" t="s">
        <v>759</v>
      </c>
      <c r="B409" s="28" t="s">
        <v>1128</v>
      </c>
      <c r="C409" s="28" t="s">
        <v>959</v>
      </c>
      <c r="D409" s="28" t="s">
        <v>959</v>
      </c>
      <c r="E409" s="28" t="str">
        <f>IFERROR(IF(C409&gt;0, D409/C409, 0),"-")</f>
        <v>-</v>
      </c>
    </row>
    <row r="410" spans="1:5" x14ac:dyDescent="0.2">
      <c r="A410" s="28" t="s">
        <v>758</v>
      </c>
      <c r="B410" s="28" t="s">
        <v>1129</v>
      </c>
      <c r="C410" s="28" t="s">
        <v>959</v>
      </c>
      <c r="D410" s="28" t="s">
        <v>959</v>
      </c>
      <c r="E410" s="28" t="str">
        <f>IFERROR(IF(C410&gt;0, D410/C410, 0),"-")</f>
        <v>-</v>
      </c>
    </row>
    <row r="411" spans="1:5" x14ac:dyDescent="0.2">
      <c r="A411" s="28" t="s">
        <v>768</v>
      </c>
      <c r="B411" s="28" t="s">
        <v>1130</v>
      </c>
      <c r="C411" s="28" t="s">
        <v>959</v>
      </c>
      <c r="D411" s="28" t="s">
        <v>959</v>
      </c>
      <c r="E411" s="28" t="str">
        <f>IFERROR(IF(C411&gt;0, D411/C411, 0),"-")</f>
        <v>-</v>
      </c>
    </row>
    <row r="412" spans="1:5" x14ac:dyDescent="0.2">
      <c r="A412" s="28" t="s">
        <v>754</v>
      </c>
      <c r="B412" s="28" t="s">
        <v>1131</v>
      </c>
      <c r="C412" s="28" t="s">
        <v>959</v>
      </c>
      <c r="D412" s="28" t="s">
        <v>959</v>
      </c>
      <c r="E412" s="28" t="str">
        <f>IFERROR(IF(C412&gt;0, D412/C412, 0),"-")</f>
        <v>-</v>
      </c>
    </row>
    <row r="413" spans="1:5" x14ac:dyDescent="0.2">
      <c r="A413" s="28" t="s">
        <v>756</v>
      </c>
      <c r="B413" s="28" t="s">
        <v>1132</v>
      </c>
      <c r="C413" s="28" t="s">
        <v>959</v>
      </c>
      <c r="D413" s="28" t="s">
        <v>959</v>
      </c>
      <c r="E413" s="28" t="str">
        <f>IFERROR(IF(C413&gt;0, D413/C413, 0),"-")</f>
        <v>-</v>
      </c>
    </row>
    <row r="414" spans="1:5" x14ac:dyDescent="0.2">
      <c r="A414" s="28" t="s">
        <v>755</v>
      </c>
      <c r="B414" s="28" t="s">
        <v>1133</v>
      </c>
      <c r="C414" s="28" t="s">
        <v>959</v>
      </c>
      <c r="D414" s="28" t="s">
        <v>959</v>
      </c>
      <c r="E414" s="28" t="str">
        <f>IFERROR(IF(C414&gt;0, D414/C414, 0),"-")</f>
        <v>-</v>
      </c>
    </row>
    <row r="415" spans="1:5" x14ac:dyDescent="0.2">
      <c r="A415" s="27"/>
      <c r="B415" s="27" t="s">
        <v>100</v>
      </c>
      <c r="C415" s="27" t="s">
        <v>959</v>
      </c>
      <c r="D415" s="27" t="s">
        <v>959</v>
      </c>
      <c r="E415" s="27" t="str">
        <f>IFERROR(IF(C415&gt;0, D415/C415, 0),"-")</f>
        <v>-</v>
      </c>
    </row>
    <row r="416" spans="1:5" x14ac:dyDescent="0.2">
      <c r="A416" s="28" t="s">
        <v>708</v>
      </c>
      <c r="B416" s="28" t="s">
        <v>1134</v>
      </c>
      <c r="C416" s="28" t="s">
        <v>959</v>
      </c>
      <c r="D416" s="28" t="s">
        <v>959</v>
      </c>
      <c r="E416" s="28" t="str">
        <f>IFERROR(IF(C416&gt;0, D416/C416, 0),"-")</f>
        <v>-</v>
      </c>
    </row>
    <row r="417" spans="1:5" x14ac:dyDescent="0.2">
      <c r="A417" s="28" t="s">
        <v>706</v>
      </c>
      <c r="B417" s="28" t="s">
        <v>1135</v>
      </c>
      <c r="C417" s="28" t="s">
        <v>959</v>
      </c>
      <c r="D417" s="28" t="s">
        <v>959</v>
      </c>
      <c r="E417" s="28" t="str">
        <f>IFERROR(IF(C417&gt;0, D417/C417, 0),"-")</f>
        <v>-</v>
      </c>
    </row>
    <row r="418" spans="1:5" x14ac:dyDescent="0.2">
      <c r="A418" s="28" t="s">
        <v>704</v>
      </c>
      <c r="B418" s="28" t="s">
        <v>1136</v>
      </c>
      <c r="C418" s="28" t="s">
        <v>959</v>
      </c>
      <c r="D418" s="28" t="s">
        <v>959</v>
      </c>
      <c r="E418" s="28" t="str">
        <f>IFERROR(IF(C418&gt;0, D418/C418, 0),"-")</f>
        <v>-</v>
      </c>
    </row>
    <row r="419" spans="1:5" x14ac:dyDescent="0.2">
      <c r="A419" s="28" t="s">
        <v>709</v>
      </c>
      <c r="B419" s="28" t="s">
        <v>1137</v>
      </c>
      <c r="C419" s="28" t="s">
        <v>959</v>
      </c>
      <c r="D419" s="28" t="s">
        <v>959</v>
      </c>
      <c r="E419" s="28" t="str">
        <f>IFERROR(IF(C419&gt;0, D419/C419, 0),"-")</f>
        <v>-</v>
      </c>
    </row>
    <row r="420" spans="1:5" x14ac:dyDescent="0.2">
      <c r="A420" s="28" t="s">
        <v>707</v>
      </c>
      <c r="B420" s="28" t="s">
        <v>1138</v>
      </c>
      <c r="C420" s="28" t="s">
        <v>959</v>
      </c>
      <c r="D420" s="28" t="s">
        <v>959</v>
      </c>
      <c r="E420" s="28" t="str">
        <f>IFERROR(IF(C420&gt;0, D420/C420, 0),"-")</f>
        <v>-</v>
      </c>
    </row>
    <row r="421" spans="1:5" x14ac:dyDescent="0.2">
      <c r="A421" s="28" t="s">
        <v>705</v>
      </c>
      <c r="B421" s="28" t="s">
        <v>1139</v>
      </c>
      <c r="C421" s="28" t="s">
        <v>959</v>
      </c>
      <c r="D421" s="28" t="s">
        <v>959</v>
      </c>
      <c r="E421" s="28" t="str">
        <f>IFERROR(IF(C421&gt;0, D421/C421, 0),"-")</f>
        <v>-</v>
      </c>
    </row>
    <row r="422" spans="1:5" x14ac:dyDescent="0.2">
      <c r="A422" s="27"/>
      <c r="B422" s="27" t="s">
        <v>31</v>
      </c>
      <c r="C422" s="27" t="s">
        <v>959</v>
      </c>
      <c r="D422" s="27" t="s">
        <v>959</v>
      </c>
      <c r="E422" s="27" t="str">
        <f>IFERROR(IF(C422&gt;0, D422/C422, 0),"-")</f>
        <v>-</v>
      </c>
    </row>
    <row r="423" spans="1:5" x14ac:dyDescent="0.2">
      <c r="A423" s="28" t="s">
        <v>138</v>
      </c>
      <c r="B423" s="28" t="s">
        <v>1140</v>
      </c>
      <c r="C423" s="28" t="s">
        <v>959</v>
      </c>
      <c r="D423" s="28" t="s">
        <v>959</v>
      </c>
      <c r="E423" s="28" t="str">
        <f>IFERROR(IF(C423&gt;0, D423/C423, 0),"-")</f>
        <v>-</v>
      </c>
    </row>
    <row r="424" spans="1:5" x14ac:dyDescent="0.2">
      <c r="A424" s="28" t="s">
        <v>142</v>
      </c>
      <c r="B424" s="28" t="s">
        <v>1141</v>
      </c>
      <c r="C424" s="28" t="s">
        <v>959</v>
      </c>
      <c r="D424" s="28" t="s">
        <v>959</v>
      </c>
      <c r="E424" s="28" t="str">
        <f>IFERROR(IF(C424&gt;0, D424/C424, 0),"-")</f>
        <v>-</v>
      </c>
    </row>
    <row r="425" spans="1:5" x14ac:dyDescent="0.2">
      <c r="A425" s="28" t="s">
        <v>139</v>
      </c>
      <c r="B425" s="28" t="s">
        <v>1142</v>
      </c>
      <c r="C425" s="28" t="s">
        <v>959</v>
      </c>
      <c r="D425" s="28" t="s">
        <v>959</v>
      </c>
      <c r="E425" s="28" t="str">
        <f>IFERROR(IF(C425&gt;0, D425/C425, 0),"-")</f>
        <v>-</v>
      </c>
    </row>
    <row r="426" spans="1:5" x14ac:dyDescent="0.2">
      <c r="A426" s="28" t="s">
        <v>137</v>
      </c>
      <c r="B426" s="28" t="s">
        <v>1143</v>
      </c>
      <c r="C426" s="28" t="s">
        <v>959</v>
      </c>
      <c r="D426" s="28" t="s">
        <v>959</v>
      </c>
      <c r="E426" s="28" t="str">
        <f>IFERROR(IF(C426&gt;0, D426/C426, 0),"-")</f>
        <v>-</v>
      </c>
    </row>
    <row r="427" spans="1:5" x14ac:dyDescent="0.2">
      <c r="A427" s="28" t="s">
        <v>140</v>
      </c>
      <c r="B427" s="28" t="s">
        <v>1144</v>
      </c>
      <c r="C427" s="28" t="s">
        <v>959</v>
      </c>
      <c r="D427" s="28" t="s">
        <v>959</v>
      </c>
      <c r="E427" s="28" t="str">
        <f>IFERROR(IF(C427&gt;0, D427/C427, 0),"-")</f>
        <v>-</v>
      </c>
    </row>
    <row r="428" spans="1:5" x14ac:dyDescent="0.2">
      <c r="A428" s="28" t="s">
        <v>141</v>
      </c>
      <c r="B428" s="28" t="s">
        <v>1145</v>
      </c>
      <c r="C428" s="28" t="s">
        <v>959</v>
      </c>
      <c r="D428" s="28" t="s">
        <v>959</v>
      </c>
      <c r="E428" s="28" t="str">
        <f>IFERROR(IF(C428&gt;0, D428/C428, 0),"-")</f>
        <v>-</v>
      </c>
    </row>
    <row r="429" spans="1:5" x14ac:dyDescent="0.2">
      <c r="A429" s="28" t="s">
        <v>136</v>
      </c>
      <c r="B429" s="28" t="s">
        <v>1146</v>
      </c>
      <c r="C429" s="28" t="s">
        <v>959</v>
      </c>
      <c r="D429" s="28" t="s">
        <v>959</v>
      </c>
      <c r="E429" s="28" t="str">
        <f>IFERROR(IF(C429&gt;0, D429/C429, 0),"-")</f>
        <v>-</v>
      </c>
    </row>
    <row r="430" spans="1:5" x14ac:dyDescent="0.2">
      <c r="A430" s="27"/>
      <c r="B430" s="27" t="s">
        <v>84</v>
      </c>
      <c r="C430" s="27" t="s">
        <v>959</v>
      </c>
      <c r="D430" s="27" t="s">
        <v>959</v>
      </c>
      <c r="E430" s="27" t="str">
        <f>IFERROR(IF(C430&gt;0, D430/C430, 0),"-")</f>
        <v>-</v>
      </c>
    </row>
    <row r="431" spans="1:5" x14ac:dyDescent="0.2">
      <c r="A431" s="28" t="s">
        <v>578</v>
      </c>
      <c r="B431" s="28" t="s">
        <v>1147</v>
      </c>
      <c r="C431" s="28" t="s">
        <v>959</v>
      </c>
      <c r="D431" s="28" t="s">
        <v>959</v>
      </c>
      <c r="E431" s="28" t="str">
        <f>IFERROR(IF(C431&gt;0, D431/C431, 0),"-")</f>
        <v>-</v>
      </c>
    </row>
    <row r="432" spans="1:5" x14ac:dyDescent="0.2">
      <c r="A432" s="28" t="s">
        <v>565</v>
      </c>
      <c r="B432" s="28" t="s">
        <v>1148</v>
      </c>
      <c r="C432" s="28" t="s">
        <v>959</v>
      </c>
      <c r="D432" s="28" t="s">
        <v>959</v>
      </c>
      <c r="E432" s="28" t="str">
        <f>IFERROR(IF(C432&gt;0, D432/C432, 0),"-")</f>
        <v>-</v>
      </c>
    </row>
    <row r="433" spans="1:5" x14ac:dyDescent="0.2">
      <c r="A433" s="28" t="s">
        <v>563</v>
      </c>
      <c r="B433" s="28" t="s">
        <v>1149</v>
      </c>
      <c r="C433" s="28" t="s">
        <v>959</v>
      </c>
      <c r="D433" s="28" t="s">
        <v>959</v>
      </c>
      <c r="E433" s="28" t="str">
        <f>IFERROR(IF(C433&gt;0, D433/C433, 0),"-")</f>
        <v>-</v>
      </c>
    </row>
    <row r="434" spans="1:5" x14ac:dyDescent="0.2">
      <c r="A434" s="28" t="s">
        <v>564</v>
      </c>
      <c r="B434" s="28" t="s">
        <v>1073</v>
      </c>
      <c r="C434" s="28" t="s">
        <v>959</v>
      </c>
      <c r="D434" s="28" t="s">
        <v>959</v>
      </c>
      <c r="E434" s="28" t="str">
        <f>IFERROR(IF(C434&gt;0, D434/C434, 0),"-")</f>
        <v>-</v>
      </c>
    </row>
    <row r="435" spans="1:5" x14ac:dyDescent="0.2">
      <c r="A435" s="28" t="s">
        <v>562</v>
      </c>
      <c r="B435" s="28" t="s">
        <v>1150</v>
      </c>
      <c r="C435" s="28" t="s">
        <v>959</v>
      </c>
      <c r="D435" s="28" t="s">
        <v>959</v>
      </c>
      <c r="E435" s="28" t="str">
        <f>IFERROR(IF(C435&gt;0, D435/C435, 0),"-")</f>
        <v>-</v>
      </c>
    </row>
    <row r="436" spans="1:5" x14ac:dyDescent="0.2">
      <c r="A436" s="28" t="s">
        <v>561</v>
      </c>
      <c r="B436" s="28" t="s">
        <v>1151</v>
      </c>
      <c r="C436" s="28" t="s">
        <v>959</v>
      </c>
      <c r="D436" s="28" t="s">
        <v>959</v>
      </c>
      <c r="E436" s="28" t="str">
        <f>IFERROR(IF(C436&gt;0, D436/C436, 0),"-")</f>
        <v>-</v>
      </c>
    </row>
    <row r="437" spans="1:5" x14ac:dyDescent="0.2">
      <c r="A437" s="27"/>
      <c r="B437" s="27" t="s">
        <v>14</v>
      </c>
      <c r="C437" s="27" t="s">
        <v>959</v>
      </c>
      <c r="D437" s="27" t="s">
        <v>959</v>
      </c>
      <c r="E437" s="27" t="str">
        <f>IFERROR(IF(C437&gt;0, D437/C437, 0),"-")</f>
        <v>-</v>
      </c>
    </row>
    <row r="438" spans="1:5" x14ac:dyDescent="0.2">
      <c r="A438" s="28" t="s">
        <v>381</v>
      </c>
      <c r="B438" s="28" t="s">
        <v>1152</v>
      </c>
      <c r="C438" s="28" t="s">
        <v>959</v>
      </c>
      <c r="D438" s="28" t="s">
        <v>959</v>
      </c>
      <c r="E438" s="28" t="str">
        <f>IFERROR(IF(C438&gt;0, D438/C438, 0),"-")</f>
        <v>-</v>
      </c>
    </row>
    <row r="439" spans="1:5" x14ac:dyDescent="0.2">
      <c r="A439" s="28" t="s">
        <v>380</v>
      </c>
      <c r="B439" s="28" t="s">
        <v>1153</v>
      </c>
      <c r="C439" s="28" t="s">
        <v>959</v>
      </c>
      <c r="D439" s="28" t="s">
        <v>959</v>
      </c>
      <c r="E439" s="28" t="str">
        <f>IFERROR(IF(C439&gt;0, D439/C439, 0),"-")</f>
        <v>-</v>
      </c>
    </row>
    <row r="440" spans="1:5" x14ac:dyDescent="0.2">
      <c r="A440" s="28" t="s">
        <v>379</v>
      </c>
      <c r="B440" s="28" t="s">
        <v>1154</v>
      </c>
      <c r="C440" s="28" t="s">
        <v>959</v>
      </c>
      <c r="D440" s="28" t="s">
        <v>959</v>
      </c>
      <c r="E440" s="28" t="str">
        <f>IFERROR(IF(C440&gt;0, D440/C440, 0),"-")</f>
        <v>-</v>
      </c>
    </row>
    <row r="441" spans="1:5" x14ac:dyDescent="0.2">
      <c r="A441" s="28" t="s">
        <v>378</v>
      </c>
      <c r="B441" s="28" t="s">
        <v>1155</v>
      </c>
      <c r="C441" s="28" t="s">
        <v>959</v>
      </c>
      <c r="D441" s="28" t="s">
        <v>959</v>
      </c>
      <c r="E441" s="28" t="str">
        <f>IFERROR(IF(C441&gt;0, D441/C441, 0),"-")</f>
        <v>-</v>
      </c>
    </row>
    <row r="442" spans="1:5" x14ac:dyDescent="0.2">
      <c r="A442" s="28" t="s">
        <v>377</v>
      </c>
      <c r="B442" s="28" t="s">
        <v>1156</v>
      </c>
      <c r="C442" s="28" t="s">
        <v>959</v>
      </c>
      <c r="D442" s="28" t="s">
        <v>959</v>
      </c>
      <c r="E442" s="28" t="str">
        <f>IFERROR(IF(C442&gt;0, D442/C442, 0),"-")</f>
        <v>-</v>
      </c>
    </row>
    <row r="443" spans="1:5" x14ac:dyDescent="0.2">
      <c r="A443" s="27"/>
      <c r="B443" s="27" t="s">
        <v>98</v>
      </c>
      <c r="C443" s="27" t="s">
        <v>959</v>
      </c>
      <c r="D443" s="27" t="s">
        <v>959</v>
      </c>
      <c r="E443" s="27" t="str">
        <f>IFERROR(IF(C443&gt;0, D443/C443, 0),"-")</f>
        <v>-</v>
      </c>
    </row>
    <row r="444" spans="1:5" x14ac:dyDescent="0.2">
      <c r="A444" s="28" t="s">
        <v>695</v>
      </c>
      <c r="B444" s="28" t="s">
        <v>1157</v>
      </c>
      <c r="C444" s="28" t="s">
        <v>959</v>
      </c>
      <c r="D444" s="28" t="s">
        <v>959</v>
      </c>
      <c r="E444" s="28" t="str">
        <f>IFERROR(IF(C444&gt;0, D444/C444, 0),"-")</f>
        <v>-</v>
      </c>
    </row>
    <row r="445" spans="1:5" x14ac:dyDescent="0.2">
      <c r="A445" s="28" t="s">
        <v>693</v>
      </c>
      <c r="B445" s="28" t="s">
        <v>1158</v>
      </c>
      <c r="C445" s="28" t="s">
        <v>959</v>
      </c>
      <c r="D445" s="28" t="s">
        <v>959</v>
      </c>
      <c r="E445" s="28" t="str">
        <f>IFERROR(IF(C445&gt;0, D445/C445, 0),"-")</f>
        <v>-</v>
      </c>
    </row>
    <row r="446" spans="1:5" x14ac:dyDescent="0.2">
      <c r="A446" s="28" t="s">
        <v>691</v>
      </c>
      <c r="B446" s="28" t="s">
        <v>1159</v>
      </c>
      <c r="C446" s="28" t="s">
        <v>959</v>
      </c>
      <c r="D446" s="28" t="s">
        <v>959</v>
      </c>
      <c r="E446" s="28" t="str">
        <f>IFERROR(IF(C446&gt;0, D446/C446, 0),"-")</f>
        <v>-</v>
      </c>
    </row>
    <row r="447" spans="1:5" x14ac:dyDescent="0.2">
      <c r="A447" s="28" t="s">
        <v>692</v>
      </c>
      <c r="B447" s="28" t="s">
        <v>1160</v>
      </c>
      <c r="C447" s="28" t="s">
        <v>959</v>
      </c>
      <c r="D447" s="28" t="s">
        <v>959</v>
      </c>
      <c r="E447" s="28" t="str">
        <f>IFERROR(IF(C447&gt;0, D447/C447, 0),"-")</f>
        <v>-</v>
      </c>
    </row>
    <row r="448" spans="1:5" x14ac:dyDescent="0.2">
      <c r="A448" s="28" t="s">
        <v>694</v>
      </c>
      <c r="B448" s="28" t="s">
        <v>1161</v>
      </c>
      <c r="C448" s="28" t="s">
        <v>959</v>
      </c>
      <c r="D448" s="28" t="s">
        <v>959</v>
      </c>
      <c r="E448" s="28" t="str">
        <f>IFERROR(IF(C448&gt;0, D448/C448, 0),"-")</f>
        <v>-</v>
      </c>
    </row>
    <row r="449" spans="1:5" x14ac:dyDescent="0.2">
      <c r="A449" s="27"/>
      <c r="B449" s="27" t="s">
        <v>21</v>
      </c>
      <c r="C449" s="27" t="s">
        <v>959</v>
      </c>
      <c r="D449" s="27" t="s">
        <v>959</v>
      </c>
      <c r="E449" s="27" t="str">
        <f>IFERROR(IF(C449&gt;0, D449/C449, 0),"-")</f>
        <v>-</v>
      </c>
    </row>
    <row r="450" spans="1:5" x14ac:dyDescent="0.2">
      <c r="A450" s="28" t="s">
        <v>651</v>
      </c>
      <c r="B450" s="28" t="s">
        <v>1162</v>
      </c>
      <c r="C450" s="28" t="s">
        <v>959</v>
      </c>
      <c r="D450" s="28" t="s">
        <v>959</v>
      </c>
      <c r="E450" s="28" t="str">
        <f>IFERROR(IF(C450&gt;0, D450/C450, 0),"-")</f>
        <v>-</v>
      </c>
    </row>
    <row r="451" spans="1:5" x14ac:dyDescent="0.2">
      <c r="A451" s="28" t="s">
        <v>653</v>
      </c>
      <c r="B451" s="28" t="s">
        <v>1163</v>
      </c>
      <c r="C451" s="28" t="s">
        <v>959</v>
      </c>
      <c r="D451" s="28" t="s">
        <v>959</v>
      </c>
      <c r="E451" s="28" t="str">
        <f>IFERROR(IF(C451&gt;0, D451/C451, 0),"-")</f>
        <v>-</v>
      </c>
    </row>
    <row r="452" spans="1:5" x14ac:dyDescent="0.2">
      <c r="A452" s="28" t="s">
        <v>655</v>
      </c>
      <c r="B452" s="28" t="s">
        <v>1164</v>
      </c>
      <c r="C452" s="28" t="s">
        <v>959</v>
      </c>
      <c r="D452" s="28" t="s">
        <v>959</v>
      </c>
      <c r="E452" s="28" t="str">
        <f>IFERROR(IF(C452&gt;0, D452/C452, 0),"-")</f>
        <v>-</v>
      </c>
    </row>
    <row r="453" spans="1:5" x14ac:dyDescent="0.2">
      <c r="A453" s="28" t="s">
        <v>652</v>
      </c>
      <c r="B453" s="28" t="s">
        <v>1165</v>
      </c>
      <c r="C453" s="28" t="s">
        <v>959</v>
      </c>
      <c r="D453" s="28" t="s">
        <v>959</v>
      </c>
      <c r="E453" s="28" t="str">
        <f>IFERROR(IF(C453&gt;0, D453/C453, 0),"-")</f>
        <v>-</v>
      </c>
    </row>
    <row r="454" spans="1:5" x14ac:dyDescent="0.2">
      <c r="A454" s="28" t="s">
        <v>654</v>
      </c>
      <c r="B454" s="28" t="s">
        <v>1166</v>
      </c>
      <c r="C454" s="28" t="s">
        <v>959</v>
      </c>
      <c r="D454" s="28" t="s">
        <v>959</v>
      </c>
      <c r="E454" s="28" t="str">
        <f>IFERROR(IF(C454&gt;0, D454/C454, 0),"-")</f>
        <v>-</v>
      </c>
    </row>
    <row r="455" spans="1:5" x14ac:dyDescent="0.2">
      <c r="A455" s="28" t="s">
        <v>647</v>
      </c>
      <c r="B455" s="28" t="s">
        <v>1167</v>
      </c>
      <c r="C455" s="28" t="s">
        <v>959</v>
      </c>
      <c r="D455" s="28" t="s">
        <v>959</v>
      </c>
      <c r="E455" s="28" t="str">
        <f>IFERROR(IF(C455&gt;0, D455/C455, 0),"-")</f>
        <v>-</v>
      </c>
    </row>
    <row r="456" spans="1:5" x14ac:dyDescent="0.2">
      <c r="A456" s="28" t="s">
        <v>650</v>
      </c>
      <c r="B456" s="28" t="s">
        <v>1168</v>
      </c>
      <c r="C456" s="28" t="s">
        <v>959</v>
      </c>
      <c r="D456" s="28" t="s">
        <v>959</v>
      </c>
      <c r="E456" s="28" t="str">
        <f>IFERROR(IF(C456&gt;0, D456/C456, 0),"-")</f>
        <v>-</v>
      </c>
    </row>
    <row r="457" spans="1:5" x14ac:dyDescent="0.2">
      <c r="A457" s="28" t="s">
        <v>648</v>
      </c>
      <c r="B457" s="28" t="s">
        <v>1169</v>
      </c>
      <c r="C457" s="28" t="s">
        <v>959</v>
      </c>
      <c r="D457" s="28" t="s">
        <v>959</v>
      </c>
      <c r="E457" s="28" t="str">
        <f>IFERROR(IF(C457&gt;0, D457/C457, 0),"-")</f>
        <v>-</v>
      </c>
    </row>
    <row r="458" spans="1:5" x14ac:dyDescent="0.2">
      <c r="A458" s="28" t="s">
        <v>649</v>
      </c>
      <c r="B458" s="28" t="s">
        <v>1170</v>
      </c>
      <c r="C458" s="28" t="s">
        <v>959</v>
      </c>
      <c r="D458" s="28" t="s">
        <v>959</v>
      </c>
      <c r="E458" s="28" t="str">
        <f>IFERROR(IF(C458&gt;0, D458/C458, 0),"-")</f>
        <v>-</v>
      </c>
    </row>
    <row r="459" spans="1:5" x14ac:dyDescent="0.2">
      <c r="A459" s="27"/>
      <c r="B459" s="27" t="s">
        <v>65</v>
      </c>
      <c r="C459" s="27" t="s">
        <v>959</v>
      </c>
      <c r="D459" s="27" t="s">
        <v>959</v>
      </c>
      <c r="E459" s="27" t="str">
        <f>IFERROR(IF(C459&gt;0, D459/C459, 0),"-")</f>
        <v>-</v>
      </c>
    </row>
    <row r="460" spans="1:5" x14ac:dyDescent="0.2">
      <c r="A460" s="28" t="s">
        <v>416</v>
      </c>
      <c r="B460" s="28" t="s">
        <v>1171</v>
      </c>
      <c r="C460" s="28" t="s">
        <v>959</v>
      </c>
      <c r="D460" s="28" t="s">
        <v>959</v>
      </c>
      <c r="E460" s="28" t="str">
        <f>IFERROR(IF(C460&gt;0, D460/C460, 0),"-")</f>
        <v>-</v>
      </c>
    </row>
    <row r="461" spans="1:5" x14ac:dyDescent="0.2">
      <c r="A461" s="28" t="s">
        <v>417</v>
      </c>
      <c r="B461" s="28" t="s">
        <v>1172</v>
      </c>
      <c r="C461" s="28" t="s">
        <v>959</v>
      </c>
      <c r="D461" s="28" t="s">
        <v>959</v>
      </c>
      <c r="E461" s="28" t="str">
        <f>IFERROR(IF(C461&gt;0, D461/C461, 0),"-")</f>
        <v>-</v>
      </c>
    </row>
    <row r="462" spans="1:5" x14ac:dyDescent="0.2">
      <c r="A462" s="28" t="s">
        <v>419</v>
      </c>
      <c r="B462" s="28" t="s">
        <v>1173</v>
      </c>
      <c r="C462" s="28" t="s">
        <v>959</v>
      </c>
      <c r="D462" s="28" t="s">
        <v>959</v>
      </c>
      <c r="E462" s="28" t="str">
        <f>IFERROR(IF(C462&gt;0, D462/C462, 0),"-")</f>
        <v>-</v>
      </c>
    </row>
    <row r="463" spans="1:5" x14ac:dyDescent="0.2">
      <c r="A463" s="28" t="s">
        <v>418</v>
      </c>
      <c r="B463" s="28" t="s">
        <v>1174</v>
      </c>
      <c r="C463" s="28" t="s">
        <v>959</v>
      </c>
      <c r="D463" s="28" t="s">
        <v>959</v>
      </c>
      <c r="E463" s="28" t="str">
        <f>IFERROR(IF(C463&gt;0, D463/C463, 0),"-")</f>
        <v>-</v>
      </c>
    </row>
    <row r="464" spans="1:5" x14ac:dyDescent="0.2">
      <c r="A464" s="28" t="s">
        <v>415</v>
      </c>
      <c r="B464" s="28" t="s">
        <v>1175</v>
      </c>
      <c r="C464" s="28" t="s">
        <v>959</v>
      </c>
      <c r="D464" s="28" t="s">
        <v>959</v>
      </c>
      <c r="E464" s="28" t="str">
        <f>IFERROR(IF(C464&gt;0, D464/C464, 0),"-")</f>
        <v>-</v>
      </c>
    </row>
    <row r="465" spans="1:5" x14ac:dyDescent="0.2">
      <c r="A465" s="27"/>
      <c r="B465" s="27" t="s">
        <v>87</v>
      </c>
      <c r="C465" s="27" t="s">
        <v>959</v>
      </c>
      <c r="D465" s="27" t="s">
        <v>959</v>
      </c>
      <c r="E465" s="27" t="str">
        <f>IFERROR(IF(C465&gt;0, D465/C465, 0),"-")</f>
        <v>-</v>
      </c>
    </row>
    <row r="466" spans="1:5" x14ac:dyDescent="0.2">
      <c r="A466" s="28" t="s">
        <v>591</v>
      </c>
      <c r="B466" s="28" t="s">
        <v>1176</v>
      </c>
      <c r="C466" s="28" t="s">
        <v>959</v>
      </c>
      <c r="D466" s="28" t="s">
        <v>959</v>
      </c>
      <c r="E466" s="28" t="str">
        <f>IFERROR(IF(C466&gt;0, D466/C466, 0),"-")</f>
        <v>-</v>
      </c>
    </row>
    <row r="467" spans="1:5" x14ac:dyDescent="0.2">
      <c r="A467" s="28" t="s">
        <v>588</v>
      </c>
      <c r="B467" s="28" t="s">
        <v>1177</v>
      </c>
      <c r="C467" s="28" t="s">
        <v>959</v>
      </c>
      <c r="D467" s="28" t="s">
        <v>959</v>
      </c>
      <c r="E467" s="28" t="str">
        <f>IFERROR(IF(C467&gt;0, D467/C467, 0),"-")</f>
        <v>-</v>
      </c>
    </row>
    <row r="468" spans="1:5" x14ac:dyDescent="0.2">
      <c r="A468" s="28" t="s">
        <v>586</v>
      </c>
      <c r="B468" s="28" t="s">
        <v>1178</v>
      </c>
      <c r="C468" s="28" t="s">
        <v>959</v>
      </c>
      <c r="D468" s="28" t="s">
        <v>959</v>
      </c>
      <c r="E468" s="28" t="str">
        <f>IFERROR(IF(C468&gt;0, D468/C468, 0),"-")</f>
        <v>-</v>
      </c>
    </row>
    <row r="469" spans="1:5" x14ac:dyDescent="0.2">
      <c r="A469" s="28" t="s">
        <v>587</v>
      </c>
      <c r="B469" s="28" t="s">
        <v>1179</v>
      </c>
      <c r="C469" s="28" t="s">
        <v>959</v>
      </c>
      <c r="D469" s="28" t="s">
        <v>959</v>
      </c>
      <c r="E469" s="28" t="str">
        <f>IFERROR(IF(C469&gt;0, D469/C469, 0),"-")</f>
        <v>-</v>
      </c>
    </row>
    <row r="470" spans="1:5" x14ac:dyDescent="0.2">
      <c r="A470" s="28" t="s">
        <v>590</v>
      </c>
      <c r="B470" s="28" t="s">
        <v>1180</v>
      </c>
      <c r="C470" s="28" t="s">
        <v>959</v>
      </c>
      <c r="D470" s="28" t="s">
        <v>959</v>
      </c>
      <c r="E470" s="28" t="str">
        <f>IFERROR(IF(C470&gt;0, D470/C470, 0),"-")</f>
        <v>-</v>
      </c>
    </row>
    <row r="471" spans="1:5" x14ac:dyDescent="0.2">
      <c r="A471" s="28" t="s">
        <v>589</v>
      </c>
      <c r="B471" s="28" t="s">
        <v>1181</v>
      </c>
      <c r="C471" s="28" t="s">
        <v>959</v>
      </c>
      <c r="D471" s="28" t="s">
        <v>959</v>
      </c>
      <c r="E471" s="28" t="str">
        <f>IFERROR(IF(C471&gt;0, D471/C471, 0),"-")</f>
        <v>-</v>
      </c>
    </row>
    <row r="472" spans="1:5" x14ac:dyDescent="0.2">
      <c r="A472" s="27"/>
      <c r="B472" s="27" t="s">
        <v>23</v>
      </c>
      <c r="C472" s="27" t="s">
        <v>959</v>
      </c>
      <c r="D472" s="27" t="s">
        <v>959</v>
      </c>
      <c r="E472" s="27" t="str">
        <f>IFERROR(IF(C472&gt;0, D472/C472, 0),"-")</f>
        <v>-</v>
      </c>
    </row>
    <row r="473" spans="1:5" x14ac:dyDescent="0.2">
      <c r="A473" s="28" t="s">
        <v>721</v>
      </c>
      <c r="B473" s="28" t="s">
        <v>1182</v>
      </c>
      <c r="C473" s="28" t="s">
        <v>959</v>
      </c>
      <c r="D473" s="28" t="s">
        <v>959</v>
      </c>
      <c r="E473" s="28" t="str">
        <f>IFERROR(IF(C473&gt;0, D473/C473, 0),"-")</f>
        <v>-</v>
      </c>
    </row>
    <row r="474" spans="1:5" x14ac:dyDescent="0.2">
      <c r="A474" s="28" t="s">
        <v>719</v>
      </c>
      <c r="B474" s="28" t="s">
        <v>1183</v>
      </c>
      <c r="C474" s="28" t="s">
        <v>959</v>
      </c>
      <c r="D474" s="28" t="s">
        <v>959</v>
      </c>
      <c r="E474" s="28" t="str">
        <f>IFERROR(IF(C474&gt;0, D474/C474, 0),"-")</f>
        <v>-</v>
      </c>
    </row>
    <row r="475" spans="1:5" x14ac:dyDescent="0.2">
      <c r="A475" s="28" t="s">
        <v>720</v>
      </c>
      <c r="B475" s="28" t="s">
        <v>1184</v>
      </c>
      <c r="C475" s="28" t="s">
        <v>959</v>
      </c>
      <c r="D475" s="28" t="s">
        <v>959</v>
      </c>
      <c r="E475" s="28" t="str">
        <f>IFERROR(IF(C475&gt;0, D475/C475, 0),"-")</f>
        <v>-</v>
      </c>
    </row>
    <row r="476" spans="1:5" x14ac:dyDescent="0.2">
      <c r="A476" s="28" t="s">
        <v>726</v>
      </c>
      <c r="B476" s="28" t="s">
        <v>1185</v>
      </c>
      <c r="C476" s="28" t="s">
        <v>959</v>
      </c>
      <c r="D476" s="28" t="s">
        <v>959</v>
      </c>
      <c r="E476" s="28" t="str">
        <f>IFERROR(IF(C476&gt;0, D476/C476, 0),"-")</f>
        <v>-</v>
      </c>
    </row>
    <row r="477" spans="1:5" x14ac:dyDescent="0.2">
      <c r="A477" s="28" t="s">
        <v>722</v>
      </c>
      <c r="B477" s="28" t="s">
        <v>1186</v>
      </c>
      <c r="C477" s="28" t="s">
        <v>959</v>
      </c>
      <c r="D477" s="28" t="s">
        <v>959</v>
      </c>
      <c r="E477" s="28" t="str">
        <f>IFERROR(IF(C477&gt;0, D477/C477, 0),"-")</f>
        <v>-</v>
      </c>
    </row>
    <row r="478" spans="1:5" x14ac:dyDescent="0.2">
      <c r="A478" s="28" t="s">
        <v>723</v>
      </c>
      <c r="B478" s="28" t="s">
        <v>1187</v>
      </c>
      <c r="C478" s="28" t="s">
        <v>959</v>
      </c>
      <c r="D478" s="28" t="s">
        <v>959</v>
      </c>
      <c r="E478" s="28" t="str">
        <f>IFERROR(IF(C478&gt;0, D478/C478, 0),"-")</f>
        <v>-</v>
      </c>
    </row>
    <row r="479" spans="1:5" x14ac:dyDescent="0.2">
      <c r="A479" s="28" t="s">
        <v>725</v>
      </c>
      <c r="B479" s="28" t="s">
        <v>1188</v>
      </c>
      <c r="C479" s="28" t="s">
        <v>959</v>
      </c>
      <c r="D479" s="28" t="s">
        <v>959</v>
      </c>
      <c r="E479" s="28" t="str">
        <f>IFERROR(IF(C479&gt;0, D479/C479, 0),"-")</f>
        <v>-</v>
      </c>
    </row>
    <row r="480" spans="1:5" x14ac:dyDescent="0.2">
      <c r="A480" s="28" t="s">
        <v>724</v>
      </c>
      <c r="B480" s="28" t="s">
        <v>1189</v>
      </c>
      <c r="C480" s="28" t="s">
        <v>959</v>
      </c>
      <c r="D480" s="28" t="s">
        <v>959</v>
      </c>
      <c r="E480" s="28" t="str">
        <f>IFERROR(IF(C480&gt;0, D480/C480, 0),"-")</f>
        <v>-</v>
      </c>
    </row>
    <row r="481" spans="1:5" x14ac:dyDescent="0.2">
      <c r="A481" s="27"/>
      <c r="B481" s="27" t="s">
        <v>127</v>
      </c>
      <c r="C481" s="27" t="s">
        <v>959</v>
      </c>
      <c r="D481" s="27" t="s">
        <v>959</v>
      </c>
      <c r="E481" s="27" t="str">
        <f>IFERROR(IF(C481&gt;0, D481/C481, 0),"-")</f>
        <v>-</v>
      </c>
    </row>
    <row r="482" spans="1:5" x14ac:dyDescent="0.2">
      <c r="A482" s="28" t="s">
        <v>887</v>
      </c>
      <c r="B482" s="28" t="s">
        <v>1190</v>
      </c>
      <c r="C482" s="28" t="s">
        <v>959</v>
      </c>
      <c r="D482" s="28" t="s">
        <v>959</v>
      </c>
      <c r="E482" s="28" t="str">
        <f>IFERROR(IF(C482&gt;0, D482/C482, 0),"-")</f>
        <v>-</v>
      </c>
    </row>
    <row r="483" spans="1:5" x14ac:dyDescent="0.2">
      <c r="A483" s="28" t="s">
        <v>907</v>
      </c>
      <c r="B483" s="28" t="s">
        <v>1191</v>
      </c>
      <c r="C483" s="28" t="s">
        <v>959</v>
      </c>
      <c r="D483" s="28" t="s">
        <v>959</v>
      </c>
      <c r="E483" s="28" t="str">
        <f>IFERROR(IF(C483&gt;0, D483/C483, 0),"-")</f>
        <v>-</v>
      </c>
    </row>
    <row r="484" spans="1:5" x14ac:dyDescent="0.2">
      <c r="A484" s="28" t="s">
        <v>888</v>
      </c>
      <c r="B484" s="28" t="s">
        <v>1192</v>
      </c>
      <c r="C484" s="28" t="s">
        <v>959</v>
      </c>
      <c r="D484" s="28" t="s">
        <v>959</v>
      </c>
      <c r="E484" s="28" t="str">
        <f>IFERROR(IF(C484&gt;0, D484/C484, 0),"-")</f>
        <v>-</v>
      </c>
    </row>
    <row r="485" spans="1:5" x14ac:dyDescent="0.2">
      <c r="A485" s="28" t="s">
        <v>885</v>
      </c>
      <c r="B485" s="28" t="s">
        <v>1193</v>
      </c>
      <c r="C485" s="28" t="s">
        <v>959</v>
      </c>
      <c r="D485" s="28" t="s">
        <v>959</v>
      </c>
      <c r="E485" s="28" t="str">
        <f>IFERROR(IF(C485&gt;0, D485/C485, 0),"-")</f>
        <v>-</v>
      </c>
    </row>
    <row r="486" spans="1:5" x14ac:dyDescent="0.2">
      <c r="A486" s="28" t="s">
        <v>886</v>
      </c>
      <c r="B486" s="28" t="s">
        <v>1194</v>
      </c>
      <c r="C486" s="28" t="s">
        <v>959</v>
      </c>
      <c r="D486" s="28" t="s">
        <v>959</v>
      </c>
      <c r="E486" s="28" t="str">
        <f>IFERROR(IF(C486&gt;0, D486/C486, 0),"-")</f>
        <v>-</v>
      </c>
    </row>
    <row r="487" spans="1:5" x14ac:dyDescent="0.2">
      <c r="A487" s="27"/>
      <c r="B487" s="27" t="s">
        <v>15</v>
      </c>
      <c r="C487" s="27" t="s">
        <v>959</v>
      </c>
      <c r="D487" s="27" t="s">
        <v>959</v>
      </c>
      <c r="E487" s="27" t="str">
        <f>IFERROR(IF(C487&gt;0, D487/C487, 0),"-")</f>
        <v>-</v>
      </c>
    </row>
    <row r="488" spans="1:5" x14ac:dyDescent="0.2">
      <c r="A488" s="28" t="s">
        <v>431</v>
      </c>
      <c r="B488" s="28" t="s">
        <v>1195</v>
      </c>
      <c r="C488" s="28" t="s">
        <v>959</v>
      </c>
      <c r="D488" s="28" t="s">
        <v>959</v>
      </c>
      <c r="E488" s="28" t="str">
        <f>IFERROR(IF(C488&gt;0, D488/C488, 0),"-")</f>
        <v>-</v>
      </c>
    </row>
    <row r="489" spans="1:5" x14ac:dyDescent="0.2">
      <c r="A489" s="28" t="s">
        <v>427</v>
      </c>
      <c r="B489" s="28" t="s">
        <v>1196</v>
      </c>
      <c r="C489" s="28" t="s">
        <v>959</v>
      </c>
      <c r="D489" s="28" t="s">
        <v>959</v>
      </c>
      <c r="E489" s="28" t="str">
        <f>IFERROR(IF(C489&gt;0, D489/C489, 0),"-")</f>
        <v>-</v>
      </c>
    </row>
    <row r="490" spans="1:5" x14ac:dyDescent="0.2">
      <c r="A490" s="28" t="s">
        <v>429</v>
      </c>
      <c r="B490" s="28" t="s">
        <v>1197</v>
      </c>
      <c r="C490" s="28" t="s">
        <v>959</v>
      </c>
      <c r="D490" s="28" t="s">
        <v>959</v>
      </c>
      <c r="E490" s="28" t="str">
        <f>IFERROR(IF(C490&gt;0, D490/C490, 0),"-")</f>
        <v>-</v>
      </c>
    </row>
    <row r="491" spans="1:5" x14ac:dyDescent="0.2">
      <c r="A491" s="28" t="s">
        <v>430</v>
      </c>
      <c r="B491" s="28" t="s">
        <v>1198</v>
      </c>
      <c r="C491" s="28" t="s">
        <v>959</v>
      </c>
      <c r="D491" s="28" t="s">
        <v>959</v>
      </c>
      <c r="E491" s="28" t="str">
        <f>IFERROR(IF(C491&gt;0, D491/C491, 0),"-")</f>
        <v>-</v>
      </c>
    </row>
    <row r="492" spans="1:5" x14ac:dyDescent="0.2">
      <c r="A492" s="28" t="s">
        <v>432</v>
      </c>
      <c r="B492" s="28" t="s">
        <v>1199</v>
      </c>
      <c r="C492" s="28" t="s">
        <v>959</v>
      </c>
      <c r="D492" s="28" t="s">
        <v>959</v>
      </c>
      <c r="E492" s="28" t="str">
        <f>IFERROR(IF(C492&gt;0, D492/C492, 0),"-")</f>
        <v>-</v>
      </c>
    </row>
    <row r="493" spans="1:5" x14ac:dyDescent="0.2">
      <c r="A493" s="28" t="s">
        <v>425</v>
      </c>
      <c r="B493" s="28" t="s">
        <v>1200</v>
      </c>
      <c r="C493" s="28" t="s">
        <v>959</v>
      </c>
      <c r="D493" s="28" t="s">
        <v>959</v>
      </c>
      <c r="E493" s="28" t="str">
        <f>IFERROR(IF(C493&gt;0, D493/C493, 0),"-")</f>
        <v>-</v>
      </c>
    </row>
    <row r="494" spans="1:5" x14ac:dyDescent="0.2">
      <c r="A494" s="28" t="s">
        <v>424</v>
      </c>
      <c r="B494" s="28" t="s">
        <v>1201</v>
      </c>
      <c r="C494" s="28" t="s">
        <v>959</v>
      </c>
      <c r="D494" s="28" t="s">
        <v>959</v>
      </c>
      <c r="E494" s="28" t="str">
        <f>IFERROR(IF(C494&gt;0, D494/C494, 0),"-")</f>
        <v>-</v>
      </c>
    </row>
    <row r="495" spans="1:5" x14ac:dyDescent="0.2">
      <c r="A495" s="28" t="s">
        <v>428</v>
      </c>
      <c r="B495" s="28" t="s">
        <v>1202</v>
      </c>
      <c r="C495" s="28" t="s">
        <v>959</v>
      </c>
      <c r="D495" s="28" t="s">
        <v>959</v>
      </c>
      <c r="E495" s="28" t="str">
        <f>IFERROR(IF(C495&gt;0, D495/C495, 0),"-")</f>
        <v>-</v>
      </c>
    </row>
    <row r="496" spans="1:5" x14ac:dyDescent="0.2">
      <c r="A496" s="28" t="s">
        <v>426</v>
      </c>
      <c r="B496" s="28" t="s">
        <v>1203</v>
      </c>
      <c r="C496" s="28" t="s">
        <v>959</v>
      </c>
      <c r="D496" s="28" t="s">
        <v>959</v>
      </c>
      <c r="E496" s="28" t="str">
        <f>IFERROR(IF(C496&gt;0, D496/C496, 0),"-")</f>
        <v>-</v>
      </c>
    </row>
    <row r="497" spans="1:5" x14ac:dyDescent="0.2">
      <c r="A497" s="27"/>
      <c r="B497" s="27" t="s">
        <v>111</v>
      </c>
      <c r="C497" s="27" t="s">
        <v>959</v>
      </c>
      <c r="D497" s="27" t="s">
        <v>959</v>
      </c>
      <c r="E497" s="27" t="str">
        <f>IFERROR(IF(C497&gt;0, D497/C497, 0),"-")</f>
        <v>-</v>
      </c>
    </row>
    <row r="498" spans="1:5" x14ac:dyDescent="0.2">
      <c r="A498" s="28" t="s">
        <v>805</v>
      </c>
      <c r="B498" s="28" t="s">
        <v>1204</v>
      </c>
      <c r="C498" s="28" t="s">
        <v>959</v>
      </c>
      <c r="D498" s="28" t="s">
        <v>959</v>
      </c>
      <c r="E498" s="28" t="str">
        <f>IFERROR(IF(C498&gt;0, D498/C498, 0),"-")</f>
        <v>-</v>
      </c>
    </row>
    <row r="499" spans="1:5" x14ac:dyDescent="0.2">
      <c r="A499" s="28" t="s">
        <v>806</v>
      </c>
      <c r="B499" s="28" t="s">
        <v>1205</v>
      </c>
      <c r="C499" s="28" t="s">
        <v>959</v>
      </c>
      <c r="D499" s="28" t="s">
        <v>959</v>
      </c>
      <c r="E499" s="28" t="str">
        <f>IFERROR(IF(C499&gt;0, D499/C499, 0),"-")</f>
        <v>-</v>
      </c>
    </row>
    <row r="500" spans="1:5" x14ac:dyDescent="0.2">
      <c r="A500" s="28" t="s">
        <v>808</v>
      </c>
      <c r="B500" s="28" t="s">
        <v>1206</v>
      </c>
      <c r="C500" s="28" t="s">
        <v>959</v>
      </c>
      <c r="D500" s="28" t="s">
        <v>959</v>
      </c>
      <c r="E500" s="28" t="str">
        <f>IFERROR(IF(C500&gt;0, D500/C500, 0),"-")</f>
        <v>-</v>
      </c>
    </row>
    <row r="501" spans="1:5" x14ac:dyDescent="0.2">
      <c r="A501" s="28" t="s">
        <v>804</v>
      </c>
      <c r="B501" s="28" t="s">
        <v>1207</v>
      </c>
      <c r="C501" s="28" t="s">
        <v>959</v>
      </c>
      <c r="D501" s="28" t="s">
        <v>959</v>
      </c>
      <c r="E501" s="28" t="str">
        <f>IFERROR(IF(C501&gt;0, D501/C501, 0),"-")</f>
        <v>-</v>
      </c>
    </row>
    <row r="502" spans="1:5" x14ac:dyDescent="0.2">
      <c r="A502" s="28" t="s">
        <v>809</v>
      </c>
      <c r="B502" s="28" t="s">
        <v>1208</v>
      </c>
      <c r="C502" s="28" t="s">
        <v>959</v>
      </c>
      <c r="D502" s="28" t="s">
        <v>959</v>
      </c>
      <c r="E502" s="28" t="str">
        <f>IFERROR(IF(C502&gt;0, D502/C502, 0),"-")</f>
        <v>-</v>
      </c>
    </row>
    <row r="503" spans="1:5" x14ac:dyDescent="0.2">
      <c r="A503" s="28" t="s">
        <v>807</v>
      </c>
      <c r="B503" s="28" t="s">
        <v>1209</v>
      </c>
      <c r="C503" s="28" t="s">
        <v>959</v>
      </c>
      <c r="D503" s="28" t="s">
        <v>959</v>
      </c>
      <c r="E503" s="28" t="str">
        <f>IFERROR(IF(C503&gt;0, D503/C503, 0),"-")</f>
        <v>-</v>
      </c>
    </row>
    <row r="504" spans="1:5" x14ac:dyDescent="0.2">
      <c r="A504" s="27"/>
      <c r="B504" s="27" t="s">
        <v>83</v>
      </c>
      <c r="C504" s="27" t="s">
        <v>959</v>
      </c>
      <c r="D504" s="27" t="s">
        <v>959</v>
      </c>
      <c r="E504" s="27" t="str">
        <f>IFERROR(IF(C504&gt;0, D504/C504, 0),"-")</f>
        <v>-</v>
      </c>
    </row>
    <row r="505" spans="1:5" x14ac:dyDescent="0.2">
      <c r="A505" s="28" t="s">
        <v>558</v>
      </c>
      <c r="B505" s="28" t="s">
        <v>1210</v>
      </c>
      <c r="C505" s="28" t="s">
        <v>959</v>
      </c>
      <c r="D505" s="28" t="s">
        <v>959</v>
      </c>
      <c r="E505" s="28" t="str">
        <f>IFERROR(IF(C505&gt;0, D505/C505, 0),"-")</f>
        <v>-</v>
      </c>
    </row>
    <row r="506" spans="1:5" x14ac:dyDescent="0.2">
      <c r="A506" s="28" t="s">
        <v>560</v>
      </c>
      <c r="B506" s="28" t="s">
        <v>1211</v>
      </c>
      <c r="C506" s="28" t="s">
        <v>959</v>
      </c>
      <c r="D506" s="28" t="s">
        <v>959</v>
      </c>
      <c r="E506" s="28" t="str">
        <f>IFERROR(IF(C506&gt;0, D506/C506, 0),"-")</f>
        <v>-</v>
      </c>
    </row>
    <row r="507" spans="1:5" x14ac:dyDescent="0.2">
      <c r="A507" s="28" t="s">
        <v>556</v>
      </c>
      <c r="B507" s="28" t="s">
        <v>1212</v>
      </c>
      <c r="C507" s="28" t="s">
        <v>959</v>
      </c>
      <c r="D507" s="28" t="s">
        <v>959</v>
      </c>
      <c r="E507" s="28" t="str">
        <f>IFERROR(IF(C507&gt;0, D507/C507, 0),"-")</f>
        <v>-</v>
      </c>
    </row>
    <row r="508" spans="1:5" x14ac:dyDescent="0.2">
      <c r="A508" s="28" t="s">
        <v>557</v>
      </c>
      <c r="B508" s="28" t="s">
        <v>1213</v>
      </c>
      <c r="C508" s="28" t="s">
        <v>959</v>
      </c>
      <c r="D508" s="28" t="s">
        <v>959</v>
      </c>
      <c r="E508" s="28" t="str">
        <f>IFERROR(IF(C508&gt;0, D508/C508, 0),"-")</f>
        <v>-</v>
      </c>
    </row>
    <row r="509" spans="1:5" x14ac:dyDescent="0.2">
      <c r="A509" s="28" t="s">
        <v>559</v>
      </c>
      <c r="B509" s="28" t="s">
        <v>1214</v>
      </c>
      <c r="C509" s="28" t="s">
        <v>959</v>
      </c>
      <c r="D509" s="28" t="s">
        <v>959</v>
      </c>
      <c r="E509" s="28" t="str">
        <f>IFERROR(IF(C509&gt;0, D509/C509, 0),"-")</f>
        <v>-</v>
      </c>
    </row>
    <row r="510" spans="1:5" x14ac:dyDescent="0.2">
      <c r="A510" s="27"/>
      <c r="B510" s="27" t="s">
        <v>116</v>
      </c>
      <c r="C510" s="27" t="s">
        <v>959</v>
      </c>
      <c r="D510" s="27" t="s">
        <v>959</v>
      </c>
      <c r="E510" s="27" t="str">
        <f>IFERROR(IF(C510&gt;0, D510/C510, 0),"-")</f>
        <v>-</v>
      </c>
    </row>
    <row r="511" spans="1:5" x14ac:dyDescent="0.2">
      <c r="A511" s="28" t="s">
        <v>829</v>
      </c>
      <c r="B511" s="28" t="s">
        <v>1215</v>
      </c>
      <c r="C511" s="28" t="s">
        <v>959</v>
      </c>
      <c r="D511" s="28" t="s">
        <v>959</v>
      </c>
      <c r="E511" s="28" t="str">
        <f>IFERROR(IF(C511&gt;0, D511/C511, 0),"-")</f>
        <v>-</v>
      </c>
    </row>
    <row r="512" spans="1:5" x14ac:dyDescent="0.2">
      <c r="A512" s="28" t="s">
        <v>831</v>
      </c>
      <c r="B512" s="28" t="s">
        <v>1216</v>
      </c>
      <c r="C512" s="28" t="s">
        <v>959</v>
      </c>
      <c r="D512" s="28" t="s">
        <v>959</v>
      </c>
      <c r="E512" s="28" t="str">
        <f>IFERROR(IF(C512&gt;0, D512/C512, 0),"-")</f>
        <v>-</v>
      </c>
    </row>
    <row r="513" spans="1:5" x14ac:dyDescent="0.2">
      <c r="A513" s="28" t="s">
        <v>833</v>
      </c>
      <c r="B513" s="28" t="s">
        <v>1217</v>
      </c>
      <c r="C513" s="28" t="s">
        <v>959</v>
      </c>
      <c r="D513" s="28" t="s">
        <v>959</v>
      </c>
      <c r="E513" s="28" t="str">
        <f>IFERROR(IF(C513&gt;0, D513/C513, 0),"-")</f>
        <v>-</v>
      </c>
    </row>
    <row r="514" spans="1:5" x14ac:dyDescent="0.2">
      <c r="A514" s="28" t="s">
        <v>830</v>
      </c>
      <c r="B514" s="28" t="s">
        <v>1218</v>
      </c>
      <c r="C514" s="28" t="s">
        <v>959</v>
      </c>
      <c r="D514" s="28" t="s">
        <v>959</v>
      </c>
      <c r="E514" s="28" t="str">
        <f>IFERROR(IF(C514&gt;0, D514/C514, 0),"-")</f>
        <v>-</v>
      </c>
    </row>
    <row r="515" spans="1:5" x14ac:dyDescent="0.2">
      <c r="A515" s="28" t="s">
        <v>832</v>
      </c>
      <c r="B515" s="28" t="s">
        <v>1219</v>
      </c>
      <c r="C515" s="28" t="s">
        <v>959</v>
      </c>
      <c r="D515" s="28" t="s">
        <v>959</v>
      </c>
      <c r="E515" s="28" t="str">
        <f>IFERROR(IF(C515&gt;0, D515/C515, 0),"-")</f>
        <v>-</v>
      </c>
    </row>
    <row r="516" spans="1:5" x14ac:dyDescent="0.2">
      <c r="A516" s="27"/>
      <c r="B516" s="27" t="s">
        <v>20</v>
      </c>
      <c r="C516" s="27" t="s">
        <v>959</v>
      </c>
      <c r="D516" s="27" t="s">
        <v>959</v>
      </c>
      <c r="E516" s="27" t="str">
        <f>IFERROR(IF(C516&gt;0, D516/C516, 0),"-")</f>
        <v>-</v>
      </c>
    </row>
    <row r="517" spans="1:5" x14ac:dyDescent="0.2">
      <c r="A517" s="28" t="s">
        <v>678</v>
      </c>
      <c r="B517" s="28" t="s">
        <v>1220</v>
      </c>
      <c r="C517" s="28" t="s">
        <v>959</v>
      </c>
      <c r="D517" s="28" t="s">
        <v>959</v>
      </c>
      <c r="E517" s="28" t="str">
        <f>IFERROR(IF(C517&gt;0, D517/C517, 0),"-")</f>
        <v>-</v>
      </c>
    </row>
    <row r="518" spans="1:5" x14ac:dyDescent="0.2">
      <c r="A518" s="28" t="s">
        <v>677</v>
      </c>
      <c r="B518" s="28" t="s">
        <v>1221</v>
      </c>
      <c r="C518" s="28" t="s">
        <v>959</v>
      </c>
      <c r="D518" s="28" t="s">
        <v>959</v>
      </c>
      <c r="E518" s="28" t="str">
        <f>IFERROR(IF(C518&gt;0, D518/C518, 0),"-")</f>
        <v>-</v>
      </c>
    </row>
    <row r="519" spans="1:5" x14ac:dyDescent="0.2">
      <c r="A519" s="28" t="s">
        <v>697</v>
      </c>
      <c r="B519" s="28" t="s">
        <v>1222</v>
      </c>
      <c r="C519" s="28" t="s">
        <v>959</v>
      </c>
      <c r="D519" s="28" t="s">
        <v>959</v>
      </c>
      <c r="E519" s="28" t="str">
        <f>IFERROR(IF(C519&gt;0, D519/C519, 0),"-")</f>
        <v>-</v>
      </c>
    </row>
    <row r="520" spans="1:5" x14ac:dyDescent="0.2">
      <c r="A520" s="28" t="s">
        <v>696</v>
      </c>
      <c r="B520" s="28" t="s">
        <v>1223</v>
      </c>
      <c r="C520" s="28" t="s">
        <v>959</v>
      </c>
      <c r="D520" s="28" t="s">
        <v>959</v>
      </c>
      <c r="E520" s="28" t="str">
        <f>IFERROR(IF(C520&gt;0, D520/C520, 0),"-")</f>
        <v>-</v>
      </c>
    </row>
    <row r="521" spans="1:5" x14ac:dyDescent="0.2">
      <c r="A521" s="28" t="s">
        <v>698</v>
      </c>
      <c r="B521" s="28" t="s">
        <v>1224</v>
      </c>
      <c r="C521" s="28" t="s">
        <v>959</v>
      </c>
      <c r="D521" s="28" t="s">
        <v>959</v>
      </c>
      <c r="E521" s="28" t="str">
        <f>IFERROR(IF(C521&gt;0, D521/C521, 0),"-")</f>
        <v>-</v>
      </c>
    </row>
    <row r="522" spans="1:5" x14ac:dyDescent="0.2">
      <c r="A522" s="28" t="s">
        <v>681</v>
      </c>
      <c r="B522" s="28" t="s">
        <v>1225</v>
      </c>
      <c r="C522" s="28" t="s">
        <v>959</v>
      </c>
      <c r="D522" s="28" t="s">
        <v>959</v>
      </c>
      <c r="E522" s="28" t="str">
        <f>IFERROR(IF(C522&gt;0, D522/C522, 0),"-")</f>
        <v>-</v>
      </c>
    </row>
    <row r="523" spans="1:5" x14ac:dyDescent="0.2">
      <c r="A523" s="28" t="s">
        <v>683</v>
      </c>
      <c r="B523" s="28" t="s">
        <v>1226</v>
      </c>
      <c r="C523" s="28" t="s">
        <v>959</v>
      </c>
      <c r="D523" s="28" t="s">
        <v>959</v>
      </c>
      <c r="E523" s="28" t="str">
        <f>IFERROR(IF(C523&gt;0, D523/C523, 0),"-")</f>
        <v>-</v>
      </c>
    </row>
    <row r="524" spans="1:5" x14ac:dyDescent="0.2">
      <c r="A524" s="28" t="s">
        <v>684</v>
      </c>
      <c r="B524" s="28" t="s">
        <v>1227</v>
      </c>
      <c r="C524" s="28" t="s">
        <v>959</v>
      </c>
      <c r="D524" s="28" t="s">
        <v>959</v>
      </c>
      <c r="E524" s="28" t="str">
        <f>IFERROR(IF(C524&gt;0, D524/C524, 0),"-")</f>
        <v>-</v>
      </c>
    </row>
    <row r="525" spans="1:5" x14ac:dyDescent="0.2">
      <c r="A525" s="28" t="s">
        <v>679</v>
      </c>
      <c r="B525" s="28" t="s">
        <v>1228</v>
      </c>
      <c r="C525" s="28" t="s">
        <v>959</v>
      </c>
      <c r="D525" s="28" t="s">
        <v>959</v>
      </c>
      <c r="E525" s="28" t="str">
        <f>IFERROR(IF(C525&gt;0, D525/C525, 0),"-")</f>
        <v>-</v>
      </c>
    </row>
    <row r="526" spans="1:5" x14ac:dyDescent="0.2">
      <c r="A526" s="28" t="s">
        <v>680</v>
      </c>
      <c r="B526" s="28" t="s">
        <v>1229</v>
      </c>
      <c r="C526" s="28" t="s">
        <v>959</v>
      </c>
      <c r="D526" s="28" t="s">
        <v>959</v>
      </c>
      <c r="E526" s="28" t="str">
        <f>IFERROR(IF(C526&gt;0, D526/C526, 0),"-")</f>
        <v>-</v>
      </c>
    </row>
    <row r="527" spans="1:5" x14ac:dyDescent="0.2">
      <c r="A527" s="28" t="s">
        <v>682</v>
      </c>
      <c r="B527" s="28" t="s">
        <v>1230</v>
      </c>
      <c r="C527" s="28" t="s">
        <v>959</v>
      </c>
      <c r="D527" s="28" t="s">
        <v>959</v>
      </c>
      <c r="E527" s="28" t="str">
        <f>IFERROR(IF(C527&gt;0, D527/C527, 0),"-")</f>
        <v>-</v>
      </c>
    </row>
    <row r="528" spans="1:5" x14ac:dyDescent="0.2">
      <c r="A528" s="27"/>
      <c r="B528" s="27" t="s">
        <v>131</v>
      </c>
      <c r="C528" s="27" t="s">
        <v>959</v>
      </c>
      <c r="D528" s="27" t="s">
        <v>959</v>
      </c>
      <c r="E528" s="27" t="str">
        <f>IFERROR(IF(C528&gt;0, D528/C528, 0),"-")</f>
        <v>-</v>
      </c>
    </row>
    <row r="529" spans="1:5" x14ac:dyDescent="0.2">
      <c r="A529" s="28" t="s">
        <v>908</v>
      </c>
      <c r="B529" s="28" t="s">
        <v>1231</v>
      </c>
      <c r="C529" s="28" t="s">
        <v>959</v>
      </c>
      <c r="D529" s="28" t="s">
        <v>959</v>
      </c>
      <c r="E529" s="28" t="str">
        <f>IFERROR(IF(C529&gt;0, D529/C529, 0),"-")</f>
        <v>-</v>
      </c>
    </row>
    <row r="530" spans="1:5" x14ac:dyDescent="0.2">
      <c r="A530" s="28" t="s">
        <v>913</v>
      </c>
      <c r="B530" s="28" t="s">
        <v>1232</v>
      </c>
      <c r="C530" s="28" t="s">
        <v>959</v>
      </c>
      <c r="D530" s="28" t="s">
        <v>959</v>
      </c>
      <c r="E530" s="28" t="str">
        <f>IFERROR(IF(C530&gt;0, D530/C530, 0),"-")</f>
        <v>-</v>
      </c>
    </row>
    <row r="531" spans="1:5" x14ac:dyDescent="0.2">
      <c r="A531" s="28" t="s">
        <v>909</v>
      </c>
      <c r="B531" s="28" t="s">
        <v>1233</v>
      </c>
      <c r="C531" s="28" t="s">
        <v>959</v>
      </c>
      <c r="D531" s="28" t="s">
        <v>959</v>
      </c>
      <c r="E531" s="28" t="str">
        <f>IFERROR(IF(C531&gt;0, D531/C531, 0),"-")</f>
        <v>-</v>
      </c>
    </row>
    <row r="532" spans="1:5" x14ac:dyDescent="0.2">
      <c r="A532" s="28" t="s">
        <v>910</v>
      </c>
      <c r="B532" s="28" t="s">
        <v>1234</v>
      </c>
      <c r="C532" s="28" t="s">
        <v>959</v>
      </c>
      <c r="D532" s="28" t="s">
        <v>959</v>
      </c>
      <c r="E532" s="28" t="str">
        <f>IFERROR(IF(C532&gt;0, D532/C532, 0),"-")</f>
        <v>-</v>
      </c>
    </row>
    <row r="533" spans="1:5" x14ac:dyDescent="0.2">
      <c r="A533" s="28" t="s">
        <v>912</v>
      </c>
      <c r="B533" s="28" t="s">
        <v>1235</v>
      </c>
      <c r="C533" s="28" t="s">
        <v>959</v>
      </c>
      <c r="D533" s="28" t="s">
        <v>959</v>
      </c>
      <c r="E533" s="28" t="str">
        <f>IFERROR(IF(C533&gt;0, D533/C533, 0),"-")</f>
        <v>-</v>
      </c>
    </row>
    <row r="534" spans="1:5" x14ac:dyDescent="0.2">
      <c r="A534" s="28" t="s">
        <v>911</v>
      </c>
      <c r="B534" s="28" t="s">
        <v>1236</v>
      </c>
      <c r="C534" s="28" t="s">
        <v>959</v>
      </c>
      <c r="D534" s="28" t="s">
        <v>959</v>
      </c>
      <c r="E534" s="28" t="str">
        <f>IFERROR(IF(C534&gt;0, D534/C534, 0),"-")</f>
        <v>-</v>
      </c>
    </row>
    <row r="535" spans="1:5" x14ac:dyDescent="0.2">
      <c r="A535" s="27"/>
      <c r="B535" s="27" t="s">
        <v>24</v>
      </c>
      <c r="C535" s="27" t="s">
        <v>959</v>
      </c>
      <c r="D535" s="27" t="s">
        <v>959</v>
      </c>
      <c r="E535" s="27" t="str">
        <f>IFERROR(IF(C535&gt;0, D535/C535, 0),"-")</f>
        <v>-</v>
      </c>
    </row>
    <row r="536" spans="1:5" x14ac:dyDescent="0.2">
      <c r="A536" s="28" t="s">
        <v>735</v>
      </c>
      <c r="B536" s="28" t="s">
        <v>1237</v>
      </c>
      <c r="C536" s="28" t="s">
        <v>959</v>
      </c>
      <c r="D536" s="28" t="s">
        <v>959</v>
      </c>
      <c r="E536" s="28" t="str">
        <f>IFERROR(IF(C536&gt;0, D536/C536, 0),"-")</f>
        <v>-</v>
      </c>
    </row>
    <row r="537" spans="1:5" x14ac:dyDescent="0.2">
      <c r="A537" s="28" t="s">
        <v>736</v>
      </c>
      <c r="B537" s="28" t="s">
        <v>1238</v>
      </c>
      <c r="C537" s="28" t="s">
        <v>959</v>
      </c>
      <c r="D537" s="28" t="s">
        <v>959</v>
      </c>
      <c r="E537" s="28" t="str">
        <f>IFERROR(IF(C537&gt;0, D537/C537, 0),"-")</f>
        <v>-</v>
      </c>
    </row>
    <row r="538" spans="1:5" x14ac:dyDescent="0.2">
      <c r="A538" s="28" t="s">
        <v>734</v>
      </c>
      <c r="B538" s="28" t="s">
        <v>1239</v>
      </c>
      <c r="C538" s="28" t="s">
        <v>959</v>
      </c>
      <c r="D538" s="28" t="s">
        <v>959</v>
      </c>
      <c r="E538" s="28" t="str">
        <f>IFERROR(IF(C538&gt;0, D538/C538, 0),"-")</f>
        <v>-</v>
      </c>
    </row>
    <row r="539" spans="1:5" x14ac:dyDescent="0.2">
      <c r="A539" s="28" t="s">
        <v>739</v>
      </c>
      <c r="B539" s="28" t="s">
        <v>1240</v>
      </c>
      <c r="C539" s="28" t="s">
        <v>959</v>
      </c>
      <c r="D539" s="28" t="s">
        <v>959</v>
      </c>
      <c r="E539" s="28" t="str">
        <f>IFERROR(IF(C539&gt;0, D539/C539, 0),"-")</f>
        <v>-</v>
      </c>
    </row>
    <row r="540" spans="1:5" x14ac:dyDescent="0.2">
      <c r="A540" s="28" t="s">
        <v>733</v>
      </c>
      <c r="B540" s="28" t="s">
        <v>1241</v>
      </c>
      <c r="C540" s="28" t="s">
        <v>959</v>
      </c>
      <c r="D540" s="28" t="s">
        <v>959</v>
      </c>
      <c r="E540" s="28" t="str">
        <f>IFERROR(IF(C540&gt;0, D540/C540, 0),"-")</f>
        <v>-</v>
      </c>
    </row>
    <row r="541" spans="1:5" x14ac:dyDescent="0.2">
      <c r="A541" s="28" t="s">
        <v>738</v>
      </c>
      <c r="B541" s="28" t="s">
        <v>1242</v>
      </c>
      <c r="C541" s="28" t="s">
        <v>959</v>
      </c>
      <c r="D541" s="28" t="s">
        <v>959</v>
      </c>
      <c r="E541" s="28" t="str">
        <f>IFERROR(IF(C541&gt;0, D541/C541, 0),"-")</f>
        <v>-</v>
      </c>
    </row>
    <row r="542" spans="1:5" x14ac:dyDescent="0.2">
      <c r="A542" s="28" t="s">
        <v>737</v>
      </c>
      <c r="B542" s="28" t="s">
        <v>1243</v>
      </c>
      <c r="C542" s="28" t="s">
        <v>959</v>
      </c>
      <c r="D542" s="28" t="s">
        <v>959</v>
      </c>
      <c r="E542" s="28" t="str">
        <f>IFERROR(IF(C542&gt;0, D542/C542, 0),"-")</f>
        <v>-</v>
      </c>
    </row>
    <row r="543" spans="1:5" x14ac:dyDescent="0.2">
      <c r="A543" s="27"/>
      <c r="B543" s="27" t="s">
        <v>122</v>
      </c>
      <c r="C543" s="27" t="s">
        <v>959</v>
      </c>
      <c r="D543" s="27" t="s">
        <v>959</v>
      </c>
      <c r="E543" s="27" t="str">
        <f>IFERROR(IF(C543&gt;0, D543/C543, 0),"-")</f>
        <v>-</v>
      </c>
    </row>
    <row r="544" spans="1:5" x14ac:dyDescent="0.2">
      <c r="A544" s="28" t="s">
        <v>863</v>
      </c>
      <c r="B544" s="28" t="s">
        <v>1244</v>
      </c>
      <c r="C544" s="28" t="s">
        <v>959</v>
      </c>
      <c r="D544" s="28" t="s">
        <v>959</v>
      </c>
      <c r="E544" s="28" t="str">
        <f>IFERROR(IF(C544&gt;0, D544/C544, 0),"-")</f>
        <v>-</v>
      </c>
    </row>
    <row r="545" spans="1:5" x14ac:dyDescent="0.2">
      <c r="A545" s="28" t="s">
        <v>866</v>
      </c>
      <c r="B545" s="28" t="s">
        <v>1245</v>
      </c>
      <c r="C545" s="28" t="s">
        <v>959</v>
      </c>
      <c r="D545" s="28" t="s">
        <v>959</v>
      </c>
      <c r="E545" s="28" t="str">
        <f>IFERROR(IF(C545&gt;0, D545/C545, 0),"-")</f>
        <v>-</v>
      </c>
    </row>
    <row r="546" spans="1:5" x14ac:dyDescent="0.2">
      <c r="A546" s="28" t="s">
        <v>865</v>
      </c>
      <c r="B546" s="28" t="s">
        <v>1246</v>
      </c>
      <c r="C546" s="28" t="s">
        <v>959</v>
      </c>
      <c r="D546" s="28" t="s">
        <v>959</v>
      </c>
      <c r="E546" s="28" t="str">
        <f>IFERROR(IF(C546&gt;0, D546/C546, 0),"-")</f>
        <v>-</v>
      </c>
    </row>
    <row r="547" spans="1:5" x14ac:dyDescent="0.2">
      <c r="A547" s="28" t="s">
        <v>864</v>
      </c>
      <c r="B547" s="28" t="s">
        <v>1247</v>
      </c>
      <c r="C547" s="28" t="s">
        <v>959</v>
      </c>
      <c r="D547" s="28" t="s">
        <v>959</v>
      </c>
      <c r="E547" s="28" t="str">
        <f>IFERROR(IF(C547&gt;0, D547/C547, 0),"-")</f>
        <v>-</v>
      </c>
    </row>
    <row r="548" spans="1:5" x14ac:dyDescent="0.2">
      <c r="A548" s="27"/>
      <c r="B548" s="27" t="s">
        <v>133</v>
      </c>
      <c r="C548" s="27" t="s">
        <v>959</v>
      </c>
      <c r="D548" s="27" t="s">
        <v>959</v>
      </c>
      <c r="E548" s="27" t="str">
        <f>IFERROR(IF(C548&gt;0, D548/C548, 0),"-")</f>
        <v>-</v>
      </c>
    </row>
    <row r="549" spans="1:5" x14ac:dyDescent="0.2">
      <c r="A549" s="28" t="s">
        <v>932</v>
      </c>
      <c r="B549" s="28" t="s">
        <v>1248</v>
      </c>
      <c r="C549" s="28" t="s">
        <v>959</v>
      </c>
      <c r="D549" s="28" t="s">
        <v>959</v>
      </c>
      <c r="E549" s="28" t="str">
        <f>IFERROR(IF(C549&gt;0, D549/C549, 0),"-")</f>
        <v>-</v>
      </c>
    </row>
    <row r="550" spans="1:5" x14ac:dyDescent="0.2">
      <c r="A550" s="28" t="s">
        <v>930</v>
      </c>
      <c r="B550" s="28" t="s">
        <v>1249</v>
      </c>
      <c r="C550" s="28" t="s">
        <v>959</v>
      </c>
      <c r="D550" s="28" t="s">
        <v>959</v>
      </c>
      <c r="E550" s="28" t="str">
        <f>IFERROR(IF(C550&gt;0, D550/C550, 0),"-")</f>
        <v>-</v>
      </c>
    </row>
    <row r="551" spans="1:5" x14ac:dyDescent="0.2">
      <c r="A551" s="28" t="s">
        <v>929</v>
      </c>
      <c r="B551" s="28" t="s">
        <v>1250</v>
      </c>
      <c r="C551" s="28" t="s">
        <v>959</v>
      </c>
      <c r="D551" s="28" t="s">
        <v>959</v>
      </c>
      <c r="E551" s="28" t="str">
        <f>IFERROR(IF(C551&gt;0, D551/C551, 0),"-")</f>
        <v>-</v>
      </c>
    </row>
    <row r="552" spans="1:5" x14ac:dyDescent="0.2">
      <c r="A552" s="28" t="s">
        <v>936</v>
      </c>
      <c r="B552" s="28" t="s">
        <v>1251</v>
      </c>
      <c r="C552" s="28" t="s">
        <v>959</v>
      </c>
      <c r="D552" s="28" t="s">
        <v>959</v>
      </c>
      <c r="E552" s="28" t="str">
        <f>IFERROR(IF(C552&gt;0, D552/C552, 0),"-")</f>
        <v>-</v>
      </c>
    </row>
    <row r="553" spans="1:5" x14ac:dyDescent="0.2">
      <c r="A553" s="28" t="s">
        <v>934</v>
      </c>
      <c r="B553" s="28" t="s">
        <v>1252</v>
      </c>
      <c r="C553" s="28" t="s">
        <v>959</v>
      </c>
      <c r="D553" s="28" t="s">
        <v>959</v>
      </c>
      <c r="E553" s="28" t="str">
        <f>IFERROR(IF(C553&gt;0, D553/C553, 0),"-")</f>
        <v>-</v>
      </c>
    </row>
    <row r="554" spans="1:5" x14ac:dyDescent="0.2">
      <c r="A554" s="28" t="s">
        <v>933</v>
      </c>
      <c r="B554" s="28" t="s">
        <v>1253</v>
      </c>
      <c r="C554" s="28" t="s">
        <v>959</v>
      </c>
      <c r="D554" s="28" t="s">
        <v>959</v>
      </c>
      <c r="E554" s="28" t="str">
        <f>IFERROR(IF(C554&gt;0, D554/C554, 0),"-")</f>
        <v>-</v>
      </c>
    </row>
    <row r="555" spans="1:5" x14ac:dyDescent="0.2">
      <c r="A555" s="28" t="s">
        <v>931</v>
      </c>
      <c r="B555" s="28" t="s">
        <v>989</v>
      </c>
      <c r="C555" s="28" t="s">
        <v>959</v>
      </c>
      <c r="D555" s="28" t="s">
        <v>959</v>
      </c>
      <c r="E555" s="28" t="str">
        <f>IFERROR(IF(C555&gt;0, D555/C555, 0),"-")</f>
        <v>-</v>
      </c>
    </row>
    <row r="556" spans="1:5" x14ac:dyDescent="0.2">
      <c r="A556" s="27"/>
      <c r="B556" s="27" t="s">
        <v>108</v>
      </c>
      <c r="C556" s="27" t="s">
        <v>959</v>
      </c>
      <c r="D556" s="27" t="s">
        <v>959</v>
      </c>
      <c r="E556" s="27" t="str">
        <f>IFERROR(IF(C556&gt;0, D556/C556, 0),"-")</f>
        <v>-</v>
      </c>
    </row>
    <row r="557" spans="1:5" x14ac:dyDescent="0.2">
      <c r="A557" s="28" t="s">
        <v>781</v>
      </c>
      <c r="B557" s="28" t="s">
        <v>1254</v>
      </c>
      <c r="C557" s="28" t="s">
        <v>959</v>
      </c>
      <c r="D557" s="28" t="s">
        <v>959</v>
      </c>
      <c r="E557" s="28" t="str">
        <f>IFERROR(IF(C557&gt;0, D557/C557, 0),"-")</f>
        <v>-</v>
      </c>
    </row>
    <row r="558" spans="1:5" x14ac:dyDescent="0.2">
      <c r="A558" s="28" t="s">
        <v>780</v>
      </c>
      <c r="B558" s="28" t="s">
        <v>1255</v>
      </c>
      <c r="C558" s="28" t="s">
        <v>959</v>
      </c>
      <c r="D558" s="28" t="s">
        <v>959</v>
      </c>
      <c r="E558" s="28" t="str">
        <f>IFERROR(IF(C558&gt;0, D558/C558, 0),"-")</f>
        <v>-</v>
      </c>
    </row>
    <row r="559" spans="1:5" x14ac:dyDescent="0.2">
      <c r="A559" s="28" t="s">
        <v>776</v>
      </c>
      <c r="B559" s="28" t="s">
        <v>1256</v>
      </c>
      <c r="C559" s="28" t="s">
        <v>959</v>
      </c>
      <c r="D559" s="28" t="s">
        <v>959</v>
      </c>
      <c r="E559" s="28" t="str">
        <f>IFERROR(IF(C559&gt;0, D559/C559, 0),"-")</f>
        <v>-</v>
      </c>
    </row>
    <row r="560" spans="1:5" x14ac:dyDescent="0.2">
      <c r="A560" s="28" t="s">
        <v>775</v>
      </c>
      <c r="B560" s="28" t="s">
        <v>1257</v>
      </c>
      <c r="C560" s="28" t="s">
        <v>959</v>
      </c>
      <c r="D560" s="28" t="s">
        <v>959</v>
      </c>
      <c r="E560" s="28" t="str">
        <f>IFERROR(IF(C560&gt;0, D560/C560, 0),"-")</f>
        <v>-</v>
      </c>
    </row>
    <row r="561" spans="1:5" x14ac:dyDescent="0.2">
      <c r="A561" s="28" t="s">
        <v>779</v>
      </c>
      <c r="B561" s="28" t="s">
        <v>989</v>
      </c>
      <c r="C561" s="28" t="s">
        <v>959</v>
      </c>
      <c r="D561" s="28" t="s">
        <v>959</v>
      </c>
      <c r="E561" s="28" t="str">
        <f>IFERROR(IF(C561&gt;0, D561/C561, 0),"-")</f>
        <v>-</v>
      </c>
    </row>
    <row r="562" spans="1:5" x14ac:dyDescent="0.2">
      <c r="A562" s="28" t="s">
        <v>777</v>
      </c>
      <c r="B562" s="28" t="s">
        <v>1258</v>
      </c>
      <c r="C562" s="28" t="s">
        <v>959</v>
      </c>
      <c r="D562" s="28" t="s">
        <v>959</v>
      </c>
      <c r="E562" s="28" t="str">
        <f>IFERROR(IF(C562&gt;0, D562/C562, 0),"-")</f>
        <v>-</v>
      </c>
    </row>
    <row r="563" spans="1:5" x14ac:dyDescent="0.2">
      <c r="A563" s="28" t="s">
        <v>778</v>
      </c>
      <c r="B563" s="28" t="s">
        <v>1259</v>
      </c>
      <c r="C563" s="28" t="s">
        <v>959</v>
      </c>
      <c r="D563" s="28" t="s">
        <v>959</v>
      </c>
      <c r="E563" s="28" t="str">
        <f>IFERROR(IF(C563&gt;0, D563/C563, 0),"-")</f>
        <v>-</v>
      </c>
    </row>
    <row r="564" spans="1:5" x14ac:dyDescent="0.2">
      <c r="A564" s="27"/>
      <c r="B564" s="27" t="s">
        <v>85</v>
      </c>
      <c r="C564" s="27" t="s">
        <v>959</v>
      </c>
      <c r="D564" s="27" t="s">
        <v>959</v>
      </c>
      <c r="E564" s="27" t="str">
        <f>IFERROR(IF(C564&gt;0, D564/C564, 0),"-")</f>
        <v>-</v>
      </c>
    </row>
    <row r="565" spans="1:5" x14ac:dyDescent="0.2">
      <c r="A565" s="28" t="s">
        <v>577</v>
      </c>
      <c r="B565" s="28" t="s">
        <v>1260</v>
      </c>
      <c r="C565" s="28" t="s">
        <v>959</v>
      </c>
      <c r="D565" s="28" t="s">
        <v>959</v>
      </c>
      <c r="E565" s="28" t="str">
        <f>IFERROR(IF(C565&gt;0, D565/C565, 0),"-")</f>
        <v>-</v>
      </c>
    </row>
    <row r="566" spans="1:5" x14ac:dyDescent="0.2">
      <c r="A566" s="28" t="s">
        <v>569</v>
      </c>
      <c r="B566" s="28" t="s">
        <v>1261</v>
      </c>
      <c r="C566" s="28" t="s">
        <v>959</v>
      </c>
      <c r="D566" s="28" t="s">
        <v>959</v>
      </c>
      <c r="E566" s="28" t="str">
        <f>IFERROR(IF(C566&gt;0, D566/C566, 0),"-")</f>
        <v>-</v>
      </c>
    </row>
    <row r="567" spans="1:5" x14ac:dyDescent="0.2">
      <c r="A567" s="28" t="s">
        <v>572</v>
      </c>
      <c r="B567" s="28" t="s">
        <v>1262</v>
      </c>
      <c r="C567" s="28" t="s">
        <v>959</v>
      </c>
      <c r="D567" s="28" t="s">
        <v>959</v>
      </c>
      <c r="E567" s="28" t="str">
        <f>IFERROR(IF(C567&gt;0, D567/C567, 0),"-")</f>
        <v>-</v>
      </c>
    </row>
    <row r="568" spans="1:5" x14ac:dyDescent="0.2">
      <c r="A568" s="28" t="s">
        <v>575</v>
      </c>
      <c r="B568" s="28" t="s">
        <v>1263</v>
      </c>
      <c r="C568" s="28" t="s">
        <v>959</v>
      </c>
      <c r="D568" s="28" t="s">
        <v>959</v>
      </c>
      <c r="E568" s="28" t="str">
        <f>IFERROR(IF(C568&gt;0, D568/C568, 0),"-")</f>
        <v>-</v>
      </c>
    </row>
    <row r="569" spans="1:5" x14ac:dyDescent="0.2">
      <c r="A569" s="28" t="s">
        <v>576</v>
      </c>
      <c r="B569" s="28" t="s">
        <v>1264</v>
      </c>
      <c r="C569" s="28" t="s">
        <v>959</v>
      </c>
      <c r="D569" s="28" t="s">
        <v>959</v>
      </c>
      <c r="E569" s="28" t="str">
        <f>IFERROR(IF(C569&gt;0, D569/C569, 0),"-")</f>
        <v>-</v>
      </c>
    </row>
    <row r="570" spans="1:5" x14ac:dyDescent="0.2">
      <c r="A570" s="28" t="s">
        <v>579</v>
      </c>
      <c r="B570" s="28" t="s">
        <v>1265</v>
      </c>
      <c r="C570" s="28" t="s">
        <v>959</v>
      </c>
      <c r="D570" s="28" t="s">
        <v>959</v>
      </c>
      <c r="E570" s="28" t="str">
        <f>IFERROR(IF(C570&gt;0, D570/C570, 0),"-")</f>
        <v>-</v>
      </c>
    </row>
    <row r="571" spans="1:5" x14ac:dyDescent="0.2">
      <c r="A571" s="28" t="s">
        <v>574</v>
      </c>
      <c r="B571" s="28" t="s">
        <v>1266</v>
      </c>
      <c r="C571" s="28" t="s">
        <v>959</v>
      </c>
      <c r="D571" s="28" t="s">
        <v>959</v>
      </c>
      <c r="E571" s="28" t="str">
        <f>IFERROR(IF(C571&gt;0, D571/C571, 0),"-")</f>
        <v>-</v>
      </c>
    </row>
    <row r="572" spans="1:5" x14ac:dyDescent="0.2">
      <c r="A572" s="28" t="s">
        <v>570</v>
      </c>
      <c r="B572" s="28" t="s">
        <v>1267</v>
      </c>
      <c r="C572" s="28" t="s">
        <v>959</v>
      </c>
      <c r="D572" s="28" t="s">
        <v>959</v>
      </c>
      <c r="E572" s="28" t="str">
        <f>IFERROR(IF(C572&gt;0, D572/C572, 0),"-")</f>
        <v>-</v>
      </c>
    </row>
    <row r="573" spans="1:5" x14ac:dyDescent="0.2">
      <c r="A573" s="28" t="s">
        <v>571</v>
      </c>
      <c r="B573" s="28" t="s">
        <v>1268</v>
      </c>
      <c r="C573" s="28" t="s">
        <v>959</v>
      </c>
      <c r="D573" s="28" t="s">
        <v>959</v>
      </c>
      <c r="E573" s="28" t="str">
        <f>IFERROR(IF(C573&gt;0, D573/C573, 0),"-")</f>
        <v>-</v>
      </c>
    </row>
    <row r="574" spans="1:5" x14ac:dyDescent="0.2">
      <c r="A574" s="28" t="s">
        <v>573</v>
      </c>
      <c r="B574" s="28" t="s">
        <v>1269</v>
      </c>
      <c r="C574" s="28" t="s">
        <v>959</v>
      </c>
      <c r="D574" s="28" t="s">
        <v>959</v>
      </c>
      <c r="E574" s="28" t="str">
        <f>IFERROR(IF(C574&gt;0, D574/C574, 0),"-")</f>
        <v>-</v>
      </c>
    </row>
    <row r="575" spans="1:5" x14ac:dyDescent="0.2">
      <c r="A575" s="27"/>
      <c r="B575" s="27" t="s">
        <v>132</v>
      </c>
      <c r="C575" s="27" t="s">
        <v>959</v>
      </c>
      <c r="D575" s="27" t="s">
        <v>959</v>
      </c>
      <c r="E575" s="27" t="str">
        <f>IFERROR(IF(C575&gt;0, D575/C575, 0),"-")</f>
        <v>-</v>
      </c>
    </row>
    <row r="576" spans="1:5" x14ac:dyDescent="0.2">
      <c r="A576" s="28" t="s">
        <v>926</v>
      </c>
      <c r="B576" s="28" t="s">
        <v>1270</v>
      </c>
      <c r="C576" s="28" t="s">
        <v>959</v>
      </c>
      <c r="D576" s="28" t="s">
        <v>959</v>
      </c>
      <c r="E576" s="28" t="str">
        <f>IFERROR(IF(C576&gt;0, D576/C576, 0),"-")</f>
        <v>-</v>
      </c>
    </row>
    <row r="577" spans="1:5" x14ac:dyDescent="0.2">
      <c r="A577" s="28" t="s">
        <v>942</v>
      </c>
      <c r="B577" s="28" t="s">
        <v>1271</v>
      </c>
      <c r="C577" s="28" t="s">
        <v>959</v>
      </c>
      <c r="D577" s="28" t="s">
        <v>959</v>
      </c>
      <c r="E577" s="28" t="str">
        <f>IFERROR(IF(C577&gt;0, D577/C577, 0),"-")</f>
        <v>-</v>
      </c>
    </row>
    <row r="578" spans="1:5" x14ac:dyDescent="0.2">
      <c r="A578" s="28" t="s">
        <v>935</v>
      </c>
      <c r="B578" s="28" t="s">
        <v>1272</v>
      </c>
      <c r="C578" s="28" t="s">
        <v>959</v>
      </c>
      <c r="D578" s="28" t="s">
        <v>959</v>
      </c>
      <c r="E578" s="28" t="str">
        <f>IFERROR(IF(C578&gt;0, D578/C578, 0),"-")</f>
        <v>-</v>
      </c>
    </row>
    <row r="579" spans="1:5" x14ac:dyDescent="0.2">
      <c r="A579" s="28" t="s">
        <v>943</v>
      </c>
      <c r="B579" s="28" t="s">
        <v>1273</v>
      </c>
      <c r="C579" s="28" t="s">
        <v>959</v>
      </c>
      <c r="D579" s="28" t="s">
        <v>959</v>
      </c>
      <c r="E579" s="28" t="str">
        <f>IFERROR(IF(C579&gt;0, D579/C579, 0),"-")</f>
        <v>-</v>
      </c>
    </row>
    <row r="580" spans="1:5" x14ac:dyDescent="0.2">
      <c r="A580" s="28" t="s">
        <v>924</v>
      </c>
      <c r="B580" s="28" t="s">
        <v>1274</v>
      </c>
      <c r="C580" s="28" t="s">
        <v>959</v>
      </c>
      <c r="D580" s="28" t="s">
        <v>959</v>
      </c>
      <c r="E580" s="28" t="str">
        <f>IFERROR(IF(C580&gt;0, D580/C580, 0),"-")</f>
        <v>-</v>
      </c>
    </row>
    <row r="581" spans="1:5" x14ac:dyDescent="0.2">
      <c r="A581" s="28" t="s">
        <v>922</v>
      </c>
      <c r="B581" s="28" t="s">
        <v>1275</v>
      </c>
      <c r="C581" s="28" t="s">
        <v>959</v>
      </c>
      <c r="D581" s="28" t="s">
        <v>959</v>
      </c>
      <c r="E581" s="28" t="str">
        <f>IFERROR(IF(C581&gt;0, D581/C581, 0),"-")</f>
        <v>-</v>
      </c>
    </row>
    <row r="582" spans="1:5" x14ac:dyDescent="0.2">
      <c r="A582" s="28" t="s">
        <v>923</v>
      </c>
      <c r="B582" s="28" t="s">
        <v>1276</v>
      </c>
      <c r="C582" s="28" t="s">
        <v>959</v>
      </c>
      <c r="D582" s="28" t="s">
        <v>959</v>
      </c>
      <c r="E582" s="28" t="str">
        <f>IFERROR(IF(C582&gt;0, D582/C582, 0),"-")</f>
        <v>-</v>
      </c>
    </row>
    <row r="583" spans="1:5" x14ac:dyDescent="0.2">
      <c r="A583" s="28" t="s">
        <v>927</v>
      </c>
      <c r="B583" s="28" t="s">
        <v>1277</v>
      </c>
      <c r="C583" s="28" t="s">
        <v>959</v>
      </c>
      <c r="D583" s="28" t="s">
        <v>959</v>
      </c>
      <c r="E583" s="28" t="str">
        <f>IFERROR(IF(C583&gt;0, D583/C583, 0),"-")</f>
        <v>-</v>
      </c>
    </row>
    <row r="584" spans="1:5" x14ac:dyDescent="0.2">
      <c r="A584" s="28" t="s">
        <v>925</v>
      </c>
      <c r="B584" s="28" t="s">
        <v>1278</v>
      </c>
      <c r="C584" s="28" t="s">
        <v>959</v>
      </c>
      <c r="D584" s="28" t="s">
        <v>959</v>
      </c>
      <c r="E584" s="28" t="str">
        <f>IFERROR(IF(C584&gt;0, D584/C584, 0),"-")</f>
        <v>-</v>
      </c>
    </row>
    <row r="585" spans="1:5" x14ac:dyDescent="0.2">
      <c r="A585" s="27"/>
      <c r="B585" s="27" t="s">
        <v>96</v>
      </c>
      <c r="C585" s="27" t="s">
        <v>959</v>
      </c>
      <c r="D585" s="27" t="s">
        <v>959</v>
      </c>
      <c r="E585" s="27" t="str">
        <f>IFERROR(IF(C585&gt;0, D585/C585, 0),"-")</f>
        <v>-</v>
      </c>
    </row>
    <row r="586" spans="1:5" x14ac:dyDescent="0.2">
      <c r="A586" s="28" t="s">
        <v>664</v>
      </c>
      <c r="B586" s="28" t="s">
        <v>1279</v>
      </c>
      <c r="C586" s="28" t="s">
        <v>959</v>
      </c>
      <c r="D586" s="28" t="s">
        <v>959</v>
      </c>
      <c r="E586" s="28" t="str">
        <f>IFERROR(IF(C586&gt;0, D586/C586, 0),"-")</f>
        <v>-</v>
      </c>
    </row>
    <row r="587" spans="1:5" x14ac:dyDescent="0.2">
      <c r="A587" s="28" t="s">
        <v>669</v>
      </c>
      <c r="B587" s="28" t="s">
        <v>1280</v>
      </c>
      <c r="C587" s="28" t="s">
        <v>959</v>
      </c>
      <c r="D587" s="28" t="s">
        <v>959</v>
      </c>
      <c r="E587" s="28" t="str">
        <f>IFERROR(IF(C587&gt;0, D587/C587, 0),"-")</f>
        <v>-</v>
      </c>
    </row>
    <row r="588" spans="1:5" x14ac:dyDescent="0.2">
      <c r="A588" s="28" t="s">
        <v>670</v>
      </c>
      <c r="B588" s="28" t="s">
        <v>1281</v>
      </c>
      <c r="C588" s="28" t="s">
        <v>959</v>
      </c>
      <c r="D588" s="28" t="s">
        <v>959</v>
      </c>
      <c r="E588" s="28" t="str">
        <f>IFERROR(IF(C588&gt;0, D588/C588, 0),"-")</f>
        <v>-</v>
      </c>
    </row>
    <row r="589" spans="1:5" x14ac:dyDescent="0.2">
      <c r="A589" s="28" t="s">
        <v>666</v>
      </c>
      <c r="B589" s="28" t="s">
        <v>1282</v>
      </c>
      <c r="C589" s="28" t="s">
        <v>959</v>
      </c>
      <c r="D589" s="28" t="s">
        <v>959</v>
      </c>
      <c r="E589" s="28" t="str">
        <f>IFERROR(IF(C589&gt;0, D589/C589, 0),"-")</f>
        <v>-</v>
      </c>
    </row>
    <row r="590" spans="1:5" x14ac:dyDescent="0.2">
      <c r="A590" s="28" t="s">
        <v>665</v>
      </c>
      <c r="B590" s="28" t="s">
        <v>1283</v>
      </c>
      <c r="C590" s="28" t="s">
        <v>959</v>
      </c>
      <c r="D590" s="28" t="s">
        <v>959</v>
      </c>
      <c r="E590" s="28" t="str">
        <f>IFERROR(IF(C590&gt;0, D590/C590, 0),"-")</f>
        <v>-</v>
      </c>
    </row>
    <row r="591" spans="1:5" x14ac:dyDescent="0.2">
      <c r="A591" s="28" t="s">
        <v>667</v>
      </c>
      <c r="B591" s="28" t="s">
        <v>1284</v>
      </c>
      <c r="C591" s="28" t="s">
        <v>959</v>
      </c>
      <c r="D591" s="28" t="s">
        <v>959</v>
      </c>
      <c r="E591" s="28" t="str">
        <f>IFERROR(IF(C591&gt;0, D591/C591, 0),"-")</f>
        <v>-</v>
      </c>
    </row>
    <row r="592" spans="1:5" x14ac:dyDescent="0.2">
      <c r="A592" s="28" t="s">
        <v>668</v>
      </c>
      <c r="B592" s="28" t="s">
        <v>1285</v>
      </c>
      <c r="C592" s="28" t="s">
        <v>959</v>
      </c>
      <c r="D592" s="28" t="s">
        <v>959</v>
      </c>
      <c r="E592" s="28" t="str">
        <f>IFERROR(IF(C592&gt;0, D592/C592, 0),"-")</f>
        <v>-</v>
      </c>
    </row>
    <row r="593" spans="1:5" x14ac:dyDescent="0.2">
      <c r="A593" s="27"/>
      <c r="B593" s="27" t="s">
        <v>117</v>
      </c>
      <c r="C593" s="27" t="s">
        <v>959</v>
      </c>
      <c r="D593" s="27" t="s">
        <v>959</v>
      </c>
      <c r="E593" s="27" t="str">
        <f>IFERROR(IF(C593&gt;0, D593/C593, 0),"-")</f>
        <v>-</v>
      </c>
    </row>
    <row r="594" spans="1:5" x14ac:dyDescent="0.2">
      <c r="A594" s="28" t="s">
        <v>839</v>
      </c>
      <c r="B594" s="28" t="s">
        <v>1286</v>
      </c>
      <c r="C594" s="28" t="s">
        <v>959</v>
      </c>
      <c r="D594" s="28" t="s">
        <v>959</v>
      </c>
      <c r="E594" s="28" t="str">
        <f>IFERROR(IF(C594&gt;0, D594/C594, 0),"-")</f>
        <v>-</v>
      </c>
    </row>
    <row r="595" spans="1:5" x14ac:dyDescent="0.2">
      <c r="A595" s="28" t="s">
        <v>837</v>
      </c>
      <c r="B595" s="28" t="s">
        <v>1287</v>
      </c>
      <c r="C595" s="28" t="s">
        <v>959</v>
      </c>
      <c r="D595" s="28" t="s">
        <v>959</v>
      </c>
      <c r="E595" s="28" t="str">
        <f>IFERROR(IF(C595&gt;0, D595/C595, 0),"-")</f>
        <v>-</v>
      </c>
    </row>
    <row r="596" spans="1:5" x14ac:dyDescent="0.2">
      <c r="A596" s="28" t="s">
        <v>835</v>
      </c>
      <c r="B596" s="28" t="s">
        <v>1288</v>
      </c>
      <c r="C596" s="28" t="s">
        <v>959</v>
      </c>
      <c r="D596" s="28" t="s">
        <v>959</v>
      </c>
      <c r="E596" s="28" t="str">
        <f>IFERROR(IF(C596&gt;0, D596/C596, 0),"-")</f>
        <v>-</v>
      </c>
    </row>
    <row r="597" spans="1:5" x14ac:dyDescent="0.2">
      <c r="A597" s="28" t="s">
        <v>836</v>
      </c>
      <c r="B597" s="28" t="s">
        <v>1289</v>
      </c>
      <c r="C597" s="28" t="s">
        <v>959</v>
      </c>
      <c r="D597" s="28" t="s">
        <v>959</v>
      </c>
      <c r="E597" s="28" t="str">
        <f>IFERROR(IF(C597&gt;0, D597/C597, 0),"-")</f>
        <v>-</v>
      </c>
    </row>
    <row r="598" spans="1:5" x14ac:dyDescent="0.2">
      <c r="A598" s="28" t="s">
        <v>838</v>
      </c>
      <c r="B598" s="28" t="s">
        <v>1290</v>
      </c>
      <c r="C598" s="28" t="s">
        <v>959</v>
      </c>
      <c r="D598" s="28" t="s">
        <v>959</v>
      </c>
      <c r="E598" s="28" t="str">
        <f>IFERROR(IF(C598&gt;0, D598/C598, 0),"-")</f>
        <v>-</v>
      </c>
    </row>
    <row r="599" spans="1:5" x14ac:dyDescent="0.2">
      <c r="A599" s="28" t="s">
        <v>834</v>
      </c>
      <c r="B599" s="28" t="s">
        <v>1291</v>
      </c>
      <c r="C599" s="28" t="s">
        <v>959</v>
      </c>
      <c r="D599" s="28" t="s">
        <v>959</v>
      </c>
      <c r="E599" s="28" t="str">
        <f>IFERROR(IF(C599&gt;0, D599/C599, 0),"-")</f>
        <v>-</v>
      </c>
    </row>
    <row r="600" spans="1:5" x14ac:dyDescent="0.2">
      <c r="A600" s="27"/>
      <c r="B600" s="27" t="s">
        <v>49</v>
      </c>
      <c r="C600" s="27" t="s">
        <v>959</v>
      </c>
      <c r="D600" s="27" t="s">
        <v>959</v>
      </c>
      <c r="E600" s="27" t="str">
        <f>IFERROR(IF(C600&gt;0, D600/C600, 0),"-")</f>
        <v>-</v>
      </c>
    </row>
    <row r="601" spans="1:5" x14ac:dyDescent="0.2">
      <c r="A601" s="28" t="s">
        <v>270</v>
      </c>
      <c r="B601" s="28" t="s">
        <v>1292</v>
      </c>
      <c r="C601" s="28" t="s">
        <v>959</v>
      </c>
      <c r="D601" s="28" t="s">
        <v>959</v>
      </c>
      <c r="E601" s="28" t="str">
        <f>IFERROR(IF(C601&gt;0, D601/C601, 0),"-")</f>
        <v>-</v>
      </c>
    </row>
    <row r="602" spans="1:5" x14ac:dyDescent="0.2">
      <c r="A602" s="28" t="s">
        <v>273</v>
      </c>
      <c r="B602" s="28" t="s">
        <v>1293</v>
      </c>
      <c r="C602" s="28" t="s">
        <v>959</v>
      </c>
      <c r="D602" s="28" t="s">
        <v>959</v>
      </c>
      <c r="E602" s="28" t="str">
        <f>IFERROR(IF(C602&gt;0, D602/C602, 0),"-")</f>
        <v>-</v>
      </c>
    </row>
    <row r="603" spans="1:5" x14ac:dyDescent="0.2">
      <c r="A603" s="28" t="s">
        <v>268</v>
      </c>
      <c r="B603" s="28" t="s">
        <v>1294</v>
      </c>
      <c r="C603" s="28" t="s">
        <v>959</v>
      </c>
      <c r="D603" s="28" t="s">
        <v>959</v>
      </c>
      <c r="E603" s="28" t="str">
        <f>IFERROR(IF(C603&gt;0, D603/C603, 0),"-")</f>
        <v>-</v>
      </c>
    </row>
    <row r="604" spans="1:5" x14ac:dyDescent="0.2">
      <c r="A604" s="28" t="s">
        <v>271</v>
      </c>
      <c r="B604" s="28" t="s">
        <v>1295</v>
      </c>
      <c r="C604" s="28" t="s">
        <v>959</v>
      </c>
      <c r="D604" s="28" t="s">
        <v>959</v>
      </c>
      <c r="E604" s="28" t="str">
        <f>IFERROR(IF(C604&gt;0, D604/C604, 0),"-")</f>
        <v>-</v>
      </c>
    </row>
    <row r="605" spans="1:5" x14ac:dyDescent="0.2">
      <c r="A605" s="28" t="s">
        <v>269</v>
      </c>
      <c r="B605" s="28" t="s">
        <v>1296</v>
      </c>
      <c r="C605" s="28" t="s">
        <v>959</v>
      </c>
      <c r="D605" s="28" t="s">
        <v>959</v>
      </c>
      <c r="E605" s="28" t="str">
        <f>IFERROR(IF(C605&gt;0, D605/C605, 0),"-")</f>
        <v>-</v>
      </c>
    </row>
    <row r="606" spans="1:5" x14ac:dyDescent="0.2">
      <c r="A606" s="28" t="s">
        <v>272</v>
      </c>
      <c r="B606" s="28" t="s">
        <v>1297</v>
      </c>
      <c r="C606" s="28" t="s">
        <v>959</v>
      </c>
      <c r="D606" s="28" t="s">
        <v>959</v>
      </c>
      <c r="E606" s="28" t="str">
        <f>IFERROR(IF(C606&gt;0, D606/C606, 0),"-")</f>
        <v>-</v>
      </c>
    </row>
    <row r="607" spans="1:5" x14ac:dyDescent="0.2">
      <c r="A607" s="27"/>
      <c r="B607" s="27" t="s">
        <v>70</v>
      </c>
      <c r="C607" s="27" t="s">
        <v>959</v>
      </c>
      <c r="D607" s="27" t="s">
        <v>959</v>
      </c>
      <c r="E607" s="27" t="str">
        <f>IFERROR(IF(C607&gt;0, D607/C607, 0),"-")</f>
        <v>-</v>
      </c>
    </row>
    <row r="608" spans="1:5" x14ac:dyDescent="0.2">
      <c r="A608" s="28" t="s">
        <v>466</v>
      </c>
      <c r="B608" s="28" t="s">
        <v>1298</v>
      </c>
      <c r="C608" s="28" t="s">
        <v>959</v>
      </c>
      <c r="D608" s="28" t="s">
        <v>959</v>
      </c>
      <c r="E608" s="28" t="str">
        <f>IFERROR(IF(C608&gt;0, D608/C608, 0),"-")</f>
        <v>-</v>
      </c>
    </row>
    <row r="609" spans="1:5" x14ac:dyDescent="0.2">
      <c r="A609" s="28" t="s">
        <v>462</v>
      </c>
      <c r="B609" s="28" t="s">
        <v>1299</v>
      </c>
      <c r="C609" s="28" t="s">
        <v>959</v>
      </c>
      <c r="D609" s="28" t="s">
        <v>959</v>
      </c>
      <c r="E609" s="28" t="str">
        <f>IFERROR(IF(C609&gt;0, D609/C609, 0),"-")</f>
        <v>-</v>
      </c>
    </row>
    <row r="610" spans="1:5" x14ac:dyDescent="0.2">
      <c r="A610" s="28" t="s">
        <v>467</v>
      </c>
      <c r="B610" s="28" t="s">
        <v>1300</v>
      </c>
      <c r="C610" s="28" t="s">
        <v>959</v>
      </c>
      <c r="D610" s="28" t="s">
        <v>959</v>
      </c>
      <c r="E610" s="28" t="str">
        <f>IFERROR(IF(C610&gt;0, D610/C610, 0),"-")</f>
        <v>-</v>
      </c>
    </row>
    <row r="611" spans="1:5" x14ac:dyDescent="0.2">
      <c r="A611" s="28" t="s">
        <v>464</v>
      </c>
      <c r="B611" s="28" t="s">
        <v>1301</v>
      </c>
      <c r="C611" s="28" t="s">
        <v>959</v>
      </c>
      <c r="D611" s="28" t="s">
        <v>959</v>
      </c>
      <c r="E611" s="28" t="str">
        <f>IFERROR(IF(C611&gt;0, D611/C611, 0),"-")</f>
        <v>-</v>
      </c>
    </row>
    <row r="612" spans="1:5" x14ac:dyDescent="0.2">
      <c r="A612" s="28" t="s">
        <v>463</v>
      </c>
      <c r="B612" s="28" t="s">
        <v>1302</v>
      </c>
      <c r="C612" s="28" t="s">
        <v>959</v>
      </c>
      <c r="D612" s="28" t="s">
        <v>959</v>
      </c>
      <c r="E612" s="28" t="str">
        <f>IFERROR(IF(C612&gt;0, D612/C612, 0),"-")</f>
        <v>-</v>
      </c>
    </row>
    <row r="613" spans="1:5" x14ac:dyDescent="0.2">
      <c r="A613" s="28" t="s">
        <v>465</v>
      </c>
      <c r="B613" s="28" t="s">
        <v>1303</v>
      </c>
      <c r="C613" s="28" t="s">
        <v>959</v>
      </c>
      <c r="D613" s="28" t="s">
        <v>959</v>
      </c>
      <c r="E613" s="28" t="str">
        <f>IFERROR(IF(C613&gt;0, D613/C613, 0),"-")</f>
        <v>-</v>
      </c>
    </row>
    <row r="614" spans="1:5" x14ac:dyDescent="0.2">
      <c r="A614" s="27"/>
      <c r="B614" s="27" t="s">
        <v>76</v>
      </c>
      <c r="C614" s="27" t="s">
        <v>959</v>
      </c>
      <c r="D614" s="27" t="s">
        <v>959</v>
      </c>
      <c r="E614" s="27" t="str">
        <f>IFERROR(IF(C614&gt;0, D614/C614, 0),"-")</f>
        <v>-</v>
      </c>
    </row>
    <row r="615" spans="1:5" x14ac:dyDescent="0.2">
      <c r="A615" s="28" t="s">
        <v>501</v>
      </c>
      <c r="B615" s="28" t="s">
        <v>1304</v>
      </c>
      <c r="C615" s="28" t="s">
        <v>959</v>
      </c>
      <c r="D615" s="28" t="s">
        <v>959</v>
      </c>
      <c r="E615" s="28" t="str">
        <f>IFERROR(IF(C615&gt;0, D615/C615, 0),"-")</f>
        <v>-</v>
      </c>
    </row>
    <row r="616" spans="1:5" x14ac:dyDescent="0.2">
      <c r="A616" s="28" t="s">
        <v>504</v>
      </c>
      <c r="B616" s="28" t="s">
        <v>1305</v>
      </c>
      <c r="C616" s="28" t="s">
        <v>959</v>
      </c>
      <c r="D616" s="28" t="s">
        <v>959</v>
      </c>
      <c r="E616" s="28" t="str">
        <f>IFERROR(IF(C616&gt;0, D616/C616, 0),"-")</f>
        <v>-</v>
      </c>
    </row>
    <row r="617" spans="1:5" x14ac:dyDescent="0.2">
      <c r="A617" s="28" t="s">
        <v>520</v>
      </c>
      <c r="B617" s="28" t="s">
        <v>1306</v>
      </c>
      <c r="C617" s="28" t="s">
        <v>959</v>
      </c>
      <c r="D617" s="28" t="s">
        <v>959</v>
      </c>
      <c r="E617" s="28" t="str">
        <f>IFERROR(IF(C617&gt;0, D617/C617, 0),"-")</f>
        <v>-</v>
      </c>
    </row>
    <row r="618" spans="1:5" x14ac:dyDescent="0.2">
      <c r="A618" s="28" t="s">
        <v>505</v>
      </c>
      <c r="B618" s="28" t="s">
        <v>1307</v>
      </c>
      <c r="C618" s="28" t="s">
        <v>959</v>
      </c>
      <c r="D618" s="28" t="s">
        <v>959</v>
      </c>
      <c r="E618" s="28" t="str">
        <f>IFERROR(IF(C618&gt;0, D618/C618, 0),"-")</f>
        <v>-</v>
      </c>
    </row>
    <row r="619" spans="1:5" x14ac:dyDescent="0.2">
      <c r="A619" s="28" t="s">
        <v>502</v>
      </c>
      <c r="B619" s="28" t="s">
        <v>1308</v>
      </c>
      <c r="C619" s="28" t="s">
        <v>959</v>
      </c>
      <c r="D619" s="28" t="s">
        <v>959</v>
      </c>
      <c r="E619" s="28" t="str">
        <f>IFERROR(IF(C619&gt;0, D619/C619, 0),"-")</f>
        <v>-</v>
      </c>
    </row>
    <row r="620" spans="1:5" x14ac:dyDescent="0.2">
      <c r="A620" s="28" t="s">
        <v>503</v>
      </c>
      <c r="B620" s="28" t="s">
        <v>1309</v>
      </c>
      <c r="C620" s="28" t="s">
        <v>959</v>
      </c>
      <c r="D620" s="28" t="s">
        <v>959</v>
      </c>
      <c r="E620" s="28" t="str">
        <f>IFERROR(IF(C620&gt;0, D620/C620, 0),"-")</f>
        <v>-</v>
      </c>
    </row>
    <row r="621" spans="1:5" x14ac:dyDescent="0.2">
      <c r="A621" s="27"/>
      <c r="B621" s="27" t="s">
        <v>102</v>
      </c>
      <c r="C621" s="27" t="s">
        <v>959</v>
      </c>
      <c r="D621" s="27" t="s">
        <v>959</v>
      </c>
      <c r="E621" s="27" t="str">
        <f>IFERROR(IF(C621&gt;0, D621/C621, 0),"-")</f>
        <v>-</v>
      </c>
    </row>
    <row r="622" spans="1:5" x14ac:dyDescent="0.2">
      <c r="A622" s="28" t="s">
        <v>731</v>
      </c>
      <c r="B622" s="28" t="s">
        <v>1310</v>
      </c>
      <c r="C622" s="28" t="s">
        <v>959</v>
      </c>
      <c r="D622" s="28" t="s">
        <v>959</v>
      </c>
      <c r="E622" s="28" t="str">
        <f>IFERROR(IF(C622&gt;0, D622/C622, 0),"-")</f>
        <v>-</v>
      </c>
    </row>
    <row r="623" spans="1:5" x14ac:dyDescent="0.2">
      <c r="A623" s="28" t="s">
        <v>729</v>
      </c>
      <c r="B623" s="28" t="s">
        <v>1311</v>
      </c>
      <c r="C623" s="28" t="s">
        <v>959</v>
      </c>
      <c r="D623" s="28" t="s">
        <v>959</v>
      </c>
      <c r="E623" s="28" t="str">
        <f>IFERROR(IF(C623&gt;0, D623/C623, 0),"-")</f>
        <v>-</v>
      </c>
    </row>
    <row r="624" spans="1:5" x14ac:dyDescent="0.2">
      <c r="A624" s="28" t="s">
        <v>728</v>
      </c>
      <c r="B624" s="28" t="s">
        <v>1312</v>
      </c>
      <c r="C624" s="28" t="s">
        <v>959</v>
      </c>
      <c r="D624" s="28" t="s">
        <v>959</v>
      </c>
      <c r="E624" s="28" t="str">
        <f>IFERROR(IF(C624&gt;0, D624/C624, 0),"-")</f>
        <v>-</v>
      </c>
    </row>
    <row r="625" spans="1:5" x14ac:dyDescent="0.2">
      <c r="A625" s="28" t="s">
        <v>727</v>
      </c>
      <c r="B625" s="28" t="s">
        <v>1313</v>
      </c>
      <c r="C625" s="28" t="s">
        <v>959</v>
      </c>
      <c r="D625" s="28" t="s">
        <v>959</v>
      </c>
      <c r="E625" s="28" t="str">
        <f>IFERROR(IF(C625&gt;0, D625/C625, 0),"-")</f>
        <v>-</v>
      </c>
    </row>
    <row r="626" spans="1:5" x14ac:dyDescent="0.2">
      <c r="A626" s="28" t="s">
        <v>730</v>
      </c>
      <c r="B626" s="28" t="s">
        <v>1314</v>
      </c>
      <c r="C626" s="28" t="s">
        <v>959</v>
      </c>
      <c r="D626" s="28" t="s">
        <v>959</v>
      </c>
      <c r="E626" s="28" t="str">
        <f>IFERROR(IF(C626&gt;0, D626/C626, 0),"-")</f>
        <v>-</v>
      </c>
    </row>
    <row r="627" spans="1:5" x14ac:dyDescent="0.2">
      <c r="A627" s="27"/>
      <c r="B627" s="27" t="s">
        <v>33</v>
      </c>
      <c r="C627" s="27" t="s">
        <v>959</v>
      </c>
      <c r="D627" s="27" t="s">
        <v>959</v>
      </c>
      <c r="E627" s="27" t="str">
        <f>IFERROR(IF(C627&gt;0, D627/C627, 0),"-")</f>
        <v>-</v>
      </c>
    </row>
    <row r="628" spans="1:5" x14ac:dyDescent="0.2">
      <c r="A628" s="28" t="s">
        <v>151</v>
      </c>
      <c r="B628" s="28" t="s">
        <v>1315</v>
      </c>
      <c r="C628" s="28" t="s">
        <v>959</v>
      </c>
      <c r="D628" s="28" t="s">
        <v>959</v>
      </c>
      <c r="E628" s="28" t="str">
        <f>IFERROR(IF(C628&gt;0, D628/C628, 0),"-")</f>
        <v>-</v>
      </c>
    </row>
    <row r="629" spans="1:5" x14ac:dyDescent="0.2">
      <c r="A629" s="28" t="s">
        <v>152</v>
      </c>
      <c r="B629" s="28" t="s">
        <v>1316</v>
      </c>
      <c r="C629" s="28" t="s">
        <v>959</v>
      </c>
      <c r="D629" s="28" t="s">
        <v>959</v>
      </c>
      <c r="E629" s="28" t="str">
        <f>IFERROR(IF(C629&gt;0, D629/C629, 0),"-")</f>
        <v>-</v>
      </c>
    </row>
    <row r="630" spans="1:5" x14ac:dyDescent="0.2">
      <c r="A630" s="28" t="s">
        <v>154</v>
      </c>
      <c r="B630" s="28" t="s">
        <v>1317</v>
      </c>
      <c r="C630" s="28" t="s">
        <v>959</v>
      </c>
      <c r="D630" s="28" t="s">
        <v>959</v>
      </c>
      <c r="E630" s="28" t="str">
        <f>IFERROR(IF(C630&gt;0, D630/C630, 0),"-")</f>
        <v>-</v>
      </c>
    </row>
    <row r="631" spans="1:5" x14ac:dyDescent="0.2">
      <c r="A631" s="28" t="s">
        <v>153</v>
      </c>
      <c r="B631" s="28" t="s">
        <v>1318</v>
      </c>
      <c r="C631" s="28" t="s">
        <v>959</v>
      </c>
      <c r="D631" s="28" t="s">
        <v>959</v>
      </c>
      <c r="E631" s="28" t="str">
        <f>IFERROR(IF(C631&gt;0, D631/C631, 0),"-")</f>
        <v>-</v>
      </c>
    </row>
    <row r="632" spans="1:5" x14ac:dyDescent="0.2">
      <c r="A632" s="27"/>
      <c r="B632" s="27" t="s">
        <v>67</v>
      </c>
      <c r="C632" s="27" t="s">
        <v>959</v>
      </c>
      <c r="D632" s="27" t="s">
        <v>959</v>
      </c>
      <c r="E632" s="27" t="str">
        <f>IFERROR(IF(C632&gt;0, D632/C632, 0),"-")</f>
        <v>-</v>
      </c>
    </row>
    <row r="633" spans="1:5" x14ac:dyDescent="0.2">
      <c r="A633" s="28" t="s">
        <v>446</v>
      </c>
      <c r="B633" s="28" t="s">
        <v>1319</v>
      </c>
      <c r="C633" s="28" t="s">
        <v>959</v>
      </c>
      <c r="D633" s="28" t="s">
        <v>959</v>
      </c>
      <c r="E633" s="28" t="str">
        <f>IFERROR(IF(C633&gt;0, D633/C633, 0),"-")</f>
        <v>-</v>
      </c>
    </row>
    <row r="634" spans="1:5" x14ac:dyDescent="0.2">
      <c r="A634" s="28" t="s">
        <v>444</v>
      </c>
      <c r="B634" s="28" t="s">
        <v>1320</v>
      </c>
      <c r="C634" s="28" t="s">
        <v>959</v>
      </c>
      <c r="D634" s="28" t="s">
        <v>959</v>
      </c>
      <c r="E634" s="28" t="str">
        <f>IFERROR(IF(C634&gt;0, D634/C634, 0),"-")</f>
        <v>-</v>
      </c>
    </row>
    <row r="635" spans="1:5" x14ac:dyDescent="0.2">
      <c r="A635" s="28" t="s">
        <v>443</v>
      </c>
      <c r="B635" s="28" t="s">
        <v>1321</v>
      </c>
      <c r="C635" s="28" t="s">
        <v>959</v>
      </c>
      <c r="D635" s="28" t="s">
        <v>959</v>
      </c>
      <c r="E635" s="28" t="str">
        <f>IFERROR(IF(C635&gt;0, D635/C635, 0),"-")</f>
        <v>-</v>
      </c>
    </row>
    <row r="636" spans="1:5" x14ac:dyDescent="0.2">
      <c r="A636" s="28" t="s">
        <v>440</v>
      </c>
      <c r="B636" s="28" t="s">
        <v>1322</v>
      </c>
      <c r="C636" s="28" t="s">
        <v>959</v>
      </c>
      <c r="D636" s="28" t="s">
        <v>959</v>
      </c>
      <c r="E636" s="28" t="str">
        <f>IFERROR(IF(C636&gt;0, D636/C636, 0),"-")</f>
        <v>-</v>
      </c>
    </row>
    <row r="637" spans="1:5" x14ac:dyDescent="0.2">
      <c r="A637" s="28" t="s">
        <v>441</v>
      </c>
      <c r="B637" s="28" t="s">
        <v>1323</v>
      </c>
      <c r="C637" s="28" t="s">
        <v>959</v>
      </c>
      <c r="D637" s="28" t="s">
        <v>959</v>
      </c>
      <c r="E637" s="28" t="str">
        <f>IFERROR(IF(C637&gt;0, D637/C637, 0),"-")</f>
        <v>-</v>
      </c>
    </row>
    <row r="638" spans="1:5" x14ac:dyDescent="0.2">
      <c r="A638" s="28" t="s">
        <v>442</v>
      </c>
      <c r="B638" s="28" t="s">
        <v>1324</v>
      </c>
      <c r="C638" s="28" t="s">
        <v>959</v>
      </c>
      <c r="D638" s="28" t="s">
        <v>959</v>
      </c>
      <c r="E638" s="28" t="str">
        <f>IFERROR(IF(C638&gt;0, D638/C638, 0),"-")</f>
        <v>-</v>
      </c>
    </row>
    <row r="639" spans="1:5" x14ac:dyDescent="0.2">
      <c r="A639" s="28" t="s">
        <v>445</v>
      </c>
      <c r="B639" s="28" t="s">
        <v>1325</v>
      </c>
      <c r="C639" s="28" t="s">
        <v>959</v>
      </c>
      <c r="D639" s="28" t="s">
        <v>959</v>
      </c>
      <c r="E639" s="28" t="str">
        <f>IFERROR(IF(C639&gt;0, D639/C639, 0),"-")</f>
        <v>-</v>
      </c>
    </row>
    <row r="640" spans="1:5" x14ac:dyDescent="0.2">
      <c r="A640" s="27"/>
      <c r="B640" s="27" t="s">
        <v>135</v>
      </c>
      <c r="C640" s="27" t="s">
        <v>959</v>
      </c>
      <c r="D640" s="27" t="s">
        <v>959</v>
      </c>
      <c r="E640" s="27" t="str">
        <f>IFERROR(IF(C640&gt;0, D640/C640, 0),"-")</f>
        <v>-</v>
      </c>
    </row>
    <row r="641" spans="1:5" x14ac:dyDescent="0.2">
      <c r="A641" s="28" t="s">
        <v>947</v>
      </c>
      <c r="B641" s="28" t="s">
        <v>1326</v>
      </c>
      <c r="C641" s="28" t="s">
        <v>959</v>
      </c>
      <c r="D641" s="28" t="s">
        <v>959</v>
      </c>
      <c r="E641" s="28" t="str">
        <f>IFERROR(IF(C641&gt;0, D641/C641, 0),"-")</f>
        <v>-</v>
      </c>
    </row>
    <row r="642" spans="1:5" x14ac:dyDescent="0.2">
      <c r="A642" s="28" t="s">
        <v>948</v>
      </c>
      <c r="B642" s="28" t="s">
        <v>1327</v>
      </c>
      <c r="C642" s="28" t="s">
        <v>959</v>
      </c>
      <c r="D642" s="28" t="s">
        <v>959</v>
      </c>
      <c r="E642" s="28" t="str">
        <f>IFERROR(IF(C642&gt;0, D642/C642, 0),"-")</f>
        <v>-</v>
      </c>
    </row>
    <row r="643" spans="1:5" x14ac:dyDescent="0.2">
      <c r="A643" s="28" t="s">
        <v>949</v>
      </c>
      <c r="B643" s="28" t="s">
        <v>1328</v>
      </c>
      <c r="C643" s="28" t="s">
        <v>959</v>
      </c>
      <c r="D643" s="28" t="s">
        <v>959</v>
      </c>
      <c r="E643" s="28" t="str">
        <f>IFERROR(IF(C643&gt;0, D643/C643, 0),"-")</f>
        <v>-</v>
      </c>
    </row>
    <row r="644" spans="1:5" x14ac:dyDescent="0.2">
      <c r="A644" s="28" t="s">
        <v>945</v>
      </c>
      <c r="B644" s="28" t="s">
        <v>1329</v>
      </c>
      <c r="C644" s="28" t="s">
        <v>959</v>
      </c>
      <c r="D644" s="28" t="s">
        <v>959</v>
      </c>
      <c r="E644" s="28" t="str">
        <f>IFERROR(IF(C644&gt;0, D644/C644, 0),"-")</f>
        <v>-</v>
      </c>
    </row>
    <row r="645" spans="1:5" x14ac:dyDescent="0.2">
      <c r="A645" s="28" t="s">
        <v>946</v>
      </c>
      <c r="B645" s="28" t="s">
        <v>1330</v>
      </c>
      <c r="C645" s="28" t="s">
        <v>959</v>
      </c>
      <c r="D645" s="28" t="s">
        <v>959</v>
      </c>
      <c r="E645" s="28" t="str">
        <f>IFERROR(IF(C645&gt;0, D645/C645, 0),"-")</f>
        <v>-</v>
      </c>
    </row>
    <row r="646" spans="1:5" x14ac:dyDescent="0.2">
      <c r="A646" s="28" t="s">
        <v>944</v>
      </c>
      <c r="B646" s="28" t="s">
        <v>1331</v>
      </c>
      <c r="C646" s="28" t="s">
        <v>959</v>
      </c>
      <c r="D646" s="28" t="s">
        <v>959</v>
      </c>
      <c r="E646" s="28" t="str">
        <f>IFERROR(IF(C646&gt;0, D646/C646, 0),"-")</f>
        <v>-</v>
      </c>
    </row>
    <row r="647" spans="1:5" x14ac:dyDescent="0.2">
      <c r="A647" s="27"/>
      <c r="B647" s="27" t="s">
        <v>120</v>
      </c>
      <c r="C647" s="27" t="s">
        <v>959</v>
      </c>
      <c r="D647" s="27" t="s">
        <v>959</v>
      </c>
      <c r="E647" s="27" t="str">
        <f>IFERROR(IF(C647&gt;0, D647/C647, 0),"-")</f>
        <v>-</v>
      </c>
    </row>
    <row r="648" spans="1:5" x14ac:dyDescent="0.2">
      <c r="A648" s="28" t="s">
        <v>856</v>
      </c>
      <c r="B648" s="28" t="s">
        <v>1332</v>
      </c>
      <c r="C648" s="28" t="s">
        <v>959</v>
      </c>
      <c r="D648" s="28" t="s">
        <v>959</v>
      </c>
      <c r="E648" s="28" t="str">
        <f>IFERROR(IF(C648&gt;0, D648/C648, 0),"-")</f>
        <v>-</v>
      </c>
    </row>
    <row r="649" spans="1:5" x14ac:dyDescent="0.2">
      <c r="A649" s="28" t="s">
        <v>854</v>
      </c>
      <c r="B649" s="28" t="s">
        <v>1333</v>
      </c>
      <c r="C649" s="28" t="s">
        <v>959</v>
      </c>
      <c r="D649" s="28" t="s">
        <v>959</v>
      </c>
      <c r="E649" s="28" t="str">
        <f>IFERROR(IF(C649&gt;0, D649/C649, 0),"-")</f>
        <v>-</v>
      </c>
    </row>
    <row r="650" spans="1:5" x14ac:dyDescent="0.2">
      <c r="A650" s="28" t="s">
        <v>851</v>
      </c>
      <c r="B650" s="28" t="s">
        <v>1334</v>
      </c>
      <c r="C650" s="28" t="s">
        <v>959</v>
      </c>
      <c r="D650" s="28" t="s">
        <v>959</v>
      </c>
      <c r="E650" s="28" t="str">
        <f>IFERROR(IF(C650&gt;0, D650/C650, 0),"-")</f>
        <v>-</v>
      </c>
    </row>
    <row r="651" spans="1:5" x14ac:dyDescent="0.2">
      <c r="A651" s="28" t="s">
        <v>855</v>
      </c>
      <c r="B651" s="28" t="s">
        <v>1335</v>
      </c>
      <c r="C651" s="28" t="s">
        <v>959</v>
      </c>
      <c r="D651" s="28" t="s">
        <v>959</v>
      </c>
      <c r="E651" s="28" t="str">
        <f>IFERROR(IF(C651&gt;0, D651/C651, 0),"-")</f>
        <v>-</v>
      </c>
    </row>
    <row r="652" spans="1:5" x14ac:dyDescent="0.2">
      <c r="A652" s="28" t="s">
        <v>853</v>
      </c>
      <c r="B652" s="28" t="s">
        <v>1336</v>
      </c>
      <c r="C652" s="28" t="s">
        <v>959</v>
      </c>
      <c r="D652" s="28" t="s">
        <v>959</v>
      </c>
      <c r="E652" s="28" t="str">
        <f>IFERROR(IF(C652&gt;0, D652/C652, 0),"-")</f>
        <v>-</v>
      </c>
    </row>
    <row r="653" spans="1:5" x14ac:dyDescent="0.2">
      <c r="A653" s="28" t="s">
        <v>852</v>
      </c>
      <c r="B653" s="28" t="s">
        <v>1337</v>
      </c>
      <c r="C653" s="28" t="s">
        <v>959</v>
      </c>
      <c r="D653" s="28" t="s">
        <v>959</v>
      </c>
      <c r="E653" s="28" t="str">
        <f>IFERROR(IF(C653&gt;0, D653/C653, 0),"-")</f>
        <v>-</v>
      </c>
    </row>
    <row r="654" spans="1:5" x14ac:dyDescent="0.2">
      <c r="A654" s="27"/>
      <c r="B654" s="27" t="s">
        <v>99</v>
      </c>
      <c r="C654" s="27" t="s">
        <v>959</v>
      </c>
      <c r="D654" s="27" t="s">
        <v>959</v>
      </c>
      <c r="E654" s="27" t="str">
        <f>IFERROR(IF(C654&gt;0, D654/C654, 0),"-")</f>
        <v>-</v>
      </c>
    </row>
    <row r="655" spans="1:5" x14ac:dyDescent="0.2">
      <c r="A655" s="28" t="s">
        <v>701</v>
      </c>
      <c r="B655" s="28" t="s">
        <v>1338</v>
      </c>
      <c r="C655" s="28" t="s">
        <v>959</v>
      </c>
      <c r="D655" s="28" t="s">
        <v>959</v>
      </c>
      <c r="E655" s="28" t="str">
        <f>IFERROR(IF(C655&gt;0, D655/C655, 0),"-")</f>
        <v>-</v>
      </c>
    </row>
    <row r="656" spans="1:5" x14ac:dyDescent="0.2">
      <c r="A656" s="28" t="s">
        <v>703</v>
      </c>
      <c r="B656" s="28" t="s">
        <v>1339</v>
      </c>
      <c r="C656" s="28" t="s">
        <v>959</v>
      </c>
      <c r="D656" s="28" t="s">
        <v>959</v>
      </c>
      <c r="E656" s="28" t="str">
        <f>IFERROR(IF(C656&gt;0, D656/C656, 0),"-")</f>
        <v>-</v>
      </c>
    </row>
    <row r="657" spans="1:5" x14ac:dyDescent="0.2">
      <c r="A657" s="28" t="s">
        <v>702</v>
      </c>
      <c r="B657" s="28" t="s">
        <v>1340</v>
      </c>
      <c r="C657" s="28" t="s">
        <v>959</v>
      </c>
      <c r="D657" s="28" t="s">
        <v>959</v>
      </c>
      <c r="E657" s="28" t="str">
        <f>IFERROR(IF(C657&gt;0, D657/C657, 0),"-")</f>
        <v>-</v>
      </c>
    </row>
    <row r="658" spans="1:5" x14ac:dyDescent="0.2">
      <c r="A658" s="28" t="s">
        <v>700</v>
      </c>
      <c r="B658" s="28" t="s">
        <v>1341</v>
      </c>
      <c r="C658" s="28" t="s">
        <v>959</v>
      </c>
      <c r="D658" s="28" t="s">
        <v>959</v>
      </c>
      <c r="E658" s="28" t="str">
        <f>IFERROR(IF(C658&gt;0, D658/C658, 0),"-")</f>
        <v>-</v>
      </c>
    </row>
    <row r="659" spans="1:5" x14ac:dyDescent="0.2">
      <c r="A659" s="28" t="s">
        <v>710</v>
      </c>
      <c r="B659" s="28" t="s">
        <v>1342</v>
      </c>
      <c r="C659" s="28" t="s">
        <v>959</v>
      </c>
      <c r="D659" s="28" t="s">
        <v>959</v>
      </c>
      <c r="E659" s="28" t="str">
        <f>IFERROR(IF(C659&gt;0, D659/C659, 0),"-")</f>
        <v>-</v>
      </c>
    </row>
    <row r="660" spans="1:5" x14ac:dyDescent="0.2">
      <c r="A660" s="28" t="s">
        <v>699</v>
      </c>
      <c r="B660" s="28" t="s">
        <v>1343</v>
      </c>
      <c r="C660" s="28" t="s">
        <v>959</v>
      </c>
      <c r="D660" s="28" t="s">
        <v>959</v>
      </c>
      <c r="E660" s="28" t="str">
        <f>IFERROR(IF(C660&gt;0, D660/C660, 0),"-")</f>
        <v>-</v>
      </c>
    </row>
    <row r="661" spans="1:5" x14ac:dyDescent="0.2">
      <c r="A661" s="28" t="s">
        <v>711</v>
      </c>
      <c r="B661" s="28" t="s">
        <v>1344</v>
      </c>
      <c r="C661" s="28" t="s">
        <v>959</v>
      </c>
      <c r="D661" s="28" t="s">
        <v>959</v>
      </c>
      <c r="E661" s="28" t="str">
        <f>IFERROR(IF(C661&gt;0, D661/C661, 0),"-")</f>
        <v>-</v>
      </c>
    </row>
    <row r="662" spans="1:5" x14ac:dyDescent="0.2">
      <c r="A662" s="27"/>
      <c r="B662" s="27" t="s">
        <v>89</v>
      </c>
      <c r="C662" s="27" t="s">
        <v>959</v>
      </c>
      <c r="D662" s="27" t="s">
        <v>959</v>
      </c>
      <c r="E662" s="27" t="str">
        <f>IFERROR(IF(C662&gt;0, D662/C662, 0),"-")</f>
        <v>-</v>
      </c>
    </row>
    <row r="663" spans="1:5" x14ac:dyDescent="0.2">
      <c r="A663" s="28" t="s">
        <v>601</v>
      </c>
      <c r="B663" s="28" t="s">
        <v>1345</v>
      </c>
      <c r="C663" s="28" t="s">
        <v>959</v>
      </c>
      <c r="D663" s="28" t="s">
        <v>959</v>
      </c>
      <c r="E663" s="28" t="str">
        <f>IFERROR(IF(C663&gt;0, D663/C663, 0),"-")</f>
        <v>-</v>
      </c>
    </row>
    <row r="664" spans="1:5" x14ac:dyDescent="0.2">
      <c r="A664" s="28" t="s">
        <v>604</v>
      </c>
      <c r="B664" s="28" t="s">
        <v>1346</v>
      </c>
      <c r="C664" s="28" t="s">
        <v>959</v>
      </c>
      <c r="D664" s="28" t="s">
        <v>959</v>
      </c>
      <c r="E664" s="28" t="str">
        <f>IFERROR(IF(C664&gt;0, D664/C664, 0),"-")</f>
        <v>-</v>
      </c>
    </row>
    <row r="665" spans="1:5" x14ac:dyDescent="0.2">
      <c r="A665" s="28" t="s">
        <v>615</v>
      </c>
      <c r="B665" s="28" t="s">
        <v>1347</v>
      </c>
      <c r="C665" s="28" t="s">
        <v>959</v>
      </c>
      <c r="D665" s="28" t="s">
        <v>959</v>
      </c>
      <c r="E665" s="28" t="str">
        <f>IFERROR(IF(C665&gt;0, D665/C665, 0),"-")</f>
        <v>-</v>
      </c>
    </row>
    <row r="666" spans="1:5" x14ac:dyDescent="0.2">
      <c r="A666" s="28" t="s">
        <v>603</v>
      </c>
      <c r="B666" s="28" t="s">
        <v>1348</v>
      </c>
      <c r="C666" s="28" t="s">
        <v>959</v>
      </c>
      <c r="D666" s="28" t="s">
        <v>959</v>
      </c>
      <c r="E666" s="28" t="str">
        <f>IFERROR(IF(C666&gt;0, D666/C666, 0),"-")</f>
        <v>-</v>
      </c>
    </row>
    <row r="667" spans="1:5" x14ac:dyDescent="0.2">
      <c r="A667" s="28" t="s">
        <v>602</v>
      </c>
      <c r="B667" s="28" t="s">
        <v>1349</v>
      </c>
      <c r="C667" s="28" t="s">
        <v>959</v>
      </c>
      <c r="D667" s="28" t="s">
        <v>959</v>
      </c>
      <c r="E667" s="28" t="str">
        <f>IFERROR(IF(C667&gt;0, D667/C667, 0),"-")</f>
        <v>-</v>
      </c>
    </row>
    <row r="668" spans="1:5" x14ac:dyDescent="0.2">
      <c r="A668" s="27"/>
      <c r="B668" s="27" t="s">
        <v>94</v>
      </c>
      <c r="C668" s="27" t="s">
        <v>959</v>
      </c>
      <c r="D668" s="27" t="s">
        <v>959</v>
      </c>
      <c r="E668" s="27" t="str">
        <f>IFERROR(IF(C668&gt;0, D668/C668, 0),"-")</f>
        <v>-</v>
      </c>
    </row>
    <row r="669" spans="1:5" x14ac:dyDescent="0.2">
      <c r="A669" s="28" t="s">
        <v>639</v>
      </c>
      <c r="B669" s="28" t="s">
        <v>1350</v>
      </c>
      <c r="C669" s="28" t="s">
        <v>959</v>
      </c>
      <c r="D669" s="28" t="s">
        <v>959</v>
      </c>
      <c r="E669" s="28" t="str">
        <f>IFERROR(IF(C669&gt;0, D669/C669, 0),"-")</f>
        <v>-</v>
      </c>
    </row>
    <row r="670" spans="1:5" x14ac:dyDescent="0.2">
      <c r="A670" s="28" t="s">
        <v>644</v>
      </c>
      <c r="B670" s="28" t="s">
        <v>1351</v>
      </c>
      <c r="C670" s="28" t="s">
        <v>959</v>
      </c>
      <c r="D670" s="28" t="s">
        <v>959</v>
      </c>
      <c r="E670" s="28" t="str">
        <f>IFERROR(IF(C670&gt;0, D670/C670, 0),"-")</f>
        <v>-</v>
      </c>
    </row>
    <row r="671" spans="1:5" x14ac:dyDescent="0.2">
      <c r="A671" s="28" t="s">
        <v>663</v>
      </c>
      <c r="B671" s="28" t="s">
        <v>1352</v>
      </c>
      <c r="C671" s="28" t="s">
        <v>959</v>
      </c>
      <c r="D671" s="28" t="s">
        <v>959</v>
      </c>
      <c r="E671" s="28" t="str">
        <f>IFERROR(IF(C671&gt;0, D671/C671, 0),"-")</f>
        <v>-</v>
      </c>
    </row>
    <row r="672" spans="1:5" x14ac:dyDescent="0.2">
      <c r="A672" s="28" t="s">
        <v>643</v>
      </c>
      <c r="B672" s="28" t="s">
        <v>1353</v>
      </c>
      <c r="C672" s="28" t="s">
        <v>959</v>
      </c>
      <c r="D672" s="28" t="s">
        <v>959</v>
      </c>
      <c r="E672" s="28" t="str">
        <f>IFERROR(IF(C672&gt;0, D672/C672, 0),"-")</f>
        <v>-</v>
      </c>
    </row>
    <row r="673" spans="1:5" x14ac:dyDescent="0.2">
      <c r="A673" s="28" t="s">
        <v>638</v>
      </c>
      <c r="B673" s="28" t="s">
        <v>1354</v>
      </c>
      <c r="C673" s="28" t="s">
        <v>959</v>
      </c>
      <c r="D673" s="28" t="s">
        <v>959</v>
      </c>
      <c r="E673" s="28" t="str">
        <f>IFERROR(IF(C673&gt;0, D673/C673, 0),"-")</f>
        <v>-</v>
      </c>
    </row>
    <row r="674" spans="1:5" x14ac:dyDescent="0.2">
      <c r="A674" s="28" t="s">
        <v>640</v>
      </c>
      <c r="B674" s="28" t="s">
        <v>1355</v>
      </c>
      <c r="C674" s="28" t="s">
        <v>959</v>
      </c>
      <c r="D674" s="28" t="s">
        <v>959</v>
      </c>
      <c r="E674" s="28" t="str">
        <f>IFERROR(IF(C674&gt;0, D674/C674, 0),"-")</f>
        <v>-</v>
      </c>
    </row>
    <row r="675" spans="1:5" x14ac:dyDescent="0.2">
      <c r="A675" s="28" t="s">
        <v>642</v>
      </c>
      <c r="B675" s="28" t="s">
        <v>1356</v>
      </c>
      <c r="C675" s="28" t="s">
        <v>959</v>
      </c>
      <c r="D675" s="28" t="s">
        <v>959</v>
      </c>
      <c r="E675" s="28" t="str">
        <f>IFERROR(IF(C675&gt;0, D675/C675, 0),"-")</f>
        <v>-</v>
      </c>
    </row>
    <row r="676" spans="1:5" x14ac:dyDescent="0.2">
      <c r="A676" s="28" t="s">
        <v>641</v>
      </c>
      <c r="B676" s="28" t="s">
        <v>1357</v>
      </c>
      <c r="C676" s="28" t="s">
        <v>959</v>
      </c>
      <c r="D676" s="28" t="s">
        <v>959</v>
      </c>
      <c r="E676" s="28" t="str">
        <f>IFERROR(IF(C676&gt;0, D676/C676, 0),"-")</f>
        <v>-</v>
      </c>
    </row>
    <row r="677" spans="1:5" x14ac:dyDescent="0.2">
      <c r="A677" s="28" t="s">
        <v>645</v>
      </c>
      <c r="B677" s="28" t="s">
        <v>1358</v>
      </c>
      <c r="C677" s="28" t="s">
        <v>959</v>
      </c>
      <c r="D677" s="28" t="s">
        <v>959</v>
      </c>
      <c r="E677" s="28" t="str">
        <f>IFERROR(IF(C677&gt;0, D677/C677, 0),"-")</f>
        <v>-</v>
      </c>
    </row>
    <row r="678" spans="1:5" x14ac:dyDescent="0.2">
      <c r="A678" s="27"/>
      <c r="B678" s="27" t="s">
        <v>34</v>
      </c>
      <c r="C678" s="27" t="s">
        <v>959</v>
      </c>
      <c r="D678" s="27" t="s">
        <v>959</v>
      </c>
      <c r="E678" s="27" t="str">
        <f>IFERROR(IF(C678&gt;0, D678/C678, 0),"-")</f>
        <v>-</v>
      </c>
    </row>
    <row r="679" spans="1:5" x14ac:dyDescent="0.2">
      <c r="A679" s="28" t="s">
        <v>155</v>
      </c>
      <c r="B679" s="28" t="s">
        <v>1244</v>
      </c>
      <c r="C679" s="28" t="s">
        <v>959</v>
      </c>
      <c r="D679" s="28" t="s">
        <v>959</v>
      </c>
      <c r="E679" s="28" t="str">
        <f>IFERROR(IF(C679&gt;0, D679/C679, 0),"-")</f>
        <v>-</v>
      </c>
    </row>
    <row r="680" spans="1:5" x14ac:dyDescent="0.2">
      <c r="A680" s="28" t="s">
        <v>156</v>
      </c>
      <c r="B680" s="28" t="s">
        <v>1359</v>
      </c>
      <c r="C680" s="28" t="s">
        <v>959</v>
      </c>
      <c r="D680" s="28" t="s">
        <v>959</v>
      </c>
      <c r="E680" s="28" t="str">
        <f>IFERROR(IF(C680&gt;0, D680/C680, 0),"-")</f>
        <v>-</v>
      </c>
    </row>
    <row r="681" spans="1:5" x14ac:dyDescent="0.2">
      <c r="A681" s="28" t="s">
        <v>157</v>
      </c>
      <c r="B681" s="28" t="s">
        <v>1360</v>
      </c>
      <c r="C681" s="28" t="s">
        <v>959</v>
      </c>
      <c r="D681" s="28" t="s">
        <v>959</v>
      </c>
      <c r="E681" s="28" t="str">
        <f>IFERROR(IF(C681&gt;0, D681/C681, 0),"-")</f>
        <v>-</v>
      </c>
    </row>
    <row r="682" spans="1:5" x14ac:dyDescent="0.2">
      <c r="A682" s="28" t="s">
        <v>158</v>
      </c>
      <c r="B682" s="28" t="s">
        <v>1022</v>
      </c>
      <c r="C682" s="28" t="s">
        <v>959</v>
      </c>
      <c r="D682" s="28" t="s">
        <v>959</v>
      </c>
      <c r="E682" s="28" t="str">
        <f>IFERROR(IF(C682&gt;0, D682/C682, 0),"-")</f>
        <v>-</v>
      </c>
    </row>
    <row r="683" spans="1:5" x14ac:dyDescent="0.2">
      <c r="A683" s="27"/>
      <c r="B683" s="27" t="s">
        <v>5</v>
      </c>
      <c r="C683" s="27" t="s">
        <v>959</v>
      </c>
      <c r="D683" s="27" t="s">
        <v>959</v>
      </c>
      <c r="E683" s="27" t="str">
        <f>IFERROR(IF(C683&gt;0, D683/C683, 0),"-")</f>
        <v>-</v>
      </c>
    </row>
    <row r="684" spans="1:5" x14ac:dyDescent="0.2">
      <c r="A684" s="28" t="s">
        <v>175</v>
      </c>
      <c r="B684" s="28" t="s">
        <v>1361</v>
      </c>
      <c r="C684" s="28" t="s">
        <v>959</v>
      </c>
      <c r="D684" s="28" t="s">
        <v>959</v>
      </c>
      <c r="E684" s="28" t="str">
        <f>IFERROR(IF(C684&gt;0, D684/C684, 0),"-")</f>
        <v>-</v>
      </c>
    </row>
    <row r="685" spans="1:5" x14ac:dyDescent="0.2">
      <c r="A685" s="28" t="s">
        <v>178</v>
      </c>
      <c r="B685" s="28" t="s">
        <v>1362</v>
      </c>
      <c r="C685" s="28" t="s">
        <v>959</v>
      </c>
      <c r="D685" s="28" t="s">
        <v>959</v>
      </c>
      <c r="E685" s="28" t="str">
        <f>IFERROR(IF(C685&gt;0, D685/C685, 0),"-")</f>
        <v>-</v>
      </c>
    </row>
    <row r="686" spans="1:5" x14ac:dyDescent="0.2">
      <c r="A686" s="28" t="s">
        <v>176</v>
      </c>
      <c r="B686" s="28" t="s">
        <v>1363</v>
      </c>
      <c r="C686" s="28" t="s">
        <v>959</v>
      </c>
      <c r="D686" s="28" t="s">
        <v>959</v>
      </c>
      <c r="E686" s="28" t="str">
        <f>IFERROR(IF(C686&gt;0, D686/C686, 0),"-")</f>
        <v>-</v>
      </c>
    </row>
    <row r="687" spans="1:5" x14ac:dyDescent="0.2">
      <c r="A687" s="28" t="s">
        <v>173</v>
      </c>
      <c r="B687" s="28" t="s">
        <v>1364</v>
      </c>
      <c r="C687" s="28" t="s">
        <v>959</v>
      </c>
      <c r="D687" s="28" t="s">
        <v>959</v>
      </c>
      <c r="E687" s="28" t="str">
        <f>IFERROR(IF(C687&gt;0, D687/C687, 0),"-")</f>
        <v>-</v>
      </c>
    </row>
    <row r="688" spans="1:5" x14ac:dyDescent="0.2">
      <c r="A688" s="28" t="s">
        <v>172</v>
      </c>
      <c r="B688" s="28" t="s">
        <v>1365</v>
      </c>
      <c r="C688" s="28" t="s">
        <v>959</v>
      </c>
      <c r="D688" s="28" t="s">
        <v>959</v>
      </c>
      <c r="E688" s="28" t="str">
        <f>IFERROR(IF(C688&gt;0, D688/C688, 0),"-")</f>
        <v>-</v>
      </c>
    </row>
    <row r="689" spans="1:5" x14ac:dyDescent="0.2">
      <c r="A689" s="28" t="s">
        <v>174</v>
      </c>
      <c r="B689" s="28" t="s">
        <v>1366</v>
      </c>
      <c r="C689" s="28" t="s">
        <v>959</v>
      </c>
      <c r="D689" s="28" t="s">
        <v>959</v>
      </c>
      <c r="E689" s="28" t="str">
        <f>IFERROR(IF(C689&gt;0, D689/C689, 0),"-")</f>
        <v>-</v>
      </c>
    </row>
    <row r="690" spans="1:5" x14ac:dyDescent="0.2">
      <c r="A690" s="28" t="s">
        <v>177</v>
      </c>
      <c r="B690" s="28" t="s">
        <v>1367</v>
      </c>
      <c r="C690" s="28" t="s">
        <v>959</v>
      </c>
      <c r="D690" s="28" t="s">
        <v>959</v>
      </c>
      <c r="E690" s="28" t="str">
        <f>IFERROR(IF(C690&gt;0, D690/C690, 0),"-")</f>
        <v>-</v>
      </c>
    </row>
    <row r="691" spans="1:5" x14ac:dyDescent="0.2">
      <c r="A691" s="27"/>
      <c r="B691" s="27" t="s">
        <v>109</v>
      </c>
      <c r="C691" s="27" t="s">
        <v>959</v>
      </c>
      <c r="D691" s="27" t="s">
        <v>959</v>
      </c>
      <c r="E691" s="27" t="str">
        <f>IFERROR(IF(C691&gt;0, D691/C691, 0),"-")</f>
        <v>-</v>
      </c>
    </row>
    <row r="692" spans="1:5" x14ac:dyDescent="0.2">
      <c r="A692" s="28" t="s">
        <v>782</v>
      </c>
      <c r="B692" s="28" t="s">
        <v>1368</v>
      </c>
      <c r="C692" s="28" t="s">
        <v>959</v>
      </c>
      <c r="D692" s="28" t="s">
        <v>959</v>
      </c>
      <c r="E692" s="28" t="str">
        <f>IFERROR(IF(C692&gt;0, D692/C692, 0),"-")</f>
        <v>-</v>
      </c>
    </row>
    <row r="693" spans="1:5" x14ac:dyDescent="0.2">
      <c r="A693" s="28" t="s">
        <v>784</v>
      </c>
      <c r="B693" s="28" t="s">
        <v>1369</v>
      </c>
      <c r="C693" s="28" t="s">
        <v>959</v>
      </c>
      <c r="D693" s="28" t="s">
        <v>959</v>
      </c>
      <c r="E693" s="28" t="str">
        <f>IFERROR(IF(C693&gt;0, D693/C693, 0),"-")</f>
        <v>-</v>
      </c>
    </row>
    <row r="694" spans="1:5" x14ac:dyDescent="0.2">
      <c r="A694" s="28" t="s">
        <v>783</v>
      </c>
      <c r="B694" s="28" t="s">
        <v>1370</v>
      </c>
      <c r="C694" s="28" t="s">
        <v>959</v>
      </c>
      <c r="D694" s="28" t="s">
        <v>959</v>
      </c>
      <c r="E694" s="28" t="str">
        <f>IFERROR(IF(C694&gt;0, D694/C694, 0),"-")</f>
        <v>-</v>
      </c>
    </row>
    <row r="695" spans="1:5" x14ac:dyDescent="0.2">
      <c r="A695" s="28" t="s">
        <v>785</v>
      </c>
      <c r="B695" s="28" t="s">
        <v>1371</v>
      </c>
      <c r="C695" s="28" t="s">
        <v>959</v>
      </c>
      <c r="D695" s="28" t="s">
        <v>959</v>
      </c>
      <c r="E695" s="28" t="str">
        <f>IFERROR(IF(C695&gt;0, D695/C695, 0),"-")</f>
        <v>-</v>
      </c>
    </row>
    <row r="696" spans="1:5" x14ac:dyDescent="0.2">
      <c r="A696" s="28" t="s">
        <v>786</v>
      </c>
      <c r="B696" s="28" t="s">
        <v>1372</v>
      </c>
      <c r="C696" s="28" t="s">
        <v>959</v>
      </c>
      <c r="D696" s="28" t="s">
        <v>959</v>
      </c>
      <c r="E696" s="28" t="str">
        <f>IFERROR(IF(C696&gt;0, D696/C696, 0),"-")</f>
        <v>-</v>
      </c>
    </row>
    <row r="697" spans="1:5" x14ac:dyDescent="0.2">
      <c r="A697" s="27"/>
      <c r="B697" s="27" t="s">
        <v>121</v>
      </c>
      <c r="C697" s="27" t="s">
        <v>959</v>
      </c>
      <c r="D697" s="27" t="s">
        <v>959</v>
      </c>
      <c r="E697" s="27" t="str">
        <f>IFERROR(IF(C697&gt;0, D697/C697, 0),"-")</f>
        <v>-</v>
      </c>
    </row>
    <row r="698" spans="1:5" x14ac:dyDescent="0.2">
      <c r="A698" s="28" t="s">
        <v>861</v>
      </c>
      <c r="B698" s="28" t="s">
        <v>1373</v>
      </c>
      <c r="C698" s="28" t="s">
        <v>959</v>
      </c>
      <c r="D698" s="28" t="s">
        <v>959</v>
      </c>
      <c r="E698" s="28" t="str">
        <f>IFERROR(IF(C698&gt;0, D698/C698, 0),"-")</f>
        <v>-</v>
      </c>
    </row>
    <row r="699" spans="1:5" x14ac:dyDescent="0.2">
      <c r="A699" s="28" t="s">
        <v>858</v>
      </c>
      <c r="B699" s="28" t="s">
        <v>1374</v>
      </c>
      <c r="C699" s="28" t="s">
        <v>959</v>
      </c>
      <c r="D699" s="28" t="s">
        <v>959</v>
      </c>
      <c r="E699" s="28" t="str">
        <f>IFERROR(IF(C699&gt;0, D699/C699, 0),"-")</f>
        <v>-</v>
      </c>
    </row>
    <row r="700" spans="1:5" x14ac:dyDescent="0.2">
      <c r="A700" s="28" t="s">
        <v>859</v>
      </c>
      <c r="B700" s="28" t="s">
        <v>1375</v>
      </c>
      <c r="C700" s="28" t="s">
        <v>959</v>
      </c>
      <c r="D700" s="28" t="s">
        <v>959</v>
      </c>
      <c r="E700" s="28" t="str">
        <f>IFERROR(IF(C700&gt;0, D700/C700, 0),"-")</f>
        <v>-</v>
      </c>
    </row>
    <row r="701" spans="1:5" x14ac:dyDescent="0.2">
      <c r="A701" s="28" t="s">
        <v>860</v>
      </c>
      <c r="B701" s="28" t="s">
        <v>1376</v>
      </c>
      <c r="C701" s="28" t="s">
        <v>959</v>
      </c>
      <c r="D701" s="28" t="s">
        <v>959</v>
      </c>
      <c r="E701" s="28" t="str">
        <f>IFERROR(IF(C701&gt;0, D701/C701, 0),"-")</f>
        <v>-</v>
      </c>
    </row>
    <row r="702" spans="1:5" x14ac:dyDescent="0.2">
      <c r="A702" s="28" t="s">
        <v>862</v>
      </c>
      <c r="B702" s="28" t="s">
        <v>1377</v>
      </c>
      <c r="C702" s="28" t="s">
        <v>959</v>
      </c>
      <c r="D702" s="28" t="s">
        <v>959</v>
      </c>
      <c r="E702" s="28" t="str">
        <f>IFERROR(IF(C702&gt;0, D702/C702, 0),"-")</f>
        <v>-</v>
      </c>
    </row>
    <row r="703" spans="1:5" x14ac:dyDescent="0.2">
      <c r="A703" s="27"/>
      <c r="B703" s="27" t="s">
        <v>9</v>
      </c>
      <c r="C703" s="27" t="s">
        <v>959</v>
      </c>
      <c r="D703" s="27" t="s">
        <v>959</v>
      </c>
      <c r="E703" s="27" t="str">
        <f>IFERROR(IF(C703&gt;0, D703/C703, 0),"-")</f>
        <v>-</v>
      </c>
    </row>
    <row r="704" spans="1:5" x14ac:dyDescent="0.2">
      <c r="A704" s="28" t="s">
        <v>312</v>
      </c>
      <c r="B704" s="28" t="s">
        <v>1378</v>
      </c>
      <c r="C704" s="28" t="s">
        <v>959</v>
      </c>
      <c r="D704" s="28" t="s">
        <v>959</v>
      </c>
      <c r="E704" s="28" t="str">
        <f>IFERROR(IF(C704&gt;0, D704/C704, 0),"-")</f>
        <v>-</v>
      </c>
    </row>
    <row r="705" spans="1:5" x14ac:dyDescent="0.2">
      <c r="A705" s="28" t="s">
        <v>314</v>
      </c>
      <c r="B705" s="28" t="s">
        <v>1379</v>
      </c>
      <c r="C705" s="28" t="s">
        <v>959</v>
      </c>
      <c r="D705" s="28" t="s">
        <v>959</v>
      </c>
      <c r="E705" s="28" t="str">
        <f>IFERROR(IF(C705&gt;0, D705/C705, 0),"-")</f>
        <v>-</v>
      </c>
    </row>
    <row r="706" spans="1:5" x14ac:dyDescent="0.2">
      <c r="A706" s="28" t="s">
        <v>316</v>
      </c>
      <c r="B706" s="28" t="s">
        <v>1380</v>
      </c>
      <c r="C706" s="28" t="s">
        <v>959</v>
      </c>
      <c r="D706" s="28" t="s">
        <v>959</v>
      </c>
      <c r="E706" s="28" t="str">
        <f>IFERROR(IF(C706&gt;0, D706/C706, 0),"-")</f>
        <v>-</v>
      </c>
    </row>
    <row r="707" spans="1:5" x14ac:dyDescent="0.2">
      <c r="A707" s="28" t="s">
        <v>317</v>
      </c>
      <c r="B707" s="28" t="s">
        <v>1381</v>
      </c>
      <c r="C707" s="28" t="s">
        <v>959</v>
      </c>
      <c r="D707" s="28" t="s">
        <v>959</v>
      </c>
      <c r="E707" s="28" t="str">
        <f>IFERROR(IF(C707&gt;0, D707/C707, 0),"-")</f>
        <v>-</v>
      </c>
    </row>
    <row r="708" spans="1:5" x14ac:dyDescent="0.2">
      <c r="A708" s="28" t="s">
        <v>315</v>
      </c>
      <c r="B708" s="28" t="s">
        <v>1382</v>
      </c>
      <c r="C708" s="28" t="s">
        <v>959</v>
      </c>
      <c r="D708" s="28" t="s">
        <v>959</v>
      </c>
      <c r="E708" s="28" t="str">
        <f>IFERROR(IF(C708&gt;0, D708/C708, 0),"-")</f>
        <v>-</v>
      </c>
    </row>
    <row r="709" spans="1:5" x14ac:dyDescent="0.2">
      <c r="A709" s="28" t="s">
        <v>313</v>
      </c>
      <c r="B709" s="28" t="s">
        <v>1383</v>
      </c>
      <c r="C709" s="28" t="s">
        <v>959</v>
      </c>
      <c r="D709" s="28" t="s">
        <v>959</v>
      </c>
      <c r="E709" s="28" t="str">
        <f>IFERROR(IF(C709&gt;0, D709/C709, 0),"-")</f>
        <v>-</v>
      </c>
    </row>
    <row r="710" spans="1:5" x14ac:dyDescent="0.2">
      <c r="A710" s="28" t="s">
        <v>311</v>
      </c>
      <c r="B710" s="28" t="s">
        <v>1384</v>
      </c>
      <c r="C710" s="28" t="s">
        <v>959</v>
      </c>
      <c r="D710" s="28" t="s">
        <v>959</v>
      </c>
      <c r="E710" s="28" t="str">
        <f>IFERROR(IF(C710&gt;0, D710/C710, 0),"-")</f>
        <v>-</v>
      </c>
    </row>
    <row r="711" spans="1:5" x14ac:dyDescent="0.2">
      <c r="A711" s="28" t="s">
        <v>310</v>
      </c>
      <c r="B711" s="28" t="s">
        <v>1385</v>
      </c>
      <c r="C711" s="28" t="s">
        <v>959</v>
      </c>
      <c r="D711" s="28" t="s">
        <v>959</v>
      </c>
      <c r="E711" s="28" t="str">
        <f>IFERROR(IF(C711&gt;0, D711/C711, 0),"-")</f>
        <v>-</v>
      </c>
    </row>
    <row r="712" spans="1:5" x14ac:dyDescent="0.2">
      <c r="A712" s="27"/>
      <c r="B712" s="27" t="s">
        <v>78</v>
      </c>
      <c r="C712" s="27" t="s">
        <v>959</v>
      </c>
      <c r="D712" s="27" t="s">
        <v>959</v>
      </c>
      <c r="E712" s="27" t="str">
        <f>IFERROR(IF(C712&gt;0, D712/C712, 0),"-")</f>
        <v>-</v>
      </c>
    </row>
    <row r="713" spans="1:5" x14ac:dyDescent="0.2">
      <c r="A713" s="28" t="s">
        <v>523</v>
      </c>
      <c r="B713" s="28" t="s">
        <v>1386</v>
      </c>
      <c r="C713" s="28" t="s">
        <v>959</v>
      </c>
      <c r="D713" s="28" t="s">
        <v>959</v>
      </c>
      <c r="E713" s="28" t="str">
        <f>IFERROR(IF(C713&gt;0, D713/C713, 0),"-")</f>
        <v>-</v>
      </c>
    </row>
    <row r="714" spans="1:5" x14ac:dyDescent="0.2">
      <c r="A714" s="28" t="s">
        <v>521</v>
      </c>
      <c r="B714" s="28" t="s">
        <v>1387</v>
      </c>
      <c r="C714" s="28" t="s">
        <v>959</v>
      </c>
      <c r="D714" s="28" t="s">
        <v>959</v>
      </c>
      <c r="E714" s="28" t="str">
        <f>IFERROR(IF(C714&gt;0, D714/C714, 0),"-")</f>
        <v>-</v>
      </c>
    </row>
    <row r="715" spans="1:5" x14ac:dyDescent="0.2">
      <c r="A715" s="28" t="s">
        <v>526</v>
      </c>
      <c r="B715" s="28" t="s">
        <v>1388</v>
      </c>
      <c r="C715" s="28" t="s">
        <v>959</v>
      </c>
      <c r="D715" s="28" t="s">
        <v>959</v>
      </c>
      <c r="E715" s="28" t="str">
        <f>IFERROR(IF(C715&gt;0, D715/C715, 0),"-")</f>
        <v>-</v>
      </c>
    </row>
    <row r="716" spans="1:5" x14ac:dyDescent="0.2">
      <c r="A716" s="28" t="s">
        <v>522</v>
      </c>
      <c r="B716" s="28" t="s">
        <v>1389</v>
      </c>
      <c r="C716" s="28" t="s">
        <v>959</v>
      </c>
      <c r="D716" s="28" t="s">
        <v>959</v>
      </c>
      <c r="E716" s="28" t="str">
        <f>IFERROR(IF(C716&gt;0, D716/C716, 0),"-")</f>
        <v>-</v>
      </c>
    </row>
    <row r="717" spans="1:5" x14ac:dyDescent="0.2">
      <c r="A717" s="28" t="s">
        <v>525</v>
      </c>
      <c r="B717" s="28" t="s">
        <v>1390</v>
      </c>
      <c r="C717" s="28" t="s">
        <v>959</v>
      </c>
      <c r="D717" s="28" t="s">
        <v>959</v>
      </c>
      <c r="E717" s="28" t="str">
        <f>IFERROR(IF(C717&gt;0, D717/C717, 0),"-")</f>
        <v>-</v>
      </c>
    </row>
    <row r="718" spans="1:5" x14ac:dyDescent="0.2">
      <c r="A718" s="28" t="s">
        <v>524</v>
      </c>
      <c r="B718" s="28" t="s">
        <v>1391</v>
      </c>
      <c r="C718" s="28" t="s">
        <v>959</v>
      </c>
      <c r="D718" s="28" t="s">
        <v>959</v>
      </c>
      <c r="E718" s="28" t="str">
        <f>IFERROR(IF(C718&gt;0, D718/C718, 0),"-")</f>
        <v>-</v>
      </c>
    </row>
    <row r="719" spans="1:5" x14ac:dyDescent="0.2">
      <c r="A719" s="27"/>
      <c r="B719" s="27" t="s">
        <v>104</v>
      </c>
      <c r="C719" s="27" t="s">
        <v>959</v>
      </c>
      <c r="D719" s="27" t="s">
        <v>959</v>
      </c>
      <c r="E719" s="27" t="str">
        <f>IFERROR(IF(C719&gt;0, D719/C719, 0),"-")</f>
        <v>-</v>
      </c>
    </row>
    <row r="720" spans="1:5" x14ac:dyDescent="0.2">
      <c r="A720" s="28" t="s">
        <v>745</v>
      </c>
      <c r="B720" s="28" t="s">
        <v>1392</v>
      </c>
      <c r="C720" s="28" t="s">
        <v>959</v>
      </c>
      <c r="D720" s="28" t="s">
        <v>959</v>
      </c>
      <c r="E720" s="28" t="str">
        <f>IFERROR(IF(C720&gt;0, D720/C720, 0),"-")</f>
        <v>-</v>
      </c>
    </row>
    <row r="721" spans="1:5" x14ac:dyDescent="0.2">
      <c r="A721" s="28" t="s">
        <v>750</v>
      </c>
      <c r="B721" s="28" t="s">
        <v>1393</v>
      </c>
      <c r="C721" s="28" t="s">
        <v>959</v>
      </c>
      <c r="D721" s="28" t="s">
        <v>959</v>
      </c>
      <c r="E721" s="28" t="str">
        <f>IFERROR(IF(C721&gt;0, D721/C721, 0),"-")</f>
        <v>-</v>
      </c>
    </row>
    <row r="722" spans="1:5" x14ac:dyDescent="0.2">
      <c r="A722" s="28" t="s">
        <v>751</v>
      </c>
      <c r="B722" s="28" t="s">
        <v>1394</v>
      </c>
      <c r="C722" s="28" t="s">
        <v>959</v>
      </c>
      <c r="D722" s="28" t="s">
        <v>959</v>
      </c>
      <c r="E722" s="28" t="str">
        <f>IFERROR(IF(C722&gt;0, D722/C722, 0),"-")</f>
        <v>-</v>
      </c>
    </row>
    <row r="723" spans="1:5" x14ac:dyDescent="0.2">
      <c r="A723" s="28" t="s">
        <v>748</v>
      </c>
      <c r="B723" s="28" t="s">
        <v>1395</v>
      </c>
      <c r="C723" s="28" t="s">
        <v>959</v>
      </c>
      <c r="D723" s="28" t="s">
        <v>959</v>
      </c>
      <c r="E723" s="28" t="str">
        <f>IFERROR(IF(C723&gt;0, D723/C723, 0),"-")</f>
        <v>-</v>
      </c>
    </row>
    <row r="724" spans="1:5" x14ac:dyDescent="0.2">
      <c r="A724" s="28" t="s">
        <v>752</v>
      </c>
      <c r="B724" s="28" t="s">
        <v>1396</v>
      </c>
      <c r="C724" s="28" t="s">
        <v>959</v>
      </c>
      <c r="D724" s="28" t="s">
        <v>959</v>
      </c>
      <c r="E724" s="28" t="str">
        <f>IFERROR(IF(C724&gt;0, D724/C724, 0),"-")</f>
        <v>-</v>
      </c>
    </row>
    <row r="725" spans="1:5" x14ac:dyDescent="0.2">
      <c r="A725" s="28" t="s">
        <v>753</v>
      </c>
      <c r="B725" s="28" t="s">
        <v>1397</v>
      </c>
      <c r="C725" s="28" t="s">
        <v>959</v>
      </c>
      <c r="D725" s="28" t="s">
        <v>959</v>
      </c>
      <c r="E725" s="28" t="str">
        <f>IFERROR(IF(C725&gt;0, D725/C725, 0),"-")</f>
        <v>-</v>
      </c>
    </row>
    <row r="726" spans="1:5" x14ac:dyDescent="0.2">
      <c r="A726" s="28" t="s">
        <v>746</v>
      </c>
      <c r="B726" s="28" t="s">
        <v>1398</v>
      </c>
      <c r="C726" s="28" t="s">
        <v>959</v>
      </c>
      <c r="D726" s="28" t="s">
        <v>959</v>
      </c>
      <c r="E726" s="28" t="str">
        <f>IFERROR(IF(C726&gt;0, D726/C726, 0),"-")</f>
        <v>-</v>
      </c>
    </row>
    <row r="727" spans="1:5" x14ac:dyDescent="0.2">
      <c r="A727" s="28" t="s">
        <v>749</v>
      </c>
      <c r="B727" s="28" t="s">
        <v>1399</v>
      </c>
      <c r="C727" s="28" t="s">
        <v>959</v>
      </c>
      <c r="D727" s="28" t="s">
        <v>959</v>
      </c>
      <c r="E727" s="28" t="str">
        <f>IFERROR(IF(C727&gt;0, D727/C727, 0),"-")</f>
        <v>-</v>
      </c>
    </row>
    <row r="728" spans="1:5" x14ac:dyDescent="0.2">
      <c r="A728" s="28" t="s">
        <v>747</v>
      </c>
      <c r="B728" s="28" t="s">
        <v>1400</v>
      </c>
      <c r="C728" s="28" t="s">
        <v>959</v>
      </c>
      <c r="D728" s="28" t="s">
        <v>959</v>
      </c>
      <c r="E728" s="28" t="str">
        <f>IFERROR(IF(C728&gt;0, D728/C728, 0),"-")</f>
        <v>-</v>
      </c>
    </row>
    <row r="729" spans="1:5" x14ac:dyDescent="0.2">
      <c r="A729" s="27"/>
      <c r="B729" s="27" t="s">
        <v>119</v>
      </c>
      <c r="C729" s="27" t="s">
        <v>959</v>
      </c>
      <c r="D729" s="27" t="s">
        <v>959</v>
      </c>
      <c r="E729" s="27" t="str">
        <f>IFERROR(IF(C729&gt;0, D729/C729, 0),"-")</f>
        <v>-</v>
      </c>
    </row>
    <row r="730" spans="1:5" x14ac:dyDescent="0.2">
      <c r="A730" s="28" t="s">
        <v>849</v>
      </c>
      <c r="B730" s="28" t="s">
        <v>1401</v>
      </c>
      <c r="C730" s="28" t="s">
        <v>959</v>
      </c>
      <c r="D730" s="28" t="s">
        <v>959</v>
      </c>
      <c r="E730" s="28" t="str">
        <f>IFERROR(IF(C730&gt;0, D730/C730, 0),"-")</f>
        <v>-</v>
      </c>
    </row>
    <row r="731" spans="1:5" x14ac:dyDescent="0.2">
      <c r="A731" s="28" t="s">
        <v>848</v>
      </c>
      <c r="B731" s="28" t="s">
        <v>1402</v>
      </c>
      <c r="C731" s="28" t="s">
        <v>959</v>
      </c>
      <c r="D731" s="28" t="s">
        <v>959</v>
      </c>
      <c r="E731" s="28" t="str">
        <f>IFERROR(IF(C731&gt;0, D731/C731, 0),"-")</f>
        <v>-</v>
      </c>
    </row>
    <row r="732" spans="1:5" x14ac:dyDescent="0.2">
      <c r="A732" s="28" t="s">
        <v>847</v>
      </c>
      <c r="B732" s="28" t="s">
        <v>1403</v>
      </c>
      <c r="C732" s="28" t="s">
        <v>959</v>
      </c>
      <c r="D732" s="28" t="s">
        <v>959</v>
      </c>
      <c r="E732" s="28" t="str">
        <f>IFERROR(IF(C732&gt;0, D732/C732, 0),"-")</f>
        <v>-</v>
      </c>
    </row>
    <row r="733" spans="1:5" x14ac:dyDescent="0.2">
      <c r="A733" s="28" t="s">
        <v>857</v>
      </c>
      <c r="B733" s="28" t="s">
        <v>1404</v>
      </c>
      <c r="C733" s="28" t="s">
        <v>959</v>
      </c>
      <c r="D733" s="28" t="s">
        <v>959</v>
      </c>
      <c r="E733" s="28" t="str">
        <f>IFERROR(IF(C733&gt;0, D733/C733, 0),"-")</f>
        <v>-</v>
      </c>
    </row>
    <row r="734" spans="1:5" x14ac:dyDescent="0.2">
      <c r="A734" s="28" t="s">
        <v>846</v>
      </c>
      <c r="B734" s="28" t="s">
        <v>1405</v>
      </c>
      <c r="C734" s="28" t="s">
        <v>959</v>
      </c>
      <c r="D734" s="28" t="s">
        <v>959</v>
      </c>
      <c r="E734" s="28" t="str">
        <f>IFERROR(IF(C734&gt;0, D734/C734, 0),"-")</f>
        <v>-</v>
      </c>
    </row>
    <row r="735" spans="1:5" x14ac:dyDescent="0.2">
      <c r="A735" s="28" t="s">
        <v>850</v>
      </c>
      <c r="B735" s="28" t="s">
        <v>1406</v>
      </c>
      <c r="C735" s="28" t="s">
        <v>959</v>
      </c>
      <c r="D735" s="28" t="s">
        <v>959</v>
      </c>
      <c r="E735" s="28" t="str">
        <f>IFERROR(IF(C735&gt;0, D735/C735, 0),"-")</f>
        <v>-</v>
      </c>
    </row>
    <row r="736" spans="1:5" x14ac:dyDescent="0.2">
      <c r="A736" s="27"/>
      <c r="B736" s="27" t="s">
        <v>39</v>
      </c>
      <c r="C736" s="27" t="s">
        <v>959</v>
      </c>
      <c r="D736" s="27" t="s">
        <v>959</v>
      </c>
      <c r="E736" s="27" t="str">
        <f>IFERROR(IF(C736&gt;0, D736/C736, 0),"-")</f>
        <v>-</v>
      </c>
    </row>
    <row r="737" spans="1:5" x14ac:dyDescent="0.2">
      <c r="A737" s="28" t="s">
        <v>199</v>
      </c>
      <c r="B737" s="28" t="s">
        <v>1407</v>
      </c>
      <c r="C737" s="28" t="s">
        <v>959</v>
      </c>
      <c r="D737" s="28" t="s">
        <v>959</v>
      </c>
      <c r="E737" s="28" t="str">
        <f>IFERROR(IF(C737&gt;0, D737/C737, 0),"-")</f>
        <v>-</v>
      </c>
    </row>
    <row r="738" spans="1:5" x14ac:dyDescent="0.2">
      <c r="A738" s="28" t="s">
        <v>202</v>
      </c>
      <c r="B738" s="28" t="s">
        <v>1408</v>
      </c>
      <c r="C738" s="28" t="s">
        <v>959</v>
      </c>
      <c r="D738" s="28" t="s">
        <v>959</v>
      </c>
      <c r="E738" s="28" t="str">
        <f>IFERROR(IF(C738&gt;0, D738/C738, 0),"-")</f>
        <v>-</v>
      </c>
    </row>
    <row r="739" spans="1:5" x14ac:dyDescent="0.2">
      <c r="A739" s="28" t="s">
        <v>201</v>
      </c>
      <c r="B739" s="28" t="s">
        <v>1409</v>
      </c>
      <c r="C739" s="28" t="s">
        <v>959</v>
      </c>
      <c r="D739" s="28" t="s">
        <v>959</v>
      </c>
      <c r="E739" s="28" t="str">
        <f>IFERROR(IF(C739&gt;0, D739/C739, 0),"-")</f>
        <v>-</v>
      </c>
    </row>
    <row r="740" spans="1:5" x14ac:dyDescent="0.2">
      <c r="A740" s="28" t="s">
        <v>207</v>
      </c>
      <c r="B740" s="28" t="s">
        <v>1410</v>
      </c>
      <c r="C740" s="28" t="s">
        <v>959</v>
      </c>
      <c r="D740" s="28" t="s">
        <v>959</v>
      </c>
      <c r="E740" s="28" t="str">
        <f>IFERROR(IF(C740&gt;0, D740/C740, 0),"-")</f>
        <v>-</v>
      </c>
    </row>
    <row r="741" spans="1:5" x14ac:dyDescent="0.2">
      <c r="A741" s="28" t="s">
        <v>206</v>
      </c>
      <c r="B741" s="28" t="s">
        <v>1411</v>
      </c>
      <c r="C741" s="28" t="s">
        <v>959</v>
      </c>
      <c r="D741" s="28" t="s">
        <v>959</v>
      </c>
      <c r="E741" s="28" t="str">
        <f>IFERROR(IF(C741&gt;0, D741/C741, 0),"-")</f>
        <v>-</v>
      </c>
    </row>
    <row r="742" spans="1:5" x14ac:dyDescent="0.2">
      <c r="A742" s="28" t="s">
        <v>200</v>
      </c>
      <c r="B742" s="28" t="s">
        <v>1412</v>
      </c>
      <c r="C742" s="28" t="s">
        <v>959</v>
      </c>
      <c r="D742" s="28" t="s">
        <v>959</v>
      </c>
      <c r="E742" s="28" t="str">
        <f>IFERROR(IF(C742&gt;0, D742/C742, 0),"-")</f>
        <v>-</v>
      </c>
    </row>
    <row r="743" spans="1:5" x14ac:dyDescent="0.2">
      <c r="A743" s="28" t="s">
        <v>203</v>
      </c>
      <c r="B743" s="28" t="s">
        <v>1413</v>
      </c>
      <c r="C743" s="28" t="s">
        <v>959</v>
      </c>
      <c r="D743" s="28" t="s">
        <v>959</v>
      </c>
      <c r="E743" s="28" t="str">
        <f>IFERROR(IF(C743&gt;0, D743/C743, 0),"-")</f>
        <v>-</v>
      </c>
    </row>
    <row r="744" spans="1:5" x14ac:dyDescent="0.2">
      <c r="A744" s="28" t="s">
        <v>204</v>
      </c>
      <c r="B744" s="28" t="s">
        <v>1414</v>
      </c>
      <c r="C744" s="28" t="s">
        <v>959</v>
      </c>
      <c r="D744" s="28" t="s">
        <v>959</v>
      </c>
      <c r="E744" s="28" t="str">
        <f>IFERROR(IF(C744&gt;0, D744/C744, 0),"-")</f>
        <v>-</v>
      </c>
    </row>
    <row r="745" spans="1:5" x14ac:dyDescent="0.2">
      <c r="A745" s="27"/>
      <c r="B745" s="27" t="s">
        <v>25</v>
      </c>
      <c r="C745" s="27" t="s">
        <v>959</v>
      </c>
      <c r="D745" s="27" t="s">
        <v>959</v>
      </c>
      <c r="E745" s="27" t="str">
        <f>IFERROR(IF(C745&gt;0, D745/C745, 0),"-")</f>
        <v>-</v>
      </c>
    </row>
    <row r="746" spans="1:5" x14ac:dyDescent="0.2">
      <c r="A746" s="28" t="s">
        <v>769</v>
      </c>
      <c r="B746" s="28" t="s">
        <v>1415</v>
      </c>
      <c r="C746" s="28" t="s">
        <v>959</v>
      </c>
      <c r="D746" s="28" t="s">
        <v>959</v>
      </c>
      <c r="E746" s="28" t="str">
        <f>IFERROR(IF(C746&gt;0, D746/C746, 0),"-")</f>
        <v>-</v>
      </c>
    </row>
    <row r="747" spans="1:5" x14ac:dyDescent="0.2">
      <c r="A747" s="28" t="s">
        <v>770</v>
      </c>
      <c r="B747" s="28" t="s">
        <v>1416</v>
      </c>
      <c r="C747" s="28" t="s">
        <v>959</v>
      </c>
      <c r="D747" s="28" t="s">
        <v>959</v>
      </c>
      <c r="E747" s="28" t="str">
        <f>IFERROR(IF(C747&gt;0, D747/C747, 0),"-")</f>
        <v>-</v>
      </c>
    </row>
    <row r="748" spans="1:5" x14ac:dyDescent="0.2">
      <c r="A748" s="28" t="s">
        <v>794</v>
      </c>
      <c r="B748" s="28" t="s">
        <v>1417</v>
      </c>
      <c r="C748" s="28" t="s">
        <v>959</v>
      </c>
      <c r="D748" s="28" t="s">
        <v>959</v>
      </c>
      <c r="E748" s="28" t="str">
        <f>IFERROR(IF(C748&gt;0, D748/C748, 0),"-")</f>
        <v>-</v>
      </c>
    </row>
    <row r="749" spans="1:5" x14ac:dyDescent="0.2">
      <c r="A749" s="28" t="s">
        <v>795</v>
      </c>
      <c r="B749" s="28" t="s">
        <v>1418</v>
      </c>
      <c r="C749" s="28" t="s">
        <v>959</v>
      </c>
      <c r="D749" s="28" t="s">
        <v>959</v>
      </c>
      <c r="E749" s="28" t="str">
        <f>IFERROR(IF(C749&gt;0, D749/C749, 0),"-")</f>
        <v>-</v>
      </c>
    </row>
    <row r="750" spans="1:5" x14ac:dyDescent="0.2">
      <c r="A750" s="27"/>
      <c r="B750" s="27" t="s">
        <v>115</v>
      </c>
      <c r="C750" s="27" t="s">
        <v>959</v>
      </c>
      <c r="D750" s="27" t="s">
        <v>959</v>
      </c>
      <c r="E750" s="27" t="str">
        <f>IFERROR(IF(C750&gt;0, D750/C750, 0),"-")</f>
        <v>-</v>
      </c>
    </row>
    <row r="751" spans="1:5" x14ac:dyDescent="0.2">
      <c r="A751" s="28" t="s">
        <v>828</v>
      </c>
      <c r="B751" s="28" t="s">
        <v>1419</v>
      </c>
      <c r="C751" s="28" t="s">
        <v>959</v>
      </c>
      <c r="D751" s="28" t="s">
        <v>959</v>
      </c>
      <c r="E751" s="28" t="str">
        <f>IFERROR(IF(C751&gt;0, D751/C751, 0),"-")</f>
        <v>-</v>
      </c>
    </row>
    <row r="752" spans="1:5" x14ac:dyDescent="0.2">
      <c r="A752" s="28" t="s">
        <v>827</v>
      </c>
      <c r="B752" s="28" t="s">
        <v>1420</v>
      </c>
      <c r="C752" s="28" t="s">
        <v>959</v>
      </c>
      <c r="D752" s="28" t="s">
        <v>959</v>
      </c>
      <c r="E752" s="28" t="str">
        <f>IFERROR(IF(C752&gt;0, D752/C752, 0),"-")</f>
        <v>-</v>
      </c>
    </row>
    <row r="753" spans="1:5" x14ac:dyDescent="0.2">
      <c r="A753" s="28" t="s">
        <v>825</v>
      </c>
      <c r="B753" s="28" t="s">
        <v>1421</v>
      </c>
      <c r="C753" s="28" t="s">
        <v>959</v>
      </c>
      <c r="D753" s="28" t="s">
        <v>959</v>
      </c>
      <c r="E753" s="28" t="str">
        <f>IFERROR(IF(C753&gt;0, D753/C753, 0),"-")</f>
        <v>-</v>
      </c>
    </row>
    <row r="754" spans="1:5" x14ac:dyDescent="0.2">
      <c r="A754" s="28" t="s">
        <v>824</v>
      </c>
      <c r="B754" s="28" t="s">
        <v>1422</v>
      </c>
      <c r="C754" s="28" t="s">
        <v>959</v>
      </c>
      <c r="D754" s="28" t="s">
        <v>959</v>
      </c>
      <c r="E754" s="28" t="str">
        <f>IFERROR(IF(C754&gt;0, D754/C754, 0),"-")</f>
        <v>-</v>
      </c>
    </row>
    <row r="755" spans="1:5" x14ac:dyDescent="0.2">
      <c r="A755" s="28" t="s">
        <v>826</v>
      </c>
      <c r="B755" s="28" t="s">
        <v>1423</v>
      </c>
      <c r="C755" s="28" t="s">
        <v>959</v>
      </c>
      <c r="D755" s="28" t="s">
        <v>959</v>
      </c>
      <c r="E755" s="28" t="str">
        <f>IFERROR(IF(C755&gt;0, D755/C755, 0),"-")</f>
        <v>-</v>
      </c>
    </row>
    <row r="756" spans="1:5" x14ac:dyDescent="0.2">
      <c r="A756" s="27"/>
      <c r="B756" s="27" t="s">
        <v>6</v>
      </c>
      <c r="C756" s="27" t="s">
        <v>959</v>
      </c>
      <c r="D756" s="27" t="s">
        <v>959</v>
      </c>
      <c r="E756" s="27" t="str">
        <f>IFERROR(IF(C756&gt;0, D756/C756, 0),"-")</f>
        <v>-</v>
      </c>
    </row>
    <row r="757" spans="1:5" x14ac:dyDescent="0.2">
      <c r="A757" s="28" t="s">
        <v>180</v>
      </c>
      <c r="B757" s="28" t="s">
        <v>1424</v>
      </c>
      <c r="C757" s="28" t="s">
        <v>959</v>
      </c>
      <c r="D757" s="28" t="s">
        <v>959</v>
      </c>
      <c r="E757" s="28" t="str">
        <f>IFERROR(IF(C757&gt;0, D757/C757, 0),"-")</f>
        <v>-</v>
      </c>
    </row>
    <row r="758" spans="1:5" x14ac:dyDescent="0.2">
      <c r="A758" s="28" t="s">
        <v>216</v>
      </c>
      <c r="B758" s="28" t="s">
        <v>1425</v>
      </c>
      <c r="C758" s="28" t="s">
        <v>959</v>
      </c>
      <c r="D758" s="28" t="s">
        <v>959</v>
      </c>
      <c r="E758" s="28" t="str">
        <f>IFERROR(IF(C758&gt;0, D758/C758, 0),"-")</f>
        <v>-</v>
      </c>
    </row>
    <row r="759" spans="1:5" x14ac:dyDescent="0.2">
      <c r="A759" s="28" t="s">
        <v>162</v>
      </c>
      <c r="B759" s="28" t="s">
        <v>1426</v>
      </c>
      <c r="C759" s="28" t="s">
        <v>959</v>
      </c>
      <c r="D759" s="28" t="s">
        <v>959</v>
      </c>
      <c r="E759" s="28" t="str">
        <f>IFERROR(IF(C759&gt;0, D759/C759, 0),"-")</f>
        <v>-</v>
      </c>
    </row>
    <row r="760" spans="1:5" x14ac:dyDescent="0.2">
      <c r="A760" s="28" t="s">
        <v>161</v>
      </c>
      <c r="B760" s="28" t="s">
        <v>1427</v>
      </c>
      <c r="C760" s="28" t="s">
        <v>959</v>
      </c>
      <c r="D760" s="28" t="s">
        <v>959</v>
      </c>
      <c r="E760" s="28" t="str">
        <f>IFERROR(IF(C760&gt;0, D760/C760, 0),"-")</f>
        <v>-</v>
      </c>
    </row>
    <row r="761" spans="1:5" x14ac:dyDescent="0.2">
      <c r="A761" s="28" t="s">
        <v>182</v>
      </c>
      <c r="B761" s="28" t="s">
        <v>1428</v>
      </c>
      <c r="C761" s="28" t="s">
        <v>959</v>
      </c>
      <c r="D761" s="28" t="s">
        <v>959</v>
      </c>
      <c r="E761" s="28" t="str">
        <f>IFERROR(IF(C761&gt;0, D761/C761, 0),"-")</f>
        <v>-</v>
      </c>
    </row>
    <row r="762" spans="1:5" x14ac:dyDescent="0.2">
      <c r="A762" s="28" t="s">
        <v>164</v>
      </c>
      <c r="B762" s="28" t="s">
        <v>1429</v>
      </c>
      <c r="C762" s="28" t="s">
        <v>959</v>
      </c>
      <c r="D762" s="28" t="s">
        <v>959</v>
      </c>
      <c r="E762" s="28" t="str">
        <f>IFERROR(IF(C762&gt;0, D762/C762, 0),"-")</f>
        <v>-</v>
      </c>
    </row>
    <row r="763" spans="1:5" x14ac:dyDescent="0.2">
      <c r="A763" s="28" t="s">
        <v>163</v>
      </c>
      <c r="B763" s="28" t="s">
        <v>1430</v>
      </c>
      <c r="C763" s="28" t="s">
        <v>959</v>
      </c>
      <c r="D763" s="28" t="s">
        <v>959</v>
      </c>
      <c r="E763" s="28" t="str">
        <f>IFERROR(IF(C763&gt;0, D763/C763, 0),"-")</f>
        <v>-</v>
      </c>
    </row>
    <row r="764" spans="1:5" x14ac:dyDescent="0.2">
      <c r="A764" s="28" t="s">
        <v>160</v>
      </c>
      <c r="B764" s="28" t="s">
        <v>1431</v>
      </c>
      <c r="C764" s="28" t="s">
        <v>959</v>
      </c>
      <c r="D764" s="28" t="s">
        <v>959</v>
      </c>
      <c r="E764" s="28" t="str">
        <f>IFERROR(IF(C764&gt;0, D764/C764, 0),"-")</f>
        <v>-</v>
      </c>
    </row>
    <row r="765" spans="1:5" x14ac:dyDescent="0.2">
      <c r="A765" s="28" t="s">
        <v>179</v>
      </c>
      <c r="B765" s="28" t="s">
        <v>1432</v>
      </c>
      <c r="C765" s="28" t="s">
        <v>959</v>
      </c>
      <c r="D765" s="28" t="s">
        <v>959</v>
      </c>
      <c r="E765" s="28" t="str">
        <f>IFERROR(IF(C765&gt;0, D765/C765, 0),"-")</f>
        <v>-</v>
      </c>
    </row>
    <row r="766" spans="1:5" x14ac:dyDescent="0.2">
      <c r="A766" s="28" t="s">
        <v>159</v>
      </c>
      <c r="B766" s="28" t="s">
        <v>1433</v>
      </c>
      <c r="C766" s="28" t="s">
        <v>959</v>
      </c>
      <c r="D766" s="28" t="s">
        <v>959</v>
      </c>
      <c r="E766" s="28" t="str">
        <f>IFERROR(IF(C766&gt;0, D766/C766, 0),"-")</f>
        <v>-</v>
      </c>
    </row>
    <row r="767" spans="1:5" x14ac:dyDescent="0.2">
      <c r="A767" s="27"/>
      <c r="B767" s="27" t="s">
        <v>40</v>
      </c>
      <c r="C767" s="27" t="s">
        <v>959</v>
      </c>
      <c r="D767" s="27" t="s">
        <v>959</v>
      </c>
      <c r="E767" s="27" t="str">
        <f>IFERROR(IF(C767&gt;0, D767/C767, 0),"-")</f>
        <v>-</v>
      </c>
    </row>
    <row r="768" spans="1:5" x14ac:dyDescent="0.2">
      <c r="A768" s="28" t="s">
        <v>213</v>
      </c>
      <c r="B768" s="28" t="s">
        <v>1434</v>
      </c>
      <c r="C768" s="28" t="s">
        <v>959</v>
      </c>
      <c r="D768" s="28" t="s">
        <v>959</v>
      </c>
      <c r="E768" s="28" t="str">
        <f>IFERROR(IF(C768&gt;0, D768/C768, 0),"-")</f>
        <v>-</v>
      </c>
    </row>
    <row r="769" spans="1:5" x14ac:dyDescent="0.2">
      <c r="A769" s="28" t="s">
        <v>227</v>
      </c>
      <c r="B769" s="28" t="s">
        <v>1435</v>
      </c>
      <c r="C769" s="28" t="s">
        <v>959</v>
      </c>
      <c r="D769" s="28" t="s">
        <v>959</v>
      </c>
      <c r="E769" s="28" t="str">
        <f>IFERROR(IF(C769&gt;0, D769/C769, 0),"-")</f>
        <v>-</v>
      </c>
    </row>
    <row r="770" spans="1:5" x14ac:dyDescent="0.2">
      <c r="A770" s="28" t="s">
        <v>228</v>
      </c>
      <c r="B770" s="28" t="s">
        <v>1436</v>
      </c>
      <c r="C770" s="28" t="s">
        <v>959</v>
      </c>
      <c r="D770" s="28" t="s">
        <v>959</v>
      </c>
      <c r="E770" s="28" t="str">
        <f>IFERROR(IF(C770&gt;0, D770/C770, 0),"-")</f>
        <v>-</v>
      </c>
    </row>
    <row r="771" spans="1:5" x14ac:dyDescent="0.2">
      <c r="A771" s="28" t="s">
        <v>226</v>
      </c>
      <c r="B771" s="28" t="s">
        <v>1437</v>
      </c>
      <c r="C771" s="28" t="s">
        <v>959</v>
      </c>
      <c r="D771" s="28" t="s">
        <v>959</v>
      </c>
      <c r="E771" s="28" t="str">
        <f>IFERROR(IF(C771&gt;0, D771/C771, 0),"-")</f>
        <v>-</v>
      </c>
    </row>
    <row r="772" spans="1:5" x14ac:dyDescent="0.2">
      <c r="A772" s="28" t="s">
        <v>209</v>
      </c>
      <c r="B772" s="28" t="s">
        <v>1438</v>
      </c>
      <c r="C772" s="28" t="s">
        <v>959</v>
      </c>
      <c r="D772" s="28" t="s">
        <v>959</v>
      </c>
      <c r="E772" s="28" t="str">
        <f>IFERROR(IF(C772&gt;0, D772/C772, 0),"-")</f>
        <v>-</v>
      </c>
    </row>
    <row r="773" spans="1:5" x14ac:dyDescent="0.2">
      <c r="A773" s="28" t="s">
        <v>212</v>
      </c>
      <c r="B773" s="28" t="s">
        <v>1439</v>
      </c>
      <c r="C773" s="28" t="s">
        <v>959</v>
      </c>
      <c r="D773" s="28" t="s">
        <v>959</v>
      </c>
      <c r="E773" s="28" t="str">
        <f>IFERROR(IF(C773&gt;0, D773/C773, 0),"-")</f>
        <v>-</v>
      </c>
    </row>
    <row r="774" spans="1:5" x14ac:dyDescent="0.2">
      <c r="A774" s="28" t="s">
        <v>211</v>
      </c>
      <c r="B774" s="28" t="s">
        <v>1437</v>
      </c>
      <c r="C774" s="28" t="s">
        <v>959</v>
      </c>
      <c r="D774" s="28" t="s">
        <v>959</v>
      </c>
      <c r="E774" s="28" t="str">
        <f>IFERROR(IF(C774&gt;0, D774/C774, 0),"-")</f>
        <v>-</v>
      </c>
    </row>
    <row r="775" spans="1:5" x14ac:dyDescent="0.2">
      <c r="A775" s="28" t="s">
        <v>210</v>
      </c>
      <c r="B775" s="28" t="s">
        <v>1440</v>
      </c>
      <c r="C775" s="28" t="s">
        <v>959</v>
      </c>
      <c r="D775" s="28" t="s">
        <v>959</v>
      </c>
      <c r="E775" s="28" t="str">
        <f>IFERROR(IF(C775&gt;0, D775/C775, 0),"-")</f>
        <v>-</v>
      </c>
    </row>
    <row r="776" spans="1:5" x14ac:dyDescent="0.2">
      <c r="A776" s="28" t="s">
        <v>215</v>
      </c>
      <c r="B776" s="28" t="s">
        <v>1441</v>
      </c>
      <c r="C776" s="28" t="s">
        <v>959</v>
      </c>
      <c r="D776" s="28" t="s">
        <v>959</v>
      </c>
      <c r="E776" s="28" t="str">
        <f>IFERROR(IF(C776&gt;0, D776/C776, 0),"-")</f>
        <v>-</v>
      </c>
    </row>
    <row r="777" spans="1:5" x14ac:dyDescent="0.2">
      <c r="A777" s="28" t="s">
        <v>214</v>
      </c>
      <c r="B777" s="28" t="s">
        <v>1442</v>
      </c>
      <c r="C777" s="28" t="s">
        <v>959</v>
      </c>
      <c r="D777" s="28" t="s">
        <v>959</v>
      </c>
      <c r="E777" s="28" t="str">
        <f>IFERROR(IF(C777&gt;0, D777/C777, 0),"-")</f>
        <v>-</v>
      </c>
    </row>
    <row r="778" spans="1:5" x14ac:dyDescent="0.2">
      <c r="A778" s="28" t="s">
        <v>208</v>
      </c>
      <c r="B778" s="28" t="s">
        <v>1443</v>
      </c>
      <c r="C778" s="28" t="s">
        <v>959</v>
      </c>
      <c r="D778" s="28" t="s">
        <v>959</v>
      </c>
      <c r="E778" s="28" t="str">
        <f>IFERROR(IF(C778&gt;0, D778/C778, 0),"-")</f>
        <v>-</v>
      </c>
    </row>
    <row r="779" spans="1:5" x14ac:dyDescent="0.2">
      <c r="A779" s="27"/>
      <c r="B779" s="27" t="s">
        <v>58</v>
      </c>
      <c r="C779" s="27" t="s">
        <v>959</v>
      </c>
      <c r="D779" s="27" t="s">
        <v>959</v>
      </c>
      <c r="E779" s="27" t="str">
        <f>IFERROR(IF(C779&gt;0, D779/C779, 0),"-")</f>
        <v>-</v>
      </c>
    </row>
    <row r="780" spans="1:5" x14ac:dyDescent="0.2">
      <c r="A780" s="28" t="s">
        <v>361</v>
      </c>
      <c r="B780" s="28" t="s">
        <v>989</v>
      </c>
      <c r="C780" s="28" t="s">
        <v>959</v>
      </c>
      <c r="D780" s="28" t="s">
        <v>959</v>
      </c>
      <c r="E780" s="28" t="str">
        <f>IFERROR(IF(C780&gt;0, D780/C780, 0),"-")</f>
        <v>-</v>
      </c>
    </row>
    <row r="781" spans="1:5" x14ac:dyDescent="0.2">
      <c r="A781" s="28" t="s">
        <v>358</v>
      </c>
      <c r="B781" s="28" t="s">
        <v>1444</v>
      </c>
      <c r="C781" s="28" t="s">
        <v>959</v>
      </c>
      <c r="D781" s="28" t="s">
        <v>959</v>
      </c>
      <c r="E781" s="28" t="str">
        <f>IFERROR(IF(C781&gt;0, D781/C781, 0),"-")</f>
        <v>-</v>
      </c>
    </row>
    <row r="782" spans="1:5" x14ac:dyDescent="0.2">
      <c r="A782" s="28" t="s">
        <v>357</v>
      </c>
      <c r="B782" s="28" t="s">
        <v>1445</v>
      </c>
      <c r="C782" s="28" t="s">
        <v>959</v>
      </c>
      <c r="D782" s="28" t="s">
        <v>959</v>
      </c>
      <c r="E782" s="28" t="str">
        <f>IFERROR(IF(C782&gt;0, D782/C782, 0),"-")</f>
        <v>-</v>
      </c>
    </row>
    <row r="783" spans="1:5" x14ac:dyDescent="0.2">
      <c r="A783" s="28" t="s">
        <v>360</v>
      </c>
      <c r="B783" s="28" t="s">
        <v>1446</v>
      </c>
      <c r="C783" s="28" t="s">
        <v>959</v>
      </c>
      <c r="D783" s="28" t="s">
        <v>959</v>
      </c>
      <c r="E783" s="28" t="str">
        <f>IFERROR(IF(C783&gt;0, D783/C783, 0),"-")</f>
        <v>-</v>
      </c>
    </row>
    <row r="784" spans="1:5" x14ac:dyDescent="0.2">
      <c r="A784" s="28" t="s">
        <v>367</v>
      </c>
      <c r="B784" s="28" t="s">
        <v>1447</v>
      </c>
      <c r="C784" s="28" t="s">
        <v>959</v>
      </c>
      <c r="D784" s="28" t="s">
        <v>959</v>
      </c>
      <c r="E784" s="28" t="str">
        <f>IFERROR(IF(C784&gt;0, D784/C784, 0),"-")</f>
        <v>-</v>
      </c>
    </row>
    <row r="785" spans="1:5" x14ac:dyDescent="0.2">
      <c r="A785" s="28" t="s">
        <v>359</v>
      </c>
      <c r="B785" s="28" t="s">
        <v>1448</v>
      </c>
      <c r="C785" s="28" t="s">
        <v>959</v>
      </c>
      <c r="D785" s="28" t="s">
        <v>959</v>
      </c>
      <c r="E785" s="28" t="str">
        <f>IFERROR(IF(C785&gt;0, D785/C785, 0),"-")</f>
        <v>-</v>
      </c>
    </row>
    <row r="786" spans="1:5" x14ac:dyDescent="0.2">
      <c r="A786" s="27"/>
      <c r="B786" s="27" t="s">
        <v>43</v>
      </c>
      <c r="C786" s="27" t="s">
        <v>959</v>
      </c>
      <c r="D786" s="27" t="s">
        <v>959</v>
      </c>
      <c r="E786" s="27" t="str">
        <f>IFERROR(IF(C786&gt;0, D786/C786, 0),"-")</f>
        <v>-</v>
      </c>
    </row>
    <row r="787" spans="1:5" x14ac:dyDescent="0.2">
      <c r="A787" s="28" t="s">
        <v>229</v>
      </c>
      <c r="B787" s="28" t="s">
        <v>1449</v>
      </c>
      <c r="C787" s="28" t="s">
        <v>959</v>
      </c>
      <c r="D787" s="28" t="s">
        <v>959</v>
      </c>
      <c r="E787" s="28" t="str">
        <f>IFERROR(IF(C787&gt;0, D787/C787, 0),"-")</f>
        <v>-</v>
      </c>
    </row>
    <row r="788" spans="1:5" x14ac:dyDescent="0.2">
      <c r="A788" s="28" t="s">
        <v>232</v>
      </c>
      <c r="B788" s="28" t="s">
        <v>1450</v>
      </c>
      <c r="C788" s="28" t="s">
        <v>959</v>
      </c>
      <c r="D788" s="28" t="s">
        <v>959</v>
      </c>
      <c r="E788" s="28" t="str">
        <f>IFERROR(IF(C788&gt;0, D788/C788, 0),"-")</f>
        <v>-</v>
      </c>
    </row>
    <row r="789" spans="1:5" x14ac:dyDescent="0.2">
      <c r="A789" s="28" t="s">
        <v>236</v>
      </c>
      <c r="B789" s="28" t="s">
        <v>1451</v>
      </c>
      <c r="C789" s="28" t="s">
        <v>959</v>
      </c>
      <c r="D789" s="28" t="s">
        <v>959</v>
      </c>
      <c r="E789" s="28" t="str">
        <f>IFERROR(IF(C789&gt;0, D789/C789, 0),"-")</f>
        <v>-</v>
      </c>
    </row>
    <row r="790" spans="1:5" x14ac:dyDescent="0.2">
      <c r="A790" s="28" t="s">
        <v>235</v>
      </c>
      <c r="B790" s="28" t="s">
        <v>1452</v>
      </c>
      <c r="C790" s="28" t="s">
        <v>959</v>
      </c>
      <c r="D790" s="28" t="s">
        <v>959</v>
      </c>
      <c r="E790" s="28" t="str">
        <f>IFERROR(IF(C790&gt;0, D790/C790, 0),"-")</f>
        <v>-</v>
      </c>
    </row>
    <row r="791" spans="1:5" x14ac:dyDescent="0.2">
      <c r="A791" s="28" t="s">
        <v>234</v>
      </c>
      <c r="B791" s="28" t="s">
        <v>1453</v>
      </c>
      <c r="C791" s="28" t="s">
        <v>959</v>
      </c>
      <c r="D791" s="28" t="s">
        <v>959</v>
      </c>
      <c r="E791" s="28" t="str">
        <f>IFERROR(IF(C791&gt;0, D791/C791, 0),"-")</f>
        <v>-</v>
      </c>
    </row>
    <row r="792" spans="1:5" x14ac:dyDescent="0.2">
      <c r="A792" s="28" t="s">
        <v>231</v>
      </c>
      <c r="B792" s="28" t="s">
        <v>1446</v>
      </c>
      <c r="C792" s="28" t="s">
        <v>959</v>
      </c>
      <c r="D792" s="28" t="s">
        <v>959</v>
      </c>
      <c r="E792" s="28" t="str">
        <f>IFERROR(IF(C792&gt;0, D792/C792, 0),"-")</f>
        <v>-</v>
      </c>
    </row>
    <row r="793" spans="1:5" x14ac:dyDescent="0.2">
      <c r="A793" s="28" t="s">
        <v>237</v>
      </c>
      <c r="B793" s="28" t="s">
        <v>1454</v>
      </c>
      <c r="C793" s="28" t="s">
        <v>959</v>
      </c>
      <c r="D793" s="28" t="s">
        <v>959</v>
      </c>
      <c r="E793" s="28" t="str">
        <f>IFERROR(IF(C793&gt;0, D793/C793, 0),"-")</f>
        <v>-</v>
      </c>
    </row>
    <row r="794" spans="1:5" x14ac:dyDescent="0.2">
      <c r="A794" s="28" t="s">
        <v>230</v>
      </c>
      <c r="B794" s="28" t="s">
        <v>1455</v>
      </c>
      <c r="C794" s="28" t="s">
        <v>959</v>
      </c>
      <c r="D794" s="28" t="s">
        <v>959</v>
      </c>
      <c r="E794" s="28" t="str">
        <f>IFERROR(IF(C794&gt;0, D794/C794, 0),"-")</f>
        <v>-</v>
      </c>
    </row>
    <row r="795" spans="1:5" x14ac:dyDescent="0.2">
      <c r="A795" s="28" t="s">
        <v>233</v>
      </c>
      <c r="B795" s="28" t="s">
        <v>1106</v>
      </c>
      <c r="C795" s="28" t="s">
        <v>959</v>
      </c>
      <c r="D795" s="28" t="s">
        <v>959</v>
      </c>
      <c r="E795" s="28" t="str">
        <f>IFERROR(IF(C795&gt;0, D795/C795, 0),"-")</f>
        <v>-</v>
      </c>
    </row>
    <row r="796" spans="1:5" x14ac:dyDescent="0.2">
      <c r="A796" s="27"/>
      <c r="B796" s="27" t="s">
        <v>101</v>
      </c>
      <c r="C796" s="27" t="s">
        <v>959</v>
      </c>
      <c r="D796" s="27" t="s">
        <v>959</v>
      </c>
      <c r="E796" s="27" t="str">
        <f>IFERROR(IF(C796&gt;0, D796/C796, 0),"-")</f>
        <v>-</v>
      </c>
    </row>
    <row r="797" spans="1:5" x14ac:dyDescent="0.2">
      <c r="A797" s="28" t="s">
        <v>712</v>
      </c>
      <c r="B797" s="28" t="s">
        <v>1456</v>
      </c>
      <c r="C797" s="28" t="s">
        <v>959</v>
      </c>
      <c r="D797" s="28" t="s">
        <v>959</v>
      </c>
      <c r="E797" s="28" t="str">
        <f>IFERROR(IF(C797&gt;0, D797/C797, 0),"-")</f>
        <v>-</v>
      </c>
    </row>
    <row r="798" spans="1:5" x14ac:dyDescent="0.2">
      <c r="A798" s="28" t="s">
        <v>716</v>
      </c>
      <c r="B798" s="28" t="s">
        <v>1457</v>
      </c>
      <c r="C798" s="28" t="s">
        <v>959</v>
      </c>
      <c r="D798" s="28" t="s">
        <v>959</v>
      </c>
      <c r="E798" s="28" t="str">
        <f>IFERROR(IF(C798&gt;0, D798/C798, 0),"-")</f>
        <v>-</v>
      </c>
    </row>
    <row r="799" spans="1:5" x14ac:dyDescent="0.2">
      <c r="A799" s="28" t="s">
        <v>718</v>
      </c>
      <c r="B799" s="28" t="s">
        <v>1458</v>
      </c>
      <c r="C799" s="28" t="s">
        <v>959</v>
      </c>
      <c r="D799" s="28" t="s">
        <v>959</v>
      </c>
      <c r="E799" s="28" t="str">
        <f>IFERROR(IF(C799&gt;0, D799/C799, 0),"-")</f>
        <v>-</v>
      </c>
    </row>
    <row r="800" spans="1:5" x14ac:dyDescent="0.2">
      <c r="A800" s="28" t="s">
        <v>715</v>
      </c>
      <c r="B800" s="28" t="s">
        <v>1459</v>
      </c>
      <c r="C800" s="28" t="s">
        <v>959</v>
      </c>
      <c r="D800" s="28" t="s">
        <v>959</v>
      </c>
      <c r="E800" s="28" t="str">
        <f>IFERROR(IF(C800&gt;0, D800/C800, 0),"-")</f>
        <v>-</v>
      </c>
    </row>
    <row r="801" spans="1:5" x14ac:dyDescent="0.2">
      <c r="A801" s="28" t="s">
        <v>714</v>
      </c>
      <c r="B801" s="28" t="s">
        <v>1460</v>
      </c>
      <c r="C801" s="28" t="s">
        <v>959</v>
      </c>
      <c r="D801" s="28" t="s">
        <v>959</v>
      </c>
      <c r="E801" s="28" t="str">
        <f>IFERROR(IF(C801&gt;0, D801/C801, 0),"-")</f>
        <v>-</v>
      </c>
    </row>
    <row r="802" spans="1:5" x14ac:dyDescent="0.2">
      <c r="A802" s="28" t="s">
        <v>717</v>
      </c>
      <c r="B802" s="28" t="s">
        <v>1461</v>
      </c>
      <c r="C802" s="28" t="s">
        <v>959</v>
      </c>
      <c r="D802" s="28" t="s">
        <v>959</v>
      </c>
      <c r="E802" s="28" t="str">
        <f>IFERROR(IF(C802&gt;0, D802/C802, 0),"-")</f>
        <v>-</v>
      </c>
    </row>
    <row r="803" spans="1:5" x14ac:dyDescent="0.2">
      <c r="A803" s="28" t="s">
        <v>732</v>
      </c>
      <c r="B803" s="28" t="s">
        <v>1462</v>
      </c>
      <c r="C803" s="28" t="s">
        <v>959</v>
      </c>
      <c r="D803" s="28" t="s">
        <v>959</v>
      </c>
      <c r="E803" s="28" t="str">
        <f>IFERROR(IF(C803&gt;0, D803/C803, 0),"-")</f>
        <v>-</v>
      </c>
    </row>
    <row r="804" spans="1:5" x14ac:dyDescent="0.2">
      <c r="A804" s="28" t="s">
        <v>713</v>
      </c>
      <c r="B804" s="28" t="s">
        <v>1463</v>
      </c>
      <c r="C804" s="28" t="s">
        <v>959</v>
      </c>
      <c r="D804" s="28" t="s">
        <v>959</v>
      </c>
      <c r="E804" s="28" t="str">
        <f>IFERROR(IF(C804&gt;0, D804/C804, 0),"-")</f>
        <v>-</v>
      </c>
    </row>
    <row r="805" spans="1:5" x14ac:dyDescent="0.2">
      <c r="A805" s="27"/>
      <c r="B805" s="27" t="s">
        <v>57</v>
      </c>
      <c r="C805" s="27" t="s">
        <v>959</v>
      </c>
      <c r="D805" s="27" t="s">
        <v>959</v>
      </c>
      <c r="E805" s="27" t="str">
        <f>IFERROR(IF(C805&gt;0, D805/C805, 0),"-")</f>
        <v>-</v>
      </c>
    </row>
    <row r="806" spans="1:5" x14ac:dyDescent="0.2">
      <c r="A806" s="28" t="s">
        <v>356</v>
      </c>
      <c r="B806" s="28" t="s">
        <v>1464</v>
      </c>
      <c r="C806" s="28" t="s">
        <v>959</v>
      </c>
      <c r="D806" s="28" t="s">
        <v>959</v>
      </c>
      <c r="E806" s="28" t="str">
        <f>IFERROR(IF(C806&gt;0, D806/C806, 0),"-")</f>
        <v>-</v>
      </c>
    </row>
    <row r="807" spans="1:5" x14ac:dyDescent="0.2">
      <c r="A807" s="28" t="s">
        <v>353</v>
      </c>
      <c r="B807" s="28" t="s">
        <v>1465</v>
      </c>
      <c r="C807" s="28" t="s">
        <v>959</v>
      </c>
      <c r="D807" s="28" t="s">
        <v>959</v>
      </c>
      <c r="E807" s="28" t="str">
        <f>IFERROR(IF(C807&gt;0, D807/C807, 0),"-")</f>
        <v>-</v>
      </c>
    </row>
    <row r="808" spans="1:5" x14ac:dyDescent="0.2">
      <c r="A808" s="28" t="s">
        <v>354</v>
      </c>
      <c r="B808" s="28" t="s">
        <v>1466</v>
      </c>
      <c r="C808" s="28" t="s">
        <v>959</v>
      </c>
      <c r="D808" s="28" t="s">
        <v>959</v>
      </c>
      <c r="E808" s="28" t="str">
        <f>IFERROR(IF(C808&gt;0, D808/C808, 0),"-")</f>
        <v>-</v>
      </c>
    </row>
    <row r="809" spans="1:5" x14ac:dyDescent="0.2">
      <c r="A809" s="28" t="s">
        <v>355</v>
      </c>
      <c r="B809" s="28" t="s">
        <v>1467</v>
      </c>
      <c r="C809" s="28" t="s">
        <v>959</v>
      </c>
      <c r="D809" s="28" t="s">
        <v>959</v>
      </c>
      <c r="E809" s="28" t="str">
        <f>IFERROR(IF(C809&gt;0, D809/C809, 0),"-")</f>
        <v>-</v>
      </c>
    </row>
    <row r="810" spans="1:5" x14ac:dyDescent="0.2">
      <c r="A810" s="27"/>
      <c r="B810" s="27" t="s">
        <v>80</v>
      </c>
      <c r="C810" s="27" t="s">
        <v>959</v>
      </c>
      <c r="D810" s="27" t="s">
        <v>959</v>
      </c>
      <c r="E810" s="27" t="str">
        <f>IFERROR(IF(C810&gt;0, D810/C810, 0),"-")</f>
        <v>-</v>
      </c>
    </row>
    <row r="811" spans="1:5" x14ac:dyDescent="0.2">
      <c r="A811" s="28" t="s">
        <v>535</v>
      </c>
      <c r="B811" s="28" t="s">
        <v>1468</v>
      </c>
      <c r="C811" s="28" t="s">
        <v>959</v>
      </c>
      <c r="D811" s="28" t="s">
        <v>959</v>
      </c>
      <c r="E811" s="28" t="str">
        <f>IFERROR(IF(C811&gt;0, D811/C811, 0),"-")</f>
        <v>-</v>
      </c>
    </row>
    <row r="812" spans="1:5" x14ac:dyDescent="0.2">
      <c r="A812" s="28" t="s">
        <v>536</v>
      </c>
      <c r="B812" s="28" t="s">
        <v>1469</v>
      </c>
      <c r="C812" s="28" t="s">
        <v>959</v>
      </c>
      <c r="D812" s="28" t="s">
        <v>959</v>
      </c>
      <c r="E812" s="28" t="str">
        <f>IFERROR(IF(C812&gt;0, D812/C812, 0),"-")</f>
        <v>-</v>
      </c>
    </row>
    <row r="813" spans="1:5" x14ac:dyDescent="0.2">
      <c r="A813" s="28" t="s">
        <v>538</v>
      </c>
      <c r="B813" s="28" t="s">
        <v>1470</v>
      </c>
      <c r="C813" s="28" t="s">
        <v>959</v>
      </c>
      <c r="D813" s="28" t="s">
        <v>959</v>
      </c>
      <c r="E813" s="28" t="str">
        <f>IFERROR(IF(C813&gt;0, D813/C813, 0),"-")</f>
        <v>-</v>
      </c>
    </row>
    <row r="814" spans="1:5" x14ac:dyDescent="0.2">
      <c r="A814" s="28" t="s">
        <v>537</v>
      </c>
      <c r="B814" s="28" t="s">
        <v>1471</v>
      </c>
      <c r="C814" s="28" t="s">
        <v>959</v>
      </c>
      <c r="D814" s="28" t="s">
        <v>959</v>
      </c>
      <c r="E814" s="28" t="str">
        <f>IFERROR(IF(C814&gt;0, D814/C814, 0),"-")</f>
        <v>-</v>
      </c>
    </row>
    <row r="815" spans="1:5" x14ac:dyDescent="0.2">
      <c r="A815" s="27"/>
      <c r="B815" s="27" t="s">
        <v>45</v>
      </c>
      <c r="C815" s="27" t="s">
        <v>959</v>
      </c>
      <c r="D815" s="27" t="s">
        <v>959</v>
      </c>
      <c r="E815" s="27" t="str">
        <f>IFERROR(IF(C815&gt;0, D815/C815, 0),"-")</f>
        <v>-</v>
      </c>
    </row>
    <row r="816" spans="1:5" x14ac:dyDescent="0.2">
      <c r="A816" s="28" t="s">
        <v>244</v>
      </c>
      <c r="B816" s="28" t="s">
        <v>1472</v>
      </c>
      <c r="C816" s="28" t="s">
        <v>959</v>
      </c>
      <c r="D816" s="28" t="s">
        <v>959</v>
      </c>
      <c r="E816" s="28" t="str">
        <f>IFERROR(IF(C816&gt;0, D816/C816, 0),"-")</f>
        <v>-</v>
      </c>
    </row>
    <row r="817" spans="1:5" x14ac:dyDescent="0.2">
      <c r="A817" s="28" t="s">
        <v>247</v>
      </c>
      <c r="B817" s="28" t="s">
        <v>1473</v>
      </c>
      <c r="C817" s="28" t="s">
        <v>959</v>
      </c>
      <c r="D817" s="28" t="s">
        <v>959</v>
      </c>
      <c r="E817" s="28" t="str">
        <f>IFERROR(IF(C817&gt;0, D817/C817, 0),"-")</f>
        <v>-</v>
      </c>
    </row>
    <row r="818" spans="1:5" x14ac:dyDescent="0.2">
      <c r="A818" s="28" t="s">
        <v>267</v>
      </c>
      <c r="B818" s="28" t="s">
        <v>1474</v>
      </c>
      <c r="C818" s="28" t="s">
        <v>959</v>
      </c>
      <c r="D818" s="28" t="s">
        <v>959</v>
      </c>
      <c r="E818" s="28" t="str">
        <f>IFERROR(IF(C818&gt;0, D818/C818, 0),"-")</f>
        <v>-</v>
      </c>
    </row>
    <row r="819" spans="1:5" x14ac:dyDescent="0.2">
      <c r="A819" s="28" t="s">
        <v>246</v>
      </c>
      <c r="B819" s="28" t="s">
        <v>1475</v>
      </c>
      <c r="C819" s="28" t="s">
        <v>959</v>
      </c>
      <c r="D819" s="28" t="s">
        <v>959</v>
      </c>
      <c r="E819" s="28" t="str">
        <f>IFERROR(IF(C819&gt;0, D819/C819, 0),"-")</f>
        <v>-</v>
      </c>
    </row>
    <row r="820" spans="1:5" x14ac:dyDescent="0.2">
      <c r="A820" s="28" t="s">
        <v>245</v>
      </c>
      <c r="B820" s="28" t="s">
        <v>1476</v>
      </c>
      <c r="C820" s="28" t="s">
        <v>959</v>
      </c>
      <c r="D820" s="28" t="s">
        <v>959</v>
      </c>
      <c r="E820" s="28" t="str">
        <f>IFERROR(IF(C820&gt;0, D820/C820, 0),"-")</f>
        <v>-</v>
      </c>
    </row>
    <row r="821" spans="1:5" x14ac:dyDescent="0.2">
      <c r="A821" s="28" t="s">
        <v>242</v>
      </c>
      <c r="B821" s="28" t="s">
        <v>1477</v>
      </c>
      <c r="C821" s="28" t="s">
        <v>959</v>
      </c>
      <c r="D821" s="28" t="s">
        <v>959</v>
      </c>
      <c r="E821" s="28" t="str">
        <f>IFERROR(IF(C821&gt;0, D821/C821, 0),"-")</f>
        <v>-</v>
      </c>
    </row>
    <row r="822" spans="1:5" x14ac:dyDescent="0.2">
      <c r="A822" s="28" t="s">
        <v>243</v>
      </c>
      <c r="B822" s="28" t="s">
        <v>1478</v>
      </c>
      <c r="C822" s="28" t="s">
        <v>959</v>
      </c>
      <c r="D822" s="28" t="s">
        <v>959</v>
      </c>
      <c r="E822" s="28" t="str">
        <f>IFERROR(IF(C822&gt;0, D822/C822, 0),"-")</f>
        <v>-</v>
      </c>
    </row>
    <row r="823" spans="1:5" x14ac:dyDescent="0.2">
      <c r="A823" s="28" t="s">
        <v>248</v>
      </c>
      <c r="B823" s="28" t="s">
        <v>1479</v>
      </c>
      <c r="C823" s="28" t="s">
        <v>959</v>
      </c>
      <c r="D823" s="28" t="s">
        <v>959</v>
      </c>
      <c r="E823" s="28" t="str">
        <f>IFERROR(IF(C823&gt;0, D823/C823, 0),"-")</f>
        <v>-</v>
      </c>
    </row>
    <row r="824" spans="1:5" x14ac:dyDescent="0.2">
      <c r="A824" s="27"/>
      <c r="B824" s="27" t="s">
        <v>90</v>
      </c>
      <c r="C824" s="27" t="s">
        <v>959</v>
      </c>
      <c r="D824" s="27" t="s">
        <v>959</v>
      </c>
      <c r="E824" s="27" t="str">
        <f>IFERROR(IF(C824&gt;0, D824/C824, 0),"-")</f>
        <v>-</v>
      </c>
    </row>
    <row r="825" spans="1:5" x14ac:dyDescent="0.2">
      <c r="A825" s="28" t="s">
        <v>612</v>
      </c>
      <c r="B825" s="28" t="s">
        <v>1480</v>
      </c>
      <c r="C825" s="28" t="s">
        <v>959</v>
      </c>
      <c r="D825" s="28" t="s">
        <v>959</v>
      </c>
      <c r="E825" s="28" t="str">
        <f>IFERROR(IF(C825&gt;0, D825/C825, 0),"-")</f>
        <v>-</v>
      </c>
    </row>
    <row r="826" spans="1:5" x14ac:dyDescent="0.2">
      <c r="A826" s="28" t="s">
        <v>610</v>
      </c>
      <c r="B826" s="28" t="s">
        <v>1481</v>
      </c>
      <c r="C826" s="28" t="s">
        <v>959</v>
      </c>
      <c r="D826" s="28" t="s">
        <v>959</v>
      </c>
      <c r="E826" s="28" t="str">
        <f>IFERROR(IF(C826&gt;0, D826/C826, 0),"-")</f>
        <v>-</v>
      </c>
    </row>
    <row r="827" spans="1:5" x14ac:dyDescent="0.2">
      <c r="A827" s="28" t="s">
        <v>613</v>
      </c>
      <c r="B827" s="28" t="s">
        <v>1482</v>
      </c>
      <c r="C827" s="28" t="s">
        <v>959</v>
      </c>
      <c r="D827" s="28" t="s">
        <v>959</v>
      </c>
      <c r="E827" s="28" t="str">
        <f>IFERROR(IF(C827&gt;0, D827/C827, 0),"-")</f>
        <v>-</v>
      </c>
    </row>
    <row r="828" spans="1:5" x14ac:dyDescent="0.2">
      <c r="A828" s="28" t="s">
        <v>608</v>
      </c>
      <c r="B828" s="28" t="s">
        <v>1483</v>
      </c>
      <c r="C828" s="28" t="s">
        <v>959</v>
      </c>
      <c r="D828" s="28" t="s">
        <v>959</v>
      </c>
      <c r="E828" s="28" t="str">
        <f>IFERROR(IF(C828&gt;0, D828/C828, 0),"-")</f>
        <v>-</v>
      </c>
    </row>
    <row r="829" spans="1:5" x14ac:dyDescent="0.2">
      <c r="A829" s="28" t="s">
        <v>622</v>
      </c>
      <c r="B829" s="28" t="s">
        <v>1484</v>
      </c>
      <c r="C829" s="28" t="s">
        <v>959</v>
      </c>
      <c r="D829" s="28" t="s">
        <v>959</v>
      </c>
      <c r="E829" s="28" t="str">
        <f>IFERROR(IF(C829&gt;0, D829/C829, 0),"-")</f>
        <v>-</v>
      </c>
    </row>
    <row r="830" spans="1:5" x14ac:dyDescent="0.2">
      <c r="A830" s="28" t="s">
        <v>609</v>
      </c>
      <c r="B830" s="28" t="s">
        <v>1485</v>
      </c>
      <c r="C830" s="28" t="s">
        <v>959</v>
      </c>
      <c r="D830" s="28" t="s">
        <v>959</v>
      </c>
      <c r="E830" s="28" t="str">
        <f>IFERROR(IF(C830&gt;0, D830/C830, 0),"-")</f>
        <v>-</v>
      </c>
    </row>
    <row r="831" spans="1:5" x14ac:dyDescent="0.2">
      <c r="A831" s="28" t="s">
        <v>607</v>
      </c>
      <c r="B831" s="28" t="s">
        <v>1486</v>
      </c>
      <c r="C831" s="28" t="s">
        <v>959</v>
      </c>
      <c r="D831" s="28" t="s">
        <v>959</v>
      </c>
      <c r="E831" s="28" t="str">
        <f>IFERROR(IF(C831&gt;0, D831/C831, 0),"-")</f>
        <v>-</v>
      </c>
    </row>
    <row r="832" spans="1:5" x14ac:dyDescent="0.2">
      <c r="A832" s="28" t="s">
        <v>611</v>
      </c>
      <c r="B832" s="28" t="s">
        <v>1487</v>
      </c>
      <c r="C832" s="28" t="s">
        <v>959</v>
      </c>
      <c r="D832" s="28" t="s">
        <v>959</v>
      </c>
      <c r="E832" s="28" t="str">
        <f>IFERROR(IF(C832&gt;0, D832/C832, 0),"-")</f>
        <v>-</v>
      </c>
    </row>
    <row r="833" spans="1:5" x14ac:dyDescent="0.2">
      <c r="A833" s="27"/>
      <c r="B833" s="27" t="s">
        <v>114</v>
      </c>
      <c r="C833" s="27" t="s">
        <v>959</v>
      </c>
      <c r="D833" s="27" t="s">
        <v>959</v>
      </c>
      <c r="E833" s="27" t="str">
        <f>IFERROR(IF(C833&gt;0, D833/C833, 0),"-")</f>
        <v>-</v>
      </c>
    </row>
    <row r="834" spans="1:5" x14ac:dyDescent="0.2">
      <c r="A834" s="28" t="s">
        <v>821</v>
      </c>
      <c r="B834" s="28" t="s">
        <v>1488</v>
      </c>
      <c r="C834" s="28" t="s">
        <v>959</v>
      </c>
      <c r="D834" s="28" t="s">
        <v>959</v>
      </c>
      <c r="E834" s="28" t="str">
        <f>IFERROR(IF(C834&gt;0, D834/C834, 0),"-")</f>
        <v>-</v>
      </c>
    </row>
    <row r="835" spans="1:5" x14ac:dyDescent="0.2">
      <c r="A835" s="28" t="s">
        <v>823</v>
      </c>
      <c r="B835" s="28" t="s">
        <v>1489</v>
      </c>
      <c r="C835" s="28" t="s">
        <v>959</v>
      </c>
      <c r="D835" s="28" t="s">
        <v>959</v>
      </c>
      <c r="E835" s="28" t="str">
        <f>IFERROR(IF(C835&gt;0, D835/C835, 0),"-")</f>
        <v>-</v>
      </c>
    </row>
    <row r="836" spans="1:5" x14ac:dyDescent="0.2">
      <c r="A836" s="28" t="s">
        <v>840</v>
      </c>
      <c r="B836" s="28" t="s">
        <v>1490</v>
      </c>
      <c r="C836" s="28" t="s">
        <v>959</v>
      </c>
      <c r="D836" s="28" t="s">
        <v>959</v>
      </c>
      <c r="E836" s="28" t="str">
        <f>IFERROR(IF(C836&gt;0, D836/C836, 0),"-")</f>
        <v>-</v>
      </c>
    </row>
    <row r="837" spans="1:5" x14ac:dyDescent="0.2">
      <c r="A837" s="28" t="s">
        <v>822</v>
      </c>
      <c r="B837" s="28" t="s">
        <v>1491</v>
      </c>
      <c r="C837" s="28" t="s">
        <v>959</v>
      </c>
      <c r="D837" s="28" t="s">
        <v>959</v>
      </c>
      <c r="E837" s="28" t="str">
        <f>IFERROR(IF(C837&gt;0, D837/C837, 0),"-")</f>
        <v>-</v>
      </c>
    </row>
    <row r="838" spans="1:5" x14ac:dyDescent="0.2">
      <c r="A838" s="27"/>
      <c r="B838" s="27" t="s">
        <v>10</v>
      </c>
      <c r="C838" s="27" t="s">
        <v>959</v>
      </c>
      <c r="D838" s="27" t="s">
        <v>959</v>
      </c>
      <c r="E838" s="27" t="str">
        <f>IFERROR(IF(C838&gt;0, D838/C838, 0),"-")</f>
        <v>-</v>
      </c>
    </row>
    <row r="839" spans="1:5" x14ac:dyDescent="0.2">
      <c r="A839" s="28" t="s">
        <v>337</v>
      </c>
      <c r="B839" s="28" t="s">
        <v>1492</v>
      </c>
      <c r="C839" s="28" t="s">
        <v>959</v>
      </c>
      <c r="D839" s="28" t="s">
        <v>959</v>
      </c>
      <c r="E839" s="28" t="str">
        <f>IFERROR(IF(C839&gt;0, D839/C839, 0),"-")</f>
        <v>-</v>
      </c>
    </row>
    <row r="840" spans="1:5" x14ac:dyDescent="0.2">
      <c r="A840" s="28" t="s">
        <v>329</v>
      </c>
      <c r="B840" s="28" t="s">
        <v>1493</v>
      </c>
      <c r="C840" s="28" t="s">
        <v>959</v>
      </c>
      <c r="D840" s="28" t="s">
        <v>959</v>
      </c>
      <c r="E840" s="28" t="str">
        <f>IFERROR(IF(C840&gt;0, D840/C840, 0),"-")</f>
        <v>-</v>
      </c>
    </row>
    <row r="841" spans="1:5" x14ac:dyDescent="0.2">
      <c r="A841" s="28" t="s">
        <v>328</v>
      </c>
      <c r="B841" s="28" t="s">
        <v>1494</v>
      </c>
      <c r="C841" s="28" t="s">
        <v>959</v>
      </c>
      <c r="D841" s="28" t="s">
        <v>959</v>
      </c>
      <c r="E841" s="28" t="str">
        <f>IFERROR(IF(C841&gt;0, D841/C841, 0),"-")</f>
        <v>-</v>
      </c>
    </row>
    <row r="842" spans="1:5" x14ac:dyDescent="0.2">
      <c r="A842" s="28" t="s">
        <v>330</v>
      </c>
      <c r="B842" s="28" t="s">
        <v>1495</v>
      </c>
      <c r="C842" s="28" t="s">
        <v>959</v>
      </c>
      <c r="D842" s="28" t="s">
        <v>959</v>
      </c>
      <c r="E842" s="28" t="str">
        <f>IFERROR(IF(C842&gt;0, D842/C842, 0),"-")</f>
        <v>-</v>
      </c>
    </row>
    <row r="843" spans="1:5" x14ac:dyDescent="0.2">
      <c r="A843" s="28" t="s">
        <v>327</v>
      </c>
      <c r="B843" s="28" t="s">
        <v>1496</v>
      </c>
      <c r="C843" s="28" t="s">
        <v>959</v>
      </c>
      <c r="D843" s="28" t="s">
        <v>959</v>
      </c>
      <c r="E843" s="28" t="str">
        <f>IFERROR(IF(C843&gt;0, D843/C843, 0),"-")</f>
        <v>-</v>
      </c>
    </row>
    <row r="844" spans="1:5" x14ac:dyDescent="0.2">
      <c r="A844" s="27"/>
      <c r="B844" s="27" t="s">
        <v>107</v>
      </c>
      <c r="C844" s="27" t="s">
        <v>959</v>
      </c>
      <c r="D844" s="27" t="s">
        <v>959</v>
      </c>
      <c r="E844" s="27" t="str">
        <f>IFERROR(IF(C844&gt;0, D844/C844, 0),"-")</f>
        <v>-</v>
      </c>
    </row>
    <row r="845" spans="1:5" x14ac:dyDescent="0.2">
      <c r="A845" s="28" t="s">
        <v>774</v>
      </c>
      <c r="B845" s="28" t="s">
        <v>1497</v>
      </c>
      <c r="C845" s="28" t="s">
        <v>959</v>
      </c>
      <c r="D845" s="28" t="s">
        <v>959</v>
      </c>
      <c r="E845" s="28" t="str">
        <f>IFERROR(IF(C845&gt;0, D845/C845, 0),"-")</f>
        <v>-</v>
      </c>
    </row>
    <row r="846" spans="1:5" x14ac:dyDescent="0.2">
      <c r="A846" s="28" t="s">
        <v>772</v>
      </c>
      <c r="B846" s="28" t="s">
        <v>1498</v>
      </c>
      <c r="C846" s="28" t="s">
        <v>959</v>
      </c>
      <c r="D846" s="28" t="s">
        <v>959</v>
      </c>
      <c r="E846" s="28" t="str">
        <f>IFERROR(IF(C846&gt;0, D846/C846, 0),"-")</f>
        <v>-</v>
      </c>
    </row>
    <row r="847" spans="1:5" x14ac:dyDescent="0.2">
      <c r="A847" s="28" t="s">
        <v>771</v>
      </c>
      <c r="B847" s="28" t="s">
        <v>1499</v>
      </c>
      <c r="C847" s="28" t="s">
        <v>959</v>
      </c>
      <c r="D847" s="28" t="s">
        <v>959</v>
      </c>
      <c r="E847" s="28" t="str">
        <f>IFERROR(IF(C847&gt;0, D847/C847, 0),"-")</f>
        <v>-</v>
      </c>
    </row>
    <row r="848" spans="1:5" x14ac:dyDescent="0.2">
      <c r="A848" s="28" t="s">
        <v>773</v>
      </c>
      <c r="B848" s="28" t="s">
        <v>1500</v>
      </c>
      <c r="C848" s="28" t="s">
        <v>959</v>
      </c>
      <c r="D848" s="28" t="s">
        <v>959</v>
      </c>
      <c r="E848" s="28" t="str">
        <f>IFERROR(IF(C848&gt;0, D848/C848, 0),"-")</f>
        <v>-</v>
      </c>
    </row>
    <row r="849" spans="1:5" x14ac:dyDescent="0.2">
      <c r="A849" s="27"/>
      <c r="B849" s="27" t="s">
        <v>36</v>
      </c>
      <c r="C849" s="27" t="s">
        <v>959</v>
      </c>
      <c r="D849" s="27" t="s">
        <v>959</v>
      </c>
      <c r="E849" s="27" t="str">
        <f>IFERROR(IF(C849&gt;0, D849/C849, 0),"-")</f>
        <v>-</v>
      </c>
    </row>
    <row r="850" spans="1:5" x14ac:dyDescent="0.2">
      <c r="A850" s="28" t="s">
        <v>188</v>
      </c>
      <c r="B850" s="28" t="s">
        <v>1501</v>
      </c>
      <c r="C850" s="28" t="s">
        <v>959</v>
      </c>
      <c r="D850" s="28" t="s">
        <v>959</v>
      </c>
      <c r="E850" s="28" t="str">
        <f>IFERROR(IF(C850&gt;0, D850/C850, 0),"-")</f>
        <v>-</v>
      </c>
    </row>
    <row r="851" spans="1:5" x14ac:dyDescent="0.2">
      <c r="A851" s="28" t="s">
        <v>205</v>
      </c>
      <c r="B851" s="28" t="s">
        <v>1502</v>
      </c>
      <c r="C851" s="28" t="s">
        <v>959</v>
      </c>
      <c r="D851" s="28" t="s">
        <v>959</v>
      </c>
      <c r="E851" s="28" t="str">
        <f>IFERROR(IF(C851&gt;0, D851/C851, 0),"-")</f>
        <v>-</v>
      </c>
    </row>
    <row r="852" spans="1:5" x14ac:dyDescent="0.2">
      <c r="A852" s="28" t="s">
        <v>191</v>
      </c>
      <c r="B852" s="28" t="s">
        <v>1503</v>
      </c>
      <c r="C852" s="28" t="s">
        <v>959</v>
      </c>
      <c r="D852" s="28" t="s">
        <v>959</v>
      </c>
      <c r="E852" s="28" t="str">
        <f>IFERROR(IF(C852&gt;0, D852/C852, 0),"-")</f>
        <v>-</v>
      </c>
    </row>
    <row r="853" spans="1:5" x14ac:dyDescent="0.2">
      <c r="A853" s="28" t="s">
        <v>190</v>
      </c>
      <c r="B853" s="28" t="s">
        <v>1504</v>
      </c>
      <c r="C853" s="28" t="s">
        <v>959</v>
      </c>
      <c r="D853" s="28" t="s">
        <v>959</v>
      </c>
      <c r="E853" s="28" t="str">
        <f>IFERROR(IF(C853&gt;0, D853/C853, 0),"-")</f>
        <v>-</v>
      </c>
    </row>
    <row r="854" spans="1:5" x14ac:dyDescent="0.2">
      <c r="A854" s="28" t="s">
        <v>181</v>
      </c>
      <c r="B854" s="28" t="s">
        <v>1505</v>
      </c>
      <c r="C854" s="28" t="s">
        <v>959</v>
      </c>
      <c r="D854" s="28" t="s">
        <v>959</v>
      </c>
      <c r="E854" s="28" t="str">
        <f>IFERROR(IF(C854&gt;0, D854/C854, 0),"-")</f>
        <v>-</v>
      </c>
    </row>
    <row r="855" spans="1:5" x14ac:dyDescent="0.2">
      <c r="A855" s="28" t="s">
        <v>189</v>
      </c>
      <c r="B855" s="28" t="s">
        <v>1506</v>
      </c>
      <c r="C855" s="28" t="s">
        <v>959</v>
      </c>
      <c r="D855" s="28" t="s">
        <v>959</v>
      </c>
      <c r="E855" s="28" t="str">
        <f>IFERROR(IF(C855&gt;0, D855/C855, 0),"-")</f>
        <v>-</v>
      </c>
    </row>
    <row r="856" spans="1:5" x14ac:dyDescent="0.2">
      <c r="A856" s="28" t="s">
        <v>192</v>
      </c>
      <c r="B856" s="28" t="s">
        <v>1507</v>
      </c>
      <c r="C856" s="28" t="s">
        <v>959</v>
      </c>
      <c r="D856" s="28" t="s">
        <v>959</v>
      </c>
      <c r="E856" s="28" t="str">
        <f>IFERROR(IF(C856&gt;0, D856/C856, 0),"-")</f>
        <v>-</v>
      </c>
    </row>
    <row r="857" spans="1:5" x14ac:dyDescent="0.2">
      <c r="A857" s="27"/>
      <c r="B857" s="27" t="s">
        <v>51</v>
      </c>
      <c r="C857" s="27" t="s">
        <v>959</v>
      </c>
      <c r="D857" s="27" t="s">
        <v>959</v>
      </c>
      <c r="E857" s="27" t="str">
        <f>IFERROR(IF(C857&gt;0, D857/C857, 0),"-")</f>
        <v>-</v>
      </c>
    </row>
    <row r="858" spans="1:5" x14ac:dyDescent="0.2">
      <c r="A858" s="28" t="s">
        <v>297</v>
      </c>
      <c r="B858" s="28" t="s">
        <v>1508</v>
      </c>
      <c r="C858" s="28" t="s">
        <v>959</v>
      </c>
      <c r="D858" s="28" t="s">
        <v>959</v>
      </c>
      <c r="E858" s="28" t="str">
        <f>IFERROR(IF(C858&gt;0, D858/C858, 0),"-")</f>
        <v>-</v>
      </c>
    </row>
    <row r="859" spans="1:5" x14ac:dyDescent="0.2">
      <c r="A859" s="28" t="s">
        <v>301</v>
      </c>
      <c r="B859" s="28" t="s">
        <v>1509</v>
      </c>
      <c r="C859" s="28" t="s">
        <v>959</v>
      </c>
      <c r="D859" s="28" t="s">
        <v>959</v>
      </c>
      <c r="E859" s="28" t="str">
        <f>IFERROR(IF(C859&gt;0, D859/C859, 0),"-")</f>
        <v>-</v>
      </c>
    </row>
    <row r="860" spans="1:5" x14ac:dyDescent="0.2">
      <c r="A860" s="28" t="s">
        <v>293</v>
      </c>
      <c r="B860" s="28" t="s">
        <v>1510</v>
      </c>
      <c r="C860" s="28" t="s">
        <v>959</v>
      </c>
      <c r="D860" s="28" t="s">
        <v>959</v>
      </c>
      <c r="E860" s="28" t="str">
        <f>IFERROR(IF(C860&gt;0, D860/C860, 0),"-")</f>
        <v>-</v>
      </c>
    </row>
    <row r="861" spans="1:5" x14ac:dyDescent="0.2">
      <c r="A861" s="28" t="s">
        <v>295</v>
      </c>
      <c r="B861" s="28" t="s">
        <v>1511</v>
      </c>
      <c r="C861" s="28" t="s">
        <v>959</v>
      </c>
      <c r="D861" s="28" t="s">
        <v>959</v>
      </c>
      <c r="E861" s="28" t="str">
        <f>IFERROR(IF(C861&gt;0, D861/C861, 0),"-")</f>
        <v>-</v>
      </c>
    </row>
    <row r="862" spans="1:5" x14ac:dyDescent="0.2">
      <c r="A862" s="28" t="s">
        <v>294</v>
      </c>
      <c r="B862" s="28" t="s">
        <v>1512</v>
      </c>
      <c r="C862" s="28" t="s">
        <v>959</v>
      </c>
      <c r="D862" s="28" t="s">
        <v>959</v>
      </c>
      <c r="E862" s="28" t="str">
        <f>IFERROR(IF(C862&gt;0, D862/C862, 0),"-")</f>
        <v>-</v>
      </c>
    </row>
    <row r="863" spans="1:5" x14ac:dyDescent="0.2">
      <c r="A863" s="28" t="s">
        <v>296</v>
      </c>
      <c r="B863" s="28" t="s">
        <v>1513</v>
      </c>
      <c r="C863" s="28" t="s">
        <v>959</v>
      </c>
      <c r="D863" s="28" t="s">
        <v>959</v>
      </c>
      <c r="E863" s="28" t="str">
        <f>IFERROR(IF(C863&gt;0, D863/C863, 0),"-")</f>
        <v>-</v>
      </c>
    </row>
    <row r="864" spans="1:5" x14ac:dyDescent="0.2">
      <c r="A864" s="27"/>
      <c r="B864" s="27" t="s">
        <v>75</v>
      </c>
      <c r="C864" s="27" t="s">
        <v>959</v>
      </c>
      <c r="D864" s="27" t="s">
        <v>959</v>
      </c>
      <c r="E864" s="27" t="str">
        <f>IFERROR(IF(C864&gt;0, D864/C864, 0),"-")</f>
        <v>-</v>
      </c>
    </row>
    <row r="865" spans="1:5" x14ac:dyDescent="0.2">
      <c r="A865" s="28" t="s">
        <v>498</v>
      </c>
      <c r="B865" s="28" t="s">
        <v>1514</v>
      </c>
      <c r="C865" s="28" t="s">
        <v>959</v>
      </c>
      <c r="D865" s="28" t="s">
        <v>959</v>
      </c>
      <c r="E865" s="28" t="str">
        <f>IFERROR(IF(C865&gt;0, D865/C865, 0),"-")</f>
        <v>-</v>
      </c>
    </row>
    <row r="866" spans="1:5" x14ac:dyDescent="0.2">
      <c r="A866" s="28" t="s">
        <v>499</v>
      </c>
      <c r="B866" s="28" t="s">
        <v>1515</v>
      </c>
      <c r="C866" s="28" t="s">
        <v>959</v>
      </c>
      <c r="D866" s="28" t="s">
        <v>959</v>
      </c>
      <c r="E866" s="28" t="str">
        <f>IFERROR(IF(C866&gt;0, D866/C866, 0),"-")</f>
        <v>-</v>
      </c>
    </row>
    <row r="867" spans="1:5" x14ac:dyDescent="0.2">
      <c r="A867" s="28" t="s">
        <v>497</v>
      </c>
      <c r="B867" s="28" t="s">
        <v>1516</v>
      </c>
      <c r="C867" s="28" t="s">
        <v>959</v>
      </c>
      <c r="D867" s="28" t="s">
        <v>959</v>
      </c>
      <c r="E867" s="28" t="str">
        <f>IFERROR(IF(C867&gt;0, D867/C867, 0),"-")</f>
        <v>-</v>
      </c>
    </row>
    <row r="868" spans="1:5" x14ac:dyDescent="0.2">
      <c r="A868" s="28" t="s">
        <v>500</v>
      </c>
      <c r="B868" s="28" t="s">
        <v>1517</v>
      </c>
      <c r="C868" s="28" t="s">
        <v>959</v>
      </c>
      <c r="D868" s="28" t="s">
        <v>959</v>
      </c>
      <c r="E868" s="28" t="str">
        <f>IFERROR(IF(C868&gt;0, D868/C868, 0),"-")</f>
        <v>-</v>
      </c>
    </row>
    <row r="869" spans="1:5" x14ac:dyDescent="0.2">
      <c r="A869" s="27"/>
      <c r="B869" s="27" t="s">
        <v>8</v>
      </c>
      <c r="C869" s="27" t="s">
        <v>959</v>
      </c>
      <c r="D869" s="27" t="s">
        <v>959</v>
      </c>
      <c r="E869" s="27" t="str">
        <f>IFERROR(IF(C869&gt;0, D869/C869, 0),"-")</f>
        <v>-</v>
      </c>
    </row>
    <row r="870" spans="1:5" x14ac:dyDescent="0.2">
      <c r="A870" s="28" t="s">
        <v>290</v>
      </c>
      <c r="B870" s="28" t="s">
        <v>1518</v>
      </c>
      <c r="C870" s="28" t="s">
        <v>959</v>
      </c>
      <c r="D870" s="28" t="s">
        <v>959</v>
      </c>
      <c r="E870" s="28" t="str">
        <f>IFERROR(IF(C870&gt;0, D870/C870, 0),"-")</f>
        <v>-</v>
      </c>
    </row>
    <row r="871" spans="1:5" x14ac:dyDescent="0.2">
      <c r="A871" s="28" t="s">
        <v>292</v>
      </c>
      <c r="B871" s="28" t="s">
        <v>1519</v>
      </c>
      <c r="C871" s="28" t="s">
        <v>959</v>
      </c>
      <c r="D871" s="28" t="s">
        <v>959</v>
      </c>
      <c r="E871" s="28" t="str">
        <f>IFERROR(IF(C871&gt;0, D871/C871, 0),"-")</f>
        <v>-</v>
      </c>
    </row>
    <row r="872" spans="1:5" x14ac:dyDescent="0.2">
      <c r="A872" s="28" t="s">
        <v>289</v>
      </c>
      <c r="B872" s="28" t="s">
        <v>1520</v>
      </c>
      <c r="C872" s="28" t="s">
        <v>959</v>
      </c>
      <c r="D872" s="28" t="s">
        <v>959</v>
      </c>
      <c r="E872" s="28" t="str">
        <f>IFERROR(IF(C872&gt;0, D872/C872, 0),"-")</f>
        <v>-</v>
      </c>
    </row>
    <row r="873" spans="1:5" x14ac:dyDescent="0.2">
      <c r="A873" s="28" t="s">
        <v>288</v>
      </c>
      <c r="B873" s="28" t="s">
        <v>1521</v>
      </c>
      <c r="C873" s="28" t="s">
        <v>959</v>
      </c>
      <c r="D873" s="28" t="s">
        <v>959</v>
      </c>
      <c r="E873" s="28" t="str">
        <f>IFERROR(IF(C873&gt;0, D873/C873, 0),"-")</f>
        <v>-</v>
      </c>
    </row>
    <row r="874" spans="1:5" x14ac:dyDescent="0.2">
      <c r="A874" s="28" t="s">
        <v>291</v>
      </c>
      <c r="B874" s="28" t="s">
        <v>1522</v>
      </c>
      <c r="C874" s="28" t="s">
        <v>959</v>
      </c>
      <c r="D874" s="28" t="s">
        <v>959</v>
      </c>
      <c r="E874" s="28" t="str">
        <f>IFERROR(IF(C874&gt;0, D874/C874, 0),"-")</f>
        <v>-</v>
      </c>
    </row>
    <row r="875" spans="1:5" x14ac:dyDescent="0.2">
      <c r="A875" s="27"/>
      <c r="B875" s="27" t="s">
        <v>41</v>
      </c>
      <c r="C875" s="27" t="s">
        <v>959</v>
      </c>
      <c r="D875" s="27" t="s">
        <v>959</v>
      </c>
      <c r="E875" s="27" t="str">
        <f>IFERROR(IF(C875&gt;0, D875/C875, 0),"-")</f>
        <v>-</v>
      </c>
    </row>
    <row r="876" spans="1:5" x14ac:dyDescent="0.2">
      <c r="A876" s="28" t="s">
        <v>217</v>
      </c>
      <c r="B876" s="28" t="s">
        <v>1523</v>
      </c>
      <c r="C876" s="28" t="s">
        <v>959</v>
      </c>
      <c r="D876" s="28" t="s">
        <v>959</v>
      </c>
      <c r="E876" s="28" t="str">
        <f>IFERROR(IF(C876&gt;0, D876/C876, 0),"-")</f>
        <v>-</v>
      </c>
    </row>
    <row r="877" spans="1:5" x14ac:dyDescent="0.2">
      <c r="A877" s="28" t="s">
        <v>218</v>
      </c>
      <c r="B877" s="28" t="s">
        <v>1524</v>
      </c>
      <c r="C877" s="28" t="s">
        <v>959</v>
      </c>
      <c r="D877" s="28" t="s">
        <v>959</v>
      </c>
      <c r="E877" s="28" t="str">
        <f>IFERROR(IF(C877&gt;0, D877/C877, 0),"-")</f>
        <v>-</v>
      </c>
    </row>
    <row r="878" spans="1:5" x14ac:dyDescent="0.2">
      <c r="A878" s="28" t="s">
        <v>219</v>
      </c>
      <c r="B878" s="28" t="s">
        <v>1525</v>
      </c>
      <c r="C878" s="28" t="s">
        <v>959</v>
      </c>
      <c r="D878" s="28" t="s">
        <v>959</v>
      </c>
      <c r="E878" s="28" t="str">
        <f>IFERROR(IF(C878&gt;0, D878/C878, 0),"-")</f>
        <v>-</v>
      </c>
    </row>
    <row r="879" spans="1:5" x14ac:dyDescent="0.2">
      <c r="A879" s="27"/>
      <c r="B879" s="27" t="s">
        <v>26</v>
      </c>
      <c r="C879" s="27" t="s">
        <v>959</v>
      </c>
      <c r="D879" s="27" t="s">
        <v>959</v>
      </c>
      <c r="E879" s="27" t="str">
        <f>IFERROR(IF(C879&gt;0, D879/C879, 0),"-")</f>
        <v>-</v>
      </c>
    </row>
    <row r="880" spans="1:5" x14ac:dyDescent="0.2">
      <c r="A880" s="28" t="s">
        <v>787</v>
      </c>
      <c r="B880" s="28" t="s">
        <v>1526</v>
      </c>
      <c r="C880" s="28" t="s">
        <v>959</v>
      </c>
      <c r="D880" s="28" t="s">
        <v>959</v>
      </c>
      <c r="E880" s="28" t="str">
        <f>IFERROR(IF(C880&gt;0, D880/C880, 0),"-")</f>
        <v>-</v>
      </c>
    </row>
    <row r="881" spans="1:5" x14ac:dyDescent="0.2">
      <c r="A881" s="28" t="s">
        <v>802</v>
      </c>
      <c r="B881" s="28" t="s">
        <v>1527</v>
      </c>
      <c r="C881" s="28" t="s">
        <v>959</v>
      </c>
      <c r="D881" s="28" t="s">
        <v>959</v>
      </c>
      <c r="E881" s="28" t="str">
        <f>IFERROR(IF(C881&gt;0, D881/C881, 0),"-")</f>
        <v>-</v>
      </c>
    </row>
    <row r="882" spans="1:5" x14ac:dyDescent="0.2">
      <c r="A882" s="28" t="s">
        <v>791</v>
      </c>
      <c r="B882" s="28" t="s">
        <v>1528</v>
      </c>
      <c r="C882" s="28" t="s">
        <v>959</v>
      </c>
      <c r="D882" s="28" t="s">
        <v>959</v>
      </c>
      <c r="E882" s="28" t="str">
        <f>IFERROR(IF(C882&gt;0, D882/C882, 0),"-")</f>
        <v>-</v>
      </c>
    </row>
    <row r="883" spans="1:5" x14ac:dyDescent="0.2">
      <c r="A883" s="28" t="s">
        <v>790</v>
      </c>
      <c r="B883" s="28" t="s">
        <v>1529</v>
      </c>
      <c r="C883" s="28" t="s">
        <v>959</v>
      </c>
      <c r="D883" s="28" t="s">
        <v>959</v>
      </c>
      <c r="E883" s="28" t="str">
        <f>IFERROR(IF(C883&gt;0, D883/C883, 0),"-")</f>
        <v>-</v>
      </c>
    </row>
    <row r="884" spans="1:5" x14ac:dyDescent="0.2">
      <c r="A884" s="28" t="s">
        <v>789</v>
      </c>
      <c r="B884" s="28" t="s">
        <v>1259</v>
      </c>
      <c r="C884" s="28" t="s">
        <v>959</v>
      </c>
      <c r="D884" s="28" t="s">
        <v>959</v>
      </c>
      <c r="E884" s="28" t="str">
        <f>IFERROR(IF(C884&gt;0, D884/C884, 0),"-")</f>
        <v>-</v>
      </c>
    </row>
    <row r="885" spans="1:5" x14ac:dyDescent="0.2">
      <c r="A885" s="28" t="s">
        <v>793</v>
      </c>
      <c r="B885" s="28" t="s">
        <v>1530</v>
      </c>
      <c r="C885" s="28" t="s">
        <v>959</v>
      </c>
      <c r="D885" s="28" t="s">
        <v>959</v>
      </c>
      <c r="E885" s="28" t="str">
        <f>IFERROR(IF(C885&gt;0, D885/C885, 0),"-")</f>
        <v>-</v>
      </c>
    </row>
    <row r="886" spans="1:5" x14ac:dyDescent="0.2">
      <c r="A886" s="28" t="s">
        <v>792</v>
      </c>
      <c r="B886" s="28" t="s">
        <v>1531</v>
      </c>
      <c r="C886" s="28" t="s">
        <v>959</v>
      </c>
      <c r="D886" s="28" t="s">
        <v>959</v>
      </c>
      <c r="E886" s="28" t="str">
        <f>IFERROR(IF(C886&gt;0, D886/C886, 0),"-")</f>
        <v>-</v>
      </c>
    </row>
    <row r="887" spans="1:5" x14ac:dyDescent="0.2">
      <c r="A887" s="28" t="s">
        <v>803</v>
      </c>
      <c r="B887" s="28" t="s">
        <v>989</v>
      </c>
      <c r="C887" s="28" t="s">
        <v>959</v>
      </c>
      <c r="D887" s="28" t="s">
        <v>959</v>
      </c>
      <c r="E887" s="28" t="str">
        <f>IFERROR(IF(C887&gt;0, D887/C887, 0),"-")</f>
        <v>-</v>
      </c>
    </row>
    <row r="888" spans="1:5" x14ac:dyDescent="0.2">
      <c r="A888" s="28" t="s">
        <v>788</v>
      </c>
      <c r="B888" s="28" t="s">
        <v>1532</v>
      </c>
      <c r="C888" s="28" t="s">
        <v>959</v>
      </c>
      <c r="D888" s="28" t="s">
        <v>959</v>
      </c>
      <c r="E888" s="28" t="str">
        <f>IFERROR(IF(C888&gt;0, D888/C888, 0),"-")</f>
        <v>-</v>
      </c>
    </row>
    <row r="889" spans="1:5" x14ac:dyDescent="0.2">
      <c r="A889" s="27"/>
      <c r="B889" s="27" t="s">
        <v>103</v>
      </c>
      <c r="C889" s="27" t="s">
        <v>959</v>
      </c>
      <c r="D889" s="27" t="s">
        <v>959</v>
      </c>
      <c r="E889" s="27" t="str">
        <f>IFERROR(IF(C889&gt;0, D889/C889, 0),"-")</f>
        <v>-</v>
      </c>
    </row>
    <row r="890" spans="1:5" x14ac:dyDescent="0.2">
      <c r="A890" s="28" t="s">
        <v>742</v>
      </c>
      <c r="B890" s="28" t="s">
        <v>1533</v>
      </c>
      <c r="C890" s="28" t="s">
        <v>959</v>
      </c>
      <c r="D890" s="28" t="s">
        <v>959</v>
      </c>
      <c r="E890" s="28" t="str">
        <f>IFERROR(IF(C890&gt;0, D890/C890, 0),"-")</f>
        <v>-</v>
      </c>
    </row>
    <row r="891" spans="1:5" x14ac:dyDescent="0.2">
      <c r="A891" s="28" t="s">
        <v>743</v>
      </c>
      <c r="B891" s="28" t="s">
        <v>1534</v>
      </c>
      <c r="C891" s="28" t="s">
        <v>959</v>
      </c>
      <c r="D891" s="28" t="s">
        <v>959</v>
      </c>
      <c r="E891" s="28" t="str">
        <f>IFERROR(IF(C891&gt;0, D891/C891, 0),"-")</f>
        <v>-</v>
      </c>
    </row>
    <row r="892" spans="1:5" x14ac:dyDescent="0.2">
      <c r="A892" s="28" t="s">
        <v>741</v>
      </c>
      <c r="B892" s="28" t="s">
        <v>1535</v>
      </c>
      <c r="C892" s="28" t="s">
        <v>959</v>
      </c>
      <c r="D892" s="28" t="s">
        <v>959</v>
      </c>
      <c r="E892" s="28" t="str">
        <f>IFERROR(IF(C892&gt;0, D892/C892, 0),"-")</f>
        <v>-</v>
      </c>
    </row>
    <row r="893" spans="1:5" x14ac:dyDescent="0.2">
      <c r="A893" s="28" t="s">
        <v>744</v>
      </c>
      <c r="B893" s="28" t="s">
        <v>1536</v>
      </c>
      <c r="C893" s="28" t="s">
        <v>959</v>
      </c>
      <c r="D893" s="28" t="s">
        <v>959</v>
      </c>
      <c r="E893" s="28" t="str">
        <f>IFERROR(IF(C893&gt;0, D893/C893, 0),"-")</f>
        <v>-</v>
      </c>
    </row>
    <row r="894" spans="1:5" x14ac:dyDescent="0.2">
      <c r="A894" s="28" t="s">
        <v>740</v>
      </c>
      <c r="B894" s="28" t="s">
        <v>1537</v>
      </c>
      <c r="C894" s="28" t="s">
        <v>959</v>
      </c>
      <c r="D894" s="28" t="s">
        <v>959</v>
      </c>
      <c r="E894" s="28" t="str">
        <f>IFERROR(IF(C894&gt;0, D894/C894, 0),"-")</f>
        <v>-</v>
      </c>
    </row>
    <row r="895" spans="1:5" x14ac:dyDescent="0.2">
      <c r="A895" s="27"/>
      <c r="B895" s="27" t="s">
        <v>13</v>
      </c>
      <c r="C895" s="27" t="s">
        <v>959</v>
      </c>
      <c r="D895" s="27" t="s">
        <v>959</v>
      </c>
      <c r="E895" s="27" t="str">
        <f>IFERROR(IF(C895&gt;0, D895/C895, 0),"-")</f>
        <v>-</v>
      </c>
    </row>
    <row r="896" spans="1:5" x14ac:dyDescent="0.2">
      <c r="A896" s="28" t="s">
        <v>376</v>
      </c>
      <c r="B896" s="28" t="s">
        <v>1538</v>
      </c>
      <c r="C896" s="28" t="s">
        <v>959</v>
      </c>
      <c r="D896" s="28" t="s">
        <v>959</v>
      </c>
      <c r="E896" s="28" t="str">
        <f>IFERROR(IF(C896&gt;0, D896/C896, 0),"-")</f>
        <v>-</v>
      </c>
    </row>
    <row r="897" spans="1:5" x14ac:dyDescent="0.2">
      <c r="A897" s="28" t="s">
        <v>375</v>
      </c>
      <c r="B897" s="28" t="s">
        <v>1539</v>
      </c>
      <c r="C897" s="28" t="s">
        <v>959</v>
      </c>
      <c r="D897" s="28" t="s">
        <v>959</v>
      </c>
      <c r="E897" s="28" t="str">
        <f>IFERROR(IF(C897&gt;0, D897/C897, 0),"-")</f>
        <v>-</v>
      </c>
    </row>
    <row r="898" spans="1:5" x14ac:dyDescent="0.2">
      <c r="A898" s="28" t="s">
        <v>370</v>
      </c>
      <c r="B898" s="28" t="s">
        <v>1540</v>
      </c>
      <c r="C898" s="28" t="s">
        <v>959</v>
      </c>
      <c r="D898" s="28" t="s">
        <v>959</v>
      </c>
      <c r="E898" s="28" t="str">
        <f>IFERROR(IF(C898&gt;0, D898/C898, 0),"-")</f>
        <v>-</v>
      </c>
    </row>
    <row r="899" spans="1:5" x14ac:dyDescent="0.2">
      <c r="A899" s="28" t="s">
        <v>374</v>
      </c>
      <c r="B899" s="28" t="s">
        <v>1541</v>
      </c>
      <c r="C899" s="28" t="s">
        <v>959</v>
      </c>
      <c r="D899" s="28" t="s">
        <v>959</v>
      </c>
      <c r="E899" s="28" t="str">
        <f>IFERROR(IF(C899&gt;0, D899/C899, 0),"-")</f>
        <v>-</v>
      </c>
    </row>
    <row r="900" spans="1:5" x14ac:dyDescent="0.2">
      <c r="A900" s="28" t="s">
        <v>372</v>
      </c>
      <c r="B900" s="28" t="s">
        <v>1542</v>
      </c>
      <c r="C900" s="28" t="s">
        <v>959</v>
      </c>
      <c r="D900" s="28" t="s">
        <v>959</v>
      </c>
      <c r="E900" s="28" t="str">
        <f>IFERROR(IF(C900&gt;0, D900/C900, 0),"-")</f>
        <v>-</v>
      </c>
    </row>
    <row r="901" spans="1:5" x14ac:dyDescent="0.2">
      <c r="A901" s="28" t="s">
        <v>373</v>
      </c>
      <c r="B901" s="28" t="s">
        <v>1543</v>
      </c>
      <c r="C901" s="28" t="s">
        <v>959</v>
      </c>
      <c r="D901" s="28" t="s">
        <v>959</v>
      </c>
      <c r="E901" s="28" t="str">
        <f>IFERROR(IF(C901&gt;0, D901/C901, 0),"-")</f>
        <v>-</v>
      </c>
    </row>
    <row r="902" spans="1:5" x14ac:dyDescent="0.2">
      <c r="A902" s="28" t="s">
        <v>371</v>
      </c>
      <c r="B902" s="28" t="s">
        <v>1544</v>
      </c>
      <c r="C902" s="28" t="s">
        <v>959</v>
      </c>
      <c r="D902" s="28" t="s">
        <v>959</v>
      </c>
      <c r="E902" s="28" t="str">
        <f>IFERROR(IF(C902&gt;0, D902/C902, 0),"-")</f>
        <v>-</v>
      </c>
    </row>
    <row r="903" spans="1:5" x14ac:dyDescent="0.2">
      <c r="A903" s="27"/>
      <c r="B903" s="27" t="s">
        <v>128</v>
      </c>
      <c r="C903" s="27" t="s">
        <v>959</v>
      </c>
      <c r="D903" s="27" t="s">
        <v>959</v>
      </c>
      <c r="E903" s="27" t="str">
        <f>IFERROR(IF(C903&gt;0, D903/C903, 0),"-")</f>
        <v>-</v>
      </c>
    </row>
    <row r="904" spans="1:5" x14ac:dyDescent="0.2">
      <c r="A904" s="28" t="s">
        <v>889</v>
      </c>
      <c r="B904" s="28" t="s">
        <v>1545</v>
      </c>
      <c r="C904" s="28" t="s">
        <v>959</v>
      </c>
      <c r="D904" s="28" t="s">
        <v>959</v>
      </c>
      <c r="E904" s="28" t="str">
        <f>IFERROR(IF(C904&gt;0, D904/C904, 0),"-")</f>
        <v>-</v>
      </c>
    </row>
    <row r="905" spans="1:5" x14ac:dyDescent="0.2">
      <c r="A905" s="28" t="s">
        <v>892</v>
      </c>
      <c r="B905" s="28" t="s">
        <v>1546</v>
      </c>
      <c r="C905" s="28" t="s">
        <v>959</v>
      </c>
      <c r="D905" s="28" t="s">
        <v>959</v>
      </c>
      <c r="E905" s="28" t="str">
        <f>IFERROR(IF(C905&gt;0, D905/C905, 0),"-")</f>
        <v>-</v>
      </c>
    </row>
    <row r="906" spans="1:5" x14ac:dyDescent="0.2">
      <c r="A906" s="28" t="s">
        <v>891</v>
      </c>
      <c r="B906" s="28" t="s">
        <v>1547</v>
      </c>
      <c r="C906" s="28" t="s">
        <v>959</v>
      </c>
      <c r="D906" s="28" t="s">
        <v>959</v>
      </c>
      <c r="E906" s="28" t="str">
        <f>IFERROR(IF(C906&gt;0, D906/C906, 0),"-")</f>
        <v>-</v>
      </c>
    </row>
    <row r="907" spans="1:5" x14ac:dyDescent="0.2">
      <c r="A907" s="28" t="s">
        <v>890</v>
      </c>
      <c r="B907" s="28" t="s">
        <v>1548</v>
      </c>
      <c r="C907" s="28" t="s">
        <v>959</v>
      </c>
      <c r="D907" s="28" t="s">
        <v>959</v>
      </c>
      <c r="E907" s="28" t="str">
        <f>IFERROR(IF(C907&gt;0, D907/C907, 0),"-")</f>
        <v>-</v>
      </c>
    </row>
    <row r="908" spans="1:5" x14ac:dyDescent="0.2">
      <c r="A908" s="28" t="s">
        <v>893</v>
      </c>
      <c r="B908" s="28" t="s">
        <v>1549</v>
      </c>
      <c r="C908" s="28" t="s">
        <v>959</v>
      </c>
      <c r="D908" s="28" t="s">
        <v>959</v>
      </c>
      <c r="E908" s="28" t="str">
        <f>IFERROR(IF(C908&gt;0, D908/C908, 0),"-")</f>
        <v>-</v>
      </c>
    </row>
    <row r="909" spans="1:5" x14ac:dyDescent="0.2">
      <c r="A909" s="27"/>
      <c r="B909" s="27" t="s">
        <v>46</v>
      </c>
      <c r="C909" s="27" t="s">
        <v>959</v>
      </c>
      <c r="D909" s="27" t="s">
        <v>959</v>
      </c>
      <c r="E909" s="27" t="str">
        <f>IFERROR(IF(C909&gt;0, D909/C909, 0),"-")</f>
        <v>-</v>
      </c>
    </row>
    <row r="910" spans="1:5" x14ac:dyDescent="0.2">
      <c r="A910" s="28" t="s">
        <v>255</v>
      </c>
      <c r="B910" s="28" t="s">
        <v>1550</v>
      </c>
      <c r="C910" s="28" t="s">
        <v>959</v>
      </c>
      <c r="D910" s="28" t="s">
        <v>959</v>
      </c>
      <c r="E910" s="28" t="str">
        <f>IFERROR(IF(C910&gt;0, D910/C910, 0),"-")</f>
        <v>-</v>
      </c>
    </row>
    <row r="911" spans="1:5" x14ac:dyDescent="0.2">
      <c r="A911" s="28" t="s">
        <v>251</v>
      </c>
      <c r="B911" s="28" t="s">
        <v>1551</v>
      </c>
      <c r="C911" s="28" t="s">
        <v>959</v>
      </c>
      <c r="D911" s="28" t="s">
        <v>959</v>
      </c>
      <c r="E911" s="28" t="str">
        <f>IFERROR(IF(C911&gt;0, D911/C911, 0),"-")</f>
        <v>-</v>
      </c>
    </row>
    <row r="912" spans="1:5" x14ac:dyDescent="0.2">
      <c r="A912" s="28" t="s">
        <v>250</v>
      </c>
      <c r="B912" s="28" t="s">
        <v>1552</v>
      </c>
      <c r="C912" s="28" t="s">
        <v>959</v>
      </c>
      <c r="D912" s="28" t="s">
        <v>959</v>
      </c>
      <c r="E912" s="28" t="str">
        <f>IFERROR(IF(C912&gt;0, D912/C912, 0),"-")</f>
        <v>-</v>
      </c>
    </row>
    <row r="913" spans="1:5" x14ac:dyDescent="0.2">
      <c r="A913" s="28" t="s">
        <v>249</v>
      </c>
      <c r="B913" s="28" t="s">
        <v>1553</v>
      </c>
      <c r="C913" s="28" t="s">
        <v>959</v>
      </c>
      <c r="D913" s="28" t="s">
        <v>959</v>
      </c>
      <c r="E913" s="28" t="str">
        <f>IFERROR(IF(C913&gt;0, D913/C913, 0),"-")</f>
        <v>-</v>
      </c>
    </row>
    <row r="914" spans="1:5" x14ac:dyDescent="0.2">
      <c r="A914" s="28" t="s">
        <v>254</v>
      </c>
      <c r="B914" s="28" t="s">
        <v>1554</v>
      </c>
      <c r="C914" s="28" t="s">
        <v>959</v>
      </c>
      <c r="D914" s="28" t="s">
        <v>959</v>
      </c>
      <c r="E914" s="28" t="str">
        <f>IFERROR(IF(C914&gt;0, D914/C914, 0),"-")</f>
        <v>-</v>
      </c>
    </row>
    <row r="915" spans="1:5" x14ac:dyDescent="0.2">
      <c r="A915" s="28" t="s">
        <v>252</v>
      </c>
      <c r="B915" s="28" t="s">
        <v>1555</v>
      </c>
      <c r="C915" s="28" t="s">
        <v>959</v>
      </c>
      <c r="D915" s="28" t="s">
        <v>959</v>
      </c>
      <c r="E915" s="28" t="str">
        <f>IFERROR(IF(C915&gt;0, D915/C915, 0),"-")</f>
        <v>-</v>
      </c>
    </row>
    <row r="916" spans="1:5" x14ac:dyDescent="0.2">
      <c r="A916" s="28" t="s">
        <v>253</v>
      </c>
      <c r="B916" s="28" t="s">
        <v>1556</v>
      </c>
      <c r="C916" s="28" t="s">
        <v>959</v>
      </c>
      <c r="D916" s="28" t="s">
        <v>959</v>
      </c>
      <c r="E916" s="28" t="str">
        <f>IFERROR(IF(C916&gt;0, D916/C916, 0),"-")</f>
        <v>-</v>
      </c>
    </row>
    <row r="917" spans="1:5" x14ac:dyDescent="0.2">
      <c r="A917" s="27"/>
      <c r="B917" s="27" t="s">
        <v>124</v>
      </c>
      <c r="C917" s="27" t="s">
        <v>959</v>
      </c>
      <c r="D917" s="27" t="s">
        <v>959</v>
      </c>
      <c r="E917" s="27" t="str">
        <f>IFERROR(IF(C917&gt;0, D917/C917, 0),"-")</f>
        <v>-</v>
      </c>
    </row>
    <row r="918" spans="1:5" x14ac:dyDescent="0.2">
      <c r="A918" s="28" t="s">
        <v>872</v>
      </c>
      <c r="B918" s="28" t="s">
        <v>1557</v>
      </c>
      <c r="C918" s="28" t="s">
        <v>959</v>
      </c>
      <c r="D918" s="28" t="s">
        <v>959</v>
      </c>
      <c r="E918" s="28" t="str">
        <f>IFERROR(IF(C918&gt;0, D918/C918, 0),"-")</f>
        <v>-</v>
      </c>
    </row>
    <row r="919" spans="1:5" x14ac:dyDescent="0.2">
      <c r="A919" s="28" t="s">
        <v>874</v>
      </c>
      <c r="B919" s="28" t="s">
        <v>1558</v>
      </c>
      <c r="C919" s="28" t="s">
        <v>959</v>
      </c>
      <c r="D919" s="28" t="s">
        <v>959</v>
      </c>
      <c r="E919" s="28" t="str">
        <f>IFERROR(IF(C919&gt;0, D919/C919, 0),"-")</f>
        <v>-</v>
      </c>
    </row>
    <row r="920" spans="1:5" x14ac:dyDescent="0.2">
      <c r="A920" s="28" t="s">
        <v>875</v>
      </c>
      <c r="B920" s="28" t="s">
        <v>1559</v>
      </c>
      <c r="C920" s="28" t="s">
        <v>959</v>
      </c>
      <c r="D920" s="28" t="s">
        <v>959</v>
      </c>
      <c r="E920" s="28" t="str">
        <f>IFERROR(IF(C920&gt;0, D920/C920, 0),"-")</f>
        <v>-</v>
      </c>
    </row>
    <row r="921" spans="1:5" x14ac:dyDescent="0.2">
      <c r="A921" s="28" t="s">
        <v>876</v>
      </c>
      <c r="B921" s="28" t="s">
        <v>1560</v>
      </c>
      <c r="C921" s="28" t="s">
        <v>959</v>
      </c>
      <c r="D921" s="28" t="s">
        <v>959</v>
      </c>
      <c r="E921" s="28" t="str">
        <f>IFERROR(IF(C921&gt;0, D921/C921, 0),"-")</f>
        <v>-</v>
      </c>
    </row>
    <row r="922" spans="1:5" x14ac:dyDescent="0.2">
      <c r="A922" s="28" t="s">
        <v>873</v>
      </c>
      <c r="B922" s="28" t="s">
        <v>1561</v>
      </c>
      <c r="C922" s="28" t="s">
        <v>959</v>
      </c>
      <c r="D922" s="28" t="s">
        <v>959</v>
      </c>
      <c r="E922" s="28" t="str">
        <f>IFERROR(IF(C922&gt;0, D922/C922, 0),"-")</f>
        <v>-</v>
      </c>
    </row>
    <row r="923" spans="1:5" x14ac:dyDescent="0.2">
      <c r="A923" s="27"/>
      <c r="B923" s="27" t="s">
        <v>52</v>
      </c>
      <c r="C923" s="27" t="s">
        <v>959</v>
      </c>
      <c r="D923" s="27" t="s">
        <v>959</v>
      </c>
      <c r="E923" s="27" t="str">
        <f>IFERROR(IF(C923&gt;0, D923/C923, 0),"-")</f>
        <v>-</v>
      </c>
    </row>
    <row r="924" spans="1:5" x14ac:dyDescent="0.2">
      <c r="A924" s="28" t="s">
        <v>305</v>
      </c>
      <c r="B924" s="28" t="s">
        <v>1562</v>
      </c>
      <c r="C924" s="28" t="s">
        <v>959</v>
      </c>
      <c r="D924" s="28" t="s">
        <v>959</v>
      </c>
      <c r="E924" s="28" t="str">
        <f>IFERROR(IF(C924&gt;0, D924/C924, 0),"-")</f>
        <v>-</v>
      </c>
    </row>
    <row r="925" spans="1:5" x14ac:dyDescent="0.2">
      <c r="A925" s="28" t="s">
        <v>303</v>
      </c>
      <c r="B925" s="28" t="s">
        <v>1563</v>
      </c>
      <c r="C925" s="28" t="s">
        <v>959</v>
      </c>
      <c r="D925" s="28" t="s">
        <v>959</v>
      </c>
      <c r="E925" s="28" t="str">
        <f>IFERROR(IF(C925&gt;0, D925/C925, 0),"-")</f>
        <v>-</v>
      </c>
    </row>
    <row r="926" spans="1:5" x14ac:dyDescent="0.2">
      <c r="A926" s="28" t="s">
        <v>308</v>
      </c>
      <c r="B926" s="28" t="s">
        <v>1564</v>
      </c>
      <c r="C926" s="28" t="s">
        <v>959</v>
      </c>
      <c r="D926" s="28" t="s">
        <v>959</v>
      </c>
      <c r="E926" s="28" t="str">
        <f>IFERROR(IF(C926&gt;0, D926/C926, 0),"-")</f>
        <v>-</v>
      </c>
    </row>
    <row r="927" spans="1:5" x14ac:dyDescent="0.2">
      <c r="A927" s="28" t="s">
        <v>306</v>
      </c>
      <c r="B927" s="28" t="s">
        <v>1565</v>
      </c>
      <c r="C927" s="28" t="s">
        <v>959</v>
      </c>
      <c r="D927" s="28" t="s">
        <v>959</v>
      </c>
      <c r="E927" s="28" t="str">
        <f>IFERROR(IF(C927&gt;0, D927/C927, 0),"-")</f>
        <v>-</v>
      </c>
    </row>
    <row r="928" spans="1:5" x14ac:dyDescent="0.2">
      <c r="A928" s="28" t="s">
        <v>309</v>
      </c>
      <c r="B928" s="28" t="s">
        <v>1566</v>
      </c>
      <c r="C928" s="28" t="s">
        <v>959</v>
      </c>
      <c r="D928" s="28" t="s">
        <v>959</v>
      </c>
      <c r="E928" s="28" t="str">
        <f>IFERROR(IF(C928&gt;0, D928/C928, 0),"-")</f>
        <v>-</v>
      </c>
    </row>
    <row r="929" spans="1:5" x14ac:dyDescent="0.2">
      <c r="A929" s="28" t="s">
        <v>307</v>
      </c>
      <c r="B929" s="28" t="s">
        <v>1567</v>
      </c>
      <c r="C929" s="28" t="s">
        <v>959</v>
      </c>
      <c r="D929" s="28" t="s">
        <v>959</v>
      </c>
      <c r="E929" s="28" t="str">
        <f>IFERROR(IF(C929&gt;0, D929/C929, 0),"-")</f>
        <v>-</v>
      </c>
    </row>
    <row r="930" spans="1:5" x14ac:dyDescent="0.2">
      <c r="A930" s="28" t="s">
        <v>304</v>
      </c>
      <c r="B930" s="28" t="s">
        <v>1568</v>
      </c>
      <c r="C930" s="28" t="s">
        <v>959</v>
      </c>
      <c r="D930" s="28" t="s">
        <v>959</v>
      </c>
      <c r="E930" s="28" t="str">
        <f>IFERROR(IF(C930&gt;0, D930/C930, 0),"-")</f>
        <v>-</v>
      </c>
    </row>
    <row r="931" spans="1:5" x14ac:dyDescent="0.2">
      <c r="A931" s="27"/>
      <c r="B931" s="27" t="s">
        <v>60</v>
      </c>
      <c r="C931" s="27" t="s">
        <v>959</v>
      </c>
      <c r="D931" s="27" t="s">
        <v>959</v>
      </c>
      <c r="E931" s="27" t="str">
        <f>IFERROR(IF(C931&gt;0, D931/C931, 0),"-")</f>
        <v>-</v>
      </c>
    </row>
    <row r="932" spans="1:5" x14ac:dyDescent="0.2">
      <c r="A932" s="28" t="s">
        <v>383</v>
      </c>
      <c r="B932" s="28" t="s">
        <v>1569</v>
      </c>
      <c r="C932" s="28" t="s">
        <v>959</v>
      </c>
      <c r="D932" s="28" t="s">
        <v>959</v>
      </c>
      <c r="E932" s="28" t="str">
        <f>IFERROR(IF(C932&gt;0, D932/C932, 0),"-")</f>
        <v>-</v>
      </c>
    </row>
    <row r="933" spans="1:5" x14ac:dyDescent="0.2">
      <c r="A933" s="28" t="s">
        <v>382</v>
      </c>
      <c r="B933" s="28" t="s">
        <v>1570</v>
      </c>
      <c r="C933" s="28" t="s">
        <v>959</v>
      </c>
      <c r="D933" s="28" t="s">
        <v>959</v>
      </c>
      <c r="E933" s="28" t="str">
        <f>IFERROR(IF(C933&gt;0, D933/C933, 0),"-")</f>
        <v>-</v>
      </c>
    </row>
    <row r="934" spans="1:5" x14ac:dyDescent="0.2">
      <c r="A934" s="28" t="s">
        <v>386</v>
      </c>
      <c r="B934" s="28" t="s">
        <v>1571</v>
      </c>
      <c r="C934" s="28" t="s">
        <v>959</v>
      </c>
      <c r="D934" s="28" t="s">
        <v>959</v>
      </c>
      <c r="E934" s="28" t="str">
        <f>IFERROR(IF(C934&gt;0, D934/C934, 0),"-")</f>
        <v>-</v>
      </c>
    </row>
    <row r="935" spans="1:5" x14ac:dyDescent="0.2">
      <c r="A935" s="28" t="s">
        <v>384</v>
      </c>
      <c r="B935" s="28" t="s">
        <v>1572</v>
      </c>
      <c r="C935" s="28" t="s">
        <v>959</v>
      </c>
      <c r="D935" s="28" t="s">
        <v>959</v>
      </c>
      <c r="E935" s="28" t="str">
        <f>IFERROR(IF(C935&gt;0, D935/C935, 0),"-")</f>
        <v>-</v>
      </c>
    </row>
    <row r="936" spans="1:5" x14ac:dyDescent="0.2">
      <c r="A936" s="28" t="s">
        <v>385</v>
      </c>
      <c r="B936" s="28" t="s">
        <v>1444</v>
      </c>
      <c r="C936" s="28" t="s">
        <v>959</v>
      </c>
      <c r="D936" s="28" t="s">
        <v>959</v>
      </c>
      <c r="E936" s="28" t="str">
        <f>IFERROR(IF(C936&gt;0, D936/C936, 0),"-")</f>
        <v>-</v>
      </c>
    </row>
    <row r="937" spans="1:5" x14ac:dyDescent="0.2">
      <c r="A937" s="27"/>
      <c r="B937" s="27" t="s">
        <v>126</v>
      </c>
      <c r="C937" s="27" t="s">
        <v>959</v>
      </c>
      <c r="D937" s="27" t="s">
        <v>959</v>
      </c>
      <c r="E937" s="27" t="str">
        <f>IFERROR(IF(C937&gt;0, D937/C937, 0),"-")</f>
        <v>-</v>
      </c>
    </row>
    <row r="938" spans="1:5" x14ac:dyDescent="0.2">
      <c r="A938" s="28" t="s">
        <v>883</v>
      </c>
      <c r="B938" s="28" t="s">
        <v>1573</v>
      </c>
      <c r="C938" s="28" t="s">
        <v>959</v>
      </c>
      <c r="D938" s="28" t="s">
        <v>959</v>
      </c>
      <c r="E938" s="28" t="str">
        <f>IFERROR(IF(C938&gt;0, D938/C938, 0),"-")</f>
        <v>-</v>
      </c>
    </row>
    <row r="939" spans="1:5" x14ac:dyDescent="0.2">
      <c r="A939" s="28" t="s">
        <v>884</v>
      </c>
      <c r="B939" s="28" t="s">
        <v>1574</v>
      </c>
      <c r="C939" s="28" t="s">
        <v>959</v>
      </c>
      <c r="D939" s="28" t="s">
        <v>959</v>
      </c>
      <c r="E939" s="28" t="str">
        <f>IFERROR(IF(C939&gt;0, D939/C939, 0),"-")</f>
        <v>-</v>
      </c>
    </row>
    <row r="940" spans="1:5" x14ac:dyDescent="0.2">
      <c r="A940" s="27"/>
      <c r="B940" s="27" t="s">
        <v>93</v>
      </c>
      <c r="C940" s="27" t="s">
        <v>959</v>
      </c>
      <c r="D940" s="27" t="s">
        <v>959</v>
      </c>
      <c r="E940" s="27" t="str">
        <f>IFERROR(IF(C940&gt;0, D940/C940, 0),"-")</f>
        <v>-</v>
      </c>
    </row>
    <row r="941" spans="1:5" x14ac:dyDescent="0.2">
      <c r="A941" s="28" t="s">
        <v>646</v>
      </c>
      <c r="B941" s="28" t="s">
        <v>1575</v>
      </c>
      <c r="C941" s="28" t="s">
        <v>959</v>
      </c>
      <c r="D941" s="28" t="s">
        <v>959</v>
      </c>
      <c r="E941" s="28" t="str">
        <f>IFERROR(IF(C941&gt;0, D941/C941, 0),"-")</f>
        <v>-</v>
      </c>
    </row>
    <row r="942" spans="1:5" x14ac:dyDescent="0.2">
      <c r="A942" s="28" t="s">
        <v>634</v>
      </c>
      <c r="B942" s="28" t="s">
        <v>1576</v>
      </c>
      <c r="C942" s="28" t="s">
        <v>959</v>
      </c>
      <c r="D942" s="28" t="s">
        <v>959</v>
      </c>
      <c r="E942" s="28" t="str">
        <f>IFERROR(IF(C942&gt;0, D942/C942, 0),"-")</f>
        <v>-</v>
      </c>
    </row>
    <row r="943" spans="1:5" x14ac:dyDescent="0.2">
      <c r="A943" s="28" t="s">
        <v>633</v>
      </c>
      <c r="B943" s="28" t="s">
        <v>1577</v>
      </c>
      <c r="C943" s="28" t="s">
        <v>959</v>
      </c>
      <c r="D943" s="28" t="s">
        <v>959</v>
      </c>
      <c r="E943" s="28" t="str">
        <f>IFERROR(IF(C943&gt;0, D943/C943, 0),"-")</f>
        <v>-</v>
      </c>
    </row>
    <row r="944" spans="1:5" x14ac:dyDescent="0.2">
      <c r="A944" s="28" t="s">
        <v>632</v>
      </c>
      <c r="B944" s="28" t="s">
        <v>1578</v>
      </c>
      <c r="C944" s="28" t="s">
        <v>959</v>
      </c>
      <c r="D944" s="28" t="s">
        <v>959</v>
      </c>
      <c r="E944" s="28" t="str">
        <f>IFERROR(IF(C944&gt;0, D944/C944, 0),"-")</f>
        <v>-</v>
      </c>
    </row>
    <row r="945" spans="1:5" x14ac:dyDescent="0.2">
      <c r="A945" s="28" t="s">
        <v>635</v>
      </c>
      <c r="B945" s="28" t="s">
        <v>1579</v>
      </c>
      <c r="C945" s="28" t="s">
        <v>959</v>
      </c>
      <c r="D945" s="28" t="s">
        <v>959</v>
      </c>
      <c r="E945" s="28" t="str">
        <f>IFERROR(IF(C945&gt;0, D945/C945, 0),"-")</f>
        <v>-</v>
      </c>
    </row>
    <row r="946" spans="1:5" x14ac:dyDescent="0.2">
      <c r="A946" s="28" t="s">
        <v>631</v>
      </c>
      <c r="B946" s="28" t="s">
        <v>1580</v>
      </c>
      <c r="C946" s="28" t="s">
        <v>959</v>
      </c>
      <c r="D946" s="28" t="s">
        <v>959</v>
      </c>
      <c r="E946" s="28" t="str">
        <f>IFERROR(IF(C946&gt;0, D946/C946, 0),"-")</f>
        <v>-</v>
      </c>
    </row>
    <row r="947" spans="1:5" x14ac:dyDescent="0.2">
      <c r="A947" s="28" t="s">
        <v>637</v>
      </c>
      <c r="B947" s="28" t="s">
        <v>1581</v>
      </c>
      <c r="C947" s="28" t="s">
        <v>959</v>
      </c>
      <c r="D947" s="28" t="s">
        <v>959</v>
      </c>
      <c r="E947" s="28" t="str">
        <f>IFERROR(IF(C947&gt;0, D947/C947, 0),"-")</f>
        <v>-</v>
      </c>
    </row>
    <row r="948" spans="1:5" x14ac:dyDescent="0.2">
      <c r="A948" s="28" t="s">
        <v>636</v>
      </c>
      <c r="B948" s="28" t="s">
        <v>1582</v>
      </c>
      <c r="C948" s="28" t="s">
        <v>959</v>
      </c>
      <c r="D948" s="28" t="s">
        <v>959</v>
      </c>
      <c r="E948" s="28" t="str">
        <f>IFERROR(IF(C948&gt;0, D948/C948, 0),"-")</f>
        <v>-</v>
      </c>
    </row>
    <row r="949" spans="1:5" x14ac:dyDescent="0.2">
      <c r="A949" s="27"/>
      <c r="B949" s="27" t="s">
        <v>54</v>
      </c>
      <c r="C949" s="27" t="s">
        <v>959</v>
      </c>
      <c r="D949" s="27" t="s">
        <v>959</v>
      </c>
      <c r="E949" s="27" t="str">
        <f>IFERROR(IF(C949&gt;0, D949/C949, 0),"-")</f>
        <v>-</v>
      </c>
    </row>
    <row r="950" spans="1:5" x14ac:dyDescent="0.2">
      <c r="A950" s="28" t="s">
        <v>331</v>
      </c>
      <c r="B950" s="28" t="s">
        <v>1583</v>
      </c>
      <c r="C950" s="28" t="s">
        <v>959</v>
      </c>
      <c r="D950" s="28" t="s">
        <v>959</v>
      </c>
      <c r="E950" s="28" t="str">
        <f>IFERROR(IF(C950&gt;0, D950/C950, 0),"-")</f>
        <v>-</v>
      </c>
    </row>
    <row r="951" spans="1:5" x14ac:dyDescent="0.2">
      <c r="A951" s="28" t="s">
        <v>335</v>
      </c>
      <c r="B951" s="28" t="s">
        <v>1584</v>
      </c>
      <c r="C951" s="28" t="s">
        <v>959</v>
      </c>
      <c r="D951" s="28" t="s">
        <v>959</v>
      </c>
      <c r="E951" s="28" t="str">
        <f>IFERROR(IF(C951&gt;0, D951/C951, 0),"-")</f>
        <v>-</v>
      </c>
    </row>
    <row r="952" spans="1:5" x14ac:dyDescent="0.2">
      <c r="A952" s="28" t="s">
        <v>333</v>
      </c>
      <c r="B952" s="28" t="s">
        <v>1585</v>
      </c>
      <c r="C952" s="28" t="s">
        <v>959</v>
      </c>
      <c r="D952" s="28" t="s">
        <v>959</v>
      </c>
      <c r="E952" s="28" t="str">
        <f>IFERROR(IF(C952&gt;0, D952/C952, 0),"-")</f>
        <v>-</v>
      </c>
    </row>
    <row r="953" spans="1:5" x14ac:dyDescent="0.2">
      <c r="A953" s="28" t="s">
        <v>334</v>
      </c>
      <c r="B953" s="28" t="s">
        <v>1586</v>
      </c>
      <c r="C953" s="28" t="s">
        <v>959</v>
      </c>
      <c r="D953" s="28" t="s">
        <v>959</v>
      </c>
      <c r="E953" s="28" t="str">
        <f>IFERROR(IF(C953&gt;0, D953/C953, 0),"-")</f>
        <v>-</v>
      </c>
    </row>
    <row r="954" spans="1:5" x14ac:dyDescent="0.2">
      <c r="A954" s="28" t="s">
        <v>336</v>
      </c>
      <c r="B954" s="28" t="s">
        <v>1587</v>
      </c>
      <c r="C954" s="28" t="s">
        <v>959</v>
      </c>
      <c r="D954" s="28" t="s">
        <v>959</v>
      </c>
      <c r="E954" s="28" t="str">
        <f>IFERROR(IF(C954&gt;0, D954/C954, 0),"-")</f>
        <v>-</v>
      </c>
    </row>
    <row r="955" spans="1:5" x14ac:dyDescent="0.2">
      <c r="A955" s="28" t="s">
        <v>332</v>
      </c>
      <c r="B955" s="28" t="s">
        <v>1588</v>
      </c>
      <c r="C955" s="28" t="s">
        <v>959</v>
      </c>
      <c r="D955" s="28" t="s">
        <v>959</v>
      </c>
      <c r="E955" s="28" t="str">
        <f>IFERROR(IF(C955&gt;0, D955/C955, 0),"-")</f>
        <v>-</v>
      </c>
    </row>
    <row r="956" spans="1:5" x14ac:dyDescent="0.2">
      <c r="A956" s="27"/>
      <c r="B956" s="27" t="s">
        <v>62</v>
      </c>
      <c r="C956" s="27" t="s">
        <v>959</v>
      </c>
      <c r="D956" s="27" t="s">
        <v>959</v>
      </c>
      <c r="E956" s="27" t="str">
        <f>IFERROR(IF(C956&gt;0, D956/C956, 0),"-")</f>
        <v>-</v>
      </c>
    </row>
    <row r="957" spans="1:5" x14ac:dyDescent="0.2">
      <c r="A957" s="28" t="s">
        <v>396</v>
      </c>
      <c r="B957" s="28" t="s">
        <v>1589</v>
      </c>
      <c r="C957" s="28" t="s">
        <v>959</v>
      </c>
      <c r="D957" s="28" t="s">
        <v>959</v>
      </c>
      <c r="E957" s="28" t="str">
        <f>IFERROR(IF(C957&gt;0, D957/C957, 0),"-")</f>
        <v>-</v>
      </c>
    </row>
    <row r="958" spans="1:5" x14ac:dyDescent="0.2">
      <c r="A958" s="28" t="s">
        <v>398</v>
      </c>
      <c r="B958" s="28" t="s">
        <v>1590</v>
      </c>
      <c r="C958" s="28" t="s">
        <v>959</v>
      </c>
      <c r="D958" s="28" t="s">
        <v>959</v>
      </c>
      <c r="E958" s="28" t="str">
        <f>IFERROR(IF(C958&gt;0, D958/C958, 0),"-")</f>
        <v>-</v>
      </c>
    </row>
    <row r="959" spans="1:5" x14ac:dyDescent="0.2">
      <c r="A959" s="28" t="s">
        <v>397</v>
      </c>
      <c r="B959" s="28" t="s">
        <v>1591</v>
      </c>
      <c r="C959" s="28" t="s">
        <v>959</v>
      </c>
      <c r="D959" s="28" t="s">
        <v>959</v>
      </c>
      <c r="E959" s="28" t="str">
        <f>IFERROR(IF(C959&gt;0, D959/C959, 0),"-")</f>
        <v>-</v>
      </c>
    </row>
    <row r="960" spans="1:5" x14ac:dyDescent="0.2">
      <c r="A960" s="28" t="s">
        <v>394</v>
      </c>
      <c r="B960" s="28" t="s">
        <v>1592</v>
      </c>
      <c r="C960" s="28" t="s">
        <v>959</v>
      </c>
      <c r="D960" s="28" t="s">
        <v>959</v>
      </c>
      <c r="E960" s="28" t="str">
        <f>IFERROR(IF(C960&gt;0, D960/C960, 0),"-")</f>
        <v>-</v>
      </c>
    </row>
    <row r="961" spans="1:5" x14ac:dyDescent="0.2">
      <c r="A961" s="28" t="s">
        <v>395</v>
      </c>
      <c r="B961" s="28" t="s">
        <v>1593</v>
      </c>
      <c r="C961" s="28" t="s">
        <v>959</v>
      </c>
      <c r="D961" s="28" t="s">
        <v>959</v>
      </c>
      <c r="E961" s="28" t="str">
        <f>IFERROR(IF(C961&gt;0, D961/C961, 0),"-")</f>
        <v>-</v>
      </c>
    </row>
    <row r="962" spans="1:5" x14ac:dyDescent="0.2">
      <c r="A962" s="27"/>
      <c r="B962" s="27" t="s">
        <v>106</v>
      </c>
      <c r="C962" s="27" t="s">
        <v>959</v>
      </c>
      <c r="D962" s="27" t="s">
        <v>959</v>
      </c>
      <c r="E962" s="27" t="str">
        <f>IFERROR(IF(C962&gt;0, D962/C962, 0),"-")</f>
        <v>-</v>
      </c>
    </row>
    <row r="963" spans="1:5" x14ac:dyDescent="0.2">
      <c r="A963" s="28" t="s">
        <v>766</v>
      </c>
      <c r="B963" s="28" t="s">
        <v>1594</v>
      </c>
      <c r="C963" s="28" t="s">
        <v>959</v>
      </c>
      <c r="D963" s="28" t="s">
        <v>959</v>
      </c>
      <c r="E963" s="28" t="str">
        <f>IFERROR(IF(C963&gt;0, D963/C963, 0),"-")</f>
        <v>-</v>
      </c>
    </row>
    <row r="964" spans="1:5" x14ac:dyDescent="0.2">
      <c r="A964" s="28" t="s">
        <v>762</v>
      </c>
      <c r="B964" s="28" t="s">
        <v>1595</v>
      </c>
      <c r="C964" s="28" t="s">
        <v>959</v>
      </c>
      <c r="D964" s="28" t="s">
        <v>959</v>
      </c>
      <c r="E964" s="28" t="str">
        <f>IFERROR(IF(C964&gt;0, D964/C964, 0),"-")</f>
        <v>-</v>
      </c>
    </row>
    <row r="965" spans="1:5" x14ac:dyDescent="0.2">
      <c r="A965" s="28" t="s">
        <v>765</v>
      </c>
      <c r="B965" s="28" t="s">
        <v>1596</v>
      </c>
      <c r="C965" s="28" t="s">
        <v>959</v>
      </c>
      <c r="D965" s="28" t="s">
        <v>959</v>
      </c>
      <c r="E965" s="28" t="str">
        <f>IFERROR(IF(C965&gt;0, D965/C965, 0),"-")</f>
        <v>-</v>
      </c>
    </row>
    <row r="966" spans="1:5" x14ac:dyDescent="0.2">
      <c r="A966" s="28" t="s">
        <v>764</v>
      </c>
      <c r="B966" s="28" t="s">
        <v>1597</v>
      </c>
      <c r="C966" s="28" t="s">
        <v>959</v>
      </c>
      <c r="D966" s="28" t="s">
        <v>959</v>
      </c>
      <c r="E966" s="28" t="str">
        <f>IFERROR(IF(C966&gt;0, D966/C966, 0),"-")</f>
        <v>-</v>
      </c>
    </row>
    <row r="967" spans="1:5" x14ac:dyDescent="0.2">
      <c r="A967" s="28" t="s">
        <v>760</v>
      </c>
      <c r="B967" s="28" t="s">
        <v>1598</v>
      </c>
      <c r="C967" s="28" t="s">
        <v>959</v>
      </c>
      <c r="D967" s="28" t="s">
        <v>959</v>
      </c>
      <c r="E967" s="28" t="str">
        <f>IFERROR(IF(C967&gt;0, D967/C967, 0),"-")</f>
        <v>-</v>
      </c>
    </row>
    <row r="968" spans="1:5" x14ac:dyDescent="0.2">
      <c r="A968" s="28" t="s">
        <v>763</v>
      </c>
      <c r="B968" s="28" t="s">
        <v>1599</v>
      </c>
      <c r="C968" s="28" t="s">
        <v>959</v>
      </c>
      <c r="D968" s="28" t="s">
        <v>959</v>
      </c>
      <c r="E968" s="28" t="str">
        <f>IFERROR(IF(C968&gt;0, D968/C968, 0),"-")</f>
        <v>-</v>
      </c>
    </row>
    <row r="969" spans="1:5" x14ac:dyDescent="0.2">
      <c r="A969" s="28" t="s">
        <v>761</v>
      </c>
      <c r="B969" s="28" t="s">
        <v>1600</v>
      </c>
      <c r="C969" s="28" t="s">
        <v>959</v>
      </c>
      <c r="D969" s="28" t="s">
        <v>959</v>
      </c>
      <c r="E969" s="28" t="str">
        <f>IFERROR(IF(C969&gt;0, D969/C969, 0),"-")</f>
        <v>-</v>
      </c>
    </row>
    <row r="970" spans="1:5" x14ac:dyDescent="0.2">
      <c r="A970" s="28" t="s">
        <v>767</v>
      </c>
      <c r="B970" s="28" t="s">
        <v>1601</v>
      </c>
      <c r="C970" s="28" t="s">
        <v>959</v>
      </c>
      <c r="D970" s="28" t="s">
        <v>959</v>
      </c>
      <c r="E970" s="28" t="str">
        <f>IFERROR(IF(C970&gt;0, D970/C970, 0),"-")</f>
        <v>-</v>
      </c>
    </row>
    <row r="971" spans="1:5" x14ac:dyDescent="0.2">
      <c r="A971" s="27"/>
      <c r="B971" s="27" t="s">
        <v>134</v>
      </c>
      <c r="C971" s="27" t="s">
        <v>959</v>
      </c>
      <c r="D971" s="27" t="s">
        <v>959</v>
      </c>
      <c r="E971" s="27" t="str">
        <f>IFERROR(IF(C971&gt;0, D971/C971, 0),"-")</f>
        <v>-</v>
      </c>
    </row>
    <row r="972" spans="1:5" x14ac:dyDescent="0.2">
      <c r="A972" s="28" t="s">
        <v>938</v>
      </c>
      <c r="B972" s="28" t="s">
        <v>1602</v>
      </c>
      <c r="C972" s="28" t="s">
        <v>959</v>
      </c>
      <c r="D972" s="28" t="s">
        <v>959</v>
      </c>
      <c r="E972" s="28" t="str">
        <f>IFERROR(IF(C972&gt;0, D972/C972, 0),"-")</f>
        <v>-</v>
      </c>
    </row>
    <row r="973" spans="1:5" x14ac:dyDescent="0.2">
      <c r="A973" s="28" t="s">
        <v>940</v>
      </c>
      <c r="B973" s="28" t="s">
        <v>1603</v>
      </c>
      <c r="C973" s="28" t="s">
        <v>959</v>
      </c>
      <c r="D973" s="28" t="s">
        <v>959</v>
      </c>
      <c r="E973" s="28" t="str">
        <f>IFERROR(IF(C973&gt;0, D973/C973, 0),"-")</f>
        <v>-</v>
      </c>
    </row>
    <row r="974" spans="1:5" x14ac:dyDescent="0.2">
      <c r="A974" s="28" t="s">
        <v>941</v>
      </c>
      <c r="B974" s="28" t="s">
        <v>1604</v>
      </c>
      <c r="C974" s="28" t="s">
        <v>959</v>
      </c>
      <c r="D974" s="28" t="s">
        <v>959</v>
      </c>
      <c r="E974" s="28" t="str">
        <f>IFERROR(IF(C974&gt;0, D974/C974, 0),"-")</f>
        <v>-</v>
      </c>
    </row>
    <row r="975" spans="1:5" x14ac:dyDescent="0.2">
      <c r="A975" s="28" t="s">
        <v>950</v>
      </c>
      <c r="B975" s="28" t="s">
        <v>1605</v>
      </c>
      <c r="C975" s="28" t="s">
        <v>959</v>
      </c>
      <c r="D975" s="28" t="s">
        <v>959</v>
      </c>
      <c r="E975" s="28" t="str">
        <f>IFERROR(IF(C975&gt;0, D975/C975, 0),"-")</f>
        <v>-</v>
      </c>
    </row>
    <row r="976" spans="1:5" x14ac:dyDescent="0.2">
      <c r="A976" s="28" t="s">
        <v>939</v>
      </c>
      <c r="B976" s="28" t="s">
        <v>1606</v>
      </c>
      <c r="C976" s="28" t="s">
        <v>959</v>
      </c>
      <c r="D976" s="28" t="s">
        <v>959</v>
      </c>
      <c r="E976" s="28" t="str">
        <f>IFERROR(IF(C976&gt;0, D976/C976, 0),"-")</f>
        <v>-</v>
      </c>
    </row>
    <row r="977" spans="1:5" x14ac:dyDescent="0.2">
      <c r="A977" s="28" t="s">
        <v>937</v>
      </c>
      <c r="B977" s="28" t="s">
        <v>1607</v>
      </c>
      <c r="C977" s="28" t="s">
        <v>959</v>
      </c>
      <c r="D977" s="28" t="s">
        <v>959</v>
      </c>
      <c r="E977" s="28" t="str">
        <f>IFERROR(IF(C977&gt;0, D977/C977, 0),"-")</f>
        <v>-</v>
      </c>
    </row>
    <row r="978" spans="1:5" x14ac:dyDescent="0.2">
      <c r="A978" s="27"/>
      <c r="B978" s="27" t="s">
        <v>113</v>
      </c>
      <c r="C978" s="27" t="s">
        <v>959</v>
      </c>
      <c r="D978" s="27" t="s">
        <v>959</v>
      </c>
      <c r="E978" s="27" t="str">
        <f>IFERROR(IF(C978&gt;0, D978/C978, 0),"-")</f>
        <v>-</v>
      </c>
    </row>
    <row r="979" spans="1:5" x14ac:dyDescent="0.2">
      <c r="A979" s="28" t="s">
        <v>816</v>
      </c>
      <c r="B979" s="28" t="s">
        <v>1608</v>
      </c>
      <c r="C979" s="28" t="s">
        <v>959</v>
      </c>
      <c r="D979" s="28" t="s">
        <v>959</v>
      </c>
      <c r="E979" s="28" t="str">
        <f>IFERROR(IF(C979&gt;0, D979/C979, 0),"-")</f>
        <v>-</v>
      </c>
    </row>
    <row r="980" spans="1:5" x14ac:dyDescent="0.2">
      <c r="A980" s="28" t="s">
        <v>819</v>
      </c>
      <c r="B980" s="28" t="s">
        <v>1609</v>
      </c>
      <c r="C980" s="28" t="s">
        <v>959</v>
      </c>
      <c r="D980" s="28" t="s">
        <v>959</v>
      </c>
      <c r="E980" s="28" t="str">
        <f>IFERROR(IF(C980&gt;0, D980/C980, 0),"-")</f>
        <v>-</v>
      </c>
    </row>
    <row r="981" spans="1:5" x14ac:dyDescent="0.2">
      <c r="A981" s="28" t="s">
        <v>820</v>
      </c>
      <c r="B981" s="28" t="s">
        <v>1610</v>
      </c>
      <c r="C981" s="28" t="s">
        <v>959</v>
      </c>
      <c r="D981" s="28" t="s">
        <v>959</v>
      </c>
      <c r="E981" s="28" t="str">
        <f>IFERROR(IF(C981&gt;0, D981/C981, 0),"-")</f>
        <v>-</v>
      </c>
    </row>
    <row r="982" spans="1:5" x14ac:dyDescent="0.2">
      <c r="A982" s="28" t="s">
        <v>818</v>
      </c>
      <c r="B982" s="28" t="s">
        <v>1611</v>
      </c>
      <c r="C982" s="28" t="s">
        <v>959</v>
      </c>
      <c r="D982" s="28" t="s">
        <v>959</v>
      </c>
      <c r="E982" s="28" t="str">
        <f>IFERROR(IF(C982&gt;0, D982/C982, 0),"-")</f>
        <v>-</v>
      </c>
    </row>
    <row r="983" spans="1:5" x14ac:dyDescent="0.2">
      <c r="A983" s="28" t="s">
        <v>817</v>
      </c>
      <c r="B983" s="28" t="s">
        <v>1612</v>
      </c>
      <c r="C983" s="28" t="s">
        <v>959</v>
      </c>
      <c r="D983" s="28" t="s">
        <v>959</v>
      </c>
      <c r="E983" s="28" t="str">
        <f>IFERROR(IF(C983&gt;0, D983/C983, 0),"-")</f>
        <v>-</v>
      </c>
    </row>
    <row r="984" spans="1:5" x14ac:dyDescent="0.2">
      <c r="A984" s="27"/>
      <c r="B984" s="27" t="s">
        <v>95</v>
      </c>
      <c r="C984" s="27" t="s">
        <v>959</v>
      </c>
      <c r="D984" s="27" t="s">
        <v>959</v>
      </c>
      <c r="E984" s="27" t="str">
        <f>IFERROR(IF(C984&gt;0, D984/C984, 0),"-")</f>
        <v>-</v>
      </c>
    </row>
    <row r="985" spans="1:5" x14ac:dyDescent="0.2">
      <c r="A985" s="28" t="s">
        <v>656</v>
      </c>
      <c r="B985" s="28" t="s">
        <v>1613</v>
      </c>
      <c r="C985" s="28" t="s">
        <v>959</v>
      </c>
      <c r="D985" s="28" t="s">
        <v>959</v>
      </c>
      <c r="E985" s="28" t="str">
        <f>IFERROR(IF(C985&gt;0, D985/C985, 0),"-")</f>
        <v>-</v>
      </c>
    </row>
    <row r="986" spans="1:5" x14ac:dyDescent="0.2">
      <c r="A986" s="28" t="s">
        <v>658</v>
      </c>
      <c r="B986" s="28" t="s">
        <v>1614</v>
      </c>
      <c r="C986" s="28" t="s">
        <v>959</v>
      </c>
      <c r="D986" s="28" t="s">
        <v>959</v>
      </c>
      <c r="E986" s="28" t="str">
        <f>IFERROR(IF(C986&gt;0, D986/C986, 0),"-")</f>
        <v>-</v>
      </c>
    </row>
    <row r="987" spans="1:5" x14ac:dyDescent="0.2">
      <c r="A987" s="28" t="s">
        <v>662</v>
      </c>
      <c r="B987" s="28" t="s">
        <v>1615</v>
      </c>
      <c r="C987" s="28" t="s">
        <v>959</v>
      </c>
      <c r="D987" s="28" t="s">
        <v>959</v>
      </c>
      <c r="E987" s="28" t="str">
        <f>IFERROR(IF(C987&gt;0, D987/C987, 0),"-")</f>
        <v>-</v>
      </c>
    </row>
    <row r="988" spans="1:5" x14ac:dyDescent="0.2">
      <c r="A988" s="28" t="s">
        <v>660</v>
      </c>
      <c r="B988" s="28" t="s">
        <v>1616</v>
      </c>
      <c r="C988" s="28" t="s">
        <v>959</v>
      </c>
      <c r="D988" s="28" t="s">
        <v>959</v>
      </c>
      <c r="E988" s="28" t="str">
        <f>IFERROR(IF(C988&gt;0, D988/C988, 0),"-")</f>
        <v>-</v>
      </c>
    </row>
    <row r="989" spans="1:5" x14ac:dyDescent="0.2">
      <c r="A989" s="28" t="s">
        <v>657</v>
      </c>
      <c r="B989" s="28" t="s">
        <v>1617</v>
      </c>
      <c r="C989" s="28" t="s">
        <v>959</v>
      </c>
      <c r="D989" s="28" t="s">
        <v>959</v>
      </c>
      <c r="E989" s="28" t="str">
        <f>IFERROR(IF(C989&gt;0, D989/C989, 0),"-")</f>
        <v>-</v>
      </c>
    </row>
    <row r="990" spans="1:5" x14ac:dyDescent="0.2">
      <c r="A990" s="28" t="s">
        <v>659</v>
      </c>
      <c r="B990" s="28" t="s">
        <v>1618</v>
      </c>
      <c r="C990" s="28" t="s">
        <v>959</v>
      </c>
      <c r="D990" s="28" t="s">
        <v>959</v>
      </c>
      <c r="E990" s="28" t="str">
        <f>IFERROR(IF(C990&gt;0, D990/C990, 0),"-")</f>
        <v>-</v>
      </c>
    </row>
    <row r="991" spans="1:5" x14ac:dyDescent="0.2">
      <c r="A991" s="28" t="s">
        <v>661</v>
      </c>
      <c r="B991" s="28" t="s">
        <v>1619</v>
      </c>
      <c r="C991" s="28" t="s">
        <v>959</v>
      </c>
      <c r="D991" s="28" t="s">
        <v>959</v>
      </c>
      <c r="E991" s="28" t="str">
        <f>IFERROR(IF(C991&gt;0, D991/C991, 0),"-")</f>
        <v>-</v>
      </c>
    </row>
    <row r="992" spans="1:5" x14ac:dyDescent="0.2">
      <c r="A992" s="27"/>
      <c r="B992" s="27" t="s">
        <v>66</v>
      </c>
      <c r="C992" s="27" t="s">
        <v>959</v>
      </c>
      <c r="D992" s="27" t="s">
        <v>959</v>
      </c>
      <c r="E992" s="27" t="str">
        <f>IFERROR(IF(C992&gt;0, D992/C992, 0),"-")</f>
        <v>-</v>
      </c>
    </row>
    <row r="993" spans="1:5" x14ac:dyDescent="0.2">
      <c r="A993" s="28" t="s">
        <v>422</v>
      </c>
      <c r="B993" s="28" t="s">
        <v>1620</v>
      </c>
      <c r="C993" s="28" t="s">
        <v>959</v>
      </c>
      <c r="D993" s="28" t="s">
        <v>959</v>
      </c>
      <c r="E993" s="28" t="str">
        <f>IFERROR(IF(C993&gt;0, D993/C993, 0),"-")</f>
        <v>-</v>
      </c>
    </row>
    <row r="994" spans="1:5" x14ac:dyDescent="0.2">
      <c r="A994" s="28" t="s">
        <v>421</v>
      </c>
      <c r="B994" s="28" t="s">
        <v>1621</v>
      </c>
      <c r="C994" s="28" t="s">
        <v>959</v>
      </c>
      <c r="D994" s="28" t="s">
        <v>959</v>
      </c>
      <c r="E994" s="28" t="str">
        <f>IFERROR(IF(C994&gt;0, D994/C994, 0),"-")</f>
        <v>-</v>
      </c>
    </row>
    <row r="995" spans="1:5" x14ac:dyDescent="0.2">
      <c r="A995" s="28" t="s">
        <v>420</v>
      </c>
      <c r="B995" s="28" t="s">
        <v>1622</v>
      </c>
      <c r="C995" s="28" t="s">
        <v>959</v>
      </c>
      <c r="D995" s="28" t="s">
        <v>959</v>
      </c>
      <c r="E995" s="28" t="str">
        <f>IFERROR(IF(C995&gt;0, D995/C995, 0),"-")</f>
        <v>-</v>
      </c>
    </row>
    <row r="996" spans="1:5" x14ac:dyDescent="0.2">
      <c r="A996" s="28" t="s">
        <v>423</v>
      </c>
      <c r="B996" s="28" t="s">
        <v>1623</v>
      </c>
      <c r="C996" s="28" t="s">
        <v>959</v>
      </c>
      <c r="D996" s="28" t="s">
        <v>959</v>
      </c>
      <c r="E996" s="28" t="str">
        <f>IFERROR(IF(C996&gt;0, D996/C996, 0),"-")</f>
        <v>-</v>
      </c>
    </row>
    <row r="997" spans="1:5" x14ac:dyDescent="0.2">
      <c r="A997" s="27"/>
      <c r="B997" s="27" t="s">
        <v>44</v>
      </c>
      <c r="C997" s="27" t="s">
        <v>959</v>
      </c>
      <c r="D997" s="27" t="s">
        <v>959</v>
      </c>
      <c r="E997" s="27" t="str">
        <f>IFERROR(IF(C997&gt;0, D997/C997, 0),"-")</f>
        <v>-</v>
      </c>
    </row>
    <row r="998" spans="1:5" x14ac:dyDescent="0.2">
      <c r="A998" s="28" t="s">
        <v>239</v>
      </c>
      <c r="B998" s="28" t="s">
        <v>1624</v>
      </c>
      <c r="C998" s="28" t="s">
        <v>959</v>
      </c>
      <c r="D998" s="28" t="s">
        <v>959</v>
      </c>
      <c r="E998" s="28" t="str">
        <f>IFERROR(IF(C998&gt;0, D998/C998, 0),"-")</f>
        <v>-</v>
      </c>
    </row>
    <row r="999" spans="1:5" x14ac:dyDescent="0.2">
      <c r="A999" s="28" t="s">
        <v>240</v>
      </c>
      <c r="B999" s="28" t="s">
        <v>1625</v>
      </c>
      <c r="C999" s="28" t="s">
        <v>959</v>
      </c>
      <c r="D999" s="28" t="s">
        <v>959</v>
      </c>
      <c r="E999" s="28" t="str">
        <f>IFERROR(IF(C999&gt;0, D999/C999, 0),"-")</f>
        <v>-</v>
      </c>
    </row>
    <row r="1000" spans="1:5" x14ac:dyDescent="0.2">
      <c r="A1000" s="28" t="s">
        <v>238</v>
      </c>
      <c r="B1000" s="28" t="s">
        <v>1626</v>
      </c>
      <c r="C1000" s="28" t="s">
        <v>959</v>
      </c>
      <c r="D1000" s="28" t="s">
        <v>959</v>
      </c>
      <c r="E1000" s="28" t="str">
        <f>IFERROR(IF(C1000&gt;0, D1000/C1000, 0),"-")</f>
        <v>-</v>
      </c>
    </row>
    <row r="1001" spans="1:5" x14ac:dyDescent="0.2">
      <c r="A1001" s="28" t="s">
        <v>241</v>
      </c>
      <c r="B1001" s="28" t="s">
        <v>1627</v>
      </c>
      <c r="C1001" s="28" t="s">
        <v>959</v>
      </c>
      <c r="D1001" s="28" t="s">
        <v>959</v>
      </c>
      <c r="E1001" s="28" t="str">
        <f>IFERROR(IF(C1001&gt;0, D1001/C1001, 0),"-")</f>
        <v>-</v>
      </c>
    </row>
    <row r="1002" spans="1:5" x14ac:dyDescent="0.2">
      <c r="A1002" s="27"/>
      <c r="B1002" s="27" t="s">
        <v>61</v>
      </c>
      <c r="C1002" s="27" t="s">
        <v>959</v>
      </c>
      <c r="D1002" s="27" t="s">
        <v>959</v>
      </c>
      <c r="E1002" s="27" t="str">
        <f>IFERROR(IF(C1002&gt;0, D1002/C1002, 0),"-")</f>
        <v>-</v>
      </c>
    </row>
    <row r="1003" spans="1:5" x14ac:dyDescent="0.2">
      <c r="A1003" s="28" t="s">
        <v>387</v>
      </c>
      <c r="B1003" s="28" t="s">
        <v>1628</v>
      </c>
      <c r="C1003" s="28" t="s">
        <v>959</v>
      </c>
      <c r="D1003" s="28" t="s">
        <v>959</v>
      </c>
      <c r="E1003" s="28" t="str">
        <f>IFERROR(IF(C1003&gt;0, D1003/C1003, 0),"-")</f>
        <v>-</v>
      </c>
    </row>
    <row r="1004" spans="1:5" x14ac:dyDescent="0.2">
      <c r="A1004" s="28" t="s">
        <v>391</v>
      </c>
      <c r="B1004" s="28" t="s">
        <v>1629</v>
      </c>
      <c r="C1004" s="28" t="s">
        <v>959</v>
      </c>
      <c r="D1004" s="28" t="s">
        <v>959</v>
      </c>
      <c r="E1004" s="28" t="str">
        <f>IFERROR(IF(C1004&gt;0, D1004/C1004, 0),"-")</f>
        <v>-</v>
      </c>
    </row>
    <row r="1005" spans="1:5" x14ac:dyDescent="0.2">
      <c r="A1005" s="28" t="s">
        <v>390</v>
      </c>
      <c r="B1005" s="28" t="s">
        <v>1630</v>
      </c>
      <c r="C1005" s="28" t="s">
        <v>959</v>
      </c>
      <c r="D1005" s="28" t="s">
        <v>959</v>
      </c>
      <c r="E1005" s="28" t="str">
        <f>IFERROR(IF(C1005&gt;0, D1005/C1005, 0),"-")</f>
        <v>-</v>
      </c>
    </row>
    <row r="1006" spans="1:5" x14ac:dyDescent="0.2">
      <c r="A1006" s="28" t="s">
        <v>392</v>
      </c>
      <c r="B1006" s="28" t="s">
        <v>1631</v>
      </c>
      <c r="C1006" s="28" t="s">
        <v>959</v>
      </c>
      <c r="D1006" s="28" t="s">
        <v>959</v>
      </c>
      <c r="E1006" s="28" t="str">
        <f>IFERROR(IF(C1006&gt;0, D1006/C1006, 0),"-")</f>
        <v>-</v>
      </c>
    </row>
    <row r="1007" spans="1:5" x14ac:dyDescent="0.2">
      <c r="A1007" s="28" t="s">
        <v>393</v>
      </c>
      <c r="B1007" s="28" t="s">
        <v>1632</v>
      </c>
      <c r="C1007" s="28" t="s">
        <v>959</v>
      </c>
      <c r="D1007" s="28" t="s">
        <v>959</v>
      </c>
      <c r="E1007" s="28" t="str">
        <f>IFERROR(IF(C1007&gt;0, D1007/C1007, 0),"-")</f>
        <v>-</v>
      </c>
    </row>
    <row r="1008" spans="1:5" x14ac:dyDescent="0.2">
      <c r="A1008" s="28" t="s">
        <v>388</v>
      </c>
      <c r="B1008" s="28" t="s">
        <v>1633</v>
      </c>
      <c r="C1008" s="28" t="s">
        <v>959</v>
      </c>
      <c r="D1008" s="28" t="s">
        <v>959</v>
      </c>
      <c r="E1008" s="28" t="str">
        <f>IFERROR(IF(C1008&gt;0, D1008/C1008, 0),"-")</f>
        <v>-</v>
      </c>
    </row>
    <row r="1009" spans="1:5" x14ac:dyDescent="0.2">
      <c r="A1009" s="28" t="s">
        <v>389</v>
      </c>
      <c r="B1009" s="28" t="s">
        <v>1634</v>
      </c>
      <c r="C1009" s="28" t="s">
        <v>959</v>
      </c>
      <c r="D1009" s="28" t="s">
        <v>959</v>
      </c>
      <c r="E1009" s="28" t="str">
        <f>IFERROR(IF(C1009&gt;0, D1009/C1009, 0),"-")</f>
        <v>-</v>
      </c>
    </row>
    <row r="1010" spans="1:5" x14ac:dyDescent="0.2">
      <c r="A1010" s="27"/>
      <c r="B1010" s="27" t="s">
        <v>130</v>
      </c>
      <c r="C1010" s="27" t="s">
        <v>959</v>
      </c>
      <c r="D1010" s="27" t="s">
        <v>959</v>
      </c>
      <c r="E1010" s="27" t="str">
        <f>IFERROR(IF(C1010&gt;0, D1010/C1010, 0),"-")</f>
        <v>-</v>
      </c>
    </row>
    <row r="1011" spans="1:5" x14ac:dyDescent="0.2">
      <c r="A1011" s="28" t="s">
        <v>903</v>
      </c>
      <c r="B1011" s="28" t="s">
        <v>1635</v>
      </c>
      <c r="C1011" s="28" t="s">
        <v>959</v>
      </c>
      <c r="D1011" s="28" t="s">
        <v>959</v>
      </c>
      <c r="E1011" s="28" t="str">
        <f>IFERROR(IF(C1011&gt;0, D1011/C1011, 0),"-")</f>
        <v>-</v>
      </c>
    </row>
    <row r="1012" spans="1:5" x14ac:dyDescent="0.2">
      <c r="A1012" s="28" t="s">
        <v>904</v>
      </c>
      <c r="B1012" s="28" t="s">
        <v>1636</v>
      </c>
      <c r="C1012" s="28" t="s">
        <v>959</v>
      </c>
      <c r="D1012" s="28" t="s">
        <v>959</v>
      </c>
      <c r="E1012" s="28" t="str">
        <f>IFERROR(IF(C1012&gt;0, D1012/C1012, 0),"-")</f>
        <v>-</v>
      </c>
    </row>
    <row r="1013" spans="1:5" x14ac:dyDescent="0.2">
      <c r="A1013" s="28" t="s">
        <v>906</v>
      </c>
      <c r="B1013" s="28" t="s">
        <v>1637</v>
      </c>
      <c r="C1013" s="28" t="s">
        <v>959</v>
      </c>
      <c r="D1013" s="28" t="s">
        <v>959</v>
      </c>
      <c r="E1013" s="28" t="str">
        <f>IFERROR(IF(C1013&gt;0, D1013/C1013, 0),"-")</f>
        <v>-</v>
      </c>
    </row>
    <row r="1014" spans="1:5" x14ac:dyDescent="0.2">
      <c r="A1014" s="28" t="s">
        <v>899</v>
      </c>
      <c r="B1014" s="28" t="s">
        <v>1638</v>
      </c>
      <c r="C1014" s="28" t="s">
        <v>959</v>
      </c>
      <c r="D1014" s="28" t="s">
        <v>959</v>
      </c>
      <c r="E1014" s="28" t="str">
        <f>IFERROR(IF(C1014&gt;0, D1014/C1014, 0),"-")</f>
        <v>-</v>
      </c>
    </row>
    <row r="1015" spans="1:5" x14ac:dyDescent="0.2">
      <c r="A1015" s="28" t="s">
        <v>900</v>
      </c>
      <c r="B1015" s="28" t="s">
        <v>1639</v>
      </c>
      <c r="C1015" s="28" t="s">
        <v>959</v>
      </c>
      <c r="D1015" s="28" t="s">
        <v>959</v>
      </c>
      <c r="E1015" s="28" t="str">
        <f>IFERROR(IF(C1015&gt;0, D1015/C1015, 0),"-")</f>
        <v>-</v>
      </c>
    </row>
    <row r="1016" spans="1:5" x14ac:dyDescent="0.2">
      <c r="A1016" s="28" t="s">
        <v>902</v>
      </c>
      <c r="B1016" s="28" t="s">
        <v>1640</v>
      </c>
      <c r="C1016" s="28" t="s">
        <v>959</v>
      </c>
      <c r="D1016" s="28" t="s">
        <v>959</v>
      </c>
      <c r="E1016" s="28" t="str">
        <f>IFERROR(IF(C1016&gt;0, D1016/C1016, 0),"-")</f>
        <v>-</v>
      </c>
    </row>
    <row r="1017" spans="1:5" x14ac:dyDescent="0.2">
      <c r="A1017" s="28" t="s">
        <v>898</v>
      </c>
      <c r="B1017" s="28" t="s">
        <v>1641</v>
      </c>
      <c r="C1017" s="28" t="s">
        <v>959</v>
      </c>
      <c r="D1017" s="28" t="s">
        <v>959</v>
      </c>
      <c r="E1017" s="28" t="str">
        <f>IFERROR(IF(C1017&gt;0, D1017/C1017, 0),"-")</f>
        <v>-</v>
      </c>
    </row>
    <row r="1018" spans="1:5" x14ac:dyDescent="0.2">
      <c r="A1018" s="28" t="s">
        <v>905</v>
      </c>
      <c r="B1018" s="28" t="s">
        <v>1642</v>
      </c>
      <c r="C1018" s="28" t="s">
        <v>959</v>
      </c>
      <c r="D1018" s="28" t="s">
        <v>959</v>
      </c>
      <c r="E1018" s="28" t="str">
        <f>IFERROR(IF(C1018&gt;0, D1018/C1018, 0),"-")</f>
        <v>-</v>
      </c>
    </row>
    <row r="1019" spans="1:5" x14ac:dyDescent="0.2">
      <c r="A1019" s="28" t="s">
        <v>901</v>
      </c>
      <c r="B1019" s="28" t="s">
        <v>1643</v>
      </c>
      <c r="C1019" s="28" t="s">
        <v>959</v>
      </c>
      <c r="D1019" s="28" t="s">
        <v>959</v>
      </c>
      <c r="E1019" s="28" t="str">
        <f>IFERROR(IF(C1019&gt;0, D1019/C1019, 0),"-")</f>
        <v>-</v>
      </c>
    </row>
    <row r="1020" spans="1:5" x14ac:dyDescent="0.2">
      <c r="A1020" s="27"/>
      <c r="B1020" s="27" t="s">
        <v>73</v>
      </c>
      <c r="C1020" s="27" t="s">
        <v>959</v>
      </c>
      <c r="D1020" s="27" t="s">
        <v>959</v>
      </c>
      <c r="E1020" s="27" t="str">
        <f>IFERROR(IF(C1020&gt;0, D1020/C1020, 0),"-")</f>
        <v>-</v>
      </c>
    </row>
    <row r="1021" spans="1:5" x14ac:dyDescent="0.2">
      <c r="A1021" s="28" t="s">
        <v>496</v>
      </c>
      <c r="B1021" s="28" t="s">
        <v>1644</v>
      </c>
      <c r="C1021" s="28" t="s">
        <v>959</v>
      </c>
      <c r="D1021" s="28" t="s">
        <v>959</v>
      </c>
      <c r="E1021" s="28" t="str">
        <f>IFERROR(IF(C1021&gt;0, D1021/C1021, 0),"-")</f>
        <v>-</v>
      </c>
    </row>
    <row r="1022" spans="1:5" x14ac:dyDescent="0.2">
      <c r="A1022" s="28" t="s">
        <v>486</v>
      </c>
      <c r="B1022" s="28" t="s">
        <v>1645</v>
      </c>
      <c r="C1022" s="28" t="s">
        <v>959</v>
      </c>
      <c r="D1022" s="28" t="s">
        <v>959</v>
      </c>
      <c r="E1022" s="28" t="str">
        <f>IFERROR(IF(C1022&gt;0, D1022/C1022, 0),"-")</f>
        <v>-</v>
      </c>
    </row>
    <row r="1023" spans="1:5" x14ac:dyDescent="0.2">
      <c r="A1023" s="28" t="s">
        <v>489</v>
      </c>
      <c r="B1023" s="28" t="s">
        <v>1646</v>
      </c>
      <c r="C1023" s="28" t="s">
        <v>959</v>
      </c>
      <c r="D1023" s="28" t="s">
        <v>959</v>
      </c>
      <c r="E1023" s="28" t="str">
        <f>IFERROR(IF(C1023&gt;0, D1023/C1023, 0),"-")</f>
        <v>-</v>
      </c>
    </row>
    <row r="1024" spans="1:5" x14ac:dyDescent="0.2">
      <c r="A1024" s="28" t="s">
        <v>487</v>
      </c>
      <c r="B1024" s="28" t="s">
        <v>1647</v>
      </c>
      <c r="C1024" s="28" t="s">
        <v>959</v>
      </c>
      <c r="D1024" s="28" t="s">
        <v>959</v>
      </c>
      <c r="E1024" s="28" t="str">
        <f>IFERROR(IF(C1024&gt;0, D1024/C1024, 0),"-")</f>
        <v>-</v>
      </c>
    </row>
    <row r="1025" spans="1:5" x14ac:dyDescent="0.2">
      <c r="A1025" s="28" t="s">
        <v>488</v>
      </c>
      <c r="B1025" s="28" t="s">
        <v>1648</v>
      </c>
      <c r="C1025" s="28" t="s">
        <v>959</v>
      </c>
      <c r="D1025" s="28" t="s">
        <v>959</v>
      </c>
      <c r="E1025" s="28" t="str">
        <f>IFERROR(IF(C1025&gt;0, D1025/C1025, 0),"-")</f>
        <v>-</v>
      </c>
    </row>
    <row r="1026" spans="1:5" x14ac:dyDescent="0.2">
      <c r="A1026" s="28" t="s">
        <v>490</v>
      </c>
      <c r="B1026" s="28" t="s">
        <v>1649</v>
      </c>
      <c r="C1026" s="28" t="s">
        <v>959</v>
      </c>
      <c r="D1026" s="28" t="s">
        <v>959</v>
      </c>
      <c r="E1026" s="28" t="str">
        <f>IFERROR(IF(C1026&gt;0, D1026/C1026, 0),"-")</f>
        <v>-</v>
      </c>
    </row>
    <row r="1027" spans="1:5" x14ac:dyDescent="0.2">
      <c r="A1027" s="28" t="s">
        <v>485</v>
      </c>
      <c r="B1027" s="28" t="s">
        <v>1650</v>
      </c>
      <c r="C1027" s="28" t="s">
        <v>959</v>
      </c>
      <c r="D1027" s="28" t="s">
        <v>959</v>
      </c>
      <c r="E1027" s="28" t="str">
        <f>IFERROR(IF(C1027&gt;0, D1027/C1027, 0),"-")</f>
        <v>-</v>
      </c>
    </row>
    <row r="1028" spans="1:5" x14ac:dyDescent="0.2">
      <c r="A1028" s="27"/>
      <c r="B1028" s="27" t="s">
        <v>27</v>
      </c>
      <c r="C1028" s="27" t="s">
        <v>959</v>
      </c>
      <c r="D1028" s="27" t="s">
        <v>959</v>
      </c>
      <c r="E1028" s="27" t="str">
        <f>IFERROR(IF(C1028&gt;0, D1028/C1028, 0),"-")</f>
        <v>-</v>
      </c>
    </row>
    <row r="1029" spans="1:5" x14ac:dyDescent="0.2">
      <c r="A1029" s="28" t="s">
        <v>814</v>
      </c>
      <c r="B1029" s="28" t="s">
        <v>1651</v>
      </c>
      <c r="C1029" s="28" t="s">
        <v>959</v>
      </c>
      <c r="D1029" s="28" t="s">
        <v>959</v>
      </c>
      <c r="E1029" s="28" t="str">
        <f>IFERROR(IF(C1029&gt;0, D1029/C1029, 0),"-")</f>
        <v>-</v>
      </c>
    </row>
    <row r="1030" spans="1:5" x14ac:dyDescent="0.2">
      <c r="A1030" s="28" t="s">
        <v>815</v>
      </c>
      <c r="B1030" s="28" t="s">
        <v>1652</v>
      </c>
      <c r="C1030" s="28" t="s">
        <v>959</v>
      </c>
      <c r="D1030" s="28" t="s">
        <v>959</v>
      </c>
      <c r="E1030" s="28" t="str">
        <f>IFERROR(IF(C1030&gt;0, D1030/C1030, 0),"-")</f>
        <v>-</v>
      </c>
    </row>
    <row r="1031" spans="1:5" x14ac:dyDescent="0.2">
      <c r="A1031" s="27"/>
      <c r="B1031" s="27" t="s">
        <v>82</v>
      </c>
      <c r="C1031" s="27" t="s">
        <v>959</v>
      </c>
      <c r="D1031" s="27" t="s">
        <v>959</v>
      </c>
      <c r="E1031" s="27" t="str">
        <f>IFERROR(IF(C1031&gt;0, D1031/C1031, 0),"-")</f>
        <v>-</v>
      </c>
    </row>
    <row r="1032" spans="1:5" x14ac:dyDescent="0.2">
      <c r="A1032" s="28" t="s">
        <v>545</v>
      </c>
      <c r="B1032" s="28" t="s">
        <v>1653</v>
      </c>
      <c r="C1032" s="28" t="s">
        <v>959</v>
      </c>
      <c r="D1032" s="28" t="s">
        <v>959</v>
      </c>
      <c r="E1032" s="28" t="str">
        <f>IFERROR(IF(C1032&gt;0, D1032/C1032, 0),"-")</f>
        <v>-</v>
      </c>
    </row>
    <row r="1033" spans="1:5" x14ac:dyDescent="0.2">
      <c r="A1033" s="28" t="s">
        <v>547</v>
      </c>
      <c r="B1033" s="28" t="s">
        <v>1654</v>
      </c>
      <c r="C1033" s="28" t="s">
        <v>959</v>
      </c>
      <c r="D1033" s="28" t="s">
        <v>959</v>
      </c>
      <c r="E1033" s="28" t="str">
        <f>IFERROR(IF(C1033&gt;0, D1033/C1033, 0),"-")</f>
        <v>-</v>
      </c>
    </row>
    <row r="1034" spans="1:5" x14ac:dyDescent="0.2">
      <c r="A1034" s="28" t="s">
        <v>544</v>
      </c>
      <c r="B1034" s="28" t="s">
        <v>1655</v>
      </c>
      <c r="C1034" s="28" t="s">
        <v>959</v>
      </c>
      <c r="D1034" s="28" t="s">
        <v>959</v>
      </c>
      <c r="E1034" s="28" t="str">
        <f>IFERROR(IF(C1034&gt;0, D1034/C1034, 0),"-")</f>
        <v>-</v>
      </c>
    </row>
    <row r="1035" spans="1:5" x14ac:dyDescent="0.2">
      <c r="A1035" s="28" t="s">
        <v>548</v>
      </c>
      <c r="B1035" s="28" t="s">
        <v>1656</v>
      </c>
      <c r="C1035" s="28" t="s">
        <v>959</v>
      </c>
      <c r="D1035" s="28" t="s">
        <v>959</v>
      </c>
      <c r="E1035" s="28" t="str">
        <f>IFERROR(IF(C1035&gt;0, D1035/C1035, 0),"-")</f>
        <v>-</v>
      </c>
    </row>
    <row r="1036" spans="1:5" x14ac:dyDescent="0.2">
      <c r="A1036" s="28" t="s">
        <v>546</v>
      </c>
      <c r="B1036" s="28" t="s">
        <v>1657</v>
      </c>
      <c r="C1036" s="28" t="s">
        <v>959</v>
      </c>
      <c r="D1036" s="28" t="s">
        <v>959</v>
      </c>
      <c r="E1036" s="28" t="str">
        <f>IFERROR(IF(C1036&gt;0, D1036/C1036, 0),"-")</f>
        <v>-</v>
      </c>
    </row>
    <row r="1037" spans="1:5" x14ac:dyDescent="0.2">
      <c r="A1037" s="27"/>
      <c r="B1037" s="27" t="s">
        <v>4</v>
      </c>
      <c r="C1037" s="27" t="s">
        <v>959</v>
      </c>
      <c r="D1037" s="27" t="s">
        <v>959</v>
      </c>
      <c r="E1037" s="27" t="str">
        <f>IFERROR(IF(C1037&gt;0, D1037/C1037, 0),"-")</f>
        <v>-</v>
      </c>
    </row>
    <row r="1038" spans="1:5" x14ac:dyDescent="0.2">
      <c r="A1038" s="28" t="s">
        <v>434</v>
      </c>
      <c r="B1038" s="28" t="s">
        <v>1658</v>
      </c>
      <c r="C1038" s="28" t="s">
        <v>959</v>
      </c>
      <c r="D1038" s="28" t="s">
        <v>959</v>
      </c>
      <c r="E1038" s="28" t="str">
        <f>IFERROR(IF(C1038&gt;0, D1038/C1038, 0),"-")</f>
        <v>-</v>
      </c>
    </row>
    <row r="1039" spans="1:5" x14ac:dyDescent="0.2">
      <c r="A1039" s="28" t="s">
        <v>439</v>
      </c>
      <c r="B1039" s="28" t="s">
        <v>1410</v>
      </c>
      <c r="C1039" s="28" t="s">
        <v>959</v>
      </c>
      <c r="D1039" s="28" t="s">
        <v>959</v>
      </c>
      <c r="E1039" s="28" t="str">
        <f>IFERROR(IF(C1039&gt;0, D1039/C1039, 0),"-")</f>
        <v>-</v>
      </c>
    </row>
    <row r="1040" spans="1:5" x14ac:dyDescent="0.2">
      <c r="A1040" s="28" t="s">
        <v>437</v>
      </c>
      <c r="B1040" s="28" t="s">
        <v>1659</v>
      </c>
      <c r="C1040" s="28" t="s">
        <v>959</v>
      </c>
      <c r="D1040" s="28" t="s">
        <v>959</v>
      </c>
      <c r="E1040" s="28" t="str">
        <f>IFERROR(IF(C1040&gt;0, D1040/C1040, 0),"-")</f>
        <v>-</v>
      </c>
    </row>
    <row r="1041" spans="1:5" x14ac:dyDescent="0.2">
      <c r="A1041" s="28" t="s">
        <v>436</v>
      </c>
      <c r="B1041" s="28" t="s">
        <v>991</v>
      </c>
      <c r="C1041" s="28" t="s">
        <v>959</v>
      </c>
      <c r="D1041" s="28" t="s">
        <v>959</v>
      </c>
      <c r="E1041" s="28" t="str">
        <f>IFERROR(IF(C1041&gt;0, D1041/C1041, 0),"-")</f>
        <v>-</v>
      </c>
    </row>
    <row r="1042" spans="1:5" x14ac:dyDescent="0.2">
      <c r="A1042" s="28" t="s">
        <v>435</v>
      </c>
      <c r="B1042" s="28" t="s">
        <v>1660</v>
      </c>
      <c r="C1042" s="28" t="s">
        <v>959</v>
      </c>
      <c r="D1042" s="28" t="s">
        <v>959</v>
      </c>
      <c r="E1042" s="28" t="str">
        <f>IFERROR(IF(C1042&gt;0, D1042/C1042, 0),"-")</f>
        <v>-</v>
      </c>
    </row>
    <row r="1043" spans="1:5" x14ac:dyDescent="0.2">
      <c r="A1043" s="28" t="s">
        <v>438</v>
      </c>
      <c r="B1043" s="28" t="s">
        <v>1661</v>
      </c>
      <c r="C1043" s="28" t="s">
        <v>959</v>
      </c>
      <c r="D1043" s="28" t="s">
        <v>959</v>
      </c>
      <c r="E1043" s="28" t="str">
        <f>IFERROR(IF(C1043&gt;0, D1043/C1043, 0),"-")</f>
        <v>-</v>
      </c>
    </row>
    <row r="1044" spans="1:5" x14ac:dyDescent="0.2">
      <c r="A1044" s="28" t="s">
        <v>433</v>
      </c>
      <c r="B1044" s="28" t="s">
        <v>1662</v>
      </c>
      <c r="C1044" s="28" t="s">
        <v>959</v>
      </c>
      <c r="D1044" s="28" t="s">
        <v>959</v>
      </c>
      <c r="E1044" s="28" t="str">
        <f>IFERROR(IF(C1044&gt;0, D1044/C1044, 0),"-")</f>
        <v>-</v>
      </c>
    </row>
    <row r="1045" spans="1:5" x14ac:dyDescent="0.2">
      <c r="A1045" s="27"/>
      <c r="B1045" s="27" t="s">
        <v>32</v>
      </c>
      <c r="C1045" s="27" t="s">
        <v>959</v>
      </c>
      <c r="D1045" s="27" t="s">
        <v>959</v>
      </c>
      <c r="E1045" s="27" t="str">
        <f>IFERROR(IF(C1045&gt;0, D1045/C1045, 0),"-")</f>
        <v>-</v>
      </c>
    </row>
    <row r="1046" spans="1:5" x14ac:dyDescent="0.2">
      <c r="A1046" s="28" t="s">
        <v>148</v>
      </c>
      <c r="B1046" s="28" t="s">
        <v>1663</v>
      </c>
      <c r="C1046" s="28" t="s">
        <v>959</v>
      </c>
      <c r="D1046" s="28" t="s">
        <v>959</v>
      </c>
      <c r="E1046" s="28" t="str">
        <f>IFERROR(IF(C1046&gt;0, D1046/C1046, 0),"-")</f>
        <v>-</v>
      </c>
    </row>
    <row r="1047" spans="1:5" x14ac:dyDescent="0.2">
      <c r="A1047" s="28" t="s">
        <v>145</v>
      </c>
      <c r="B1047" s="28" t="s">
        <v>1664</v>
      </c>
      <c r="C1047" s="28" t="s">
        <v>959</v>
      </c>
      <c r="D1047" s="28" t="s">
        <v>959</v>
      </c>
      <c r="E1047" s="28" t="str">
        <f>IFERROR(IF(C1047&gt;0, D1047/C1047, 0),"-")</f>
        <v>-</v>
      </c>
    </row>
    <row r="1048" spans="1:5" x14ac:dyDescent="0.2">
      <c r="A1048" s="28" t="s">
        <v>146</v>
      </c>
      <c r="B1048" s="28" t="s">
        <v>1665</v>
      </c>
      <c r="C1048" s="28" t="s">
        <v>959</v>
      </c>
      <c r="D1048" s="28" t="s">
        <v>959</v>
      </c>
      <c r="E1048" s="28" t="str">
        <f>IFERROR(IF(C1048&gt;0, D1048/C1048, 0),"-")</f>
        <v>-</v>
      </c>
    </row>
    <row r="1049" spans="1:5" x14ac:dyDescent="0.2">
      <c r="A1049" s="28" t="s">
        <v>144</v>
      </c>
      <c r="B1049" s="28" t="s">
        <v>1666</v>
      </c>
      <c r="C1049" s="28" t="s">
        <v>959</v>
      </c>
      <c r="D1049" s="28" t="s">
        <v>959</v>
      </c>
      <c r="E1049" s="28" t="str">
        <f>IFERROR(IF(C1049&gt;0, D1049/C1049, 0),"-")</f>
        <v>-</v>
      </c>
    </row>
    <row r="1050" spans="1:5" x14ac:dyDescent="0.2">
      <c r="A1050" s="28" t="s">
        <v>150</v>
      </c>
      <c r="B1050" s="28" t="s">
        <v>986</v>
      </c>
      <c r="C1050" s="28" t="s">
        <v>959</v>
      </c>
      <c r="D1050" s="28" t="s">
        <v>959</v>
      </c>
      <c r="E1050" s="28" t="str">
        <f>IFERROR(IF(C1050&gt;0, D1050/C1050, 0),"-")</f>
        <v>-</v>
      </c>
    </row>
    <row r="1051" spans="1:5" x14ac:dyDescent="0.2">
      <c r="A1051" s="28" t="s">
        <v>143</v>
      </c>
      <c r="B1051" s="28" t="s">
        <v>1412</v>
      </c>
      <c r="C1051" s="28" t="s">
        <v>959</v>
      </c>
      <c r="D1051" s="28" t="s">
        <v>959</v>
      </c>
      <c r="E1051" s="28" t="str">
        <f>IFERROR(IF(C1051&gt;0, D1051/C1051, 0),"-")</f>
        <v>-</v>
      </c>
    </row>
    <row r="1052" spans="1:5" x14ac:dyDescent="0.2">
      <c r="A1052" s="28" t="s">
        <v>149</v>
      </c>
      <c r="B1052" s="28" t="s">
        <v>1667</v>
      </c>
      <c r="C1052" s="28" t="s">
        <v>959</v>
      </c>
      <c r="D1052" s="28" t="s">
        <v>959</v>
      </c>
      <c r="E1052" s="28" t="str">
        <f>IFERROR(IF(C1052&gt;0, D1052/C1052, 0),"-")</f>
        <v>-</v>
      </c>
    </row>
    <row r="1053" spans="1:5" x14ac:dyDescent="0.2">
      <c r="A1053" s="28" t="s">
        <v>147</v>
      </c>
      <c r="B1053" s="28" t="s">
        <v>1668</v>
      </c>
      <c r="C1053" s="28" t="s">
        <v>959</v>
      </c>
      <c r="D1053" s="28" t="s">
        <v>959</v>
      </c>
      <c r="E1053" s="28" t="str">
        <f>IFERROR(IF(C1053&gt;0, D1053/C1053, 0),"-")</f>
        <v>-</v>
      </c>
    </row>
    <row r="1054" spans="1:5" x14ac:dyDescent="0.2">
      <c r="A1054" s="27"/>
      <c r="B1054" s="27" t="s">
        <v>69</v>
      </c>
      <c r="C1054" s="27" t="s">
        <v>959</v>
      </c>
      <c r="D1054" s="27" t="s">
        <v>959</v>
      </c>
      <c r="E1054" s="27" t="str">
        <f>IFERROR(IF(C1054&gt;0, D1054/C1054, 0),"-")</f>
        <v>-</v>
      </c>
    </row>
    <row r="1055" spans="1:5" x14ac:dyDescent="0.2">
      <c r="A1055" s="28" t="s">
        <v>456</v>
      </c>
      <c r="B1055" s="28" t="s">
        <v>1669</v>
      </c>
      <c r="C1055" s="28" t="s">
        <v>959</v>
      </c>
      <c r="D1055" s="28" t="s">
        <v>959</v>
      </c>
      <c r="E1055" s="28" t="str">
        <f>IFERROR(IF(C1055&gt;0, D1055/C1055, 0),"-")</f>
        <v>-</v>
      </c>
    </row>
    <row r="1056" spans="1:5" x14ac:dyDescent="0.2">
      <c r="A1056" s="28" t="s">
        <v>458</v>
      </c>
      <c r="B1056" s="28" t="s">
        <v>1670</v>
      </c>
      <c r="C1056" s="28" t="s">
        <v>959</v>
      </c>
      <c r="D1056" s="28" t="s">
        <v>959</v>
      </c>
      <c r="E1056" s="28" t="str">
        <f>IFERROR(IF(C1056&gt;0, D1056/C1056, 0),"-")</f>
        <v>-</v>
      </c>
    </row>
    <row r="1057" spans="1:5" x14ac:dyDescent="0.2">
      <c r="A1057" s="28" t="s">
        <v>461</v>
      </c>
      <c r="B1057" s="28" t="s">
        <v>1671</v>
      </c>
      <c r="C1057" s="28" t="s">
        <v>959</v>
      </c>
      <c r="D1057" s="28" t="s">
        <v>959</v>
      </c>
      <c r="E1057" s="28" t="str">
        <f>IFERROR(IF(C1057&gt;0, D1057/C1057, 0),"-")</f>
        <v>-</v>
      </c>
    </row>
    <row r="1058" spans="1:5" x14ac:dyDescent="0.2">
      <c r="A1058" s="28" t="s">
        <v>457</v>
      </c>
      <c r="B1058" s="28" t="s">
        <v>1672</v>
      </c>
      <c r="C1058" s="28" t="s">
        <v>959</v>
      </c>
      <c r="D1058" s="28" t="s">
        <v>959</v>
      </c>
      <c r="E1058" s="28" t="str">
        <f>IFERROR(IF(C1058&gt;0, D1058/C1058, 0),"-")</f>
        <v>-</v>
      </c>
    </row>
    <row r="1059" spans="1:5" x14ac:dyDescent="0.2">
      <c r="A1059" s="28" t="s">
        <v>459</v>
      </c>
      <c r="B1059" s="28" t="s">
        <v>1673</v>
      </c>
      <c r="C1059" s="28" t="s">
        <v>959</v>
      </c>
      <c r="D1059" s="28" t="s">
        <v>959</v>
      </c>
      <c r="E1059" s="28" t="str">
        <f>IFERROR(IF(C1059&gt;0, D1059/C1059, 0),"-")</f>
        <v>-</v>
      </c>
    </row>
    <row r="1060" spans="1:5" x14ac:dyDescent="0.2">
      <c r="A1060" s="28" t="s">
        <v>460</v>
      </c>
      <c r="B1060" s="28" t="s">
        <v>1674</v>
      </c>
      <c r="C1060" s="28" t="s">
        <v>959</v>
      </c>
      <c r="D1060" s="28" t="s">
        <v>959</v>
      </c>
      <c r="E1060" s="28" t="str">
        <f>IFERROR(IF(C1060&gt;0, D1060/C1060, 0),"-")</f>
        <v>-</v>
      </c>
    </row>
    <row r="1061" spans="1:5" x14ac:dyDescent="0.2">
      <c r="A1061" s="27"/>
      <c r="B1061" s="27" t="s">
        <v>63</v>
      </c>
      <c r="C1061" s="27" t="s">
        <v>959</v>
      </c>
      <c r="D1061" s="27" t="s">
        <v>959</v>
      </c>
      <c r="E1061" s="27" t="str">
        <f>IFERROR(IF(C1061&gt;0, D1061/C1061, 0),"-")</f>
        <v>-</v>
      </c>
    </row>
    <row r="1062" spans="1:5" x14ac:dyDescent="0.2">
      <c r="A1062" s="28" t="s">
        <v>399</v>
      </c>
      <c r="B1062" s="28" t="s">
        <v>1675</v>
      </c>
      <c r="C1062" s="28" t="s">
        <v>959</v>
      </c>
      <c r="D1062" s="28" t="s">
        <v>959</v>
      </c>
      <c r="E1062" s="28" t="str">
        <f>IFERROR(IF(C1062&gt;0, D1062/C1062, 0),"-")</f>
        <v>-</v>
      </c>
    </row>
    <row r="1063" spans="1:5" x14ac:dyDescent="0.2">
      <c r="A1063" s="28" t="s">
        <v>407</v>
      </c>
      <c r="B1063" s="28" t="s">
        <v>989</v>
      </c>
      <c r="C1063" s="28" t="s">
        <v>959</v>
      </c>
      <c r="D1063" s="28" t="s">
        <v>959</v>
      </c>
      <c r="E1063" s="28" t="str">
        <f>IFERROR(IF(C1063&gt;0, D1063/C1063, 0),"-")</f>
        <v>-</v>
      </c>
    </row>
    <row r="1064" spans="1:5" x14ac:dyDescent="0.2">
      <c r="A1064" s="28" t="s">
        <v>402</v>
      </c>
      <c r="B1064" s="28" t="s">
        <v>1676</v>
      </c>
      <c r="C1064" s="28" t="s">
        <v>959</v>
      </c>
      <c r="D1064" s="28" t="s">
        <v>959</v>
      </c>
      <c r="E1064" s="28" t="str">
        <f>IFERROR(IF(C1064&gt;0, D1064/C1064, 0),"-")</f>
        <v>-</v>
      </c>
    </row>
    <row r="1065" spans="1:5" x14ac:dyDescent="0.2">
      <c r="A1065" s="28" t="s">
        <v>406</v>
      </c>
      <c r="B1065" s="28" t="s">
        <v>1677</v>
      </c>
      <c r="C1065" s="28" t="s">
        <v>959</v>
      </c>
      <c r="D1065" s="28" t="s">
        <v>959</v>
      </c>
      <c r="E1065" s="28" t="str">
        <f>IFERROR(IF(C1065&gt;0, D1065/C1065, 0),"-")</f>
        <v>-</v>
      </c>
    </row>
    <row r="1066" spans="1:5" x14ac:dyDescent="0.2">
      <c r="A1066" s="28" t="s">
        <v>403</v>
      </c>
      <c r="B1066" s="28" t="s">
        <v>1678</v>
      </c>
      <c r="C1066" s="28" t="s">
        <v>959</v>
      </c>
      <c r="D1066" s="28" t="s">
        <v>959</v>
      </c>
      <c r="E1066" s="28" t="str">
        <f>IFERROR(IF(C1066&gt;0, D1066/C1066, 0),"-")</f>
        <v>-</v>
      </c>
    </row>
    <row r="1067" spans="1:5" x14ac:dyDescent="0.2">
      <c r="A1067" s="28" t="s">
        <v>408</v>
      </c>
      <c r="B1067" s="28" t="s">
        <v>1679</v>
      </c>
      <c r="C1067" s="28" t="s">
        <v>959</v>
      </c>
      <c r="D1067" s="28" t="s">
        <v>959</v>
      </c>
      <c r="E1067" s="28" t="str">
        <f>IFERROR(IF(C1067&gt;0, D1067/C1067, 0),"-")</f>
        <v>-</v>
      </c>
    </row>
    <row r="1068" spans="1:5" x14ac:dyDescent="0.2">
      <c r="A1068" s="28" t="s">
        <v>404</v>
      </c>
      <c r="B1068" s="28" t="s">
        <v>1680</v>
      </c>
      <c r="C1068" s="28" t="s">
        <v>959</v>
      </c>
      <c r="D1068" s="28" t="s">
        <v>959</v>
      </c>
      <c r="E1068" s="28" t="str">
        <f>IFERROR(IF(C1068&gt;0, D1068/C1068, 0),"-")</f>
        <v>-</v>
      </c>
    </row>
    <row r="1069" spans="1:5" x14ac:dyDescent="0.2">
      <c r="A1069" s="28" t="s">
        <v>400</v>
      </c>
      <c r="B1069" s="28" t="s">
        <v>1681</v>
      </c>
      <c r="C1069" s="28" t="s">
        <v>959</v>
      </c>
      <c r="D1069" s="28" t="s">
        <v>959</v>
      </c>
      <c r="E1069" s="28" t="str">
        <f>IFERROR(IF(C1069&gt;0, D1069/C1069, 0),"-")</f>
        <v>-</v>
      </c>
    </row>
    <row r="1070" spans="1:5" x14ac:dyDescent="0.2">
      <c r="A1070" s="28" t="s">
        <v>405</v>
      </c>
      <c r="B1070" s="28" t="s">
        <v>1682</v>
      </c>
      <c r="C1070" s="28" t="s">
        <v>959</v>
      </c>
      <c r="D1070" s="28" t="s">
        <v>959</v>
      </c>
      <c r="E1070" s="28" t="str">
        <f>IFERROR(IF(C1070&gt;0, D1070/C1070, 0),"-")</f>
        <v>-</v>
      </c>
    </row>
    <row r="1071" spans="1:5" x14ac:dyDescent="0.2">
      <c r="A1071" s="28" t="s">
        <v>401</v>
      </c>
      <c r="B1071" s="28" t="s">
        <v>1683</v>
      </c>
      <c r="C1071" s="28" t="s">
        <v>959</v>
      </c>
      <c r="D1071" s="28" t="s">
        <v>959</v>
      </c>
      <c r="E1071" s="28" t="str">
        <f>IFERROR(IF(C1071&gt;0, D1071/C1071, 0),"-")</f>
        <v>-</v>
      </c>
    </row>
    <row r="1072" spans="1:5" x14ac:dyDescent="0.2">
      <c r="A1072" s="27"/>
      <c r="B1072" s="27" t="s">
        <v>47</v>
      </c>
      <c r="C1072" s="27" t="s">
        <v>959</v>
      </c>
      <c r="D1072" s="27" t="s">
        <v>959</v>
      </c>
      <c r="E1072" s="27" t="str">
        <f>IFERROR(IF(C1072&gt;0, D1072/C1072, 0),"-")</f>
        <v>-</v>
      </c>
    </row>
    <row r="1073" spans="1:5" x14ac:dyDescent="0.2">
      <c r="A1073" s="28" t="s">
        <v>274</v>
      </c>
      <c r="B1073" s="28" t="s">
        <v>1684</v>
      </c>
      <c r="C1073" s="28" t="s">
        <v>959</v>
      </c>
      <c r="D1073" s="28" t="s">
        <v>959</v>
      </c>
      <c r="E1073" s="28" t="str">
        <f>IFERROR(IF(C1073&gt;0, D1073/C1073, 0),"-")</f>
        <v>-</v>
      </c>
    </row>
    <row r="1074" spans="1:5" x14ac:dyDescent="0.2">
      <c r="A1074" s="28" t="s">
        <v>260</v>
      </c>
      <c r="B1074" s="28" t="s">
        <v>1685</v>
      </c>
      <c r="C1074" s="28" t="s">
        <v>959</v>
      </c>
      <c r="D1074" s="28" t="s">
        <v>959</v>
      </c>
      <c r="E1074" s="28" t="str">
        <f>IFERROR(IF(C1074&gt;0, D1074/C1074, 0),"-")</f>
        <v>-</v>
      </c>
    </row>
    <row r="1075" spans="1:5" x14ac:dyDescent="0.2">
      <c r="A1075" s="28" t="s">
        <v>259</v>
      </c>
      <c r="B1075" s="28" t="s">
        <v>1686</v>
      </c>
      <c r="C1075" s="28" t="s">
        <v>959</v>
      </c>
      <c r="D1075" s="28" t="s">
        <v>959</v>
      </c>
      <c r="E1075" s="28" t="str">
        <f>IFERROR(IF(C1075&gt;0, D1075/C1075, 0),"-")</f>
        <v>-</v>
      </c>
    </row>
    <row r="1076" spans="1:5" x14ac:dyDescent="0.2">
      <c r="A1076" s="28" t="s">
        <v>257</v>
      </c>
      <c r="B1076" s="28" t="s">
        <v>1687</v>
      </c>
      <c r="C1076" s="28" t="s">
        <v>959</v>
      </c>
      <c r="D1076" s="28" t="s">
        <v>959</v>
      </c>
      <c r="E1076" s="28" t="str">
        <f>IFERROR(IF(C1076&gt;0, D1076/C1076, 0),"-")</f>
        <v>-</v>
      </c>
    </row>
    <row r="1077" spans="1:5" x14ac:dyDescent="0.2">
      <c r="A1077" s="28" t="s">
        <v>256</v>
      </c>
      <c r="B1077" s="28" t="s">
        <v>1688</v>
      </c>
      <c r="C1077" s="28" t="s">
        <v>959</v>
      </c>
      <c r="D1077" s="28" t="s">
        <v>959</v>
      </c>
      <c r="E1077" s="28" t="str">
        <f>IFERROR(IF(C1077&gt;0, D1077/C1077, 0),"-")</f>
        <v>-</v>
      </c>
    </row>
    <row r="1078" spans="1:5" x14ac:dyDescent="0.2">
      <c r="A1078" s="28" t="s">
        <v>258</v>
      </c>
      <c r="B1078" s="28" t="s">
        <v>1689</v>
      </c>
      <c r="C1078" s="28" t="s">
        <v>959</v>
      </c>
      <c r="D1078" s="28" t="s">
        <v>959</v>
      </c>
      <c r="E1078" s="28" t="str">
        <f>IFERROR(IF(C1078&gt;0, D1078/C1078, 0),"-")</f>
        <v>-</v>
      </c>
    </row>
    <row r="1079" spans="1:5" x14ac:dyDescent="0.2">
      <c r="A1079" s="27"/>
      <c r="B1079" s="27" t="s">
        <v>71</v>
      </c>
      <c r="C1079" s="27" t="s">
        <v>959</v>
      </c>
      <c r="D1079" s="27" t="s">
        <v>959</v>
      </c>
      <c r="E1079" s="27" t="str">
        <f>IFERROR(IF(C1079&gt;0, D1079/C1079, 0),"-")</f>
        <v>-</v>
      </c>
    </row>
    <row r="1080" spans="1:5" x14ac:dyDescent="0.2">
      <c r="A1080" s="28" t="s">
        <v>479</v>
      </c>
      <c r="B1080" s="28" t="s">
        <v>1690</v>
      </c>
      <c r="C1080" s="28" t="s">
        <v>959</v>
      </c>
      <c r="D1080" s="28" t="s">
        <v>959</v>
      </c>
      <c r="E1080" s="28" t="str">
        <f>IFERROR(IF(C1080&gt;0, D1080/C1080, 0),"-")</f>
        <v>-</v>
      </c>
    </row>
    <row r="1081" spans="1:5" x14ac:dyDescent="0.2">
      <c r="A1081" s="28" t="s">
        <v>476</v>
      </c>
      <c r="B1081" s="28" t="s">
        <v>1691</v>
      </c>
      <c r="C1081" s="28" t="s">
        <v>959</v>
      </c>
      <c r="D1081" s="28" t="s">
        <v>959</v>
      </c>
      <c r="E1081" s="28" t="str">
        <f>IFERROR(IF(C1081&gt;0, D1081/C1081, 0),"-")</f>
        <v>-</v>
      </c>
    </row>
    <row r="1082" spans="1:5" x14ac:dyDescent="0.2">
      <c r="A1082" s="28" t="s">
        <v>477</v>
      </c>
      <c r="B1082" s="28" t="s">
        <v>1692</v>
      </c>
      <c r="C1082" s="28" t="s">
        <v>959</v>
      </c>
      <c r="D1082" s="28" t="s">
        <v>959</v>
      </c>
      <c r="E1082" s="28" t="str">
        <f>IFERROR(IF(C1082&gt;0, D1082/C1082, 0),"-")</f>
        <v>-</v>
      </c>
    </row>
    <row r="1083" spans="1:5" x14ac:dyDescent="0.2">
      <c r="A1083" s="28" t="s">
        <v>474</v>
      </c>
      <c r="B1083" s="28" t="s">
        <v>1693</v>
      </c>
      <c r="C1083" s="28" t="s">
        <v>959</v>
      </c>
      <c r="D1083" s="28" t="s">
        <v>959</v>
      </c>
      <c r="E1083" s="28" t="str">
        <f>IFERROR(IF(C1083&gt;0, D1083/C1083, 0),"-")</f>
        <v>-</v>
      </c>
    </row>
    <row r="1084" spans="1:5" x14ac:dyDescent="0.2">
      <c r="A1084" s="28" t="s">
        <v>475</v>
      </c>
      <c r="B1084" s="28" t="s">
        <v>1694</v>
      </c>
      <c r="C1084" s="28" t="s">
        <v>959</v>
      </c>
      <c r="D1084" s="28" t="s">
        <v>959</v>
      </c>
      <c r="E1084" s="28" t="str">
        <f>IFERROR(IF(C1084&gt;0, D1084/C1084, 0),"-")</f>
        <v>-</v>
      </c>
    </row>
    <row r="1085" spans="1:5" x14ac:dyDescent="0.2">
      <c r="A1085" s="28" t="s">
        <v>495</v>
      </c>
      <c r="B1085" s="28" t="s">
        <v>1695</v>
      </c>
      <c r="C1085" s="28" t="s">
        <v>959</v>
      </c>
      <c r="D1085" s="28" t="s">
        <v>959</v>
      </c>
      <c r="E1085" s="28" t="str">
        <f>IFERROR(IF(C1085&gt;0, D1085/C1085, 0),"-")</f>
        <v>-</v>
      </c>
    </row>
    <row r="1086" spans="1:5" x14ac:dyDescent="0.2">
      <c r="A1086" s="28" t="s">
        <v>478</v>
      </c>
      <c r="B1086" s="28" t="s">
        <v>1696</v>
      </c>
      <c r="C1086" s="28" t="s">
        <v>959</v>
      </c>
      <c r="D1086" s="28" t="s">
        <v>959</v>
      </c>
      <c r="E1086" s="28" t="str">
        <f>IFERROR(IF(C1086&gt;0, D1086/C1086, 0),"-")</f>
        <v>-</v>
      </c>
    </row>
    <row r="1087" spans="1:5" x14ac:dyDescent="0.2">
      <c r="A1087" s="27"/>
      <c r="B1087" s="27" t="s">
        <v>64</v>
      </c>
      <c r="C1087" s="27" t="s">
        <v>959</v>
      </c>
      <c r="D1087" s="27" t="s">
        <v>959</v>
      </c>
      <c r="E1087" s="27" t="str">
        <f>IFERROR(IF(C1087&gt;0, D1087/C1087, 0),"-")</f>
        <v>-</v>
      </c>
    </row>
    <row r="1088" spans="1:5" x14ac:dyDescent="0.2">
      <c r="A1088" s="28" t="s">
        <v>412</v>
      </c>
      <c r="B1088" s="28" t="s">
        <v>1697</v>
      </c>
      <c r="C1088" s="28" t="s">
        <v>959</v>
      </c>
      <c r="D1088" s="28" t="s">
        <v>959</v>
      </c>
      <c r="E1088" s="28" t="str">
        <f>IFERROR(IF(C1088&gt;0, D1088/C1088, 0),"-")</f>
        <v>-</v>
      </c>
    </row>
    <row r="1089" spans="1:5" x14ac:dyDescent="0.2">
      <c r="A1089" s="28" t="s">
        <v>409</v>
      </c>
      <c r="B1089" s="28" t="s">
        <v>1698</v>
      </c>
      <c r="C1089" s="28" t="s">
        <v>959</v>
      </c>
      <c r="D1089" s="28" t="s">
        <v>959</v>
      </c>
      <c r="E1089" s="28" t="str">
        <f>IFERROR(IF(C1089&gt;0, D1089/C1089, 0),"-")</f>
        <v>-</v>
      </c>
    </row>
    <row r="1090" spans="1:5" x14ac:dyDescent="0.2">
      <c r="A1090" s="28" t="s">
        <v>413</v>
      </c>
      <c r="B1090" s="28" t="s">
        <v>1699</v>
      </c>
      <c r="C1090" s="28" t="s">
        <v>959</v>
      </c>
      <c r="D1090" s="28" t="s">
        <v>959</v>
      </c>
      <c r="E1090" s="28" t="str">
        <f>IFERROR(IF(C1090&gt;0, D1090/C1090, 0),"-")</f>
        <v>-</v>
      </c>
    </row>
    <row r="1091" spans="1:5" x14ac:dyDescent="0.2">
      <c r="A1091" s="28" t="s">
        <v>411</v>
      </c>
      <c r="B1091" s="28" t="s">
        <v>1700</v>
      </c>
      <c r="C1091" s="28" t="s">
        <v>959</v>
      </c>
      <c r="D1091" s="28" t="s">
        <v>959</v>
      </c>
      <c r="E1091" s="28" t="str">
        <f>IFERROR(IF(C1091&gt;0, D1091/C1091, 0),"-")</f>
        <v>-</v>
      </c>
    </row>
    <row r="1092" spans="1:5" x14ac:dyDescent="0.2">
      <c r="A1092" s="28" t="s">
        <v>410</v>
      </c>
      <c r="B1092" s="28" t="s">
        <v>1701</v>
      </c>
      <c r="C1092" s="28" t="s">
        <v>959</v>
      </c>
      <c r="D1092" s="28" t="s">
        <v>959</v>
      </c>
      <c r="E1092" s="28" t="str">
        <f>IFERROR(IF(C1092&gt;0, D1092/C1092, 0),"-")</f>
        <v>-</v>
      </c>
    </row>
    <row r="1093" spans="1:5" x14ac:dyDescent="0.2">
      <c r="A1093" s="28" t="s">
        <v>414</v>
      </c>
      <c r="B1093" s="28" t="s">
        <v>1702</v>
      </c>
      <c r="C1093" s="28" t="s">
        <v>959</v>
      </c>
      <c r="D1093" s="28" t="s">
        <v>959</v>
      </c>
      <c r="E1093" s="28" t="str">
        <f>IFERROR(IF(C1093&gt;0, D1093/C1093, 0),"-")</f>
        <v>-</v>
      </c>
    </row>
    <row r="1094" spans="1:5" x14ac:dyDescent="0.2">
      <c r="A1094" s="27"/>
      <c r="B1094" s="27" t="s">
        <v>81</v>
      </c>
      <c r="C1094" s="27" t="s">
        <v>959</v>
      </c>
      <c r="D1094" s="27" t="s">
        <v>959</v>
      </c>
      <c r="E1094" s="27" t="str">
        <f>IFERROR(IF(C1094&gt;0, D1094/C1094, 0),"-")</f>
        <v>-</v>
      </c>
    </row>
    <row r="1095" spans="1:5" x14ac:dyDescent="0.2">
      <c r="A1095" s="28" t="s">
        <v>539</v>
      </c>
      <c r="B1095" s="28" t="s">
        <v>1703</v>
      </c>
      <c r="C1095" s="28" t="s">
        <v>959</v>
      </c>
      <c r="D1095" s="28" t="s">
        <v>959</v>
      </c>
      <c r="E1095" s="28" t="str">
        <f>IFERROR(IF(C1095&gt;0, D1095/C1095, 0),"-")</f>
        <v>-</v>
      </c>
    </row>
    <row r="1096" spans="1:5" x14ac:dyDescent="0.2">
      <c r="A1096" s="28" t="s">
        <v>541</v>
      </c>
      <c r="B1096" s="28" t="s">
        <v>1704</v>
      </c>
      <c r="C1096" s="28" t="s">
        <v>959</v>
      </c>
      <c r="D1096" s="28" t="s">
        <v>959</v>
      </c>
      <c r="E1096" s="28" t="str">
        <f>IFERROR(IF(C1096&gt;0, D1096/C1096, 0),"-")</f>
        <v>-</v>
      </c>
    </row>
    <row r="1097" spans="1:5" x14ac:dyDescent="0.2">
      <c r="A1097" s="28" t="s">
        <v>542</v>
      </c>
      <c r="B1097" s="28" t="s">
        <v>1705</v>
      </c>
      <c r="C1097" s="28" t="s">
        <v>959</v>
      </c>
      <c r="D1097" s="28" t="s">
        <v>959</v>
      </c>
      <c r="E1097" s="28" t="str">
        <f>IFERROR(IF(C1097&gt;0, D1097/C1097, 0),"-")</f>
        <v>-</v>
      </c>
    </row>
    <row r="1098" spans="1:5" x14ac:dyDescent="0.2">
      <c r="A1098" s="28" t="s">
        <v>540</v>
      </c>
      <c r="B1098" s="28" t="s">
        <v>1706</v>
      </c>
      <c r="C1098" s="28" t="s">
        <v>959</v>
      </c>
      <c r="D1098" s="28" t="s">
        <v>959</v>
      </c>
      <c r="E1098" s="28" t="str">
        <f>IFERROR(IF(C1098&gt;0, D1098/C1098, 0),"-")</f>
        <v>-</v>
      </c>
    </row>
    <row r="1099" spans="1:5" x14ac:dyDescent="0.2">
      <c r="A1099" s="28" t="s">
        <v>543</v>
      </c>
      <c r="B1099" s="28" t="s">
        <v>1707</v>
      </c>
      <c r="C1099" s="28" t="s">
        <v>959</v>
      </c>
      <c r="D1099" s="28" t="s">
        <v>959</v>
      </c>
      <c r="E1099" s="28" t="str">
        <f>IFERROR(IF(C1099&gt;0, D1099/C1099, 0),"-")</f>
        <v>-</v>
      </c>
    </row>
    <row r="1100" spans="1:5" x14ac:dyDescent="0.2">
      <c r="A1100" s="27"/>
      <c r="B1100" s="27" t="s">
        <v>72</v>
      </c>
      <c r="C1100" s="27" t="s">
        <v>959</v>
      </c>
      <c r="D1100" s="27" t="s">
        <v>959</v>
      </c>
      <c r="E1100" s="27" t="str">
        <f>IFERROR(IF(C1100&gt;0, D1100/C1100, 0),"-")</f>
        <v>-</v>
      </c>
    </row>
    <row r="1101" spans="1:5" x14ac:dyDescent="0.2">
      <c r="A1101" s="28" t="s">
        <v>484</v>
      </c>
      <c r="B1101" s="28" t="s">
        <v>1708</v>
      </c>
      <c r="C1101" s="28" t="s">
        <v>959</v>
      </c>
      <c r="D1101" s="28" t="s">
        <v>959</v>
      </c>
      <c r="E1101" s="28" t="str">
        <f>IFERROR(IF(C1101&gt;0, D1101/C1101, 0),"-")</f>
        <v>-</v>
      </c>
    </row>
    <row r="1102" spans="1:5" x14ac:dyDescent="0.2">
      <c r="A1102" s="28" t="s">
        <v>483</v>
      </c>
      <c r="B1102" s="28" t="s">
        <v>1709</v>
      </c>
      <c r="C1102" s="28" t="s">
        <v>959</v>
      </c>
      <c r="D1102" s="28" t="s">
        <v>959</v>
      </c>
      <c r="E1102" s="28" t="str">
        <f>IFERROR(IF(C1102&gt;0, D1102/C1102, 0),"-")</f>
        <v>-</v>
      </c>
    </row>
    <row r="1103" spans="1:5" x14ac:dyDescent="0.2">
      <c r="A1103" s="28" t="s">
        <v>480</v>
      </c>
      <c r="B1103" s="28" t="s">
        <v>1710</v>
      </c>
      <c r="C1103" s="28" t="s">
        <v>959</v>
      </c>
      <c r="D1103" s="28" t="s">
        <v>959</v>
      </c>
      <c r="E1103" s="28" t="str">
        <f>IFERROR(IF(C1103&gt;0, D1103/C1103, 0),"-")</f>
        <v>-</v>
      </c>
    </row>
    <row r="1104" spans="1:5" x14ac:dyDescent="0.2">
      <c r="A1104" s="28" t="s">
        <v>481</v>
      </c>
      <c r="B1104" s="28" t="s">
        <v>1711</v>
      </c>
      <c r="C1104" s="28" t="s">
        <v>959</v>
      </c>
      <c r="D1104" s="28" t="s">
        <v>959</v>
      </c>
      <c r="E1104" s="28" t="str">
        <f>IFERROR(IF(C1104&gt;0, D1104/C1104, 0),"-")</f>
        <v>-</v>
      </c>
    </row>
    <row r="1105" spans="1:5" x14ac:dyDescent="0.2">
      <c r="A1105" s="28" t="s">
        <v>482</v>
      </c>
      <c r="B1105" s="28" t="s">
        <v>1712</v>
      </c>
      <c r="C1105" s="28" t="s">
        <v>959</v>
      </c>
      <c r="D1105" s="28" t="s">
        <v>959</v>
      </c>
      <c r="E1105" s="28" t="str">
        <f>IFERROR(IF(C1105&gt;0, D1105/C1105, 0),"-")</f>
        <v>-</v>
      </c>
    </row>
    <row r="1106" spans="1:5" x14ac:dyDescent="0.2">
      <c r="A1106" s="27"/>
      <c r="B1106" s="27" t="s">
        <v>118</v>
      </c>
      <c r="C1106" s="27" t="s">
        <v>959</v>
      </c>
      <c r="D1106" s="27" t="s">
        <v>959</v>
      </c>
      <c r="E1106" s="27" t="str">
        <f>IFERROR(IF(C1106&gt;0, D1106/C1106, 0),"-")</f>
        <v>-</v>
      </c>
    </row>
    <row r="1107" spans="1:5" x14ac:dyDescent="0.2">
      <c r="A1107" s="28" t="s">
        <v>842</v>
      </c>
      <c r="B1107" s="28" t="s">
        <v>1713</v>
      </c>
      <c r="C1107" s="28" t="s">
        <v>959</v>
      </c>
      <c r="D1107" s="28" t="s">
        <v>959</v>
      </c>
      <c r="E1107" s="28" t="str">
        <f>IFERROR(IF(C1107&gt;0, D1107/C1107, 0),"-")</f>
        <v>-</v>
      </c>
    </row>
    <row r="1108" spans="1:5" x14ac:dyDescent="0.2">
      <c r="A1108" s="28" t="s">
        <v>841</v>
      </c>
      <c r="B1108" s="28" t="s">
        <v>1714</v>
      </c>
      <c r="C1108" s="28" t="s">
        <v>959</v>
      </c>
      <c r="D1108" s="28" t="s">
        <v>959</v>
      </c>
      <c r="E1108" s="28" t="str">
        <f>IFERROR(IF(C1108&gt;0, D1108/C1108, 0),"-")</f>
        <v>-</v>
      </c>
    </row>
    <row r="1109" spans="1:5" x14ac:dyDescent="0.2">
      <c r="A1109" s="28" t="s">
        <v>843</v>
      </c>
      <c r="B1109" s="28" t="s">
        <v>1715</v>
      </c>
      <c r="C1109" s="28" t="s">
        <v>959</v>
      </c>
      <c r="D1109" s="28" t="s">
        <v>959</v>
      </c>
      <c r="E1109" s="28" t="str">
        <f>IFERROR(IF(C1109&gt;0, D1109/C1109, 0),"-")</f>
        <v>-</v>
      </c>
    </row>
    <row r="1110" spans="1:5" x14ac:dyDescent="0.2">
      <c r="A1110" s="28" t="s">
        <v>844</v>
      </c>
      <c r="B1110" s="28" t="s">
        <v>1716</v>
      </c>
      <c r="C1110" s="28" t="s">
        <v>959</v>
      </c>
      <c r="D1110" s="28" t="s">
        <v>959</v>
      </c>
      <c r="E1110" s="28" t="str">
        <f>IFERROR(IF(C1110&gt;0, D1110/C1110, 0),"-")</f>
        <v>-</v>
      </c>
    </row>
    <row r="1111" spans="1:5" x14ac:dyDescent="0.2">
      <c r="A1111" s="28" t="s">
        <v>845</v>
      </c>
      <c r="B1111" s="28" t="s">
        <v>1717</v>
      </c>
      <c r="C1111" s="28" t="s">
        <v>959</v>
      </c>
      <c r="D1111" s="28" t="s">
        <v>959</v>
      </c>
      <c r="E1111" s="28" t="str">
        <f>IFERROR(IF(C1111&gt;0, D1111/C1111, 0),"-")</f>
        <v>-</v>
      </c>
    </row>
    <row r="1112" spans="1:5" x14ac:dyDescent="0.2">
      <c r="A1112" s="27"/>
      <c r="B1112" s="27" t="s">
        <v>37</v>
      </c>
      <c r="C1112" s="27" t="s">
        <v>959</v>
      </c>
      <c r="D1112" s="27" t="s">
        <v>959</v>
      </c>
      <c r="E1112" s="27" t="str">
        <f>IFERROR(IF(C1112&gt;0, D1112/C1112, 0),"-")</f>
        <v>-</v>
      </c>
    </row>
    <row r="1113" spans="1:5" x14ac:dyDescent="0.2">
      <c r="A1113" s="28" t="s">
        <v>187</v>
      </c>
      <c r="B1113" s="28" t="s">
        <v>1718</v>
      </c>
      <c r="C1113" s="28" t="s">
        <v>959</v>
      </c>
      <c r="D1113" s="28" t="s">
        <v>959</v>
      </c>
      <c r="E1113" s="28" t="str">
        <f>IFERROR(IF(C1113&gt;0, D1113/C1113, 0),"-")</f>
        <v>-</v>
      </c>
    </row>
    <row r="1114" spans="1:5" x14ac:dyDescent="0.2">
      <c r="A1114" s="28" t="s">
        <v>184</v>
      </c>
      <c r="B1114" s="28" t="s">
        <v>1719</v>
      </c>
      <c r="C1114" s="28" t="s">
        <v>959</v>
      </c>
      <c r="D1114" s="28" t="s">
        <v>959</v>
      </c>
      <c r="E1114" s="28" t="str">
        <f>IFERROR(IF(C1114&gt;0, D1114/C1114, 0),"-")</f>
        <v>-</v>
      </c>
    </row>
    <row r="1115" spans="1:5" x14ac:dyDescent="0.2">
      <c r="A1115" s="28" t="s">
        <v>183</v>
      </c>
      <c r="B1115" s="28" t="s">
        <v>1720</v>
      </c>
      <c r="C1115" s="28" t="s">
        <v>959</v>
      </c>
      <c r="D1115" s="28" t="s">
        <v>959</v>
      </c>
      <c r="E1115" s="28" t="str">
        <f>IFERROR(IF(C1115&gt;0, D1115/C1115, 0),"-")</f>
        <v>-</v>
      </c>
    </row>
    <row r="1116" spans="1:5" x14ac:dyDescent="0.2">
      <c r="A1116" s="28" t="s">
        <v>185</v>
      </c>
      <c r="B1116" s="28" t="s">
        <v>1721</v>
      </c>
      <c r="C1116" s="28" t="s">
        <v>959</v>
      </c>
      <c r="D1116" s="28" t="s">
        <v>959</v>
      </c>
      <c r="E1116" s="28" t="str">
        <f>IFERROR(IF(C1116&gt;0, D1116/C1116, 0),"-")</f>
        <v>-</v>
      </c>
    </row>
    <row r="1117" spans="1:5" x14ac:dyDescent="0.2">
      <c r="A1117" s="28" t="s">
        <v>186</v>
      </c>
      <c r="B1117" s="28" t="s">
        <v>1722</v>
      </c>
      <c r="C1117" s="28" t="s">
        <v>959</v>
      </c>
      <c r="D1117" s="28" t="s">
        <v>959</v>
      </c>
      <c r="E1117" s="28" t="str">
        <f>IFERROR(IF(C1117&gt;0, D1117/C1117, 0),"-")</f>
        <v>-</v>
      </c>
    </row>
    <row r="1118" spans="1:5" x14ac:dyDescent="0.2">
      <c r="A1118" s="28" t="s">
        <v>220</v>
      </c>
      <c r="B1118" s="28" t="s">
        <v>1723</v>
      </c>
      <c r="C1118" s="28" t="s">
        <v>959</v>
      </c>
      <c r="D1118" s="28" t="s">
        <v>959</v>
      </c>
      <c r="E1118" s="28" t="str">
        <f>IFERROR(IF(C1118&gt;0, D1118/C1118, 0),"-")</f>
        <v>-</v>
      </c>
    </row>
    <row r="1119" spans="1:5" x14ac:dyDescent="0.2">
      <c r="A1119" s="27"/>
      <c r="B1119" s="27" t="s">
        <v>123</v>
      </c>
      <c r="C1119" s="27" t="s">
        <v>959</v>
      </c>
      <c r="D1119" s="27" t="s">
        <v>959</v>
      </c>
      <c r="E1119" s="27" t="str">
        <f>IFERROR(IF(C1119&gt;0, D1119/C1119, 0),"-")</f>
        <v>-</v>
      </c>
    </row>
    <row r="1120" spans="1:5" x14ac:dyDescent="0.2">
      <c r="A1120" s="28" t="s">
        <v>871</v>
      </c>
      <c r="B1120" s="28" t="s">
        <v>1724</v>
      </c>
      <c r="C1120" s="28" t="s">
        <v>959</v>
      </c>
      <c r="D1120" s="28" t="s">
        <v>959</v>
      </c>
      <c r="E1120" s="28" t="str">
        <f>IFERROR(IF(C1120&gt;0, D1120/C1120, 0),"-")</f>
        <v>-</v>
      </c>
    </row>
    <row r="1121" spans="1:5" x14ac:dyDescent="0.2">
      <c r="A1121" s="28" t="s">
        <v>869</v>
      </c>
      <c r="B1121" s="28" t="s">
        <v>1725</v>
      </c>
      <c r="C1121" s="28" t="s">
        <v>959</v>
      </c>
      <c r="D1121" s="28" t="s">
        <v>959</v>
      </c>
      <c r="E1121" s="28" t="str">
        <f>IFERROR(IF(C1121&gt;0, D1121/C1121, 0),"-")</f>
        <v>-</v>
      </c>
    </row>
    <row r="1122" spans="1:5" x14ac:dyDescent="0.2">
      <c r="A1122" s="28" t="s">
        <v>867</v>
      </c>
      <c r="B1122" s="28" t="s">
        <v>1726</v>
      </c>
      <c r="C1122" s="28" t="s">
        <v>959</v>
      </c>
      <c r="D1122" s="28" t="s">
        <v>959</v>
      </c>
      <c r="E1122" s="28" t="str">
        <f>IFERROR(IF(C1122&gt;0, D1122/C1122, 0),"-")</f>
        <v>-</v>
      </c>
    </row>
    <row r="1123" spans="1:5" x14ac:dyDescent="0.2">
      <c r="A1123" s="28" t="s">
        <v>868</v>
      </c>
      <c r="B1123" s="28" t="s">
        <v>1727</v>
      </c>
      <c r="C1123" s="28" t="s">
        <v>959</v>
      </c>
      <c r="D1123" s="28" t="s">
        <v>959</v>
      </c>
      <c r="E1123" s="28" t="str">
        <f>IFERROR(IF(C1123&gt;0, D1123/C1123, 0),"-")</f>
        <v>-</v>
      </c>
    </row>
    <row r="1124" spans="1:5" x14ac:dyDescent="0.2">
      <c r="A1124" s="28" t="s">
        <v>870</v>
      </c>
      <c r="B1124" s="28" t="s">
        <v>1728</v>
      </c>
      <c r="C1124" s="28" t="s">
        <v>959</v>
      </c>
      <c r="D1124" s="28" t="s">
        <v>959</v>
      </c>
      <c r="E1124" s="28" t="str">
        <f>IFERROR(IF(C1124&gt;0, D1124/C1124, 0),"-")</f>
        <v>-</v>
      </c>
    </row>
    <row r="1125" spans="1:5" x14ac:dyDescent="0.2">
      <c r="A1125" s="27"/>
      <c r="B1125" s="27" t="s">
        <v>22</v>
      </c>
      <c r="C1125" s="27" t="s">
        <v>959</v>
      </c>
      <c r="D1125" s="27" t="s">
        <v>959</v>
      </c>
      <c r="E1125" s="27" t="str">
        <f>IFERROR(IF(C1125&gt;0, D1125/C1125, 0),"-")</f>
        <v>-</v>
      </c>
    </row>
    <row r="1126" spans="1:5" x14ac:dyDescent="0.2">
      <c r="A1126" s="28" t="s">
        <v>675</v>
      </c>
      <c r="B1126" s="28" t="s">
        <v>1729</v>
      </c>
      <c r="C1126" s="28" t="s">
        <v>959</v>
      </c>
      <c r="D1126" s="28" t="s">
        <v>959</v>
      </c>
      <c r="E1126" s="28" t="str">
        <f>IFERROR(IF(C1126&gt;0, D1126/C1126, 0),"-")</f>
        <v>-</v>
      </c>
    </row>
    <row r="1127" spans="1:5" x14ac:dyDescent="0.2">
      <c r="A1127" s="28" t="s">
        <v>674</v>
      </c>
      <c r="B1127" s="28" t="s">
        <v>1730</v>
      </c>
      <c r="C1127" s="28" t="s">
        <v>959</v>
      </c>
      <c r="D1127" s="28" t="s">
        <v>959</v>
      </c>
      <c r="E1127" s="28" t="str">
        <f>IFERROR(IF(C1127&gt;0, D1127/C1127, 0),"-")</f>
        <v>-</v>
      </c>
    </row>
    <row r="1128" spans="1:5" x14ac:dyDescent="0.2">
      <c r="A1128" s="28" t="s">
        <v>673</v>
      </c>
      <c r="B1128" s="28" t="s">
        <v>1731</v>
      </c>
      <c r="C1128" s="28" t="s">
        <v>959</v>
      </c>
      <c r="D1128" s="28" t="s">
        <v>959</v>
      </c>
      <c r="E1128" s="28" t="str">
        <f>IFERROR(IF(C1128&gt;0, D1128/C1128, 0),"-")</f>
        <v>-</v>
      </c>
    </row>
    <row r="1129" spans="1:5" x14ac:dyDescent="0.2">
      <c r="A1129" s="28" t="s">
        <v>676</v>
      </c>
      <c r="B1129" s="28" t="s">
        <v>1732</v>
      </c>
      <c r="C1129" s="28" t="s">
        <v>959</v>
      </c>
      <c r="D1129" s="28" t="s">
        <v>959</v>
      </c>
      <c r="E1129" s="28" t="str">
        <f>IFERROR(IF(C1129&gt;0, D1129/C1129, 0),"-")</f>
        <v>-</v>
      </c>
    </row>
    <row r="1130" spans="1:5" x14ac:dyDescent="0.2">
      <c r="A1130" s="28" t="s">
        <v>672</v>
      </c>
      <c r="B1130" s="28" t="s">
        <v>1733</v>
      </c>
      <c r="C1130" s="28" t="s">
        <v>959</v>
      </c>
      <c r="D1130" s="28" t="s">
        <v>959</v>
      </c>
      <c r="E1130" s="28" t="str">
        <f>IFERROR(IF(C1130&gt;0, D1130/C1130, 0),"-")</f>
        <v>-</v>
      </c>
    </row>
    <row r="1131" spans="1:5" x14ac:dyDescent="0.2">
      <c r="A1131" s="28" t="s">
        <v>671</v>
      </c>
      <c r="B1131" s="28" t="s">
        <v>1734</v>
      </c>
      <c r="C1131" s="28" t="s">
        <v>959</v>
      </c>
      <c r="D1131" s="28" t="s">
        <v>959</v>
      </c>
      <c r="E1131" s="28" t="str">
        <f>IFERROR(IF(C1131&gt;0, D1131/C1131, 0),"-")</f>
        <v>-</v>
      </c>
    </row>
    <row r="1132" spans="1:5" x14ac:dyDescent="0.2">
      <c r="A1132" s="27"/>
      <c r="B1132" s="27" t="s">
        <v>1</v>
      </c>
      <c r="C1132" s="27" t="s">
        <v>959</v>
      </c>
      <c r="D1132" s="27" t="s">
        <v>959</v>
      </c>
      <c r="E1132" s="27" t="str">
        <f>IFERROR(IF(C1132&gt;0, D1132/C1132, 0),"-")</f>
        <v>-</v>
      </c>
    </row>
    <row r="1133" spans="1:5" x14ac:dyDescent="0.2">
      <c r="A1133" s="28" t="s">
        <v>300</v>
      </c>
      <c r="B1133" s="28" t="s">
        <v>1735</v>
      </c>
      <c r="C1133" s="28" t="s">
        <v>959</v>
      </c>
      <c r="D1133" s="28" t="s">
        <v>959</v>
      </c>
      <c r="E1133" s="28" t="str">
        <f>IFERROR(IF(C1133&gt;0, D1133/C1133, 0),"-")</f>
        <v>-</v>
      </c>
    </row>
    <row r="1134" spans="1:5" x14ac:dyDescent="0.2">
      <c r="A1134" s="28" t="s">
        <v>299</v>
      </c>
      <c r="B1134" s="28" t="s">
        <v>1736</v>
      </c>
      <c r="C1134" s="28" t="s">
        <v>959</v>
      </c>
      <c r="D1134" s="28" t="s">
        <v>959</v>
      </c>
      <c r="E1134" s="28" t="str">
        <f>IFERROR(IF(C1134&gt;0, D1134/C1134, 0),"-")</f>
        <v>-</v>
      </c>
    </row>
    <row r="1135" spans="1:5" x14ac:dyDescent="0.2">
      <c r="A1135" s="28" t="s">
        <v>277</v>
      </c>
      <c r="B1135" s="28" t="s">
        <v>1737</v>
      </c>
      <c r="C1135" s="28" t="s">
        <v>959</v>
      </c>
      <c r="D1135" s="28" t="s">
        <v>959</v>
      </c>
      <c r="E1135" s="28" t="str">
        <f>IFERROR(IF(C1135&gt;0, D1135/C1135, 0),"-")</f>
        <v>-</v>
      </c>
    </row>
    <row r="1136" spans="1:5" x14ac:dyDescent="0.2">
      <c r="A1136" s="28" t="s">
        <v>275</v>
      </c>
      <c r="B1136" s="28" t="s">
        <v>1738</v>
      </c>
      <c r="C1136" s="28" t="s">
        <v>959</v>
      </c>
      <c r="D1136" s="28" t="s">
        <v>959</v>
      </c>
      <c r="E1136" s="28" t="str">
        <f>IFERROR(IF(C1136&gt;0, D1136/C1136, 0),"-")</f>
        <v>-</v>
      </c>
    </row>
    <row r="1137" spans="1:5" x14ac:dyDescent="0.2">
      <c r="A1137" s="28" t="s">
        <v>276</v>
      </c>
      <c r="B1137" s="28" t="s">
        <v>1739</v>
      </c>
      <c r="C1137" s="28" t="s">
        <v>959</v>
      </c>
      <c r="D1137" s="28" t="s">
        <v>959</v>
      </c>
      <c r="E1137" s="28" t="str">
        <f>IFERROR(IF(C1137&gt;0, D1137/C1137, 0),"-")</f>
        <v>-</v>
      </c>
    </row>
    <row r="1138" spans="1:5" x14ac:dyDescent="0.2">
      <c r="A1138" s="28" t="s">
        <v>279</v>
      </c>
      <c r="B1138" s="28" t="s">
        <v>1740</v>
      </c>
      <c r="C1138" s="28" t="s">
        <v>959</v>
      </c>
      <c r="D1138" s="28" t="s">
        <v>959</v>
      </c>
      <c r="E1138" s="28" t="str">
        <f>IFERROR(IF(C1138&gt;0, D1138/C1138, 0),"-")</f>
        <v>-</v>
      </c>
    </row>
    <row r="1139" spans="1:5" x14ac:dyDescent="0.2">
      <c r="A1139" s="28" t="s">
        <v>278</v>
      </c>
      <c r="B1139" s="28" t="s">
        <v>1741</v>
      </c>
      <c r="C1139" s="28" t="s">
        <v>959</v>
      </c>
      <c r="D1139" s="28" t="s">
        <v>959</v>
      </c>
      <c r="E1139" s="28" t="str">
        <f>IFERROR(IF(C1139&gt;0, D1139/C1139, 0),"-")</f>
        <v>-</v>
      </c>
    </row>
    <row r="1140" spans="1:5" x14ac:dyDescent="0.2">
      <c r="A1140" s="28" t="s">
        <v>298</v>
      </c>
      <c r="B1140" s="28" t="s">
        <v>1742</v>
      </c>
      <c r="C1140" s="28" t="s">
        <v>959</v>
      </c>
      <c r="D1140" s="28" t="s">
        <v>959</v>
      </c>
      <c r="E1140" s="28" t="str">
        <f>IFERROR(IF(C1140&gt;0, D1140/C1140, 0),"-")</f>
        <v>-</v>
      </c>
    </row>
    <row r="1141" spans="1:5" x14ac:dyDescent="0.2">
      <c r="A1141" s="27"/>
      <c r="B1141" s="27" t="s">
        <v>97</v>
      </c>
      <c r="C1141" s="27" t="s">
        <v>959</v>
      </c>
      <c r="D1141" s="27" t="s">
        <v>959</v>
      </c>
      <c r="E1141" s="27" t="str">
        <f>IFERROR(IF(C1141&gt;0, D1141/C1141, 0),"-")</f>
        <v>-</v>
      </c>
    </row>
    <row r="1142" spans="1:5" x14ac:dyDescent="0.2">
      <c r="A1142" s="28" t="s">
        <v>685</v>
      </c>
      <c r="B1142" s="28" t="s">
        <v>1743</v>
      </c>
      <c r="C1142" s="28" t="s">
        <v>959</v>
      </c>
      <c r="D1142" s="28" t="s">
        <v>959</v>
      </c>
      <c r="E1142" s="28" t="str">
        <f>IFERROR(IF(C1142&gt;0, D1142/C1142, 0),"-")</f>
        <v>-</v>
      </c>
    </row>
    <row r="1143" spans="1:5" x14ac:dyDescent="0.2">
      <c r="A1143" s="28" t="s">
        <v>689</v>
      </c>
      <c r="B1143" s="28" t="s">
        <v>1744</v>
      </c>
      <c r="C1143" s="28" t="s">
        <v>959</v>
      </c>
      <c r="D1143" s="28" t="s">
        <v>959</v>
      </c>
      <c r="E1143" s="28" t="str">
        <f>IFERROR(IF(C1143&gt;0, D1143/C1143, 0),"-")</f>
        <v>-</v>
      </c>
    </row>
    <row r="1144" spans="1:5" x14ac:dyDescent="0.2">
      <c r="A1144" s="28" t="s">
        <v>686</v>
      </c>
      <c r="B1144" s="28" t="s">
        <v>1745</v>
      </c>
      <c r="C1144" s="28" t="s">
        <v>959</v>
      </c>
      <c r="D1144" s="28" t="s">
        <v>959</v>
      </c>
      <c r="E1144" s="28" t="str">
        <f>IFERROR(IF(C1144&gt;0, D1144/C1144, 0),"-")</f>
        <v>-</v>
      </c>
    </row>
    <row r="1145" spans="1:5" x14ac:dyDescent="0.2">
      <c r="A1145" s="28" t="s">
        <v>690</v>
      </c>
      <c r="B1145" s="28" t="s">
        <v>1746</v>
      </c>
      <c r="C1145" s="28" t="s">
        <v>959</v>
      </c>
      <c r="D1145" s="28" t="s">
        <v>959</v>
      </c>
      <c r="E1145" s="28" t="str">
        <f>IFERROR(IF(C1145&gt;0, D1145/C1145, 0),"-")</f>
        <v>-</v>
      </c>
    </row>
    <row r="1146" spans="1:5" x14ac:dyDescent="0.2">
      <c r="A1146" s="28" t="s">
        <v>688</v>
      </c>
      <c r="B1146" s="28" t="s">
        <v>1747</v>
      </c>
      <c r="C1146" s="28" t="s">
        <v>959</v>
      </c>
      <c r="D1146" s="28" t="s">
        <v>959</v>
      </c>
      <c r="E1146" s="28" t="str">
        <f>IFERROR(IF(C1146&gt;0, D1146/C1146, 0),"-")</f>
        <v>-</v>
      </c>
    </row>
    <row r="1147" spans="1:5" x14ac:dyDescent="0.2">
      <c r="A1147" s="28" t="s">
        <v>687</v>
      </c>
      <c r="B1147" s="28" t="s">
        <v>1748</v>
      </c>
      <c r="C1147" s="28" t="s">
        <v>959</v>
      </c>
      <c r="D1147" s="28" t="s">
        <v>959</v>
      </c>
      <c r="E1147" s="28" t="str">
        <f>IFERROR(IF(C1147&gt;0, D1147/C1147, 0),"-")</f>
        <v>-</v>
      </c>
    </row>
    <row r="1148" spans="1:5" x14ac:dyDescent="0.2">
      <c r="A1148" s="27"/>
      <c r="B1148" s="27" t="s">
        <v>55</v>
      </c>
      <c r="C1148" s="27" t="s">
        <v>959</v>
      </c>
      <c r="D1148" s="27" t="s">
        <v>959</v>
      </c>
      <c r="E1148" s="27" t="str">
        <f>IFERROR(IF(C1148&gt;0, D1148/C1148, 0),"-")</f>
        <v>-</v>
      </c>
    </row>
    <row r="1149" spans="1:5" x14ac:dyDescent="0.2">
      <c r="A1149" s="28" t="s">
        <v>341</v>
      </c>
      <c r="B1149" s="28" t="s">
        <v>1749</v>
      </c>
      <c r="C1149" s="28" t="s">
        <v>959</v>
      </c>
      <c r="D1149" s="28" t="s">
        <v>959</v>
      </c>
      <c r="E1149" s="28" t="str">
        <f>IFERROR(IF(C1149&gt;0, D1149/C1149, 0),"-")</f>
        <v>-</v>
      </c>
    </row>
    <row r="1150" spans="1:5" x14ac:dyDescent="0.2">
      <c r="A1150" s="28" t="s">
        <v>368</v>
      </c>
      <c r="B1150" s="28" t="s">
        <v>1750</v>
      </c>
      <c r="C1150" s="28" t="s">
        <v>959</v>
      </c>
      <c r="D1150" s="28" t="s">
        <v>959</v>
      </c>
      <c r="E1150" s="28" t="str">
        <f>IFERROR(IF(C1150&gt;0, D1150/C1150, 0),"-")</f>
        <v>-</v>
      </c>
    </row>
    <row r="1151" spans="1:5" x14ac:dyDescent="0.2">
      <c r="A1151" s="28" t="s">
        <v>343</v>
      </c>
      <c r="B1151" s="28" t="s">
        <v>1751</v>
      </c>
      <c r="C1151" s="28" t="s">
        <v>959</v>
      </c>
      <c r="D1151" s="28" t="s">
        <v>959</v>
      </c>
      <c r="E1151" s="28" t="str">
        <f>IFERROR(IF(C1151&gt;0, D1151/C1151, 0),"-")</f>
        <v>-</v>
      </c>
    </row>
    <row r="1152" spans="1:5" x14ac:dyDescent="0.2">
      <c r="A1152" s="28" t="s">
        <v>339</v>
      </c>
      <c r="B1152" s="28" t="s">
        <v>1752</v>
      </c>
      <c r="C1152" s="28" t="s">
        <v>959</v>
      </c>
      <c r="D1152" s="28" t="s">
        <v>959</v>
      </c>
      <c r="E1152" s="28" t="str">
        <f>IFERROR(IF(C1152&gt;0, D1152/C1152, 0),"-")</f>
        <v>-</v>
      </c>
    </row>
    <row r="1153" spans="1:5" x14ac:dyDescent="0.2">
      <c r="A1153" s="28" t="s">
        <v>342</v>
      </c>
      <c r="B1153" s="28" t="s">
        <v>1753</v>
      </c>
      <c r="C1153" s="28" t="s">
        <v>959</v>
      </c>
      <c r="D1153" s="28" t="s">
        <v>959</v>
      </c>
      <c r="E1153" s="28" t="str">
        <f>IFERROR(IF(C1153&gt;0, D1153/C1153, 0),"-")</f>
        <v>-</v>
      </c>
    </row>
    <row r="1154" spans="1:5" x14ac:dyDescent="0.2">
      <c r="A1154" s="28" t="s">
        <v>369</v>
      </c>
      <c r="B1154" s="28" t="s">
        <v>1754</v>
      </c>
      <c r="C1154" s="28" t="s">
        <v>959</v>
      </c>
      <c r="D1154" s="28" t="s">
        <v>959</v>
      </c>
      <c r="E1154" s="28" t="str">
        <f>IFERROR(IF(C1154&gt;0, D1154/C1154, 0),"-")</f>
        <v>-</v>
      </c>
    </row>
    <row r="1155" spans="1:5" x14ac:dyDescent="0.2">
      <c r="A1155" s="28" t="s">
        <v>338</v>
      </c>
      <c r="B1155" s="28" t="s">
        <v>1755</v>
      </c>
      <c r="C1155" s="28" t="s">
        <v>959</v>
      </c>
      <c r="D1155" s="28" t="s">
        <v>959</v>
      </c>
      <c r="E1155" s="28" t="str">
        <f>IFERROR(IF(C1155&gt;0, D1155/C1155, 0),"-")</f>
        <v>-</v>
      </c>
    </row>
    <row r="1156" spans="1:5" x14ac:dyDescent="0.2">
      <c r="A1156" s="28" t="s">
        <v>340</v>
      </c>
      <c r="B1156" s="28" t="s">
        <v>1756</v>
      </c>
      <c r="C1156" s="28" t="s">
        <v>959</v>
      </c>
      <c r="D1156" s="28" t="s">
        <v>959</v>
      </c>
      <c r="E1156" s="28" t="str">
        <f>IFERROR(IF(C1156&gt;0, D1156/C1156, 0),"-")</f>
        <v>-</v>
      </c>
    </row>
    <row r="1157" spans="1:5" x14ac:dyDescent="0.2">
      <c r="A1157" s="27"/>
      <c r="B1157" s="27" t="s">
        <v>38</v>
      </c>
      <c r="C1157" s="27" t="s">
        <v>959</v>
      </c>
      <c r="D1157" s="27" t="s">
        <v>959</v>
      </c>
      <c r="E1157" s="27" t="str">
        <f>IFERROR(IF(C1157&gt;0, D1157/C1157, 0),"-")</f>
        <v>-</v>
      </c>
    </row>
    <row r="1158" spans="1:5" x14ac:dyDescent="0.2">
      <c r="A1158" s="28" t="s">
        <v>196</v>
      </c>
      <c r="B1158" s="28" t="s">
        <v>1757</v>
      </c>
      <c r="C1158" s="28" t="s">
        <v>959</v>
      </c>
      <c r="D1158" s="28" t="s">
        <v>959</v>
      </c>
      <c r="E1158" s="28" t="str">
        <f>IFERROR(IF(C1158&gt;0, D1158/C1158, 0),"-")</f>
        <v>-</v>
      </c>
    </row>
    <row r="1159" spans="1:5" x14ac:dyDescent="0.2">
      <c r="A1159" s="28" t="s">
        <v>194</v>
      </c>
      <c r="B1159" s="28" t="s">
        <v>1329</v>
      </c>
      <c r="C1159" s="28" t="s">
        <v>959</v>
      </c>
      <c r="D1159" s="28" t="s">
        <v>959</v>
      </c>
      <c r="E1159" s="28" t="str">
        <f>IFERROR(IF(C1159&gt;0, D1159/C1159, 0),"-")</f>
        <v>-</v>
      </c>
    </row>
    <row r="1160" spans="1:5" x14ac:dyDescent="0.2">
      <c r="A1160" s="28" t="s">
        <v>195</v>
      </c>
      <c r="B1160" s="28" t="s">
        <v>1758</v>
      </c>
      <c r="C1160" s="28" t="s">
        <v>959</v>
      </c>
      <c r="D1160" s="28" t="s">
        <v>959</v>
      </c>
      <c r="E1160" s="28" t="str">
        <f>IFERROR(IF(C1160&gt;0, D1160/C1160, 0),"-")</f>
        <v>-</v>
      </c>
    </row>
    <row r="1161" spans="1:5" x14ac:dyDescent="0.2">
      <c r="A1161" s="28" t="s">
        <v>198</v>
      </c>
      <c r="B1161" s="28" t="s">
        <v>1759</v>
      </c>
      <c r="C1161" s="28" t="s">
        <v>959</v>
      </c>
      <c r="D1161" s="28" t="s">
        <v>959</v>
      </c>
      <c r="E1161" s="28" t="str">
        <f>IFERROR(IF(C1161&gt;0, D1161/C1161, 0),"-")</f>
        <v>-</v>
      </c>
    </row>
    <row r="1162" spans="1:5" x14ac:dyDescent="0.2">
      <c r="A1162" s="28" t="s">
        <v>193</v>
      </c>
      <c r="B1162" s="28" t="s">
        <v>1760</v>
      </c>
      <c r="C1162" s="28" t="s">
        <v>959</v>
      </c>
      <c r="D1162" s="28" t="s">
        <v>959</v>
      </c>
      <c r="E1162" s="28" t="str">
        <f>IFERROR(IF(C1162&gt;0, D1162/C1162, 0),"-")</f>
        <v>-</v>
      </c>
    </row>
    <row r="1163" spans="1:5" x14ac:dyDescent="0.2">
      <c r="A1163" s="28" t="s">
        <v>197</v>
      </c>
      <c r="B1163" s="28" t="s">
        <v>1002</v>
      </c>
      <c r="C1163" s="28" t="s">
        <v>959</v>
      </c>
      <c r="D1163" s="28" t="s">
        <v>959</v>
      </c>
      <c r="E1163" s="28" t="str">
        <f>IFERROR(IF(C1163&gt;0, D1163/C1163, 0),"-")</f>
        <v>-</v>
      </c>
    </row>
    <row r="1164" spans="1:5" x14ac:dyDescent="0.2">
      <c r="A1164" s="27"/>
      <c r="B1164" s="27" t="s">
        <v>86</v>
      </c>
      <c r="C1164" s="27" t="s">
        <v>959</v>
      </c>
      <c r="D1164" s="27" t="s">
        <v>959</v>
      </c>
      <c r="E1164" s="27" t="str">
        <f>IFERROR(IF(C1164&gt;0, D1164/C1164, 0),"-")</f>
        <v>-</v>
      </c>
    </row>
    <row r="1165" spans="1:5" x14ac:dyDescent="0.2">
      <c r="A1165" s="28" t="s">
        <v>592</v>
      </c>
      <c r="B1165" s="28" t="s">
        <v>1761</v>
      </c>
      <c r="C1165" s="28" t="s">
        <v>959</v>
      </c>
      <c r="D1165" s="28" t="s">
        <v>959</v>
      </c>
      <c r="E1165" s="28" t="str">
        <f>IFERROR(IF(C1165&gt;0, D1165/C1165, 0),"-")</f>
        <v>-</v>
      </c>
    </row>
    <row r="1166" spans="1:5" x14ac:dyDescent="0.2">
      <c r="A1166" s="28" t="s">
        <v>580</v>
      </c>
      <c r="B1166" s="28" t="s">
        <v>1762</v>
      </c>
      <c r="C1166" s="28" t="s">
        <v>959</v>
      </c>
      <c r="D1166" s="28" t="s">
        <v>959</v>
      </c>
      <c r="E1166" s="28" t="str">
        <f>IFERROR(IF(C1166&gt;0, D1166/C1166, 0),"-")</f>
        <v>-</v>
      </c>
    </row>
    <row r="1167" spans="1:5" x14ac:dyDescent="0.2">
      <c r="A1167" s="28" t="s">
        <v>606</v>
      </c>
      <c r="B1167" s="28" t="s">
        <v>1763</v>
      </c>
      <c r="C1167" s="28" t="s">
        <v>959</v>
      </c>
      <c r="D1167" s="28" t="s">
        <v>959</v>
      </c>
      <c r="E1167" s="28" t="str">
        <f>IFERROR(IF(C1167&gt;0, D1167/C1167, 0),"-")</f>
        <v>-</v>
      </c>
    </row>
    <row r="1168" spans="1:5" x14ac:dyDescent="0.2">
      <c r="A1168" s="28" t="s">
        <v>605</v>
      </c>
      <c r="B1168" s="28" t="s">
        <v>1764</v>
      </c>
      <c r="C1168" s="28" t="s">
        <v>959</v>
      </c>
      <c r="D1168" s="28" t="s">
        <v>959</v>
      </c>
      <c r="E1168" s="28" t="str">
        <f>IFERROR(IF(C1168&gt;0, D1168/C1168, 0),"-")</f>
        <v>-</v>
      </c>
    </row>
    <row r="1169" spans="1:5" x14ac:dyDescent="0.2">
      <c r="A1169" s="28" t="s">
        <v>593</v>
      </c>
      <c r="B1169" s="28" t="s">
        <v>1765</v>
      </c>
      <c r="C1169" s="28" t="s">
        <v>959</v>
      </c>
      <c r="D1169" s="28" t="s">
        <v>959</v>
      </c>
      <c r="E1169" s="28" t="str">
        <f>IFERROR(IF(C1169&gt;0, D1169/C1169, 0),"-")</f>
        <v>-</v>
      </c>
    </row>
    <row r="1170" spans="1:5" x14ac:dyDescent="0.2">
      <c r="A1170" s="28" t="s">
        <v>583</v>
      </c>
      <c r="B1170" s="28" t="s">
        <v>1766</v>
      </c>
      <c r="C1170" s="28" t="s">
        <v>959</v>
      </c>
      <c r="D1170" s="28" t="s">
        <v>959</v>
      </c>
      <c r="E1170" s="28" t="str">
        <f>IFERROR(IF(C1170&gt;0, D1170/C1170, 0),"-")</f>
        <v>-</v>
      </c>
    </row>
    <row r="1171" spans="1:5" x14ac:dyDescent="0.2">
      <c r="A1171" s="28" t="s">
        <v>582</v>
      </c>
      <c r="B1171" s="28" t="s">
        <v>1767</v>
      </c>
      <c r="C1171" s="28" t="s">
        <v>959</v>
      </c>
      <c r="D1171" s="28" t="s">
        <v>959</v>
      </c>
      <c r="E1171" s="28" t="str">
        <f>IFERROR(IF(C1171&gt;0, D1171/C1171, 0),"-")</f>
        <v>-</v>
      </c>
    </row>
    <row r="1172" spans="1:5" x14ac:dyDescent="0.2">
      <c r="A1172" s="28" t="s">
        <v>584</v>
      </c>
      <c r="B1172" s="28" t="s">
        <v>1768</v>
      </c>
      <c r="C1172" s="28" t="s">
        <v>959</v>
      </c>
      <c r="D1172" s="28" t="s">
        <v>959</v>
      </c>
      <c r="E1172" s="28" t="str">
        <f>IFERROR(IF(C1172&gt;0, D1172/C1172, 0),"-")</f>
        <v>-</v>
      </c>
    </row>
    <row r="1173" spans="1:5" x14ac:dyDescent="0.2">
      <c r="A1173" s="28" t="s">
        <v>614</v>
      </c>
      <c r="B1173" s="28" t="s">
        <v>1769</v>
      </c>
      <c r="C1173" s="28" t="s">
        <v>959</v>
      </c>
      <c r="D1173" s="28" t="s">
        <v>959</v>
      </c>
      <c r="E1173" s="28" t="str">
        <f>IFERROR(IF(C1173&gt;0, D1173/C1173, 0),"-")</f>
        <v>-</v>
      </c>
    </row>
    <row r="1174" spans="1:5" x14ac:dyDescent="0.2">
      <c r="A1174" s="28" t="s">
        <v>585</v>
      </c>
      <c r="B1174" s="28" t="s">
        <v>1770</v>
      </c>
      <c r="C1174" s="28" t="s">
        <v>959</v>
      </c>
      <c r="D1174" s="28" t="s">
        <v>959</v>
      </c>
      <c r="E1174" s="28" t="str">
        <f>IFERROR(IF(C1174&gt;0, D1174/C1174, 0),"-")</f>
        <v>-</v>
      </c>
    </row>
    <row r="1175" spans="1:5" x14ac:dyDescent="0.2">
      <c r="A1175" s="28" t="s">
        <v>581</v>
      </c>
      <c r="B1175" s="28" t="s">
        <v>1771</v>
      </c>
      <c r="C1175" s="28" t="s">
        <v>959</v>
      </c>
      <c r="D1175" s="28" t="s">
        <v>959</v>
      </c>
      <c r="E1175" s="28" t="str">
        <f>IFERROR(IF(C1175&gt;0, D1175/C1175, 0),"-")</f>
        <v>-</v>
      </c>
    </row>
    <row r="1176" spans="1:5" x14ac:dyDescent="0.2">
      <c r="A1176" s="27"/>
      <c r="B1176" s="27" t="s">
        <v>112</v>
      </c>
      <c r="C1176" s="27" t="s">
        <v>959</v>
      </c>
      <c r="D1176" s="27" t="s">
        <v>959</v>
      </c>
      <c r="E1176" s="27" t="str">
        <f>IFERROR(IF(C1176&gt;0, D1176/C1176, 0),"-")</f>
        <v>-</v>
      </c>
    </row>
    <row r="1177" spans="1:5" x14ac:dyDescent="0.2">
      <c r="A1177" s="28" t="s">
        <v>811</v>
      </c>
      <c r="B1177" s="28" t="s">
        <v>1772</v>
      </c>
      <c r="C1177" s="28" t="s">
        <v>959</v>
      </c>
      <c r="D1177" s="28" t="s">
        <v>959</v>
      </c>
      <c r="E1177" s="28" t="str">
        <f>IFERROR(IF(C1177&gt;0, D1177/C1177, 0),"-")</f>
        <v>-</v>
      </c>
    </row>
    <row r="1178" spans="1:5" x14ac:dyDescent="0.2">
      <c r="A1178" s="28" t="s">
        <v>813</v>
      </c>
      <c r="B1178" s="28" t="s">
        <v>1773</v>
      </c>
      <c r="C1178" s="28" t="s">
        <v>959</v>
      </c>
      <c r="D1178" s="28" t="s">
        <v>959</v>
      </c>
      <c r="E1178" s="28" t="str">
        <f>IFERROR(IF(C1178&gt;0, D1178/C1178, 0),"-")</f>
        <v>-</v>
      </c>
    </row>
    <row r="1179" spans="1:5" x14ac:dyDescent="0.2">
      <c r="A1179" s="28" t="s">
        <v>810</v>
      </c>
      <c r="B1179" s="28" t="s">
        <v>1774</v>
      </c>
      <c r="C1179" s="28" t="s">
        <v>959</v>
      </c>
      <c r="D1179" s="28" t="s">
        <v>959</v>
      </c>
      <c r="E1179" s="28" t="str">
        <f>IFERROR(IF(C1179&gt;0, D1179/C1179, 0),"-")</f>
        <v>-</v>
      </c>
    </row>
    <row r="1180" spans="1:5" x14ac:dyDescent="0.2">
      <c r="A1180" s="28" t="s">
        <v>812</v>
      </c>
      <c r="B1180" s="28" t="s">
        <v>1775</v>
      </c>
      <c r="C1180" s="28" t="s">
        <v>959</v>
      </c>
      <c r="D1180" s="28" t="s">
        <v>959</v>
      </c>
      <c r="E1180" s="28" t="str">
        <f>IFERROR(IF(C1180&gt;0, D1180/C1180, 0),"-")</f>
        <v>-</v>
      </c>
    </row>
    <row r="1181" spans="1:5" x14ac:dyDescent="0.2">
      <c r="A1181" s="14"/>
      <c r="B1181" s="14" t="s">
        <v>953</v>
      </c>
      <c r="C1181" s="14" t="s">
        <v>959</v>
      </c>
      <c r="D1181" s="14" t="s">
        <v>959</v>
      </c>
      <c r="E1181" s="14" t="str">
        <f>IFERROR(IF(C1181&gt;0, D1181/C1181, 0),"-")</f>
        <v>-</v>
      </c>
    </row>
  </sheetData>
  <mergeCells count="47">
    <mergeCell ref="A233:E233"/>
    <mergeCell ref="A235:E235"/>
    <mergeCell ref="A236:A237"/>
    <mergeCell ref="B236:B237"/>
    <mergeCell ref="C236:E236"/>
    <mergeCell ref="C237:C238"/>
    <mergeCell ref="D237:D238"/>
    <mergeCell ref="E237:E238"/>
    <mergeCell ref="B218:E218"/>
    <mergeCell ref="B220:E220"/>
    <mergeCell ref="B221:B222"/>
    <mergeCell ref="C221:E221"/>
    <mergeCell ref="C222:C223"/>
    <mergeCell ref="D222:D223"/>
    <mergeCell ref="E222:E223"/>
    <mergeCell ref="B203:E203"/>
    <mergeCell ref="B205:E205"/>
    <mergeCell ref="B206:B207"/>
    <mergeCell ref="C206:E206"/>
    <mergeCell ref="C207:C208"/>
    <mergeCell ref="D207:D208"/>
    <mergeCell ref="E207:E208"/>
    <mergeCell ref="B188:E188"/>
    <mergeCell ref="B190:E190"/>
    <mergeCell ref="B191:B192"/>
    <mergeCell ref="C191:E191"/>
    <mergeCell ref="C192:C193"/>
    <mergeCell ref="D192:D193"/>
    <mergeCell ref="E192:E193"/>
    <mergeCell ref="B53:E53"/>
    <mergeCell ref="B54:B55"/>
    <mergeCell ref="C54:E54"/>
    <mergeCell ref="C55:C56"/>
    <mergeCell ref="D55:D56"/>
    <mergeCell ref="E55:E56"/>
    <mergeCell ref="B15:E15"/>
    <mergeCell ref="B16:B17"/>
    <mergeCell ref="C16:E16"/>
    <mergeCell ref="C17:C18"/>
    <mergeCell ref="D17:D18"/>
    <mergeCell ref="E17:E18"/>
    <mergeCell ref="B2:E2"/>
    <mergeCell ref="B3:B4"/>
    <mergeCell ref="C3:E3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OverAll_On-Date</vt:lpstr>
      <vt:lpstr>tom_OverAll_On-Date</vt:lpstr>
      <vt:lpstr>FY_25-26</vt:lpstr>
      <vt:lpstr>FY_25-26_On-Date</vt:lpstr>
      <vt:lpstr>tom_FY_25-26_On-Date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2026-02-24T06:02:17Z</dcterms:created>
  <dcterms:modified xsi:type="dcterms:W3CDTF">2026-02-24T06:14:21Z</dcterms:modified>
</cp:coreProperties>
</file>